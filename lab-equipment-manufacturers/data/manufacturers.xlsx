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nufacturers" sheetId="1" state="visible" r:id="rId3"/>
    <sheet name="Israel entities" sheetId="2" state="visible" r:id="rId4"/>
    <sheet name="Products" sheetId="3" state="visible" r:id="rId5"/>
    <sheet name="By Israeli entity" sheetId="4" state="visible" r:id="rId6"/>
    <sheet name="Summary" sheetId="5" state="visible" r:id="rId7"/>
  </sheets>
  <definedNames>
    <definedName function="false" hidden="true" localSheetId="3" name="_xlnm._FilterDatabase" vbProcedure="false">'By Israeli entity'!$A$1:$K$155</definedName>
    <definedName function="false" hidden="true" localSheetId="1" name="_xlnm._FilterDatabase" vbProcedure="false">'Israel entities'!$A$1:$O$161</definedName>
    <definedName function="false" hidden="true" localSheetId="0" name="_xlnm._FilterDatabase" vbProcedure="false">Manufacturers!$A$1:$AM$101</definedName>
    <definedName function="false" hidden="true" localSheetId="2" name="_xlnm._FilterDatabase" vbProcedure="false">Products!$A$1:$E$301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<sst xmlns="http://schemas.openxmlformats.org/spreadsheetml/2006/main" count="6869" uniqueCount="3311">
  <si>
    <t xml:space="preserve">#</t>
  </si>
  <si>
    <t xml:space="preserve">יצרן / Manufacturer</t>
  </si>
  <si>
    <t xml:space="preserve">מותגים / Brands</t>
  </si>
  <si>
    <t xml:space="preserve">עיר / HQ city</t>
  </si>
  <si>
    <t xml:space="preserve">מדינה / Country</t>
  </si>
  <si>
    <t xml:space="preserve">חברת-אם / Parent</t>
  </si>
  <si>
    <t xml:space="preserve">בעלות / Ownership</t>
  </si>
  <si>
    <t xml:space="preserve">שנת ייסוד / Founded</t>
  </si>
  <si>
    <t xml:space="preserve">אתר / Website</t>
  </si>
  <si>
    <t xml:space="preserve">קטגוריה / Category</t>
  </si>
  <si>
    <t xml:space="preserve">עובדים / Employees</t>
  </si>
  <si>
    <t xml:space="preserve">שנת נתון עובדים / Employees year</t>
  </si>
  <si>
    <t xml:space="preserve">היקף נתון העובדים / Employees scope</t>
  </si>
  <si>
    <t xml:space="preserve">הערת עובדים / Employees note</t>
  </si>
  <si>
    <t xml:space="preserve">הכנסות (מטבע מקורי) / Revenue</t>
  </si>
  <si>
    <t xml:space="preserve">הכנסות מיליוני $ / Revenue USD M</t>
  </si>
  <si>
    <t xml:space="preserve">שנת כספים / Fiscal year</t>
  </si>
  <si>
    <t xml:space="preserve">היקף ההכנסות / Revenue scope</t>
  </si>
  <si>
    <t xml:space="preserve">הערת הכנסות / Revenue note</t>
  </si>
  <si>
    <t xml:space="preserve">בסיס הנתונים / Size basis</t>
  </si>
  <si>
    <t xml:space="preserve">מוצר מוביל 1 / Top product 1</t>
  </si>
  <si>
    <t xml:space="preserve">מוצר מוביל 2 / Top product 2</t>
  </si>
  <si>
    <t xml:space="preserve">מוצר מוביל 3 / Top product 3</t>
  </si>
  <si>
    <t xml:space="preserve">טלפון יצרן / Manufacturer phone</t>
  </si>
  <si>
    <t xml:space="preserve">דוא״ל יצרן / Manufacturer email</t>
  </si>
  <si>
    <t xml:space="preserve">כתובת יצרן / Manufacturer address</t>
  </si>
  <si>
    <t xml:space="preserve">דף צור-קשר / Contact page</t>
  </si>
  <si>
    <t xml:space="preserve">הערת קשר / Contact note</t>
  </si>
  <si>
    <t xml:space="preserve">ייצוג בישראל / Israel presence</t>
  </si>
  <si>
    <t xml:space="preserve">ייצוג בישראל (עברית)</t>
  </si>
  <si>
    <t xml:space="preserve">סטטוס אימות / Verification</t>
  </si>
  <si>
    <t xml:space="preserve">סטטוס אימות (עברית)</t>
  </si>
  <si>
    <t xml:space="preserve">שנת הראיה לייצוג / Evidence year</t>
  </si>
  <si>
    <t xml:space="preserve">עדכניות הייצוג / Currency</t>
  </si>
  <si>
    <t xml:space="preserve">נציגים / מפיצים בישראל / Israeli entities</t>
  </si>
  <si>
    <t xml:space="preserve">הערת ישראל / Israel note</t>
  </si>
  <si>
    <t xml:space="preserve">רמת ודאות / Confidence</t>
  </si>
  <si>
    <t xml:space="preserve">הערת ודאות / Confidence note</t>
  </si>
  <si>
    <t xml:space="preserve">מקורות / Sources</t>
  </si>
  <si>
    <t xml:space="preserve">Thermo Fisher Scientific</t>
  </si>
  <si>
    <t xml:space="preserve">Thermo Scientific, Fisher Scientific, Invitrogen, Applied Biosystems, Gibco, Patheon, PPD, Phadia, Oxoid, Olink</t>
  </si>
  <si>
    <t xml:space="preserve">Waltham, Massachusetts</t>
  </si>
  <si>
    <t xml:space="preserve">USA</t>
  </si>
  <si>
    <t xml:space="preserve">Public (NYSE: TMO)</t>
  </si>
  <si>
    <t xml:space="preserve">https://www.thermofisher.com</t>
  </si>
  <si>
    <t xml:space="preserve">Diversified analytical &amp; life-science instruments</t>
  </si>
  <si>
    <t xml:space="preserve">company</t>
  </si>
  <si>
    <t xml:space="preserve">FY2025 Form 10-K: 'As of December 31, 2025, we employed approximately 125,000 colleagues globally' (~59,000 Americas, ~44,000 EMEA, ~22,000 Asia-Pacific).</t>
  </si>
  <si>
    <t xml:space="preserve">USD 44.56 billion</t>
  </si>
  <si>
    <t xml:space="preserve">FY2025</t>
  </si>
  <si>
    <t xml:space="preserve">FY2025 revenue USD 44.56 billion (+3.9% vs 2024) per StockAnalysis / AmericanCompanies summaries of the SEC 10-K; the 10-K itself (sec.gov link in sources) could not be opened in-session.</t>
  </si>
  <si>
    <t xml:space="preserve">reported</t>
  </si>
  <si>
    <t xml:space="preserve">Thermo Scientific Orbitrap Astral — high-resolution Orbitrap LC-MS mass spectrometer</t>
  </si>
  <si>
    <t xml:space="preserve">Applied Biosystems QuantStudio — real-time PCR (qPCR/dPCR) instrument family</t>
  </si>
  <si>
    <t xml:space="preserve">Thermo Scientific Krios cryo-TEM — cryo-electron microscope for structural biology</t>
  </si>
  <si>
    <t xml:space="preserve">+972 73 256 0860</t>
  </si>
  <si>
    <t xml:space="preserve">Israel office — not found on thermofisher.com (2 searches); the only phone is an unverified aggregator listing (startupim, confidence 69/100). Thermo Fisher job listings place staff in Tel Aviv. Olink (a Thermo Fisher company) names Danyel Biotech Ltd., HaMada St. 8, Rehovot 7670308, +972 8 966 066 (as shown) as its Israeli distributor. Verify before use.</t>
  </si>
  <si>
    <t xml:space="preserve">subsidiary</t>
  </si>
  <si>
    <t xml:space="preserve">חברה-בת / משרד של היצרן בישראל</t>
  </si>
  <si>
    <t xml:space="preserve">verified</t>
  </si>
  <si>
    <t xml:space="preserve">אומת ממקור</t>
  </si>
  <si>
    <t xml:space="preserve">Thermo Fisher Integrated Solutions Israel Ltd. (תרמו פישר ישראל (רעננה)) [חברה-בת; direct life-science sales &amp; field service organisation being built out 2025-26; +972 8-940-8618, 5 Golda Meir St., Ness Ziona (also Airport City 1, Lod)] | Thermo Fisher Scientific Israel Ltd. (Kiryat Shmona) (תרמו פישר קריית שמונה) [חברה-בת; manufacturing / engineering site (ISO 9001/13485); not a sales channel; +972 8-940-8618, 5 Golda Meir St., Ness Ziona (also Airport City 1, Lod)] | Rhenium Ltd. (רניום) [מפיץ; Applied Biosystems / Invitrogen / Thermo Scientific products: live product pages for PowerTrack SYBR Green master mix, QuantStudio Absolute Q dPCR, SL 16 centrifuge, TaqMan/bioproduction reagents (Rhenium's bioproduction page names Applied Biosystems as a partner); +972 8-955-8888, 20 Hasatat St., P.O. Box 180, Modi'in 7171101] | Gamidor Diagnostics (1984) Ltd. (גמידור דיאגנוסטיקה) [מפיץ; 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 +972-3-927-7277, info@gamidor.co.il, Shaham 32, Petach Tikva] | Bargal Analytical Instruments Ltd. (ברגל) [מפיץ; 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 +972-3-979-6533, sales@bargal.co.il, 10 Shaked Street, Modi'in Industrial Park, Shoham 6085102] | Danyel Biotech Ltd. (דניאל ביוטק) [מפיץ; Olink proteomics (a Thermo Fisher business): live Olink brand page on Danyel's site; 1-800-711-911 (also +972 8-936-6066), 8 Hamada St., Science Park, Rehovot 7670308] | Thermo Fisher Scientific – EM service location, Airport City [שירות; Thermo Fisher's own Israeli sales/support organisation; thermofisher.com's Phenom desktop-SEM distributor page names 'Thermo Fisher Integrated Solutions' as the Israel contact (live page); a Thermo Fisher careers page lists jobs in Israel; +972 8-940-8618, 5 Golda Meir St., Ness Ziona (also Airport City 1, Lod)] | Iner-Tech Ltd. (Rehovot) [מפיץ; Thermo Scientific portable pharma QA/QC analysers (handheld Raman/NIR material ID) - listed on thermofisher.com's distributor page for Israel] | R.B.M. Ltd. Control &amp; Mechanization (Hod Hasharon) [מפיץ; Thermo Scientific Niton portable XRF / LIBS analysers - listed on thermofisher.com's authorized XRF &amp; LIBS distributor page for Israel] | Madid Industrial Controls Ltd. [מפיץ; Thermo Scientific dataTaker data loggers (industrial data acquisition) - listed on thermofisher.com's dataTaker distributor page for Israel]</t>
  </si>
  <si>
    <t xml:space="preserve">[אימות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</si>
  <si>
    <t xml:space="preserve">medium</t>
  </si>
  <si>
    <t xml:space="preserve">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</si>
  <si>
    <t xml:space="preserve">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</si>
  <si>
    <t xml:space="preserve">Agilent Technologies</t>
  </si>
  <si>
    <t xml:space="preserve">Agilent, BioTek, Dako, Agilent CrossLab</t>
  </si>
  <si>
    <t xml:space="preserve">Santa Clara, California</t>
  </si>
  <si>
    <t xml:space="preserve">Public (NYSE: A)</t>
  </si>
  <si>
    <t xml:space="preserve">https://www.agilent.com</t>
  </si>
  <si>
    <t xml:space="preserve">Approximately 18,100 employees worldwide as of Oct 31, 2025 per FY2025 10-K (17,900 at Oct 31, 2024)</t>
  </si>
  <si>
    <t xml:space="preserve">USD 6.95 billion</t>
  </si>
  <si>
    <t xml:space="preserve">FY2025 (ended 31 Oct 2025)</t>
  </si>
  <si>
    <t xml:space="preserve">Agilent Q4/FY2025 results release (24 Nov 2025): revenue USD 6.95 billion, +6.7% reported; FY2026 guidance USD 7.3-7.4 billion.</t>
  </si>
  <si>
    <t xml:space="preserve">Agilent 1290 Infinity III LC — flagship UHPLC liquid chromatography system</t>
  </si>
  <si>
    <t xml:space="preserve">Agilent 8890 GC / 7010 Triple Quad GC/MS — gas chromatograph and GC-MS/MS systems</t>
  </si>
  <si>
    <t xml:space="preserve">Agilent BioTek Cytation — cell imaging multimode microplate reader</t>
  </si>
  <si>
    <t xml:space="preserve">+1 408-345-8886 / +1 877-424-4536</t>
  </si>
  <si>
    <t xml:space="preserve">contact_us@agilent.com</t>
  </si>
  <si>
    <t xml:space="preserve">5301 Stevens Creek Blvd., Santa Clara, CA 95051, USA</t>
  </si>
  <si>
    <t xml:space="preserve">HQ (Agilent site footer); no Israel/EMEA contact shown.</t>
  </si>
  <si>
    <t xml:space="preserve">distributor</t>
  </si>
  <si>
    <t xml:space="preserve">מפיץ / נציג ישראלי</t>
  </si>
  <si>
    <t xml:space="preserve">Eldan Electronic Instruments Ltd. (Neopharm group) (אלדן) [מפיץ; Agilent authorised distributor for Israel (chromatography, spectroscopy, mass spectrometry, lab products, cell analysis); Petach Tikva, tel. +972-3-9371111, info@eldan.biz, per Agilent's live Israel contact page; +972-3-937-1111, info@eldan.biz, 6 Hashiloach Street, P.O. Box 7641, Petach Tikva 49170]</t>
  </si>
  <si>
    <t xml:space="preserve">[אימות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</si>
  <si>
    <t xml:space="preserve">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</si>
  <si>
    <t xml:space="preserve">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</si>
  <si>
    <t xml:space="preserve">Merck KGaA – Life Science (MilliporeSigma / Sigma-Aldrich / Merck Millipore)</t>
  </si>
  <si>
    <t xml:space="preserve">MilliporeSigma (USA/Canada), Sigma-Aldrich, Merck Millipore, Millipore, EMD Millipore, SAFC, Supelco, BioReliance</t>
  </si>
  <si>
    <t xml:space="preserve">Darmstadt</t>
  </si>
  <si>
    <t xml:space="preserve">Germany</t>
  </si>
  <si>
    <t xml:space="preserve">Merck KGaA</t>
  </si>
  <si>
    <t xml:space="preserve">Subsidiary/business sector of Merck KGaA (public, FWB: MRK; majority held by the Merck family via E. Merck KG)</t>
  </si>
  <si>
    <t xml:space="preserve">https://www.sigmaaldrich.com</t>
  </si>
  <si>
    <t xml:space="preserve">Life-science instruments &amp; reagents</t>
  </si>
  <si>
    <t xml:space="preserve">parent</t>
  </si>
  <si>
    <t xml:space="preserve">Merck KGaA group headcount (fully consolidated subsidiaries) as of Dec 31, 2025 per Annual Report 2025 combined management report (62,557 at end-2024)</t>
  </si>
  <si>
    <t xml:space="preserve">EUR 9.0 billion</t>
  </si>
  <si>
    <t xml:space="preserve">segment</t>
  </si>
  <si>
    <t xml:space="preserve">Life Science business sector net sales FY2025 (organic +4.0%, FX -3.4%; Process Solutions EUR 3.8bn, Science &amp; Lab Solutions EUR 4.5bn) per Q4/FY2025 results release of 5 Mar 2026 and Annual Report 2025; the release rounds to EUR 9.0bn. Group net sales EUR 21.1bn. Life Science business units reorganised as of Jan 1, 2026.</t>
  </si>
  <si>
    <t xml:space="preserve">Milli-Q — laboratory ultrapure / pure water purification systems</t>
  </si>
  <si>
    <t xml:space="preserve">Millipore filtration (Millex, Stericup, Mobius) — lab filtration and single-use bioprocess products</t>
  </si>
  <si>
    <t xml:space="preserve">Sigma-Aldrich research chemicals — reagents, biochemicals and analytical standards</t>
  </si>
  <si>
    <t xml:space="preserve">+972 8 948 4222 / +972 8 948 4100</t>
  </si>
  <si>
    <t xml:space="preserve">isrcustserv@merckgroup.com</t>
  </si>
  <si>
    <t xml:space="preserve">3 Plaut St., Rehovot 7670603, Israel</t>
  </si>
  <si>
    <t xml:space="preserve">https://www.sigmaaldrich.com/collections/offices</t>
  </si>
  <si>
    <t xml:space="preserve">Israel office (Sigma-Aldrich Israel Ltd., Rehovot) per Merck's official office listing; fax +972 8 948 4200; technical service isrtechserv@merckgroup.com (older page versions show the @emdgroup.com domain); a third-party directory gives +972 8 948 4100 as the main line.</t>
  </si>
  <si>
    <t xml:space="preserve">partial</t>
  </si>
  <si>
    <t xml:space="preserve">חיפוש חלקי (ללא פתיחת אתרי היצרן/המפיץ)</t>
  </si>
  <si>
    <t xml:space="preserve">Sigma-Aldrich Israel Ltd. (affiliate of Merck KGaA, Darmstadt) [חברה-בת; Merck's own Israeli entity: sales/customer contact for Israel and production sites in Rehovot (antibodies, primers, peptides; 3 Plaut St.) and Jerusalem (Har Hotzvim); +972-8-9484222 / +972-8-9484100, isrcustserv@merckgroup.com; isrtechserv@merckgroup.com, 3 Plaut St., Rehovot 7670603] | Mercury Scientific &amp; Industrial Products Ltd. (Gadot group) (מרקורי מוצרי מדע ותעשייה (גדות מרקורי)) [מפיץ; Merck Milli-Q laboratory water-purification systems (IX, IQ 7000, HX, CLX, SQ2 series) - live product pages describe Mercury as Merck's exclusive Israeli distributor; Millipore filtration/MQuant lines per prior evidence; +972 3-938-7164, 12 Ha'avoda St., P.O. Box 159, Rosh Ha'ayin]</t>
  </si>
  <si>
    <t xml:space="preserve">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</si>
  <si>
    <t xml:space="preserve">high</t>
  </si>
  <si>
    <t xml:space="preserve">Subsidiary confirmed on the manufacturer's own contact page and certificates; Milli-Q distributor role is the distributor's own statement.</t>
  </si>
  <si>
    <t xml:space="preserve">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</si>
  <si>
    <t xml:space="preserve">Waters Corporation</t>
  </si>
  <si>
    <t xml:space="preserve">TA Instruments, Wyatt Technology, Waters Biosciences (ex-BD Biosciences), Waters Advanced Diagnostics (ex-BD Diagnostic Solutions)</t>
  </si>
  <si>
    <t xml:space="preserve">Milford, Massachusetts</t>
  </si>
  <si>
    <t xml:space="preserve">Public (NYSE: WAT)</t>
  </si>
  <si>
    <t xml:space="preserve">https://www.waters.com</t>
  </si>
  <si>
    <t xml:space="preserve">Analytical instruments (chromatography / mass spectrometry / spectroscopy)</t>
  </si>
  <si>
    <t xml:space="preserve">Approximately 7,900 employees as of Dec 31, 2025 per FY2025 10-K (pre-combination; the combination with BD's Biosciences &amp; Diagnostic Solutions business closed Feb 9, 2026 and is not reflected)</t>
  </si>
  <si>
    <t xml:space="preserve">USD 3,165 million</t>
  </si>
  <si>
    <t xml:space="preserve">FY2025 sales per Q4/FY2025 results release of Feb 9, 2026 (+7% reported and constant currency vs USD 2,958m FY2024); excludes BD Biosciences &amp; Diagnostic Solutions (combination completed Feb 9, 2026) Correction: Waters' FY2025 10-K gives approximately 7,600 employees at Dec 31, 2024 (not 7,800). Combination with BD's Biosciences &amp; Diagnostic Solutions business completed Feb 9, 2026; FY2026 figures will include it.</t>
  </si>
  <si>
    <t xml:space="preserve">ACQUITY Premier UPLC — ultra-performance liquid chromatography systems</t>
  </si>
  <si>
    <t xml:space="preserve">Xevo TQ Absolute — tandem quadrupole LC-MS/MS mass spectrometer</t>
  </si>
  <si>
    <t xml:space="preserve">Empower CDS — chromatography data system software</t>
  </si>
  <si>
    <t xml:space="preserve">+1 508 478 2000</t>
  </si>
  <si>
    <t xml:space="preserve">34 Maple Street, Milford, MA 01757, USA</t>
  </si>
  <si>
    <t xml:space="preserve">HQ — Israel office (Waters (TC) Israel Ltd.) not found in 2 searches (results were Israeli water utilities); Waters says local offices/distributors are listed on waters.com; HQ details from a GlobalData profile.</t>
  </si>
  <si>
    <t xml:space="preserve">Waters (TC) Israel Ltd. [חברה-בת; 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 | Bargal Analytical Instruments Ltd. (ברגל) [מפיץ; TA Instruments (a Waters division) thermal analysis, rheology and microcalorimetry – listed in TA Instruments' Middle East directory; +972-3-979-6533, sales@bargal.co.il, 10 Shaked Street, Modi'in Industrial Park, Shoham 6085102]</t>
  </si>
  <si>
    <t xml:space="preserve">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</si>
  <si>
    <t xml:space="preserve">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</si>
  <si>
    <t xml:space="preserve">Bruker Corporation</t>
  </si>
  <si>
    <t xml:space="preserve">Bruker BioSpin, Bruker Daltonics, Bruker AXS, Bruker Nano, Bruker Optics, Bruker Cellular Analysis, NanoString, ELITechGroup</t>
  </si>
  <si>
    <t xml:space="preserve">Billerica, Massachusetts</t>
  </si>
  <si>
    <t xml:space="preserve">Public (Nasdaq: BRKR)</t>
  </si>
  <si>
    <t xml:space="preserve">https://www.bruker.com</t>
  </si>
  <si>
    <t xml:space="preserve">11,085 employees at Dec 31, 2025 as attributed to the FY2025 10-K by data aggregators (Tracenable, Motley Fool); not verified directly against the filing's Human Capital section</t>
  </si>
  <si>
    <t xml:space="preserve">USD 3.44 billion</t>
  </si>
  <si>
    <t xml:space="preserve">FY2025 revenue per Q4/FY2025 results release of Feb 12, 2026 (+2.1% reported, -3.7% organic vs USD 3.37bn FY2024); includes USD 127.2m impairments and USD 77.4m restructuring charges</t>
  </si>
  <si>
    <t xml:space="preserve">AVANCE NEO NMR — high-field NMR spectrometers (BioSpin)</t>
  </si>
  <si>
    <t xml:space="preserve">timsTOF — trapped-ion-mobility Q-TOF mass spectrometers (Daltonics)</t>
  </si>
  <si>
    <t xml:space="preserve">D8 ADVANCE / Dimension AFM — X-ray diffraction and atomic force microscopy systems</t>
  </si>
  <si>
    <t xml:space="preserve">+972 8 947 7705</t>
  </si>
  <si>
    <t xml:space="preserve">bsis@bruker.com</t>
  </si>
  <si>
    <t xml:space="preserve">5 Golda Me'ir St., Science Park, P.O. Box 2445, Rehovot 76123, Israel</t>
  </si>
  <si>
    <t xml:space="preserve">https://www.bruker.com/en/services/support/india-middleeast-africa/israel-rehovot.html</t>
  </si>
  <si>
    <t xml:space="preserve">Israel office (Bruker Scientific Israel Ltd., Rehovot; sales line/email shown for X-ray products; support +972 8 947 7704, service.baxs.ime@bruker.com; Magnetic Resonance/Preclinical Imaging at 1st Yaacov Perry St., Rehovot). AFM/mechanical testing via distributor New Technology, 11 Tuval St., 7th Floor, Ramat Gan 52522, +972 3 679 2000; microbiology/diagnostics via Lapidot Medical, 8 Hashita St., Caesarea Industrial Park 3088900; mass spectrometry: Bruker office in Gedera (no address/phone shown).</t>
  </si>
  <si>
    <t xml:space="preserve">Bruker Scientific Israel Ltd. (ברוקר ישראל) [חברה-בת; Bruker's own Israeli sales &amp; support office (Science Park, Rehovot; AXS/Nano/BioSpin lines per bruker.com office page); +972 8 947 7705, bsis@bruker.com, 5 Golda Me'ir St., Science Park, Rehovot 76123] | Lapidot Medical Import and Marketing Ltd. [מפיץ; Bruker's official Israel contact/partner (Caesarea Industrial Park); Lapidot Group's live business-partners page lists Bruker; +972-4-6309630 / +972-74-7797836, customerservice@lapidot.com, 8 Hashita St., P.O. Box 3552, Caesarea Industrial Park 3088900] | Bruker - Israel office, Gedera (mass spectrometry) [חברה-בת; mass-spectrometry (Bruker Daltonics) enquiries directed to Bruker's own office in Gedera per bruker.com - not re-searched this round; prior evidence is Bruker's own 2025-26 support pages; P.O. Box 2445, Rehovot 76123] | New Technology (NT) Ltd. (ניו טכנולוגי) [מפיץ; Bruker distributor (Ramat Gan) named on Bruker's Israel office page; product scope not stated]</t>
  </si>
  <si>
    <t xml:space="preserve">חיפוש רשת בלבד; דפי ״מפיצים״ של היצרן ואתרי המפיצים לא נפתחו (חסימת רשת). [אימות עדכניות 10/2026] Lapidot Group's live business-partners page (lapidot.com/en/partners) still lists Bruker, confirming the distributor relationship from the distributor's side. Bruker's own entities (Bruker Scientific Israel, Rehovot; Gedera MS office) and New Technology (NT) Ltd. were not re-searched in this round (budget); their prior evidence is Bruker's own support pages dated 2025-2026, so they are carried at 2025 without fresh confirmation. One scope-clarification search (Bruker + Israel + NMR/MS/AXS/Lapidot). Bruker's own Israel support page (English, Japanese and Spanish versions, 2025-2026) names Lapidot Medical Import and Marketing Ltd., Caesarea Industrial Park, as the Israel contact and says mass-spectrometry questions go to Bruker's office in Gedera, Israel. No division-specific (NMR/AXS/Nano/microCT) partner listings appeared, so Lapidot appears to be the general Israeli partner while MS is handled by Bruker's own local office; the Gedera entity's legal name and the exact split of duties were not visible and Lapidot's own site was not checked. Bruker's own office page also lists Bruker Scientific Israel Ltd. (Rehovot) with sales/support numbers and names New Technology (Ramat Gan) and Lapidot (Caesarea) as distributors.</t>
  </si>
  <si>
    <t xml:space="preserve">Both Israeli entities come from Bruker's official support page; division-level scope and the Gedera entity name remain unconfirmed.</t>
  </si>
  <si>
    <t xml:space="preserve">https://www.bruker.com/en/services/support/india-middleeast-africa/israel-caesarea.html ; https://www.bruker.com/en/services/support/office.india-middle-east-africa.israel-caesarea.html ; https://www.bruker.com/es/services/support/india-middleeast-africa/israel-caesarea.html ; https://www.lapidot.com/en/partners/ ; https://www.bruker.com/en/services/support/india-middleeast-africa/israel-rehovot.html ; https://ir.bruker.com/press-releases/press-release-details/2026/Bruker-Reports-Fourth-Quarter-and-Full-Year-2025-Financial-Results/default.aspx ; https://www.sec.gov/Archives/edgar/data/1109354/000119312526082523/brkr-20251231.htm ; https://tracenable.com/company/bruker/employee-count</t>
  </si>
  <si>
    <t xml:space="preserve">Shimadzu Corporation</t>
  </si>
  <si>
    <t xml:space="preserve">Shimadzu Scientific Instruments, Shimadzu Europa, Shimadzu Analytical &amp; Measuring Instruments</t>
  </si>
  <si>
    <t xml:space="preserve">Kyoto</t>
  </si>
  <si>
    <t xml:space="preserve">Japan</t>
  </si>
  <si>
    <t xml:space="preserve">Public (TSE: 7701)</t>
  </si>
  <si>
    <t xml:space="preserve">https://www.shimadzu.com</t>
  </si>
  <si>
    <t xml:space="preserve">Figure from model knowledge of the company's published report; could not be re-verified against a source in this session (search budget exhausted, network blocked). Consolidated group headcount approx. 14,600 as of 31 Mar 2025 (approximate).</t>
  </si>
  <si>
    <t xml:space="preserve">JPY 560,728 million</t>
  </si>
  <si>
    <t xml:space="preserve">FY ended Mar-2026</t>
  </si>
  <si>
    <t xml:space="preserve">Consolidated net sales for FY ended Mar 31, 2026 (record; +4.0% vs JPY 539,047m) per consolidated financial results (J-GAAP) released May 12, 2026; FY Mar-2027 forecast JPY 575.0bn Correction: Bracketed JPY 511.9bn is the FY ended Mar-2024 figure; FY ended Mar-2025 net sales were JPY 539.0bn. Consolidated employees were 14,219 at Mar 31, 2024 (corporate profile) and 14,481 at Mar 31, 2025 (Integrated Report 2025); the Mar-2026 headcount was not found in search snippets.</t>
  </si>
  <si>
    <t xml:space="preserve">Nexera UHPLC series — ultra-high-performance liquid chromatographs</t>
  </si>
  <si>
    <t xml:space="preserve">LCMS-8060NX / LCMS-9050 — triple-quadrupole and Q-TOF LC-MS/MS systems</t>
  </si>
  <si>
    <t xml:space="preserve">GCMS-QP2050 — single-quadrupole GC-MS system</t>
  </si>
  <si>
    <t xml:space="preserve">+81 75 823 1111</t>
  </si>
  <si>
    <t xml:space="preserve">1 Nishinokyo Kuwabara-cho, Nakagyo-ku, Kyoto 604-8511, Japan</t>
  </si>
  <si>
    <t xml:space="preserve">HQ (official corporate profile 2025-26); no general email shown; US subsidiary Shimadzu Scientific Instruments, Columbia, MD: +1 410-381-1222 / +1 800-477-1227.</t>
  </si>
  <si>
    <t xml:space="preserve">Agentek (1987) Ltd. (אגנטק) [מפיץ; Shimadzu analytical instruments - live Agentek representative page and product pages (i-Series LC-2070/LC-2080 HPLC, GCMS-TQ 8040 NX, TOC-L series; LCMS-9050/8065XE, Nexis GC-2060, ALTRACE XRF per prior round); +972 9-965-7000, Greenwork Yakum Business Park, Yakum 6097200]</t>
  </si>
  <si>
    <t xml:space="preserve">[אימות עדכניות 10/2026] Agentek's live site still has a dedicated Shimadzu representative page, lists Shimadzu on its vendors page and carries current Shimadzu product pages (i-Series LC, GCMS-TQ 8040 NX, TOC-L). A search restricted to shimadzu.com/shimadzu.eu did not expose the Israel entry of Shimadzu's distributor locator, so manufacturer-side confirmation and any separate partner for medical/X-ray or balances remain unverified. Searched 'Shimadzu' Israel distributor/representative/נציג/יבואן, then restricted to Israeli distributor domains and to shimadzu.com. Agentek's own site has a dedicated Shimadzu representative page, lists Shimadzu on its vendors page and carries current Shimadzu product pages (i-Series LC, LCMS-9050, Nexis GC-2060, ALTRACE XRF). Shimadzu's global contact-search page lists Israel among its Middle East &amp; Africa countries but the local partner's name was not visible in the snippets, so manufacturer-side confirmation and exclusivity (and any separate partner for medical/X-ray or balances) remain unverified; no Shimadzu Israeli subsidiary was found. Agentek's own vendors page (agentek.co.il/vendors) lists the brand among the manufacturers it represents in Israel (seen in a search excerpt; the manufacturer's own distributor page was not opened).</t>
  </si>
  <si>
    <t xml:space="preserve">Distributor's own brand page with current products; not confirmed on Shimadzu's site.</t>
  </si>
  <si>
    <t xml:space="preserve">https://agentek.co.il/representative/shimadzu/ ; https://agentek.co.il/vendors/ ; https://agentek.co.il/products/shimadzu-i-series/ ; https://www.shimadzu.com/med/contactsearch/index.html ; https://www.shimadzu.com/an/contact/index.html ; https://agentek.co.il/products/shimadzu-gcms-tq-8040-nx/ ; https://agentek.co.il/products/shimadzu-toc-l-series/ ; https://www.shimadzu.com/sites/shimadzu.com/files/ir/sk9v/bwsa7egx2qmcfltg.pdf ; https://filingreader.com/news-wire/tokyo/2026-05-12/shimadzu-net-sales-hit-record-5607bn-yen-as-dividend-rises</t>
  </si>
  <si>
    <t xml:space="preserve">Mettler-Toledo International</t>
  </si>
  <si>
    <t xml:space="preserve">Mettler Toledo, Rainin, Ohaus, Thornton, Safeline, Hi-Speed</t>
  </si>
  <si>
    <t xml:space="preserve">Columbus, Ohio (operational HQ Greifensee, Switzerland)</t>
  </si>
  <si>
    <t xml:space="preserve">Public (NYSE: MTD)</t>
  </si>
  <si>
    <t xml:space="preserve">https://www.mt.com</t>
  </si>
  <si>
    <t xml:space="preserve">Lab balances &amp; weighing</t>
  </si>
  <si>
    <t xml:space="preserve">Total global workforce approximately 18,100 as of Dec 31, 2025 per FY2025 10-K, consisting of ~16,600 employees plus ~1,500 temporary personnel (Europe ~6,200, Americas ~5,200, Asia/other ~6,700)</t>
  </si>
  <si>
    <t xml:space="preserve">USD 4.026 billion</t>
  </si>
  <si>
    <t xml:space="preserve">FY2025 reported sales per Q4 2025 results release of Feb 5, 2026 (+4% reported)</t>
  </si>
  <si>
    <t xml:space="preserve">XPR analytical &amp; micro balances — high-precision laboratory balances</t>
  </si>
  <si>
    <t xml:space="preserve">Rainin Pipet-Lite XLS / E4 XLS — manual and electronic pipettes</t>
  </si>
  <si>
    <t xml:space="preserve">Excellence Titrators &amp; SevenExcellence meters — titration and pH/ion analysis</t>
  </si>
  <si>
    <t xml:space="preserve">+1 614-438-4511</t>
  </si>
  <si>
    <t xml:space="preserve">1900 Polaris Parkway, Columbus, OH 43240, USA</t>
  </si>
  <si>
    <t xml:space="preserve">HQ (Columbus, OH; address also on GlobalData profile). Operational HQ: Im Langacher 44, CH-8606 Greifensee, Switzerland — +41 44 944 22 11 (2014 annual report) / +41 44 944 45 45 (American Pharmaceutical Review). Phone numbers come from a 2014 report and directories — verify. No general email shown.</t>
  </si>
  <si>
    <t xml:space="preserve">Agentek (1987) Ltd. (אגנטק) [מפיץ; 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 +972 9-965-7000, Greenwork Yakum Business Park, Yakum 6097200] | Modcon Systems Ltd. [מפיץ; process analytics (Ingold sensors/transmitters); Akko, +972 4 9553955; +972-4-9553955, Modcon House, M. Boronshtein St., South Akko Industrial Park, Akko 24222] | Dinco Ltd. [מפיץ; product inspection (Safeline X-ray etc.); Tirat Carmel, +972 4 813 15 15]</t>
  </si>
  <si>
    <t xml:space="preserve">[אימות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</si>
  <si>
    <t xml:space="preserve">Manufacturer's own Israel page plus the distributor's own site agree.</t>
  </si>
  <si>
    <t xml:space="preserve">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</si>
  <si>
    <t xml:space="preserve">Sartorius AG</t>
  </si>
  <si>
    <t xml:space="preserve">Sartorius Stedim Biotech, Sartorius Lab Instruments, Octet (ex-ForteBio), BIA Separations, Biological Industries</t>
  </si>
  <si>
    <t xml:space="preserve">Göttingen</t>
  </si>
  <si>
    <t xml:space="preserve">Public (FWB: SRT / SRT3)</t>
  </si>
  <si>
    <t xml:space="preserve">https://www.sartorius.com</t>
  </si>
  <si>
    <t xml:space="preserve">Bioprocess &amp; filtration</t>
  </si>
  <si>
    <t xml:space="preserve">14,042 employees as of Dec 31, 2025 per preliminary FY2025 results release (Feb 3, 2026); +514 vs end-2024</t>
  </si>
  <si>
    <t xml:space="preserve">EUR 3,538 million</t>
  </si>
  <si>
    <t xml:space="preserve">Group sales revenue FY2025 per preliminary results release of Feb 3, 2026 (+7.6% constant currency, +4.7% reported); underlying EBITDA margin 29.7%</t>
  </si>
  <si>
    <t xml:space="preserve">Octet BLI systems — label-free bio-layer interferometry analyzers</t>
  </si>
  <si>
    <t xml:space="preserve">Biostat STR — single-use stirred-tank bioreactors</t>
  </si>
  <si>
    <t xml:space="preserve">Cubis II balances — modular premium laboratory balances</t>
  </si>
  <si>
    <t xml:space="preserve">+972 4 996 0595</t>
  </si>
  <si>
    <t xml:space="preserve">Kibbutz Beit Haemek 2511500, Israel</t>
  </si>
  <si>
    <t xml:space="preserve">https://www.sartorius.com/en/contact-us/local-contact</t>
  </si>
  <si>
    <t xml:space="preserve">Israel office (Sartorius Israel, per third-party directory — fax +972 4 996 0043; not confirmed on sartorius.com, whose newsroom mentions an upgraded facility/new site for cell culture media production in Israel). HQ: Sartorius Campus, Otto-Brenner-Str. 20, 37079 Göttingen, Germany, +49 551 3080.</t>
  </si>
  <si>
    <t xml:space="preserve">Sartorius Israel Ltd. [חברה-בת; Sartorius' Israeli company at Kibbutz Beit Haemek 2511500 (ex-Biological Industries; cell-culture media production site opened 2021); local contact tel. +972-4-9960595, info.israel@sartorius.com per Sartorius' live local-contact page; +972 4-996-0595, Kibbutz Beit Haemek 2511500] | Labotal Scientific Equipment (לבוטל) [מפיץ; self-described exclusive Sartorius representative in Israel for weighing (Cubis II balances, isoCAL) and lab products incl. pipettes - live Labotal guide and product pages; +972 2-579-9222, Sales@labotal.co.il, Hashalom Rd., Abu Ghosh 9084500 (mail: Mevaseret Zion)]</t>
  </si>
  <si>
    <t xml:space="preserve">[אימות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</si>
  <si>
    <t xml:space="preserve">Israeli entity confirmed on manufacturer's contact and subsidiaries pages; Labotal's exclusivity for balances is self-reported.</t>
  </si>
  <si>
    <t xml:space="preserve">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t>
  </si>
  <si>
    <t xml:space="preserve">Revvity</t>
  </si>
  <si>
    <t xml:space="preserve">formerly PerkinElmer, Inc. (renamed May 2023); EUROIMMUN, BioLegend, Horizon Discovery, Nexcelom, Oxford Immunotec, Cisbio/HTRF, Dharmacon, Omni</t>
  </si>
  <si>
    <t xml:space="preserve">Public (NYSE: RVTY)</t>
  </si>
  <si>
    <t xml:space="preserve">https://www.revvity.com</t>
  </si>
  <si>
    <t xml:space="preserve">Approximately 11,000 employees as of Dec 28, 2025 per FY2025 10-K</t>
  </si>
  <si>
    <t xml:space="preserve">USD 2,856 million</t>
  </si>
  <si>
    <t xml:space="preserve">FY2025 revenue per Q4/FY2025 results release of Feb 2, 2026 (vs USD 2,755m in 2024)</t>
  </si>
  <si>
    <t xml:space="preserve">EnVision Nexus — multimode microplate reader for HTS</t>
  </si>
  <si>
    <t xml:space="preserve">Opera Phenix Plus — high-content screening / imaging system</t>
  </si>
  <si>
    <t xml:space="preserve">BioLegend antibodies &amp; reagents — research antibodies, immunoassays and proteins</t>
  </si>
  <si>
    <t xml:space="preserve">+1 781-663-6900</t>
  </si>
  <si>
    <t xml:space="preserve">940 Winter Street, Waltham, MA 02451, USA</t>
  </si>
  <si>
    <t xml:space="preserve">HQ (address from official 2024 corporate fact sheet); phone from a third-party directory (Prospeo) — other directories list +1 781-462-5126 and +1 781-663-5791; no general email shown.</t>
  </si>
  <si>
    <t xml:space="preserve">Gamidor Diagnostics (גאמידור בע"מ) [מפיץ; reproductive health / prenatal aneuploidy screening (1st &amp; 2nd trimester, PlGF pre-eclampsia) and neonatal screening - Gamidor's live genetics page says it has represented Revvity (ex-PerkinElmer/Wallac) in prenatal screening since 1984; +972-3-927-7277, info@gamidor.co.il, Shaham 32, Petach Tikva] | Enco (אנקו) [מפיץ; Revvity research/screening reagents and consumables (OptiPlate microplates, AlphaLISA/uLight, AequoZen cells, IVISbrite luciferin) in Enco's live catalogue, plus a Revvity cell-counter news item; +972-3-934-9922, orders@enco.co.il, 17 Mivtza Kadesh St, P.O.B. 8009, Petach Tikva 4918001]</t>
  </si>
  <si>
    <t xml:space="preserve">[אימות עדכניות 10/2026] Gamidor's live genetics page (represents Revvity in prenatal screening since 1984; neonatal screening for the national lab) and Enco's live catalogue/news pages (Revvity reagents, plates and automatic cell counting) re-confirm both channels. No Revvity Israeli subsidiary was found in earlier rounds and nothing new contradicts that. Searched Revvity Israel distributor/נציג/יבואן, Israeli distributor domains (Revvity OR PerkinElmer), revvity.com and a 'Revvity Israel' entity search. No Revvity Israeli subsidiary or office was found: revvity.com's office/distributor listing and the 2023 SEC Exhibit 21 subsidiary list show no Israel entity, and the 2013 'PerkinElmer establishes direct operations in Israel' release (now on ir.revvity.com) refers to the Ra'anana office that today is listed by PerkinElmer (the analytical company), not Revvity. Gamidor's own site says it represents Revvity for prenatal screening and Enco's catalogue sells Revvity plates/reagents; no Israeli partner was found for Revvity life-science instruments (EnVision, Opera Phenix) or for newborn-screening instruments, which may be sold directly from abroad or via an unidentified channel. Enco's suppliers page lists Revvity and its catalogue carries Revvity screening reagents.</t>
  </si>
  <si>
    <t xml:space="preserve">Distributor-site evidence for diagnostics reagents and consumables; coverage of instruments and newborn screening unverified; no manufacturer-side confirmation.</t>
  </si>
  <si>
    <t xml:space="preserve">https://gamidor.co.il/en/genetics/ ; https://www.enco.co.il/screening_reagents/optiplate384_f_hb200b/6005529/ ; https://www.revvity.com/office-locations-and-authorized-distributors ; https://www.revvity.com/contact-us/contact-distributor ; https://ir.revvity.com/news/investor-news/news-details/2013/PerkinElmer-Establishes-Direct-Operations-in-Israel-08-01-2013/default.aspx ; https://www.sec.gov/Archives/edgar/data/31791/000003179124000004/a2023exhibit21.htm ; https://s202.q4cdn.com/908952201/files/doc_downloads/2025/2025-Corporate-Fact-Sheet_March-2025.pdf ; https://www.enco.co.il/suppliers.php ; https://www.enco.co.il/news/revvity_automatic_cell_counting_because_every_cell_counts/ ; https://www.enco.co.il/screening_reagents/sa_optiplate384_b128_janssenp_disc/cusg82832/ ; https://ir.revvity.com/news/investor-news/news-details/2026/Revvity-Announces-Financial-Results-for-the-Fourth-Quarter-and-Full-Year-of-2025/default.aspx ; https://www.sec.gov/Archives/edgar/data/31791/000003179126000012/revv-20251228.htm</t>
  </si>
  <si>
    <t xml:space="preserve">PerkinElmer (New Mountain Capital)</t>
  </si>
  <si>
    <t xml:space="preserve">PerkinElmer analytical, enterprise &amp; food businesses carved out of the former PerkinElmer (now Revvity) in 2023; NexION, Avio, Spectrum, Lambda, Pyris, OneSource</t>
  </si>
  <si>
    <t xml:space="preserve">Shelton, Connecticut</t>
  </si>
  <si>
    <t xml:space="preserve">New Mountain Capital</t>
  </si>
  <si>
    <t xml:space="preserve">Private equity (New Mountain Capital, since March 2023)</t>
  </si>
  <si>
    <t xml:space="preserve">https://www.perkinelmer.com</t>
  </si>
  <si>
    <t xml:space="preserve">STALE: ~6,000 employees was the headcount of the Applied, Food &amp; Enterprise Services business at the time of the Aug-2022 carve-out to New Mountain Capital (PerkinElmer press release, reported by GenomeWeb/360Dx). No 2024/2025 headcount or revenue found from an official or reputable source in this round; sale consideration was USD 2.45 billion (USD 2.30 billion at closing, Mar-2023). Headcount is the ~6,000 cited at the Aug-2022 carve-out from PerkinElmer (stale); no newer official figure.</t>
  </si>
  <si>
    <t xml:space="preserve">USD 1.3 billion (estimate)</t>
  </si>
  <si>
    <t xml:space="preserve">FY2022 (at carve-out)</t>
  </si>
  <si>
    <t xml:space="preserve">estimate</t>
  </si>
  <si>
    <t xml:space="preserve">No 2024/2025 revenue figure found from an official or reputable source; aggregator figures ignored.</t>
  </si>
  <si>
    <t xml:space="preserve">mixed</t>
  </si>
  <si>
    <t xml:space="preserve">NexION ICP-MS — inductively coupled plasma mass spectrometers</t>
  </si>
  <si>
    <t xml:space="preserve">Avio ICP-OES — ICP optical emission spectrometers for elemental analysis</t>
  </si>
  <si>
    <t xml:space="preserve">Spectrum 3 / Lambda / Pyris — FT-IR, UV-Vis and thermal analysis instruments</t>
  </si>
  <si>
    <t xml:space="preserve">1700-500-512 (Israel domestic number)</t>
  </si>
  <si>
    <t xml:space="preserve">cc.israel@perkinelmer.com</t>
  </si>
  <si>
    <t xml:space="preserve">Israel office (PerkinElmer Israel Ltd.; 'headquartered near Tel Aviv', no street address shown); fax 1700-555-915; details from a 2013 press release and a 2017-18 catalog — dated; the life-sciences business became Revvity in 2023, so verify which entity this contact now belongs to.</t>
  </si>
  <si>
    <t xml:space="preserve">PerkinElmer Israel Ltd. [חברה-בת; direct sales, service and support for analytical instruments and OneSource lab services; HaSheizaf St 4, Ra'anana 4366411, +972 3655 8777 - live perkinelmer.com office-location pages; 1-700-500-512, cc.israel@perkinelmer.com, 4 HaSheizaf St., Ra'anana] | ISI Israel Scientific Instruments Ltd. [מפיץ; food testing / food quality products, as listed on PerkinElmer's site; Shacham St 32, Petach Tikva, +972 3-9232202 (site given as isil.co.il); +972-3-9232202, info@isil.co.il, 32 Shacham St., P.O. Box 7790, Petah Tikva 49170]</t>
  </si>
  <si>
    <t xml:space="preserve">[אימות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</si>
  <si>
    <t xml:space="preserve">Manufacturer's own office-locations page names the Israeli subsidiary and partner; no recent independent confirmation.</t>
  </si>
  <si>
    <t xml:space="preserve">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</si>
  <si>
    <t xml:space="preserve">Bio-Rad Laboratories</t>
  </si>
  <si>
    <t xml:space="preserve">Bio-Rad; DiaMed (immunohematology)</t>
  </si>
  <si>
    <t xml:space="preserve">Hercules, California</t>
  </si>
  <si>
    <t xml:space="preserve">Public (NYSE: BIO)</t>
  </si>
  <si>
    <t xml:space="preserve">https://www.bio-rad.com</t>
  </si>
  <si>
    <t xml:space="preserve">Third-party aggregator figure (company profiles citing FY2025 data); the FY2025 10-K could not be opened in this session (fetch tool failure) and aggregators range from ~7,450 to ~8,300. Treat as approximate.</t>
  </si>
  <si>
    <t xml:space="preserve">USD 2.58 billion</t>
  </si>
  <si>
    <t xml:space="preserve">EDGAR-derived aggregator figure (edgar.tools: USD 2.58B for FY ending 2025-12-31); another summary says USD 2.55B. 10-K itself not opened. Two segments: Life Science and Clinical Diagnostics.</t>
  </si>
  <si>
    <t xml:space="preserve">QX600 Droplet Digital PCR — ddPCR absolute nucleic-acid quantification system</t>
  </si>
  <si>
    <t xml:space="preserve">CFX Opus Real-Time PCR — qPCR detection systems</t>
  </si>
  <si>
    <t xml:space="preserve">ChemiDoc MP — gel and western-blot imaging system</t>
  </si>
  <si>
    <t xml:space="preserve">Hahoma Street 14, Rishon LeZion, Israel</t>
  </si>
  <si>
    <t xml:space="preserve">https://www.bio-rad.com/en-il/contact-us</t>
  </si>
  <si>
    <t xml:space="preserve">Israel office (Bio-Rad Laboratories Ltd., Rishon LeZion 75655 per Bio-Rad careers page; street address from third-party directories, unverified); Haifa R&amp;D site (Bio-Rad Haifa, ex-ProteOptics) at Netiv HaOr; no phone/email shown — the official Israel contact page should have them.</t>
  </si>
  <si>
    <t xml:space="preserve">Bio-Rad Israel Ltd. (Bio-Rad Laboratories (Rishon)) (ביו-ראד ישראל) [חברה-בת; direct sales &amp; service of life-science and clinical-diagnostics products (Rishon LeZion; branch since 1991); Netiv HaOr, Haifa] | Bio-Rad Haifa Ltd. (ביו-ראד חיפה) [חברה-בת; 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 Netiv HaOr, Haifa]</t>
  </si>
  <si>
    <t xml:space="preserve">[אימות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</si>
  <si>
    <t xml:space="preserve">Israeli subsidiary is well supported (own careers site + SEC subsidiary exhibit). Size figures come from aggregators, not the 10-K itself, because page fetching failed in this session.</t>
  </si>
  <si>
    <t xml:space="preserve">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</si>
  <si>
    <t xml:space="preserve">Avantor (incl. VWR)</t>
  </si>
  <si>
    <t xml:space="preserve">VWR; J.T.Baker; Macron Fine Chemicals; NuSil; Masterflex</t>
  </si>
  <si>
    <t xml:space="preserve">Radnor, Pennsylvania</t>
  </si>
  <si>
    <t xml:space="preserve">Public (NYSE: AVTR)</t>
  </si>
  <si>
    <t xml:space="preserve">https://www.avantorsciences.com</t>
  </si>
  <si>
    <t xml:space="preserve">Lab distribution &amp; own-brand products</t>
  </si>
  <si>
    <t xml:space="preserve">Figure shown consistently by PitchBook, Tracenable and Motley Fool (likely from the FY2025 10-K human-capital section); Revelio Labs shows ~14,600. The 10-K (sec.gov avtr-20251231.htm) could not be opened (fetch failure).</t>
  </si>
  <si>
    <t xml:space="preserve">USD 6.55 billion</t>
  </si>
  <si>
    <t xml:space="preserve">Company Q4/FY2025 press release: net sales USD 6.55B, down 3% (organic -3%); net loss USD 530M. EDGAR-derived figure 6,552 (USD millions) vs 6,784 in FY2024.</t>
  </si>
  <si>
    <t xml:space="preserve">VWR-brand consumables and lab supplies — lab products sold through the VWR distribution channel</t>
  </si>
  <si>
    <t xml:space="preserve">J.T.Baker chemicals — high-purity lab chemicals and solvents</t>
  </si>
  <si>
    <t xml:space="preserve">NuSil silicones — medical- and implant-grade silicone materials</t>
  </si>
  <si>
    <t xml:space="preserve">+1 610 386 1700</t>
  </si>
  <si>
    <t xml:space="preserve">One Radnor Corporate Center, Building One, Suite 200, 100 Matsonford Road, Radnor, PA 19087, USA</t>
  </si>
  <si>
    <t xml:space="preserve">https://corporate.avantorsciences.com/us/en/contact</t>
  </si>
  <si>
    <t xml:space="preserve">HQ (official contact page); customer support toll-free +1 855 282 6867 (US) / +1 610 573 2600 (outside US); support emails redacted in results; North American office 600 Hamilton Street, 8th Floor, Allentown, PA 18101.</t>
  </si>
  <si>
    <t xml:space="preserve">none_found</t>
  </si>
  <si>
    <t xml:space="preserve">לא נמצא ייצוג</t>
  </si>
  <si>
    <t xml:space="preserve">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</si>
  <si>
    <t xml:space="preserve">low</t>
  </si>
  <si>
    <t xml:space="preserve">Absence of evidence only; no source names an Israeli VWR/Avantor subsidiary or distributor.</t>
  </si>
  <si>
    <t xml:space="preserve">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</si>
  <si>
    <t xml:space="preserve">Eppendorf SE</t>
  </si>
  <si>
    <t xml:space="preserve">Eppendorf AG (until 2021); New Brunswick (brand)</t>
  </si>
  <si>
    <t xml:space="preserve">Hamburg</t>
  </si>
  <si>
    <t xml:space="preserve">Private (family-owned)</t>
  </si>
  <si>
    <t xml:space="preserve">https://www.eppendorf.com</t>
  </si>
  <si>
    <t xml:space="preserve">Liquid handling &amp; lab automation</t>
  </si>
  <si>
    <t xml:space="preserve">Annual average full-time equivalents 2025 per Eppendorf Group Annual Report 2025 key-figures table (2024: 4,658 FTE).</t>
  </si>
  <si>
    <t xml:space="preserve">EUR 924 million</t>
  </si>
  <si>
    <t xml:space="preserve">Eppendorf Group consolidated revenue EUR 924.0M in FY2025 (prior year EUR 980M, -5.7%); EBIT EUR 95.6M. Converted at EUR 1.10.</t>
  </si>
  <si>
    <t xml:space="preserve">Eppendorf Research plus — manual mechanical pipettes</t>
  </si>
  <si>
    <t xml:space="preserve">Centrifuge 5430 / 5910 Ri — benchtop refrigerated centrifuges</t>
  </si>
  <si>
    <t xml:space="preserve">epMotion — automated liquid-handling workstations</t>
  </si>
  <si>
    <t xml:space="preserve">+49 40 53801-0</t>
  </si>
  <si>
    <t xml:space="preserve">eppendorf@eppendorf.de</t>
  </si>
  <si>
    <t xml:space="preserve">Barkhausenweg 1, 22339 Hamburg, Germany</t>
  </si>
  <si>
    <t xml:space="preserve">HQ (official imprint); fax +49 40 53801-556; US: Eppendorf North America +1 800-645-3050.</t>
  </si>
  <si>
    <t xml:space="preserve">Lumitron Ltd. (Comtel Technologies &amp; Engineering group) (לומיטרון) [מפיץ; Eppendorf importer/distributor - live Lumitron product pages for Eppendorf centrifuges (5910 Ri, MiniSpin), pipettes (Multipette M4), bioreactors (BioFlo 120, BioBLU), shakers/incubators (CellXpert CS220, Innova S44i), Eporator and micromanipulators; +972 52-525-6287, 17 Hamiflasim St., Petah Tikva]</t>
  </si>
  <si>
    <t xml:space="preserve">[אימות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</si>
  <si>
    <t xml:space="preserve">Size figures are official (Annual Report 2025). The Israeli distributor attribution rests on a single Hebrew LinkedIn post and was not confirmed on Eppendorf's or Lumitron's own site.</t>
  </si>
  <si>
    <t xml:space="preserve">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t>
  </si>
  <si>
    <t xml:space="preserve">QIAGEN</t>
  </si>
  <si>
    <t xml:space="preserve">QIAGEN; QIAstat-Dx; QuantiFERON; Genoox</t>
  </si>
  <si>
    <t xml:space="preserve">Venlo (statutory seat); operational HQ Hilden, Germany</t>
  </si>
  <si>
    <t xml:space="preserve">Netherlands</t>
  </si>
  <si>
    <t xml:space="preserve">Public (NYSE: QGEN; Frankfurt: QIA)</t>
  </si>
  <si>
    <t xml:space="preserve">https://www.qiagen.com</t>
  </si>
  <si>
    <t xml:space="preserve">QIAGEN FY2025 Form 20-F: 5,654 employees as of 31 Dec 2025 (Annual Report 2025 key figures round this to ~5,700).</t>
  </si>
  <si>
    <t xml:space="preserve">USD 2,090.0 million</t>
  </si>
  <si>
    <t xml:space="preserve">QIAGEN Q4/FY2025 results (4 Feb 2026) and 20-F: net sales $2,090.0m (+6% actual rates, +5% CER; 2024: $1,978.2m) - confirms existing figure. Correction: Bracketed employee count of 6,000 is overstated; the FY2025 20-F reports 5,654 employees at 31 Dec 2025.</t>
  </si>
  <si>
    <t xml:space="preserve">QIAcube Connect — automated nucleic-acid extraction instrument</t>
  </si>
  <si>
    <t xml:space="preserve">QIAstat-Dx — syndromic molecular diagnostic panel system</t>
  </si>
  <si>
    <t xml:space="preserve">QuantiFERON-TB Gold Plus — interferon-gamma TB blood test</t>
  </si>
  <si>
    <t xml:space="preserve">+49 2103 29 12000</t>
  </si>
  <si>
    <t xml:space="preserve">QIAGEN Str. 1, 40724 Hilden, Germany (operational HQ)</t>
  </si>
  <si>
    <t xml:space="preserve">https://qiagen.com/ch/knowledge-and-support/contact-customer-support</t>
  </si>
  <si>
    <t xml:space="preserve">HQ — statutory seat Hulsterweg 82, 5912 PL Venlo, Netherlands (Private Equity International profile); phone shown is Hilden customer care, technical service +49 2103 29 12400; investor relations ir@qiagen.com, +49 2103 29 11711 / +1 240 686 2222; US (Germantown, MD) customer care +1 800-426-8157; contact URL shown is the Swiss version of QIAGEN's customer-support contact page.</t>
  </si>
  <si>
    <t xml:space="preserve">Ilex Medical Ltd. [מפיץ; 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 +972-3-9385500, 7 HaTnufa St., Petah Tikva] | Eldan Electronic Instruments (Neopharm group) [מפיץ; listed QIAGEN among the manufacturers it represents in Israel (life-science research) on a 2014 page and showed QIAGEN products at ISM/IIS meetings in 2015-2016; current status unconfirmed; +972-3-937-1111, info@eldan.biz, 6 Hashiloach Street, P.O. Box 7641, Petach Tikva 49170] | Lifegene Ltd. (לייפג'ין) [מפיץ; https://www.lifegene.co.il; +972 8-644-4314, info@lifegene.co.il, 4 Ha'maayan St., Modi'in 7171101 (directory lists Modi'in; other sources say Mevo Horon – verify)]</t>
  </si>
  <si>
    <t xml:space="preserve">[אימות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</si>
  <si>
    <t xml:space="preserve">Distributor-site evidence (Ilex current, Eldan stale); no confirmation on QIAGEN's site and the research-vs-clinical split between distributors is unverified.</t>
  </si>
  <si>
    <t xml:space="preserve">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t>
  </si>
  <si>
    <t xml:space="preserve">Illumina</t>
  </si>
  <si>
    <t xml:space="preserve">Solexa (legacy); Emedgene (Israeli subsidiary)</t>
  </si>
  <si>
    <t xml:space="preserve">San Diego, California</t>
  </si>
  <si>
    <t xml:space="preserve">Public (NASDAQ: ILMN)</t>
  </si>
  <si>
    <t xml:space="preserve">https://www.illumina.com</t>
  </si>
  <si>
    <t xml:space="preserve">Genomics / sequencing</t>
  </si>
  <si>
    <t xml:space="preserve">FY2025 10-K: ~8,600 full-time employees as of 28 Dec 2025 (plus ~50 part-time and ~1,430 contingent workers); 8,970 a year earlier. Regional split: ~4,740 Americas, ~1,280 Europe, ~2,350 AMEA, ~290 Greater China.</t>
  </si>
  <si>
    <t xml:space="preserve">USD 4.34 billion</t>
  </si>
  <si>
    <t xml:space="preserve">Third-party summary of the FY2025 10-K: revenue USD 4,343M, down 1% from USD 4,372M in FY2024 (~74% consumables, 11% instruments, 15% services). Income-statement page of the 10-K not opened directly.</t>
  </si>
  <si>
    <t xml:space="preserve">NovaSeq X Series — high-throughput production-scale sequencers</t>
  </si>
  <si>
    <t xml:space="preserve">NextSeq 1000/2000 — mid-throughput benchtop sequencers</t>
  </si>
  <si>
    <t xml:space="preserve">MiSeq i100 — compact benchtop sequencer</t>
  </si>
  <si>
    <t xml:space="preserve">Yigal Alon St 114, Tel Aviv-Yafo, Israel</t>
  </si>
  <si>
    <t xml:space="preserve">Israel office (address from third-party aggregators, unverified; Illumina set up an AI genome-analysis Excellence Center in Israel in 2022); no phone/email shown; illumina.com locations page lists no Israel office.</t>
  </si>
  <si>
    <t xml:space="preserve">Danyel Biotech Ltd. (Gamida for Life group) (דניאל ביוטק) [מפיץ; Illumina's authorized distributor for Israel and the Palestinian Territories - sequencing platforms, BeadArray microarrays, DRAGEN/Connected Analytics; 8 Hamada St., Science Park, Rehovot, +972 8 936 6066, danyel@danyel.co.il per Illumina's live distributor page; Danyel's own live Illumina brand page; 1-800-711-911 (also +972 8-936-6066), 8 Hamada St., Science Park, Rehovot 7670308] | Illumina Israel (ex-Emedgene, Tel Aviv) (אילומינה ישראל) [חברה-בת; R&amp;D / AI centre of excellence (Toha Tower 1, 114 Yigal Alon St., Tel Aviv) listed under manufacturing/R&amp;D on Illumina's locations page; not a sales channel; Yigal Alon St. 114, Tel Aviv-Yafo]</t>
  </si>
  <si>
    <t xml:space="preserve">[אימות עדכניות 10/2026] Illumina's own live 'Find an Illumina Distributor' page lists Danyel Biotech Ltd., Rehovot, for Israel and the Palestinian Territories with address, phone and e-mail, and Danyel's live site has an Illumina brand page - the 2020 press-release evidence is superseded. Illumina's locations page lists the Illumina Israel Excellence Center in Tel Aviv (manufacturing/R&amp;D), confirming the own R&amp;D entity. 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</si>
  <si>
    <t xml:space="preserve">Headcount is from the FY2025 10-K; revenue from a 10-K summary. Danyel distributorship rests on a 2020 third-party press release and was not re-confirmed on either company's site.</t>
  </si>
  <si>
    <t xml:space="preserve">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 ; https://www.illumina.com/company/doing-business-with-illumina/channel-partners/find-distributors.html ; https://www.danyel.co.il/illumina-inc/ ; https://emea.illumina.com/company/contact-us/locations.html ; https://emea.illumina.com/company/news-center/feature-articles/the-weizmann-institute-uses-novaseq-to-drive-single-cell-researc.html</t>
  </si>
  <si>
    <t xml:space="preserve">Beckman Coulter (Danaher)</t>
  </si>
  <si>
    <t xml:space="preserve">Beckman Coulter Life Sciences; Beckman Coulter Diagnostics; Beckman Instruments; Coulter Corporation</t>
  </si>
  <si>
    <t xml:space="preserve">Brea, California (Diagnostics); Indianapolis, Indiana (Life Sciences)</t>
  </si>
  <si>
    <t xml:space="preserve">Danaher Corporation</t>
  </si>
  <si>
    <t xml:space="preserve">Subsidiary of Danaher Corporation (public, NYSE: DHR)</t>
  </si>
  <si>
    <t xml:space="preserve">https://www.beckmancoulter.com</t>
  </si>
  <si>
    <t xml:space="preserve">Clinical / IVD laboratory analyzers</t>
  </si>
  <si>
    <t xml:space="preserve">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</si>
  <si>
    <t xml:space="preserve">USD ~9.9 billion (Danaher Diagnostics segment, FY2025)</t>
  </si>
  <si>
    <t xml:space="preserve">Danaher's Diagnostics segment (Beckman Coulter Dx, Cepheid, Leica Biosystems, Radiometer); Beckman Coulter Life Sciences sits in the Life Sciences segment (~USD 7.3B). Beckman alone is not disclosed.</t>
  </si>
  <si>
    <t xml:space="preserve">DxH 900 — hematology analyzer (Diagnostics)</t>
  </si>
  <si>
    <t xml:space="preserve">DxI 9000 Access — immunoassay analyzer (Diagnostics)</t>
  </si>
  <si>
    <t xml:space="preserve">CytoFLEX — benchtop flow cytometers (Life Sciences)</t>
  </si>
  <si>
    <t xml:space="preserve">+1 714-993-5321</t>
  </si>
  <si>
    <t xml:space="preserve">250 South Kraemer Boulevard, Brea, CA 92821-6232, USA</t>
  </si>
  <si>
    <t xml:space="preserve">HQ (Diagnostics division HQ, Brea; fax +1 800-232-3828); Life Sciences HQ 5350 Lakeview Pkwy S Drive, Indianapolis, IN; US product/service +1 800-526-3821, technical support +1 800-854-3633; no general email shown (mkt@beckman.com listed for Brazil only).</t>
  </si>
  <si>
    <t xml:space="preserve">Rhenium Ltd. (רניום) [מפיץ; Beckman Coulter Life Sciences distributor for Israel - 20 Hasatat St., P.O.B. 180, Modi'in 7171101, +972 8 955 8888, per Beckman Coulter Life Sciences' live Israel contact page; +972 8-955-8888, 20 Hasatat St., P.O. Box 180, Modi'in 7171101] | Beckman Coulter (Israel) Ltd. [חברה-בת; Beckman Coulter Diagnostics legal entity in Israel (2 Pekeris St., Park Tamar, Rehovot) listed under the BEC Diagnostics reporting group in Beckman Coulter's EU data-controller list; commercial role (direct diagnostics sales/service) not established]</t>
  </si>
  <si>
    <t xml:space="preserve">[אימות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</si>
  <si>
    <t xml:space="preserve">Life Sciences distributor comes from Beckman's official contact page (high). Diagnostics channel unknown; size data are parent-level secondary figures.</t>
  </si>
  <si>
    <t xml:space="preserve">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t>
  </si>
  <si>
    <t xml:space="preserve">Cytiva (Danaher)</t>
  </si>
  <si>
    <t xml:space="preserve">GE Healthcare Life Sciences (former); Amersham; Whatman; HyClone; Pall life sciences (merged 2023)</t>
  </si>
  <si>
    <t xml:space="preserve">Marlborough, Massachusetts</t>
  </si>
  <si>
    <t xml:space="preserve">https://www.cytivalifesciences.com</t>
  </si>
  <si>
    <t xml:space="preserve">Cytiva states 16,000+ associates after absorbing Pall's life-science business (2023). Figures recalled from company statements / filings and not re-verified online in this session.</t>
  </si>
  <si>
    <t xml:space="preserve">USD 7.3 billion (Danaher Biotechnology segment)</t>
  </si>
  <si>
    <t xml:space="preserve">Danaher Biotechnology segment (Cytiva incl. Pall life sciences) ~USD 7.3B FY2025; Cytiva alone not disclosed.</t>
  </si>
  <si>
    <t xml:space="preserve">AKTA — protein purification chromatography systems</t>
  </si>
  <si>
    <t xml:space="preserve">MabSelect / Capto resins — chromatography resins for biologics manufacturing</t>
  </si>
  <si>
    <t xml:space="preserve">Biacore — surface plasmon resonance interaction analysis</t>
  </si>
  <si>
    <t xml:space="preserve">+1 800-526-3593</t>
  </si>
  <si>
    <t xml:space="preserve">100 Results Way, Marlborough, MA, USA</t>
  </si>
  <si>
    <t xml:space="preserve">HQ (trade-show exhibitor listing; ZIP shown inconsistently as 08855-1327 in results); one directory lists 800 Centennial Ave Bldg 5-4, Piscataway, NJ 08854 and +1 866-321-7186; no general email shown.</t>
  </si>
  <si>
    <t xml:space="preserve">Danyel Biotech [מפיץ; Cytiva chromatography (ÄKTA) and Biacore - live 'Biacore (Cytiva)' brand page on Danyel's site; other Cytiva lines (Whatman, Amersham, Pall) not confirmed; 1-800-711-911 (also +972 8-936-6066), 8 Hamada St., Science Park, Rehovot 7670308] | Lifegene Ltd. (לייפג'ין) [מפיץ; Whatman filtration products (a Cytiva brand) sold through the Lifegene catalogue; +972 8-644-4314, info@lifegene.co.il, 4 Ha'maayan St., Modi'in 7171101 (directory lists Modi'in; other sources say Mevo Horon – verify)]</t>
  </si>
  <si>
    <t xml:space="preserve">[אימות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</si>
  <si>
    <t xml:space="preserve">Distributor evidence is the distributor's own brand page; manufacturer-side naming of the Israeli partner was not visible and the scope across Cytiva's many brands is unclear.</t>
  </si>
  <si>
    <t xml:space="preserve">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t>
  </si>
  <si>
    <t xml:space="preserve">Leica Microsystems (Danaher)</t>
  </si>
  <si>
    <t xml:space="preserve">Leica Microsystems GmbH; Leitz (heritage)</t>
  </si>
  <si>
    <t xml:space="preserve">Wetzlar</t>
  </si>
  <si>
    <t xml:space="preserve">https://www.leica-microsystems.com</t>
  </si>
  <si>
    <t xml:space="preserve">Light microscopy &amp; imaging</t>
  </si>
  <si>
    <t xml:space="preserve">Approximate Leica Microsystems headcount (company statements cite several thousand employees); parent Danaher ~60,000. Figures recalled from company statements / filings and not re-verified online in this session.</t>
  </si>
  <si>
    <t xml:space="preserve">USD 7.3 billion (Danaher Life Sciences segment)</t>
  </si>
  <si>
    <t xml:space="preserve">Danaher Life Sciences segment ~USD 7.3B FY2025 (Leica Microsystems, SCIEX, Molecular Devices, Beckman LS, Abcam, IDT, Aldevron…); Leica alone not disclosed.</t>
  </si>
  <si>
    <t xml:space="preserve">STELLARIS — confocal microscopy platform</t>
  </si>
  <si>
    <t xml:space="preserve">Mica — automated widefield/confocal imaging microhub</t>
  </si>
  <si>
    <t xml:space="preserve">THUNDER Imagers — computational-clearing widefield imaging systems</t>
  </si>
  <si>
    <t xml:space="preserve">+49 6441 29-0</t>
  </si>
  <si>
    <t xml:space="preserve">Ernst-Leitz-Strasse 17-37, 35578 Wetzlar, Germany</t>
  </si>
  <si>
    <t xml:space="preserve">HQ (official imprint; fax +49 6441 29-2599); no general email shown — a Spectaris member listing gives corporate.communications@leica-microsystems.com (+49 6441 29 2201 / 2630).</t>
  </si>
  <si>
    <t xml:space="preserve">Lapidot Group (Ophthalmic Surgery Unit) [מפיץ; Leica surgical microscopes (ophthalmology, neurosurgery, ENT, plastic surgery; floor- and ceiling-mounted) - Leica Microsystems medical division; live Lapidot partners and eye-surgery pages; +972-4-6309630 / +972-74-7797836, customerservice@lapidot.com, 8 Hashita St., P.O. Box 3552, Caesarea Industrial Park 3088900] | Rhenium Ltd. [מפיץ; research microscopes — per a 2009 Israel Physical Society trade-fair listing only (exclusive representative then); NOT re-confirmed in 2026; +972 8-955-8888, 20 Hasatat St., P.O. Box 180, Modi'in 7171101]</t>
  </si>
  <si>
    <t xml:space="preserve">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</si>
  <si>
    <t xml:space="preserve">Surgical-microscope channel verified on the distributor's own site; research-microscope channel rests on a 2009 listing and could not be re-verified.</t>
  </si>
  <si>
    <t xml:space="preserve">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t>
  </si>
  <si>
    <t xml:space="preserve">SCIEX (Danaher)</t>
  </si>
  <si>
    <t xml:space="preserve">AB SCIEX; Applied Biosystems/MDS Sciex</t>
  </si>
  <si>
    <t xml:space="preserve">Framingham, Massachusetts</t>
  </si>
  <si>
    <t xml:space="preserve">https://sciex.com</t>
  </si>
  <si>
    <t xml:space="preserve">Approximate SCIEX headcount (~2,000); parent Danaher ~60,000. Figures recalled from company statements / filings and not re-verified online in this session.</t>
  </si>
  <si>
    <t xml:space="preserve">Danaher Life Sciences segment ~USD 7.3B FY2025; SCIEX alone not disclosed.</t>
  </si>
  <si>
    <t xml:space="preserve">ZenoTOF 7600+ — QTOF LC-MS/MS mass spectrometer</t>
  </si>
  <si>
    <t xml:space="preserve">SCIEX 7500+ (Triple Quad) — triple-quadrupole LC-MS/MS system</t>
  </si>
  <si>
    <t xml:space="preserve">Echo MS+ — acoustic-ejection mass spectrometry system</t>
  </si>
  <si>
    <t xml:space="preserve">+1 877-740-2129</t>
  </si>
  <si>
    <t xml:space="preserve">sciexnow@sciex.com</t>
  </si>
  <si>
    <t xml:space="preserve">250 Forest Street, Marlborough, MA 01752, USA</t>
  </si>
  <si>
    <t xml:space="preserve">https://sciex.com/contact-us</t>
  </si>
  <si>
    <t xml:space="preserve">HQ (legal entity AB Sciex LLC; official contact page) — the Framingham address in the targets file (500 Old Connecticut Path) now appears under Americas sales/service; phone is from third-party directories (unverified; the official page's listed +48 22 885 64 80 appears to be a regional line); support requests via sciex.com/request-support.</t>
  </si>
  <si>
    <t xml:space="preserve">Rhenium Group (רניום) [מפיץ; SCIEX mass spectrometry - Israeli distributor since 1 April 2025 (took over from Agentek) per Rhenium's site and LinkedIn posts; not re-searched this round; +972 8-955-8888, 20 Hasatat St., P.O. Box 180, Modi'in 7171101]</t>
  </si>
  <si>
    <t xml:space="preserve">חיפוש רשת בלבד; דפי ״מפיצים״ של היצרן ואתרי המפיצים לא נפתחו (חסימת רשת). [אימות עדכניות 10/2026] One search restricted to sciex.com returned only SCIEX's generic partner-portal/distributor pages, which do not name country partners, so manufacturer-side confirmation is still missing. The Rhenium relationship rests on the April-2025 announcement (Rhenium site + LinkedIn), which is within the 2025-26 window; rhenium.co.il was not re-searched for SCIEX in this round because the search budget was exhausted. Rhenium announced it became SCIEX's Israeli distributor effective 1 April 2025 (Rhenium site + LinkedIn posts); Agentek (1987) Ltd. was the previous distributor. Not confirmed on sciex.com (page could not be opened).</t>
  </si>
  <si>
    <t xml:space="preserve">Distributor change is well described by the new distributor (Rhenium) and a SCIEX-visit post, but not confirmed on sciex.com; size data are parent/segment secondary figures.</t>
  </si>
  <si>
    <t xml:space="preserve">https://il.linkedin.com/in/niv-yardeny ; https://agentek.co.il/about-us/ ; https://bitscale.ai/directory/sciex ; https://www.sec.gov/Archives/edgar/data/313616/000031361626000062/dhr-20251231.htm ; https://hudson-labs.com/research/danaher-corporation-dhr-equity-initiation-report ; https://tickerleague.com/companies/DHR/employee-count ; https://sciex.com/support/partner-portal/distributor ; https://sciex.com/support/partner-portal</t>
  </si>
  <si>
    <t xml:space="preserve">Molecular Devices (Danaher)</t>
  </si>
  <si>
    <t xml:space="preserve">Molecular Devices, LLC; Axon Instruments (patch clamp)</t>
  </si>
  <si>
    <t xml:space="preserve">San Jose, California</t>
  </si>
  <si>
    <t xml:space="preserve">https://www.moleculardevices.com</t>
  </si>
  <si>
    <t xml:space="preserve">Microplate readers &amp; detection</t>
  </si>
  <si>
    <t xml:space="preserve">Approximate Molecular Devices headcount (~1,000); parent Danaher ~60,000. Figures recalled from company statements / filings and not re-verified online in this session.</t>
  </si>
  <si>
    <t xml:space="preserve">Danaher Life Sciences segment ~USD 7.3B FY2025; Molecular Devices alone not disclosed.</t>
  </si>
  <si>
    <t xml:space="preserve">SpectraMax iD5 / i3x — multi-mode microplate readers</t>
  </si>
  <si>
    <t xml:space="preserve">ImageXpress Confocal HT.ai — high-content imaging and analysis system</t>
  </si>
  <si>
    <t xml:space="preserve">FLIPR Penta — kinetic cellular screening (calcium/ion channel) system</t>
  </si>
  <si>
    <t xml:space="preserve">+1 408-747-1700</t>
  </si>
  <si>
    <t xml:space="preserve">3860 N First Street, San Jose, CA 95134, USA</t>
  </si>
  <si>
    <t xml:space="preserve">HQ; US/Canada toll-free +1 800-635-5577, Europe toll-free 00800 665 32860; UK office 1180 Eskdale Road, Wokingham RG41 5TU, +44 118 944 8000; general email obfuscated in results.</t>
  </si>
  <si>
    <t xml:space="preserve">Eisenberg Bros. Ltd. (Eisenberg Brothers) - candidate [מפיץ; markets Molecular Devices products on its own live site: FLIPR Penta high-throughput cellular screening system (product page + brochure uploaded Mar 2026), GenePix microarray systems, and GxP-compliance microplate-detection solutions (SpectraMax readers/software); no explicit distributor statement and no manufacturer-side listing found; +972 3-977-7000, Airport City]</t>
  </si>
  <si>
    <t xml:space="preserve">חיפוש רשת בלבד; דפי ״מפיצים״ של היצרן ואתרי המפיצים לא נפתחו (חסימת רשת). [אימות עדכניות 10/2026] A search restricted to Israeli distributor domains returned only Eisenberg Bros. pages for Molecular Devices, but now three product lines (FLIPR Penta, GenePix microarray systems, GxP compliance solutions for microplate readers) on its live site, which upgrades Eisenberg Bros. from candidate to probable reseller. A general search for an Israeli Molecular Devices distributor/נציג/יבואן returned only VWR/Avantor catalogue pages; Molecular Devices' own site does not name an Israeli partner in snippets, so the relationship is still not confirmed by the manufacturer. The 40-domain sweep surfaced a Molecular Devices FLIPR Penta product brochure hosted on Eisenberg Brothers' own site (eisenbros.co.il/wp-content/uploads/2026/03/...), which indicates Eisenberg Bros. markets at least the FLIPR line in Israel. A follow-up search for 'Eisenberg Brothers' + 'Molecular Devices' found no explicit distributor statement (its older supplier lists name PerkinElmer, Thermo Fisher, Lonza, Affymetrix and Fluidigm), a second domain-restricted SpectraMax/FLIPR query returned only patents, and no other Israeli distributor site mentions SpectraMax. Marked 'unclear' because the only evidence is the hosted brochure rather than a statement by Eisenberg Bros. or by Molecular Devices.</t>
  </si>
  <si>
    <t xml:space="preserve">Indirect evidence only (brochure on the distributor's site, March 2026); neither party states the relationship.</t>
  </si>
  <si>
    <t xml:space="preserve">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 ; https://eisenbros.co.il/wp-content/uploads/2026/03/flipr-penta-high-throughput-cellular-screening-system.pdf ; https://archive.israelphysicalsociety.org/fairs/eisenberg-bros-ltd.html ; https://www.biospace.com/fluidigm-corporation-and-b-eisenberg-brothers-ltd-b-join-forces-in-israel-distribution-deal ; https://eisenbros.co.il/product/flipr-penta-high-throughput-cellular-screening-system/ ; https://www.eisenbros.co.il/product/genepix-microarray-systems/ ; https://eisenbros.co.il/product/gxp-compliance-solutions-for-gmp-glp-labs/</t>
  </si>
  <si>
    <t xml:space="preserve">BD Biosciences &amp; BD Diagnostic Solutions (part of Waters since Feb 2026)</t>
  </si>
  <si>
    <t xml:space="preserve">BD Biosciences, BD Diagnostic Solutions, Becton Dickinson Life Sciences, FACS, FACSymphony, FACSDiscover, BACTEC, BD MAX, Phoenix, Kiestra; since Feb 2026: Waters Biosciences, Waters Advanced Diagnostics</t>
  </si>
  <si>
    <t xml:space="preserve">Milford, Massachusetts (Waters Corp.); former BD Biosciences HQ San Jose, California; BD corporate HQ Franklin Lakes, New Jersey</t>
  </si>
  <si>
    <t xml:space="preserve">Waters Corporation (since 9 Feb 2026; previously Becton Dickinson)</t>
  </si>
  <si>
    <t xml:space="preserve">Divisions of Waters Corporation (public, NYSE: WAT) after the Reverse Morris Trust with BD</t>
  </si>
  <si>
    <t xml:space="preserve">https://www.bdbiosciences.com</t>
  </si>
  <si>
    <t xml:space="preserve">Cell analysis (flow cytometry / cell sorting)</t>
  </si>
  <si>
    <t xml:space="preserve">Rough share of the ~16,000 combined Waters/ex-BD headcount cited at the deal announcement; the ex-BD businesses alone were not disclosed. Figures recalled from company statements / filings and not re-verified online in this session.</t>
  </si>
  <si>
    <t xml:space="preserve">USD 3.4 billion</t>
  </si>
  <si>
    <t xml:space="preserve">CY2025E (basis used in the Jul-2025 deal announcement)</t>
  </si>
  <si>
    <t xml:space="preserve">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</si>
  <si>
    <t xml:space="preserve">BD FACSDiscover S8 — spectral cell sorter with real-time cell imaging</t>
  </si>
  <si>
    <t xml:space="preserve">BD FACSymphony A5 SE / A1 — high-parameter spectral flow cytometry analyzers</t>
  </si>
  <si>
    <t xml:space="preserve">BD BACTEC FX, BD MAX, BD Phoenix — blood-culture, molecular IVD and ID/AST systems</t>
  </si>
  <si>
    <t xml:space="preserve">BDBIsrael@bd.com</t>
  </si>
  <si>
    <t xml:space="preserve">Harduf HaNehalim St. 2, Caesarea, Israel</t>
  </si>
  <si>
    <t xml:space="preserve">Israel office (BD Israel, per third-party 2026 directory; no phone shown). Nothing found for Augusta Life Sciences Israel Ltd. (2 searches). Status conflicting: BD careers site describes a Caesarea infusion-pump site (ex-Caesarea Medical Electronics, acquired 2017), while Startup Nation Central marks BD as ceased operating in Israel Jan 2025 (Calcalist: manufacturing center closing, 200 layoffs). BD's EU Cato page refers Israeli inquiries to distributor Elad Health, +972 3 769 3000.</t>
  </si>
  <si>
    <t xml:space="preserve">Augusta Life Sciences Israel Ltd. (Waters subsidiary, ex-BD Biosciences &amp; Diagnostic Solutions) [חברה-בת; 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 | BD Israel (Becton Dickinson) [חברה-בת; 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 Caesarea] | Lapidot Group (Lapidot Medical) (לפידות) [מפיץ; lists BD as a business partner ('global medical technology company'); product scope not stated - likely BD Medical lines, not confirmed for Biosciences/Diagnostics; +972-4-6309630 / +972-74-7797836, customerservice@lapidot.com, 8 Hashita St., P.O. Box 3552, Caesarea Industrial Park 3088900]</t>
  </si>
  <si>
    <t xml:space="preserve">[אימות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</si>
  <si>
    <t xml:space="preserve">Entities verified on bd.com and waters.com; the operating split between BD Israel and the Waters-owned Augusta entity after Feb 2026 is inferred, not documented.</t>
  </si>
  <si>
    <t xml:space="preserve">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</si>
  <si>
    <t xml:space="preserve">Corning Life Sciences (Corning Inc.)</t>
  </si>
  <si>
    <t xml:space="preserve">Corning, Falcon, Axygen, PYREX, Costar, Corning Matrigel, Mediatech/Cellgro, Gosselin</t>
  </si>
  <si>
    <t xml:space="preserve">Corning, New York</t>
  </si>
  <si>
    <t xml:space="preserve">Corning Incorporated</t>
  </si>
  <si>
    <t xml:space="preserve">Division/segment of Corning Incorporated (public, NYSE: GLW)</t>
  </si>
  <si>
    <t xml:space="preserve">https://www.corning.com/worldwide/en/products/life-sciences.html</t>
  </si>
  <si>
    <t xml:space="preserve">Labware &amp; consumables (plastic &amp; glass)</t>
  </si>
  <si>
    <t xml:space="preserve">Corning Incorporated total: approximately 67,200 full- and part-time employees in 44 countries per FY2025 10-K (Human Capital section). Large increase vs ~56,300 reported for end-2024; verify in the filing before use.</t>
  </si>
  <si>
    <t xml:space="preserve">USD 972 million</t>
  </si>
  <si>
    <t xml:space="preserve">Life Sciences segment net sales FY2025 (about -1% vs USD 979m in 2024; Q4 2025 USD 246m; segment net income USD 61m) per Corning Q4/FY2025 results release of Jan 27, 2026</t>
  </si>
  <si>
    <t xml:space="preserve">Falcon — conical tubes, cell-culture plasticware, serological pipets</t>
  </si>
  <si>
    <t xml:space="preserve">Corning Matrigel Matrix — basement-membrane extract for 3D cell culture</t>
  </si>
  <si>
    <t xml:space="preserve">Axygen — pipette tips, PCR tubes/plates, genomics consumables</t>
  </si>
  <si>
    <t xml:space="preserve">+1 978-442-2200</t>
  </si>
  <si>
    <t xml:space="preserve">CLSCustServ@corning.com</t>
  </si>
  <si>
    <t xml:space="preserve">One Riverfront Plaza, Corning, NY 14831, USA</t>
  </si>
  <si>
    <t xml:space="preserve">https://www.corning.com/emea/en/products/life-sciences/support-main.html</t>
  </si>
  <si>
    <t xml:space="preserve">HQ (Corning Inc. corporate address and +1 607-974-9000 from a directory, possibly outdated); phone/email shown are Corning Life Sciences Americas customer service (toll-free +1 800-492-1110 opt. 2, fax +1 978-442-2476); EMEA customer service CSEurope@corning.com, EMEA scientific support ScientificSupportEMEA@corning.com; Americas scientific support ScientificSupport@corning.com.</t>
  </si>
  <si>
    <t xml:space="preserve">Getter Group (Getter Bio-Med) (קבוצת גטר) [מפיץ; Corning - Getter Group's live English about page lists Corning among the brands it exclusively represents in Israel and a Hebrew brand page profiles Corning; life-science vs. other Corning lines still not specified; +972 3-576-1555 (Getter Group switchboard), 7 Shimshon St., Petah Tikva 4912502]</t>
  </si>
  <si>
    <t xml:space="preserve">[אימות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</si>
  <si>
    <t xml:space="preserve">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</si>
  <si>
    <t xml:space="preserve">Promega Corporation</t>
  </si>
  <si>
    <t xml:space="preserve">Promega; brands Maxwell, GloMax, CellTiter-Glo, GoTaq, PowerPlex, NanoLuc, HaloTag</t>
  </si>
  <si>
    <t xml:space="preserve">Madison (Fitchburg), Wisconsin</t>
  </si>
  <si>
    <t xml:space="preserve">Private (founder-controlled; William A. Linton)</t>
  </si>
  <si>
    <t xml:space="preserve">https://www.promega.com</t>
  </si>
  <si>
    <t xml:space="preserve">Approximately 2,000 employees worldwide, with direct branches in 16 countries and 50+ distributors (branch/distributor counts seen on Promega regional sites; headcount recalled from Promega corporate communications, not re-verified).</t>
  </si>
  <si>
    <t xml:space="preserve">USD ~650 million (trade estimate; private)</t>
  </si>
  <si>
    <t xml:space="preserve">2024 (estimate)</t>
  </si>
  <si>
    <t xml:space="preserve">Promega does not publish revenue; it has described itself as a &gt;USD 500M company and trade estimates put 2024 revenue around USD 600-700M. Figures recalled from company statements / filings and not re-verified online in this session.</t>
  </si>
  <si>
    <t xml:space="preserve">Maxwell RSC — automated nucleic acid purification instrument</t>
  </si>
  <si>
    <t xml:space="preserve">GloMax — multimode microplate readers and luminometers</t>
  </si>
  <si>
    <t xml:space="preserve">CellTiter-Glo / Dual-Luciferase — bioluminescent cell-viability and reporter assays</t>
  </si>
  <si>
    <t xml:space="preserve">+1 608-274-4330</t>
  </si>
  <si>
    <t xml:space="preserve">2800 Woods Hollow Road, Madison, WI 53711, USA</t>
  </si>
  <si>
    <t xml:space="preserve">https://ita.promega.com/en/support/contact-promega/</t>
  </si>
  <si>
    <t xml:space="preserve">HQ (official contact page); toll-free +1 800-356-9526, fax +1 608-277-2516; no HQ email shown (UK orders: ukcustserve@promega.com).</t>
  </si>
  <si>
    <t xml:space="preserve">IM Beit HaEmek (Beit HaEmek Industries) (תעשיות בית העמק) [מפיץ; Promega distributor for Israel - Kibbutz Beit Ha'Emek 2511500, bemek.co.il, per Promega's live 'Contact Promega' distributor list; IM Beit HaEmek's own site names Promega among officially distributed brands (prior round); +972 4-868-9015, info@bemek.co.il, Kibbutz Beit HaEmek]</t>
  </si>
  <si>
    <t xml:space="preserve">[אימות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</si>
  <si>
    <t xml:space="preserve">Named on the manufacturer's own contact page, but the entity's identity and website could not be independently verified.</t>
  </si>
  <si>
    <t xml:space="preserve">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t>
  </si>
  <si>
    <t xml:space="preserve">New England Biolabs</t>
  </si>
  <si>
    <t xml:space="preserve">NEB; brands Q5, NEBNext, Monarch, Luna, NEBuilder, NEBExpress</t>
  </si>
  <si>
    <t xml:space="preserve">Ipswich, Massachusetts</t>
  </si>
  <si>
    <t xml:space="preserve">Private</t>
  </si>
  <si>
    <t xml:space="preserve">https://www.neb.com</t>
  </si>
  <si>
    <t xml:space="preserve">Approximately 1,000 employees worldwide (company statements). Figures recalled from company statements / filings and not re-verified online in this session.</t>
  </si>
  <si>
    <t xml:space="preserve">USD ~500 million (trade estimate; private)</t>
  </si>
  <si>
    <t xml:space="preserve">NEB is privately held and does not publish revenue; trade estimates are in the USD 400-600M range.</t>
  </si>
  <si>
    <t xml:space="preserve">Q5 High-Fidelity DNA Polymerase — high-fidelity PCR enzyme and master mixes</t>
  </si>
  <si>
    <t xml:space="preserve">NEBNext — NGS library-preparation kits</t>
  </si>
  <si>
    <t xml:space="preserve">Monarch — nucleic acid purification kits</t>
  </si>
  <si>
    <t xml:space="preserve">+1 978-928-5054</t>
  </si>
  <si>
    <t xml:space="preserve">info@neb.com</t>
  </si>
  <si>
    <t xml:space="preserve">240 County Road, Ipswich, MA 01938-2723, USA</t>
  </si>
  <si>
    <t xml:space="preserve">https://www.neb.com/en-us/support/international-ordering-support</t>
  </si>
  <si>
    <t xml:space="preserve">HQ (official NEB page); toll-free +1 800-632-5227, fax +1 978-921-1350; Germany: NEB GmbH +49 69 305 23140, info.de@neb.com; UK +44 1462 420616; France +33 1 69 90 87 15, info.fr@neb.com; other countries via the subsidiary/distributor list on the same page.</t>
  </si>
  <si>
    <t xml:space="preserve">Ornat BioChemicals &amp; Lab Equipment Ltd. (אורנת) [מפיץ; New England Biolabs reagents - live Ornat product pages for NEB molecular biology, nucleic-acid purification, NGS and RNA products, plus Ornat's partners page; +972-8-9477077, ornatbio@ornat.co.il, 19 Horvitz Eli St., Rehovot 7608802]</t>
  </si>
  <si>
    <t xml:space="preserve">[אימות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</si>
  <si>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(Ornat) is supported by one credible third-party listing quoting the distributor itself, not by NEB's own country list; size figures unavailable (private).</t>
  </si>
  <si>
    <t xml:space="preserve">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</si>
  <si>
    <t xml:space="preserve">Bio-Techne</t>
  </si>
  <si>
    <t xml:space="preserve">R&amp;D Systems, Novus Biologicals, Tocris Bioscience, ProteinSimple, Advanced Cell Diagnostics (ACD / RNAscope), Asuragen, Lunaphore, ExosomeDx</t>
  </si>
  <si>
    <t xml:space="preserve">Minneapolis, Minnesota</t>
  </si>
  <si>
    <t xml:space="preserve">Public (NASDAQ: TECH)</t>
  </si>
  <si>
    <t xml:space="preserve">https://www.bio-techne.com</t>
  </si>
  <si>
    <t xml:space="preserve">Approximately 3,100 employees (Bio-Techne 10-K for FY ended 30 Jun 2025; recalled, not re-verified).</t>
  </si>
  <si>
    <t xml:space="preserve">USD 1.2 billion (approx.; flat vs FY2025 USD 1,219.6 million)</t>
  </si>
  <si>
    <t xml:space="preserve">FY Jun-2026</t>
  </si>
  <si>
    <t xml:space="preserve">Bio-Techne Q4 fiscal 2026 results release 12 Aug 2026 (SEC 8-K Ex. 99.1) and FY2026 10-K: full-year fiscal 2026 (ended 30 Jun 2026) net sales flat at $1.2 billion (organic flat; FX +2%, held-for-sale business -2%); Protein Sciences $874.6m. Exact total should be taken from the FY2026 10-K. Company is pending acquisition by Merck KGaA. FY2026 headcount not found; existing 3,100 left unchanged.</t>
  </si>
  <si>
    <t xml:space="preserve">ProteinSimple Jess / Simple Western — automated capillary western-blot immunoassay systems</t>
  </si>
  <si>
    <t xml:space="preserve">R&amp;D Systems proteins, antibodies &amp; Quantikine ELISAs — recombinant proteins, antibodies, immunoassay kits</t>
  </si>
  <si>
    <t xml:space="preserve">RNAscope (ACD) — in situ hybridization assays for RNA detection</t>
  </si>
  <si>
    <t xml:space="preserve">+1 800-343-7475</t>
  </si>
  <si>
    <t xml:space="preserve">techsupport@bio-techne.com</t>
  </si>
  <si>
    <t xml:space="preserve">614 McKinley Place NE, Minneapolis, MN 55413, USA</t>
  </si>
  <si>
    <t xml:space="preserve">https://rndsystems.com/node/64566</t>
  </si>
  <si>
    <t xml:space="preserve">HQ (listed as USA headquarters on the R&amp;D Systems contact page — a Bio-Techne brand); North American customer service customerservice.na@bio-techne.com; third-party directories list +1 612-379-2956; UK office Abingdon and China office Shanghai with their own info@ addresses; ACD brand: info.ACD@bio-techne.com.</t>
  </si>
  <si>
    <t xml:space="preserve">Getter Bio-Med (Getter Group) (גטר ביו-מד) [מפיץ; Lunaphore (a Bio-Techne brand) spatial-biology platforms – Getter describes itself as the official Israeli representative (LinkedIn); +972 3-576-1555 (Getter Group switchboard), 7 Shimshon St., Petah Tikva 4912502] | Biotest [מפיץ; Israeli distributor listed on Bio-Techne's Novus Biologicals distributor directory: 6 Hasadna St., P.O. Box 8006, Kfar Saba 4442405 (phone/e-mail on page); coverage of other Bio-Techne brands (R&amp;D Systems, Tocris, ProteinSimple) not confirmed]</t>
  </si>
  <si>
    <t xml:space="preserve">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</si>
  <si>
    <t xml:space="preserve">The manufacturer's own page shows an Israeli distributor exists (Kfar Saba address) but its name was not captured; ENCO is a plausible but unconfirmed candidate.</t>
  </si>
  <si>
    <t xml:space="preserve">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</si>
  <si>
    <t xml:space="preserve">Miltenyi Biotec</t>
  </si>
  <si>
    <t xml:space="preserve">Miltenyi Biotec; MACS, CliniMACS, CliniMACS Prodigy, MACSQuant, autoMACS, gentleMACS, MACSima</t>
  </si>
  <si>
    <t xml:space="preserve">Bergisch Gladbach</t>
  </si>
  <si>
    <t xml:space="preserve">Private (founder-owned, Stefan Miltenyi)</t>
  </si>
  <si>
    <t xml:space="preserve">https://www.miltenyibiotec.com</t>
  </si>
  <si>
    <t xml:space="preserve">Nordkurier (Aug 2025): almost 4,900 employees worldwide (c. 570 in Teterow); company careers/job-ad boilerplate: 'more than 4,900 people in over 50 countries'. No 2023-2025 revenue disclosure found (an undated Nordkurier piece quotes the CEO expecting to pass EUR 1bn in sales).</t>
  </si>
  <si>
    <t xml:space="preserve">EUR ~600 million (trade estimate; private)</t>
  </si>
  <si>
    <t xml:space="preserve">No official 2024/2025 revenue figure found; Bundesanzeiger filing not seen in snippets.</t>
  </si>
  <si>
    <t xml:space="preserve">MACS MicroBeads / autoMACS / MultiMACS — magnetic cell separation reagents and instruments</t>
  </si>
  <si>
    <t xml:space="preserve">CliniMACS Prodigy — automated closed-system cell-therapy manufacturing platform</t>
  </si>
  <si>
    <t xml:space="preserve">MACSQuant Analyzer / MACSQuant Tyto — flow cytometers and cartridge-based cell sorter</t>
  </si>
  <si>
    <t xml:space="preserve">+49 2204 8306-0</t>
  </si>
  <si>
    <t xml:space="preserve">macs@miltenyibiotec.de</t>
  </si>
  <si>
    <t xml:space="preserve">Friedrich-Ebert-Straße 68, 51429 Bergisch Gladbach, Germany</t>
  </si>
  <si>
    <t xml:space="preserve">HQ. Phone/address/email per Biocompare and Bioanalysis Zone directory listings (not the official site); press@miltenyibiotec.de appeared in a 2013 press release.</t>
  </si>
  <si>
    <t xml:space="preserve">Y.A. Almog Diagnostic &amp; Medical Equipment Ltd. (אלמוג דיאגנוסטיקה) [מפיץ; Miltenyi Biotec products in Israel (MACS reagents and instruments incl. MACSQuant flow cytometers) - listed as the Israel distributor on Miltenyi's global distributor page; Shoham, tel. +972 3 977 33 90, info@almog.co.il; +972 3-977-3390, info@almog.co.il, Shoham] | Almog Diagnostic and Medical Equipment Ltd. (אלמוג דיאגנוסטיקה) [מפיץ; Miltenyi Biotec products in Israel (MACS reagents and instruments incl. MACSQuant flow cytometers); listed on Miltenyi's live global distributor page: POB 349, Shoham 60850, Israel, with phone, fax, email and website; +972 3-977-3390, info@almog.co.il, Shoham]</t>
  </si>
  <si>
    <t xml:space="preserve">[אימות עדכניות 10/2026] Re-confirmed on the manufacturer side: Miltenyi Biotec's live global distributor page (FI-en variant) lists Y.A. Almog Diagnostic &amp; Medical Equipment Ltd., POB 349, Shoham 60850, Israel, with phone, fax, email and website, as the Israel distributor. The second recorded entity is the same company as cited in the June-2022 Slingshot/Business Wire release and is kept only as the dated corroboration. No Israeli Miltenyi subsidiary and no other Israeli channel surfaced. Verified on the manufacturer's side: Miltenyi Biotec's 'Contact information for our global distributor network' page (regional variants IE-en, FI-en, KR-en) lists Y.A. Almog Diagnostic &amp; Medical Equipment Ltd., Shoham, Israel, tel. +972 3 977 33 90, info@almog.co.il, as the Israel distributor. This confirms the round-2 lead from the June-2022 Slingshot Biosciences press release describing Almog as a long-standing Israeli flow-cytometry player selling the Miltenyi MACSQuant. The Hebrew query and the Almog-domain query added nothing; Miltenyi has no Israeli subsidiary (its own entities are in Germany, USA, UK, France, Italy, Spain, Netherlands, Nordics, China, Japan, Korea, Singapore and Australia). A June 2022 Business Wire release describes Almog as a major Israeli flow-cytometry player working with Miltenyi's MACSQuant and Cytek's Aurora; not re-confirmed on Miltenyi's site.</t>
  </si>
  <si>
    <t xml:space="preserve">Manufacturer's own distributor page names the Israeli entity; corroborated by a 2022 press release.</t>
  </si>
  <si>
    <t xml:space="preserve">https://www.chemie.de/firmen/350/miltenyi-biotec-b-v-co-kg.html ; https://www.chemie.de/lexikon/Miltenyi_Biotec.html ; https://www.mynewsdesk.com/se/miltenyibiotec/pressreleases/miltenyi-biotec-opens-its-new-nordic-subsidiary-776649 ; https://www.miltenyibiotec.com/IE-en/about-us/locations/distribution.html ; https://www.miltenyibiotec.com/FI-en/about-us/locations/distribution.html ; https://www.miltenyibiotec.com/DE-en/about-us/locations.html ; https://www.businesswire.com/news/home/20220626005007/en/Slingshot-Biosciences-Inc.-Partners-With-Almog-Diagnostic-to-Distribute-Synthetic-Cells-Throughout-Israel ; https://www.nordkurier.de/regional/mecklenburgische-schweiz/teterower-unternehmen-hat-minsiterin-zu-gast-3855089 ; https://www.nordkurier.de/regional/mecklenburg-vorpommern/biotechnologie-scholz-und-schwesig-auf-nordost-visite-1576779 ; https://www.randstad.de/bewerber/unternehmensprofile/miltenyi-biotec/</t>
  </si>
  <si>
    <t xml:space="preserve">10x Genomics</t>
  </si>
  <si>
    <t xml:space="preserve">10x; Chromium, Visium, Xenium</t>
  </si>
  <si>
    <t xml:space="preserve">Pleasanton, California</t>
  </si>
  <si>
    <t xml:space="preserve">Public (NASDAQ: TXG)</t>
  </si>
  <si>
    <t xml:space="preserve">https://www.10xgenomics.com</t>
  </si>
  <si>
    <t xml:space="preserve">1,178 employees as of Dec 31, 2025 per FY2025 10-K (822 US, 356 international; R&amp;D 332, sales/marketing/support 473, G&amp;A 185, manufacturing 188); ~8% workforce reduction announced May 2025</t>
  </si>
  <si>
    <t xml:space="preserve">USD 642.8 million</t>
  </si>
  <si>
    <t xml:space="preserve">FY2025 revenue per Q4/FY2025 results release of Feb 12, 2026; includes USD 44.1m one-time patent settlement revenue (USD 598.7m excluding it, about -2% vs 2024)</t>
  </si>
  <si>
    <t xml:space="preserve">Chromium (X / Flex / GEM-X) — single-cell gene-expression and multiomic platform</t>
  </si>
  <si>
    <t xml:space="preserve">Visium HD — high-resolution spatial transcriptomics</t>
  </si>
  <si>
    <t xml:space="preserve">Xenium — in situ single-cell spatial imaging platform</t>
  </si>
  <si>
    <t xml:space="preserve">+1 925 401 7300</t>
  </si>
  <si>
    <t xml:space="preserve">6230 Stoneridge Mall Road, Pleasanton, CA 94588, USA</t>
  </si>
  <si>
    <t xml:space="preserve">HQ. Address/phone from GlobalData, Creditsafe and IPOScoop profiles; no general email seen.</t>
  </si>
  <si>
    <t xml:space="preserve">Danyel Biotech [מפיץ; 10x Genomics instruments, reagents and software (Chromium Next GEM single-cell gene expression, immune profiling, ATAC per Danyel's live brand page); co-host with 10x Genomics of the Israeli 10x Genomics User Group Meeting 2025 (Weizmann Institute, 9 Dec 2025). Visium/Xenium not seen explicitly.; 1-800-711-911 (also +972 8-936-6066), 8 Hamada St., Science Park, Rehovot 7670308] | Lifegene Ltd. (לייפג'ין) [מפיץ; https://www.lifegene.co.il; +972 8-644-4314, info@lifegene.co.il, 4 Ha'maayan St., Modi'in 7171101 (directory lists Modi'in; other sources say Mevo Horon – verify)]</t>
  </si>
  <si>
    <t xml:space="preserve">[אימות עדכניות 10/2026] Danyel Biotech's own 10x Genomics brand page (Chromium Next GEM single-cell gene expression, immune profiling, ATAC) is live, and a Weizmann Institute notice shows 'Danyel Biotech and 10X Genomics' jointly inviting users to the Israeli 10x Genomics User Group Meeting 2025 (9 December 2025), which is manufacturer-involved evidence that the relationship was active in late 2025. 10x's own distributor directory still did not expose its Israel entry in search snippets. The Lifegene/Scale Bio entry (whose scope and website fields were swapped in the record and are corrected here) was not re-checked within the search budget and is kept as older evidence. Searched generic queries, 27 Israeli distributor domains and 10xgenomics.com. Danyel Biotech's own site carries a 10x Genomics brand page (Chromium Next GEM single-cell gene expression, immune profiling, ATAC) and co-hosted a 2019 Tel Aviv University seminar on the 10x portfolio, so Danyel is the Israeli distributor. 10x's distributor locator did not expose the Israel entry in search snippets, so manufacturer-side confirmation is missing; Visium/Xenium were not seen on Danyel's page. 10x Genomics' Scale Bio distributors page lists Lifegene (Mevo Horon) for Israel; Danyel Biotech has the 10x brand page for Chromium/Visium/Xenium.</t>
  </si>
  <si>
    <t xml:space="preserve">Distributor's own brand page plus a 2019 university event; no manufacturer-side listing seen.</t>
  </si>
  <si>
    <t xml:space="preserve">https://en-med.tau.ac.il/node/7046 ; https://en-med.tau.ac.il/10xgenomics_seminar_2019?gid=106 ; https://www.10xgenomics.com/distributors ; https://www.technologynetworks.com/genomics/news/10x-genomics-signs-asiapacific-distribution-deals-184381 ; https://www.danyel.co.il/10x-genomics/ ; https://www.10xgenomics.com/distributors/application ; https://scale.10xgenomics.com/distributors/ ; https://www.weizmann.ac.il/life-sciences/events/25669 ; https://www.sec.gov/Archives/edgar/data/1770787/000162828026007673/txg-fy2025earningsreleasee.htm ; https://www.sec.gov/Archives/edgar/data/1770787/000162828026007822/txg-20251231.htm</t>
  </si>
  <si>
    <t xml:space="preserve">Oxford Nanopore Technologies</t>
  </si>
  <si>
    <t xml:space="preserve">ONT; MinION, GridION, PromethION, Flongle, Dorado, EPI2ME</t>
  </si>
  <si>
    <t xml:space="preserve">Oxford</t>
  </si>
  <si>
    <t xml:space="preserve">UK</t>
  </si>
  <si>
    <t xml:space="preserve">Public (LSE: ONT)</t>
  </si>
  <si>
    <t xml:space="preserve">https://nanoporetech.com</t>
  </si>
  <si>
    <t xml:space="preserve">1,335 employees at end-2025 (up from 1,315; 504 in R&amp;D) per annual results for the year ended Dec 31, 2025 as reported by GenomeWeb; PitchBook also lists 1,335</t>
  </si>
  <si>
    <t xml:space="preserve">GBP 223.9 million</t>
  </si>
  <si>
    <t xml:space="preserve">FY2025 revenue per annual results announcement of Mar 2, 2026 (+22.2% reported, +24.2% constant currency vs GBP 183.2m); adjusted EBITDA loss GBP 86.7m</t>
  </si>
  <si>
    <t xml:space="preserve">PromethION (2 Solo / P24 / P48) — high-throughput nanopore sequencers</t>
  </si>
  <si>
    <t xml:space="preserve">MinION — portable USB nanopore sequencer</t>
  </si>
  <si>
    <t xml:space="preserve">GridION — benchtop five-flow-cell nanopore sequencer</t>
  </si>
  <si>
    <t xml:space="preserve">+44 845 034 7900</t>
  </si>
  <si>
    <t xml:space="preserve">Gosling Building, Edmund Halley Road, Oxford Science Park, Oxford OX4 4DQ, UK</t>
  </si>
  <si>
    <t xml:space="preserve">https://nanoporetech.com/ja/contact</t>
  </si>
  <si>
    <t xml:space="preserve">HQ (Global headquarters). Phone is the EMEAI line on the official contact page (fax +44 845 034 7901); Americas +1 212 202 1712. The contact page surfaced only as localized /ja/ and /zh/ variants (English version presumably https://nanoporetech.com/contact). No general email seen; the page offers live chat and web forms.</t>
  </si>
  <si>
    <t xml:space="preserve">Zotal Ltd. (זוטל) [מפיץ; Officially licensed channel partner for Oxford Nanopore products in Israel (MinION, GridION, PromethION) per nanoporetech.com; Zotal's own site announces it as ONT's official distributor in Israel supplying the full ONT portfolio with local sales, applications, logistics, training and technical service (Tel Aviv); +972 3-649-2444, 4 Habarzel St., Tel Aviv 6971008]</t>
  </si>
  <si>
    <t xml:space="preserve">[אימות עדכניות 10/2026] Re-confirmed on both sides: nanoporetech.com's channel-partner page for Zotal Ltd. says it is officially licensed to sell Nanopore products in Israel (MinION, GridION, PromethION), and Zotal's own site has an 'Oxford Nanopore now in Israel' announcement plus an Oxford Nanopore brand page describing itself as ONT's official distributor in Israel with local sales, applications, logistics, training and service. ONT's contact page says it is not presently seeking new partners, so Zotal is the established channel. 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</si>
  <si>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confirmed by the manufacturer's official channel-partner page (high); size figures recalled rather than re-verified (hence medium overall).</t>
  </si>
  <si>
    <t xml:space="preserve">https://nanoporetech.com/about/channel-partners/zotal-ltd ; https://nanoporetech.com/es/about/channel-partners/zotal-ltd ; https://nanoporetech.com/news/news-g42-healthcare-signs-distribution-agreement-oxford-nanopore-technologies-sequencing ; https://nanoporetech.com/about/channel-partners ; https://www.zotal.co.il/oxford-nanopore-now-in-israel/ ; https://www.zotal.co.il/product_brands/oxford-nanopore-technologies/ ; https://a.storyblok.com/f/196663/x/eb9b67d55c/oxford-nanopore-annual-results-for-the-year-ended-31-december-2025-2-march-2026.pdf ; https://www.genomeweb.com/node/650096</t>
  </si>
  <si>
    <t xml:space="preserve">Pacific Biosciences</t>
  </si>
  <si>
    <t xml:space="preserve">PacBio; Revio, Vega, Sequel II/IIe, HiFi, Kinnex, Onso, SMRT</t>
  </si>
  <si>
    <t xml:space="preserve">Menlo Park, California</t>
  </si>
  <si>
    <t xml:space="preserve">Public (NASDAQ: PACB)</t>
  </si>
  <si>
    <t xml:space="preserve">https://www.pacb.com</t>
  </si>
  <si>
    <t xml:space="preserve">485 full-time employees as of Dec 31, 2025 per FY2025 10-K (as cited by GenomeWeb; R&amp;D 162, operations 64, service 37, marketing &amp; sales 163, administration 59)</t>
  </si>
  <si>
    <t xml:space="preserve">USD 160.0 million</t>
  </si>
  <si>
    <t xml:space="preserve">FY2025 revenue per Q4/FY2025 results release of Feb 12, 2026 (vs USD 154.0m in 2024; consumables USD 82m, instruments USD 53.8m, service USD 24.2m)</t>
  </si>
  <si>
    <t xml:space="preserve">Revio — high-throughput long-read HiFi sequencing system</t>
  </si>
  <si>
    <t xml:space="preserve">Vega — benchtop long-read HiFi sequencer</t>
  </si>
  <si>
    <t xml:space="preserve">Kinnex kits — full-length RNA/16S HiFi library kits</t>
  </si>
  <si>
    <t xml:space="preserve">+1 650 521 8000</t>
  </si>
  <si>
    <t xml:space="preserve">1305 O'Brien Drive, Menlo Park, CA 94025, USA</t>
  </si>
  <si>
    <t xml:space="preserve">HQ. Address/phone from Datanyze and Plunkett Research directory profiles (GlobalData lists a differing +1 302 636 5400); no general email seen.</t>
  </si>
  <si>
    <t xml:space="preserve">Eisenberg Bros. Ltd. [מפיץ; PacBio next-generation sequencing line on Eisenberg's own live site (product category 'Life Sciences &amp; Healthcare &gt; Genomics &gt; PacBio', with Revio, Sequel II/IIe and Onso product pages and a reposted January-2023 PacBio 'Method of the Year' news item); manufacturer-side listing NOT confirmed; +972 3-977-7000, Airport City]</t>
  </si>
  <si>
    <t xml:space="preserve">חיפוש רשת בלבד; דפי ״מפיצים״ של היצרן ואתרי המפיצים לא נפתחו (חסימת רשת). [אימות עדכניות 10/2026] Changed from none_found: Eisenberg Bros. Ltd. (eisenbros.co.il) carries a live 'PacBio next generation sequencing' product category with Revio, Sequel II/IIe and Onso pages and reposted PacBio's January-2023 'Method of the Year' news, so Eisenberg is the Israeli channel on the distributor side. PacBio's own global-distributors page still did not resolve in snippets (the 'East Diagnostics' entry sits next to a Balkan country group and its link to Israel remains unclear), and a direct 'Eisenberg PacBio' search found no manufacturer-side statement (only a Fluidigm appointment and a PacBio/Revio repost by an Eisenberg-linked LinkedIn profile). Manufacturer-side confirmation is therefore still missing. PacBio's own 'Global distributors' page (pacb.com/global-distributors) was examined through two searches: one excerpt appeared to associate Israel with 'East Diagnostics', but the follow-up search showed East Diagnostics covers Serbia, Montenegro, Bosnia and Herzegovina, North Macedonia, Croatia, Kosovo, Romania, Bulgaria, Slovenia and Albania, with Israel not in that group; the Middle East/North Africa list seen in round 1 also omits Israel. The 40-domain sweep and the Hebrew query ('PacBio Revio ריצוף יבואן נציגות בישראל') returned only scientific papers and Revio launch news, and no Israeli distributor site mentions PacBio. PacBio sells direct in several territories, so Israel may be covered by its European direct organisation, but no Israeli entity or named partner was found.</t>
  </si>
  <si>
    <t xml:space="preserve">Manufacturer's distributor list shows no Israel entry; absence of evidence only.</t>
  </si>
  <si>
    <t xml:space="preserve">https://www.pacb.com/global-distributors ; https://www.pacb.com/wp-content/uploads/CorporateBackgrounder.pdf ; https://www.tipranks.com/news/the-fly/pacbio-appoints-haorui-gene-as-official-distributor-in-china ; https://www.pacb.com/global-distributors/ ; https://www.pacb.com/purchase/ ; https://www.pacb.com/contact-us/ ; https://www.eisenbros.co.il/product-category/life-sciences-and-healthcare/genomics/pacbio-next-generation-sequencing/ ; https://www.eisenbros.co.il/product/revio/ ; https://www.eisenbros.co.il/product/sequel-ii-systems/ ; https://www.eisenbros.co.il/product/onso/ ; https://www.eisenbros.co.il/pacbio-celebrates-nature-methods-naming-long-read-sequencing-method-of-the-year/ ; https://www.pacb.com/press_releases/pacbio-announces-fourth-quarter-and-full-year-2025-financial-results/ ; https://www.sec.gov/Archives/edgar/data/1299130/000129913026000034/pacb-20251231.htm ; https://www.genomeweb.com/node/656291</t>
  </si>
  <si>
    <t xml:space="preserve">Tecan Group</t>
  </si>
  <si>
    <t xml:space="preserve">Tecan; Fluent, Freedom EVO, Veya, Spark, Infinite, Cavro, Paramit, IBL International</t>
  </si>
  <si>
    <t xml:space="preserve">Maennedorf (Zurich)</t>
  </si>
  <si>
    <t xml:space="preserve">Switzerland</t>
  </si>
  <si>
    <t xml:space="preserve">Public (SIX: TECN)</t>
  </si>
  <si>
    <t xml:space="preserve">https://www.tecan.com</t>
  </si>
  <si>
    <t xml:space="preserve">Approximately 3,300 employees (Tecan Annual Report 2024; recalled, not re-verified).</t>
  </si>
  <si>
    <t xml:space="preserve">CHF 882.5 million</t>
  </si>
  <si>
    <t xml:space="preserve">FY2025 sales per full-year results release of Mar 16, 2026 (-5.5% in CHF, -1.6% in local currencies vs CHF 934.3m); net loss CHF 110.7m after CHF 139.5m impairments; year-end 2025 headcount not found in search snippets</t>
  </si>
  <si>
    <t xml:space="preserve">Fluent — automated liquid-handling workstation</t>
  </si>
  <si>
    <t xml:space="preserve">Freedom EVO — modular liquid-handling and robotics platform</t>
  </si>
  <si>
    <t xml:space="preserve">Spark — multimode microplate reader</t>
  </si>
  <si>
    <t xml:space="preserve">+41 44 922 81 11</t>
  </si>
  <si>
    <t xml:space="preserve">info@tecan.com</t>
  </si>
  <si>
    <t xml:space="preserve">Seestrasse 103, 8708 Männedorf, Switzerland</t>
  </si>
  <si>
    <t xml:space="preserve">HQ. Phone/address per Tecan Annual Report 2022 (fax +41 44 922 81 12); email appeared only in the IUCr supplier directory (https://circle-test.iucr.org/what-we-do/education/directories/suppliers/tecan), not confirmed on tecan.com.</t>
  </si>
  <si>
    <t xml:space="preserve">Gamidor Diagnostics (1984) Ltd. (גמידור דיאגנוסטיקה) [מפיץ; 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 +972-3-927-7277, info@gamidor.co.il, Shaham 32, Petach Tikva]</t>
  </si>
  <si>
    <t xml:space="preserve">[אימות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</si>
  <si>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partner based on one LinkedIn source covering only the diagnostics line; size figures recalled.</t>
  </si>
  <si>
    <t xml:space="preserve">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</si>
  <si>
    <t xml:space="preserve">Hamilton Company</t>
  </si>
  <si>
    <t xml:space="preserve">Hamilton Bonaduz AG, Hamilton Robotics, Hamilton Storage, Hamilton Process Analytics (Hamilton Medical AG is a separate sister company)</t>
  </si>
  <si>
    <t xml:space="preserve">Reno, Nevada (co-headquarters: Franklin, Massachusetts and Bonaduz, Graubuenden, Switzerland)</t>
  </si>
  <si>
    <t xml:space="preserve">Private (family-owned, Hamilton family)</t>
  </si>
  <si>
    <t xml:space="preserve">https://www.hamiltoncompany.com</t>
  </si>
  <si>
    <t xml:space="preserve">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</si>
  <si>
    <t xml:space="preserve">USD ~600 million (trade estimate; private)</t>
  </si>
  <si>
    <t xml:space="preserve">Hamilton (Reno NV / Bonaduz CH) is family-owned and publishes no revenue; trade estimates range USD 500-800M for the robotics, storage and syringe businesses combined. Figures recalled from company statements / filings and not re-verified online in this session.</t>
  </si>
  <si>
    <t xml:space="preserve">Microlab STAR / STARlet / Vantage — automated liquid-handling workstations with CO-RE pipetting</t>
  </si>
  <si>
    <t xml:space="preserve">Hamilton precision syringes (Microliter / Gastight) — glass microliter syringes for GC/HPLC autosamplers</t>
  </si>
  <si>
    <t xml:space="preserve">Hamilton Storage BiOS / SAM — automated ultra-low-temperature sample storage systems</t>
  </si>
  <si>
    <t xml:space="preserve">+1 775 858 3000</t>
  </si>
  <si>
    <t xml:space="preserve">4970 Energy Way, Reno, NV 89502, USA</t>
  </si>
  <si>
    <t xml:space="preserve">https://www.hamiltoncompany.com/contact</t>
  </si>
  <si>
    <t xml:space="preserve">HQ (Reno). Toll-free +1 800 648 5950, fax +1 775 856 7259 per the official global-headquarters page. No general email seen (a 2014 exhibitor listing gave oem@hamiltoncompany.com - OEM-specific and old).</t>
  </si>
  <si>
    <t xml:space="preserve">Danyel Biotech Ltd. (Gamida for Life group) (דניאל ביוטק) [מפיץ; Hamilton laboratory products - listed for Israel (Rehovot, danyel.co.il) on Hamilton's live 'Find a Distributor' laboratory-products page; Hamilton business lines (robotics/storage) not itemised in the snippet; 1-800-711-911 (also +972 8-936-6066), 8 Hamada St., Science Park, Rehovot 7670308] | Ophir Analytical Ltd. [מפיץ; Hamilton laboratory products - listed for Israel (Rosh Ha'ayin) on Hamilton's live laboratory-products distributor page: lab syringes for life science and chemistry, lab needles, Microlab 600 diluter/dispenser, GC septa, HPLC columns; +972 3-902-2277, Rosh Ha'ayin] | Tarom Applied Technologies Ltd. [מפיץ; Hamilton Process Analytics sensors - listed for Israel (Petach-Tikva, tarom.co.il) on Hamilton's live sensor distributor page]</t>
  </si>
  <si>
    <t xml:space="preserve">[אימות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</si>
  <si>
    <t xml:space="preserve">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</si>
  <si>
    <t xml:space="preserve">Cytek Biosciences</t>
  </si>
  <si>
    <t xml:space="preserve">Cytek; Cytek Amnis (ImageStream / Guava, acquired from Luminex 2023)</t>
  </si>
  <si>
    <t xml:space="preserve">Fremont, California</t>
  </si>
  <si>
    <t xml:space="preserve">Public (NASDAQ: CTKB)</t>
  </si>
  <si>
    <t xml:space="preserve">https://www.cytekbio.com</t>
  </si>
  <si>
    <t xml:space="preserve">Cytek FY2025 10-K: 702 full-time employees as of 31 Dec 2025.</t>
  </si>
  <si>
    <t xml:space="preserve">USD 201.5 million</t>
  </si>
  <si>
    <t xml:space="preserve">FY2025 (year ended 31 Dec 2025) revenue USD 201.5 million, +1% vs USD 200.5 million in 2024; Q4-2025 USD 62.1 million (+8% YoY); GAAP gross margin 52% (10-K / Q4-2025 results release). Manufacturing in Fremont CA, Wuxi China and Singapore.</t>
  </si>
  <si>
    <t xml:space="preserve">Cytek Aurora — full-spectrum flow cytometer, up to 5 lasers / 64 detectors</t>
  </si>
  <si>
    <t xml:space="preserve">Cytek Aurora CS — full-spectrum cell sorter</t>
  </si>
  <si>
    <t xml:space="preserve">Cytek Northern Lights — compact 1-3 laser spectral analyzer (also clinical/CE-IVD)</t>
  </si>
  <si>
    <t xml:space="preserve">+1 877 922 9835</t>
  </si>
  <si>
    <t xml:space="preserve">47215 Lakeview Boulevard, Fremont, CA 94538, USA</t>
  </si>
  <si>
    <t xml:space="preserve">https://cytekbio.com/pages/contact-list</t>
  </si>
  <si>
    <t xml:space="preserve">HQ. Main number is toll-free (per several directories); official contact page lists service lines North America +1 510 657 0102 and Europe +31 20 765 3440 plus web forms; applicationsupport@cytekbio.com appeared only in one directory (medindexer). Offices in Amsterdam, Ely (UK), Tokyo, Shanghai.</t>
  </si>
  <si>
    <t xml:space="preserve">Almog Diagnostic and Medical Equipment Ltd. (אלמוג דיאגנוסטיקה) [מפיץ; Cytek Spectral Portfolio (Aurora / Aurora CS) - listed as the Israel distributor on Cytek's live Worldwide Distributors page; corroborated by the 2022 Business Wire release and installs at TAU and the Technion; +972 3-977-3390, info@almog.co.il, Shoham]</t>
  </si>
  <si>
    <t xml:space="preserve">[אימות עדכניות 10/2026] Re-confirmed on the manufacturer's side: Cytek's live Worldwide Distributors page lists Almog Diagnostic &amp; Medical Equipment Ltd. as the Israel distributor for the Cytek Spectral Portfolio (Aurora family); Israel is not among Cytek's direct-sales countries. The snippet also associated 'Abacus Dx' with the Cytek Guava portfolio for Israel, but Abacus dx is an Australasian distributor and the association may be a snippet-parsing artefact, so it is noted here rather than recorded as an entity. 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</si>
  <si>
    <t xml:space="preserve">Revenue from the SEC 10-K (via search result); headcount not retrieved. Israeli distributor (Almog) supported by a 2022 press release plus recent LinkedIn/installation evidence, not by a Cytek-published distributor list.</t>
  </si>
  <si>
    <t xml:space="preserve">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 ; https://cytekbio.com/pages/distributors ; https://www.businesswire.com/news/home/20220614005394/en/</t>
  </si>
  <si>
    <t xml:space="preserve">Carl Zeiss AG – Research Microscopy Solutions</t>
  </si>
  <si>
    <t xml:space="preserve">ZEISS; Carl Zeiss Microscopy GmbH; ZEISS Research Microscopy Solutions (RMS); Industrial Quality &amp; Research segment</t>
  </si>
  <si>
    <t xml:space="preserve">Oberkochen, Baden-Wuerttemberg (microscopy business unit in Jena)</t>
  </si>
  <si>
    <t xml:space="preserve">Carl Zeiss AG (100% owned by the Carl Zeiss Foundation / Carl-Zeiss-Stiftung)</t>
  </si>
  <si>
    <t xml:space="preserve">Private (foundation-owned; sub-group Carl Zeiss Meditec AG is listed, XETRA: AFX)</t>
  </si>
  <si>
    <t xml:space="preserve">https://www.zeiss.com/microscopy</t>
  </si>
  <si>
    <t xml:space="preserve">ZEISS Group headcount, fiscal year 2024/25 (ended 30 Sep 2025): 46,622 (prior year 46,485); &gt;7,300 in R&amp;D. Research Microscopy Solutions headcount is not disclosed separately.</t>
  </si>
  <si>
    <t xml:space="preserve">EUR 11.896 billion</t>
  </si>
  <si>
    <t xml:space="preserve">FY2024/25 (ending Sep-2025)</t>
  </si>
  <si>
    <t xml:space="preserve">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</si>
  <si>
    <t xml:space="preserve">ZEISS LSM 980 / LSM 990 with Airyscan 2 — confocal laser scanning microscopes for live-cell imaging</t>
  </si>
  <si>
    <t xml:space="preserve">ZEISS Axio Observer / Axio Imager — inverted and upright research light microscope platforms</t>
  </si>
  <si>
    <t xml:space="preserve">ZEISS GeminiSEM / Crossbeam — field-emission SEM and FIB-SEM for materials and life science</t>
  </si>
  <si>
    <t xml:space="preserve">ZEISS Israel / Carl Zeiss SMS Ltd. [חברה-בת; Legal entity behind the live official ZEISS Israel site zeiss.co.il (HaDolev 3, Bar Lev Industrial Park, D.N. Misgav 2015600); the site covers semiconductor, ophthalmology and other business areas - it is NOT shown as a research-microscopy sales/service team; Karmiel] | Getter Group (Getter Bio-Med) (גטר ביומד) [מפיץ; ZEISS microscopes in Israel: Getter's live brand list includes Zeiss (lab microscopes, hospital microscopes, cameras) and its English About page calls Getter the exclusive representative; Getter Bio Med's 'Scientific Light Microscopy' team posted with Zeiss tags from IMEC 2025 (Jerusalem) and ISM 2026 on LinkedIn; +972 3-576-1555 (Getter Group switchboard), 7 Shimshon St., Petah Tikva 4912502]</t>
  </si>
  <si>
    <t xml:space="preserve">[אימות עדכניות 10/2026] Getter Group's live site keeps Zeiss in its brand list (lab microscopes, hospital microscopes, cameras) and its English About page calls Getter the exclusive representative; LinkedIn posts by Getter Bio Med's Scientific Light Microscopy team tagged Zeiss at IMEC 2025 (Jerusalem) and ISM 2026, so the research-microscopy relationship is active in 2025-2026. The ZEISS Israel site (zeiss.co.il, Carl Zeiss SMS Ltd.) is live but remains a semiconductor/ophthalmology entity and is not shown as a microscopy sales team. zeiss.com exposes no Israel entry for microscopy partners (its only Israeli listing is OpteamX, Azor, for industrial camera lenses, out of scope). Getter BioMed (גטר ביומד, Getter Group) states on its own site that it imports, markets and professionally supports ZEISS laboratory microscopes in Israel under the 'צייס ישראל' banner, listing LSM 900 and LSM 980 Airyscan confocals, Axioscope 7, Axiovert 5 digital and ZEISS dental/surgical microscopes. zeiss.com was not checked (search budget) and some Getter pages are about three years old, so current exclusivity should be confirmed with ZEISS. Other ZEISS lines have separate Israeli importers (eyeglass lenses via Lapidot/LuxVision, camera lenses and binoculars via A.B.S.), which are not microscopy channels. Getter Group's brand page lists Zeiss (described there as an optics company) among the brands it represents; scope for research microscopy unconfirmed.</t>
  </si>
  <si>
    <t xml:space="preserve">Distributor's own site with explicit ZEISS-Israel microscopy positioning and current LSM 900/980 listings; manufacturer page not checked.</t>
  </si>
  <si>
    <t xml:space="preserve">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 ; https://www.zeiss.co.il/corporate/legal-information/publisher.html ; https://www.zeiss.co.il/corporate/contact.html ; https://www.zeiss.co.il/corporate/home.html ; https://www.zeiss.com/photonics-and-optics/en/industrial-lenses/distribution-partners.html ; https://www.lapidot.com/en/product/zeiss-lenses/ ; https://zeiss.com/microscopy/int/about-us/locations-subsidiaries.html ; https://www.getter.co.il/about-en/ ; https://getter-biomed.co.il/product-category/microscopes-and-imaging-systems-for-laboratories-microscopes-and-imaging-systems-for-laboratories/ ; https://getter-biomed.co.il/product-category/microscopes-and-imaging-systems-for-laboratories-microscopes-and-imaging-systems-for-laboratories/confocal-microscopy-and-superresolution/ ; https://www.getter-biomed.co.il/product/מיקרוסקופ-axioscop-7-של-חברת-carl-zeiss/ ; https://getter-biomed.co.il/%D7%9E%D7%99%D7%A7%D7%A8%D7%95%D7%A1%D7%A7%D7%95%D7%A4-%D7%9E%D7%91%D7%95%D7%A1%D7%A1-%D7%9E%D7%A1%D7%9A-zeiss-%D7%9B%D7%A2%D7%AA-%D7%91%D7%9E%D7%97%D7%99%D7%A8-%D7%94%D7%A9%D7%A7%D7%94/ ; https://getter-biomed.co.il/product/dentistry-equipment/ ; https://www.lapidot-vision.co.il/ ; https://www.absonline.co.il/zeiss ; https://www.getter.co.il/brands/ ; https://il.linkedin.com/in/noa-nitzan</t>
  </si>
  <si>
    <t xml:space="preserve">Evident (ex-Olympus Scientific Solutions)</t>
  </si>
  <si>
    <t xml:space="preserve">EVIDENT; formerly Olympus Scientific Solutions / Olympus Corporation scientific business (Olympus microscope brand heritage since 1919)</t>
  </si>
  <si>
    <t xml:space="preserve">Tokyo (Shinjuku)</t>
  </si>
  <si>
    <t xml:space="preserve">Bain Capital Private Equity (acquired from Olympus Corporation, closed April 2023, JPY 427.6 billion)</t>
  </si>
  <si>
    <t xml:space="preserve">Private equity (Bain Capital)</t>
  </si>
  <si>
    <t xml:space="preserve">https://www.evidentscientific.com</t>
  </si>
  <si>
    <t xml:space="preserve">'More than 4,300 employees in 24 countries' per Evident's April-2023 announcement of the Bain Capital acquisition; no newer headcount seen.</t>
  </si>
  <si>
    <t xml:space="preserve">approx. JPY 119 billion (last Olympus Scientific Solutions segment revenue, FY ending Mar-2022, pre-carve-out; recalled from Olympus reporting, unverified)</t>
  </si>
  <si>
    <t xml:space="preserve">FY ending Mar-2022 (pre-carve-out segment)</t>
  </si>
  <si>
    <t xml:space="preserve">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</si>
  <si>
    <t xml:space="preserve">FV4000 (FLUOVIEW) — confocal laser scanning microscope for life science</t>
  </si>
  <si>
    <t xml:space="preserve">BX53 / BX63 and IXplore (IX83) systems — upright and inverted research microscope platforms</t>
  </si>
  <si>
    <t xml:space="preserve">OmniScan X3 and Vanta — phased-array ultrasonic flaw detector; handheld XRF analyzers (NDT)</t>
  </si>
  <si>
    <t xml:space="preserve">+81 3 6901 4600</t>
  </si>
  <si>
    <t xml:space="preserve">Shinjuku Monolith, 3-1 Nishi-Shinjuku 2-chome, Shinjuku-ku, Tokyo, Japan</t>
  </si>
  <si>
    <t xml:space="preserve">HQ (Global Headquarters per company outline page). Phone is the Japan headquarters line on Evident's locations pages (https://evidentscientific.com/fr/locations), which list the Japan HQ/R&amp;D center at 67-4 Takakura-machi, Hachioji-shi, Tokyo 192-0033. Only privacy-request emails seen (e.g. Global-privacy@evidentscientific.com); no general email.</t>
  </si>
  <si>
    <t xml:space="preserve">Eisenberg Bros. Ltd. [מפיץ; Evident (ex-Olympus) microscopes: live site has an 'EVIDENT OLYMPUS launches APEXVIEW APX100 digital imaging system' news page, Evident OEM microscope components and the MVX10 macro zoom microscope page, in addition to the industrial lines (BX53M, GX53, LEXT, DSX, MX63, SZ/SZX) and FV4000/FV5000 confocal demos recorded earlier; +972 3-977-7000, Airport City] | Getter Group (Getter Bio-Med) (קבוצת גטר) [מפיץ; Olympus (now Evident) – Getter Group states it exclusively represents Olympus; scope (microscopy vs. medical endoscopy) to confirm; +972 3-576-1555 (Getter Group switchboard), 7 Shimshon St., Petah Tikva 4912502]</t>
  </si>
  <si>
    <t xml:space="preserve">[אימות עדכניות 10/2026] Eisenberg Bros.' site is live with current Evident content (an 'EVIDENT OLYMPUS launches APEXVIEW APX100' news page, Evident OEM microscope components and the MVX10 macro zoom page), which keeps it as the Israeli channel on the distributor side; evidentscientific.com still exposes no Israel distributor in snippets. Getter Group could not be re-confirmed for Olympus/Evident: the live Getter brand list seen in snippets (Agfa, Konica Minolta, Zeiss, KaVo, Canon, etc.) did not show Olympus, so it is kept as older evidence only. Searched 'Evident/Olympus microscope Israel distributor/נציג/יבואן', 'Eisenberg Olympus/Evident', Hebrew 'אייזנברג Olympus/Evident', the brand across the Israeli distributor domains and evidentscientific.com. Eisenberg Bros. Ltd. (eisenbros.co.il) carries the Evident range on its own site (industrial microscopes BX53M/GX53/LEXT/DSX/MX63/SZX plus Evident OEM components), consistent with its 2009 listing as Olympus microscope supplier and with a LinkedIn post by an Eisenberg applications specialist promoting Evident FV5000/FV4000 confocal demos in Israel. Evident's own locations page has no Israel office and its distributor network is not listed by country, so no manufacturer-side confirmation was seen; the 2009 Eisenberg hint is therefore still true as of the distributor's current website. Evident is owned by Bain Capital since Jan 2023. Getter Group's about page lists Olympus among the brands it exclusively represents in Israel (~2 years old); whether this covers Evident research microscopes or only Olympus medical products is not stated.</t>
  </si>
  <si>
    <t xml:space="preserve">Distributor's own current product pages verify the relationship; no Evident-side distributor listing for Israel was found, and the exact status (exclusive/authorized) is not stated.</t>
  </si>
  <si>
    <t xml:space="preserve">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 ; https://eisenbros.co.il/product-category/microscopy-imaging/ ; https://eisenbros.co.il/product/oem-microscope-components/ ; https://evidentscientific.com/en/locations ; https://evidentscientific.com/en/news/evident-olympus ; https://www.getter.co.il/about-en/ ; https://eisenbros.co.il/evident-olympus-launches-apexview-apx100-digital-imaging-system/ ; https://eisenbros.co.il/product/mvx10/ ; https://evidentscientific.com/en/products</t>
  </si>
  <si>
    <t xml:space="preserve">Nikon – Healthcare Business (Nikon Instruments)</t>
  </si>
  <si>
    <t xml:space="preserve">Nikon Instruments Inc.; Nikon Europe B.V. Healthcare; Nikon Solutions; Optos (retinal imaging, Nikon subsidiary)</t>
  </si>
  <si>
    <t xml:space="preserve">Tokyo (Shinagawa)</t>
  </si>
  <si>
    <t xml:space="preserve">Nikon Corporation</t>
  </si>
  <si>
    <t xml:space="preserve">Public (TSE: 7731)</t>
  </si>
  <si>
    <t xml:space="preserve">https://www.microscope.healthcare.nikon.com</t>
  </si>
  <si>
    <t xml:space="preserve">Nikon Corporation consolidated employees as of Mar 31, 2026 per Nikon company data page (20,069 at Mar 31, 2025)</t>
  </si>
  <si>
    <t xml:space="preserve">JPY 111,922 million</t>
  </si>
  <si>
    <t xml:space="preserve">Healthcare Business segment revenue for FY ended Mar 31, 2026 per Nikon 'Financial Results by Segment'. Nikon group revenue JPY 677,163m (-5.3% vs JPY 715,285m; about USD 4,537m) with operating loss JPY 112.4bn on impairments mainly in Digital Manufacturing/Precision Equipment (results of May 8, 2026) Correction: Nikon consolidated employees were 20,069 at Mar 31, 2025 per Nikon Sustainability Report 2025 (bracket shows 18,790).</t>
  </si>
  <si>
    <t xml:space="preserve">ECLIPSE Ti2 — inverted research microscope platform for live-cell imaging</t>
  </si>
  <si>
    <t xml:space="preserve">AX / AX R with NSPARC — high-resolution confocal microscope systems</t>
  </si>
  <si>
    <t xml:space="preserve">ECLIPSE Ji — AI-driven smart imaging/cell-analysis system</t>
  </si>
  <si>
    <t xml:space="preserve">+81 3 3773 1111</t>
  </si>
  <si>
    <t xml:space="preserve">Bsmarketing.Sales@nikon.com</t>
  </si>
  <si>
    <t xml:space="preserve">1-5-20 Nishi-Oi, Shinagawa-ku, Tokyo 140-8601, Japan</t>
  </si>
  <si>
    <t xml:space="preserve">https://www.healthcare.nikon.com/en/contact</t>
  </si>
  <si>
    <t xml:space="preserve">HQ. Address/phone are the Nikon Corporation head office per Nikon Sustainability Report 2025 (no Healthcare-unit-specific line found in two searches); Healthcare Business inquiries go via web form at healthcare.nikon.com/en/contact. Email appeared on a Nikon Healthcare Asia/Oceania/Middle East page (https://www.microscope.healthcare.nikon.com/en_AOM/thank-you); regional contact page microscope.healthcare.nikon.com/contact. US: Nikon Instruments, 1300 Walt Whitman Rd, Melville, NY 11747 (aggregator).</t>
  </si>
  <si>
    <t xml:space="preserve">Agentek Ltd. (אגנטק) [מפיץ; 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 +972 9-965-7000, Greenwork Yakum Business Park, Yakum 6097200]</t>
  </si>
  <si>
    <t xml:space="preserve">[אימות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</si>
  <si>
    <t xml:space="preserve">Manufacturer's contact directory and distributor's own brand page agree.</t>
  </si>
  <si>
    <t xml:space="preserve">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t>
  </si>
  <si>
    <t xml:space="preserve">JEOL</t>
  </si>
  <si>
    <t xml:space="preserve">Japan Electron Optics Laboratory; JEOL USA, JEOL (Europe), JEOL (UK)</t>
  </si>
  <si>
    <t xml:space="preserve">Akishima, Tokyo</t>
  </si>
  <si>
    <t xml:space="preserve">Public (TSE: 6951)</t>
  </si>
  <si>
    <t xml:space="preserve">https://www.jeol.com</t>
  </si>
  <si>
    <t xml:space="preserve">Electron microscopy &amp; X-ray / materials characterization</t>
  </si>
  <si>
    <t xml:space="preserve">3,604 consolidated employees as of Mar 31, 2025 per annual securities report (EDINET-sourced listings); Mar 31, 2026 figure not found in search snippets</t>
  </si>
  <si>
    <t xml:space="preserve">JPY 179,353 million</t>
  </si>
  <si>
    <t xml:space="preserve">Consolidated net sales for FY ended Mar 31, 2026 (-8.8% vs JPY 196,695m; operating profit JPY 26.0bn) per earnings release of May 15, 2026 as summarised by Quartr and StockAnalysis (company release not retrieved directly) Correction: Bracketed JPY 171.6bn is the FY ended Mar-2024 figure; FY ended Mar-2025 net sales were JPY 196.7bn. JEOL transferred its Medical Equipment business to Sysmex effective Apr 1, 2026 (FY Mar-2027 net sales forecast JPY 164.0bn).</t>
  </si>
  <si>
    <t xml:space="preserve">JEM-ARM300F2 GRAND ARM2 — atomic-resolution aberration-corrected TEM/STEM</t>
  </si>
  <si>
    <t xml:space="preserve">JSM-IT800 / JSM-7900F — field-emission scanning electron microscopes</t>
  </si>
  <si>
    <t xml:space="preserve">JNM-ECZ Luminous (ECZL) — NMR spectrometer series</t>
  </si>
  <si>
    <t xml:space="preserve">+81 42 543 1111</t>
  </si>
  <si>
    <t xml:space="preserve">3-1-2 Musashino, Akishima, Tokyo 196-8558, Japan</t>
  </si>
  <si>
    <t xml:space="preserve">HQ. Address/phone consistent across GlobalData, Datanyze and other directories; no general email seen; website www.jeol.co.jp.</t>
  </si>
  <si>
    <t xml:space="preserve">Bargal Analytical Instruments Ltd. (ברגל ציוד אנליטי) [מפיץ; 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 +972-3-979-6533, sales@bargal.co.il, 10 Shaked Street, Modi'in Industrial Park, Shoham 6085102]</t>
  </si>
  <si>
    <t xml:space="preserve">[אימות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</si>
  <si>
    <t xml:space="preserve">Manufacturer page and distributor's own product pages agree.</t>
  </si>
  <si>
    <t xml:space="preserve">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t>
  </si>
  <si>
    <t xml:space="preserve">Hitachi High-Tech</t>
  </si>
  <si>
    <t xml:space="preserve">Hitachi High-Technologies (name until 2020); Hitachi High-Tech Science; Hitachi High-Tech Analytical Science; Nissei Sangyo (original name)</t>
  </si>
  <si>
    <t xml:space="preserve">Tokyo (Minato, Toranomon)</t>
  </si>
  <si>
    <t xml:space="preserve">Hitachi, Ltd. (wholly owned since the 2020 tender offer and delisting)</t>
  </si>
  <si>
    <t xml:space="preserve">Subsidiary of Hitachi, Ltd. (public, TSE: 6501)</t>
  </si>
  <si>
    <t xml:space="preserve">https://www.hitachi-hightech.com</t>
  </si>
  <si>
    <t xml:space="preserve">company outline (hitachi-hightech.com): 15,514 consolidated / 7,318 non-consolidated employees as of March 2026</t>
  </si>
  <si>
    <t xml:space="preserve">JPY 821.7 billion</t>
  </si>
  <si>
    <t xml:space="preserve">FY2025 (ended Mar 2026)</t>
  </si>
  <si>
    <t xml:space="preserve">company outline (hitachi-hightech.com): consolidated revenue JPY 821.7bn for the fiscal year ended March 2026 (wholly owned subsidiary of Hitachi, Ltd.)</t>
  </si>
  <si>
    <t xml:space="preserve">Regulus / SU series FE-SEM (e.g. SU8600, SU7000) — field-emission scanning electron microscopes</t>
  </si>
  <si>
    <t xml:space="preserve">TM4000Plus II — tabletop scanning electron microscope</t>
  </si>
  <si>
    <t xml:space="preserve">LABOSPECT clinical chemistry analyzers — high-throughput clinical analyzers (also OEM cobas c for Roche)</t>
  </si>
  <si>
    <t xml:space="preserve">+81 3 3504 7111</t>
  </si>
  <si>
    <t xml:space="preserve">Toranomon Hills Business Tower, 1-17-1 Toranomon, Minato-ku, Tokyo 105-6409, Japan</t>
  </si>
  <si>
    <t xml:space="preserve">HQ - Israel office not found: two searches (Israel office; 'Hitachi High-Tech Israel' Ltd) returned no Israeli listing, so the Tokyo head office is recorded instead (per company outline and GlobalData). EMEA support: Hitachi High-Tech Europe GmbH, Europark Fichtenhain A12, 47807 Krefeld, Germany (https://www.hitachi-hightech.com/eu/en/support/technical-support/). US: 10 North Martingale Road, Suite 500, Schaumburg, IL 60173, +1 847 273 4141.</t>
  </si>
  <si>
    <t xml:space="preserve">unclear</t>
  </si>
  <si>
    <t xml:space="preserve">לא ברור</t>
  </si>
  <si>
    <t xml:space="preserve">Hitachi High-Tech Israel, Ltd. (היטאצ'י היי-טק ישראל) [חברה-בת; Maintenance/service of semiconductor manufacturing and inspection equipment; still listed on Hitachi High-Tech's live global-network page (Kiryat Gat office, P.O. Box 1000, MS: Hitachi LC2-3S, Kiryat Gat 82109, +972-8-666-6342, fax +972-8-666-6939); renamed from H.H.T.A. Semiconductor Equipment Israel Ltd. in April 2020. NOT a sales channel for SEM/TEM or analytical instruments.]</t>
  </si>
  <si>
    <t xml:space="preserve">[אימות עדכניות 10/2026] Hitachi High-Tech's live global-network page still lists Hitachi High-Tech Israel, Ltd. (Kiryat Gat office, P.O. Box 1000, MS: Hitachi LC2-3S, Kiryat Gat 82109, +972-8-666-6342, fax +972-8-666-6939), renamed from H.H.T.A. Semiconductor Equipment Israel in April 2020, so the subsidiary is current but remains a semiconductor-equipment service entity. No Israeli distributor for Hitachi SEM/TEM or analytical instruments surfaced across 21 Israeli distributor domains or in a 2025-2026 news query; Hitachi tabletop/FE-SEMs appear only on Quantum Design Europe's German, Austrian and Italian sites, and Quantum Design's Israel site (qd-europe.com/il) is run from its 'Italy and Israel branch office' in Rome without any explicit statement that Hitachi SEM is offered to Israel. The lab-instrument channel therefore remains unclear. Hitachi High-Tech's global-network page lists Hitachi High-Tech Israel, Ltd. (Kiryat Gat office, P.O. Box 1000, MS: Hitachi LC2-3S, Kiryat Gat 82109), renamed in 2020 from H.H.T.A. Semiconductor Equipment Israel Ltd.; the Dunsguide entry (היטאצ'י היי-טק ישראל) classifies it under semiconductors/electronic components in Tel Aviv. This subsidiary supports semiconductor process equipment and no source shows it selling SEM/TEM or analytical (XRF, spectrophotometer) products; Hitachi High-Tech Analytical Science's contact page says inquiries are routed to a regional distributor, and the Israeli distributor was not identified (Bargal, which sells SEM/TEM in Israel, represents JEOL). The lab-instrument channel therefore stays unclear although the Israeli entity is verified.</t>
  </si>
  <si>
    <t xml:space="preserve">Subsidiary verified on hitachi-hightech.com but it is semiconductor-focused; SEM/TEM/analytical distributor not found.</t>
  </si>
  <si>
    <t xml:space="preserve">https://www.hitachi-hightech.com/global/network/israel.html ; https://www.hitachi-hightech.com/global/en/company/group/ ; https://www.hitachi-hightech.com/file/global/pdf/about/ir/ir_library/ar2011_all.pdf ; https://hha.hitachi-hightech.com/en/contact-us ; https://qd-europe.com/il/en/news/latest-updates/newsdetails/quantum-design-and-hitachi-strong-partners-for-electron-microscopy--1403/ ; https://hitachi-hightech.com/global/network/israel.html ; https://www.hitachi-hightech.com/global/en/company/history.html ; https://www.dunsguide.co.il/Cbb1f8bb487930de25836c244c98d6697_%D7%97%D7%91%D7%A8%D7%95%D7%AA_%D7%94%D7%99%D7%99%D7%98%D7%A7_%D7%95%D7%9E%D7%99%D7%97%D7%A9%D7%95%D7%91/%D7%94%D7%99%D7%98%D7%90%D7%A6%D7%99_%D7%94%D7%99%D7%99_%D7%98%D7%A7_%D7%99%D7%A9%D7%A8%D7%90%D7%9C/ ; https://bargal.co.il/product/jsm-it200-scanning-electron-microscope-sem/ ; https://qd-europe.com/de/en/product/tm4000-series-tabletop-sem/ ; https://qd-europe.com/il/en/about-us/contact/ ; https://www.hitachi-hightech.com/global/en/company/outline.html ; https://www.hitachi-hightech.com/global/name/</t>
  </si>
  <si>
    <t xml:space="preserve">TESCAN</t>
  </si>
  <si>
    <t xml:space="preserve">TESCAN; TESCAN ORSAY HOLDING; TESCAN Brno; TESCAN XRE (micro-CT, Belgium)</t>
  </si>
  <si>
    <t xml:space="preserve">Brno</t>
  </si>
  <si>
    <t xml:space="preserve">Czech Republic</t>
  </si>
  <si>
    <t xml:space="preserve">Shimadzu Corporation (acquisition completed 10 Jul 2026)</t>
  </si>
  <si>
    <t xml:space="preserve">Subsidiary of Shimadzu Corporation (public, TSE: 7701) since July 2026</t>
  </si>
  <si>
    <t xml:space="preserve">https://www.tescan.com</t>
  </si>
  <si>
    <t xml:space="preserve">headcount cited in coverage of Shimadzu's 25 Dec 2025 acquisition announcement (pulse2.com); directory band 501-1,000 (Dec 2025)</t>
  </si>
  <si>
    <t xml:space="preserve">CZK 4,026 million</t>
  </si>
  <si>
    <t xml:space="preserve">FY2024</t>
  </si>
  <si>
    <t xml:space="preserve">TESCAN Group consolidated net sales per Shimadzu's acquisition notice (25 Dec 2025): CZK 3,316m (2023), CZK 4,026m (2024), 2024 EBITDA CZK 627m. USD via ~25.1 CZK/EUR then EUR 1.10 (CZK not in the conversion table). Shimadzu completed the share purchase on 10 Jul 2026 (TESCAN now a wholly owned subsidiary; price reported USD 678-711m).</t>
  </si>
  <si>
    <t xml:space="preserve">TESCAN CLARA / MIRA — ultra-high-resolution field-emission SEMs</t>
  </si>
  <si>
    <t xml:space="preserve">TESCAN AMBER X / SOLARIS X — Xe plasma FIB-SEM for large-volume milling</t>
  </si>
  <si>
    <t xml:space="preserve">TESCAN TENSOR — 4D-STEM for nanoscale materials analysis</t>
  </si>
  <si>
    <t xml:space="preserve">+420 530 353 411</t>
  </si>
  <si>
    <t xml:space="preserve">info@tescan.com</t>
  </si>
  <si>
    <t xml:space="preserve">Libušina třída 21, 623 00 Brno, Czech Republic</t>
  </si>
  <si>
    <t xml:space="preserve">https://www.tescan.com/contacts</t>
  </si>
  <si>
    <t xml:space="preserve">HQ. Address/email per official contacts page; phone from the TESCAN GROUP profile (https://nanoasociace.cz/?p=6683) - another directory lists +420 530 353 211, verify. Media line +420 778 788 844.</t>
  </si>
  <si>
    <t xml:space="preserve">PicoTech Ltd. [מפיץ; TESCAN SEM / FIB-SEM / micro-CT and e-beam lithography sales and after-sales support (PicoTech SEM division); Ha-Mefalsim St 17, Petah Tikva, +972-3-6356650; listed on TESCAN's live distributor directory (contacts Nitzan Cafif / guy@picotech.co.il differ between sources); PicoTech's own site advertises a TESCAN Vega 3 SEM in stock for immediate installation in Israel; +972-3-6356650, 17 Ha-Mefalsim St., Petah Tikva]</t>
  </si>
  <si>
    <t xml:space="preserve">[אימות עדכניות 10/2026] Re-confirmed on both sides: TESCAN's live distributor directory lists PicoTech Ltd. (Ha-Mefalsim St 17, Petah Tikva) for Israel, and PicoTech's own site (picotech.co.il, now recorded) has TESCAN SEM/FIB-SEM pages and a 'Tescan Vega 3 SEM in-stock' notice offering immediate installation in Israel. Contact persons differ between sources (Nitzan Cafif vs. guy@picotech.co.il). The Shimadzu takeover of TESCAN noted earlier was not re-checked in this round. Searched 'TESCAN Israel distributor/נציג/יבואן', the brand across the Israeli distributor domains, tescan.com and 'PicoTech TESCAN'. TESCAN's own distributor directory lists PicoTech Ltd. (Petah Tikva) for Israel, and a PicoTech SEM-division sales engineer's LinkedIn post reports the first TESCAN/WITec Raman-SEM installed in Israel. Corporate change: Shimadzu completed the acquisition of all shares of TESCAN GROUP on 10 July 2026 (TESCAN is now a wholly owned Shimadzu subsidiary), which could affect the Israeli channel; PicoTech's own website URL was not captured in search snippets.</t>
  </si>
  <si>
    <t xml:space="preserve">Named on the manufacturer's official distributor page; corroborated by LinkedIn.</t>
  </si>
  <si>
    <t xml:space="preserve">https://tescan.com/distributors/picotech-ltd ; https://dev.tescan.com/Distributors/Israel ; https://tescan.com/distributors ; https://il.linkedin.com/in/guy-barak-90a54377 ; https://shimadzu.com/news/2026/j97cvpy4m18o8cm3.html ; https://tescan.com/about-tescan/ ; https://picotech.co.il/news/tescan-vega-3-sem-in-stock/ ; https://picotech.co.il/analytical-equipment/sem-fib-sem-accessories/compact-analytical-sem/ ; https://www.shimadzu.com/sites/shimadzu.com/files/ir/ugq2/9gwn9rgijjzm2gya.pdf ; https://pulse2.com/shimadzu-acquires-tescan-for-711-million-to-expand-electron-microscopy-business/ ; https://www.azolifesciences.com/news/20260715/Tescan-Joins-Shimadzu-Group-to-Accelerate-Innovation-and-Deliver-Greater-Value-to-Customers.aspx</t>
  </si>
  <si>
    <t xml:space="preserve">Rigaku Holdings</t>
  </si>
  <si>
    <t xml:space="preserve">Rigaku Corporation; Rigaku Americas; Rigaku Europe SE; Applied Rigaku Technologies</t>
  </si>
  <si>
    <t xml:space="preserve">Public (TSE Prime: 268A; IPO Oct 2023, previously Carlyle-controlled)</t>
  </si>
  <si>
    <t xml:space="preserve">https://www.rigaku.com</t>
  </si>
  <si>
    <t xml:space="preserve">Approximately 2,000 employees (IPO prospectus, recalled).</t>
  </si>
  <si>
    <t xml:space="preserve">JPY 94,193 million</t>
  </si>
  <si>
    <t xml:space="preserve">Revenue (IFRS) for FY ended Dec 31, 2025, +3.9% YoY, per full-year results of Feb 13, 2026 as reported by StockAnalysis and Envalith (company's own release not retrieved in snippets; matches Nov-2025 company forecast of JPY 94.12bn); FY2026 forecast JPY 101.0bn Correction: Implied FY2024 revenue was about JPY 90.7bn (not ~100bn). Employee count: only an undated ~1,970 (Google Finance) was found; not updated.</t>
  </si>
  <si>
    <t xml:space="preserve">SmartLab — multipurpose high-resolution X-ray diffractometer</t>
  </si>
  <si>
    <t xml:space="preserve">MiniFlex — benchtop powder X-ray diffractometer</t>
  </si>
  <si>
    <t xml:space="preserve">XtaLAB Synergy — single-crystal X-ray diffraction systems</t>
  </si>
  <si>
    <t xml:space="preserve">+972 4 995 1051</t>
  </si>
  <si>
    <t xml:space="preserve">info@xwinsys.com</t>
  </si>
  <si>
    <t xml:space="preserve">6 HaMehkar St., Ramat Gabriel Industrial Zone, P.O. Box 371, Migdal HaEmek 2306990, Israel</t>
  </si>
  <si>
    <t xml:space="preserve">Israel office - Rigaku Semiconductor Instruments Ltd. (ex-XwinSys), address/phone per Dec-2024 press release; fax +972 4 995 1078 and email per https://rigaku.com/rigaku-divisions (still listed under the XwinSys name, email may be outdated). EMEA: Rigaku Europe SE, Hugenottenallee 167, 63263 Neu-Isenburg, Germany, RESE@rigaku.com, +49 6102 77999 51. HQ: 3-9-12 Matsubara-cho, Akishima-shi, Tokyo 196-8666, +81 42 545 8111; global support support@rigaku.com. (semiconductor-metrology office, not the lab XRD channel; EMEA: RESE@rigaku.com)</t>
  </si>
  <si>
    <t xml:space="preserve">Rigaku Semiconductor Instruments Ltd. (formerly XwinSys Technology Development Ltd.) [חברה-בת; Rigaku Group company doing R&amp;D and manufacturing of X-ray semiconductor metrology tools (Ramat Gabriel Industrial Zone, 6 HaMehkar St, Migdal HaEmek; rsi@rigaku.com, +972-4-9951051); joined Rigaku 2019, renamed Dec 2024. Not a sales channel for analytical XRD/XRF.; +972-4-9951051, 6 HaMehkar St., Ramat Gabriel Industrial Zone, P.O. Box 371, Migdal HaEmek 2306990] | Yarden Biotec (ירדן ביוטק) [מפיץ; Rigaku ED-XRF analysers - live Hebrew category 'ED-XRF instruments made by Rigaku Japan' with product pages NEX DE / NEX DE VS (60 kV), NEX QC / QC+ (50 kV), NEX CG II, NEX OL, NEX XT, NEX LS; XRD channel not confirmed; +972 2-651-1102, Moshav Yad HaShmona 9089500]</t>
  </si>
  <si>
    <t xml:space="preserve">[אימות עדכניות 10/2026] Yarden Biotec's live site has a Hebrew 'ED-XRF instruments made by Rigaku Japan' category with current product pages (NEX DE 60 kV, NEX QC 50 kV, NEX OL, NEX CG II, NEX XT, NEX LS), re-confirming it as the Israeli channel for Rigaku ED-XRF; Rigaku's own 2026 news (NEX QC II launch at Pittcon 2026) is not Israel-specific and no XRD channel surfaced. The Rigaku Semiconductor Instruments Ltd. division page was not re-checked within the budget and is kept with its 2024 evidence. Yarden Biotec (yarden-biotec.co.il) markets Rigaku ED-XRF analysers (e.g. NEX DE VS) in Israel on its own site, which is the only sales channel found for Rigaku lab instruments; no Israeli distributor for Rigaku XRD (MiniFlex, SmartLab, XtaLAB) was identified. Rigaku also owns Rigaku Semiconductor Instruments Ltd. in Migdal HaEmek (the former XwinSys, acquired 2019), listed on rigaku.com as a division for semiconductor metrology rather than an XRD/XRF sales office. Rigaku's EMEA service page lists Israel as served through partners/distributors (Service.Europe@rigaku.com).</t>
  </si>
  <si>
    <t xml:space="preserve">XRF channel verified on distributor site; XRD channel unknown; subsidiary verified on rigaku.com but out of scope for lab sales.</t>
  </si>
  <si>
    <t xml:space="preserve">https://archive.israelphysicalsociety.org/ips-conference-2009/fairs/rhenium-ltd.html ; https://rigaku.com/about/rigaku-divisions/rigaku-semiconductor-instruments-ltd ; https://rigaku.com/about/rigaku-divisions ; https://businesswire.com/news/home/20241216662726/en/5762344/The-Rigaku-Group%e2%80%99s-XwinSys-Changes-its-Name-to-Rigaku-Semiconductor-Instruments ; https://rigaku.com/about/contact-us ; https://www.yarden-biotec.co.il/lab-products/xrf-analyzers ; https://service.rigaku.com/emea/contact ; https://www.cbinsights.com/company/xwinsys/ ; https://www.yarden-biotec.co.il/lab-products-2/nex-de----60-kv ; https://www.yarden-biotec.co.il/lab-products-2/nex-qc---50kv ; https://rigaku.com/about/news-and-press-releases/rigaku-launches-nexqcii ; https://stockanalysis.com/quote/tyo/268A/financials/income-statement/ ; https://envalith.com/en/companies/268A/segments ; https://simplywall.st/stocks/jp/tech/tse-268a/rigaku-holdings-shares/news/rigaku-holdings-sharp-profit-drop-and-upbeat-guidance-might</t>
  </si>
  <si>
    <t xml:space="preserve">HORIBA</t>
  </si>
  <si>
    <t xml:space="preserve">HORIBA Scientific; HORIBA Jobin Yvon; HORIBA ABX (medical); HORIBA STEC; HORIBA Advanced Techno</t>
  </si>
  <si>
    <t xml:space="preserve">Public (TSE: 6856)</t>
  </si>
  <si>
    <t xml:space="preserve">https://www.horiba.com</t>
  </si>
  <si>
    <t xml:space="preserve">Consolidated group headcount approx. 9,000 (end-2024). Figures recalled from company reports, NOT verified in this session (web tools unavailable) - verify before use.</t>
  </si>
  <si>
    <t xml:space="preserve">JPY 333.0 billion</t>
  </si>
  <si>
    <t xml:space="preserve">Net sales for FY ended Dec 31, 2025 (record; +JPY 15.7bn vs JPY 317.3bn in 2024; operating profit JPY 53.0bn) per HORIBA FY2025 results presentation of Feb 25, 2026; segments: Energy &amp; Environment JPY 134.4bn, Bio &amp; Healthcare JPY 42.1bn, Materials &amp; Semiconductor JPY 156.5bn Correction: Bracketed JPY 306bn for FY2024 is inconsistent with HORIBA's FY2025 presentation, which shows FY2024 net sales of JPY 317.3bn. Consolidated employees were 8,955 at Dec 31, 2024 per corporate profile; the Dec-2025 group figure was not found (Japan group companies only: 3,324).</t>
  </si>
  <si>
    <t xml:space="preserve">LabRAM Soleil / LabRAM Odyssey — Raman microscopes and spectrometers</t>
  </si>
  <si>
    <t xml:space="preserve">Partica LA-960V2 — laser-diffraction particle size analyzer</t>
  </si>
  <si>
    <t xml:space="preserve">Yumizen H500 / H1500 — hematology analyzers (HORIBA Medical)</t>
  </si>
  <si>
    <t xml:space="preserve">+81 75 313 8121</t>
  </si>
  <si>
    <t xml:space="preserve">2 Miyanohigashi, Kisshoin, Minami-ku, Kyoto 601-8510, Japan</t>
  </si>
  <si>
    <t xml:space="preserve">HQ. Head office address/phone per HORIBA's own (semiconductor division) Japan contact page; fax +81 75 321 8312. No general email seen (contact form on horiba.com). A directory lists +81 75 325 5000 instead.</t>
  </si>
  <si>
    <t xml:space="preserve">Agrolan Ltd. [מפיץ; HORIBA water-quality / LAQUA electrochemistry instruments only; Moshav Nov, Ramat HaGolan, +972-4-6666999, agrolan@agrolan.co.il; listed on HORIBA's live water-quality distributor page and as 'Agrolan LTD (Water Quality only)' on HORIBA's worldwide-locations page; +972-4-666-9999, agrolan@agrolan.co.il, P.O. Box 45, Moshav Nov 12921] | New-Road Agencies Ltd. [מפיץ; HORIBA Scientific instruments (listed under 'Scientific' on HORIBA's live worldwide-locations page); 11 Ha'Amal St., Afek Business Park, 48092 Rosh Ha'Ayin, +972 3 902 8787, fax +972 3 902 8788; exact product lines not itemised; own website not found; Park Afek, Rosh Ha'ayin]</t>
  </si>
  <si>
    <t xml:space="preserve">[אימות עדכניות 10/2026] Re-confirmed on the manufacturer's side: HORIBA's live water-quality distributor page lists Agrolan Ltd. (Moshav Nov, Ramat HaGolan, +972-4-6666999, agrolan@agrolan.co.il) and its worldwide-locations page lists 'Agrolan LTD (Water Quality only)' and New-Road Agencies Ltd. (11 Ha'Amal St., Afek Business Park, 48092 Rosh Ha'Ayin, +972 3 902 8787) under Scientific. Caveat: the distributor page was last updated roughly 1,280 days ago (about 2023) per the search index, so contact details may have drifted; no Israeli channel for HORIBA Medical surfaced. Searched 'HORIBA Israel distributor/נציג/יבואן', the brand across the Israeli distributor domains, horiba.com, 'HORIBA Medical/ABX/Yumizen Israel' and 'New-Road Agencies'. HORIBA's worldwide-locations page lists two Israeli partners: Agrolan Ltd (water quality only; also on the LAQUA distributor page for Israel) and New-Road Agencies Ltd (scientific); HORIBA has no Israeli office (its only Middle East base is HORIBA Middle East in the UAE, created June 2026 by acquiring distributor FANDA). No Israeli distributor for HORIBA Medical (hematology) was found. Caveat: the HORIBA pages are roughly 3-4 years old and neither distributor's own site was seen, so current status should be confirmed.</t>
  </si>
  <si>
    <t xml:space="preserve">Both entities named on HORIBA's own pages, but the listings are dated, no distributor-side confirmation, and the medical division channel is unknown.</t>
  </si>
  <si>
    <t xml:space="preserve">https://www.horiba.com/int/contact/worldwide-locations/ ; https://www.horiba.com/int/water-quality/contact/distributors/ ; http://www-origin.horiba.com/application/material-property-characterization/water-analysis/water-quality-electrochemistry-instrumentation/distributors/israel/ ; https://www.horiba.com/esp/company/group-companies/ ; https://www.horiba.com/int/company/events/detail/news/6/2026/20260625hme/ ; https://www.horiba.com/medical/products/hematology ; https://static.horiba.com/fileadmin/Horiba/Company/Investor_Relations/IR_Library/Presentation_Materials/20260225_PR_en_01_B5s.pdf ; https://stockanalysis.com/quote/tyo/6856/financials/income-statement/</t>
  </si>
  <si>
    <t xml:space="preserve">Malvern Panalytical (Spectris)</t>
  </si>
  <si>
    <t xml:space="preserve">Malvern Instruments, PANalytical (Philips Analytical heritage); Spectris Scientific division</t>
  </si>
  <si>
    <t xml:space="preserve">Malvern, Worcestershire (second HQ: Almelo, Netherlands)</t>
  </si>
  <si>
    <t xml:space="preserve">Spectris (owned by KKR since December 2025)</t>
  </si>
  <si>
    <t xml:space="preserve">Subsidiary of Spectris — Private equity (KKR; GBP 4.7bn take-private completed December 2025, Spectris delisted 5 Dec 2025)</t>
  </si>
  <si>
    <t xml:space="preserve">https://www.malvernpanalytical.com</t>
  </si>
  <si>
    <t xml:space="preserve">Spectris group headcount (~7,600, per 2025 take-private coverage). Malvern Panalytical's own headcount was not obtained from a source in this session (it is generally described as roughly 2,000+ staff).</t>
  </si>
  <si>
    <t xml:space="preserve">GBP 776.7 million</t>
  </si>
  <si>
    <t xml:space="preserve">Spectris Scientific segment (Malvern Panalytical + Servomex etc.) FY2024; Spectris was taken private by KKR in Dec 2025 and no longer reports.</t>
  </si>
  <si>
    <t xml:space="preserve">Mastersizer 3000+ — laser-diffraction particle size analyzer</t>
  </si>
  <si>
    <t xml:space="preserve">Zetasizer Advance — DLS nanoparticle size &amp; zeta potential analyzer</t>
  </si>
  <si>
    <t xml:space="preserve">Empyrean — multipurpose X-ray diffractometer (XRD)</t>
  </si>
  <si>
    <t xml:space="preserve">+44 1684 581201</t>
  </si>
  <si>
    <t xml:space="preserve">Enigma Business Park, Grovewood Road, Malvern, WR14 1XZ, UK</t>
  </si>
  <si>
    <t xml:space="preserve">https://www.malvernpanalytical.com/en/about-us/contact-us/Contact-sales</t>
  </si>
  <si>
    <t xml:space="preserve">HQ (UK head office, Malvern Panalytical Ltd). Phone is the sales line per the official contact page; support +44 1684 581249. Netherlands head office: Malvern Panalytical B.V., Lelyweg 1, 7602 EA Almelo, sales +31 546 534 444. US: 117 Flanders Road, Westborough, MA 01581, +1 508 768 6400 (directory). No general email seen (an older IUCr directory lists info@panalytical.com, likely outdated).</t>
  </si>
  <si>
    <t xml:space="preserve">Dr. Uri Golik Chemical Instrumentation (ד"ר גוליק) [מפיץ; Malvern Panalytical particle/materials characterization - live manufacturer page, video page and product pages for Mastersizer 3000/3000+, Morphologi 4 and 4-ID, Zetasizer Pro, NanoSight NS300 (earlier also Archimedes, MicroCal); XRD line not seen; +972-3-518-7555, marketing@golik.co.il, 34 Kibbutz Galuyot St, Tel Aviv 66550]</t>
  </si>
  <si>
    <t xml:space="preserve">[אימות עדכניות 10/2026] Dr. Uri Golik's live site keeps a Malvern Panalytical manufacturer page, a Malvern Panalytical video page and current product pages (Mastersizer 3000/3000+, Morphologi 4 and 4-ID, Zetasizer Pro, NanoSight NS300), confirming the relationship on the distributor side in 2026. Malvern Panalytical's own 'Find your local contact' directory includes an Israel entry whose name was not exposed in the snippet, and the only manufacturer-side naming of Golik remains the 2013 Isranalytica article. Searched generic queries, 27 Israeli distributor domains and malvernpanalytical.com. Dr. Uri Golik Chemical Instrumentation has a current 'Malvern Panalytical' manufacturer page and product pages for Zetasizer Pro, Mastersizer 3000+, NanoSight NS300, Morphologi 4, Archimedes and MicroCal PEAQ-DSC; Malvern's own 2013 Isranalytica article calls Dr Golik its distributor (best-supplier award, CEO Dorit Bilman Golik) and a 2011 Malvern contact sheet attached to an Israeli government tender lists Golik, Tel Aviv, as Israel sales/service. Caveat: the manufacturer-side confirmations pre-date the 2017 Malvern/PANalytical merger, and XRD (ex-PANalytical) products were not seen on Golik's pages.</t>
  </si>
  <si>
    <t xml:space="preserve">Current distributor brand page corroborated by the manufacturer's own (older) article and contact sheet.</t>
  </si>
  <si>
    <t xml:space="preserve">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 ; https://www.golik.co.il/manufacturers/malvern-panalytical ; https://www.golik.co.il/productsv3/Zetasizer-Pro ; https://golik.co.il/products/mastersizer-range/ ; https://www.golik.co.il/videos-malvernpanalytical</t>
  </si>
  <si>
    <t xml:space="preserve">Oxford Instruments</t>
  </si>
  <si>
    <t xml:space="preserve">Andor Technology, Oxford Instruments NanoAnalysis, Asylum Research, WITec, Oxford Instruments Plasma Technology, Magnetic Resonance; NanoScience (quantum business, sale agreed 2025)</t>
  </si>
  <si>
    <t xml:space="preserve">Abingdon, Oxfordshire</t>
  </si>
  <si>
    <t xml:space="preserve">Public (LSE: OXIG)</t>
  </si>
  <si>
    <t xml:space="preserve">https://www.oxinst.com</t>
  </si>
  <si>
    <t xml:space="preserve">Annual Report 2025 'at a glance' reads as '2,200+ employees' (text extraction ambiguous); operations in 23 countries, 27 base locations. Third-party aggregators show ~2,000.</t>
  </si>
  <si>
    <t xml:space="preserve">GBP 423.2 million</t>
  </si>
  <si>
    <t xml:space="preserve">Revenue from continuing operations for FY ended Mar 31, 2026 (-4.6% reported, -3.0% organic constant currency vs restated GBP 443.4m) per preliminary results of Jun 9, 2026; NanoScience reclassified as a discontinued operation; adjusted operating profit GBP 73.7m Correction: FY Mar-2025 revenue was restated to GBP 443.4m (continuing operations) after the NanoScience sale; GBP 500.6m was the previously reported figure including NanoScience. FY26 headcount not found (Annual Report 2025 'at a glance' still ~2,200).</t>
  </si>
  <si>
    <t xml:space="preserve">AZtec with Ultim Max (NanoAnalysis) — EDS/EBSD microanalysis systems for SEM/TEM</t>
  </si>
  <si>
    <t xml:space="preserve">Andor iXon / Sona / Dragonfly — scientific EMCCD/sCMOS cameras &amp; confocal imaging</t>
  </si>
  <si>
    <t xml:space="preserve">PlasmaPro 100 (Plasma Technology) — plasma etch &amp; deposition tools for semiconductors</t>
  </si>
  <si>
    <t xml:space="preserve">+44 1865 393200</t>
  </si>
  <si>
    <t xml:space="preserve">Tubney Woods, Abingdon, Oxfordshire OX13 5QX, UK</t>
  </si>
  <si>
    <t xml:space="preserve">HQ. Address/phone per Sharecast and GlobalData profiles; fax +44 1865 393333; no general email seen.</t>
  </si>
  <si>
    <t xml:space="preserve">Advanced Technological Solutions Ltd. (ATSL) [מפיץ; WITec (an Oxford Instruments company since 2021) SNOM/AFM/Raman imaging systems - appointed exclusive distributor in Israel in November 2012 (Kiryat Ata); no later confirmation found, current status unknown] | Quantum Design s.r.l. (Italy and Israel branch office, Rome) / Quantum Design Israel site [מפיץ; 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</si>
  <si>
    <t xml:space="preserve">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</si>
  <si>
    <t xml:space="preserve">Four different search angles found no Israeli entity; absence of evidence only.</t>
  </si>
  <si>
    <t xml:space="preserve">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</si>
  <si>
    <t xml:space="preserve">Anton Paar</t>
  </si>
  <si>
    <t xml:space="preserve">Anton Paar Group AG; Quantachrome Instruments (acquired 2018, now Anton Paar QuantaTec); Brabender (acquired 2023)</t>
  </si>
  <si>
    <t xml:space="preserve">Graz</t>
  </si>
  <si>
    <t xml:space="preserve">Austria</t>
  </si>
  <si>
    <t xml:space="preserve">Anton Paar Group AG (owned by the charitable Santner Foundation)</t>
  </si>
  <si>
    <t xml:space="preserve">Private (foundation-owned — Santner Foundation)</t>
  </si>
  <si>
    <t xml:space="preserve">https://www.anton-paar.com</t>
  </si>
  <si>
    <t xml:space="preserve">'4,500+ employees' per the company factsheet (dated June 2026) and Wikipedia; Revelio Labs shows 2,816 (Sept 2025) for a narrower legal-entity scope.</t>
  </si>
  <si>
    <t xml:space="preserve">EUR 629 million</t>
  </si>
  <si>
    <t xml:space="preserve">Net sales revenue 2025 EUR 629m per Anton Paar factsheet (June 2026); 14.5% of turnover invested in R&amp;D.</t>
  </si>
  <si>
    <t xml:space="preserve">DMA density meters (e.g. DMA 5000 M) — laboratory density &amp; concentration measurement</t>
  </si>
  <si>
    <t xml:space="preserve">MCR rheometer series (e.g. MCR 702e) — rotational &amp; oscillatory rheometers</t>
  </si>
  <si>
    <t xml:space="preserve">Multiwave 5000 / 7000 — microwave sample digestion systems</t>
  </si>
  <si>
    <t xml:space="preserve">+43 316 257-0</t>
  </si>
  <si>
    <t xml:space="preserve">Anton-Paar-Straße 20, 8054 Graz, Austria</t>
  </si>
  <si>
    <t xml:space="preserve">HQ (Anton Paar GmbH). Phone/address per fluidhandlingpro directory (fax +43 316 257 257); no general HQ email seen. Official page for Anton Paar Austria GmbH (sales &amp; service Austria), Ankerstraße 6, 8054 Graz: +43 316 269 571, info.at@anton-paar.com (https://www.anton-paar.com/au-en/about-us/anton-paar-companies/anton-paar-austria-gmbh).</t>
  </si>
  <si>
    <t xml:space="preserve">Prime Lab Scientific Instruments Ltd. (פריים לאב) [מפיץ; Anton Paar instruments (rheometers, density meters, SAXS) listed on Prime Lab's live home page (page about 2.6 years old per the search index); import, installation, IQ/OQ/PQ, calibration and after-sales service per the distributor; not listed on anton-paar.com in snippets]</t>
  </si>
  <si>
    <t xml:space="preserve">[אימות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</si>
  <si>
    <t xml:space="preserve">Distributor's own site plus an Israeli directory; manufacturer's distributor page not seen.</t>
  </si>
  <si>
    <t xml:space="preserve">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</si>
  <si>
    <t xml:space="preserve">Metrohm</t>
  </si>
  <si>
    <t xml:space="preserve">Metrohm Autolab, Metrohm Applikon (process analyzers), Metrohm DropSens, Metrohm Raman; Metrohm Middle East FZC (regional subsidiary)</t>
  </si>
  <si>
    <t xml:space="preserve">Herisau</t>
  </si>
  <si>
    <t xml:space="preserve">Metrohm Foundation (Metrohm Stiftung)</t>
  </si>
  <si>
    <t xml:space="preserve">Private (foundation-owned — Metrohm Foundation)</t>
  </si>
  <si>
    <t xml:space="preserve">https://www.metrohm.com</t>
  </si>
  <si>
    <t xml:space="preserve">Water &amp; electrochemical analysis</t>
  </si>
  <si>
    <t xml:space="preserve">Group-wide figure: Wikipedia infobox '3,200 (2024)', corroborated by PitchBook '3,200 as of 2024'. Primary company-site citation not visible in the snippet, so treat as secondary-sourced. Revelio puts Metrohm AG (Swiss parent entity only) at ~1,739 in 2025.</t>
  </si>
  <si>
    <t xml:space="preserve">CHF ~550 million (trade estimate; foundation-owned)</t>
  </si>
  <si>
    <t xml:space="preserve">No 2024/2025 revenue found; Wikipedia cites '&gt; CHF 400 million (2021)' only. Owned by the Metrohm Foundation; Herisau campus expanded by 20,000 m2 in summer 2024.</t>
  </si>
  <si>
    <t xml:space="preserve">OMNIS — modular automated titration platform</t>
  </si>
  <si>
    <t xml:space="preserve">940 Professional IC Vario / Eco IC — ion chromatography systems</t>
  </si>
  <si>
    <t xml:space="preserve">Autolab PGSTAT204 / PGSTAT302N — potentiostat/galvanostat electrochemistry workstations</t>
  </si>
  <si>
    <t xml:space="preserve">+41 71 353 85 85</t>
  </si>
  <si>
    <t xml:space="preserve">info@metrohm.com</t>
  </si>
  <si>
    <t xml:space="preserve">Ionenstrasse, 9100 Herisau, Switzerland</t>
  </si>
  <si>
    <t xml:space="preserve">https://www.metrohm.com/en/company/how-to-find-us.html</t>
  </si>
  <si>
    <t xml:space="preserve">HQ (Metrohm AG). Phone/address per the official 'How to find us' page (fax +41 71 353 89 01); email per the official Company info page.</t>
  </si>
  <si>
    <t xml:space="preserve">Israel Scientific Instruments Ltd. (ISI) (ISI – ישראל מכשור מדעי) [מפיץ; Official distributor of all Metrohm products and services in Israel from 17 July 2025 per Metrohm's own news page (ISI founded 1971 as a Varian Inc. subsidiary, led by the Steiner family since 1977); ISI website not surfaced in snippets; +972 3-923-2202, info@isil.co.il, 32 Shacham St., P.O. Box 7790, Petah Tikva 49170]</t>
  </si>
  <si>
    <t xml:space="preserve">[אימות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</si>
  <si>
    <t xml:space="preserve">Israeli distributor comes from the manufacturer's own 2025 announcement (strong); size figures could not be sourced.</t>
  </si>
  <si>
    <t xml:space="preserve">https://www.metrohm.com/en/discover/news/2025/new-metrohm-distributor-in-israel.html ; https://en.wikipedia.org/wiki/Metrohm ; https://www.terrapinn.com/exhibition/arablab-live/exhibitor-metrohm-middle-east-fzc.stm ; https://pitchbook.com/profiles/company/64426-42 ; https://www.metrohm.com/en_ae/company/how-to-find-us.html</t>
  </si>
  <si>
    <t xml:space="preserve">LECO Corporation</t>
  </si>
  <si>
    <t xml:space="preserve">LECO (Laboratory Equipment Corporation); Pegasus, TruSpec, ChromaTOF, LECO Europe (Mönchengladbach)</t>
  </si>
  <si>
    <t xml:space="preserve">St. Joseph, Michigan</t>
  </si>
  <si>
    <t xml:space="preserve">Private (family-owned — Warren family)</t>
  </si>
  <si>
    <t xml:space="preserve">https://www.leco.com</t>
  </si>
  <si>
    <t xml:space="preserve">Elemental &amp; materials analysis</t>
  </si>
  <si>
    <t xml:space="preserve">Roughly 1,000 employees worldwide (recalled, unverified).</t>
  </si>
  <si>
    <t xml:space="preserve">USD ~250 million (trade estimate; private)</t>
  </si>
  <si>
    <t xml:space="preserve">LECO (St. Joseph, MI) is family-owned; trade estimates USD 200-300M. Figures recalled from company statements / filings and not re-verified online in this session.</t>
  </si>
  <si>
    <t xml:space="preserve">828 / 928 Series — combustion CHN/CHNS/O macro elemental analyzers</t>
  </si>
  <si>
    <t xml:space="preserve">Pegasus BT 4D — GCxGC time-of-flight mass spectrometer</t>
  </si>
  <si>
    <t xml:space="preserve">836 Series (ONH836) — oxygen/nitrogen/hydrogen inert-gas-fusion analyzer</t>
  </si>
  <si>
    <t xml:space="preserve">+1 269 985 5496</t>
  </si>
  <si>
    <t xml:space="preserve">info@leco.com</t>
  </si>
  <si>
    <t xml:space="preserve">3000 Lakeview Avenue, St. Joseph, MI 49085, USA</t>
  </si>
  <si>
    <t xml:space="preserve">https://info.leco.com/contact</t>
  </si>
  <si>
    <t xml:space="preserve">HQ. Toll-free +1 800 292 6141, fax +1 269 982 8977; per LECO's legal notice and contact pages.</t>
  </si>
  <si>
    <t xml:space="preserve">Agentek (1987) Ltd. (אגנטק) [מפיץ; LECO analytical instruments, mass spectrometers and metallography - LECO listed on Agentek's live vendors page among the manufacturers it exclusively represents; Agentek's ISO 9001:2015 certificate (Dec 2023) covers import, sales and service of analytical instrumentation; LECO's Middle East (UAE) and Czech offices list Israel among countries they serve; +972 9-965-7000, Greenwork Yakum Business Park, Yakum 6097200]</t>
  </si>
  <si>
    <t xml:space="preserve">[אימות עדכניות 10/2026] Agentek's live vendors page lists LECO among the manufacturers it exclusively represents (alongside Mettler Toledo, Shimadzu and Nikon), and its ISO 9001:2015 certificate (December-2023 PDF) covers import, sales and service of analytical instrumentation. On LECO's side, both LECO Middle East Trading LLC (UAE) and LECO's Czech office list Israel among the countries they serve, so LECO handles Israel regionally with Agentek as the local representative; LECO's authorised-distributor page itself was not exposed in snippets. Agentek's own vendors page (agentek.co.il/vendors) lists the brand among the manufacturers it represents in Israel (seen in a search excerpt; the manufacturer's own distributor page was not opened).</t>
  </si>
  <si>
    <t xml:space="preserve">https://eu.leco.com/contact/authorised-distributors ; https://en.wikipedia.org/wiki/LECO_Corporation ; https://leco.com/contact/usa ; https://www.leco.com/?p=3266 ; https://agentek.co.il/representative/leco/ ; https://agentek.co.il/vendors/ ; https://agentek.co.il/wp-content/uploads/2023/12/Agentek_9001_2015_Eng_1.pdf ; https://www.leco.com/contacts/uae/ ; https://africa.leco.com/contact/middle-east</t>
  </si>
  <si>
    <t xml:space="preserve">JASCO Corporation</t>
  </si>
  <si>
    <t xml:space="preserve">Japan Spectroscopic Co.; JASCO International, JASCO Inc. (Easton, MD, USA), JASCO Europe, JASCO Deutschland</t>
  </si>
  <si>
    <t xml:space="preserve">Hachioji, Tokyo</t>
  </si>
  <si>
    <t xml:space="preserve">https://www.jasco-global.com</t>
  </si>
  <si>
    <t xml:space="preserve">Roughly 400 employees in Japan plus overseas subsidiaries (recalled, unverified).</t>
  </si>
  <si>
    <t xml:space="preserve">JPY ~12 billion (trade estimate; private)</t>
  </si>
  <si>
    <t xml:space="preserve">FY2024 (estimate)</t>
  </si>
  <si>
    <t xml:space="preserve">JASCO (Hachioji, Tokyo) is privately held; order-of-magnitude estimate. Figures recalled from company statements / filings and not re-verified online in this session.</t>
  </si>
  <si>
    <t xml:space="preserve">J-1500 — circular dichroism (CD) spectrometer</t>
  </si>
  <si>
    <t xml:space="preserve">FT/IR-4X / FT/IR-6X — FTIR spectrometers</t>
  </si>
  <si>
    <t xml:space="preserve">V-700 series (V-780) — UV-Vis/NIR spectrophotometers</t>
  </si>
  <si>
    <t xml:space="preserve">2967-5 Ishikawa-machi, Hachioji-shi, Tokyo, Japan</t>
  </si>
  <si>
    <t xml:space="preserve">HQ. Address per Metoree directory only (business directories list JASCO International Co., Ltd. at 4-21 Sennin-cho 2-chome, Hachioji 193-0835); no HQ phone/email seen in two searches. US office (JASCO Inc.): 28600 Mary's Court, Easton, MD 21601, +1 800 333 5272, sales@jascoinc.com (https://chromatographyonline.com/view/jasco).</t>
  </si>
  <si>
    <t xml:space="preserve">Ophir Analytical Ltd. [מפיץ; 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 +972 3-902-2277, Rosh Ha'ayin]</t>
  </si>
  <si>
    <t xml:space="preserve">[אימות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</si>
  <si>
    <t xml:space="preserve">Named on the manufacturer's own where-to-buy / locations pages.</t>
  </si>
  <si>
    <t xml:space="preserve">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t>
  </si>
  <si>
    <t xml:space="preserve">SPECTRO Analytical Instruments (AMETEK)</t>
  </si>
  <si>
    <t xml:space="preserve">SPECTRO (AMETEK Materials Analysis Division); SPECTRO ARCOS, SPECTROBLUE, SPECTROGREEN, SPECTRO XEPOS, SPECTROMAXx, SPECTRO MS</t>
  </si>
  <si>
    <t xml:space="preserve">Kleve</t>
  </si>
  <si>
    <t xml:space="preserve">AMETEK, Inc.</t>
  </si>
  <si>
    <t xml:space="preserve">Subsidiary of AMETEK (public, NYSE: AME) — acquired 2005</t>
  </si>
  <si>
    <t xml:space="preserve">https://www.spectro.com</t>
  </si>
  <si>
    <t xml:space="preserve">AMETEK group headcount at 31 Dec 2025 as shown by headcount trackers citing the FY2025 10-K (PitchBook/Tickerleague/Datanyze 22,500; Revelio ~22,300). The 10-K Human Capital sentence itself was not visible in search snippets - verify against the FY2025 10-K.</t>
  </si>
  <si>
    <t xml:space="preserve">USD 7.4 billion</t>
  </si>
  <si>
    <t xml:space="preserve">AMETEK press release 3 Feb 2026 (SEC 8-K Ex. 99.1): FY2025 sales $7.4 billion, +7% vs 2024 (rounded in release; exact figure ~USD 7.43bn in the 10-K).</t>
  </si>
  <si>
    <t xml:space="preserve">SPECTRO ARCOS — high-resolution ICP-OES spectrometer</t>
  </si>
  <si>
    <t xml:space="preserve">SPECTRO XEPOS — energy-dispersive XRF spectrometer</t>
  </si>
  <si>
    <t xml:space="preserve">SPECTROMAXx — arc/spark OES metals analyzer</t>
  </si>
  <si>
    <t xml:space="preserve">+49 2821 892-0</t>
  </si>
  <si>
    <t xml:space="preserve">spectro.info@ametek.com</t>
  </si>
  <si>
    <t xml:space="preserve">Boschstraße 10, 47533 Kleve, Germany</t>
  </si>
  <si>
    <t xml:space="preserve">HQ. Address/phone per several directory listings (recyclinginside, yumda, fponthenet, jobvoting; fax +49 2821 892-2200); email from one older (2016-dated) listing - verify. US: 91 McKee Drive, Mahwah, NJ 07430, +1 201 642 3000 / +1 800 548 5809.</t>
  </si>
  <si>
    <t xml:space="preserve">Spectro (Israel) Ltd. (ספקטרו ישראל בע"מ) [מפיץ; States on its live site that it is the exclusive representative in Israel for SPECTRO Analytical Instruments; ICP-OES catalogue lists ICP ARCOS, ICP SPECTROGREEN and ICP GENESIS, plus SPECTROPORT mobile OES and SPECTRO xSORT handheld XRF; claims about 50% of the Israeli ICP-OES market; 10 Sacharov St., Rishon LeZion, +972 3 9693014. Independent Israeli company (est. 1994) that is also Elementar's distributor; NOT confirmed on spectro.com; +972 3-969-3014, spectro@spectro.co.il, 10 Sacharov St., Rishon LeZion]</t>
  </si>
  <si>
    <t xml:space="preserve">[אימות עדכניות 10/2026] Changed from unclear to distributor: Spectro (Israel) Ltd.'s live site states it is the exclusive representative in Israel for SPECTRO Analytical Instruments, lists ICP ARCOS, ICP SPECTROGREEN and ICP GENESIS under ICP-OES plus SPECTROPORT mobile OES and SPECTRO xSORT handheld XRF, and claims about 50% of the Israeli ICP-OES market. spectro.com's 'SPECTRO Worldwide' locator still exposes no Israel entry in snippets (Middle East handled from Dubai), so the relationship is confirmed on the distributor side only. Spectro (Israel) Ltd. is an independent Israeli company (est. 1994) that is also Elementar's listed distributor. No source seen names an Israeli distributor or office for SPECTRO Analytical Instruments: spectro.com's 'SPECTRO Worldwide' locator and AMETEK's global-locations page surfaced only a Middle East office in Dubai, and the distributor-domain, Hebrew and tender-angle queries returned nothing. One lead needs verification: Spectro (Israel) Ltd., Rishon LeZion (spectro.co.il, est. 1994), an independent analytical-instrument distributor that claims about 50% of the Israeli ICP-OES market and is Elementar's listed Israeli distributor; its name and ICP-OES focus suggest a possible link to SPECTRO, but the pages seen (its own site and LinkedIn) confirm only SYKAM, so it is NOT recorded here as a SPECTRO representative. A newroad.co.il 'XRF &amp; GDS elemental analysers in Israel' page also surfaced without naming SPECTRO.</t>
  </si>
  <si>
    <t xml:space="preserve">No confirming source; the Spectro (Israel) Ltd. lead is unverified and may be a coincidence of names.</t>
  </si>
  <si>
    <t xml:space="preserve">https://agentek.co.il/?p=2540 ; https://agentek.co.il/about-us/ ; https://2019.isranalytica.com/320-agentek ; https://v1.israelphysicalsociety.org/ips-conference-2009/fairs/agentek-ltd ; https://photonics.com/Buyers_Guide/SPECTRO_Analytical_Instruments/c14004 ; https://agentek.co.il/catalog/ ; https://agentek.co.il/vendors/?___from_store=he&amp;___store=en ; https://agentek.co.il/representative/shimadzu/ ; https://www.spectro.com/about-us/spectro-worldwide ; https://www.ametek.com/contact-us/global-locations ; http://www.spectro.co.il/index.php?language=eng ; https://www.linkedin.com/in/spectro-israel-ltd-b753901aa/ ; https://newroad.co.il/technologies/elemental-analyzer/ ; https://spectro.co.il/index.php?cs=5302&amp;dir=site&amp;op=category&amp;page=catalog ; http://www.spectro.co.il/ICP ; https://spectro.co.il/index.php?cs=5290&amp;dir=site&amp;op=item&amp;page=catalog ; https://spectro.co.il/product/xrf-xsort/ ; https://www.ametek.com/newsroom/news/investor/2026/february/ametek-announces-record-fourth-quarter-and-full-year-results ; https://www.sec.gov/Archives/edgar/data/1037868/000103786826000006/ametek8kexhibit99102032026.htm ; https://tickerleague.com/companies/AME/employee-count</t>
  </si>
  <si>
    <t xml:space="preserve">Analytik Jena (Endress+Hauser)</t>
  </si>
  <si>
    <t xml:space="preserve">Analytik Jena AG (former listed name); Biometra, CyBio; part of the Endress+Hauser Group</t>
  </si>
  <si>
    <t xml:space="preserve">Jena</t>
  </si>
  <si>
    <t xml:space="preserve">Endress+Hauser Group</t>
  </si>
  <si>
    <t xml:space="preserve">Subsidiary of Endress+Hauser Group (private, family-owned, Switzerland)</t>
  </si>
  <si>
    <t xml:space="preserve">https://www.analytik-jena.com</t>
  </si>
  <si>
    <t xml:space="preserve">Roughly 1,000 employees (recalled, unverified).</t>
  </si>
  <si>
    <t xml:space="preserve">EUR ~180 million (trade estimate)</t>
  </si>
  <si>
    <t xml:space="preserve">Part of the privately held Endress+Hauser Group (~EUR 3.9B group revenue); Analytik Jena alone is not disclosed. Figures recalled from company statements / filings and not re-verified online in this session.</t>
  </si>
  <si>
    <t xml:space="preserve">PlasmaQuant 9100 / PlasmaQuant MS — ICP-OES and ICP-MS spectrometers</t>
  </si>
  <si>
    <t xml:space="preserve">contrAA 800 — high-resolution continuum-source AAS</t>
  </si>
  <si>
    <t xml:space="preserve">multi N/C series — TOC/TNb analyzers</t>
  </si>
  <si>
    <t xml:space="preserve">+49 3641 77-70</t>
  </si>
  <si>
    <t xml:space="preserve">info@analytik-jena.com</t>
  </si>
  <si>
    <t xml:space="preserve">Konrad-Zuse-Str. 1, 07745 Jena, Germany</t>
  </si>
  <si>
    <t xml:space="preserve">https://analytik-jena.com/contact</t>
  </si>
  <si>
    <t xml:space="preserve">HQ. Fax +49 3641 77-9279; sales +49 3641 77 7444 / sales@analytik-jena.com; service +49 3641 77 7407 / service@analytik-jena.com; press presse@analytik-jena.com (official contact pages).</t>
  </si>
  <si>
    <t xml:space="preserve">Lifegene [מפיץ; Biometra thermal cyclers (TAdvanced, TOne, TRobot II) described on Lifegene's live pages as premium PCR instruments from Analytik Jena; +972 8-644-4314, info@lifegene.co.il, 4 Ha'maayan St., Modi'in 7171101 (directory lists Modi'in; other sources say Mevo Horon – verify)] | Tamar Laboratory Supplies [מפיץ; qTOWER³ real-time PCR thermal cycler (live product page) and 'PCR instruments from Biometra' (live project page); +972 2-533-6070 (also 02-579-9777), HaAla St., Mevaseret Zion 90805] | Lumitron (לומיטרון) [מפיץ; UVP bio-imaging systems - Lumitron's live About page describes UVP as a part of Analytik Jena; +972 52-525-6287, 17 Hamiflasim St., Petah Tikva]</t>
  </si>
  <si>
    <t xml:space="preserve">[אימות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</si>
  <si>
    <t xml:space="preserve">Life-science lines verified on distributor sites; analytical-chemistry channel unknown; manufacturer partner page not visible.</t>
  </si>
  <si>
    <t xml:space="preserve">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t>
  </si>
  <si>
    <t xml:space="preserve">Elementar Analysensysteme</t>
  </si>
  <si>
    <t xml:space="preserve">Elementar; Isoprime (IRMS, acquired 2016); elemental-analysis heritage of Heraeus</t>
  </si>
  <si>
    <t xml:space="preserve">Langenselbold (near Frankfurt)</t>
  </si>
  <si>
    <t xml:space="preserve">Private (family/management-owned; spun out of Heraeus in 1990)</t>
  </si>
  <si>
    <t xml:space="preserve">https://www.elementar.com</t>
  </si>
  <si>
    <t xml:space="preserve">Roughly 400 employees (recalled, unverified).</t>
  </si>
  <si>
    <t xml:space="preserve">EUR ~70 million (trade estimate; private)</t>
  </si>
  <si>
    <t xml:space="preserve">Family-owned (Langenselbold); order-of-magnitude estimate. Figures recalled from company statements / filings and not re-verified online in this session.</t>
  </si>
  <si>
    <t xml:space="preserve">UNICUBE / vario EL cube — CHNS/O combustion elemental analyzers</t>
  </si>
  <si>
    <t xml:space="preserve">isoprime precisION — isotope ratio mass spectrometer (IRMS)</t>
  </si>
  <si>
    <t xml:space="preserve">vario TOC cube — total organic carbon analyzer</t>
  </si>
  <si>
    <t xml:space="preserve">+49 6184 9393-0</t>
  </si>
  <si>
    <t xml:space="preserve">info@elementar.com</t>
  </si>
  <si>
    <t xml:space="preserve">Elementar-Straße 1, 63505 Langenselbold, Germany</t>
  </si>
  <si>
    <t xml:space="preserve">HQ. Fax +49 6184 9393-400; per the official legal notice. The UK portal imprint lists info@elementar.co.uk.</t>
  </si>
  <si>
    <t xml:space="preserve">Spectro (Israel) Ltd. (ספקטרו ישראל בע"מ) [מפיץ; Elementar's listed Israeli contact/distributor on its live 'Contact worldwide' page (10 Sacharov St., Rishon LeZion, +972 3 9693014, spectro@spectro.co.il); snippet layout places it with organic elemental, nitrogen/protein and TOC analysers; +972 3-969-3014, spectro@spectro.co.il, 10 Sacharov St., Rishon LeZion]</t>
  </si>
  <si>
    <t xml:space="preserve">[אימות עדכניות 10/2026] Re-confirmed on the manufacturer's side: Elementar's live 'Contact worldwide' page lists Spectro Israel Ltd., 10 Sacharov Street, Rishon LeZion, with phone and email as its Israeli contact (the snippet's layout places it with organic elemental, nitrogen/protein and TOC analysers). Spectro Israel's own live site confirms the Rishon LeZion address, its 1994 founding and its ICP-OES focus; it has no relation to SPECTRO Analytical/AMETEK beyond also representing that brand. Elementar's own 'Contact worldwide / contact local' pages list Spectro Israel Ltd., 10 Sacharov St., Rishon LeZion (+972 3 9693014, spectro@spectro.co.il, spectro.co.il) as its Israeli distributor. Spectro (Israel) Ltd. is an independent Israeli analytical-instrument distributor founded in 1994 (ICP-OES focus, also SYKAM HPLC/IC/amino-acid analysers), with no shown relation to SPECTRO Analytical/AMETEK. The product scope in Israel (CHNS/O, TOC, nitrogen/protein, IRMS) is implied by the manufacturer listing rather than itemised.</t>
  </si>
  <si>
    <t xml:space="preserve">Named on the manufacturer's own worldwide-contacts page; distributor's site confirms the company exists at that address.</t>
  </si>
  <si>
    <t xml:space="preserve">https://en.wikipedia.org/wiki/Elementar ; https://www.spectaris.de/en/verband/members/address/elementar-analysensysteme-gmbh ; https://www.elementar.com/en/contact ; https://www.elementar.com/en/contact/contact-worldwide ; https://www.elementar.com/en-us/contact/contact-local ; http://www.spectro.co.il/index.php?language=eng ; https://www.linkedin.com/in/spectro-israel-ltd-b753901aa/</t>
  </si>
  <si>
    <t xml:space="preserve">NETZSCH Analyzing &amp; Testing</t>
  </si>
  <si>
    <t xml:space="preserve">NETZSCH-Gerätebau GmbH; NETZSCH Group business unit; brands DSC Caliris, STA Jupiter, TG Libra, LFA HyperFlash, DMA Eplexor, Kinexus rheometers</t>
  </si>
  <si>
    <t xml:space="preserve">Selb, Bavaria</t>
  </si>
  <si>
    <t xml:space="preserve">NETZSCH Group (Erich NETZSCH GmbH &amp; Co. Holding KG)</t>
  </si>
  <si>
    <t xml:space="preserve">Subsidiary of NETZSCH Group (private, family-owned, owner-managed)</t>
  </si>
  <si>
    <t xml:space="preserve">https://analyzing-testing.netzsch.com</t>
  </si>
  <si>
    <t xml:space="preserve">Thermal analysis &amp; materials testing</t>
  </si>
  <si>
    <t xml:space="preserve">NETZSCH Group: 'more than 4,000 employees in 36 countries' per the company's own exhibitor profiles 2024-2026 (group total, not the Analyzing &amp; Testing unit)</t>
  </si>
  <si>
    <t xml:space="preserve">EUR 877.1 million</t>
  </si>
  <si>
    <t xml:space="preserve">NETZSCH Group consolidated FY2024 per craft.co (filing-derived figures: gross profit EUR 547.4m, net income EUR 62.7m); the Analyzing &amp; Testing unit is not disclosed separately - verify against the Bundesanzeiger consolidated statement of the NETZSCH Holding</t>
  </si>
  <si>
    <t xml:space="preserve">DSC 300 Caliris — differential scanning calorimeter</t>
  </si>
  <si>
    <t xml:space="preserve">STA 509 Jupiter — simultaneous TGA-DSC thermal analyzer</t>
  </si>
  <si>
    <t xml:space="preserve">LFA 467 HyperFlash — laser-flash thermal diffusivity/conductivity analyzer</t>
  </si>
  <si>
    <t xml:space="preserve">+49 9287 881-0</t>
  </si>
  <si>
    <t xml:space="preserve">at@netzsch.com</t>
  </si>
  <si>
    <t xml:space="preserve">Wittelsbacherstr. 42, 95100 Selb, Germany</t>
  </si>
  <si>
    <t xml:space="preserve">HQ (NETZSCH-Gerätebau GmbH). Per German Pavilion exhibitor listings and the Bayern International company database (fax +49 9287 881-505).</t>
  </si>
  <si>
    <t xml:space="preserve">Medent Scientific Instruments (מדנט מכשור מדעי) [מפיץ; NETZSCH thermal analysis (DSC 204 F1 Phoenix, DSC 404 F1 Pegasus, DSC 3500 Sirius, STA 449 F5 Jupiter, STA 409 CD / QMS 403 coupling); +972 72-395-0508 (sales); +972 8-683-6306 (service), info@medent.co.il, 110 Mordei HaGetaot St., Beer Sheva 8420643]</t>
  </si>
  <si>
    <t xml:space="preserve">חיפוש רשת בלבד; דפי ״מפיצים״ של היצרן ואתרי המפיצים לא נפתחו (חסימת רשת). [אימות עדכניות 10/2026] Could not be re-confirmed as current: the only Medent item surfaced in two searches restricted to medent.co.il was a NETZSCH STA 449 F5 Jupiter brochure PDF uploaded to Medent's site in September 2019; the NETZSCH supplier page and DSC/STA product pages recorded earlier did not resurface. NETZSCH's own Offices &amp; Sites page lists no Israel location and analyzing-testing.netzsch.com exposes no Israel distributor, so the channel rests on dated distributor-side material and should be checked directly with NETZSCH or Medent. Medent Scientific Instruments (מדנט מכשור מדעי) lists NETZSCH thermal-analysis instruments on its own site with a dedicated 'NETZSCH - Germany' supplier page and DSC/STA categories (DSC 204 F1 Phoenix, DSC 404 F1 Pegasus, DSC 3500 Sirius, STA 449 F5 Jupiter, STA 409 CD with QMS 403 skimmer coupling). Some listings are old (one about 11 years), but models such as the DSC 3500 Sirius and STA 449 F5 date the catalogue to at least the mid/late 2010s. Not cross-checked on analyzing-testing.netzsch.com (search budget), so whether Medent is the current exclusive representative is unconfirmed.</t>
  </si>
  <si>
    <t xml:space="preserve">Distributor's own site only; some pages stale; manufacturer page not checked.</t>
  </si>
  <si>
    <t xml:space="preserve">https://www.dutcotennant.com/blog/check-out-netzschs-futuristic-range-of-thermal-analysis-products-at-arablab ; https://www.bayern-international.de/en/company-database/company-details/netzsch-geraetebau-gmbh-5371 ; https://analyzing-testing.netzsch.com/en/contact ; https://www.medent.co.il/scientific.equipment/store/product/netzsch/ ; https://medent.co.il/scientific.equipment/product-tag/netzsch-thermal-analysis/ ; https://medent.co.il/scientific.equipment/product-category/אנליזה-תרמית/dsc-differential-scanning-calorimetry/ ; https://www.medent.co.il/scientific.equipment/product-category/%D7%90%D7%A0%D7%9C%D7%99%D7%96%D7%94-%D7%AA%D7%A8%D7%9E%D7%99%D7%AA/sta-simultaneous-tg-dsc/ ; https://medent.co.il/scientific.equipment/product/dsc-sirius-3500-differential-scanning-calorimeter-netzsch-germany/ ; https://medent.co.il/scientific.equipment/product/qms-4035-skimmer-coupling-system-netzsch-germany/ ; https://arablab.german-pavilion.com/en/sites/exhibitors/123458 ; https://chinaplas.german-pavilion.com/en/sites/exhibitors/116482 ; https://craft.co/netzsch-group ; https://www.medent.co.il/scientific.equipment/wp-content/uploads/2019/09/Simultaneous-Thermal-Analyzer-%E2%80%93-STA-449-F5-Jupiter-1.pdf ; https://www.netzsch.com/en/company/locations ; https://arablab.german-pavilion.com/en/sites/exhibitors/98670 ; https://chinaplas.german-pavilion.com/en/sites/exhibitors/135087</t>
  </si>
  <si>
    <t xml:space="preserve">Biotage</t>
  </si>
  <si>
    <t xml:space="preserve">Biotage; Astrea Bioseparations; formerly Pyrosequencing AB (Biotage brand founded 1989 in the USA); Selekt, Sfär, Isolera, Extrahera, Initiator, Alstra</t>
  </si>
  <si>
    <t xml:space="preserve">Uppsala</t>
  </si>
  <si>
    <t xml:space="preserve">Sweden</t>
  </si>
  <si>
    <t xml:space="preserve">KKR (via RWK BidCo AB)</t>
  </si>
  <si>
    <t xml:space="preserve">Private equity (KKR) — public cash offer of SEK 145/share (SEK 11.6 bn / ~USD 1.2 bn) announced April 2025, completion reported June 2025; previously public (Nasdaq Stockholm: BIOT), now delisted</t>
  </si>
  <si>
    <t xml:space="preserve">https://www.biotage.com</t>
  </si>
  <si>
    <t xml:space="preserve">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</si>
  <si>
    <t xml:space="preserve">SEK 2,056 million</t>
  </si>
  <si>
    <t xml:space="preserve">Year-end report Jan-Dec 2024: net sales SEK 2,056 m (SEK 1,862 m in 2023), +10.5% reported / +1.0% organic. No FY2025 public report expected after the KKR take-private.</t>
  </si>
  <si>
    <t xml:space="preserve">Biotage Selekt (with Sfär columns) — flash chromatography purification system and columns</t>
  </si>
  <si>
    <t xml:space="preserve">Biotage Extrahera — automated SPE/SLE sample-preparation workstation</t>
  </si>
  <si>
    <t xml:space="preserve">Biotage Initiator+ / Alstra+ — microwave organic and peptide synthesizers</t>
  </si>
  <si>
    <t xml:space="preserve">+46 18 56 59 00</t>
  </si>
  <si>
    <t xml:space="preserve">info@biotage.com</t>
  </si>
  <si>
    <t xml:space="preserve">Vimpelgatan 5 (visiting; postal: Box 8, 751 03 Uppsala), Uppsala, Sweden</t>
  </si>
  <si>
    <t xml:space="preserve">https://www.biotage.com/contact</t>
  </si>
  <si>
    <t xml:space="preserve">HQ; official contact page; reception Mon-Fri 8:00-15:00; separate order mailbox exists on the page</t>
  </si>
  <si>
    <t xml:space="preserve">Bargal Analytical Instruments Ltd. (ברגל ציוד אנליטי) [מפיץ; 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 +972-3-979-6533, sales@bargal.co.il, 10 Shaked Street, Modi'in Industrial Park, Shoham 6085102]</t>
  </si>
  <si>
    <t xml:space="preserve">[אימות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</si>
  <si>
    <t xml:space="preserve">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</si>
  <si>
    <t xml:space="preserve">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t>
  </si>
  <si>
    <t xml:space="preserve">Hach (Veralto)</t>
  </si>
  <si>
    <t xml:space="preserve">Hach; Hach Lange / HACH LANGE GmbH (Europe); formerly a Danaher Water Quality operating company</t>
  </si>
  <si>
    <t xml:space="preserve">Loveland, Colorado</t>
  </si>
  <si>
    <t xml:space="preserve">Veralto Corporation</t>
  </si>
  <si>
    <t xml:space="preserve">Subsidiary of Veralto Corporation (public, NYSE: VLTO; Veralto was spun off from Danaher in October 2023)</t>
  </si>
  <si>
    <t xml:space="preserve">https://www.hach.com</t>
  </si>
  <si>
    <t xml:space="preserve">Veralto FY2025 10-K: approximately 17,000 associates as of 31 Dec 2025 (whole company, not segment).</t>
  </si>
  <si>
    <t xml:space="preserve">USD 3,321 million</t>
  </si>
  <si>
    <t xml:space="preserve">Veralto FY2025 10-K / annual report segment table: Water Quality sales $3,321m (2024: $3,138m, +5.9%); Veralto total sales $5,503m.</t>
  </si>
  <si>
    <t xml:space="preserve">DR3900 / DR6000 — benchtop VIS / UV-VIS spectrophotometers for water analysis</t>
  </si>
  <si>
    <t xml:space="preserve">TNTplus — barcoded reagent-vial test chemistries</t>
  </si>
  <si>
    <t xml:space="preserve">HQ series (HQ1100/HQ4300) with Intellical probes — portable and benchtop pH / DO / conductivity meters</t>
  </si>
  <si>
    <t xml:space="preserve">+1 800-227-4224 (toll-free); +1 970-669-3050 (international line)</t>
  </si>
  <si>
    <t xml:space="preserve">orders@hach.com; support@hach.com</t>
  </si>
  <si>
    <t xml:space="preserve">P.O. Box 389, Loveland, CO 80539, USA (street address 5600 Lindbergh Drive, Loveland, CO per directories only)</t>
  </si>
  <si>
    <t xml:space="preserve">https://hach.com/contact</t>
  </si>
  <si>
    <t xml:space="preserve">HQ; fax +1 970-669-2932; export/international: export@hach.com, intl@hach.com; tech support techhelp@hach.com / support.hach.com; Middle East regional contact page https://mena.hach.com/contact</t>
  </si>
  <si>
    <t xml:space="preserve">Modotec Ltd. (מודוטק בע"מ) [מפיץ; 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 +972-4-991-9988, 16 Moshe Bernstein St., South Industrial Park, Acre (Akko) 2422238]</t>
  </si>
  <si>
    <t xml:space="preserve">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</si>
  <si>
    <t xml:space="preserve">Only a ~5-year-old manufacturer page for the Flow line; core lab line channel unknown.</t>
  </si>
  <si>
    <t xml:space="preserve">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t>
  </si>
  <si>
    <t xml:space="preserve">Hanna Instruments</t>
  </si>
  <si>
    <t xml:space="preserve">HANNA; Hanna Instruments Italia (Villafranca Padovana); edge, Checker, HALO, HI-series</t>
  </si>
  <si>
    <t xml:space="preserve">Woonsocket, Rhode Island</t>
  </si>
  <si>
    <t xml:space="preserve">Private (family-owned — founded in Italy by Oscar and Anna Nardo; led by Martino and Pamela Nardo)</t>
  </si>
  <si>
    <t xml:space="preserve">https://www.hannainst.com</t>
  </si>
  <si>
    <t xml:space="preserve">Roughly 1,500 employees worldwide (recalled, unverified).</t>
  </si>
  <si>
    <t xml:space="preserve">USD ~150 million (trade estimate; private)</t>
  </si>
  <si>
    <t xml:space="preserve">Hanna (Woonsocket RI / Italy) is family-owned; order-of-magnitude estimate. Figures recalled from company statements / filings and not re-verified online in this session.</t>
  </si>
  <si>
    <t xml:space="preserve">HI931 / HI932 — automatic potentiometric titrators</t>
  </si>
  <si>
    <t xml:space="preserve">edge (HI2020) — benchtop/portable pH, EC and DO meter</t>
  </si>
  <si>
    <t xml:space="preserve">HI83300 series &amp; Checker HC — multiparameter photometers and handheld colorimeters</t>
  </si>
  <si>
    <t xml:space="preserve">+1 401-765-0048</t>
  </si>
  <si>
    <t xml:space="preserve">intsales@hannainst.com; sales@hannainst.com (US sales/technical service office, Smithfield RI)</t>
  </si>
  <si>
    <t xml:space="preserve">584 Park East Drive, Highland Industrial Park, Woonsocket, RI 02895, USA</t>
  </si>
  <si>
    <t xml:space="preserve">HQ; details from Hanna general catalog v38 (copy hosted by Hanna Ecuador/Guatemala sites); US toll-free +1 800-426-6287 (270 George Washington Hwy, Smithfield RI); directories (ZoomInfo) show +1 401-765-7500 for Woonsocket</t>
  </si>
  <si>
    <t xml:space="preserve">Medent Scientific Instruments (מדנט מכשור מדעי) [מפיץ; 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 +972 72-395-0508 (sales); +972 8-683-6306 (service), info@medent.co.il, 110 Mordei HaGetaot St., Beer Sheva 8420643] | BioAnalytics [מפיץ; Hanna pool/spa and food (bread/dough) pH testers; +972-72-242-9555, 29 Omarim St. (listed as "29'th Omarim"), Omer 84965] | Cannadepot [מפיץ; online retailer; Hanna portable pH/EC/TDS testers] | Mercury (mercury-ltd.co.il; part of Gadot Chemicals Group) (מרקורי) [מפיץ; 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 +972 3-938-7164, 12 Ha'avoda St., P.O. Box 159, Rosh Ha'ayin]</t>
  </si>
  <si>
    <t xml:space="preserve">[אימות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</si>
  <si>
    <t xml:space="preserve">Resale verified on three Israeli sites; official importer not identified.</t>
  </si>
  <si>
    <t xml:space="preserve">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t>
  </si>
  <si>
    <t xml:space="preserve">VELP Scientifica</t>
  </si>
  <si>
    <t xml:space="preserve">VELP</t>
  </si>
  <si>
    <t xml:space="preserve">Usmate Velate (Monza e Brianza)</t>
  </si>
  <si>
    <t xml:space="preserve">Italy</t>
  </si>
  <si>
    <t xml:space="preserve">https://www.velp.com</t>
  </si>
  <si>
    <t xml:space="preserve">General lab equipment (incubators, ovens, baths, shakers, stirrers)</t>
  </si>
  <si>
    <t xml:space="preserve">Roughly 200 employees (recalled, unverified).</t>
  </si>
  <si>
    <t xml:space="preserve">EUR 23.26 million</t>
  </si>
  <si>
    <t xml:space="preserve">VELP Scientifica Srl (Usmate) standalone filed accounts as republished by Topaziende/Quotidiano.net: revenue EUR 23.26m in 2024 (2023: EUR 21.98m), net profit EUR 3.98m, value of production EUR 24.13m; excludes foreign subsidiaries (USA, China, India); verify against the bilancio depositato. Company press: listed in Assolombarda/PwC Top500 Monza-Brianza 2024.</t>
  </si>
  <si>
    <t xml:space="preserve">UDK 169 / UDK 139 — automatic Kjeldahl distillation and titration units</t>
  </si>
  <si>
    <t xml:space="preserve">NDA 702 Dumas analyzer — nitrogen/protein determination by combustion</t>
  </si>
  <si>
    <t xml:space="preserve">AREX-6 / ARE hotplate stirrers and DKL digesters — magnetic stirrers, hotplates and Kjeldahl digestion units</t>
  </si>
  <si>
    <t xml:space="preserve">+39 039 628811</t>
  </si>
  <si>
    <t xml:space="preserve">Via Stazione 16, 20865 Usmate (MB), Italy</t>
  </si>
  <si>
    <t xml:space="preserve">https://velp.com/en-ww/where-we-are.aspx</t>
  </si>
  <si>
    <t xml:space="preserve">HQ (VELP Scientifica Srl); no general email in results; US office VELP Scientific Inc., 40 Burt Drive Unit #1, Deer Park NY 11729, +1 631 573 6002</t>
  </si>
  <si>
    <t xml:space="preserve">Labotal (לבוטל ציוד מדעי) [מפיץ; 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 +972 2-579-9222, Sales@labotal.co.il, Hashalom Rd., Abu Ghosh 9084500 (mail: Mevaseret Zion)]</t>
  </si>
  <si>
    <t xml:space="preserve">[אימות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</si>
  <si>
    <t xml:space="preserve">Explicit, dated statement on the distributor's own site plus directory corroboration; manufacturer page not checked.</t>
  </si>
  <si>
    <t xml:space="preserve">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</si>
  <si>
    <t xml:space="preserve">Roche Diagnostics</t>
  </si>
  <si>
    <t xml:space="preserve">Roche Diagnostics International Ltd; cobas; Elecsys; LightCycler; Ventana; Foundation Medicine; Accu-Chek</t>
  </si>
  <si>
    <t xml:space="preserve">Rotkreuz (division HQ) / Basel (group HQ)</t>
  </si>
  <si>
    <t xml:space="preserve">Roche Holding AG</t>
  </si>
  <si>
    <t xml:space="preserve">Division of Roche Holding AG (public, SIX: ROG / RO; OTCQX: RHHBY)</t>
  </si>
  <si>
    <t xml:space="preserve">https://diagnostics.roche.com</t>
  </si>
  <si>
    <t xml:space="preserve">Roche Group FTE at 31 Dec 2024 (Statista/Macrotrends citing Roche Annual Report 2024). End-2025 figure not found in search snippets; Roche Annual Report 2025 only says 'more than 100,000 employees' - check the Annual Report 2025 key figures.</t>
  </si>
  <si>
    <t xml:space="preserve">CHF 13.85 billion</t>
  </si>
  <si>
    <t xml:space="preserve">Roche full-year 2025 results (29 Jan 2026): Diagnostics division sales CHF 13.85bn (2024: CHF 14.32bn), -3% in CHF, +2% at CER; reported via 360Dx/GenomeWeb coverage of the Roche release. Correction: Bracketed 'Roche 103,600' is the end-2023 FTE count (103,605); the end-2024 figure was 103,249 FTE.</t>
  </si>
  <si>
    <t xml:space="preserve">cobas pro integrated solutions (c 503 / e 801) — high-throughput clinical chemistry and immunoassay analyzers</t>
  </si>
  <si>
    <t xml:space="preserve">cobas 6800 / 8800 and cobas 5800 Systems — automated PCR molecular diagnostics platforms</t>
  </si>
  <si>
    <t xml:space="preserve">LightCycler 480 / LightCycler PRO — real-time PCR instruments</t>
  </si>
  <si>
    <t xml:space="preserve">+972 9 973 7777</t>
  </si>
  <si>
    <t xml:space="preserve">6 Hacharash Street, Hod Hasharon 4524079, Israel</t>
  </si>
  <si>
    <t xml:space="preserve">https://diagnostics.roche.com/me/en/contact-forms/contact-us-support.html</t>
  </si>
  <si>
    <t xml:space="preserve">Israel office; address/phone from a third-party directory (Roche Israel, roche.co.il), not confirmed on an official Roche page; contact_url is the Roche Diagnostics Middle East contact form; an older Accu-Chek manual lists former distributor Dyn Diagnostics, 7 Ha'Eshel St, Caesarea, +972 4 627 7090</t>
  </si>
  <si>
    <t xml:space="preserve">parent_subsidiary</t>
  </si>
  <si>
    <t xml:space="preserve">נמכר דרך החברה-האם בישראל</t>
  </si>
  <si>
    <t xml:space="preserve">Roche Pharmaceuticals (Israel) Ltd. - Diagnostics division ("Roche Diagnostics Israel") [חברה-בת; 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 +972-9-9737777, 6 Hacharash St., P.O. Box 3691, Hod Hasharon 4524079] | Gamidor Diagnostics (גאמידור דיאגנוסטיקה בע"מ) [מפיץ; Roche Tissue Diagnostics only: Gamidor's live Tissue Diagnostics page offers IHC, molecular ISH and histochemical staining on automated slide-preparation instruments from VENTANA (Roche); not cobas/LightCycler; +972-3-927-7277, info@gamidor.co.il, Shaham 32, Petach Tikva] | Dyn Diagnostics [מפיץ; Roche Diabetes Care only: Dyn's live Home Care page lists ACCU-CHEK among its brands and describes its partnership with Roche Diabetes Care (Germany); CoaguChek INR self-testing also mentioned; not laboratory analyzers]</t>
  </si>
  <si>
    <t xml:space="preserve">[אימות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</si>
  <si>
    <t xml:space="preserve">Israel finding only: entity named on two official Roche pages; the direct-sales channel for cobas/LightCycler is inferred from the affiliate's IVD sales roles and the absence of any distributor, not from an explicit statement.</t>
  </si>
  <si>
    <t xml:space="preserve">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</si>
  <si>
    <t xml:space="preserve">Abbott Diagnostics</t>
  </si>
  <si>
    <t xml:space="preserve">Abbott Core Laboratory Diagnostics; Abbott Rapid Diagnostics; Alinity; ARCHITECT; i-STAT; ID NOW; BinaxNOW; Panbio; Cell-Dyn</t>
  </si>
  <si>
    <t xml:space="preserve">Abbott Park, Illinois</t>
  </si>
  <si>
    <t xml:space="preserve">Abbott Laboratories</t>
  </si>
  <si>
    <t xml:space="preserve">Division of Abbott Laboratories (public, NYSE: ABT)</t>
  </si>
  <si>
    <t xml:space="preserve">https://www.corelaboratory.abbott</t>
  </si>
  <si>
    <t xml:space="preserve">Abbott FY2025 10-K: approximately 115,000 employees as of 31 Dec 2025 (whole company, 69% outside the US).</t>
  </si>
  <si>
    <t xml:space="preserve">USD 8,937 million</t>
  </si>
  <si>
    <t xml:space="preserve">Abbott Q4/FY2025 results release 22 Jan 2026: Diagnostics full-year sales $8,937m, -4.3% reported / -4.5% organic (Abbott total sales $44.3bn).</t>
  </si>
  <si>
    <t xml:space="preserve">Alinity ci-series — integrated clinical chemistry and immunoassay analyzers</t>
  </si>
  <si>
    <t xml:space="preserve">Alinity m — automated molecular (PCR) diagnostics system</t>
  </si>
  <si>
    <t xml:space="preserve">ARCHITECT i2000SR / c8000 — legacy immunoassay and chemistry analyzers</t>
  </si>
  <si>
    <t xml:space="preserve">+972 3 769 1000</t>
  </si>
  <si>
    <t xml:space="preserve">Abbott Medical Laboratories Ltd., Atidim Science Park, Bldg. 4, P.O. Box 58099, Tel Aviv 61580, Israel</t>
  </si>
  <si>
    <t xml:space="preserve">https://www.abbott.com/global-locations-contacts/israel.html</t>
  </si>
  <si>
    <t xml:space="preserve">Israel office; official Abbott global-locations page; fax +972 3 649 4973</t>
  </si>
  <si>
    <t xml:space="preserve">Abbott Medical Laboratories Ltd. (אבוט מעבדות רפואיות בע"מ) [חברה-בת; Abbott's Israeli affiliate, Tel Aviv: Abbott's live global-locations page lists Israel, and the live il.abbott contact page lists nutrition, medical devices, pharmaceuticals and diagnostic products as its product areas; the il.abbott 'Abbott in Israel' page describes the affiliate (~160 employees incl. the Haifa informatics centre per earlier record); +972-3-769-1000, Atidim Science Park, Building 4, P.O. Box 58099, Tel Aviv 61580] | Ilex Medical Ltd. (אילקס מדיקל בע"מ) [מפיץ; Abbott diagnostics products: Ilex's own investor material (2024 periodic report published April 2025 / investor-relations page) names Abbott among the companies it represents alongside bioMérieux and Qiagen; specific Abbott instrument lines (Alinity/Architect) were not visible in snippets (a search restricted to ilexmedical.com for 'Alinity Architect' returned nothing from the site); +972-3-9385500, 7 HaTnufa St., Petah Tikva]</t>
  </si>
  <si>
    <t xml:space="preserve">[אימות עדכניות 10/2026] Abbott's live global-locations page and the Hebrew il.abbott site (contact page listing diagnostics among its product areas) confirm Abbott Medical Laboratories Ltd., Tel Aviv, as the current Israeli affiliate. Ilex Medical's own investor material (2024 periodic report, April 2025) names Abbott among the companies it represents, so Ilex is kept as a current channel with 2025 evidence, product-line scope unconfirmed. A Hebrew tender search for Alinity in 2025-2026 found no tender naming the supplier. Searched '"Abbott" Israel Alinity/Architect distributor/יבואן', Hebrew 'אבוט מעבדות רפואיות', the 29 Israeli distributor domains, mr.gov.il and Abbott's own domains. Abbott's global-locations page lists Abbott Medical Laboratories Ltd. in Tel Aviv under 'Nutrition, Pharmaceuticals and Diagnostics', and the Hebrew 'Abbott in Israel' page (il.abbott) says the affiliate has ~160 employees and that its diagnostics work in Israel covers molecular and laboratory tests; Globes reported the representative office opened in 2004 and Abbott's later expansion in Israel. No Israeli distributor for Alinity/Architect appeared on any distributor site. Caveat: no source states explicitly that the analyzers are sold and serviced by the affiliate itself, and the only tender hits concern Abbott Informatics (STARLIMS), not analyzers. Ilex Medical's profiles (SID Israel directory, Globes) list Abbott among the diagnostics companies it represents, alongside Abbott's own Israeli affiliate.</t>
  </si>
  <si>
    <t xml:space="preserve">Israel finding only: entity named on Abbott's own pages; direct channel for Alinity/Architect inferred from the affiliate's diagnostics scope and absence of a distributor.</t>
  </si>
  <si>
    <t xml:space="preserve">https://en.globes.co.il/en/article-1000531243 ; https://www.sec.gov/Archives/edgar/data/1800/000110465922025141/abt-20211231x10k.htm ; https://www.abbott.com/en-us/global-locations-contacts/israel ; https://www.il.abbott/about-us/abbott-in-israel.html ; https://en.globes.co.il/en/article-1000722459 ; https://mr.gov.il/ilgstorefront/he/p/attachment/005056BF19AF1EDC94819F5224C14143/%D7%A4%D7%A8%D7%95%D7%98%D7%95%D7%A7%D7%95%D7%9C%20%D7%95%D7%A2%D7%93%D7%94 ; https://www.sid-israel.org/en/index/ilex-medical-ltd ; https://www.abbott.com/global-locations-contacts/israel.html ; https://www.il.abbott/contact.html ; https://www.ilexmedical.com/wp-content/uploads/2025/04/%D7%93%D7%95%D7%97-%D7%AA%D7%A7%D7%95%D7%A4%D7%AA%D7%99-%D7%9C%D7%A9%D7%A0%D7%AA-2024.pdf ; https://www.ilexmedical.com/invest/ ; https://abbott.mediaroom.com/2026-01-22-Abbott-Reports-Fourth-Quarter-and-Full-Year-2025-Results-Issues-2026-Financial-Outlook ; https://www.sec.gov/Archives/edgar/data/1800/000162828026010185/abt-20251231.htm</t>
  </si>
  <si>
    <t xml:space="preserve">Siemens Healthineers – Diagnostics</t>
  </si>
  <si>
    <t xml:space="preserve">Siemens Healthcare Diagnostics Inc. (Tarrytown, NY); formerly Bayer Diagnostics, Dade Behring, DPC; Atellica, ADVIA, Dimension, RAPIDPoint, epoc, Aptio</t>
  </si>
  <si>
    <t xml:space="preserve">Erlangen (group HQ); Tarrytown, New York (Diagnostics segment HQ)</t>
  </si>
  <si>
    <t xml:space="preserve">Siemens AG</t>
  </si>
  <si>
    <t xml:space="preserve">Public (Xetra/FWB: SHL), majority-owned by Siemens AG (~75%); Siemens announced in Nov 2025 a plan to spin off ~30% of SHL shares to Siemens shareholders and deconsolidate Healthineers — completion status as of Oct 2026 not verified this session</t>
  </si>
  <si>
    <t xml:space="preserve">https://www.siemens-healthineers.com</t>
  </si>
  <si>
    <t xml:space="preserve">Siemens Healthineers group: approximately 74,000 employees worldwide in fiscal 2025 (ended 30 Sep 2025), per company press-release boilerplate; group revenue ~EUR 23.4bn.</t>
  </si>
  <si>
    <t xml:space="preserve">EUR 4.34 billion (approx.)</t>
  </si>
  <si>
    <t xml:space="preserve">FY2025 (Oct 2024 - Sep 2025)</t>
  </si>
  <si>
    <t xml:space="preserve">Diagnostics segment revenue fiscal 2025: MPO Magazine, citing the Siemens Healthineers FY2025 annual report, gives '4.34 billion', -1.6% reported / +0.4% comparable (labelled USD but matches the EUR segment figure: FY2024 segment revenue EUR 4.41bn, and company quarterly EUR figures Q1 1,068m, Q3 1,059m, Q4 1,098m). Exact EUR figure should be verified in the Annual Report 2025 segment table. Correction: Bracketed 'employees 72,000?' is the fiscal 2024 group headcount (30 Sep 2024); fiscal 2025 group headcount is ~74,000. Both are company-wide, not Diagnostics-segment figures.</t>
  </si>
  <si>
    <t xml:space="preserve">Atellica Solution (CH 930 / IM 1300-1600) — integrated chemistry &amp; immunoassay analyzers with sample automation</t>
  </si>
  <si>
    <t xml:space="preserve">Atellica CI 1900 — compact integrated chemistry/immunoassay analyzer</t>
  </si>
  <si>
    <t xml:space="preserve">Aptio Automation — track-based total laboratory automation</t>
  </si>
  <si>
    <t xml:space="preserve">+972 73 321 9803</t>
  </si>
  <si>
    <t xml:space="preserve">Siemens.il@siemens.com</t>
  </si>
  <si>
    <t xml:space="preserve">14 Hamelacha Street, Park Afeq, Rosh Ha'ayin, Israel</t>
  </si>
  <si>
    <t xml:space="preserve">Israel office (Siemens Healthineers entry on the Siemens 'hotline Israel' page; email is the general Siemens Israel mailbox, undated page); global Siemens Healthineers line +49 69 797 6602 (24/7), contact.healthcare@siemens.com</t>
  </si>
  <si>
    <t xml:space="preserve">Siemens Healthineers Israel (legal entity name believed to be Siemens Healthcare Ltd., Israel — not verified) [חברה-בת; All Siemens Healthineers businesses in Israel including laboratory diagnostics: the live Israeli contact page gives 'Siemens Healthineers Israel, Siemens HealthCare Ltd., Industrial Park Afeq, Hamelacha Street 14, 48091 Rosh Ha'ayin' (legal entity name now verified; address updated from Hod Hasharon/unknown); Siemens' regional legal-information page lists the same address for Siemens Ltd / Siemens Mobility / Siemens Healthineers; the Israeli site features blood-gas testing, and the 2019 Atellica customer event page (Head of Diagnostics, Siemens Healthineers Israel) remains the diagnostics-specific local document; +972-73-3219803, 14 Hamelacha St., Park Afeq, Rosh Ha'ayin]</t>
  </si>
  <si>
    <t xml:space="preserve">[אימות עדכניות 10/2026] The company's live Israeli site (siemens-healthineers.com/il and its contact page) names the local entity as Siemens HealthCare Ltd., Industrial Park Afeq, 14 Hamelacha St., Rosh Ha'ayin, which resolves the legal-name and address gaps in the earlier record; Siemens' regional legal page lists the same address. Laboratory diagnostics is sold through this local organisation (the site features blood-gas testing and the 2019 Atellica Solution event named a Head of Diagnostics, Siemens Healthineers Israel). No 2025-2026 Israeli tender naming Siemens as supplier surfaced within the budget. 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</si>
  <si>
    <t xml:space="preserve">Israeli subsidiary evidenced by the company's own Israeli web pages (via search extract, 2019); size figures from memory of annual reports, unverified this session.</t>
  </si>
  <si>
    <t xml:space="preserve">https://www.siemens-healthineers.com/il/news-and-events/conferences-events-new/israel-local-events/atellica-solution-event-2019 ; https://www.medicaldevice-network.com/?p=133652 ; https://www.siemens-healthineers.com/il ; https://www.siemens-healthineers.com/il/how-can-we-help-you ; https://www.siemens.com/en-us/company/region-legal-info/ ; https://www.siemens-healthineers.com/press/releases/2025q4 ; https://corporate.webassets.siemens-healthineers.com/5b588c3df3f651ab/19a88c926ce0/siemens-healthineers-Q4_FY2025_Ergebnisver-ffentlichung-Finanzkennzahlen.pdf ; https://www.mpo-mag.com/top-company-profile/siemens-healthineers/?cyear=2008</t>
  </si>
  <si>
    <t xml:space="preserve">bioMérieux</t>
  </si>
  <si>
    <t xml:space="preserve">BioFire Diagnostics; VITEK; BACT/ALERT; VIDAS; BIOFIRE FILMARRAY; SPOTFIRE; Specific Diagnostics</t>
  </si>
  <si>
    <t xml:space="preserve">Marcy-l'Étoile (Lyon)</t>
  </si>
  <si>
    <t xml:space="preserve">France</t>
  </si>
  <si>
    <t xml:space="preserve">Institut Mérieux (controlling shareholder)</t>
  </si>
  <si>
    <t xml:space="preserve">Public (Euronext Paris: BIM); majority-controlled by Institut Mérieux (Mérieux family)</t>
  </si>
  <si>
    <t xml:space="preserve">https://www.biomerieux.com</t>
  </si>
  <si>
    <t xml:space="preserve">Approx. 14,000 employees in ~45 countries (bioMérieux 2024 reporting) — from memory, not verified this session.</t>
  </si>
  <si>
    <t xml:space="preserve">EUR 4,070 million</t>
  </si>
  <si>
    <t xml:space="preserve">bioMérieux FY2025 results press release (Feb 2026): net sales EUR 4,070m, +2.3% reported / +6.2% organic (2024: EUR 3,980m). Headcount for end-2025 not found in snippets (2025 URD section 3.4); existing 14,000 figure left unchanged.</t>
  </si>
  <si>
    <t xml:space="preserve">VITEK 2 / VITEK MS PRIME — automated microbial ID/AST and MALDI-TOF identification</t>
  </si>
  <si>
    <t xml:space="preserve">BACT/ALERT VIRTUO — automated blood-culture system</t>
  </si>
  <si>
    <t xml:space="preserve">BIOFIRE FILMARRAY TORCH / SPOTFIRE — syndromic multiplex PCR panels</t>
  </si>
  <si>
    <t xml:space="preserve">Shlomo Momo Ha'levi 5, Jerusalem, Israel (Accellix; third-party startup directory, unverified)</t>
  </si>
  <si>
    <t xml:space="preserve">Israel office; 2 searches found no Israeli phone/email; Accellix (acquired Jan 2026, ~70 staff across San Jose CA and Jerusalem) street address only from https://slimpages.startupim.com/min_company_page/leukodx; bioMérieux Middle East hub is in Dubai; group HQ 100 Allée Louis Pasteur, 69280 Marcy-l'Étoile, France (third-party profile)</t>
  </si>
  <si>
    <t xml:space="preserve">Accellix (bioMérieux company), Jerusalem [חברה-בת; R&amp;D/manufacturing site of Accellix (automated flow-cytometry QC for pharma; staff in San Jose and Jerusalem), acquired by bioMérieux in 2025 per bioMérieux's live press release - not a sales office for VITEK/BACT/ALERT/BIOFIRE; Shlomo Momo ha-Levi St 5, Jerusalem] | Ilex Medical Ltd. (אילקס מדיקל בע"מ) [מפיץ; bioMérieux microbiology line in Israel: Ilex's live BIOFIRE catalogue page offers BioFire FilmArray nested multiplex PCR panels (respiratory, CSF, GI, positive blood culture, joint infection); Ilex's live blood-cultures page lists bioMérieux blood-culture systems incl. the VIRTUO automated system (BACT/ALERT VIRTUO) and nucleic-acid extraction instruments; Ilex's 2024 periodic report (April 2025) lists bioMérieux as its microbiology line. VITEK not seen explicitly; +972-3-9385500, 7 HaTnufa St., Petah Tikva]</t>
  </si>
  <si>
    <t xml:space="preserve">[אימות עדכניות 10/2026] Ilex Medical's live site re-confirms it as bioMérieux's Israeli channel: the BIOFIRE catalogue page (FilmArray panels) is still online, the blood-cultures page adds bioMérieux's BACT/ALERT VIRTUO automated blood-culture system and extraction instruments, and Ilex's 2024 periodic report (published April 2025) lists bioMérieux as its microbiology line, so the scope now covers BIOFIRE and BACT/ALERT; VITEK is still not named explicitly. bioMérieux's live press release confirms the 2025 Accellix acquisition (Jerusalem site). bioMérieux's worldwide page shows no Israeli subsidiary (the regional subsidiary is in the Middle East/Dubai). An extended Hebrew/English query surfaced Ilex Medical's own catalogue page 'BIOFIRE - Ilex Medical', which states that Ilex offers bioMérieux's BioFire nested multiplex PCR panels (respiratory, CSF, gastro, positive blood culture, joint infection) to Israeli customers; the page is roughly 2.5 years old, so current status should be confirmed. No source names the Israeli channel for VITEK or BACT/ALERT: the 40-domain sweep, a Hebrew tender query ('מכרז VITEK 2 ביומרייה') and an 'Israel' query restricted to biomerieux.com returned only clinical papers, foreign contract news and unrelated pages. bioMérieux's only Israeli entity remains Accellix (Jerusalem R&amp;D/manufacturing, acquired 2025); upgraded from 'unclear' to 'distributor' on the strength of the Ilex page. Ilex Medical's company profile (SID Israel directory) lists bioMérieux with Abbott, Hologic, Grifols, IL and Sebia among the companies it represents; not re-confirmed on biomerieux.com.</t>
  </si>
  <si>
    <t xml:space="preserve">Distributor's own site confirms the BIOFIRE line; the VITEK/BACT/ALERT distributor is still unidentified and the Ilex page dates from ~2024.</t>
  </si>
  <si>
    <t xml:space="preserve">https://es.medicaldevices.icij.org/devices/usa-immunology-and-microbiology-devices-vitek-2-gram-negative-susceptibility-card-astgn23 ; https://es.medicaldevices.icij.org/devices/usa-immunology-and-microbiology-devices-vitek-2-gram-negative-susceptibility-card-astgn36 ; https://www.biomerieux.com/corp/en/who-we-are/biomerieux-worldwide.html ; https://biomerieux.com/en/supply-and-distribution ; https://www.biomerieux.com/corp/en/our-offer/clinical-products/bact-alert-virtuo.html ; https://www.biomerieux.com/us/en/journalists/press-releases/acquisition-accellix-pharma-quality-control.html ; https://gamidor.co.il/en ; https://gamidor.co.il/en/central-laboratory/ ; https://www.ilexmedical.com/catalog_products/biofire/ ; https://www.rapidmicrobiology.com/supplier/biomerieux ; https://en.wikipedia.org/wiki/BioM%C3%A9rieux ; https://www.sid-israel.org/en/index/ilex-medical-ltd ; https://www.ilexmedical.com/catalog_products/%D7%AA%D7%A8%D7%91%D7%99%D7%95%D7%AA-%D7%93%D7%9D/ ; https://www.ilexmedical.com/wp-content/uploads/2025/04/%D7%93%D7%95%D7%97-%D7%AA%D7%A7%D7%95%D7%A4%D7%AA%D7%99-%D7%9C%D7%A9%D7%A0%D7%AA-2024.pdf ; https://www.biomerieux.com/us/en/journalists/press-releases/2025-financial-results.html ; https://www.biomerieux.com/content/dam/biomerieux-com/investor/02---news---reports/2026/en/press-releases/bioMerieux-PR-financial-Results-FY-2025.pdf</t>
  </si>
  <si>
    <t xml:space="preserve">Sysmex</t>
  </si>
  <si>
    <t xml:space="preserve">Sysmex; formerly TOA Medical Electronics (renamed 1998); XN-Series, XR-Series, UN-Series, CN-Series</t>
  </si>
  <si>
    <t xml:space="preserve">Kobe (Hyogo)</t>
  </si>
  <si>
    <t xml:space="preserve">Public (TSE Prime: 6869)</t>
  </si>
  <si>
    <t xml:space="preserve">https://www.sysmex.co.jp/en/</t>
  </si>
  <si>
    <t xml:space="preserve">Consolidated employees 11,731 (non-consolidated 3,502) as of 31 Mar 2026, per company data reproduced on Mynavi/OneCareer recruiting profiles; official source is the 59th-term securities report (EDINET S100YFAW).</t>
  </si>
  <si>
    <t xml:space="preserve">JPY 500,006 million</t>
  </si>
  <si>
    <t xml:space="preserve">FY Mar-2026</t>
  </si>
  <si>
    <t xml:space="preserve">Sysmex kessan tanshin (IFRS, consolidated) for fiscal year ended 31 Mar 2026, released 14 May 2026: net sales JPY 500,006m, -1.7% YoY (China -24%).</t>
  </si>
  <si>
    <t xml:space="preserve">XN-Series (XN-1000 to XN-9100) — automated hematology analyzers and lines</t>
  </si>
  <si>
    <t xml:space="preserve">XR-Series — next-generation automated hematology analyzers</t>
  </si>
  <si>
    <t xml:space="preserve">UN-Series (UF-5000 / UD-10) — automated urinalysis systems</t>
  </si>
  <si>
    <t xml:space="preserve">+81 78 265 0500</t>
  </si>
  <si>
    <t xml:space="preserve">1-5-1 Wakinohama-Kaigandori, Chuo-ku, Kobe, Hyogo 651-0073, Japan</t>
  </si>
  <si>
    <t xml:space="preserve">HQ; phone/address from third-party profiles (GlobalData, Plunkett Research); fax +81 78 265 0524; no general email seen</t>
  </si>
  <si>
    <t xml:space="preserve">Dover Medical &amp; Scientific Equipment [מפיץ; Sysmex distributor for Israel per Sysmex Europe's live distributor directory, which lists 'Dover Medical &amp; Scientific Equipment', 11 Hamaalot Street, Herzliya, dovermed.co.il (the entry sits beneath a Sysmex UK Ltd. heading, so it may be managed via Sysmex UK); product-line scope not stated (presumably hematology/urinalysis IVD). Dover's own site returned no Sysmex pages in a domain-restricted search (its indexed content is about da Vinci surgical robotics); +972-9-951-4545, contact@dovermed.co.il, 11 Hama'alot Street, Herzliya 46583]</t>
  </si>
  <si>
    <t xml:space="preserve">חיפוש רשת בלבד; דפי ״מפיצים״ של היצרן ואתרי המפיצים לא נפתחו (חסימת רשת). [אימות עדכניות 10/2026] Sysmex Europe's live distributor directory still lists Dover Medical &amp; Scientific Equipment (Herzliya) for Israel, which counts as current manufacturer-side evidence; the listing appears under a Sysmex UK Ltd. heading, so Dover may be served through Sysmex UK. A search restricted to dovermed.co.il surfaced only robotic-surgery content and no Sysmex product page, so the distributor-side confirmation and the product scope remain open. No 2024-2026 Israeli tender naming the Sysmex supplier was found within the budget. Searched '"Sysmex" Israel distributor/נציג/יבואן', Hebrew 'סיסמקס', the 29 Israeli distributor domains, mr.gov.il/gov.il and sysmex-europe.com. Sysmex Europe SE's distributor directory lists 'DOVER MEDICAL &amp; SCIENTIFIC EQUIPMENT' under Israel (Sysmex EMEA works through affiliates and local partners, with Sysmex Middle East FZ-LLC in Dubai as the regional hub). GlobalData names Sysmex the leading hematology-analyzer vendor in Israel (2023), and an ISRAC accreditation document lists Siemens/Sysmex CS coagulation analyzers, which Siemens Healthineers distributes under its own brand. Caveats: the Dover entry was seen only as a directory snippet and was not cross-checked on Dover's own site; Dover is not among the 29 hinted distributors; Jobify posts list 'Sysmex America, Inc.' roles in Tel Aviv, which could not be explained.</t>
  </si>
  <si>
    <t xml:space="preserve">Single official Sysmex source (distributor directory), not corroborated by the distributor's site or a tender document.</t>
  </si>
  <si>
    <t xml:space="preserve">https://www.medicaldevice-network.com/data-insights/market-share-analysis-hematology-analyzers-israel/ ; https://mobile.labmedica.com/industry-news/articles/294740233/sysmex-and-roche-extend-hematology-alliance.html ; https://www.sysmex-europe.com/company/contacts/distributors/ ; https://www.sysmex-europe.com/company/sysmex-in-emea/ ; https://connections.medlabme.com/event/medlab-middle-east-2025/exhibitor/RXhoaWJpdG9yXzIwNDE3NTU= ; https://www.israc.gov.il/_Uploads/dbsLabs/AK0115-27.pdf ; https://jobify360.co.il/jobs/4220936142-in ; https://dovermed.co.il/ ; https://www2.jpx.co.jp/disc/68690/081220260514532236_tse-acedifsm-68690-20260514368690-ixbrl.htm ; https://disclosure2dl.edinet-fsa.go.jp/searchdocument/pdf/S100YFAW.pdf ; https://www.nasdaq.com/articles/sysmex-fy-net-profit-declines ; https://job.mynavi.jp/27/pc/search/corp4258/outline.html</t>
  </si>
  <si>
    <t xml:space="preserve">Mindray</t>
  </si>
  <si>
    <t xml:space="preserve">Mindray; DiaSys Diagnostic Systems (75% owned since 2024); HyTest</t>
  </si>
  <si>
    <t xml:space="preserve">Shenzhen</t>
  </si>
  <si>
    <t xml:space="preserve">China</t>
  </si>
  <si>
    <t xml:space="preserve">Public (SZSE ChiNext: 300760)</t>
  </si>
  <si>
    <t xml:space="preserve">https://www.mindray.com</t>
  </si>
  <si>
    <t xml:space="preserve">Approx. 20,000 employees (Mindray 2024 annual report; from memory, not verified this session). Company states subsidiaries in 31 countries.</t>
  </si>
  <si>
    <t xml:space="preserve">CNY 33,282 million</t>
  </si>
  <si>
    <t xml:space="preserve">Mindray 2025 annual report (released 30 Mar 2026): operating revenue CNY 33.282bn, -9.38% YoY (first decline since IPO); IVD CNY 12.24bn; overseas CNY 17.65bn (53%). 2025 headcount not found in snippets; existing 20,000 (2024) left unchanged.</t>
  </si>
  <si>
    <t xml:space="preserve">BC-6800Plus / BC-7500 CRP — automated hematology analyzers</t>
  </si>
  <si>
    <t xml:space="preserve">CL-8000i — chemiluminescence immunoassay analyzer</t>
  </si>
  <si>
    <t xml:space="preserve">BS-2000M / M9000 — modular clinical chemistry analyzer and integrated lab automation</t>
  </si>
  <si>
    <t xml:space="preserve">+86 755 8188 8997</t>
  </si>
  <si>
    <t xml:space="preserve">Mindray Building, Keji 12th Road South, High-Tech Industrial Park, Nanshan, Shenzhen, Guangdong 518057, China</t>
  </si>
  <si>
    <t xml:space="preserve">HQ; main phone from third-party directories (not confirmed on mindray.com); official investor-relations contact +86 755 8188 8398, ir@mindray.com (https://www.mindray.com/en/investor-relations/faq); a 2015 release gives Keji 11th Road South</t>
  </si>
  <si>
    <t xml:space="preserve">Eldan Electronic Instruments (אלדן) [מפיץ; Mindray IVD line - hematology analyzers and reagents (clinical diagnostics division); +972-3-937-1111, info@eldan.biz, 6 Hashiloach Street, P.O. Box 7641, Petach Tikva 49170] | Bepex [מפיץ; Mindray hospital beds and clinical lighting only (per LinkedIn post; unverified); +972-9-972-7600, cs@bepex.co.il, Shoham Kadima Industrial Zone, P.O. Box 9081, Even Yehuda 4050003]</t>
  </si>
  <si>
    <t xml:space="preserve">חיפוש רשת בלבד; דפי ״מפיצים״ של היצרן ואתרי המפיצים לא נפתחו (חסימת רשת). [אימות עדכניות 10/2026] Neither recorded entity could be re-confirmed: Eldan's live site pages surfaced by a domain-restricted search do not mention Mindray, and the Bepex claim rests on a LinkedIn post. Israeli government procurement notices on mr.gov.il (2025-2026) show Mindray products in active use - Rambam Medical Center bought modules and a nurses' station for Mindray monitors and issued tender-exemption notice 6506/2026 for Mindray monitor fluid-collection cups, Sheba ran a tender for GE/Philips/Mindray/Welch Allyn monitor accessories, and a Ministry of Health contracts-committee document lists Shenzhen Mindray Bio-Medical among suppliers - but these concern patient monitoring, not IVD, and do not name an Israeli distributor. Hebrew and English distributor searches and mindray.com found no Israeli office or named representative, so the current channel for Mindray's laboratory analyzers is unclear. Searched '"Mindray" Israel distributor/נציג/יבואן', Hebrew 'מיינדריי', the 29 Israeli distributor domains and eldan.biz alone. Eldan's own site returned pages offering Mindray hematology analyzers and reagents, which is the only distributor-site evidence; a LinkedIn post says Bepex holds Mindray distribution rights for hospital beds and clinical lighting, and another LinkedIn post reports Mindray monitors in all Sheba ICUs without naming the channel. No 'Mindray Medical Israel' entity or Mindray office in Israel surfaced, and the Israeli channel for patient monitoring/ultrasound was not established; the Eldan scope beyond hematology is unknown.</t>
  </si>
  <si>
    <t xml:space="preserve">Eldan confirmed only from its own site snippets for the hematology/IVD line; no manufacturer-side confirmation and the rest of the portfolio's channel is unresolved.</t>
  </si>
  <si>
    <t xml:space="preserve">https://www.mindray.com/en/media-center/news/mindray-has-agreed-to-acquire-75-percent-in-diasys ; https://www.mindray.com/na/news-and-events/news/mindray-acquires-majority-stake-in-diaSys-diagnostic-systems-gmbh/ ; https://eldan.biz/?p=4734 ; https://eldan.biz/?p=1052 ; https://www.eldan.biz/diagnostics-kits-and-consumables/ ; https://il.linkedin.com/in/ido-gruber-808189a ; https://www.medicaldevice-network.com/data-insights/market-share-analysis-hematology-analyzers-israel/ ; https://www.eldan.biz/laboratory-instruments/ ; https://www.eldan.biz/point-of-care/ ; https://www.mr.gov.il/ilgstorefront/he/p/4000590009 ; https://mr.gov.il/ilgstorefront/he/p/517122 ; https://mr.gov.il/ilgstorefront/en/p/583549 ; https://mr.gov.il/ilgstorefront/he/p/547024 ; https://www.gov.il/BlobFolder/unit/committee-commercial-contracts/he/files_committees_commercial-company_vaadat_hitkashruyot2019-2020.pdf ; https://www.mindray.com/en ; https://wallstreetcn.com/articles/3768782 ; https://www.nbd.com.cn/articles/2026-03-30/4316465.html ; https://szse.io/releases/300760-shenzhen-mindray-bio-medical-electronics-co-ltd/1225059023-2025-annual-board-work-report</t>
  </si>
  <si>
    <t xml:space="preserve">BINDER</t>
  </si>
  <si>
    <t xml:space="preserve">BINDER Inc. (North America)</t>
  </si>
  <si>
    <t xml:space="preserve">Tuttlingen</t>
  </si>
  <si>
    <t xml:space="preserve">https://www.binder-world.com</t>
  </si>
  <si>
    <t xml:space="preserve">Company news item (Sept 2022, opening of Competence Factory II) states 400 employees; aggregators range 159-490 (Datanyze 490, ZoomInfo 201-500, Owler 250-500). ~22,000 units/year made solely in Tuttlingen, sold in 135 countries.</t>
  </si>
  <si>
    <t xml:space="preserve">USD ~110-133 million (aggregator estimates: Prospeo ~110.5M, ZoomInfo/Datanyze ~133.1M)</t>
  </si>
  <si>
    <t xml:space="preserve">undated aggregator estimates (c. 2024)</t>
  </si>
  <si>
    <t xml:space="preserve">No official revenue published; private company. Figure is the midpoint of third-party aggregator estimates, not reported.</t>
  </si>
  <si>
    <t xml:space="preserve">KBF / KBF P series — constant climate chambers for ICH stability testing</t>
  </si>
  <si>
    <t xml:space="preserve">CB / CB-S series — CO2 incubators with hot-air sterilisation</t>
  </si>
  <si>
    <t xml:space="preserve">FD / FED / FP series — drying and heating chambers (lab ovens)</t>
  </si>
  <si>
    <t xml:space="preserve">+49 7462 2005-0</t>
  </si>
  <si>
    <t xml:space="preserve">info@binder-world.com</t>
  </si>
  <si>
    <t xml:space="preserve">Im Mittleren Ösch 5, 78532 Tuttlingen, Germany</t>
  </si>
  <si>
    <t xml:space="preserve">https://www.binder-world.com/int-en/company/locations</t>
  </si>
  <si>
    <t xml:space="preserve">HQ (BINDER GmbH); phone per SelectScience listing, fax +49 7462 2005-100; email from third-party listing (wirtschaftsforum.de), obfuscated on official page; PO Box: Postfach 102, 78502 Tuttlingen</t>
  </si>
  <si>
    <t xml:space="preserve">Labotal Scientific Equipment Ltd. (לבוטל ציוד מדעי) [מפיץ; Binder incubators, drying ovens and climate/simulation chambers - Labotal's live 'Binder' represented-firm page (founded 1983 by Peter M. Binder), live 'Represented Firms' page and drying-systems category; +972 2-579-9222, Sales@labotal.co.il, Hashalom Rd., Abu Ghosh 9084500 (mail: Mevaseret Zion)]</t>
  </si>
  <si>
    <t xml:space="preserve">[אימות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</si>
  <si>
    <t xml:space="preserve">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</si>
  <si>
    <t xml:space="preserve">Memmert</t>
  </si>
  <si>
    <t xml:space="preserve">Schwabach (Bavaria); second plant in Büchenbach</t>
  </si>
  <si>
    <t xml:space="preserve">https://www.memmert.com</t>
  </si>
  <si>
    <t xml:space="preserve">Memmert job advert (StepStone, c. 2024/25): 'rund 550 Menschen aus etwa 30 Nationen'; older chemie.de profile says &gt;400 at two sites; Prospeo's 101-200 is an automated estimate.</t>
  </si>
  <si>
    <t xml:space="preserve">EUR 84.7 million</t>
  </si>
  <si>
    <t xml:space="preserve">Figure from Craft.co financial profile (EUR 84.7M revenue, EUR 1.7M net income for 2024), which draws on German register filings; the Bundesanzeiger filing itself was not opened. Older Wirtschaftsforum interview cited ~EUR 55M.</t>
  </si>
  <si>
    <t xml:space="preserve">UN / UF series — universal heating and drying ovens</t>
  </si>
  <si>
    <t xml:space="preserve">IN / IF / ICO series — incubators, cooled and CO2 incubators</t>
  </si>
  <si>
    <t xml:space="preserve">HPP / ICH series — constant climate and stability test chambers</t>
  </si>
  <si>
    <t xml:space="preserve">+49 9122 925-0</t>
  </si>
  <si>
    <t xml:space="preserve">sales@memmert.com</t>
  </si>
  <si>
    <t xml:space="preserve">Äußere Rittersbacher Straße 38, 91126 Schwabach, Germany</t>
  </si>
  <si>
    <t xml:space="preserve">HQ (Memmert GmbH + Co. KG); from German-pavilion exhibitor listing and Bayern International database; also info@memmert.com (diedeutscheindustrie.de); fax +49 9122 14585; PO Box Postfach 1720, 91107 Schwabach; US: Memmert USA, Eagle WI, +1 262-594-3941</t>
  </si>
  <si>
    <t xml:space="preserve">Medent Scientific Instruments (מדנט מכשור מדעי) [מפיץ; Memmert cooled incubators (IPP110 ... IPS750; 53-749 L), CO2 incubators (INC108MED, INCO246MED), vacuum ovens (VO200/VO400/VO500 incl. cooled), drying ovens (UF450, UF750, UN750) and incubators on live Hebrew product-category pages describing the units as Memmert (Germany); +972 72-395-0508 (sales); +972 8-683-6306 (service), info@medent.co.il, 110 Mordei HaGetaot St., Beer Sheva 8420643]</t>
  </si>
  <si>
    <t xml:space="preserve">[אימות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</si>
  <si>
    <t xml:space="preserve">Israeli distributor established from the distributor's own product pages (several, current); no confirmation from Memmert's side.</t>
  </si>
  <si>
    <t xml:space="preserve">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</si>
  <si>
    <t xml:space="preserve">IKA</t>
  </si>
  <si>
    <t xml:space="preserve">IKA, IKA Works, IKA Labortechnik, Janke &amp; Kunkel</t>
  </si>
  <si>
    <t xml:space="preserve">Staufen im Breisgau</t>
  </si>
  <si>
    <t xml:space="preserve">https://www.ika.com</t>
  </si>
  <si>
    <t xml:space="preserve">Company/exhibitor profiles: 'over 900 employees' at 16 locations on five continents (group figure); Revelio Labs estimates ~1,060-1,120 (2025). Year approximate (recent exhibitor profile).</t>
  </si>
  <si>
    <t xml:space="preserve">USD ~250-273 million (aggregator estimates: Prospeo 250M, ZoomInfo 272.7M); last company-stated figure &gt;EUR 100 million (2014)</t>
  </si>
  <si>
    <t xml:space="preserve">No current official figure; IKA stated &gt;EUR 100M sales with ~800 staff for 2014 (Scientist Live). Current number is an aggregator estimate.</t>
  </si>
  <si>
    <t xml:space="preserve">RCT basic / C-MAG HS — magnetic hotplate stirrers</t>
  </si>
  <si>
    <t xml:space="preserve">ULTRA-TURRAX T 25 / T 50 — high-shear dispersers / homogenisers</t>
  </si>
  <si>
    <t xml:space="preserve">EUROSTAR / MICROSTAR — overhead laboratory stirrers</t>
  </si>
  <si>
    <t xml:space="preserve">+49 7633 831-0</t>
  </si>
  <si>
    <t xml:space="preserve">sales@ika.de</t>
  </si>
  <si>
    <t xml:space="preserve">Janke &amp; Kunkel-Straße 10, 79219 Staufen, Germany</t>
  </si>
  <si>
    <t xml:space="preserve">HQ (IKA-Werke GmbH &amp; Co. KG); phone/address per bionity.com listing and IKA product manual; fax +49 7633 831-98; email from IKA manual (manualslib copy)</t>
  </si>
  <si>
    <t xml:space="preserve">Medent Scientific Instruments (מדנט מכשור מדעי) [מפיץ; 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 +972 72-395-0508 (sales); +972 8-683-6306 (service), info@medent.co.il, 110 Mordei HaGetaot St., Beer Sheva 8420643] | Labotal Scientific Equipment Ltd. (לבוטל ציוד למעבדות) [מפיץ; overhead and magnetic stirrers - Labotal's overhead-stirrer category page names IKA among the brands it stocks (scope beyond stirrers not seen); +972 2-579-9222, Sales@labotal.co.il, Hashalom Rd., Abu Ghosh 9084500 (mail: Mevaseret Zion)]</t>
  </si>
  <si>
    <t xml:space="preserve">[אימות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</si>
  <si>
    <t xml:space="preserve">Two distributors established from their own sites (Medent brand page; Labotal category page); no confirmation from IKA's side.</t>
  </si>
  <si>
    <t xml:space="preserve">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</si>
  <si>
    <t xml:space="preserve">Heidolph Instruments (ATS Corporation)</t>
  </si>
  <si>
    <t xml:space="preserve">Hans Heidolph GmbH, Heidolph Group, Heidolph North America</t>
  </si>
  <si>
    <t xml:space="preserve">Schwabach</t>
  </si>
  <si>
    <t xml:space="preserve">ATS Corporation (Cambridge, Ontario, Canada)</t>
  </si>
  <si>
    <t xml:space="preserve">Subsidiary of ATS Corporation (public, TSX/NYSE: ATS)</t>
  </si>
  <si>
    <t xml:space="preserve">https://heidolph.com</t>
  </si>
  <si>
    <t xml:space="preserve">ATS acquisition release (Aug 2024): 'more than 200 employees' across Germany, USA, South Korea and China; IMAP cites ~250 at four locations; Bayern International lists ~120 at the Schwabach site only.</t>
  </si>
  <si>
    <t xml:space="preserve">EUR ~50 million</t>
  </si>
  <si>
    <t xml:space="preserve">FY ending Mar-2024</t>
  </si>
  <si>
    <t xml:space="preserve">Approximate figure disclosed by acquirer ATS in its Aug 2024 announcement. Heidolph filed for insolvency in late May 2024; ATS bought the group out of insolvency.</t>
  </si>
  <si>
    <t xml:space="preserve">Hei-VAP series — rotary evaporators (Core, Expert, Ultimate)</t>
  </si>
  <si>
    <t xml:space="preserve">Hei-TORQUE series — overhead stirrers</t>
  </si>
  <si>
    <t xml:space="preserve">Hei-PLATE / Hei-Tec — magnetic hotplate stirrers</t>
  </si>
  <si>
    <t xml:space="preserve">+49 9122 9920-0</t>
  </si>
  <si>
    <t xml:space="preserve">sales@heidolph.de</t>
  </si>
  <si>
    <t xml:space="preserve">Walpersdorfer Str. 12, 91126 Schwabach, Germany</t>
  </si>
  <si>
    <t xml:space="preserve">https://www.heidolph.com/asia/ko/Contact/WorldWideExperts</t>
  </si>
  <si>
    <t xml:space="preserve">HQ (Heidolph Scientific Products GmbH &amp; Co. KG); Middle East/Africa/Asia distributor list PDF on heidolph.com; North America: 1235 N Mittel Blvd Suite B, Wood Dale IL 60191, +1 224-265-9600, sales@heidolph.com, https://www.heidolph-instruments.com/na/en_US/contact/Corporate-Contact</t>
  </si>
  <si>
    <t xml:space="preserve">Labotal Scientific Equipment Ltd. (לבוטל ציוד מדעי) [מפיץ; Heidolph rotary evaporators, stirrers and shakers - Heidolph listed on Labotal's live 'Represented Firms' page; Labotal calls itself a Heidolph premium distributor and its awards archive mentions a three-year warranty on Heidolph products; +972 2-579-9222, Sales@labotal.co.il, Hashalom Rd., Abu Ghosh 9084500 (mail: Mevaseret Zion)]</t>
  </si>
  <si>
    <t xml:space="preserve">[אימות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</si>
  <si>
    <t xml:space="preserve">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t>
  </si>
  <si>
    <t xml:space="preserve">JULABO</t>
  </si>
  <si>
    <t xml:space="preserve">JULABO USA Inc.</t>
  </si>
  <si>
    <t xml:space="preserve">Seelbach (Black Forest)</t>
  </si>
  <si>
    <t xml:space="preserve">https://www.julabo.com</t>
  </si>
  <si>
    <t xml:space="preserve">Implisense business register profile: 423 employees (2023); company site says 'more than 400 employees worldwide'.</t>
  </si>
  <si>
    <t xml:space="preserve">EUR 65.3 million</t>
  </si>
  <si>
    <t xml:space="preserve">FY2023</t>
  </si>
  <si>
    <t xml:space="preserve">EUR 65,258,199 for 2023 per Implisense (register-derived); company history page confirms &gt;EUR 50M reached in 2018 (Craft: EUR 52.2M FY2018). Primary filing not opened.</t>
  </si>
  <si>
    <t xml:space="preserve">PRESTO — highly dynamic process temperature control systems</t>
  </si>
  <si>
    <t xml:space="preserve">CORIO / DYNEO / MAGIO — refrigerated and heating circulators</t>
  </si>
  <si>
    <t xml:space="preserve">FL / FC series — recirculating coolers (chillers)</t>
  </si>
  <si>
    <t xml:space="preserve">+49 7823 51-0</t>
  </si>
  <si>
    <t xml:space="preserve">info@julabo.com</t>
  </si>
  <si>
    <t xml:space="preserve">Gerhard-Juchheim-Strasse 1, 77960 Seelbach, Germany</t>
  </si>
  <si>
    <t xml:space="preserve">https://julabo.com/en/contact</t>
  </si>
  <si>
    <t xml:space="preserve">HQ (JULABO GmbH); email from German-pavilion trade-fair listing (official site uses a contact form); sales +49 7823 51-180, technical service +49 7823 51-66, fax +49 7823 51-99</t>
  </si>
  <si>
    <t xml:space="preserve">Labotal Scientific Equipment Ltd. (לבוטל ציוד מדעי) [מפיץ; JULABO circulators, chillers and baths - Julabo listed on Labotal's live 'Represented Firms' page; Labotal's product pages state it is JULABO's exclusive representative in Israel; +972 2-579-9222, Sales@labotal.co.il, Hashalom Rd., Abu Ghosh 9084500 (mail: Mevaseret Zion)]</t>
  </si>
  <si>
    <t xml:space="preserve">[אימות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</si>
  <si>
    <t xml:space="preserve">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t>
  </si>
  <si>
    <t xml:space="preserve">LAUDA</t>
  </si>
  <si>
    <t xml:space="preserve">Lauda-Königshofen</t>
  </si>
  <si>
    <t xml:space="preserve">Private (family-owned, Wobser family)</t>
  </si>
  <si>
    <t xml:space="preserve">https://www.lauda.de</t>
  </si>
  <si>
    <t xml:space="preserve">Company press release (Presseportal, April 2025): '600 employees today'; 2023 release cited 580 worldwide.</t>
  </si>
  <si>
    <t xml:space="preserve">EUR ~100 million (group)</t>
  </si>
  <si>
    <t xml:space="preserve">April 2025 company press release: group turnover of 'around 100 million euros' in 2024. Earlier release reported ~EUR 121M consolidated for 2022; the sources do not explain the difference (rounding or decline).</t>
  </si>
  <si>
    <t xml:space="preserve">Integral — process thermostats for heating and cooling</t>
  </si>
  <si>
    <t xml:space="preserve">PRO / ECO / Alpha — laboratory heating and cooling thermostats</t>
  </si>
  <si>
    <t xml:space="preserve">Ultracool / Variocool — process circulation chillers</t>
  </si>
  <si>
    <t xml:space="preserve">+49 9343 503-0</t>
  </si>
  <si>
    <t xml:space="preserve">info@lauda.de</t>
  </si>
  <si>
    <t xml:space="preserve">Laudaplatz 1, 97922 Lauda-Königshofen, Germany</t>
  </si>
  <si>
    <t xml:space="preserve">HQ (LAUDA DR. R. WOBSER GMBH &amp; CO. KG); official imprint; a directory lists fax +49 9343 503-222</t>
  </si>
  <si>
    <t xml:space="preserve">Medent Scientific Instruments (מדנט מכשור מדעי) [מפיץ; LAUDA laboratory baths, circulators and chillers - live Hebrew category 'LAUDA baths, circulators and chillers' (chillers sub-category) and the 'Lauda - Germany' partner page; GFL-brand water stills also listed; +972 72-395-0508 (sales); +972 8-683-6306 (service), info@medent.co.il, 110 Mordei HaGetaot St., Beer Sheva 8420643] | Citrine Solutions (סיטרין) [מפיץ; reseller listing LAUDA Variocool VC 1200 and Ultracool UC2 circulation chillers and an MGW MS heating circulator (new and used lab equipment dealer; authorisation not stated)] | Avni &amp; Son [מפיץ; 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 +972-4-821-9989, info@avni-son.co.il, 101 Bar Yehuda Rd. (דרך בר יהודה 101), Nesher]</t>
  </si>
  <si>
    <t xml:space="preserve">[אימות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</si>
  <si>
    <t xml:space="preserve">Medent established from its own brand page; Citrine and Avni &amp; Son are reseller/brochure-host evidence only; no manufacturer-side confirmation.</t>
  </si>
  <si>
    <t xml:space="preserve">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t>
  </si>
  <si>
    <t xml:space="preserve">Peter Huber Kältemaschinenbau</t>
  </si>
  <si>
    <t xml:space="preserve">Huber Kältemaschinenbau, Huber USA</t>
  </si>
  <si>
    <t xml:space="preserve">Offenburg</t>
  </si>
  <si>
    <t xml:space="preserve">Private (family-owned, Huber family)</t>
  </si>
  <si>
    <t xml:space="preserve">https://www.huber-online.com</t>
  </si>
  <si>
    <t xml:space="preserve">chemie.de trade-press report (Oct 2023, 'Großer Preis des Mittelstandes'): about 480 employees. Company exhibitor profile for a 2026 fair cites 'more than 350 employees' at the Offenburg HQ (site level only). The Huber family also took over J. Schneider Elektrotechnik (420 staff, ~EUR 100m sales) effective 1 Jan 2024, run as a separate company - not included.</t>
  </si>
  <si>
    <t xml:space="preserve">EUR ~75 million (trade estimate; private)</t>
  </si>
  <si>
    <t xml:space="preserve">Huber (Offenburg) is family-owned and publishes no revenue; order-of-magnitude estimate from headcount (~420) and trade press. Figures recalled from company statements / filings and not re-verified online in this session.</t>
  </si>
  <si>
    <t xml:space="preserve">Unistat — highly dynamic temperature control systems (-125 to +425 C)</t>
  </si>
  <si>
    <t xml:space="preserve">Unichiller — recirculating chillers</t>
  </si>
  <si>
    <t xml:space="preserve">Ministat / Petite Fleur / CC series — compact bath and circulation thermostats</t>
  </si>
  <si>
    <t xml:space="preserve">+49 781 9603-0</t>
  </si>
  <si>
    <t xml:space="preserve">info@huber-online.com</t>
  </si>
  <si>
    <t xml:space="preserve">Werner-von-Siemens-Straße 1, 77656 Offenburg, Germany</t>
  </si>
  <si>
    <t xml:space="preserve">https://huber-online.com/en/company/locations</t>
  </si>
  <si>
    <t xml:space="preserve">HQ (Peter Huber Kältemaschinenbau SE); email from ARABLAB German-pavilion exhibitor listing; subsidiaries in US, CH, IT, IN, UK listed on locations page</t>
  </si>
  <si>
    <t xml:space="preserve">S.L. Moran Ltd. (ש.ל מורן) [מפיץ; Huber circulation baths, thermostats and chillers (Ministat 230 variants, Unistat 405 etc.) - S.L. Moran's live heating/cooling-bath category and suppliers page; the site hosts the Huber general catalogue 2025/2026 (uploaded September 2025) and the CS-Chiller brochure; +972 74-702-9898, Shatner Center 7, Givat Shaul, Jerusalem] | Master-Cold [מפיץ; lists Huber Ministat 230-cc-NR and a Unistat CC (the Unistat appears to be a used unit); authorised status unverified]</t>
  </si>
  <si>
    <t xml:space="preserve">[אימות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</si>
  <si>
    <t xml:space="preserve">S.L. Moran established from its own site (current catalogue + product category); no confirmation from Huber's locator; Master-Cold is weak evidence.</t>
  </si>
  <si>
    <t xml:space="preserve">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t>
  </si>
  <si>
    <t xml:space="preserve">BÜCHI Labortechnik</t>
  </si>
  <si>
    <t xml:space="preserve">BUCHI, Büchi</t>
  </si>
  <si>
    <t xml:space="preserve">Flawil (St. Gallen)</t>
  </si>
  <si>
    <t xml:space="preserve">https://www.buchi.com</t>
  </si>
  <si>
    <t xml:space="preserve">Switzerland Global Enterprise (S-GE) success story, Nov 2025: around 800 employees worldwide, about two thirds outside Switzerland; 97% of turnover generated abroad (no absolute revenue given).</t>
  </si>
  <si>
    <t xml:space="preserve">USD ~204 million (aggregator estimate; other aggregators range from USD 8M to USD 750M)</t>
  </si>
  <si>
    <t xml:space="preserve">undated aggregator estimate (c. 2024)</t>
  </si>
  <si>
    <t xml:space="preserve">No official 2024/2025 revenue figure found; aggregator estimates (ZoomInfo, Bitscale) conflict and were ignored.</t>
  </si>
  <si>
    <t xml:space="preserve">Rotavapor R-300 — modular rotary evaporator system</t>
  </si>
  <si>
    <t xml:space="preserve">Mini Spray Dryer S-300 / B-290 — laboratory spray dryers</t>
  </si>
  <si>
    <t xml:space="preserve">KjelMaster K-375 / Kjeldahl line — nitrogen and protein determination systems</t>
  </si>
  <si>
    <t xml:space="preserve">+41 71 394 63 63</t>
  </si>
  <si>
    <t xml:space="preserve">Meierseggstrasse 40, Postfach, 9230 Flawil, Switzerland</t>
  </si>
  <si>
    <t xml:space="preserve">HQ (BÜCHI Labortechnik AG); from third-party profiles (American Pharmaceutical Review, bulkinside, ZoomInfo); fax +41 71 394 64 64; no general email seen</t>
  </si>
  <si>
    <t xml:space="preserve">Dr. Golik Scientific Solutions (ד"ר גוליק) [מפיץ; 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 +972-3-518-7555, marketing@golik.co.il, 34 Kibbutz Galuyot St, Tel Aviv 66550]</t>
  </si>
  <si>
    <t xml:space="preserve">[אימות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</si>
  <si>
    <t xml:space="preserve">Distributor established from its own dedicated BUCHI pages; manufacturer-side confirmation not obtained.</t>
  </si>
  <si>
    <t xml:space="preserve">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t>
  </si>
  <si>
    <t xml:space="preserve">Andreas Hettich</t>
  </si>
  <si>
    <t xml:space="preserve">Hettich Lab Technology, Hettich Group</t>
  </si>
  <si>
    <t xml:space="preserve">Bregal Unternehmerkapital (investor via 2024 growth partnership; stake size not verified)</t>
  </si>
  <si>
    <t xml:space="preserve">Private equity (Bregal Unternehmerkapital growth partnership since 2024; Hettich family remains involved)</t>
  </si>
  <si>
    <t xml:space="preserve">https://www.hettichlab.com</t>
  </si>
  <si>
    <t xml:space="preserve">Centrifuges</t>
  </si>
  <si>
    <t xml:space="preserve">company job ads (StepStone, 2025): about 500 employees worldwide (Hettich Group)</t>
  </si>
  <si>
    <t xml:space="preserve">&gt; EUR 100 million</t>
  </si>
  <si>
    <t xml:space="preserve">company press release Jan 2024 (via bionity.com/chemie.de): 2023 was the strongest sales year in the group's 120-year history and the first above the EUR 100m mark; 100% takeover of Philipp Kirsch GmbH (Kirsch Medical) completed end-2023; growth partnership with Bregal Unternehmerkapital announced Jul 2024</t>
  </si>
  <si>
    <t xml:space="preserve">UNIVERSAL 320 / 320 R — benchtop laboratory centrifuge</t>
  </si>
  <si>
    <t xml:space="preserve">ROTINA 380 / 420 (R) — high-capacity benchtop centrifuges</t>
  </si>
  <si>
    <t xml:space="preserve">HettCube — microbiological incubators</t>
  </si>
  <si>
    <t xml:space="preserve">+49 7461 705-0</t>
  </si>
  <si>
    <t xml:space="preserve">info@hettichlab.com</t>
  </si>
  <si>
    <t xml:space="preserve">Föhrenstraße 12, 78532 Tuttlingen, Germany</t>
  </si>
  <si>
    <t xml:space="preserve">HQ; official imprint; fax +49 7461 705-1125; legal form changed Sept 2024 from GmbH &amp; Co. KG to Andreas Hettich GmbH</t>
  </si>
  <si>
    <t xml:space="preserve">Eldan Electronic Instruments Ltd. (Neopharm group) (אלדן) [מפיץ; 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 +972-3-937-1111, info@eldan.biz, 6 Hashiloach Street, P.O. Box 7641, Petach Tikva 49170]</t>
  </si>
  <si>
    <t xml:space="preserve">[אימות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</si>
  <si>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Israeli distributor evidenced by the distributor's own site (2016-dated, not re-confirmed by manufacturer); revenue is a directory estimate; ownership details (Bregal stake) not verified in a primary source.</t>
  </si>
  <si>
    <t xml:space="preserve">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</si>
  <si>
    <t xml:space="preserve">Esco Lifesciences</t>
  </si>
  <si>
    <t xml:space="preserve">Esco Micro Pte Ltd, Esco Technologies Inc (USA), Esco Medical, Esco Aster, Esco Global</t>
  </si>
  <si>
    <t xml:space="preserve">Singapore (Changi South)</t>
  </si>
  <si>
    <t xml:space="preserve">Singapore</t>
  </si>
  <si>
    <t xml:space="preserve">Private (founder-family and investors)</t>
  </si>
  <si>
    <t xml:space="preserve">https://www.escolifesciences.com</t>
  </si>
  <si>
    <t xml:space="preserve">Biosafety cabinets &amp; clean-air equipment</t>
  </si>
  <si>
    <t xml:space="preserve">Company website: '1600+ employees, 42 locations in 24 countries incl. 8 R&amp;D and manufacturing sites'; JobStreet profile '&gt;1,500 worldwide'; Revelio estimates ~1,970 for Esco Micro Pte Ltd.</t>
  </si>
  <si>
    <t xml:space="preserve">USD ~115 million (aggregator estimate; RocketReach gives USD 18.5M)</t>
  </si>
  <si>
    <t xml:space="preserve">Privately held with limited disclosure; a-leads/builtin estimate USD 115M. A Q1 2025 CEO update reportedly cited revenue +6% but no primary source was seen.</t>
  </si>
  <si>
    <t xml:space="preserve">Airstream Class II (Gen 3) — biological safety cabinets</t>
  </si>
  <si>
    <t xml:space="preserve">CelCulture — CO2 incubators</t>
  </si>
  <si>
    <t xml:space="preserve">Isoclean / Streamline isolators — aseptic and containment isolators</t>
  </si>
  <si>
    <t xml:space="preserve">+65 6542 0833</t>
  </si>
  <si>
    <t xml:space="preserve">19 Changi South Street 1, Singapore 486777</t>
  </si>
  <si>
    <t xml:space="preserve">HQ; address from Esco careers site, phone from third-party directories (medindexer, sgpgrid) which show postal code 486779; no general email seen</t>
  </si>
  <si>
    <t xml:space="preserve">Danyel Biotech [מפיץ; Esco Life Sciences division: biological safety cabinets (Airstream Class I/III, Labculture Class II A2/B1/B2), fume hoods, general-purpose ovens and incubators, CO2 incubators and ULT freezers - Danyel's live dedicated Esco page; 1-800-711-911 (also +972 8-936-6066), 8 Hamada St., Science Park, Rehovot 7670308]</t>
  </si>
  <si>
    <t xml:space="preserve">[אימות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</si>
  <si>
    <t xml:space="preserve">Distributor established from its own dedicated Esco page; no manufacturer-side confirmation.</t>
  </si>
  <si>
    <t xml:space="preserve">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</si>
  <si>
    <t xml:space="preserve">Labconco</t>
  </si>
  <si>
    <t xml:space="preserve">Laboratory Construction Company (original name); brands: Protector, FreeZone, Purifier, CentriVap, RapidVap</t>
  </si>
  <si>
    <t xml:space="preserve">Kansas City, Missouri</t>
  </si>
  <si>
    <t xml:space="preserve">https://www.labconco.com</t>
  </si>
  <si>
    <t xml:space="preserve">Lab furniture &amp; fume hoods</t>
  </si>
  <si>
    <t xml:space="preserve">Third-party estimate only: IBISWorld SupplierIQ ~375; LinkedIn band 201-500; another directory 222-275; Labconco's own older statement says 'over 200 associates' at two Kansas City-area facilities. No official current figure found.</t>
  </si>
  <si>
    <t xml:space="preserve">approx. USD 42.6 million (third-party estimate)</t>
  </si>
  <si>
    <t xml:space="preserve">n/a (aggregator estimate seen Oct 2026)</t>
  </si>
  <si>
    <t xml:space="preserve">Private company, no published figure. A market-report profile surfaced in search gives ~USD 42.6M; Indeed lists a USD 25M-100M band. Treat as a rough estimate; a D&amp;B/PitchBook figure may differ.</t>
  </si>
  <si>
    <t xml:space="preserve">Protector fume hoods (XStream / Premier) — ducted and ductless chemical fume hoods</t>
  </si>
  <si>
    <t xml:space="preserve">FreeZone freeze dryers — benchtop and console laboratory lyophilizers</t>
  </si>
  <si>
    <t xml:space="preserve">Purifier Logic+ biosafety cabinets — Class II A2/B2/C1 biological safety cabinets</t>
  </si>
  <si>
    <t xml:space="preserve">+1 816-333-8811</t>
  </si>
  <si>
    <t xml:space="preserve">8811 Prospect Ave, Kansas City, MO 64132, USA</t>
  </si>
  <si>
    <t xml:space="preserve">HQ; labconco.com site footer; toll-free +1 800-821-5525, fax +1 816-363-0130; no general email seen (site offers phone, email and live chat)</t>
  </si>
  <si>
    <t xml:space="preserve">Labotal Scientific Equipment Ltd. (לבוטל ציוד מדעי) [מפיץ; Labconco biosafety cabinets, CentriVap concentrators and drying systems - Labconco listed on Labotal's live 'Represented Firms' page and in its drying-systems category; +972 2-579-9222, Sales@labotal.co.il, Hashalom Rd., Abu Ghosh 9084500 (mail: Mevaseret Zion)]</t>
  </si>
  <si>
    <t xml:space="preserve">[אימות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</si>
  <si>
    <t xml:space="preserve">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t>
  </si>
  <si>
    <t xml:space="preserve">NuAire</t>
  </si>
  <si>
    <t xml:space="preserve">NuAire Laboratory Equipment; brands: LabGard, In-VitroCell, Glacier, AireGard, NuWind</t>
  </si>
  <si>
    <t xml:space="preserve">Plymouth, Minnesota</t>
  </si>
  <si>
    <t xml:space="preserve">Kewaunee Scientific (since Nov 2024)</t>
  </si>
  <si>
    <t xml:space="preserve">Subsidiary of Kewaunee Scientific (public, NASDAQ: KEQU)</t>
  </si>
  <si>
    <t xml:space="preserve">https://www.nuaire.com</t>
  </si>
  <si>
    <t xml:space="preserve">Business North Carolina report on the Kewaunee deal (2024, reposted by Greater Statesville Chamber): about 300 workers in Minnesota plus 60 sales reps. Kewaunee Scientific completed the acquisition on 1 Nov 2024 for USD 55.0m; NuAire standalone revenue is not disclosed in the Kewaunee releases found (only consolidated/pro-forma totals).</t>
  </si>
  <si>
    <t xml:space="preserve">approx. USD 96 million (third-party estimate)</t>
  </si>
  <si>
    <t xml:space="preserve">Datanyze and ZoomInfo both list ~USD 96M; Visual Visitor gives USD 10-50M. No published figure (private company).</t>
  </si>
  <si>
    <t xml:space="preserve">LabGard ES NU-540 / NU-543 — Class II Type A2 biosafety cabinets</t>
  </si>
  <si>
    <t xml:space="preserve">In-VitroCell NU-5800 series — direct-heat CO2 incubators</t>
  </si>
  <si>
    <t xml:space="preserve">Glacier NU-99xxx series — -86C ultralow temperature freezers</t>
  </si>
  <si>
    <t xml:space="preserve">+1 763-553-1270</t>
  </si>
  <si>
    <t xml:space="preserve">2100 Fernbrook Lane N, Plymouth, MN 55447, USA</t>
  </si>
  <si>
    <t xml:space="preserve">HQ; from third-party listings (labcompare, ZoomInfo/Datanyze); toll-free +1 800-328-3352, fax +1 763-553-0459; no general email seen</t>
  </si>
  <si>
    <t xml:space="preserve">Ormir Lab Equipment [מפיץ; NuAire biosafety cabinets (NSF/ANSI 49, EN12469), laminar-flow hoods, CO2 incubators, ULT freezers and PharmaGard isolators - NuAire described on Ormir's live manufacturers page and its live biological-safety-cabinets product page; Kfar Yona] | Citrine Solutions (סיטרין) [מפיץ; NuAire AutoFlow CO2 incubators (NU-4750/4850/4950/5510) - catalogue PDF hosted on Citrine's site and addressed 'to Citrine customers'; authorised status not stated]</t>
  </si>
  <si>
    <t xml:space="preserve">[אימות עדכניות 10/2026] Ormir's live manufacturers page and biosafety-cabinet page still present NuAire, so Ormir remains the current Israeli channel on the distributor's side. NuAire's own site routes sales through local representatives and a service-partner locator without naming the Israeli partner; its NU-240 product page lists an 'Israel Outlet (Type H)' electrical option, showing the Israeli market is served. Citrine Solutions was not re-checked and stays as older evidence. A .co.il-wide search for 'NuAire biosafety cabinet CO2 incubator' found Ormir (ormir.co.il) with a NU-5731 CO2 incubator product page and a manufacturers page describing NuAire as a leading provider of biosafety cabinets, laminar flow hoods, CO2 incubators and ULT freezers; a follow-up search restricted to ormir.co.il confirmed further NuAire pages (PharmaGard ES NU-NTE800 isolator, biological safety cabinets), so Ormir is recorded as the Israeli distributor. Citrine Solutions hosts a NuAire AutoFlow CO2-incubator catalogue labelled for its customers and is recorded as a secondary reseller. NuAire's own site (nuaire.com) only offers a sales-partner locator whose entries are not indexed, so no manufacturer-side confirmation was obtained; the earlier Hebrew and distributor-domain searches had found nothing.</t>
  </si>
  <si>
    <t xml:space="preserve">Ormir established from several of its own NuAire product pages; Citrine from a hosted catalogue only; NuAire's locator could not be read.</t>
  </si>
  <si>
    <t xml:space="preserve">https://pitchbook.com/profiles/company/359603-56 ; https://www.datanyze.com/companies/nuaire/42124692 ; https://zoominfo.com/c/nuaire/42124692 ; https://nuaire.com/about/history ; https://www.nuaire.com/?p=17172 ; https://www.nuaire.co.uk/international/international-distributors ; https://ormir.co.il/product/co2-incubator-nu-5731/ ; https://ormir.co.il/card-with-image/ ; https://ormir.co.il/product/pharmagard-es-nu-nte800-total-exhaust-compounding-aseptic-containment-isolator/ ; https://ormir.co.il/product/biological-safety-cabinets-enclosures/ ; https://www.citrinesolutions.co.il/userfiles/documents/AutoFlow_CO2_Incubators%20ללקוחות%20סיטרין.pdf ; https://www.nuaire.com/sales-and-support/sales-locator ; https://www.nuaire.com/sales-and-support ; https://nuaire.com/en/products/laminar-airflow-workstations/airegard-nu-240-horizontal-laminar-flow-hood ; https://www.locable.com/connections/16479-greater-statesville-chamber-of-commerce/posts/2024/11/14/15465/kewaunee-acquires-nuaire-for-55-million/ ; https://www.sec.gov/Archives/edgar/data/55529/000005552925000007/prfy25q3earningsrelease.htm ; https://kewaunee.com/wp-content/uploads/2024/12/Nasdaq-Version-12.11-1215PM.pdf</t>
  </si>
  <si>
    <t xml:space="preserve">PHC Holdings (PHCbi)</t>
  </si>
  <si>
    <t xml:space="preserve">PHCbi; formerly Panasonic Healthcare / Panasonic Biomedical / Sanyo Biomedical; group brands Epredia, LSI Medience, Wemex, Ascensia</t>
  </si>
  <si>
    <t xml:space="preserve">Tokyo (Minato-ku)</t>
  </si>
  <si>
    <t xml:space="preserve">Public (TSE: 6523)</t>
  </si>
  <si>
    <t xml:space="preserve">https://www.phchd.com</t>
  </si>
  <si>
    <t xml:space="preserve">Lab refrigeration &amp; cold storage</t>
  </si>
  <si>
    <t xml:space="preserve">PHC Holdings Integrated Report 2026: 8,647 employees as of end of March 2026 (consolidated).</t>
  </si>
  <si>
    <t xml:space="preserve">JPY 364,403 million</t>
  </si>
  <si>
    <t xml:space="preserve">Consolidated revenue for fiscal year ended 31 Mar 2026: JPY 364,403m (+0.8% YoY), per PHC Integrated Report 2026 / financial data aggregators.</t>
  </si>
  <si>
    <t xml:space="preserve">MDF-DU702VH VIP ECO — -86C ultra-low temperature freezer</t>
  </si>
  <si>
    <t xml:space="preserve">MCO-170AIC / MCO-230AIC IncuSafe — CO2 incubators with H2O2 decontamination</t>
  </si>
  <si>
    <t xml:space="preserve">MPR / MBR series — pharmaceutical refrigerators and biomedical freezers</t>
  </si>
  <si>
    <t xml:space="preserve">+81 3 5408 7280</t>
  </si>
  <si>
    <t xml:space="preserve">15F Dai-ichi Life Hibiya First, 1-13-2 Yurakucho, Chiyoda-ku, Tokyo 100-8403, Japan</t>
  </si>
  <si>
    <t xml:space="preserve">HQ (moved from Nishi-Shimbashi, Minato-ku, 1 Apr 2024); PHC Holdings fax +81 3 3214 1080; PHC Corporation (PHCbi maker) +81 3 5408 7290 / fax +81 3 3214 1188 (also on https://www.phchd.com/global/phc/corporate/profile); IR/PR +81 3 6778 5311, phc-pr@gg.phchd.com; June 2024 securities report lists +81 3 6695 9938</t>
  </si>
  <si>
    <t xml:space="preserve">Eldan Electronic Instruments [מפיץ; PHCbi CO2/multigas incubators and biomedical/pharmaceutical freezers - Eldan's live laboratory-instruments page lists PHCbi alongside Hettich and Martin Christ; +972-3-937-1111, info@eldan.biz, 6 Hashiloach Street, P.O. Box 7641, Petach Tikva 49170] | Lumitron Ltd. (לומיטרון) [מפיץ; PHCbi listed on Lumitron's 'Our brands' page (earlier record); this session 'PHCBI' appears only as a brand tag on Lumitron's live CO2-incubator-shaker product pages, so the relationship is re-confirmed weakly (brand mention, no PHCbi product page seen); +972 52-525-6287, 17 Hamiflasim St., Petah Tikva]</t>
  </si>
  <si>
    <t xml:space="preserve">[אימות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</si>
  <si>
    <t xml:space="preserve">Distributor's own product page names PHCbi; manufacturer-side listing for Israel not seen.</t>
  </si>
  <si>
    <t xml:space="preserve">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</si>
  <si>
    <t xml:space="preserve">Haier Biomedical</t>
  </si>
  <si>
    <r>
      <rPr>
        <sz val="10"/>
        <rFont val="Arial"/>
        <family val="0"/>
        <charset val="1"/>
      </rPr>
      <t xml:space="preserve">Haier Biomedical; </t>
    </r>
    <r>
      <rPr>
        <sz val="10"/>
        <rFont val="WenQuanYi Zen Hei"/>
        <family val="2"/>
      </rPr>
      <t xml:space="preserve">海尔生物</t>
    </r>
    <r>
      <rPr>
        <sz val="10"/>
        <rFont val="Arial"/>
        <family val="0"/>
        <charset val="1"/>
      </rPr>
      <t xml:space="preserve">; Haier Biomedical UK; brands: Biobank, Smart Vaccine, DW ULT freezers</t>
    </r>
  </si>
  <si>
    <t xml:space="preserve">Qingdao, Shandong</t>
  </si>
  <si>
    <t xml:space="preserve">Haier Group (controlling shareholder)</t>
  </si>
  <si>
    <t xml:space="preserve">Public (SSE STAR Market: 688139); controlled by Haier Group</t>
  </si>
  <si>
    <t xml:space="preserve">https://www.haiermedical.com</t>
  </si>
  <si>
    <t xml:space="preserve">Headcount NOT found in snippets (2025 annual report employee section not surfaced); only an implausible aggregator range (51-100) which was ignored.</t>
  </si>
  <si>
    <t xml:space="preserve">CNY 2.329 billion</t>
  </si>
  <si>
    <r>
      <rPr>
        <sz val="10"/>
        <rFont val="Arial"/>
        <family val="0"/>
        <charset val="1"/>
      </rPr>
      <t xml:space="preserve">2025 annual report (published 30-Apr-2026): revenue RMB 2.329 billion (+1.96% YoY), net profit attributable RMB 251 million; overseas revenue a record 36% of total (Cision release; </t>
    </r>
    <r>
      <rPr>
        <sz val="10"/>
        <rFont val="WenQuanYi Zen Hei"/>
        <family val="2"/>
      </rPr>
      <t xml:space="preserve">科创板日报 </t>
    </r>
    <r>
      <rPr>
        <sz val="10"/>
        <rFont val="Arial"/>
        <family val="0"/>
        <charset val="1"/>
      </rPr>
      <t xml:space="preserve">via cls.cn). FY2025 H1 net profit had fallen 39%.</t>
    </r>
  </si>
  <si>
    <t xml:space="preserve">DW-86L series — -86C ultra-low temperature freezers</t>
  </si>
  <si>
    <t xml:space="preserve">Automated Biobank — automated -80C / LN2 sample storage systems</t>
  </si>
  <si>
    <t xml:space="preserve">HXC / HYC series — blood bank and pharmacy/vaccine refrigerators</t>
  </si>
  <si>
    <t xml:space="preserve">+86 532 8893 7380</t>
  </si>
  <si>
    <t xml:space="preserve">Branding Building, No. 1 Haier Road, Qingdao 266101, Shandong, China (CB Insights lists No. 280 Feng Yuan Road, Qingdao)</t>
  </si>
  <si>
    <t xml:space="preserve">HQ; all details from third-party aggregators with conflicting addresses; CB Insights lists +86 532 8893 1777; UK: Haier Biomedical UK Ltd, 121 Harris Way, Sunbury, +44 1932 780070; no email seen</t>
  </si>
  <si>
    <t xml:space="preserve">Ex-Lab (אקס-לאב) [מפיץ; 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 4 Nevatim St., Petah Tikva]</t>
  </si>
  <si>
    <t xml:space="preserve">[אימות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</si>
  <si>
    <t xml:space="preserve">Entity named only in a manufacturer news snippet; could not identify the company, its website or the date.</t>
  </si>
  <si>
    <t xml:space="preserve">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t>
  </si>
  <si>
    <t xml:space="preserve">Antylia Scientific (ex-Cole-Parmer)</t>
  </si>
  <si>
    <t xml:space="preserve">formerly Cole-Parmer Instrument Company (renamed 2021); brands: Cole-Parmer, Environmental Express, Jenway, Stuart, Techne, Oakton, Traceable, SPEX, Digi-Sense; Masterflex bioprocessing business sold to Avantor in 2021</t>
  </si>
  <si>
    <t xml:space="preserve">Vernon Hills, Illinois</t>
  </si>
  <si>
    <t xml:space="preserve">Brookfield Business Partners &amp; CDPQ (since May 2025)</t>
  </si>
  <si>
    <t xml:space="preserve">Private equity (Brookfield Business Partners / CDPQ; previously GTCR)</t>
  </si>
  <si>
    <t xml:space="preserve">https://www.antylia.com</t>
  </si>
  <si>
    <t xml:space="preserve">Roughly 2,000 employees (recalled, unverified).</t>
  </si>
  <si>
    <t xml:space="preserve">approx. USD 400 million (third-party directory estimate)</t>
  </si>
  <si>
    <t xml:space="preserve">n/a (directory estimate seen Oct 2026)</t>
  </si>
  <si>
    <t xml:space="preserve">Bitscale directory lists ~USD 400M revenue (low reliability). Context: Brookfield/CDPQ paid ~USD 1.3-1.34bn for the company (May 2025); the Masterflex business sold to Avantor in 2021 for USD 2.9bn had ~USD 300M revenue and is no longer part of Antylia.</t>
  </si>
  <si>
    <t xml:space="preserve">Jenway spectrophotometers — UV/Vis and visible benchtop spectrophotometers</t>
  </si>
  <si>
    <t xml:space="preserve">Environmental Express HotBlock — sample digestion and prep for environmental testing</t>
  </si>
  <si>
    <t xml:space="preserve">Stuart / Techne benchtop equipment — stirrers, shakers, hotplates, dry blocks, thermal cyclers</t>
  </si>
  <si>
    <t xml:space="preserve">+1 800-323-4340</t>
  </si>
  <si>
    <t xml:space="preserve">sales@antylia.com</t>
  </si>
  <si>
    <t xml:space="preserve">625 East Bunker Court, Vernon Hills, IL 60061, USA</t>
  </si>
  <si>
    <t xml:space="preserve">HQ; toll-free number and email from a Cole-Parmer-to-Antylia rebranding notice in results; older records list +1 847-549-7600; a directory lists UK line +44 1480 272279 (Antylia/Cole-Parmer UK)</t>
  </si>
  <si>
    <t xml:space="preserve">Medent Scientific Instruments (מדנט מכשור מדעי) [מפיץ; 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 +972 72-395-0508 (sales); +972 8-683-6306 (service), info@medent.co.il, 110 Mordei HaGetaot St., Beer Sheva 8420643]</t>
  </si>
  <si>
    <t xml:space="preserve">[אימות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</si>
  <si>
    <t xml:space="preserve">Israeli reseller verified for one brand (Stuart) from the distributor's own product pages; coverage of other Antylia brands unverified. No official size figures found (only aggregator estimates, ignored).</t>
  </si>
  <si>
    <t xml:space="preserve">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</si>
  <si>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Verder Scientific (Retsch, Carbolite Gero, Eltra, Microtrac MRB, QATM)</t>
  </si>
  <si>
    <t xml:space="preserve">Verder Group scientific division; brands: Retsch, Carbolite Gero, Eltra, Microtrac MRB, QATM, ERWEKA</t>
  </si>
  <si>
    <t xml:space="preserve">Haan (North Rhine-Westphalia)</t>
  </si>
  <si>
    <t xml:space="preserve">Verder International B.V. (Verder Group, Vleuten/Utrecht, Netherlands)</t>
  </si>
  <si>
    <t xml:space="preserve">Subsidiary of Verder Group (private, family-owned)</t>
  </si>
  <si>
    <t xml:space="preserve">https://www.verder-scientific.com</t>
  </si>
  <si>
    <t xml:space="preserve">Verder Scientific division page: 'more than 1,300 employees' (another passage on the same page says 'over 1,000'); undated company-website figure. Revelio puts the wider Verder International group at ~1,491 (2025).</t>
  </si>
  <si>
    <t xml:space="preserve">EUR 300+ million</t>
  </si>
  <si>
    <t xml:space="preserve">undated (company website, accessed 2026)</t>
  </si>
  <si>
    <t xml:space="preserve">Division website states 'more than EUR 300 million in sales' (undated). An older job-board profile cites ~750 employees / EUR 150 million, clearly outdated.</t>
  </si>
  <si>
    <t xml:space="preserve">Retsch mills and sieve shakers — planetary ball mills, cutting mills, AS 200 sieving</t>
  </si>
  <si>
    <t xml:space="preserve">Carbolite Gero furnaces — laboratory chamber, tube and high-temperature furnaces</t>
  </si>
  <si>
    <t xml:space="preserve">Microtrac MRB particle analyzers — laser diffraction and image particle characterization</t>
  </si>
  <si>
    <t xml:space="preserve">+49 2104 2333-500</t>
  </si>
  <si>
    <t xml:space="preserve">info@verder-scientific.com</t>
  </si>
  <si>
    <t xml:space="preserve">Retsch-Allee 1-5, 42781 Haan, Germany</t>
  </si>
  <si>
    <t xml:space="preserve">https://www.verder-scientific.com/contact</t>
  </si>
  <si>
    <t xml:space="preserve">HQ. Official contact page. US subsidiary Verder Scientific Inc.: 11 Penns Trail, Newtown, PA 18940, +1 866-473-8724, info-us@verder-scientific.com.</t>
  </si>
  <si>
    <t xml:space="preserve">MRC Laboratory Equipment &amp; Instruments (MRC) [מפיץ; 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 +972 3-559-5252, 3 Ha-Gavish St., Holon 5881702]</t>
  </si>
  <si>
    <t xml:space="preserve">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</si>
  <si>
    <t xml:space="preserve">Size from the company's own website but undated; Israeli presence verified for Carbolite Gero via MRC product pages only; Retsch (the flagship brand) remains unverified in Israel.</t>
  </si>
  <si>
    <t xml:space="preserve">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</si>
  <si>
    <t xml:space="preserve">Yamato Scientific</t>
  </si>
  <si>
    <r>
      <rPr>
        <sz val="10"/>
        <rFont val="WenQuanYi Zen Hei"/>
        <family val="2"/>
      </rPr>
      <t xml:space="preserve">ヤマト科学</t>
    </r>
    <r>
      <rPr>
        <sz val="10"/>
        <rFont val="Arial"/>
        <family val="0"/>
        <charset val="1"/>
      </rPr>
      <t xml:space="preserve">; originally Sosuke Morikawa &amp; Company (1889); subsidiary Yamato Scientific America (1989)</t>
    </r>
  </si>
  <si>
    <t xml:space="preserve">Tokyo (Chuo-ku, Nihonbashi)</t>
  </si>
  <si>
    <t xml:space="preserve">https://www.yamato-scientific.com</t>
  </si>
  <si>
    <t xml:space="preserve">company recruiting pages (hrmos.co/yamato-net, doda.jp): 776 employees standalone as of Oct 2025; group total stated as 1,577 as of Dec 2025</t>
  </si>
  <si>
    <t xml:space="preserve">JPY 43.66 billion</t>
  </si>
  <si>
    <t xml:space="preserve">FY2025 (ended Sep 2025)</t>
  </si>
  <si>
    <t xml:space="preserve">company recruiting pages: standalone sales JPY 43.66bn for the fiscal year ended Sep 2025 (described as record high); group-wide sales stated as JPY 131.03bn (~USD 878m) - group definition unclear, verify before use</t>
  </si>
  <si>
    <t xml:space="preserve">DKN / DKM constant temperature ovens — forced-convection laboratory drying ovens</t>
  </si>
  <si>
    <t xml:space="preserve">SM / SQ series autoclaves — benchtop and vertical steam sterilizers</t>
  </si>
  <si>
    <t xml:space="preserve">Auto Pure WL series — laboratory water purification systems</t>
  </si>
  <si>
    <t xml:space="preserve">+81 3-5548-7101</t>
  </si>
  <si>
    <t xml:space="preserve">Harumi Triton Square Office Tower Y (36F), 1-8-11 Harumi, Chuo-ku, Tokyo 104-6136, Japan</t>
  </si>
  <si>
    <t xml:space="preserve">https://www.yamato-scientific.com/support/inquiry/</t>
  </si>
  <si>
    <t xml:space="preserve">HQ. Head office moved to Harumi Triton Square in July 2019 (main fax +81 3-5548-0131); registered head office is 2-2-2 Nihonbashi-Honcho, Chuo-ku, Tokyo 103-0023. International Sales +81 3-5548-7122. No email shown (web inquiry form). Second search used.</t>
  </si>
  <si>
    <t xml:space="preserve">S.L. Moran Ltd. (ש.ל מורן) [מפיץ; listed as Yamato Scientific's sales representative for Israel on Yamato's global partners page (Shatner Center bldg 7, Givat Shaul, Jerusalem, +972-74-7029898); no Yamato products seen on S.L. Moran's own site; +972 74-702-9898, Shatner Center 7, Givat Shaul, Jerusalem]</t>
  </si>
  <si>
    <t xml:space="preserve">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</si>
  <si>
    <t xml:space="preserve">Manufacturer's own partner page names the entity, but the page appears old and the distributor's site shows no Yamato products.</t>
  </si>
  <si>
    <t xml:space="preserve">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</si>
  <si>
    <t xml:space="preserve">Azenta Life Sciences</t>
  </si>
  <si>
    <t xml:space="preserve">Azenta Life Sciences; formerly Brooks Automation (renamed 2021); brands: GENEWIZ, FluidX, Ziath, 4titude, Limfinity, FreezerPro, Barkey; B Medical Systems (divestiture agreed Dec 2025)</t>
  </si>
  <si>
    <t xml:space="preserve">Burlington, Massachusetts</t>
  </si>
  <si>
    <t xml:space="preserve">Public (NASDAQ: AZTA)</t>
  </si>
  <si>
    <t xml:space="preserve">https://www.azenta.com</t>
  </si>
  <si>
    <t xml:space="preserve">Headcount NOT found in snippets: the FY2025 10-K surfaced but the Human Capital section was not shown; aggregator figures (Revelio ~2,594 Dec-2025; Tracenable ~3,000) ignored.</t>
  </si>
  <si>
    <t xml:space="preserve">USD 594 million</t>
  </si>
  <si>
    <t xml:space="preserve">FY2025 (ended 30-Sep-2025)</t>
  </si>
  <si>
    <t xml:space="preserve">Azenta press release 21-Nov-2025 and FY2025 10-K: revenue USD 594 million, +4% YoY (+3% organic); Sample Management Solutions USD 325 million (+2%), Multiomics USD 269 million (+6%); net income from continuing ops USD 24.5 million; adjusted EBITDA USD 66 million (11.2% margin).</t>
  </si>
  <si>
    <t xml:space="preserve">BioStore III Cryo — automated LN2 cryogenic sample storage system</t>
  </si>
  <si>
    <t xml:space="preserve">FluidX / Ziath tubes and readers — 2D-barcoded sample tubes and rack scanners</t>
  </si>
  <si>
    <t xml:space="preserve">GENEWIZ services — Sanger/NGS sequencing and gene synthesis services</t>
  </si>
  <si>
    <t xml:space="preserve">+1 888-229-3682</t>
  </si>
  <si>
    <t xml:space="preserve">200 Summit Drive, Burlington, MA 01803, USA</t>
  </si>
  <si>
    <t xml:space="preserve">HQ. Address from official global-locations page (no phone/email shown there; inquiries via web forms). Phone 888-229-3682 only from third-party directories (Winmo, Weiss Ratings, Seeking Alpha); some aggregators list +1 978-262-2626 instead - unverified.</t>
  </si>
  <si>
    <t xml:space="preserve">HyLabs (Hy Laboratories Ltd.) [מפיץ; Azenta Life Sciences (formerly GENEWIZ) genomics services - gene synthesis, cloning, gene fragments (gBlock-type), oligo pools, site-directed mutagenesis, plasmid preparation - offered to Israeli research and clinical customers on HyLabs' live 'AZENTA - GENOMICS SERVICES' / 'AZENTA (GENEWIZ)' pages; +972-8-936-6475, 8 Prof. Menakhem Plaut St., Rehovot (Prospeo lists 6 Plaut St., Rehovot 7670606)] | Tamar Laboratory Supplies Ltd. (תמר ציוד מעבדתי) [מפיץ; 4titude (Azenta Life Sciences, UK) PCR/qPCR/sequencing plates, tubes, seals and benchtop sealers - listed on Tamar's live 'Represented companies' page and its automatic roll heat sealer page; the FluidX tube-capping line recorded earlier did not surface in this round's snippets; +972 2-533-6070 (also 02-579-9777), HaAla St., Mevaseret Zion 90805]</t>
  </si>
  <si>
    <t xml:space="preserve">[אימות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</si>
  <si>
    <t xml:space="preserve">FY2025 revenue official (10-K/press release); headcount missing. Israeli distributor verified from the distributor's own represented-companies page for consumables/benchtop instruments; services and large automated stores unverified.</t>
  </si>
  <si>
    <t xml:space="preserve">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</si>
  <si>
    <t xml:space="preserve">Opentrons Labworks</t>
  </si>
  <si>
    <t xml:space="preserve">Opentrons; products Flex, OT-2</t>
  </si>
  <si>
    <t xml:space="preserve">Long Island City (Queens), New York</t>
  </si>
  <si>
    <t xml:space="preserve">Private (venture-backed; SoftBank-led USD 200M round in 2021 at USD 1.8bn valuation; SOSV/HAX alumnus)</t>
  </si>
  <si>
    <t xml:space="preserve">https://opentrons.com</t>
  </si>
  <si>
    <t xml:space="preserve">Latka estimate (~208 in 2026, down from ~300 in 2024); other aggregators range from 100 to 501-1,000. Location sources: Prospeo says Queens, NY; a 2021 SOSV article says Brooklyn (pre-move).</t>
  </si>
  <si>
    <t xml:space="preserve">approx. USD 45 million (2024, Latka estimate)</t>
  </si>
  <si>
    <t xml:space="preserve">2024</t>
  </si>
  <si>
    <t xml:space="preserve">Aggregator estimates conflict: Latka USD 45M (2024) vs Prospeo USD 12.3M. CB Insights lists a Series C-II of USD 20.1M on 5 Dec 2025; total funding estimates USD 233-271M. TrueUp shows a secondary-market valuation estimate of ~USD 0.2bn versus the 2021 USD 1.8bn headline.</t>
  </si>
  <si>
    <t xml:space="preserve">Opentrons Flex — benchtop liquid-handling robot with 96-channel head and gripper</t>
  </si>
  <si>
    <t xml:space="preserve">OT-2 — low-cost open-source pipetting robot</t>
  </si>
  <si>
    <t xml:space="preserve">Flex modules — thermocycler, heater-shaker, magnetic block, plate reader</t>
  </si>
  <si>
    <t xml:space="preserve">+1 908-869-8907</t>
  </si>
  <si>
    <t xml:space="preserve">45-18 Court Square West, Long Island City, NY 11101, USA</t>
  </si>
  <si>
    <t xml:space="preserve">HQ. Address from Opentrons' own product documentation. Phone from CB Insights (third party); Prospeo lists +1 347-913-5550 instead - unverified. No general email seen.</t>
  </si>
  <si>
    <t xml:space="preserve">Lifegene Ltd. (לייפג'ין) [מפיץ; Opentrons OT-2 and Opentrons Flex liquid-handling robots - Lifegene's live automated liquid handler page states that Opentrons solutions are available through Lifegene with full professional support and scientific assistance; +972 8-644-4314, info@lifegene.co.il, 4 Ha'maayan St., Modi'in 7171101 (directory lists Modi'in; other sources say Mevo Horon – verify)]</t>
  </si>
  <si>
    <t xml:space="preserve">[אימות עדכניות 10/2026] Re-checked on 2026-10-15: Lifegene's live Hebrew page 'מערכות אוטומטיות לטיפול בנוזלים' still lists the Opentrons OT-2 and Opentrons Flex and states that Opentrons solutions are available through Lifegene with full professional support and scientific assistance. A search restricted to opentrons.com returned its contact, partners and distributor (MikroLab, Denmark) pages but no Israel entry in the snippets. No other Israeli channel surfaced. The 40-domain sweep returned Lifegene's own Hebrew page 'מערכות אוטומטיות לטיפול בנוזלים' (lifegene.co.il/automated_liquid_handler), which lists both the Opentrons OT-2 and the Opentrons Flex (positioned for NGS library prep, magnetic-bead clean-up and tagmentation) and states that Opentrons solutions are available at Lifegene with full professional support - this is the distributor the user flagged as missing. No other Israeli distributor site mentioned Opentrons (the Eldan, Lumitron and Tamar hits concern Agilent, Eppendorf epMotion and Myra), and Opentrons' own distributor page was not searched within the budget, so exclusivity is unknown. Lifegene's own site has an Opentrons brand page.</t>
  </si>
  <si>
    <t xml:space="preserve">Distributor's own product page; manufacturer confirmation not seen.</t>
  </si>
  <si>
    <t xml:space="preserve">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 ; https://www.lifegene.co.il/automated_liquid_handler ; https://lifegene.co.il/b-r-a-n-d/opentrons/ ; https://opentrons.com/our-partners ; https://opentrons.com/contact</t>
  </si>
  <si>
    <t xml:space="preserve">SPT Labtech</t>
  </si>
  <si>
    <t xml:space="preserve">formerly TTP Labtech (spun out of TTP Group in 2018); brands: mosquito, dragonfly, firefly, apricot, comPOUND, arktic, chameleon, BioMicroLab</t>
  </si>
  <si>
    <t xml:space="preserve">Melbourn (Melbourn Science Park), Cambridgeshire</t>
  </si>
  <si>
    <t xml:space="preserve">EQT Private Equity (EQT IX, since 2022)</t>
  </si>
  <si>
    <t xml:space="preserve">Private equity (EQT)</t>
  </si>
  <si>
    <t xml:space="preserve">https://www.sptlabtech.com</t>
  </si>
  <si>
    <t xml:space="preserve">Roughly 500 employees (recalled, unverified).</t>
  </si>
  <si>
    <t xml:space="preserve">GBP 51.9 million (FY2023, per Craft aggregator)</t>
  </si>
  <si>
    <t xml:space="preserve">FY2023 (year to Dec-2023)</t>
  </si>
  <si>
    <t xml:space="preserve">Craft lists GBP 51.9M revenue and GBP 5.9M net income for FY2023 (probably taken from the UK statutory accounts of the Ltd entity, so it may not cover the whole group). Companies House shows accounts filed to 31 Dec 2024 and FY2025 accounts due by 30 Sep 2026; neither could be opened.</t>
  </si>
  <si>
    <t xml:space="preserve">mosquito — nanolitre positive-displacement liquid handler</t>
  </si>
  <si>
    <t xml:space="preserve">dragonfly discovery — non-contact low-volume reagent dispenser</t>
  </si>
  <si>
    <t xml:space="preserve">firefly — NGS library-prep liquid handling platform</t>
  </si>
  <si>
    <t xml:space="preserve">+44 1223 627555</t>
  </si>
  <si>
    <t xml:space="preserve">Melbourn Science Park, Melbourn, Hertfordshire SG8 6HB, UK</t>
  </si>
  <si>
    <t xml:space="preserve">https://sptlabtech.com/contact</t>
  </si>
  <si>
    <t xml:space="preserve">HQ. Official contact page; no general email shown (a legacy discover@ttplabtech.com appears on a third-party profile under the former company name TTP Labtech). CB Insights lists a different number +44 1763 262626.</t>
  </si>
  <si>
    <t xml:space="preserve">Agentek (1987) Ltd. (אגנטק) [מפיץ; SPT Labtech distributor for Israel - listed on sptlabtech.com/distributors (Greenwork Yakum Business Park Building A, Yakum 6097200, +972 09-9657000); the SPT Labtech consumables store refers Israeli orders to its distributors; +972 9-965-7000, Greenwork Yakum Business Park, Yakum 6097200]</t>
  </si>
  <si>
    <t xml:space="preserve">[אימות עדכניות 10/2026] Re-checked on 2026-10-15: SPT Labtech's live distributors page still lists Agentek (1987) Ltd., Greenwork Yakum Business Park Building A, Yakum 6097200, +972 09-9657000, for Israel, and the SPT Labtech consumables store's support page says Israel is among the countries served by its distributors. Agentek's own SPT Labtech page was not re-searched within the budget. No other Israeli channel surfaced. 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</si>
  <si>
    <t xml:space="preserve">Israeli distributor confirmed by both the manufacturer's distributor page and the distributor's own page (via search summaries); size figures are aggregator estimates only.</t>
  </si>
  <si>
    <t xml:space="preserve">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 ; https://store.sptlabtech.com/contact-support</t>
  </si>
  <si>
    <t xml:space="preserve">OHAUS (Mettler-Toledo)</t>
  </si>
  <si>
    <t xml:space="preserve">Ohaus, Ohaus Scale Corporation</t>
  </si>
  <si>
    <t xml:space="preserve">Parsippany, New Jersey</t>
  </si>
  <si>
    <t xml:space="preserve">Mettler-Toledo International Inc.</t>
  </si>
  <si>
    <t xml:space="preserve">Subsidiary of Mettler-Toledo International (public, NYSE: MTD)</t>
  </si>
  <si>
    <t xml:space="preserve">https://www.ohaus.com</t>
  </si>
  <si>
    <t xml:space="preserve">Roughly 1,000 employees (aggregator range 189-1,000; recalled, unverified); parent Mettler-Toledo ~17,000.</t>
  </si>
  <si>
    <t xml:space="preserve">USD 3.87 billion (parent Mettler-Toledo, FY2024; recalled, unverified this run)</t>
  </si>
  <si>
    <t xml:space="preserve">Mettler-Toledo group revenue (parent); OHAUS alone is not disclosed (trade estimate order of USD 100-200M).</t>
  </si>
  <si>
    <t xml:space="preserve">Explorer series — analytical &amp; precision laboratory balances</t>
  </si>
  <si>
    <t xml:space="preserve">Pioneer / Adventurer balances — mid-range analytical and precision balances</t>
  </si>
  <si>
    <t xml:space="preserve">Frontier series centrifuges — benchtop micro, multi-pro and high-speed centrifuges</t>
  </si>
  <si>
    <t xml:space="preserve">+1 973-377-9000</t>
  </si>
  <si>
    <t xml:space="preserve">7 Campus Drive, Suite 310, Parsippany, NJ 07054, USA</t>
  </si>
  <si>
    <t xml:space="preserve">HQ. From Labcompare / Gulf Coast Conference exhibitor listings; toll-free +1 800-672-7722. No email seen.</t>
  </si>
  <si>
    <t xml:space="preserve">Labotal Scientific Equipment Ltd. (לבוטל) [מפיץ; OHAUS balances and centrifuges (e.g. FC-5515R refrigerated microcentrifuge) - Ohaus has a dedicated page in Labotal's live 'Represented Firms' archive, and Labotal's product/guide pages refer to Ohaus' 2024 acquisition of Hermle; +972 2-579-9222, Sales@labotal.co.il, Hashalom Rd., Abu Ghosh 9084500 (mail: Mevaseret Zion)]</t>
  </si>
  <si>
    <t xml:space="preserve">[אימות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</si>
  <si>
    <r>
      <rPr>
        <sz val="10"/>
        <rFont val="Arial"/>
        <family val="0"/>
        <charset val="1"/>
      </rPr>
      <t xml:space="preserve">https://www.wikipedia.org/wiki/Ohaus ; https://jobs.mt.com/ja/</t>
    </r>
    <r>
      <rPr>
        <sz val="10"/>
        <rFont val="WenQuanYi Zen Hei"/>
        <family val="2"/>
      </rPr>
      <t xml:space="preserve">ジョブ</t>
    </r>
    <r>
      <rPr>
        <sz val="10"/>
        <rFont val="Arial"/>
        <family val="0"/>
        <charset val="1"/>
      </rPr>
      <t xml:space="preserve">/-/ohaus-dealer-manager/36870/76449528720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r>
  </si>
  <si>
    <t xml:space="preserve">KERN &amp; SOHN</t>
  </si>
  <si>
    <t xml:space="preserve">KERN, Kern &amp; Sohn, SAUTER (force measurement brand)</t>
  </si>
  <si>
    <t xml:space="preserve">Balingen</t>
  </si>
  <si>
    <t xml:space="preserve">https://www.kern-sohn.com</t>
  </si>
  <si>
    <t xml:space="preserve">Approx. 200 employees per English Wikipedia (2023 figures); other aggregators give bands of 51-200 / 51-250.</t>
  </si>
  <si>
    <t xml:space="preserve">EUR 44.4 million</t>
  </si>
  <si>
    <t xml:space="preserve">EUR 44.4 million 2023 revenue and &gt;50% equity ratio per English Wikipedia (seen via search snippet); the underlying company report could not be opened this run.</t>
  </si>
  <si>
    <t xml:space="preserve">KERN ABT / ABS analytical balances — 0.1 mg laboratory analytical balances</t>
  </si>
  <si>
    <t xml:space="preserve">KERN test weights — OIML E1-M3 calibration weights and weight sets</t>
  </si>
  <si>
    <t xml:space="preserve">KERN OBN / OBE microscopes — laboratory and educational light microscopes</t>
  </si>
  <si>
    <t xml:space="preserve">+49 7433 9933-0</t>
  </si>
  <si>
    <t xml:space="preserve">info@kern-sohn.com</t>
  </si>
  <si>
    <t xml:space="preserve">Ziegelei 1, 72336 Balingen, Germany</t>
  </si>
  <si>
    <t xml:space="preserve">HQ. From ARABLAB German Pavilion exhibitor profile and KERN product manuals; fax +49 7433 9933-149.</t>
  </si>
  <si>
    <t xml:space="preserve">BDL (bdl.co.il) [מפיץ; KERN precision balances (EW-N / EG-N series) and KERN balance bench with granite slab listed on BDL's live online catalogue; company's full name and authorised-dealer status not stated by either side; +972 9-761-1800, info@bdl.co.il, Ra'anana (warehouse: Netanya)]</t>
  </si>
  <si>
    <t xml:space="preserve">חיפוש רשת בלבד; דפי ״מפיצים״ של היצרן ואתרי המפיצים לא נפתחו (חסימת רשת). [אימות עדכניות 10/2026] Re-checked on 2026-10-15: kern-sohn.com returned only corporate/product pages and dealer-training pages, with no Israeli dealer named. BDL's live catalogue pages still list KERN EW-N/EG-N precision balances and a KERN balance bench with granite slab, so BDL continues to resell KERN products; whether it is an authorised dealer is still not stated by either side. No other Israeli channel surfaced. A .co.il-wide search for 'KERN &amp; SOHN balances scales' found BDL (bdl.co.il) listing KERN EW-N/EG-N precision balances and Kern &amp; Sohn GmbH matrix printers for KERN balances, and a follow-up search restricted to bdl.co.il confirmed those listings; BDL is recorded as an Israeli reseller/distributor, although its catalogue-style site (EUR prices, many European lab brands) suggests an import catalogue rather than an exclusive agency. Searches restricted to kern-sohn.com returned only corporate pages with no Israel dealer entry, and the two distributor-domain searches returned nothing (the first was polluted by 'kernel balancing' papers). KERN's own dealer locator could not be read, so other Israeli channels may exist.</t>
  </si>
  <si>
    <t xml:space="preserve">Reseller established from its own product listings; identity of BDL and manufacturer-side confirmation not obtained.</t>
  </si>
  <si>
    <t xml:space="preserve">https://en.wikipedia.org/wiki/Kern_%26_Sohn ; https://implisense.com/en/companies/kern-sohn-gmbh-balingen-DEUABVS71440 ; https://www.bioregio-stern.de/en/node/443 ; https://www.bdl.co.il/Item.aspx?Name=Precision+balances+type+EW-N+and+EG-N&amp;SID=19921 ; https://www.bdl.co.il/Item.aspx?Name=Printers+for+KERN+balances&amp;SID=250492 ; https://www.bdl.co.il/Item.aspx?Name=Matrix+needle+printer+YKN-01,+for+KERN+balances&amp;SID=230233 ; https://www.kern-sohn.com/shop/en/kern-intern/kontakt/ ; https://www.bdl.co.il/Item.aspx?Name=Balance+bench+with+granite+slab&amp;SID=285598 ; https://www.kern-sohn.com/shop/en/kern-intern/seminare-und-schulungen/</t>
  </si>
  <si>
    <t xml:space="preserve">A&amp;D Company (A&amp;D HOLON Holdings)</t>
  </si>
  <si>
    <t xml:space="preserve">A&amp;D Company, Limited; A&amp;D Weighing; A&amp;D Instruments; A&amp;D Engineering; Holon Create</t>
  </si>
  <si>
    <t xml:space="preserve">Toshima-ku, Tokyo</t>
  </si>
  <si>
    <t xml:space="preserve">Public (TSE: 7745)</t>
  </si>
  <si>
    <t xml:space="preserve">https://www.aandd.jp</t>
  </si>
  <si>
    <t xml:space="preserve">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</si>
  <si>
    <t xml:space="preserve">JPY 69,326 million</t>
  </si>
  <si>
    <t xml:space="preserve">FY ending Mar-2026</t>
  </si>
  <si>
    <t xml:space="preserve">Consolidated net sales JPY 69,326 million (+3.3% YoY) per stockanalysis.com / envalith.com / logmi; operating income JPY 9,210 million. Segment net sales: Measurement &amp; Weighing JPY 31,545 million, Medical &amp; Health JPY 26,667 million, Semiconductor-related JPY 11,114 million.</t>
  </si>
  <si>
    <t xml:space="preserve">Apollo GX-A / GF-A series — precision balances with impact-shock detection</t>
  </si>
  <si>
    <t xml:space="preserve">HR-A / HR-AZ series — 0.1 mg analytical balances</t>
  </si>
  <si>
    <t xml:space="preserve">MX-50 / MS-70 moisture analyzers — halogen-lamp moisture balances</t>
  </si>
  <si>
    <t xml:space="preserve">+81 3-5391-6132</t>
  </si>
  <si>
    <t xml:space="preserve">3-23-14 Higashi-Ikebukuro, Toshima-ku, Tokyo 170-0013, Japan</t>
  </si>
  <si>
    <t xml:space="preserve">https://aandd.jp/company/contact_us.html</t>
  </si>
  <si>
    <t xml:space="preserve">HQ. Official contact page; fax +81 3-5391-1566; no email shown (web contact form).</t>
  </si>
  <si>
    <t xml:space="preserve">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</si>
  <si>
    <t xml:space="preserve">No Israeli entity found; the negative result may reflect search limitations rather than true absence.</t>
  </si>
  <si>
    <t xml:space="preserve">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</si>
  <si>
    <t xml:space="preserve">Gilson</t>
  </si>
  <si>
    <t xml:space="preserve">Gilson Incorporated, PIPETMAN, Gilson Medical Electronics</t>
  </si>
  <si>
    <t xml:space="preserve">Middleton, Wisconsin</t>
  </si>
  <si>
    <t xml:space="preserve">https://www.gilson.com</t>
  </si>
  <si>
    <t xml:space="preserve">Roughly 800 employees worldwide (recalled, unverified).</t>
  </si>
  <si>
    <t xml:space="preserve">USD ~200 million (trade estimate; private)</t>
  </si>
  <si>
    <t xml:space="preserve">Gilson (Middleton WI / Villiers-le-Bel) is family-owned; order-of-magnitude estimate. Figures recalled from company statements / filings and not re-verified online in this session.</t>
  </si>
  <si>
    <t xml:space="preserve">PIPETMAN L / G / P — manual air-displacement micropipettes</t>
  </si>
  <si>
    <t xml:space="preserve">PLC 2050 / 2250 purification systems — preparative HPLC / flash purification</t>
  </si>
  <si>
    <t xml:space="preserve">GX-271 / GX-274 ASPEC — liquid-handling and SPE automation platforms</t>
  </si>
  <si>
    <t xml:space="preserve">+1 608-836-1551</t>
  </si>
  <si>
    <t xml:space="preserve">3000 Parmenter Street, P.O. Box 620027, Middleton, WI 53562-0027, USA</t>
  </si>
  <si>
    <t xml:space="preserve">https://gmlh.gilson.com/GMLHSV/services-and-support/contact.html</t>
  </si>
  <si>
    <t xml:space="preserve">HQ (Gilson Incorporated, Global Headquarters). Toll-free +1 800-445-7661; fax +1 608-831-4451. Customer-service / tech-support emails exist on the contact page but were not visible in results.</t>
  </si>
  <si>
    <t xml:space="preserve">Agentek (1987) Ltd. (אגנטק) [מפיץ; Gilson liquid handling (per Agentek vendors list); +972 9-965-7000, Greenwork Yakum Business Park, Yakum 6097200] | Lifegene Ltd. (לייפג'ין) [מפיץ; Gilson PIPETMAN G/L/M/M Connected and NEO pipettes, multichannel pipettes, PIPETMAN DIAMOND tips and PlateMaster P220 - Lifegene's live 'פיפטורים Gilson' page, Gilson product category and product pages; +972 8-644-4314, info@lifegene.co.il, 4 Ha'maayan St., Modi'in 7171101 (directory lists Modi'in; other sources say Mevo Horon – verify)]</t>
  </si>
  <si>
    <t xml:space="preserve">[אימות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</si>
  <si>
    <t xml:space="preserve">No Israeli entity found; absence of evidence only.</t>
  </si>
  <si>
    <t xml:space="preserve">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</si>
  <si>
    <t xml:space="preserve">INTEGRA Biosciences</t>
  </si>
  <si>
    <t xml:space="preserve">INTEGRA, VIAFLO, VOYAGER, ASSIST PLUS, VACUSAFE, MEDIACLAVE</t>
  </si>
  <si>
    <t xml:space="preserve">Zizers</t>
  </si>
  <si>
    <t xml:space="preserve">https://www.integra-biosciences.com</t>
  </si>
  <si>
    <t xml:space="preserve">company 2024 results story: 'now employs 614 people worldwide' (end 2024; 573 at end 2023; 234 in Zizers). Database figure of 1,000 appears overstated. Last disclosed revenue: CHF 191m (2021, +46%); 2024/2025 stories give no total.</t>
  </si>
  <si>
    <t xml:space="preserve">CHF ~250 million (trade estimate; private)</t>
  </si>
  <si>
    <t xml:space="preserve">INTEGRA (Zizers) is privately held; order-of-magnitude estimate. Figures recalled from company statements / filings and not re-verified online in this session.</t>
  </si>
  <si>
    <t xml:space="preserve">VIAFLO / VOYAGER — electronic single- and multichannel pipettes</t>
  </si>
  <si>
    <t xml:space="preserve">ASSIST PLUS — benchtop pipetting robot for electronic pipettes</t>
  </si>
  <si>
    <t xml:space="preserve">VACUSAFE / MEDIACLAVE — aspiration system and media sterilizer/preparator</t>
  </si>
  <si>
    <t xml:space="preserve">+41 81 286 95 30</t>
  </si>
  <si>
    <t xml:space="preserve">Tardisstrasse 201, 7205 Zizers, Switzerland</t>
  </si>
  <si>
    <t xml:space="preserve">https://www.integra-biosciences.com/global/en/contacts</t>
  </si>
  <si>
    <t xml:space="preserve">HQ. Address from official contacts page; phone from BioTechniques / Datanyze listings (not visible on the official page in results). Customer-care and tech-support email links exist on the contacts page but were not shown. Second HQ in Hudson, NH, USA.</t>
  </si>
  <si>
    <t xml:space="preserve">Medent - Scientific Equipment Ltd. [מפיץ; INTEGRA liquid-handling products (VIAFLO, ASSIST PLUS, VACUSAFE etc.) - listed on INTEGRA's live 'Where to buy' page as its partner for Israel (110 Mordey Hagetaot St., Beer Sheva 84206, +972 8 623 79 84, medent.co.il); +972 72-395-0508 (sales); +972 8-683-6306 (service), info@medent.co.il, 110 Mordei HaGetaot St., Beer Sheva 8420643]</t>
  </si>
  <si>
    <t xml:space="preserve">[אימות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</si>
  <si>
    <t xml:space="preserve">Israel finding only: named on the manufacturer's official distributor page.</t>
  </si>
  <si>
    <t xml:space="preserve">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</si>
  <si>
    <t xml:space="preserve">BMG LABTECH</t>
  </si>
  <si>
    <t xml:space="preserve">BMG Labtech, CLARIOstar, PHERAstar, FLUOstar Omega</t>
  </si>
  <si>
    <t xml:space="preserve">Ortenberg</t>
  </si>
  <si>
    <t xml:space="preserve">https://www.bmglabtech.com</t>
  </si>
  <si>
    <t xml:space="preserve">Roughly 300 employees worldwide (recalled, unverified).</t>
  </si>
  <si>
    <t xml:space="preserve">BMG LABTECH (Ortenberg) is family-owned; order-of-magnitude estimate. Figures recalled from company statements / filings and not re-verified online in this session.</t>
  </si>
  <si>
    <t xml:space="preserve">CLARIOstar Plus — monochromator-based multi-mode microplate reader</t>
  </si>
  <si>
    <t xml:space="preserve">PHERAstar FSX — high-throughput screening multi-mode plate reader</t>
  </si>
  <si>
    <t xml:space="preserve">Omega series (FLUOstar / POLARstar / SPECTROstar Nano) — filter-based and absorbance microplate readers</t>
  </si>
  <si>
    <t xml:space="preserve">+49 781 96968-0</t>
  </si>
  <si>
    <t xml:space="preserve">germany@bmglabtech.com</t>
  </si>
  <si>
    <t xml:space="preserve">Allmendgrün 8, 77799 Ortenberg, Germany</t>
  </si>
  <si>
    <t xml:space="preserve">https://bmglabtech.com/de/kontakt</t>
  </si>
  <si>
    <t xml:space="preserve">HQ. Official contact page shows address + phone, no email (contact form). Email germany@bmglabtech.com and fax +49 781 96968-67 come from a 2018 BMG contact-addresses PDF (med-fom-avgaylab.sites.olt.ubc.ca) - verify. US office: usa@bmglabtech.com (Cary, NC).</t>
  </si>
  <si>
    <t xml:space="preserve">Zotal Ltd. [מפיץ; BMG LABTECH microplate readers (CLARIOstar, PHERAstar etc.) - listed on BMG's live 'Sales &amp; Support Offices' page as the Israel contact (4 Habarzel St., Tel Aviv 69710, +972 3 6492 444, sales@zotal.co.il); the page does not label Zotal as office versus distributor; +972 3-649-2444, 4 Habarzel St., Tel Aviv 6971008]</t>
  </si>
  <si>
    <t xml:space="preserve">[אימות עדכניות 10/2026] Re-checked on 2026-10-15: BMG LABTECH's live 'Sales &amp; Support Offices' page still lists Zotal Ltd, 4 Habarzel St., Tel Aviv 69710, +972 3 6492 444, sales@zotal.co.il, for Israel; the page groups subsidiaries, regional offices and distributors without labelling Zotal's status, and BMG's own offices are in Germany, USA, UK, Australia, Japan and France. Zotal's own BMG pages were not re-searched within the budget. Searched '"BMG LABTECH" Israel distributor/נציג/יבואן', the 29 Israeli distributor domains and bmglabtech.com. BMG LABTECH's 'Sales &amp; Support Offices' page lists Zotal Ltd. (Tel Aviv) as the Israel contact, and Zotal's own site has a BMG LABTECH brand page plus microplate-reader product pages (luminescence, fluorescence polarization, TR-FRET, AlphaScreen, LVF monochromator). BMG has no Israeli subsidiary; its own offices are in Germany, USA, UK, Australia, Japan and France. No caveats beyond BMG's page not labelling Zotal explicitly as 'distributor' versus office.</t>
  </si>
  <si>
    <t xml:space="preserve">Israel finding only: confirmed on both the manufacturer's and the distributor's sites.</t>
  </si>
  <si>
    <t xml:space="preserve">https://www.bmglabtech.com/en/sales-and-support-offices/ ; https://www.zotal.co.il/product_brands/bmg-labtech/ ; http://www.zotal.co.il/products/life-sciences/cell-biology-instrumentation/microplate-readers/luminometers-0 ; https://www.bmglabtech.com/en/sales-and-support/ ; https://www.bmglabtech.com/en/contact/</t>
  </si>
  <si>
    <t xml:space="preserve">Repligen</t>
  </si>
  <si>
    <t xml:space="preserve">TangenX, Spectrum Labs (KrosFlo), CTech / C Technologies, ARTeSYN, Avitide, Metenova, Tantti, OPUS</t>
  </si>
  <si>
    <t xml:space="preserve">Public (NASDAQ: RGEN)</t>
  </si>
  <si>
    <t xml:space="preserve">https://www.repligen.com</t>
  </si>
  <si>
    <t xml:space="preserve">Repligen FY2025 10-K: approximately 2,000 full-time and part-time employees as of 31 Dec 2025.</t>
  </si>
  <si>
    <t xml:space="preserve">USD 738 million</t>
  </si>
  <si>
    <t xml:space="preserve">Repligen Q4/FY2025 results release 24 Feb 2026: full-year 2025 revenue $738m vs $634m in 2024 (+16%).</t>
  </si>
  <si>
    <t xml:space="preserve">XCell ATF — alternating tangential flow cell-retention systems</t>
  </si>
  <si>
    <t xml:space="preserve">OPUS pre-packed columns — ready-to-use chromatography columns</t>
  </si>
  <si>
    <t xml:space="preserve">CTech FlowVPX / SoloVPE — variable-pathlength UV concentration analytics</t>
  </si>
  <si>
    <t xml:space="preserve">+1 781-250-0111</t>
  </si>
  <si>
    <t xml:space="preserve">41 Seyon Street, Building 1, Suite 100, Waltham, MA 02453, USA</t>
  </si>
  <si>
    <t xml:space="preserve">HQ. From official investor site; toll-free +1 800-622-2259, fax +1 781-250-0115. Only role email seen is investor relations investors@repligen.com (no general/sales email).</t>
  </si>
  <si>
    <t xml:space="preserve">חיפוש רשת בלבד; דפי ״מפיצים״ של היצרן ואתרי המפיצים לא נפתחו (חסימת רשת). [אימות עדכניות 10/2026] Re-checked on 2026-10-15: a search restricted to repligen.com returned only corporate, contact, careers and investor pages with no Israel office or distributor, and a general English/Hebrew search ('Repligen' Israel distributor/נציג/יבואן 2025-2026) returned only SEC filings, job boards and a Q1-2026 results article; Repligen describes a direct regional sales model with bioprocess account managers. No Israeli distributor, agent or office was found. Round 3 ran the brand restricted to the 40 Israeli distributor domains (only SEC filings surfaced; no Israeli site mentions Repligen, XCell ATF, OPUS, TangenX, KrosFlo or SoloVPE), a Hebrew-only query ('Repligen יבואן נציגות בישראל ביופרוסס') and an 'Israel distributor' query restricted to repligen.com; none named an Israeli distributor or office. Repligen's distributors page repeats that products are marketed through a direct commercial organisation in the US, Europe and Asia plus strategic partners and distributors in select markets, and its locations page lists only US sites and Bengaluru. Result unchanged from round 2: no Israeli entity identified; Israel is most likely served directly from Repligen Europe or by an unnamed partner.</t>
  </si>
  <si>
    <t xml:space="preserve">Absence of evidence only.</t>
  </si>
  <si>
    <t xml:space="preserve">https://repligen.com/company/distributors ; https://www.repligen.com/support/contact-overview ; https://store.repligen.com/ ; https://www.sec.gov/Archives/edgar/data/730272/000119312524083464/d803642dars.pdf ; https://www.repligen.com/company/distributors ; https://www.repligen.com/company/locations ; https://www.repligen.com/company ; https://www.sec.gov/Archives/edgar/data/730272/000095017025105166/rgen-20250630.htm ; https://www.repligen.com/company/about ; https://www.labmanager.com/repligen-reports-strong-q1-2026-growth-driven-by-process-analytics-and-strategic-refinement-35336 ; https://investors.repligen.com/press-releases/news-details/2026/Repligen-Reports-Fourth-Quarter-and-Full-Year-2025-Financial-Results-and-Provides-2026-Financial-Guidance/default.aspx ; https://www.sec.gov/Archives/edgar/data/730272/000119312526076528/rgen-20251231.htm</t>
  </si>
  <si>
    <t xml:space="preserve">ZwickRoell</t>
  </si>
  <si>
    <t xml:space="preserve">Zwick, Roell, Zwick Roell, Indentec, ZwickRoell Group</t>
  </si>
  <si>
    <t xml:space="preserve">Ulm</t>
  </si>
  <si>
    <t xml:space="preserve">https://www.zwickroell.com</t>
  </si>
  <si>
    <t xml:space="preserve">ZwickRoell Ausbildungsbroschüre 2025 (company PDF): 'more than 1,800 employees worldwide, more than 1,200 at the Ulm-Einsingen headquarters'.</t>
  </si>
  <si>
    <t xml:space="preserve">EUR 304 million</t>
  </si>
  <si>
    <t xml:space="preserve">Same company brochure gives revenue of EUR 304 million for 2023; the figure is split across a line break in the PDF text ('30 / 4'), so the exact reading carries some uncertainty. No 2024/2025 figure found. IHK Ulm (2026) reports a EUR 11.2 million training-centre investment at the HQ.</t>
  </si>
  <si>
    <t xml:space="preserve">AllroundLine / ProLine (Z-series) — universal static materials testing machines</t>
  </si>
  <si>
    <t xml:space="preserve">testXpert III — materials testing software platform</t>
  </si>
  <si>
    <t xml:space="preserve">HIT pendulum impact testers &amp; ZHU/DuraScan hardness testers — impact and hardness testing instruments</t>
  </si>
  <si>
    <t xml:space="preserve">+49 7305 10-0</t>
  </si>
  <si>
    <t xml:space="preserve">info@zwickroell.com</t>
  </si>
  <si>
    <t xml:space="preserve">August-Nagel-Str. 11, 89079 Ulm, Germany</t>
  </si>
  <si>
    <t xml:space="preserve">HQ. From official imprint; fax +49 7305 10-11200; service hotline +49 7305 10-11225.</t>
  </si>
  <si>
    <t xml:space="preserve">GLOBUS Technical Equipment Ltd. [מפיץ; ZwickRoell sales partner for Israel (materials testing machines) - listed on ZwickRoell's live 'Locations around the world' page (1 Ha'ofe Street, Kadima Industrial Zone, +972 9 956 0444); subsidiary versus independent partner not stated; no website found; +972-72-394-1126, Hao'fa 1, Kadima]</t>
  </si>
  <si>
    <t xml:space="preserve">[אימות עדכניות 10/2026] Re-checked on 2026-10-15: ZwickRoell's live 'Locations around the world' page still lists GLOBUS Technical Equipment Ltd., 1 Ha'ofe Street, Kadima Industrial Zone, +972 9 956 0444, for Israel; the page does not state whether Globus is a subsidiary or an independent sales partner, and no website for Globus surfaced. No other Israeli channel surfaced. Searched the brand generically (English/Hebrew), across 27 Israeli lab-distributor domains, on zwickroell.com and for the partner's own name. ZwickRoell's own 'Locations around the world' page names GLOBUS Technical Equipment Ltd. in the Kadima Industrial Zone as its Israeli partner (phone number and contact form). No website for Globus was found and it does not appear on any of the usual Israeli lab-distributor sites, so it is an industrial/technical-equipment agent rather than a lab-supply house.</t>
  </si>
  <si>
    <t xml:space="preserve">Israeli partner named on the manufacturer's official locations page; only the partner's website could not be located.</t>
  </si>
  <si>
    <t xml:space="preserve">https://www.zwickroell.com/company/locations-around-the-world/ ; https://www.zwickroell.com/contact/ ; https://www.zwickroell.com/fr-fr/about-us ; https://www.zwickroell.com/fileadmin/user_upload/Ausbildungsbroschuere_2025.pdf ; https://www.ihk.de/ulm/online-magazin/jetzt-zu-zweit-am-ruder-6653524</t>
  </si>
  <si>
    <t xml:space="preserve">Kewaunee Scientific</t>
  </si>
  <si>
    <t xml:space="preserve">Kewaunee, Nu Aire / NuAire (subsidiary since Nov 2024), Kewaunee Labway India</t>
  </si>
  <si>
    <t xml:space="preserve">Statesville, North Carolina</t>
  </si>
  <si>
    <t xml:space="preserve">Public (NASDAQ: KEQU)</t>
  </si>
  <si>
    <t xml:space="preserve">https://www.kewaunee.com</t>
  </si>
  <si>
    <t xml:space="preserve">Headcount NOT found in snippets: FY2026 10-K (filed mid-2026) surfaced but its Human Capital section was not shown; Motley Fool's 1,231 is AI-generated and pre-dates the filing, so ignored.</t>
  </si>
  <si>
    <t xml:space="preserve">USD 282.0 million</t>
  </si>
  <si>
    <t xml:space="preserve">FY2026 (ended 30-Apr-2026)</t>
  </si>
  <si>
    <t xml:space="preserve">8-K / earnings release 23-Jun-2026: FY2026 sales USD 281,999,000, +17.3% vs USD 240,472,000 in FY2025; Lab Products Group (ex-Domestic) USD 214.9 million (+19.8%); net earnings USD 9.6 million (USD 3.22 diluted EPS); backlog USD 165.9 million at 30-Apr-2026; Nu Aire seller notes repaid.</t>
  </si>
  <si>
    <t xml:space="preserve">Supreme Air fume hoods — low-velocity / high-performance laboratory fume hoods</t>
  </si>
  <si>
    <t xml:space="preserve">Evolution / Research Collection casework — adaptable steel and wood laboratory furniture</t>
  </si>
  <si>
    <t xml:space="preserve">NuAire biosafety cabinets (LabGard) — Class II biological safety cabinets (NuAire subsidiary)</t>
  </si>
  <si>
    <t xml:space="preserve">+1 704-873-7202</t>
  </si>
  <si>
    <t xml:space="preserve">2700 West Front Street, Statesville, NC 28677, USA</t>
  </si>
  <si>
    <t xml:space="preserve">HQ. Third-party directory listings (Tradeline, Plunkett Research); fax +1 704-873-1275. An older exhibitor listing gives PO Box 1842, Statesville NC 28687 and +1 704-871-3212. No email seen.</t>
  </si>
  <si>
    <t xml:space="preserve">חיפוש רשת בלבד; דפי ״מפיצים״ של היצרן ואתרי המפיצים לא נפתחו (חסימת רשת). [אימות עדכניות 10/2026] Re-checked on 2026-10-15: a search restricted to kewaunee.com returned its 'Find a Kewaunee Dealer' directory (organised by US state, with some foreign dealers such as Hong Kong, Mexico and India but no Israel entry in the snippet) and its About page listing sales offices in the United States, India, Saudi Arabia and Singapore. A general English/Hebrew search returned only SEC filings and a D&amp;B profile; the only Middle East reference remains a 2010 annual report on dealer representation via the Singapore/India subsidiaries. No Israeli dealer was found. Searched: 'Kewaunee' laboratory furniture Israel distributor/נציג/יבואן; Hebrew query ריהוט מעבדה / מנדפים with 'Kewaunee' (extended); and 'Kewaunee' restricted to 18 Israeli distributor domains (no hits). Kewaunee's own site lists sales offices/subsidiaries in the US, India, Saudi Arabia and Singapore, with Middle East sales handled via its Singapore/India subsidiaries and regional dealers (a 2010 shareholder letter mentions Middle East dealer representation). Its 'Find a Kewaunee Dealer' page snippet (US dealers plus a Hong Kong dealer) was truncated, so an Israeli dealer listing cannot be ruled out; the page could not be fetched. No Israeli entity found.</t>
  </si>
  <si>
    <t xml:space="preserve">Revenue official (SEC filing); headcount not captured. Israel: nothing found after three searches, but the manufacturer's dealer map was not fully readable - treat none_found as provisional.</t>
  </si>
  <si>
    <t xml:space="preserve">https://kewaunee.com/about/ ; https://kewaunee.com/wp-content/uploads/2026/07/FY26-Annual-Report-R062026-Web-FINAL.pdf ; https://www.dnb.com/business-directory/company-profiles.kewaunee_scientific_corporation.a3375a4cdcfa0bc54d035b8604567ee1.html ; https://www.nuaire.com/ ; https://nuaire.com/products/biosafety-cabinets/labgard-nu-560-class-ii-type-b2-biosafety-cabinet ; https://www.sec.gov/Archives/edgar/data/0000055529/000005552926000017/prfy26q4earningsrelease.htm ; https://kewaunee.com/wp-content/uploads/2026/06/Nasdaq-FY26-Q4-Earnings-Release-410PM.pdf ; https://www.sec.gov/Archives/edgar/data/0000055529/000005552926000020/kequ-20260430.htm ; https://kewaunee.com/contact/kewaunee-dealers/ ; https://kewaunee.com/usa-dealer/ ; https://www.sec.gov/Archives/edgar/vprr/1300/13003020.pdf</t>
  </si>
  <si>
    <t xml:space="preserve">WALDNER Laboreinrichtungen</t>
  </si>
  <si>
    <t xml:space="preserve">WALDNER, Waldner Group (Hermann WALDNER GmbH &amp; Co. KG, WALDNER Dosomat, Hohenloher Spezialmöbelwerk)</t>
  </si>
  <si>
    <t xml:space="preserve">Wangen im Allgäu</t>
  </si>
  <si>
    <t xml:space="preserve">WALDNER Group (Hermann WALDNER GmbH &amp; Co. KG)</t>
  </si>
  <si>
    <t xml:space="preserve">https://www.waldner.de</t>
  </si>
  <si>
    <t xml:space="preserve">WALDNER's own job listing: over 1,600 employees group-wide, over 1,000 of them at the Wangen im Allgäu production site; Schwäbische Zeitung reports 114 apprentices at the HQ (~10% of staff there), consistent with that. Undated job-ad figure.</t>
  </si>
  <si>
    <t xml:space="preserve">EUR ~200 million (group, trade estimate; private)</t>
  </si>
  <si>
    <t xml:space="preserve">No usable 2024/2025 revenue figure: Indeed gives only a range (EUR 85-425 million), an Implisense entry says 2023 revenue increased without a number; chemie.de (Jun-2024) reports &gt; EUR 11 million investment in new production machinery at Wangen.</t>
  </si>
  <si>
    <t xml:space="preserve">SCALA — modular laboratory furniture system</t>
  </si>
  <si>
    <t xml:space="preserve">SECUFLOW — energy-saving laboratory fume hoods</t>
  </si>
  <si>
    <t xml:space="preserve">Media ceilings &amp; service modules — ceiling-mounted lab utility supply systems</t>
  </si>
  <si>
    <t xml:space="preserve">+49 7522 9860</t>
  </si>
  <si>
    <t xml:space="preserve">Haidösch 1, 88239 Wangen im Allgäu, Germany</t>
  </si>
  <si>
    <t xml:space="preserve">HQ (WALDNER Laboreinrichtungen SE &amp; Co. KG). Address from official site; phone from Spectaris / SelectScience listings. No email - official site routes enquiries through a contact form. Parent WALDNER Holding: Anton-Waldner-Straße 10-16, 88239 Wangen im Allgäu.</t>
  </si>
  <si>
    <t xml:space="preserve">חיפוש רשת בלבד; דפי ״מפיצים״ של היצרן ואתרי המפיצים לא נפתחו (חסימת רשת). [אימות עדכניות 10/2026] Re-checked on 2026-10-15: a search restricted to waldner.de returned its 'Worldwide' and company-structure pages with no Israel entry in the snippets, and a general English/Hebrew search returned only Waldner's own product pages, catalogues on labrulez, a MINEXASIA 2024 exhibitor listing and Labokraft (exclusive Hungarian representative since 2006). No Israeli distributor or partner was found. Searched: 'Waldner' laboratory furniture fume hoods Israel distributor/נציג/יבואן; Hebrew query ריהוט מעבדה / מנדפים with 'Waldner' (extended); and 'Waldner' restricted to 18 Israeli distributor domains (no hits - only unrelated MRC pages). Results named partners elsewhere only (Labokraft, exclusive Hungarian distributor since 2006; Analysis doo, Balkans; GD Waldner / Waldner Inc. for India / North America). The only Israeli fume-hood company surfaced was Mintz Lab Systems (Ness Ziona), a local manufacturer not described as a Waldner partner. Waldner's distributor/contact page was not fetched.</t>
  </si>
  <si>
    <t xml:space="preserve">Headcount from a company job advertisement (undated), no revenue; no Israeli representation found after three searches, manufacturer's partner list unchecked.</t>
  </si>
  <si>
    <t xml:space="preserve">https://www.waldner.de/en/about-us/company/worldwide/ ; https://www.waldner.de/en/about-us/company/ ; https://2024.minexasia.com/exhibitors/waldner/ ; https://tenders.huji.ac.il/wp-content/uploads/2026/07/מכרז-מסגרת-ריהוט-מעבדתי-מסמכי-מכרז.pdf ; https://studyflix.de/jobs/stellenangebote/waldner-6133-c ; https://www.schwaebische.de/regional/allgaeu/wangen/waldner-wirtschaftet-auch-in-schwierigen-zeiten-erfolgreich-2927870 ; https://www.chemie.de/news/1183649/waldner-investiert-in-neue-fertigungstechnologien.html ; https://de.indeed.com/cmp/Waldner-Group-1 ; https://www.waldner.de/en/products/ ; https://labokraft.hu/shop/brands?brand=34 ; https://coresignal.com/discover/furniture/israel/ ; https://www.waldner.de/en/about-us/company/company-structure/ ; https://labokraft.hu/shop/category/laboratory-furniture-10463</t>
  </si>
  <si>
    <t xml:space="preserve">DWK Life Sciences</t>
  </si>
  <si>
    <t xml:space="preserve">DURAN, WHEATON, KIMBLE, KIMAX; formed from Duran Group, Wheaton Industries and Kimble Chase</t>
  </si>
  <si>
    <t xml:space="preserve">Mainz (sources also cite Wertheim; US headquarters Millville, New Jersey)</t>
  </si>
  <si>
    <t xml:space="preserve">One Equity Partners (portfolio company)</t>
  </si>
  <si>
    <t xml:space="preserve">Private equity (One Equity Partners)</t>
  </si>
  <si>
    <t xml:space="preserve">https://www.dwk.com</t>
  </si>
  <si>
    <t xml:space="preserve">'Over 1,800 employees worldwide' per DWK's own careers page (current); 12 manufacturing sites, presence in 50+ countries (ChromatographyToday profile). Third-party directories give 470-1,900.</t>
  </si>
  <si>
    <t xml:space="preserve">USD 105.7 million</t>
  </si>
  <si>
    <t xml:space="preserve">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</si>
  <si>
    <t xml:space="preserve">DURAN laboratory glass bottles — GL 45 borosilicate 3.3 bottles &amp; lab glassware</t>
  </si>
  <si>
    <t xml:space="preserve">WHEATON vials &amp; serum bottles — glass vials, serum bottles, packaging</t>
  </si>
  <si>
    <t xml:space="preserve">KIMBLE KIMAX glassware — volumetric &amp; general laboratory glassware</t>
  </si>
  <si>
    <t xml:space="preserve">+49 9342 802-0</t>
  </si>
  <si>
    <t xml:space="preserve">Otto-Schott-Str. 21, 97877 Wertheim, Germany</t>
  </si>
  <si>
    <t xml:space="preserve">https://www.dwk.com/request-a-quote</t>
  </si>
  <si>
    <t xml:space="preserve">HQ (official site labels the Wertheim site as HQ of DWK Life Sciences GmbH). Contact page also gives GmbH address Hattenbergstr. 10, 55122 Mainz, +49 6131 1445 4131; US: 1501 North 10th Street, Millville, NJ, +1 856-825-1100 / 1-800-225-1437; UK (Stoke-on-Trent) +44 1782 444406. All emails masked in results.</t>
  </si>
  <si>
    <t xml:space="preserve">Danyel Biotech Ltd. (Gamida for Life group) (דניאל ביוטק) [מפיץ; 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 1-800-711-911 (also +972 8-936-6066), 8 Hamada St., Science Park, Rehovot 7670308]</t>
  </si>
  <si>
    <t xml:space="preserve">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</si>
  <si>
    <t xml:space="preserve">Distributor's own brand page; scope limited to the SciLabware/Wheaton range; manufacturer's page not seen.</t>
  </si>
  <si>
    <t xml:space="preserve">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</si>
  <si>
    <t xml:space="preserve">Greiner Bio-One</t>
  </si>
  <si>
    <t xml:space="preserve">Greiner Bio-One International GmbH; VACUETTE, CELLSTAR, Sapphire, µClear; formerly Greiner Labortechnik</t>
  </si>
  <si>
    <t xml:space="preserve">Kremsmünster</t>
  </si>
  <si>
    <t xml:space="preserve">Greiner AG</t>
  </si>
  <si>
    <t xml:space="preserve">Subsidiary of Greiner AG (private, family-owned)</t>
  </si>
  <si>
    <t xml:space="preserve">https://www.gbo.com</t>
  </si>
  <si>
    <t xml:space="preserve">Greiner AG 2025 annual report press release / Greiner Bio-One division page: 2,651 employees as of 31 Dec 2025 (Greiner Bio-One International GmbH incl. Greiner Mediscan, excl. leased personnel; Mediscan became a separate Greiner division on 1 Jan 2026).</t>
  </si>
  <si>
    <t xml:space="preserve">EUR 637 million</t>
  </si>
  <si>
    <t xml:space="preserve">Greiner Bio-One key figures 2025: sales revenue EUR 637m (confirms existing figure); Greiner group revenue ~EUR 1.94bn, 10,242 employees.</t>
  </si>
  <si>
    <t xml:space="preserve">VACUETTE — evacuated blood collection tubes &amp; safety needles</t>
  </si>
  <si>
    <t xml:space="preserve">CELLSTAR — cell culture flasks, dishes &amp; plates</t>
  </si>
  <si>
    <t xml:space="preserve">Sapphire tips &amp; µClear microplates — pipette tips, PCR &amp; assay microplates</t>
  </si>
  <si>
    <t xml:space="preserve">+43 7583 6791-0</t>
  </si>
  <si>
    <t xml:space="preserve">office@gbo.com</t>
  </si>
  <si>
    <t xml:space="preserve">Bad Haller Straße 32, 4550 Kremsmünster, Austria</t>
  </si>
  <si>
    <t xml:space="preserve">HQ (Greiner Bio-One International GmbH). Phone/address from official imprint; fax +43 7583 6318; office@gbo.com from the 2022 press kit on gbo.com - verify. North America office Monroe, NC +1 704-261-7800; Netherlands info.nl@gbo.com. Second search used.</t>
  </si>
  <si>
    <t xml:space="preserve">Danyel Biotech Ltd. (Gamida for Life group) (דניאל ביוטק) [מפיץ; Greiner Bio-One distributor for Israel for the Preanalytics, BioScience and CLiP safety IV catheter divisions - listed on gbo.com's 'Subsidiaries &amp; distributors' page (8 Hamada - Science Park, 7414002 Rehovot, +972-8-9366066, danyel.co.il); Danyel also has its own Greiner Bio-One brand page; 1-800-711-911 (also +972 8-936-6066), 8 Hamada St., Science Park, Rehovot 7670308]</t>
  </si>
  <si>
    <t xml:space="preserve">[אימות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</si>
  <si>
    <t xml:space="preserve">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t>
  </si>
  <si>
    <t xml:space="preserve">SARSTEDT</t>
  </si>
  <si>
    <t xml:space="preserve">SARSTEDT Group; S-Monovette, Safety-Multifly, Microvette, Salivette</t>
  </si>
  <si>
    <t xml:space="preserve">Nümbrecht</t>
  </si>
  <si>
    <t xml:space="preserve">https://www.sarstedt.com</t>
  </si>
  <si>
    <t xml:space="preserve">'More than 3,000 employees' per sarstedt.com and the corporate brochure dated Oct 2025 (and Mar 2026 edition); 34 sales organisations and 13 production sites. Revelio Labs counts c. 1,354 for the German KG entity alone.</t>
  </si>
  <si>
    <t xml:space="preserve">USD 814.7 million</t>
  </si>
  <si>
    <t xml:space="preserve">undated (database estimate)</t>
  </si>
  <si>
    <t xml:space="preserve">No company-published revenue found. Datanyze lists USD 814.7M (no year/source); Prospeo estimates USD 480M. Treat as rough third-party estimates.</t>
  </si>
  <si>
    <t xml:space="preserve">S-Monovette — venous blood collection system</t>
  </si>
  <si>
    <t xml:space="preserve">Microvette &amp; Salivette — capillary blood and saliva collection</t>
  </si>
  <si>
    <t xml:space="preserve">Lab consumables (tubes, tips, cell culture) — screw-cap tubes, pipette tips, plates</t>
  </si>
  <si>
    <t xml:space="preserve">+49 2293 305-0</t>
  </si>
  <si>
    <t xml:space="preserve">info@sarstedt.com</t>
  </si>
  <si>
    <t xml:space="preserve">Sarstedtstraße 1, 51588 Nümbrecht, Germany</t>
  </si>
  <si>
    <t xml:space="preserve">https://sarstedt.com/en/contact</t>
  </si>
  <si>
    <t xml:space="preserve">HQ. Official contact page; fax +49 2293 305-2470; orders vertrieb@sarstedt.com.</t>
  </si>
  <si>
    <t xml:space="preserve">Tamar Laboratory Supplies Ltd. (תמר ציוד מעבדתי) [מפיץ; Sarstedt consumables (reagent and centrifuge tubes, gel-loading tips, disposable cuvettes, transfer pipettes) - SARSTEDT (Germany, plastic laboratory and medical products) is on Tamar's live 'Represented companies' page and Tamar's product pages carry Sarstedt items; +972 2-533-6070 (also 02-579-9777), HaAla St., Mevaseret Zion 90805]</t>
  </si>
  <si>
    <t xml:space="preserve">[אימות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</si>
  <si>
    <t xml:space="preserve">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t>
  </si>
  <si>
    <t xml:space="preserve">BRAND (incl. VACUUBRAND)</t>
  </si>
  <si>
    <t xml:space="preserve">BRAND Group; BRANDTECH Scientific (USA/Canada); VACUUBRAND; VITLAB; Transferpette, Dispensette, BLAUBRAND</t>
  </si>
  <si>
    <t xml:space="preserve">Wertheim</t>
  </si>
  <si>
    <t xml:space="preserve">https://www.brand.de</t>
  </si>
  <si>
    <t xml:space="preserve">company brand brochure on brand.de (undated, current): 'weltweit rund 1.000 Mitarbeiter' for the BRAND group (incl. VACUUBRAND, VITLAB); company job ads (2025): '500 Mitarbeiter ... am Standort Wertheim'</t>
  </si>
  <si>
    <t xml:space="preserve">EUR ~160 million p.a.</t>
  </si>
  <si>
    <t xml:space="preserve">c. FY2024 (undated current company brochure)</t>
  </si>
  <si>
    <t xml:space="preserve">company brand brochure on brand.de states 'Umsatz ca. 160.000.000 EUR p.a.' for the BRAND group; self-stated, fiscal year not given</t>
  </si>
  <si>
    <t xml:space="preserve">Transferpette S / electronic — single- and multichannel air-displacement pipettes</t>
  </si>
  <si>
    <t xml:space="preserve">Dispensette S &amp; HandyStep — bottle-top dispensers and repetitive pipettes</t>
  </si>
  <si>
    <t xml:space="preserve">BLAUBRAND volumetric glassware — Class A flasks, pipettes, burettes</t>
  </si>
  <si>
    <t xml:space="preserve">+49 9342 808-0</t>
  </si>
  <si>
    <t xml:space="preserve">info@brand.de</t>
  </si>
  <si>
    <t xml:space="preserve">Otto-Schott-Str. 25, 97877 Wertheim, Germany</t>
  </si>
  <si>
    <t xml:space="preserve">https://brand.de/en/contact/how-to-find-us</t>
  </si>
  <si>
    <t xml:space="preserve">HQ (BRAND GMBH + CO KG). Fax +49 9342 808-236. VACUUBRAND GMBH + CO KG is a separate company at Alfred-Zippe-Straße 4, 97877 Wertheim, email info@vacuubrand.com.</t>
  </si>
  <si>
    <t xml:space="preserve">Labotal Scientific Equipment Ltd. (לבוטל) [מפיץ; 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 +972 2-579-9222, Sales@labotal.co.il, Hashalom Rd., Abu Ghosh 9084500 (mail: Mevaseret Zion)] | Yoel Naim Ltd. [מפיץ; BRAND (liquid handling, volumetric ware) distributor and service partner for Israel - named on BRAND's live 'Sales and Consulting worldwide' page (industrial area, Rehovot); website not found]</t>
  </si>
  <si>
    <t xml:space="preserve">[אימות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</si>
  <si>
    <t xml:space="preserve">Distributor's own site is explicit about both brands; manufacturer confirmation not seen.</t>
  </si>
  <si>
    <t xml:space="preserve">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</si>
  <si>
    <t xml:space="preserve">Berthold Technologies</t>
  </si>
  <si>
    <t xml:space="preserve">Berthold Technologies GmbH &amp; Co. KG; formerly EG&amp;G Berthold / PerkinElmer; Mithras, Tristar, Lumat, NightOWL</t>
  </si>
  <si>
    <t xml:space="preserve">Bad Wildbad</t>
  </si>
  <si>
    <t xml:space="preserve">Private (family-owned; Berthold family with Hans J. Oberhofer bought it back from PerkinElmer in 2000)</t>
  </si>
  <si>
    <t xml:space="preserve">https://www.berthold.com</t>
  </si>
  <si>
    <t xml:space="preserve">company job ads (StepStone / make-it-in-germany, 2025): '360 Mitarbeiter'</t>
  </si>
  <si>
    <t xml:space="preserve">EUR ~100 million</t>
  </si>
  <si>
    <t xml:space="preserve">c. FY2024 (company job-ad boilerplate, fiscal year not stated)</t>
  </si>
  <si>
    <t xml:space="preserve">company job ads (StepStone, make-it-in-germany; 2025) describe Berthold as 'konzernunabhängiges mittelständisches Unternehmen mit ca. 100 Mio. Euro Umsatz und 360 Mitarbeitern'; self-stated, not audited</t>
  </si>
  <si>
    <t xml:space="preserve">Tristar 5 / Mithras² — multimode microplate readers</t>
  </si>
  <si>
    <t xml:space="preserve">Lumat³ LB 9508 / Centro — tube and microplate luminometers</t>
  </si>
  <si>
    <t xml:space="preserve">LB 124 SCINT &amp; process gauges — contamination monitors, level/density gauges</t>
  </si>
  <si>
    <t xml:space="preserve">+49 7081 177-0</t>
  </si>
  <si>
    <t xml:space="preserve">Calmbacher Straße 22, 75323 Bad Wildbad, Germany</t>
  </si>
  <si>
    <t xml:space="preserve">HQ. Third-party directory listings (Laser Focus World, CHEManager, rapidmicrobiology); fax +49 7081 177-167. No email seen.</t>
  </si>
  <si>
    <t xml:space="preserve">Danyel Biotech Ltd. (Gamida for Life group) (דניאל ביוטק) [מפיץ; Berthold Technologies bioanalytic instruments - microplate and multimode readers (TriStar2), tube luminometers, NightOWL in-vivo imaging, gamma counters and HPLC radio detectors - per Danyel's live Berthold Technologies brand page; 1-800-711-911 (also +972 8-936-6066), 8 Hamada St., Science Park, Rehovot 7670308] | Oriontech Engineering [מפיץ; Berthold Technologies' listed sales contact for Israel (contact Aharon Shneiderman, PO Box 3012, 2412901 Akko) on Berthold's live process-control contacts page and company worldwide-contacts page; division coverage (process control / radiation protection vs bioanalytics) not stated in the snippets]</t>
  </si>
  <si>
    <t xml:space="preserve">[אימות עדכניות 10/2026] Re-checked on 2026-10-15: Danyel Biotech's live 'Berthold Technologies' brand page still presents Berthold's bioanalytic line (microplate/multimode readers incl. TriStar2, tube luminometers, NightOWL imaging, gamma counters, HPLC radio detectors). Berthold's own contacts pages (the process-control contacts page and the company 'worldwide contacts' page) list Oriontech Engineering, PO Box 3012, 2412901 Akko (contact Aharon Shneiderman) for Israel, recorded here as a new entity; the snippets do not state which Berthold divisions Oriontech covers. The 40-domain sweep returned Danyel Biotech's own 'Berthold Technologies - Danyel Biotech' brand page listing Berthold's Mithras LB 940 (luminescence/BRET/FRET/AlphaScreen/HTRF reader), NightOWL imaging system, TriStar² and Lumat³ luminometers, i.e. Danyel represents Berthold's bioanalytical line in Israel (Danyel also carries the competing Hidex readers). No other Israeli distributor site mentioned Berthold, and Berthold's own distributor page was not searched within the budget. Berthold's radiation-protection and process-control divisions may have a different Israeli channel, which was not investigated.</t>
  </si>
  <si>
    <t xml:space="preserve">Distributor's own brand page; manufacturer confirmation not seen.</t>
  </si>
  <si>
    <t xml:space="preserve">https://berthold.com/en-us/75-years/greetings-from-marco-gauger ; https://berthold.com/en/company ; https://speciation.net/Appl/Companies/company.html?id=539 ; https://pharmasource.global/directory/berthold-technologies/ ; https://en.everybodywiki.com/Berthold_Technologies ; https://www.scientistlive.com/node/10874 ; https://www.danyel.co.il/berthold-technologies/ ; https://www.danyel.co.il/hidex/ ; https://www.berthold.com/en-us/company/contacts/ ; https://www.berthold.com/en-in/process-control/contacts/ ; https://www.stepstone.de/job/13650852 ; https://www.make-it-in-germany.com/en/working-in-germany/job-listings/job/job-14895-k36825.19289-S</t>
  </si>
  <si>
    <t xml:space="preserve">INFORS HT</t>
  </si>
  <si>
    <t xml:space="preserve">Infors AG; Multitron, Minifors, Labfors, eve bioprocess platform</t>
  </si>
  <si>
    <t xml:space="preserve">Bottmingen (Basel-Land)</t>
  </si>
  <si>
    <t xml:space="preserve">https://www.infors-ht.com</t>
  </si>
  <si>
    <t xml:space="preserve">'About 200 staff' reported at the company's 50th anniversary (Technology Networks, 2015); Built In lists 179; other directories 100-250. Nine offices (CH, DE, UK, FR, NL, US, BR, CN, MY).</t>
  </si>
  <si>
    <t xml:space="preserve">CHF ~60 million (trade estimate; private)</t>
  </si>
  <si>
    <t xml:space="preserve">INFORS HT (Bottmingen) is family-owned; a database figure of USD 17.5M looks too low for ~200 staff, so an order-of-magnitude estimate from headcount is used. Figures recalled from company statements / filings and not re-verified online in this session.</t>
  </si>
  <si>
    <t xml:space="preserve">Multitron — stackable incubator shaker for cell culture</t>
  </si>
  <si>
    <t xml:space="preserve">Minifors 2 / Labfors 5 — benchtop bioreactors &amp; fermenters</t>
  </si>
  <si>
    <t xml:space="preserve">eve — bioprocess platform software</t>
  </si>
  <si>
    <t xml:space="preserve">+41 61 425 77 00</t>
  </si>
  <si>
    <t xml:space="preserve">info@infors-ht.com</t>
  </si>
  <si>
    <t xml:space="preserve">Rittergasse 27, 4103 Bottmingen, Switzerland</t>
  </si>
  <si>
    <t xml:space="preserve">https://www.infors-ht.com/en/contact/</t>
  </si>
  <si>
    <t xml:space="preserve">HQ (Infors AG). From official legal notice; fax +41 61 425 77 01; service@infors-ht.com; second Bottmingen office at Wuhrmattstrasse 7. German subsidiary INFORS GmbH (Einsbach) +49 8135 8333. Second search used.</t>
  </si>
  <si>
    <t xml:space="preserve">Rhenium Research Laboratory Equipment Ltd. (Rhenium Group) (רניום) [מפיץ; INFORS HT incubator shakers, bioreactors and bioprocess software - listed as 'Israel, Rhenium research laboratory equipment Ltd.' (distributor) on INFORS HT's live Locations page; +972 8-955-8888, 20 Hasatat St., P.O. Box 180, Modi'in 7171101]</t>
  </si>
  <si>
    <t xml:space="preserve">[אימות עדכניות 10/2026] Re-checked on 2026-10-15: INFORS HT's live 'Locations' page (7 subsidiaries, 2 partners, 54+ distributors) still lists 'Israel, Rhenium research laboratory equipment Ltd.' as a distributor. Rhenium's own site was not re-searched within the budget. INFORS HT has no Israeli subsidiary. Verified on the manufacturer's side: INFORS HT's 'Locations' page (infors-ht.com/en/infors-locations), which covers its 8 subsidiaries, 2 partners and 53+ distributors, names Rhenium Research Laboratory Equipment Ltd., Modi'in, as its Israeli distributor. The 40-domain sweep (only MRC generic shaker pages) and the Hebrew query ('Infors HT שייקר אינקובטור ביוריאקטור יבואן') found nothing, and Rhenium's own site did not surface in the snippets, so the distributor-side listing was not seen. INFORS HT has no Israeli subsidiary.</t>
  </si>
  <si>
    <t xml:space="preserve">Manufacturer's own locations page names the Israeli distributor; Rhenium's own page not seen.</t>
  </si>
  <si>
    <t xml:space="preserve">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 ; https://infors-ht.com/en/infors-locations ; https://infors-ht.com/en/about-us</t>
  </si>
  <si>
    <t xml:space="preserve">Nabertherm</t>
  </si>
  <si>
    <t xml:space="preserve">Nabertherm GmbH; Nabertherm Inc. (USA)</t>
  </si>
  <si>
    <t xml:space="preserve">Lilienthal (near Bremen)</t>
  </si>
  <si>
    <t xml:space="preserve">https://nabertherm.com</t>
  </si>
  <si>
    <t xml:space="preserve">'About 600 employees worldwide' per a 2026 Nabertherm product brochure; 2022 anniversary releases said c. 500 (English) / c. 550 in Lilienthal (German). Own subsidiaries in UK, Spain, France, Netherlands, Switzerland, Italy, China, USA.</t>
  </si>
  <si>
    <t xml:space="preserve">EUR 65 million</t>
  </si>
  <si>
    <t xml:space="preserve">FY2021</t>
  </si>
  <si>
    <t xml:space="preserve">Company's 75th-anniversary press release (Sept 2022) gives c. EUR 65M revenue for 2021; Craft.co lists EUR 77.6M for FY2022 (unsourced). No 2024/2025 figure found.</t>
  </si>
  <si>
    <t xml:space="preserve">L / LE / LT muffle furnaces — laboratory muffle furnaces up to 1,300 °C</t>
  </si>
  <si>
    <t xml:space="preserve">RT / RS tube furnaces — compact and rotary tube furnaces</t>
  </si>
  <si>
    <t xml:space="preserve">LHT / HTC high-temperature furnaces — chamber furnaces up to 1,800 °C</t>
  </si>
  <si>
    <t xml:space="preserve">+49 4298 922-0</t>
  </si>
  <si>
    <t xml:space="preserve">contact@nabertherm.de</t>
  </si>
  <si>
    <t xml:space="preserve">Bahnhofstraße 20, 28865 Lilienthal, Germany</t>
  </si>
  <si>
    <t xml:space="preserve">HQ. From official site footer/downloads pages; fax +49 4298 922-129; warehouse delivery address Dr.-Sasse-Straße 31, 28865 Lilienthal.</t>
  </si>
  <si>
    <t xml:space="preserve">Electrotherm Marketing 1978 Ltd. (אלקטרוטרם) [מפיץ; 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 +972-77-866-0600, sales@electrotherm.co.il, Migdal HaEmek]</t>
  </si>
  <si>
    <t xml:space="preserve">[אימות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</si>
  <si>
    <t xml:space="preserve">Named on Nabertherm's official sales locator and confirmed by the distributor's own Nabertherm product pages.</t>
  </si>
  <si>
    <t xml:space="preserve">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</si>
  <si>
    <t xml:space="preserve">ELGA LabWater (Veolia)</t>
  </si>
  <si>
    <t xml:space="preserve">ELGA Veolia; ELGA Process Water (historic); PURELAB, MEDICA, CENTRA</t>
  </si>
  <si>
    <t xml:space="preserve">High Wycombe (Lane End), Buckinghamshire</t>
  </si>
  <si>
    <t xml:space="preserve">Veolia Water Technologies (Veolia Environnement)</t>
  </si>
  <si>
    <t xml:space="preserve">Subsidiary of Veolia Water Technologies (Veolia, public, Euronext Paris: VIE)</t>
  </si>
  <si>
    <t xml:space="preserve">https://www.elgalabwater.com</t>
  </si>
  <si>
    <t xml:space="preserve">Lab water purification</t>
  </si>
  <si>
    <t xml:space="preserve">ELGA LabWater itself employs roughly 300-400 (recalled, unverified); its parent division Veolia Water Technologies reports &gt;10,300 employees.</t>
  </si>
  <si>
    <t xml:space="preserve">EUR 2.1 billion</t>
  </si>
  <si>
    <t xml:space="preserve">undated (ELGA US site, accessed 2026)</t>
  </si>
  <si>
    <t xml:space="preserve">Parent division (Veolia Water Technologies) revenue per ELGA's US site; ELGA LabWater alone is not disclosed.</t>
  </si>
  <si>
    <t xml:space="preserve">PURELAB flex / Quest — Type I ultrapure lab water systems</t>
  </si>
  <si>
    <t xml:space="preserve">PURELAB Chorus — modular Type I/II/III purification range</t>
  </si>
  <si>
    <t xml:space="preserve">MEDICA — clinical analyzer feed-water systems</t>
  </si>
  <si>
    <t xml:space="preserve">+44 20 3567 7300</t>
  </si>
  <si>
    <t xml:space="preserve">Lane End Business Park, Lane End, High Wycombe, HP14 3BY, UK</t>
  </si>
  <si>
    <t xml:space="preserve">https://us.elgalabwater.com/contact</t>
  </si>
  <si>
    <t xml:space="preserve">HQ (UK, Lane End). Fax +44 20 3567 7205. contact_url is the official US-site contact page (UK email obfuscated in results). Only role email seen: Techsupport@elgalabwater.com (technical support). US office Woodridge, IL +1 630-343-5251.</t>
  </si>
  <si>
    <t xml:space="preserve">Lumitron Ltd. (לומיטרון) [מפיץ; ELGA (Elga - Veolia) laboratory water purification systems - PURELAB Quest and PURELAB Flex product pages live on Lumitron's site; ELGA's 'Approved Partners' directory listed Lumitron under Israel (tel. 972-52-525-6287) in the previous round, but that entry did not appear in this round's snippet; +972 52-525-6287, 17 Hamiflasim St., Petah Tikva]</t>
  </si>
  <si>
    <t xml:space="preserve">[אימות עדכניות 10/2026] Re-checked on 2026-10-15: a search restricted to elgalabwater.com returned the 'Where to buy ELGA products / Approved Partners' page, but the snippet did not show the Israel entry this time (ELGA's trademark page only confirms the ELGA mark is registered in Israel). Lumitron's live product pages sell ELGA (Elga - Veolia) PURELAB Quest and PURELAB Flex water purification systems, so the channel is current on the distributor side; the manufacturer-side listing seen in the previous round is retained as supporting evidence. 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</si>
  <si>
    <t xml:space="preserve">Israeli partner comes from ELGA's official directory (seen via search excerpt only); ELGA-specific size figures are third-party estimates.</t>
  </si>
  <si>
    <t xml:space="preserve">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 ; https://elgaus.shop.veoliawatertechnologies.com/about-us ; https://zenopa.com/client/veolia-water-technologies/ ; https://elgalabwater.com/node/67 ; https://www.lumitron.co.il/products/purelab-quest-water-purification-system/?lang=en ; https://www.lumitron.co.il/products/purelab-flex-water-purification-system/?lang=en ; https://us.elgalabwater.com/about-us/approved-partners ; https://www.elgalabwater.com/about-us/approved-partners</t>
  </si>
  <si>
    <t xml:space="preserve">ATS Scientific Products (ex-SP Industries)</t>
  </si>
  <si>
    <t xml:space="preserve">SP Industries; SP Scientific; ATS Life Sciences Scientific Products; SP VirTis, SP Hull, SP Genevac, SP Bel-Art, SP Wilmad-LabGlass, SP PennTech, FTS Systems, Hotpack</t>
  </si>
  <si>
    <t xml:space="preserve">Warminster, Pennsylvania</t>
  </si>
  <si>
    <t xml:space="preserve">ATS Corporation</t>
  </si>
  <si>
    <t xml:space="preserve">https://www.scientificproducts.com</t>
  </si>
  <si>
    <t xml:space="preserve">c. 700 employees across nine manufacturing facilities/locations in the US, UK and Spain at the time ATS agreed to acquire SP Industries (Nov 2021 ATS announcement); no newer division-level figure found.</t>
  </si>
  <si>
    <t xml:space="preserve">USD 179 million</t>
  </si>
  <si>
    <t xml:space="preserve">TTM ending Sep-2021</t>
  </si>
  <si>
    <t xml:space="preserve">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</si>
  <si>
    <t xml:space="preserve">SP VirTis &amp; SP Hull freeze dryers — lab-to-production lyophilizers (LyoStar, Genesis, AdVantage)</t>
  </si>
  <si>
    <t xml:space="preserve">SP Genevac EZ-2 / HT series — centrifugal solvent evaporators</t>
  </si>
  <si>
    <t xml:space="preserve">SP Bel-Art &amp; Wilmad-LabGlass — plastic labware, desiccators, NMR tubes</t>
  </si>
  <si>
    <t xml:space="preserve">+1 215-672-7800</t>
  </si>
  <si>
    <t xml:space="preserve">935 Mearns Road, Warminster, PA 18974-2811, USA</t>
  </si>
  <si>
    <t xml:space="preserve">HQ. Address from PitchBook; phone from CB Insights / company profile. An older ATS locations page lists Tel +1 267-966-5034, Fax +1 215-674-9880 for the Warminster site (SP Industries). Only email seen is parent ATS general info@atsautomation.com (listed under ATS Life Sciences Chicago, not Warminster).</t>
  </si>
  <si>
    <t xml:space="preserve">חיפוש רשת בלבד; דפי ״מפיצים״ של היצרן ואתרי המפיצים לא נפתחו (חסימת רשת). [אימות עדכניות 10/2026] Re-checked on 2026-10-15: a search restricted to scientificproducts.com/spscientific.com returned only brand, product and news pages (Genevac, VirTis, Hull, Bel-Art, FTS, Hotpack, Wilmad) with no Israel entry, and a general English/Hebrew search for Genevac/VirTis/Bel-Art/SP Scientific Israel distributor returned only US/Australian resellers and Bel-Art corporate pages (part of ATS since Dec-2021). No Israeli distributor was found. Searched: 'Genevac' OR 'VirTis' OR 'Bel-Art' OR 'SP Scientific' Israel distributor/נציג/יבואן; 'SP Scientific'/'VirTis'/'Genevac'/'ATS Scientific Products' freeze dryer Israel representative ישראל (extended); and the brand names restricted to 18 Israeli distributor domains (no hits). Results only confirmed the brand family (Genevac, VirTis, Hull, Bel-Art under SP / scientificproducts.com, part of ATS since Dec-2021) and distributors elsewhere (LMS Consult Germany, BioPharma Process Systems UK). A used-equipment reseller's shipping-country list that includes Israel is not evidence of a representative. No Israeli entity found; the manufacturer's distributor page was not fetched.</t>
  </si>
  <si>
    <t xml:space="preserve">No Israeli representative surfaced in three searches; no size research requested or done this round.</t>
  </si>
  <si>
    <t xml:space="preserve">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 ; https://scientificproducts.com/ ; https://www.belart.com/corporate/wp-json/wp/v2/pages/2 ; https://www.technologynetworks.com/drug-discovery/news/genevac-ltd-acquired-by-riverlake-partners-195879 ; https://newlifescientific.com/products/sp-scientific-virtis-25xl-genesis-xl-70-stoppering-lyophilizer-freeze-dryer ; https://scientificproducts.com/brands/ ; https://scientificproducts.com/about/</t>
  </si>
  <si>
    <t xml:space="preserve">RADWAG</t>
  </si>
  <si>
    <t xml:space="preserve">RADWAG Wagi Elektroniczne; Radwag Balances and Scales</t>
  </si>
  <si>
    <t xml:space="preserve">Radom</t>
  </si>
  <si>
    <t xml:space="preserve">Poland</t>
  </si>
  <si>
    <t xml:space="preserve">https://radwag.com</t>
  </si>
  <si>
    <t xml:space="preserve">company website (radwag.com, undated/current): '403 employees' / 'over 400'; Feb 2024 industry presentation (SAiPPW): over 400 staff incl. ~100 in R&amp;D. Database figure of 500 not supported. Last disclosed sales remain PLN 100m (2017).</t>
  </si>
  <si>
    <t xml:space="preserve">PLN 100 million</t>
  </si>
  <si>
    <t xml:space="preserve">FY2017</t>
  </si>
  <si>
    <t xml:space="preserve">Sales value of c. PLN 100M in 2017 per a presentation by founder Witold Lewandowski (saippw.pl); converted at c. USD 0.26/PLN. No newer figure found; KRS filings would give current numbers.</t>
  </si>
  <si>
    <t xml:space="preserve">MYA 5Y microbalances — 1 µg / 0.1 µg microbalances &amp; ultra-microbalances</t>
  </si>
  <si>
    <t xml:space="preserve">XA 5Y / AS X7 analytical balances — 0.01-0.1 mg analytical balances</t>
  </si>
  <si>
    <t xml:space="preserve">PS X7 precision balances &amp; mass comparators — precision weighing and metrology</t>
  </si>
  <si>
    <t xml:space="preserve">+48 48 386 60 00</t>
  </si>
  <si>
    <t xml:space="preserve">office@radwag.com</t>
  </si>
  <si>
    <t xml:space="preserve">Toruńska 5, 26-600 Radom, Poland</t>
  </si>
  <si>
    <t xml:space="preserve">https://radwag.com/en/nasze-biura,2,5</t>
  </si>
  <si>
    <t xml:space="preserve">HQ. From official offices/contact pages; fax +48 48 385 00 10; export enquiries export@radwag.com.</t>
  </si>
  <si>
    <t xml:space="preserve">Lumitron Ltd. (לומיטרון) [מפיץ; RADWAG analytical and micro balances (MYA 5Y, AS.X7, AS.X2), precision balances (WTC 2000), moisture analysers - listed under Israel on RADWAG's live contact page (17 Hamefalsim St., zip 49130, +972 732000773, lumitron.co.il) and on Lumitron's live Radwag brand page; +972 52-525-6287, 17 Hamiflasim St., Petah Tikva] | Newtech Ayalon Ltd. [מפיץ; RADWAG dealer listed under Israel on RADWAG's live contact page (12 Hacharoshet Street, Kfar Saba; sales@weighing.co.il); scope not stated; own site not checked] | MRC Laboratory Equipment &amp; Instruments [מפיץ; RADWAG dealer listed under Israel on RADWAG's live contact page (+972 phone, mrclab.com); no Radwag-branded page seen on mrclab.com; +972 3-559-5252, 3 Ha-Gavish St., Holon 5881702]</t>
  </si>
  <si>
    <t xml:space="preserve">[אימות עדכניות 10/2026] Re-checked on 2026-10-15: RADWAG's live contact page lists three Israeli dealers: Newtech Ayalon Ltd (12 Hacharoshet Street, Kfar Saba, weighing.co.il), MRC (mrclab.com, +972 phone) and Lumitron Ltd. (17 Hamefalsim St., zip 49130, +972 732000773, lumitron.co.il); the scraped layout did not tie every name cleanly to its country, but the addresses are Israeli. Lumitron's live Radwag brand page (MYA 5Y microbalance, AS.X7/AS.X2 analytical balances, WTC 2000 precision balance) confirms its channel from the distributor side; Newtech Ayalon and MRC are added as new entities from the manufacturer's listing only. General search ('Radwag' balances Israel distributor/נציג/יבואן) returned only Radwag's own dealer-zone pages (200+ distributors worldwide, no Israel listing visible). Domain-restricted search found Lumitron's dedicated Radwag brand page, its 'Our brands' page and a hosted RADWAG WTC 2000 data sheet. MRC (mrclab.com) balance pages also surfaced in that search but the snippet did not show Radwag branding, so MRC is not recorded.</t>
  </si>
  <si>
    <t xml:space="preserve">Israeli distributor verified from the distributor's own brand page; manufacturer-side confirmation (Radwag dealer list) not seen. No size research requested this round.</t>
  </si>
  <si>
    <t xml:space="preserve">https://radwag.com/en/dealer-zone,2,6 ; https://radwag.com/40-Years-Together-Radwag ; https://radwag.com/de/o-nas,2,3 ; https://www.saippw.pl/wp-content/uploads/2024/02/Lewandowski.pdf ; https://radwag.com/en/distributors-meeting-in-istanbul-turkey,news,816,2018-03 ; https://radwag.com/en/seminar-in-alexandria,news,756,2017-10 ; https://www.lumitron.co.il/our-brands/radwag/?lang=en ; https://www.lumitron.co.il/our-brands-heb/?lang=en ; https://www.lumitron.co.il/products/מאזני-לחות/ ; https://www.lumitron.co.il/wp-content/uploads/2020/12/RADWAG_Data_Sheet_WTC-2000-Precision-Balance.pdf ; https://radwag.com/en/contact,1,5 ; https://radwag.com/en/company,1,3,1</t>
  </si>
  <si>
    <t xml:space="preserve"># יצרן</t>
  </si>
  <si>
    <t xml:space="preserve">ייצוג בישראל / Presence</t>
  </si>
  <si>
    <t xml:space="preserve">גוף ישראלי / Israeli entity</t>
  </si>
  <si>
    <t xml:space="preserve">שם בעברית / Hebrew name</t>
  </si>
  <si>
    <t xml:space="preserve">סוג / Type</t>
  </si>
  <si>
    <t xml:space="preserve">תחום / Scope</t>
  </si>
  <si>
    <t xml:space="preserve">טלפון / Phone</t>
  </si>
  <si>
    <t xml:space="preserve">דוא״ל / Email</t>
  </si>
  <si>
    <t xml:space="preserve">כתובת / Address</t>
  </si>
  <si>
    <t xml:space="preserve">שנת ראיה / Evidence year</t>
  </si>
  <si>
    <t xml:space="preserve">סטטוס / Status</t>
  </si>
  <si>
    <t xml:space="preserve">מקור / Source</t>
  </si>
  <si>
    <t xml:space="preserve">Thermo Fisher Integrated Solutions Israel Ltd.</t>
  </si>
  <si>
    <t xml:space="preserve">תרמו פישר ישראל (רעננה)</t>
  </si>
  <si>
    <t xml:space="preserve">חברה-בת</t>
  </si>
  <si>
    <t xml:space="preserve">direct life-science sales &amp; field service organisation being built out 2025-26</t>
  </si>
  <si>
    <t xml:space="preserve">+972 8-940-8618</t>
  </si>
  <si>
    <t xml:space="preserve">5 Golda Meir St., Ness Ziona (also Airport City 1, Lod)</t>
  </si>
  <si>
    <t xml:space="preserve">https://www.thermofisher.com/il/en/home.html</t>
  </si>
  <si>
    <t xml:space="preserve">Thermo Fisher Scientific Israel Ltd. (Kiryat Shmona)</t>
  </si>
  <si>
    <t xml:space="preserve">תרמו פישר קריית שמונה</t>
  </si>
  <si>
    <t xml:space="preserve">manufacturing / engineering site (ISO 9001/13485); not a sales channel</t>
  </si>
  <si>
    <t xml:space="preserve">Rhenium Ltd.</t>
  </si>
  <si>
    <t xml:space="preserve">רניום</t>
  </si>
  <si>
    <t xml:space="preserve">מפיץ</t>
  </si>
  <si>
    <t xml:space="preserve">Applied Biosystems / Invitrogen / Thermo Scientific products: live product pages for PowerTrack SYBR Green master mix, QuantStudio Absolute Q dPCR, SL 16 centrifuge, TaqMan/bioproduction reagents (Rhenium's bioproduction page names Applied Biosystems as a partner)</t>
  </si>
  <si>
    <t xml:space="preserve">https://www.rhenium.co.il</t>
  </si>
  <si>
    <t xml:space="preserve">+972 8-955-8888</t>
  </si>
  <si>
    <t xml:space="preserve">20 Hasatat St., P.O. Box 180, Modi'in 7171101</t>
  </si>
  <si>
    <t xml:space="preserve">current</t>
  </si>
  <si>
    <t xml:space="preserve">https://rhenium.co.il/products/bioproduction</t>
  </si>
  <si>
    <t xml:space="preserve">Gamidor Diagnostics (1984) Ltd.</t>
  </si>
  <si>
    <t xml:space="preserve">גמידור דיאגנוסטיקה</t>
  </si>
  <si>
    <t xml:space="preserve">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</si>
  <si>
    <t xml:space="preserve">https://www.gamidor.co.il</t>
  </si>
  <si>
    <t xml:space="preserve">+972-3-927-7277</t>
  </si>
  <si>
    <t xml:space="preserve">info@gamidor.co.il</t>
  </si>
  <si>
    <t xml:space="preserve">Shaham 32, Petach Tikva</t>
  </si>
  <si>
    <t xml:space="preserve">https://gamidor.co.il/en/allergy/</t>
  </si>
  <si>
    <t xml:space="preserve">Bargal Analytical Instruments Ltd.</t>
  </si>
  <si>
    <t xml:space="preserve">ברגל</t>
  </si>
  <si>
    <t xml:space="preserve">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</si>
  <si>
    <t xml:space="preserve">https://www.bargal.co.il</t>
  </si>
  <si>
    <t xml:space="preserve">+972-3-979-6533</t>
  </si>
  <si>
    <t xml:space="preserve">sales@bargal.co.il</t>
  </si>
  <si>
    <t xml:space="preserve">10 Shaked Street, Modi'in Industrial Park, Shoham 6085102</t>
  </si>
  <si>
    <t xml:space="preserve">https://bargal.co.il/product/q-exactive-uhmr-hybrid-quadrupole-orbitrap-ms-system/</t>
  </si>
  <si>
    <t xml:space="preserve">Danyel Biotech Ltd.</t>
  </si>
  <si>
    <t xml:space="preserve">דניאל ביוטק</t>
  </si>
  <si>
    <t xml:space="preserve">Olink proteomics (a Thermo Fisher business): live Olink brand page on Danyel's site</t>
  </si>
  <si>
    <t xml:space="preserve">https://www.danyel.co.il</t>
  </si>
  <si>
    <t xml:space="preserve">1-800-711-911 (also +972 8-936-6066)</t>
  </si>
  <si>
    <t xml:space="preserve">8 Hamada St., Science Park, Rehovot 7670308</t>
  </si>
  <si>
    <t xml:space="preserve">https://www.danyel.co.il/contact-us/</t>
  </si>
  <si>
    <t xml:space="preserve">https://www.danyel.co.il/olink/</t>
  </si>
  <si>
    <t xml:space="preserve">Thermo Fisher Scientific – EM service location, Airport City</t>
  </si>
  <si>
    <t xml:space="preserve">שירות</t>
  </si>
  <si>
    <t xml:space="preserve">Thermo Fisher's own Israeli sales/support organisation; thermofisher.com's Phenom desktop-SEM distributor page names 'Thermo Fisher Integrated Solutions' as the Israel contact (live page); a Thermo Fisher careers page lists jobs in Israel</t>
  </si>
  <si>
    <t xml:space="preserve">older_evidence</t>
  </si>
  <si>
    <t xml:space="preserve">https://www.thermofisher.com/us/en/home/electron-microscopy/products/desktop-scanning-electron-microscopes/phenom-distributors.html</t>
  </si>
  <si>
    <t xml:space="preserve">Iner-Tech Ltd. (Rehovot)</t>
  </si>
  <si>
    <t xml:space="preserve">Thermo Scientific portable pharma QA/QC analysers (handheld Raman/NIR material ID) - listed on thermofisher.com's distributor page for Israel</t>
  </si>
  <si>
    <t xml:space="preserve">new</t>
  </si>
  <si>
    <t xml:space="preserve">https://www.thermofisher.com/us/en/home/industrial/spectroscopy-elemental-isotope-analysis/portable-analysis-material-id/portable-pharmaceutical-qa-qc-manufacturing-solutions/portable-pharma-qa-qc-manufacturing-solutions-distributors.html</t>
  </si>
  <si>
    <t xml:space="preserve">R.B.M. Ltd. Control &amp; Mechanization (Hod Hasharon)</t>
  </si>
  <si>
    <t xml:space="preserve">Thermo Scientific Niton portable XRF / LIBS analysers - listed on thermofisher.com's authorized XRF &amp; LIBS distributor page for Israel</t>
  </si>
  <si>
    <t xml:space="preserve">https://www.thermofisher.com/us/en/home/industrial/spectroscopy-elemental-isotope-analysis/portable-analysis-material-id/portable-analysis-for-material-id-distributors.html</t>
  </si>
  <si>
    <t xml:space="preserve">Madid Industrial Controls Ltd.</t>
  </si>
  <si>
    <t xml:space="preserve">Thermo Scientific dataTaker data loggers (industrial data acquisition) - listed on thermofisher.com's dataTaker distributor page for Israel</t>
  </si>
  <si>
    <t xml:space="preserve">https://www.thermofisher.com/us/en/home/industrial/manufacturing-processing/data-acquisition/datataker-distributors.html</t>
  </si>
  <si>
    <t xml:space="preserve">Eldan Electronic Instruments Ltd. (Neopharm group)</t>
  </si>
  <si>
    <t xml:space="preserve">אלדן</t>
  </si>
  <si>
    <t xml:space="preserve">Agilent authorised distributor for Israel (chromatography, spectroscopy, mass spectrometry, lab products, cell analysis); Petach Tikva, tel. +972-3-9371111, info@eldan.biz, per Agilent's live Israel contact page</t>
  </si>
  <si>
    <t xml:space="preserve">https://www.eldan.biz</t>
  </si>
  <si>
    <t xml:space="preserve">+972-3-937-1111</t>
  </si>
  <si>
    <t xml:space="preserve">info@eldan.biz</t>
  </si>
  <si>
    <t xml:space="preserve">6 Hashiloach Street, P.O. Box 7641, Petach Tikva 49170</t>
  </si>
  <si>
    <t xml:space="preserve">https://www.agilent.com/en/contact-us/israel</t>
  </si>
  <si>
    <t xml:space="preserve">Sigma-Aldrich Israel Ltd. (affiliate of Merck KGaA, Darmstadt)</t>
  </si>
  <si>
    <t xml:space="preserve">Merck's own Israeli entity: sales/customer contact for Israel and production sites in Rehovot (antibodies, primers, peptides; 3 Plaut St.) and Jerusalem (Har Hotzvim)</t>
  </si>
  <si>
    <t xml:space="preserve">https://www.sigmaaldrich.com/IL/en</t>
  </si>
  <si>
    <t xml:space="preserve">+972-8-9484222 / +972-8-9484100</t>
  </si>
  <si>
    <t xml:space="preserve">isrcustserv@merckgroup.com; isrtechserv@merckgroup.com</t>
  </si>
  <si>
    <t xml:space="preserve">3 Plaut St., Rehovot 7670603</t>
  </si>
  <si>
    <t xml:space="preserve">https://b2b.sigmaaldrich.com/collections/offices</t>
  </si>
  <si>
    <t xml:space="preserve">https://www.sigmaaldrich.com/US/en/collections/offices</t>
  </si>
  <si>
    <t xml:space="preserve">Mercury Scientific &amp; Industrial Products Ltd. (Gadot group)</t>
  </si>
  <si>
    <t xml:space="preserve">מרקורי מוצרי מדע ותעשייה (גדות מרקורי)</t>
  </si>
  <si>
    <t xml:space="preserve">Merck Milli-Q laboratory water-purification systems (IX, IQ 7000, HX, CLX, SQ2 series) - live product pages describe Mercury as Merck's exclusive Israeli distributor; Millipore filtration/MQuant lines per prior evidence</t>
  </si>
  <si>
    <t xml:space="preserve">https://www.mercury-ltd.co.il</t>
  </si>
  <si>
    <t xml:space="preserve">+972 3-938-7164</t>
  </si>
  <si>
    <t xml:space="preserve">12 Ha'avoda St., P.O. Box 159, Rosh Ha'ayin</t>
  </si>
  <si>
    <t xml:space="preserve">https://eng.mercury-ltd.co.il/about_us</t>
  </si>
  <si>
    <t xml:space="preserve">https://eng.mercury-ltd.co.il/lab_water_purification</t>
  </si>
  <si>
    <t xml:space="preserve">Waters (TC) Israel Ltd.</t>
  </si>
  <si>
    <t xml:space="preserve">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</si>
  <si>
    <t xml:space="preserve">https://www.sec.gov/Archives/edgar/data/1000697/000119312524047491/d691142dex211.htm</t>
  </si>
  <si>
    <t xml:space="preserve">TA Instruments (a Waters division) thermal analysis, rheology and microcalorimetry – listed in TA Instruments' Middle East directory</t>
  </si>
  <si>
    <t xml:space="preserve">https://www.tainstruments.com/events/middleeast-directory.html</t>
  </si>
  <si>
    <t xml:space="preserve">Bruker Scientific Israel Ltd.</t>
  </si>
  <si>
    <t xml:space="preserve">ברוקר ישראל</t>
  </si>
  <si>
    <t xml:space="preserve">Bruker's own Israeli sales &amp; support office (Science Park, Rehovot; AXS/Nano/BioSpin lines per bruker.com office page)</t>
  </si>
  <si>
    <t xml:space="preserve">5 Golda Me'ir St., Science Park, Rehovot 76123</t>
  </si>
  <si>
    <t xml:space="preserve">Lapidot Medical Import and Marketing Ltd.</t>
  </si>
  <si>
    <t xml:space="preserve">Bruker's official Israel contact/partner (Caesarea Industrial Park); Lapidot Group's live business-partners page lists Bruker</t>
  </si>
  <si>
    <t xml:space="preserve">https://www.lapidot.com</t>
  </si>
  <si>
    <t xml:space="preserve">+972-4-6309630 / +972-74-7797836</t>
  </si>
  <si>
    <t xml:space="preserve">customerservice@lapidot.com</t>
  </si>
  <si>
    <t xml:space="preserve">8 Hashita St., P.O. Box 3552, Caesarea Industrial Park 3088900</t>
  </si>
  <si>
    <t xml:space="preserve">https://www.lapidot.com/en/partners/</t>
  </si>
  <si>
    <t xml:space="preserve">Bruker - Israel office, Gedera (mass spectrometry)</t>
  </si>
  <si>
    <t xml:space="preserve">mass-spectrometry (Bruker Daltonics) enquiries directed to Bruker's own office in Gedera per bruker.com - not re-searched this round; prior evidence is Bruker's own 2025-26 support pages</t>
  </si>
  <si>
    <t xml:space="preserve">P.O. Box 2445, Rehovot 76123</t>
  </si>
  <si>
    <t xml:space="preserve">https://www.bruker.com/en/services/support/office.india-middle-east-africa.israel-caesarea.html</t>
  </si>
  <si>
    <t xml:space="preserve">New Technology (NT) Ltd.</t>
  </si>
  <si>
    <t xml:space="preserve">ניו טכנולוגי</t>
  </si>
  <si>
    <t xml:space="preserve">Bruker distributor (Ramat Gan) named on Bruker's Israel office page; product scope not stated</t>
  </si>
  <si>
    <t xml:space="preserve">Agentek (1987) Ltd.</t>
  </si>
  <si>
    <t xml:space="preserve">אגנטק</t>
  </si>
  <si>
    <t xml:space="preserve">Shimadzu analytical instruments - live Agentek representative page and product pages (i-Series LC-2070/LC-2080 HPLC, GCMS-TQ 8040 NX, TOC-L series; LCMS-9050/8065XE, Nexis GC-2060, ALTRACE XRF per prior round)</t>
  </si>
  <si>
    <t xml:space="preserve">https://agentek.co.il</t>
  </si>
  <si>
    <t xml:space="preserve">+972 9-965-7000</t>
  </si>
  <si>
    <t xml:space="preserve">Greenwork Yakum Business Park, Yakum 6097200</t>
  </si>
  <si>
    <t xml:space="preserve">https://agentek.co.il/contact/</t>
  </si>
  <si>
    <t xml:space="preserve">https://agentek.co.il/representative/shimadzu/</t>
  </si>
  <si>
    <t xml:space="preserve">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</si>
  <si>
    <t xml:space="preserve">https://agentek.co.il/representative/mettler-toledo/</t>
  </si>
  <si>
    <t xml:space="preserve">Modcon Systems Ltd.</t>
  </si>
  <si>
    <t xml:space="preserve">process analytics (Ingold sensors/transmitters); Akko, +972 4 9553955</t>
  </si>
  <si>
    <t xml:space="preserve">https://modcon-systems.com</t>
  </si>
  <si>
    <t xml:space="preserve">+972-4-9553955</t>
  </si>
  <si>
    <t xml:space="preserve">Modcon House, M. Boronshtein St., South Akko Industrial Park, Akko 24222</t>
  </si>
  <si>
    <t xml:space="preserve">https://www.mt.com/il/en/home.html</t>
  </si>
  <si>
    <t xml:space="preserve">Dinco Ltd.</t>
  </si>
  <si>
    <t xml:space="preserve">product inspection (Safeline X-ray etc.); Tirat Carmel, +972 4 813 15 15</t>
  </si>
  <si>
    <t xml:space="preserve">Sartorius Israel Ltd.</t>
  </si>
  <si>
    <t xml:space="preserve">Sartorius' Israeli company at Kibbutz Beit Haemek 2511500 (ex-Biological Industries; cell-culture media production site opened 2021); local contact tel. +972-4-9960595, info.israel@sartorius.com per Sartorius' live local-contact page</t>
  </si>
  <si>
    <t xml:space="preserve">+972 4-996-0595</t>
  </si>
  <si>
    <t xml:space="preserve">Kibbutz Beit Haemek 2511500</t>
  </si>
  <si>
    <t xml:space="preserve">Labotal Scientific Equipment</t>
  </si>
  <si>
    <t xml:space="preserve">לבוטל</t>
  </si>
  <si>
    <t xml:space="preserve">self-described exclusive Sartorius representative in Israel for weighing (Cubis II balances, isoCAL) and lab products incl. pipettes - live Labotal guide and product pages</t>
  </si>
  <si>
    <t xml:space="preserve">https://labotal.co.il</t>
  </si>
  <si>
    <t xml:space="preserve">+972 2-579-9222</t>
  </si>
  <si>
    <t xml:space="preserve">Sales@labotal.co.il</t>
  </si>
  <si>
    <t xml:space="preserve">Hashalom Rd., Abu Ghosh 9084500 (mail: Mevaseret Zion)</t>
  </si>
  <si>
    <t xml:space="preserve">https://labotal.co.il/contact/</t>
  </si>
  <si>
    <t xml:space="preserve">https://labotal.co.il/המדריך-המקיף-לבחירת-מאזניים-אנליטיים/</t>
  </si>
  <si>
    <t xml:space="preserve">Gamidor Diagnostics</t>
  </si>
  <si>
    <t xml:space="preserve">גאמידור בע"מ</t>
  </si>
  <si>
    <t xml:space="preserve">reproductive health / prenatal aneuploidy screening (1st &amp; 2nd trimester, PlGF pre-eclampsia) and neonatal screening - Gamidor's live genetics page says it has represented Revvity (ex-PerkinElmer/Wallac) in prenatal screening since 1984</t>
  </si>
  <si>
    <t xml:space="preserve">https://gamidor.co.il</t>
  </si>
  <si>
    <t xml:space="preserve">https://gamidor.co.il/en/genetics/</t>
  </si>
  <si>
    <t xml:space="preserve">Enco</t>
  </si>
  <si>
    <t xml:space="preserve">אנקו</t>
  </si>
  <si>
    <t xml:space="preserve">Revvity research/screening reagents and consumables (OptiPlate microplates, AlphaLISA/uLight, AequoZen cells, IVISbrite luciferin) in Enco's live catalogue, plus a Revvity cell-counter news item</t>
  </si>
  <si>
    <t xml:space="preserve">https://www.enco.co.il</t>
  </si>
  <si>
    <t xml:space="preserve">+972-3-934-9922</t>
  </si>
  <si>
    <t xml:space="preserve">orders@enco.co.il</t>
  </si>
  <si>
    <t xml:space="preserve">17 Mivtza Kadesh St, P.O.B. 8009, Petach Tikva 4918001</t>
  </si>
  <si>
    <t xml:space="preserve">https://www.enco.co.il/news/revvity_automatic_cell_counting_because_every_cell_counts/</t>
  </si>
  <si>
    <t xml:space="preserve">PerkinElmer Israel Ltd.</t>
  </si>
  <si>
    <t xml:space="preserve">direct sales, service and support for analytical instruments and OneSource lab services; HaSheizaf St 4, Ra'anana 4366411, +972 3655 8777 - live perkinelmer.com office-location pages</t>
  </si>
  <si>
    <t xml:space="preserve">1-700-500-512</t>
  </si>
  <si>
    <t xml:space="preserve">4 HaSheizaf St., Ra'anana</t>
  </si>
  <si>
    <t xml:space="preserve">https://www.perkinelmer.com/node/3901</t>
  </si>
  <si>
    <t xml:space="preserve">ISI Israel Scientific Instruments Ltd.</t>
  </si>
  <si>
    <t xml:space="preserve">food testing / food quality products, as listed on PerkinElmer's site; Shacham St 32, Petach Tikva, +972 3-9232202 (site given as isil.co.il)</t>
  </si>
  <si>
    <t xml:space="preserve">https://www.isil.co.il</t>
  </si>
  <si>
    <t xml:space="preserve">+972-3-9232202</t>
  </si>
  <si>
    <t xml:space="preserve">info@isil.co.il</t>
  </si>
  <si>
    <t xml:space="preserve">32 Shacham St., P.O. Box 7790, Petah Tikva 49170</t>
  </si>
  <si>
    <t xml:space="preserve">https://www.perkinelmer.com/node/10826</t>
  </si>
  <si>
    <t xml:space="preserve">Bio-Rad Israel Ltd. (Bio-Rad Laboratories (Rishon))</t>
  </si>
  <si>
    <t xml:space="preserve">ביו-ראד ישראל</t>
  </si>
  <si>
    <t xml:space="preserve">direct sales &amp; service of life-science and clinical-diagnostics products (Rishon LeZion; branch since 1991)</t>
  </si>
  <si>
    <t xml:space="preserve">Netiv HaOr, Haifa</t>
  </si>
  <si>
    <t xml:space="preserve">https://www.bio-rad.com/en-il/corporate/careers</t>
  </si>
  <si>
    <t xml:space="preserve">Bio-Rad Haifa Ltd.</t>
  </si>
  <si>
    <t xml:space="preserve">ביו-ראד חיפה</t>
  </si>
  <si>
    <t xml:space="preserve">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</si>
  <si>
    <t xml:space="preserve">https://www.bio-rad.com/webroot/web/pdf/general/trading_terms/AGB_IL.pdf</t>
  </si>
  <si>
    <t xml:space="preserve">—</t>
  </si>
  <si>
    <t xml:space="preserve">Lumitron Ltd. (Comtel Technologies &amp; Engineering group)</t>
  </si>
  <si>
    <t xml:space="preserve">לומיטרון</t>
  </si>
  <si>
    <t xml:space="preserve">Eppendorf importer/distributor - live Lumitron product pages for Eppendorf centrifuges (5910 Ri, MiniSpin), pipettes (Multipette M4), bioreactors (BioFlo 120, BioBLU), shakers/incubators (CellXpert CS220, Innova S44i), Eporator and micromanipulators</t>
  </si>
  <si>
    <t xml:space="preserve">https://www.lumitron.co.il</t>
  </si>
  <si>
    <t xml:space="preserve">+972 52-525-6287</t>
  </si>
  <si>
    <t xml:space="preserve">17 Hamiflasim St., Petah Tikva</t>
  </si>
  <si>
    <t xml:space="preserve">https://www.lumitron.co.il/products/bioflo120-bioreactor-fermenter-2/?lang=en</t>
  </si>
  <si>
    <t xml:space="preserve">Ilex Medical Ltd.</t>
  </si>
  <si>
    <t xml:space="preserve">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</si>
  <si>
    <t xml:space="preserve">https://www.ilexmedical.com</t>
  </si>
  <si>
    <t xml:space="preserve">+972-3-9385500</t>
  </si>
  <si>
    <t xml:space="preserve">7 HaTnufa St., Petah Tikva</t>
  </si>
  <si>
    <t xml:space="preserve">https://www.ilexmedical.com/catalog_products/qpcr-dpcr/</t>
  </si>
  <si>
    <t xml:space="preserve">Eldan Electronic Instruments (Neopharm group)</t>
  </si>
  <si>
    <t xml:space="preserve">listed QIAGEN among the manufacturers it represents in Israel (life-science research) on a 2014 page and showed QIAGEN products at ISM/IIS meetings in 2015-2016; current status unconfirmed</t>
  </si>
  <si>
    <t xml:space="preserve">https://eldan.biz</t>
  </si>
  <si>
    <t xml:space="preserve">https://eldan.biz/?p=1052</t>
  </si>
  <si>
    <t xml:space="preserve">Lifegene Ltd.</t>
  </si>
  <si>
    <t xml:space="preserve">לייפג'ין</t>
  </si>
  <si>
    <t xml:space="preserve">https://www.lifegene.co.il</t>
  </si>
  <si>
    <t xml:space="preserve">QIAGEN enzymes / OEM reagents sold through the Lifegene catalogue (not the QIAGEN instrument line)</t>
  </si>
  <si>
    <t xml:space="preserve">+972 8-644-4314</t>
  </si>
  <si>
    <t xml:space="preserve">info@lifegene.co.il</t>
  </si>
  <si>
    <t xml:space="preserve">4 Ha'maayan St., Modi'in 7171101 (directory lists Modi'in; other sources say Mevo Horon – verify)</t>
  </si>
  <si>
    <t xml:space="preserve">https://www.lifegene.co.il/page_30153</t>
  </si>
  <si>
    <t xml:space="preserve">Danyel Biotech Ltd. (Gamida for Life group)</t>
  </si>
  <si>
    <t xml:space="preserve">Illumina's authorized distributor for Israel and the Palestinian Territories - sequencing platforms, BeadArray microarrays, DRAGEN/Connected Analytics; 8 Hamada St., Science Park, Rehovot, +972 8 936 6066, danyel@danyel.co.il per Illumina's live distributor page; Danyel's own live Illumina brand page</t>
  </si>
  <si>
    <t xml:space="preserve">https://www.illumina.com/company/doing-business-with-illumina/channel-partners/find-distributors.html</t>
  </si>
  <si>
    <t xml:space="preserve">Illumina Israel (ex-Emedgene, Tel Aviv)</t>
  </si>
  <si>
    <t xml:space="preserve">אילומינה ישראל</t>
  </si>
  <si>
    <t xml:space="preserve">R&amp;D / AI centre of excellence (Toha Tower 1, 114 Yigal Alon St., Tel Aviv) listed under manufacturing/R&amp;D on Illumina's locations page; not a sales channel</t>
  </si>
  <si>
    <t xml:space="preserve">Yigal Alon St. 114, Tel Aviv-Yafo</t>
  </si>
  <si>
    <t xml:space="preserve">https://emea.illumina.com/company/contact-us/locations.html</t>
  </si>
  <si>
    <t xml:space="preserve">Beckman Coulter Life Sciences distributor for Israel - 20 Hasatat St., P.O.B. 180, Modi'in 7171101, +972 8 955 8888, per Beckman Coulter Life Sciences' live Israel contact page</t>
  </si>
  <si>
    <t xml:space="preserve">https://www.beckman.com/contact-us/israel</t>
  </si>
  <si>
    <t xml:space="preserve">Beckman Coulter (Israel) Ltd.</t>
  </si>
  <si>
    <t xml:space="preserve">Beckman Coulter Diagnostics legal entity in Israel (2 Pekeris St., Park Tamar, Rehovot) listed under the BEC Diagnostics reporting group in Beckman Coulter's EU data-controller list; commercial role (direct diagnostics sales/service) not established</t>
  </si>
  <si>
    <t xml:space="preserve">https://media.beckmancoulter.com/-/media/diagnostics/eu-assets/pdf/controller-list.pdf?rev=e10665d675ed4f24adf07082e61099f6&amp;hash=DF4541DC81268F0844822FB104DF7F66</t>
  </si>
  <si>
    <t xml:space="preserve">Danyel Biotech</t>
  </si>
  <si>
    <t xml:space="preserve">Cytiva chromatography (ÄKTA) and Biacore - live 'Biacore (Cytiva)' brand page on Danyel's site; other Cytiva lines (Whatman, Amersham, Pall) not confirmed</t>
  </si>
  <si>
    <t xml:space="preserve">https://www.danyel.co.il/biacore-cytiva/</t>
  </si>
  <si>
    <t xml:space="preserve">Whatman filtration products (a Cytiva brand) sold through the Lifegene catalogue</t>
  </si>
  <si>
    <t xml:space="preserve">https://lifegene.co.il/product/puradisc-13-syringe-filter-045µm-polypropylene-100-pk/</t>
  </si>
  <si>
    <t xml:space="preserve">Lapidot Group (Ophthalmic Surgery Unit)</t>
  </si>
  <si>
    <t xml:space="preserve">Leica surgical microscopes (ophthalmology, neurosurgery, ENT, plastic surgery; floor- and ceiling-mounted) - Leica Microsystems medical division; live Lapidot partners and eye-surgery pages</t>
  </si>
  <si>
    <t xml:space="preserve">research microscopes — per a 2009 Israel Physical Society trade-fair listing only (exclusive representative then); NOT re-confirmed in 2026</t>
  </si>
  <si>
    <t xml:space="preserve">https://archive.israelphysicalsociety.org/ips-conference-2009/fairs/rhenium-ltd.html</t>
  </si>
  <si>
    <t xml:space="preserve">Rhenium Group</t>
  </si>
  <si>
    <t xml:space="preserve">SCIEX mass spectrometry - Israeli distributor since 1 April 2025 (took over from Agentek) per Rhenium's site and LinkedIn posts; not re-searched this round</t>
  </si>
  <si>
    <t xml:space="preserve">Eisenberg Bros. Ltd. (Eisenberg Brothers) - candidate</t>
  </si>
  <si>
    <t xml:space="preserve">markets Molecular Devices products on its own live site: FLIPR Penta high-throughput cellular screening system (product page + brochure uploaded Mar 2026), GenePix microarray systems, and GxP-compliance microplate-detection solutions (SpectraMax readers/software); no explicit distributor statement and no manufacturer-side listing found</t>
  </si>
  <si>
    <t xml:space="preserve">https://eisenbros.co.il</t>
  </si>
  <si>
    <t xml:space="preserve">+972 3-977-7000</t>
  </si>
  <si>
    <t xml:space="preserve">Airport City</t>
  </si>
  <si>
    <t xml:space="preserve">https://eisenbros.co.il/product/flipr-penta-high-throughput-cellular-screening-system/</t>
  </si>
  <si>
    <t xml:space="preserve">Augusta Life Sciences Israel Ltd. (Waters subsidiary, ex-BD Biosciences &amp; Diagnostic Solutions)</t>
  </si>
  <si>
    <t xml:space="preserve">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</si>
  <si>
    <t xml:space="preserve">https://www.waters.com/nextgen/us/en/about-waters/corporate-governance/legal-and-privacy-notices/bdtransaction.html</t>
  </si>
  <si>
    <t xml:space="preserve">BD Israel (Becton Dickinson)</t>
  </si>
  <si>
    <t xml:space="preserve">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</si>
  <si>
    <t xml:space="preserve">https://www.bd.com/en-il</t>
  </si>
  <si>
    <t xml:space="preserve">Caesarea</t>
  </si>
  <si>
    <t xml:space="preserve">https://jobs.bd.com/location-israel</t>
  </si>
  <si>
    <t xml:space="preserve">Lapidot Group (Lapidot Medical)</t>
  </si>
  <si>
    <t xml:space="preserve">לפידות</t>
  </si>
  <si>
    <t xml:space="preserve">lists BD as a business partner ('global medical technology company'); product scope not stated - likely BD Medical lines, not confirmed for Biosciences/Diagnostics</t>
  </si>
  <si>
    <t xml:space="preserve">Getter Group (Getter Bio-Med)</t>
  </si>
  <si>
    <t xml:space="preserve">קבוצת גטר</t>
  </si>
  <si>
    <t xml:space="preserve">Corning - Getter Group's live English about page lists Corning among the brands it exclusively represents in Israel and a Hebrew brand page profiles Corning; life-science vs. other Corning lines still not specified</t>
  </si>
  <si>
    <t xml:space="preserve">https://www.getter.co.il</t>
  </si>
  <si>
    <t xml:space="preserve">+972 3-576-1555 (Getter Group switchboard)</t>
  </si>
  <si>
    <t xml:space="preserve">7 Shimshon St., Petah Tikva 4912502</t>
  </si>
  <si>
    <t xml:space="preserve">https://www.getter.co.il/about-en/</t>
  </si>
  <si>
    <t xml:space="preserve">IM Beit HaEmek (Beit HaEmek Industries)</t>
  </si>
  <si>
    <t xml:space="preserve">תעשיות בית העמק</t>
  </si>
  <si>
    <t xml:space="preserve">Promega distributor for Israel - Kibbutz Beit Ha'Emek 2511500, bemek.co.il, per Promega's live 'Contact Promega' distributor list; IM Beit HaEmek's own site names Promega among officially distributed brands (prior round)</t>
  </si>
  <si>
    <t xml:space="preserve">https://www.bemek.co.il</t>
  </si>
  <si>
    <t xml:space="preserve">+972 4-868-9015</t>
  </si>
  <si>
    <t xml:space="preserve">info@bemek.co.il</t>
  </si>
  <si>
    <t xml:space="preserve">Kibbutz Beit HaEmek</t>
  </si>
  <si>
    <t xml:space="preserve">https://www.bemek.co.il/about-us/</t>
  </si>
  <si>
    <t xml:space="preserve">https://www.promega.com/support/contact-promega/</t>
  </si>
  <si>
    <t xml:space="preserve">Ornat BioChemicals &amp; Lab Equipment Ltd.</t>
  </si>
  <si>
    <t xml:space="preserve">אורנת</t>
  </si>
  <si>
    <t xml:space="preserve">New England Biolabs reagents - live Ornat product pages for NEB molecular biology, nucleic-acid purification, NGS and RNA products, plus Ornat's partners page</t>
  </si>
  <si>
    <t xml:space="preserve">https://www.ornat.co.il</t>
  </si>
  <si>
    <t xml:space="preserve">+972-8-9477077</t>
  </si>
  <si>
    <t xml:space="preserve">ornatbio@ornat.co.il</t>
  </si>
  <si>
    <t xml:space="preserve">19 Horvitz Eli St., Rehovot 7608802</t>
  </si>
  <si>
    <t xml:space="preserve">https://ornat.co.il/product/new-england-biolabs-neb-molecular-biology/</t>
  </si>
  <si>
    <t xml:space="preserve">Getter Bio-Med (Getter Group)</t>
  </si>
  <si>
    <t xml:space="preserve">גטר ביו-מד</t>
  </si>
  <si>
    <t xml:space="preserve">Lunaphore (a Bio-Techne brand) spatial-biology platforms – Getter describes itself as the official Israeli representative (LinkedIn)</t>
  </si>
  <si>
    <t xml:space="preserve">Biotest</t>
  </si>
  <si>
    <t xml:space="preserve">Israeli distributor listed on Bio-Techne's Novus Biologicals distributor directory: 6 Hasadna St., P.O. Box 8006, Kfar Saba 4442405 (phone/e-mail on page); coverage of other Bio-Techne brands (R&amp;D Systems, Tocris, ProteinSimple) not confirmed</t>
  </si>
  <si>
    <t xml:space="preserve">https://www.bio-techne.com/distributors/novus</t>
  </si>
  <si>
    <t xml:space="preserve">Y.A. Almog Diagnostic &amp; Medical Equipment Ltd.</t>
  </si>
  <si>
    <t xml:space="preserve">אלמוג דיאגנוסטיקה</t>
  </si>
  <si>
    <t xml:space="preserve">Miltenyi Biotec products in Israel (MACS reagents and instruments incl. MACSQuant flow cytometers) - listed as the Israel distributor on Miltenyi's global distributor page; Shoham, tel. +972 3 977 33 90, info@almog.co.il</t>
  </si>
  <si>
    <t xml:space="preserve">https://www.almog.co.il</t>
  </si>
  <si>
    <t xml:space="preserve">+972 3-977-3390</t>
  </si>
  <si>
    <t xml:space="preserve">info@almog.co.il</t>
  </si>
  <si>
    <t xml:space="preserve">Shoham</t>
  </si>
  <si>
    <t xml:space="preserve">https://www.miltenyibiotec.com/IE-en/about-us/locations/distribution.html</t>
  </si>
  <si>
    <t xml:space="preserve">Almog Diagnostic and Medical Equipment Ltd.</t>
  </si>
  <si>
    <t xml:space="preserve">Miltenyi Biotec products in Israel (MACS reagents and instruments incl. MACSQuant flow cytometers); listed on Miltenyi's live global distributor page: POB 349, Shoham 60850, Israel, with phone, fax, email and website</t>
  </si>
  <si>
    <t xml:space="preserve">https://www.miltenyibiotec.com/FI-en/about-us/locations/distribution.html</t>
  </si>
  <si>
    <t xml:space="preserve">10x Genomics instruments, reagents and software (Chromium Next GEM single-cell gene expression, immune profiling, ATAC per Danyel's live brand page); co-host with 10x Genomics of the Israeli 10x Genomics User Group Meeting 2025 (Weizmann Institute, 9 Dec 2025). Visium/Xenium not seen explicitly.</t>
  </si>
  <si>
    <t xml:space="preserve">https://www.danyel.co.il/10x-genomics/</t>
  </si>
  <si>
    <t xml:space="preserve">Scale Biosciences (10x Genomics) products – Lifegene is listed as the Israeli distributor on 10x's Scale Bio distributors page</t>
  </si>
  <si>
    <t xml:space="preserve">https://scale.10xgenomics.com/distributors/</t>
  </si>
  <si>
    <t xml:space="preserve">Zotal Ltd.</t>
  </si>
  <si>
    <t xml:space="preserve">זוטל</t>
  </si>
  <si>
    <t xml:space="preserve">Officially licensed channel partner for Oxford Nanopore products in Israel (MinION, GridION, PromethION) per nanoporetech.com; Zotal's own site announces it as ONT's official distributor in Israel supplying the full ONT portfolio with local sales, applications, logistics, training and technical service (Tel Aviv)</t>
  </si>
  <si>
    <t xml:space="preserve">https://www.zotal.co.il</t>
  </si>
  <si>
    <t xml:space="preserve">+972 3-649-2444</t>
  </si>
  <si>
    <t xml:space="preserve">4 Habarzel St., Tel Aviv 6971008</t>
  </si>
  <si>
    <t xml:space="preserve">https://nanoporetech.com/about/channel-partners/zotal-ltd</t>
  </si>
  <si>
    <t xml:space="preserve">Eisenberg Bros. Ltd.</t>
  </si>
  <si>
    <t xml:space="preserve">PacBio next-generation sequencing line on Eisenberg's own live site (product category 'Life Sciences &amp; Healthcare &gt; Genomics &gt; PacBio', with Revio, Sequel II/IIe and Onso product pages and a reposted January-2023 PacBio 'Method of the Year' news item); manufacturer-side listing NOT confirmed</t>
  </si>
  <si>
    <t xml:space="preserve">https://www.eisenbros.co.il/product-category/life-sciences-and-healthcare/genomics/pacbio-next-generation-sequencing/</t>
  </si>
  <si>
    <t xml:space="preserve">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</si>
  <si>
    <t xml:space="preserve">https://www.tecan.com/contact-us</t>
  </si>
  <si>
    <t xml:space="preserve">Hamilton laboratory products - listed for Israel (Rehovot, danyel.co.il) on Hamilton's live 'Find a Distributor' laboratory-products page; Hamilton business lines (robotics/storage) not itemised in the snippet</t>
  </si>
  <si>
    <t xml:space="preserve">https://www.hamiltoncompany.com/laboratory-product-distribution-list</t>
  </si>
  <si>
    <t xml:space="preserve">Ophir Analytical Ltd.</t>
  </si>
  <si>
    <t xml:space="preserve">Hamilton laboratory products - listed for Israel (Rosh Ha'ayin) on Hamilton's live laboratory-products distributor page: lab syringes for life science and chemistry, lab needles, Microlab 600 diluter/dispenser, GC septa, HPLC columns</t>
  </si>
  <si>
    <t xml:space="preserve">https://ophiranalytical.com</t>
  </si>
  <si>
    <t xml:space="preserve">+972 3-902-2277</t>
  </si>
  <si>
    <t xml:space="preserve">Rosh Ha'ayin</t>
  </si>
  <si>
    <t xml:space="preserve">Tarom Applied Technologies Ltd.</t>
  </si>
  <si>
    <t xml:space="preserve">Hamilton Process Analytics sensors - listed for Israel (Petach-Tikva, tarom.co.il) on Hamilton's live sensor distributor page</t>
  </si>
  <si>
    <t xml:space="preserve">http://www.tarom.co.il</t>
  </si>
  <si>
    <t xml:space="preserve">https://www.hamiltoncompany.com/process-analystics-sensor-product-distribution-list</t>
  </si>
  <si>
    <t xml:space="preserve">Cytek Spectral Portfolio (Aurora / Aurora CS) - listed as the Israel distributor on Cytek's live Worldwide Distributors page; corroborated by the 2022 Business Wire release and installs at TAU and the Technion</t>
  </si>
  <si>
    <t xml:space="preserve">https://cytekbio.com/pages/distributors</t>
  </si>
  <si>
    <t xml:space="preserve">ZEISS Israel / Carl Zeiss SMS Ltd.</t>
  </si>
  <si>
    <t xml:space="preserve">Legal entity behind the live official ZEISS Israel site zeiss.co.il (HaDolev 3, Bar Lev Industrial Park, D.N. Misgav 2015600); the site covers semiconductor, ophthalmology and other business areas - it is NOT shown as a research-microscopy sales/service team</t>
  </si>
  <si>
    <t xml:space="preserve">https://www.zeiss.co.il</t>
  </si>
  <si>
    <t xml:space="preserve">Karmiel</t>
  </si>
  <si>
    <t xml:space="preserve">https://www.zeiss.co.il/corporate/home.html</t>
  </si>
  <si>
    <t xml:space="preserve">גטר ביומד</t>
  </si>
  <si>
    <t xml:space="preserve">ZEISS microscopes in Israel: Getter's live brand list includes Zeiss (lab microscopes, hospital microscopes, cameras) and its English About page calls Getter the exclusive representative; Getter Bio Med's 'Scientific Light Microscopy' team posted with Zeiss tags from IMEC 2025 (Jerusalem) and ISM 2026 on LinkedIn</t>
  </si>
  <si>
    <t xml:space="preserve">https://www.getter.co.il/brands/</t>
  </si>
  <si>
    <t xml:space="preserve">Evident (ex-Olympus) microscopes: live site has an 'EVIDENT OLYMPUS launches APEXVIEW APX100 digital imaging system' news page, Evident OEM microscope components and the MVX10 macro zoom microscope page, in addition to the industrial lines (BX53M, GX53, LEXT, DSX, MX63, SZ/SZX) and FV4000/FV5000 confocal demos recorded earlier</t>
  </si>
  <si>
    <t xml:space="preserve">https://eisenbros.co.il/evident-olympus-launches-apexview-apx100-digital-imaging-system/</t>
  </si>
  <si>
    <t xml:space="preserve">Olympus (now Evident) – Getter Group states it exclusively represents Olympus; scope (microscopy vs. medical endoscopy) to confirm</t>
  </si>
  <si>
    <t xml:space="preserve">Agentek Ltd.</t>
  </si>
  <si>
    <t xml:space="preserve">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</si>
  <si>
    <t xml:space="preserve">https://www.microscope.healthcare.nikon.com/en_EU/contact/service/171079</t>
  </si>
  <si>
    <t xml:space="preserve">ברגל ציוד אנליטי</t>
  </si>
  <si>
    <t xml:space="preserve">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</si>
  <si>
    <t xml:space="preserve">https://bargal.co.il</t>
  </si>
  <si>
    <t xml:space="preserve">https://bargal.co.il/product/scanning-electron-microscope-sem-jsm-it210/</t>
  </si>
  <si>
    <t xml:space="preserve">Hitachi High-Tech Israel, Ltd.</t>
  </si>
  <si>
    <t xml:space="preserve">היטאצ'י היי-טק ישראל</t>
  </si>
  <si>
    <t xml:space="preserve">Maintenance/service of semiconductor manufacturing and inspection equipment; still listed on Hitachi High-Tech's live global-network page (Kiryat Gat office, P.O. Box 1000, MS: Hitachi LC2-3S, Kiryat Gat 82109, +972-8-666-6342, fax +972-8-666-6939); renamed from H.H.T.A. Semiconductor Equipment Israel Ltd. in April 2020. NOT a sales channel for SEM/TEM or analytical instruments.</t>
  </si>
  <si>
    <t xml:space="preserve">https://hitachi-hightech.com/global/network/israel.html</t>
  </si>
  <si>
    <t xml:space="preserve">https://www.hitachi-hightech.com/global/network/israel.html</t>
  </si>
  <si>
    <t xml:space="preserve">PicoTech Ltd.</t>
  </si>
  <si>
    <t xml:space="preserve">TESCAN SEM / FIB-SEM / micro-CT and e-beam lithography sales and after-sales support (PicoTech SEM division); Ha-Mefalsim St 17, Petah Tikva, +972-3-6356650; listed on TESCAN's live distributor directory (contacts Nitzan Cafif / guy@picotech.co.il differ between sources); PicoTech's own site advertises a TESCAN Vega 3 SEM in stock for immediate installation in Israel</t>
  </si>
  <si>
    <t xml:space="preserve">https://picotech.co.il</t>
  </si>
  <si>
    <t xml:space="preserve">+972-3-6356650</t>
  </si>
  <si>
    <t xml:space="preserve">17 Ha-Mefalsim St., Petah Tikva</t>
  </si>
  <si>
    <t xml:space="preserve">https://tescan.com/distributors/picotech-ltd</t>
  </si>
  <si>
    <t xml:space="preserve">Rigaku Semiconductor Instruments Ltd. (formerly XwinSys Technology Development Ltd.)</t>
  </si>
  <si>
    <t xml:space="preserve">Rigaku Group company doing R&amp;D and manufacturing of X-ray semiconductor metrology tools (Ramat Gabriel Industrial Zone, 6 HaMehkar St, Migdal HaEmek; rsi@rigaku.com, +972-4-9951051); joined Rigaku 2019, renamed Dec 2024. Not a sales channel for analytical XRD/XRF.</t>
  </si>
  <si>
    <t xml:space="preserve">https://rigaku.com/about/rigaku-divisions/rigaku-semiconductor-instruments-ltd</t>
  </si>
  <si>
    <t xml:space="preserve">+972-4-9951051</t>
  </si>
  <si>
    <t xml:space="preserve">6 HaMehkar St., Ramat Gabriel Industrial Zone, P.O. Box 371, Migdal HaEmek 2306990</t>
  </si>
  <si>
    <t xml:space="preserve">Yarden Biotec</t>
  </si>
  <si>
    <t xml:space="preserve">ירדן ביוטק</t>
  </si>
  <si>
    <t xml:space="preserve">Rigaku ED-XRF analysers - live Hebrew category 'ED-XRF instruments made by Rigaku Japan' with product pages NEX DE / NEX DE VS (60 kV), NEX QC / QC+ (50 kV), NEX CG II, NEX OL, NEX XT, NEX LS; XRD channel not confirmed</t>
  </si>
  <si>
    <t xml:space="preserve">https://www.yarden-biotec.co.il</t>
  </si>
  <si>
    <t xml:space="preserve">+972 2-651-1102</t>
  </si>
  <si>
    <t xml:space="preserve">Moshav Yad HaShmona 9089500</t>
  </si>
  <si>
    <t xml:space="preserve">https://www.yarden-biotec.co.il/lab-products/xrf-analyzers</t>
  </si>
  <si>
    <t xml:space="preserve">Agrolan Ltd.</t>
  </si>
  <si>
    <t xml:space="preserve">HORIBA water-quality / LAQUA electrochemistry instruments only; Moshav Nov, Ramat HaGolan, +972-4-6666999, agrolan@agrolan.co.il; listed on HORIBA's live water-quality distributor page and as 'Agrolan LTD (Water Quality only)' on HORIBA's worldwide-locations page</t>
  </si>
  <si>
    <t xml:space="preserve">https://agrolan.com</t>
  </si>
  <si>
    <t xml:space="preserve">+972-4-666-9999</t>
  </si>
  <si>
    <t xml:space="preserve">agrolan@agrolan.co.il</t>
  </si>
  <si>
    <t xml:space="preserve">P.O. Box 45, Moshav Nov 12921</t>
  </si>
  <si>
    <t xml:space="preserve">https://www.horiba.com/int/water-quality/contact/distributors/</t>
  </si>
  <si>
    <t xml:space="preserve">New-Road Agencies Ltd.</t>
  </si>
  <si>
    <t xml:space="preserve">HORIBA Scientific instruments (listed under 'Scientific' on HORIBA's live worldwide-locations page); 11 Ha'Amal St., Afek Business Park, 48092 Rosh Ha'Ayin, +972 3 902 8787, fax +972 3 902 8788; exact product lines not itemised; own website not found</t>
  </si>
  <si>
    <t xml:space="preserve">https://newroad.sgo.co.il</t>
  </si>
  <si>
    <t xml:space="preserve">Park Afek, Rosh Ha'ayin</t>
  </si>
  <si>
    <t xml:space="preserve">https://newroad.sgo.co.il/?p=58</t>
  </si>
  <si>
    <t xml:space="preserve">https://www.horiba.com/int/contact/worldwide-locations/</t>
  </si>
  <si>
    <t xml:space="preserve">Dr. Uri Golik Chemical Instrumentation</t>
  </si>
  <si>
    <t xml:space="preserve">ד"ר גוליק</t>
  </si>
  <si>
    <t xml:space="preserve">Malvern Panalytical particle/materials characterization - live manufacturer page, video page and product pages for Mastersizer 3000/3000+, Morphologi 4 and 4-ID, Zetasizer Pro, NanoSight NS300 (earlier also Archimedes, MicroCal); XRD line not seen</t>
  </si>
  <si>
    <t xml:space="preserve">https://www.golik.co.il</t>
  </si>
  <si>
    <t xml:space="preserve">+972-3-518-7555</t>
  </si>
  <si>
    <t xml:space="preserve">marketing@golik.co.il</t>
  </si>
  <si>
    <t xml:space="preserve">34 Kibbutz Galuyot St, Tel Aviv 66550</t>
  </si>
  <si>
    <t xml:space="preserve">https://www.golik.co.il/manufacturers/malvern-panalytical</t>
  </si>
  <si>
    <t xml:space="preserve">Advanced Technological Solutions Ltd. (ATSL)</t>
  </si>
  <si>
    <t xml:space="preserve">WITec (an Oxford Instruments company since 2021) SNOM/AFM/Raman imaging systems - appointed exclusive distributor in Israel in November 2012 (Kiryat Ata); no later confirmation found, current status unknown</t>
  </si>
  <si>
    <t xml:space="preserve">https://www.analytica-world.com/en/news/140718/witec-appoints-new-distributor-in-israel.html</t>
  </si>
  <si>
    <t xml:space="preserve">Quantum Design s.r.l. (Italy and Israel branch office, Rome) / Quantum Design Israel site</t>
  </si>
  <si>
    <t xml:space="preserve">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</si>
  <si>
    <t xml:space="preserve">https://qd-europe.com/il/en</t>
  </si>
  <si>
    <t xml:space="preserve">https://qd-europe.com/il/en/news/latest-updates/newsdetails/quantum-design-to-acquire-nanoscience-division-of-oxford-instruments--2384/</t>
  </si>
  <si>
    <t xml:space="preserve">Prime Lab Scientific Instruments Ltd.</t>
  </si>
  <si>
    <t xml:space="preserve">פריים לאב</t>
  </si>
  <si>
    <t xml:space="preserve">Anton Paar instruments (rheometers, density meters, SAXS) listed on Prime Lab's live home page (page about 2.6 years old per the search index); import, installation, IQ/OQ/PQ, calibration and after-sales service per the distributor; not listed on anton-paar.com in snippets</t>
  </si>
  <si>
    <t xml:space="preserve">https://primelab.co.il</t>
  </si>
  <si>
    <t xml:space="preserve">https://primelab.co.il/</t>
  </si>
  <si>
    <t xml:space="preserve">Israel Scientific Instruments Ltd. (ISI)</t>
  </si>
  <si>
    <t xml:space="preserve">ISI – ישראל מכשור מדעי</t>
  </si>
  <si>
    <t xml:space="preserve">Official distributor of all Metrohm products and services in Israel from 17 July 2025 per Metrohm's own news page (ISI founded 1971 as a Varian Inc. subsidiary, led by the Steiner family since 1977); ISI website not surfaced in snippets</t>
  </si>
  <si>
    <t xml:space="preserve">+972 3-923-2202</t>
  </si>
  <si>
    <t xml:space="preserve">https://www.metrohm.com/en/discover/news/2025/new-metrohm-distributor-in-israel.html</t>
  </si>
  <si>
    <t xml:space="preserve">LECO analytical instruments, mass spectrometers and metallography - LECO listed on Agentek's live vendors page among the manufacturers it exclusively represents; Agentek's ISO 9001:2015 certificate (Dec 2023) covers import, sales and service of analytical instrumentation; LECO's Middle East (UAE) and Czech offices list Israel among countries they serve</t>
  </si>
  <si>
    <t xml:space="preserve">https://agentek.co.il/vendors/</t>
  </si>
  <si>
    <t xml:space="preserve">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</si>
  <si>
    <t xml:space="preserve">https://www.jasco.de/where-to-buy/</t>
  </si>
  <si>
    <t xml:space="preserve">Spectro (Israel) Ltd.</t>
  </si>
  <si>
    <t xml:space="preserve">ספקטרו ישראל בע"מ</t>
  </si>
  <si>
    <t xml:space="preserve">States on its live site that it is the exclusive representative in Israel for SPECTRO Analytical Instruments; ICP-OES catalogue lists ICP ARCOS, ICP SPECTROGREEN and ICP GENESIS, plus SPECTROPORT mobile OES and SPECTRO xSORT handheld XRF; claims about 50% of the Israeli ICP-OES market; 10 Sacharov St., Rishon LeZion, +972 3 9693014. Independent Israeli company (est. 1994) that is also Elementar's distributor; NOT confirmed on spectro.com</t>
  </si>
  <si>
    <t xml:space="preserve">https://spectro.co.il</t>
  </si>
  <si>
    <t xml:space="preserve">+972 3-969-3014</t>
  </si>
  <si>
    <t xml:space="preserve">spectro@spectro.co.il</t>
  </si>
  <si>
    <t xml:space="preserve">10 Sacharov St., Rishon LeZion</t>
  </si>
  <si>
    <t xml:space="preserve">http://www.spectro.co.il/index.php?language=eng</t>
  </si>
  <si>
    <t xml:space="preserve">https://spectro.co.il/index.php?cs=5302&amp;dir=site&amp;op=category&amp;page=catalog</t>
  </si>
  <si>
    <t xml:space="preserve">Lifegene</t>
  </si>
  <si>
    <t xml:space="preserve">Biometra thermal cyclers (TAdvanced, TOne, TRobot II) described on Lifegene's live pages as premium PCR instruments from Analytik Jena</t>
  </si>
  <si>
    <t xml:space="preserve">https://www.lifegene.co.il/biometra_tadvanced_pcr</t>
  </si>
  <si>
    <t xml:space="preserve">Tamar Laboratory Supplies</t>
  </si>
  <si>
    <t xml:space="preserve">qTOWER³ real-time PCR thermal cycler (live product page) and 'PCR instruments from Biometra' (live project page)</t>
  </si>
  <si>
    <t xml:space="preserve">https://tamar.co.il</t>
  </si>
  <si>
    <t xml:space="preserve">+972 2-533-6070 (also 02-579-9777)</t>
  </si>
  <si>
    <t xml:space="preserve">HaAla St., Mevaseret Zion 90805</t>
  </si>
  <si>
    <t xml:space="preserve">https://tamar.co.il/qtower%C2%B3</t>
  </si>
  <si>
    <t xml:space="preserve">Lumitron</t>
  </si>
  <si>
    <t xml:space="preserve">UVP bio-imaging systems - Lumitron's live About page describes UVP as a part of Analytik Jena</t>
  </si>
  <si>
    <t xml:space="preserve">https://www.lumitron.co.il/about-us/</t>
  </si>
  <si>
    <t xml:space="preserve">Elementar's listed Israeli contact/distributor on its live 'Contact worldwide' page (10 Sacharov St., Rishon LeZion, +972 3 9693014, spectro@spectro.co.il); snippet layout places it with organic elemental, nitrogen/protein and TOC analysers</t>
  </si>
  <si>
    <t xml:space="preserve">http://www.spectro.co.il</t>
  </si>
  <si>
    <t xml:space="preserve">https://www.elementar.com/en/contact/contact-worldwide</t>
  </si>
  <si>
    <t xml:space="preserve">Medent Scientific Instruments</t>
  </si>
  <si>
    <t xml:space="preserve">מדנט מכשור מדעי</t>
  </si>
  <si>
    <t xml:space="preserve">NETZSCH thermal analysis (DSC 204 F1 Phoenix, DSC 404 F1 Pegasus, DSC 3500 Sirius, STA 449 F5 Jupiter, STA 409 CD / QMS 403 coupling)</t>
  </si>
  <si>
    <t xml:space="preserve">https://www.medent.co.il</t>
  </si>
  <si>
    <t xml:space="preserve">+972 72-395-0508 (sales); +972 8-683-6306 (service)</t>
  </si>
  <si>
    <t xml:space="preserve">info@medent.co.il</t>
  </si>
  <si>
    <t xml:space="preserve">110 Mordei HaGetaot St., Beer Sheva 8420643</t>
  </si>
  <si>
    <t xml:space="preserve">https://www.medent.co.il/scientific.equipment/%D7%A6%D7%95%D7%A8-%D7%A7%D7%A9%D7%A8/</t>
  </si>
  <si>
    <t xml:space="preserve">https://www.medent.co.il/scientific.equipment/store/product/netzsch/</t>
  </si>
  <si>
    <t xml:space="preserve">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</si>
  <si>
    <t xml:space="preserve">https://www.biotage.com/company/contact</t>
  </si>
  <si>
    <t xml:space="preserve">Modotec Ltd.</t>
  </si>
  <si>
    <t xml:space="preserve">מודוטק בע"מ</t>
  </si>
  <si>
    <t xml:space="preserve">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</si>
  <si>
    <t xml:space="preserve">https://www.modotec.co.il</t>
  </si>
  <si>
    <t xml:space="preserve">+972-4-991-9988</t>
  </si>
  <si>
    <t xml:space="preserve">16 Moshe Bernstein St., South Industrial Park, Acre (Akko) 2422238</t>
  </si>
  <si>
    <t xml:space="preserve">https://www.modotec.co.il/%D7%A1%D7%A4%D7%A7%D7%99%D7%9D/</t>
  </si>
  <si>
    <t xml:space="preserve">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</si>
  <si>
    <t xml:space="preserve">https://www.medent.co.il/en/project/page/2/</t>
  </si>
  <si>
    <t xml:space="preserve">BioAnalytics</t>
  </si>
  <si>
    <t xml:space="preserve">Hanna pool/spa and food (bread/dough) pH testers</t>
  </si>
  <si>
    <t xml:space="preserve">https://www.bioanalytics.co.il</t>
  </si>
  <si>
    <t xml:space="preserve">+972-72-242-9555</t>
  </si>
  <si>
    <t xml:space="preserve">29 Omarim St. (listed as "29'th Omarim"), Omer 84965</t>
  </si>
  <si>
    <t xml:space="preserve">https://www.bioanalytics.co.il/products/hannah-pool-line-ph-tester-according-to-6223-israeli-standard/</t>
  </si>
  <si>
    <t xml:space="preserve">Cannadepot</t>
  </si>
  <si>
    <t xml:space="preserve">online retailer; Hanna portable pH/EC/TDS testers</t>
  </si>
  <si>
    <t xml:space="preserve">https://cannadepot.co.il</t>
  </si>
  <si>
    <t xml:space="preserve">https://cannadepot.co.il/product-category/%D7%9E%D7%93%D7%99%D7%93%D7%94-%D7%95%D7%91%D7%A7%D7%A8%D7%94/hanna-instruments-%D7%9E%D7%9B%D7%A9%D7%99%D7%A8%D7%99%D7%9D-%D7%94%D7%90%D7%A0%D7%94/</t>
  </si>
  <si>
    <t xml:space="preserve">Mercury (mercury-ltd.co.il; part of Gadot Chemicals Group)</t>
  </si>
  <si>
    <t xml:space="preserve">מרקורי</t>
  </si>
  <si>
    <t xml:space="preserve">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</si>
  <si>
    <t xml:space="preserve">https://pages.hannainst.com/israel</t>
  </si>
  <si>
    <t xml:space="preserve">Labotal</t>
  </si>
  <si>
    <t xml:space="preserve">לבוטל ציוד מדעי</t>
  </si>
  <si>
    <t xml:space="preserve">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</si>
  <si>
    <t xml:space="preserve">https://labotal.co.il/firms/?lang=en</t>
  </si>
  <si>
    <t xml:space="preserve">Roche Pharmaceuticals (Israel) Ltd. - Diagnostics division ("Roche Diagnostics Israel")</t>
  </si>
  <si>
    <t xml:space="preserve">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</si>
  <si>
    <t xml:space="preserve">https://www.roche.co.il</t>
  </si>
  <si>
    <t xml:space="preserve">+972-9-9737777</t>
  </si>
  <si>
    <t xml:space="preserve">6 Hacharash St., P.O. Box 3691, Hod Hasharon 4524079</t>
  </si>
  <si>
    <t xml:space="preserve">https://www.roche.com/solutions/diagnostics/safety-officers</t>
  </si>
  <si>
    <t xml:space="preserve">גאמידור דיאגנוסטיקה בע"מ</t>
  </si>
  <si>
    <t xml:space="preserve">Roche Tissue Diagnostics only: Gamidor's live Tissue Diagnostics page offers IHC, molecular ISH and histochemical staining on automated slide-preparation instruments from VENTANA (Roche); not cobas/LightCycler</t>
  </si>
  <si>
    <t xml:space="preserve">https://gamidor.co.il/en/tissue-diagnostics-2/</t>
  </si>
  <si>
    <t xml:space="preserve">Dyn Diagnostics</t>
  </si>
  <si>
    <t xml:space="preserve">Roche Diabetes Care only: Dyn's live Home Care page lists ACCU-CHEK among its brands and describes its partnership with Roche Diabetes Care (Germany); CoaguChek INR self-testing also mentioned; not laboratory analyzers</t>
  </si>
  <si>
    <t xml:space="preserve">https://dyn.co.il</t>
  </si>
  <si>
    <t xml:space="preserve">https://dyn.co.il/home-care-en</t>
  </si>
  <si>
    <t xml:space="preserve">Abbott Medical Laboratories Ltd.</t>
  </si>
  <si>
    <t xml:space="preserve">אבוט מעבדות רפואיות בע"מ</t>
  </si>
  <si>
    <t xml:space="preserve">Abbott's Israeli affiliate, Tel Aviv: Abbott's live global-locations page lists Israel, and the live il.abbott contact page lists nutrition, medical devices, pharmaceuticals and diagnostic products as its product areas; the il.abbott 'Abbott in Israel' page describes the affiliate (~160 employees incl. the Haifa informatics centre per earlier record)</t>
  </si>
  <si>
    <t xml:space="preserve">https://www.il.abbott</t>
  </si>
  <si>
    <t xml:space="preserve">+972-3-769-1000</t>
  </si>
  <si>
    <t xml:space="preserve">Atidim Science Park, Building 4, P.O. Box 58099, Tel Aviv 61580</t>
  </si>
  <si>
    <t xml:space="preserve">אילקס מדיקל בע"מ</t>
  </si>
  <si>
    <t xml:space="preserve">Abbott diagnostics products: Ilex's own investor material (2024 periodic report published April 2025 / investor-relations page) names Abbott among the companies it represents alongside bioMérieux and Qiagen; specific Abbott instrument lines (Alinity/Architect) were not visible in snippets (a search restricted to ilexmedical.com for 'Alinity Architect' returned nothing from the site)</t>
  </si>
  <si>
    <t xml:space="preserve">https://www.ilexmedical.com/wp-content/uploads/2025/04/%D7%93%D7%95%D7%97-%D7%AA%D7%A7%D7%95%D7%A4%D7%AA%D7%99-%D7%9C%D7%A9%D7%A0%D7%AA-2024.pdf</t>
  </si>
  <si>
    <t xml:space="preserve">Siemens Healthineers Israel (legal entity name believed to be Siemens Healthcare Ltd., Israel — not verified)</t>
  </si>
  <si>
    <t xml:space="preserve">All Siemens Healthineers businesses in Israel including laboratory diagnostics: the live Israeli contact page gives 'Siemens Healthineers Israel, Siemens HealthCare Ltd., Industrial Park Afeq, Hamelacha Street 14, 48091 Rosh Ha'ayin' (legal entity name now verified; address updated from Hod Hasharon/unknown); Siemens' regional legal-information page lists the same address for Siemens Ltd / Siemens Mobility / Siemens Healthineers; the Israeli site features blood-gas testing, and the 2019 Atellica customer event page (Head of Diagnostics, Siemens Healthineers Israel) remains the diagnostics-specific local document</t>
  </si>
  <si>
    <t xml:space="preserve">https://www.siemens-healthineers.com/il</t>
  </si>
  <si>
    <t xml:space="preserve">+972-73-3219803</t>
  </si>
  <si>
    <t xml:space="preserve">14 Hamelacha St., Park Afeq, Rosh Ha'ayin</t>
  </si>
  <si>
    <t xml:space="preserve">https://www.siemens.com/en-gb/content/hotline-israel/</t>
  </si>
  <si>
    <t xml:space="preserve">https://www.siemens-healthineers.com/il/how-can-we-help-you</t>
  </si>
  <si>
    <t xml:space="preserve">Accellix (bioMérieux company), Jerusalem</t>
  </si>
  <si>
    <t xml:space="preserve">R&amp;D/manufacturing site of Accellix (automated flow-cytometry QC for pharma; staff in San Jose and Jerusalem), acquired by bioMérieux in 2025 per bioMérieux's live press release - not a sales office for VITEK/BACT/ALERT/BIOFIRE</t>
  </si>
  <si>
    <t xml:space="preserve">https://www.accellix.com/</t>
  </si>
  <si>
    <t xml:space="preserve">Shlomo Momo ha-Levi St 5, Jerusalem</t>
  </si>
  <si>
    <t xml:space="preserve">https://www.biomerieux.com/us/en/journalists/press-releases/acquisition-accellix-pharma-quality-control.html</t>
  </si>
  <si>
    <t xml:space="preserve">bioMérieux microbiology line in Israel: Ilex's live BIOFIRE catalogue page offers BioFire FilmArray nested multiplex PCR panels (respiratory, CSF, GI, positive blood culture, joint infection); Ilex's live blood-cultures page lists bioMérieux blood-culture systems incl. the VIRTUO automated system (BACT/ALERT VIRTUO) and nucleic-acid extraction instruments; Ilex's 2024 periodic report (April 2025) lists bioMérieux as its microbiology line. VITEK not seen explicitly</t>
  </si>
  <si>
    <t xml:space="preserve">https://www.ilexmedical.com/catalog_products/biofire/</t>
  </si>
  <si>
    <t xml:space="preserve">Dover Medical &amp; Scientific Equipment</t>
  </si>
  <si>
    <t xml:space="preserve">Sysmex distributor for Israel per Sysmex Europe's live distributor directory, which lists 'Dover Medical &amp; Scientific Equipment', 11 Hamaalot Street, Herzliya, dovermed.co.il (the entry sits beneath a Sysmex UK Ltd. heading, so it may be managed via Sysmex UK); product-line scope not stated (presumably hematology/urinalysis IVD). Dover's own site returned no Sysmex pages in a domain-restricted search (its indexed content is about da Vinci surgical robotics)</t>
  </si>
  <si>
    <t xml:space="preserve">https://dovermed.co.il</t>
  </si>
  <si>
    <t xml:space="preserve">+972-9-951-4545</t>
  </si>
  <si>
    <t xml:space="preserve">contact@dovermed.co.il</t>
  </si>
  <si>
    <t xml:space="preserve">11 Hama'alot Street, Herzliya 46583</t>
  </si>
  <si>
    <t xml:space="preserve">https://www.sysmex-europe.com/company/contacts/distributors/</t>
  </si>
  <si>
    <t xml:space="preserve">Eldan Electronic Instruments</t>
  </si>
  <si>
    <t xml:space="preserve">Mindray IVD line - hematology analyzers and reagents (clinical diagnostics division)</t>
  </si>
  <si>
    <t xml:space="preserve">https://eldan.biz/?p=4734</t>
  </si>
  <si>
    <t xml:space="preserve">Bepex</t>
  </si>
  <si>
    <t xml:space="preserve">Mindray hospital beds and clinical lighting only (per LinkedIn post; unverified)</t>
  </si>
  <si>
    <t xml:space="preserve">https://www.bepex.co.il/</t>
  </si>
  <si>
    <t xml:space="preserve">+972-9-972-7600</t>
  </si>
  <si>
    <t xml:space="preserve">cs@bepex.co.il</t>
  </si>
  <si>
    <t xml:space="preserve">Shoham Kadima Industrial Zone, P.O. Box 9081, Even Yehuda 4050003</t>
  </si>
  <si>
    <t xml:space="preserve">https://il.linkedin.com/in/ido-gruber-808189a</t>
  </si>
  <si>
    <t xml:space="preserve">Labotal Scientific Equipment Ltd.</t>
  </si>
  <si>
    <t xml:space="preserve">Binder incubators, drying ovens and climate/simulation chambers - Labotal's live 'Binder' represented-firm page (founded 1983 by Peter M. Binder), live 'Represented Firms' page and drying-systems category</t>
  </si>
  <si>
    <t xml:space="preserve">https://labotal.co.il/firms/binder/?lang=en</t>
  </si>
  <si>
    <t xml:space="preserve">Memmert cooled incubators (IPP110 ... IPS750; 53-749 L), CO2 incubators (INC108MED, INCO246MED), vacuum ovens (VO200/VO400/VO500 incl. cooled), drying ovens (UF450, UF750, UN750) and incubators on live Hebrew product-category pages describing the units as Memmert (Germany)</t>
  </si>
  <si>
    <t xml:space="preserve">https://www.medent.co.il/scientific.equipment/product-category/%D7%90%D7%99%D7%A0%D7%A7%D7%95%D7%91%D7%98%D7%95%D7%A8%D7%99%D7%9D/%D7%90%D7%99%D7%A0%D7%A7%D7%95%D7%91%D7%98%D7%95%D7%A8-%D7%9E%D7%A7%D7%95%D7%A8%D7%A8/</t>
  </si>
  <si>
    <t xml:space="preserve">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</si>
  <si>
    <t xml:space="preserve">https://www.medent.co.il/en/project/ika-germany/</t>
  </si>
  <si>
    <t xml:space="preserve">לבוטל ציוד למעבדות</t>
  </si>
  <si>
    <t xml:space="preserve">overhead and magnetic stirrers - Labotal's overhead-stirrer category page names IKA among the brands it stocks (scope beyond stirrers not seen)</t>
  </si>
  <si>
    <t xml:space="preserve">https://labotal.co.il/product-category/hot-plate-and-stirrers/overhead-stirrers/?lang=en</t>
  </si>
  <si>
    <t xml:space="preserve">Heidolph rotary evaporators, stirrers and shakers - Heidolph listed on Labotal's live 'Represented Firms' page; Labotal calls itself a Heidolph premium distributor and its awards archive mentions a three-year warranty on Heidolph products</t>
  </si>
  <si>
    <t xml:space="preserve">JULABO circulators, chillers and baths - Julabo listed on Labotal's live 'Represented Firms' page; Labotal's product pages state it is JULABO's exclusive representative in Israel</t>
  </si>
  <si>
    <t xml:space="preserve">LAUDA laboratory baths, circulators and chillers - live Hebrew category 'LAUDA baths, circulators and chillers' (chillers sub-category) and the 'Lauda - Germany' partner page; GFL-brand water stills also listed</t>
  </si>
  <si>
    <t xml:space="preserve">https://www.medent.co.il/scientific.equipment/product-category/lauda-%D7%90%D7%9E%D7%91%D7%98%D7%99%D7%9D-%D7%A1%D7%99%D7%A8%D7%A7%D7%95%D7%9C%D7%98%D7%95%D7%A8%D7%99%D7%9D-%D7%95%D7%A6%D7%99%D7%9C%D7%A8%D7%99%D7%9D/%D7%A6%D7%99%D7%9C%D7%A8%D7%99%D7%9D/</t>
  </si>
  <si>
    <t xml:space="preserve">Citrine Solutions</t>
  </si>
  <si>
    <t xml:space="preserve">סיטרין</t>
  </si>
  <si>
    <t xml:space="preserve">reseller listing LAUDA Variocool VC 1200 and Ultracool UC2 circulation chillers and an MGW MS heating circulator (new and used lab equipment dealer; authorisation not stated)</t>
  </si>
  <si>
    <t xml:space="preserve">https://www.citrinesolutions.co.il</t>
  </si>
  <si>
    <t xml:space="preserve">https://citrinesolutions.co.il/?c_id=30&amp;item_id=5&amp;module=product&amp;p_id=444</t>
  </si>
  <si>
    <t xml:space="preserve">Avni &amp; Son</t>
  </si>
  <si>
    <t xml:space="preserve">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</si>
  <si>
    <t xml:space="preserve">https://avni-son.co.il</t>
  </si>
  <si>
    <t xml:space="preserve">+972-4-821-9989</t>
  </si>
  <si>
    <t xml:space="preserve">info@avni-son.co.il</t>
  </si>
  <si>
    <t xml:space="preserve">101 Bar Yehuda Rd. (דרך בר יהודה 101), Nesher</t>
  </si>
  <si>
    <t xml:space="preserve">https://avni-son.co.il/%D7%A6%D7%A8%D7%95-%D7%A7%D7%A9%D7%A8/</t>
  </si>
  <si>
    <t xml:space="preserve">https://www.lauda.de/us/warranty-conditions/participants</t>
  </si>
  <si>
    <t xml:space="preserve">S.L. Moran Ltd.</t>
  </si>
  <si>
    <t xml:space="preserve">ש.ל מורן</t>
  </si>
  <si>
    <t xml:space="preserve">Huber circulation baths, thermostats and chillers (Ministat 230 variants, Unistat 405 etc.) - S.L. Moran's live heating/cooling-bath category and suppliers page; the site hosts the Huber general catalogue 2025/2026 (uploaded September 2025) and the CS-Chiller brochure</t>
  </si>
  <si>
    <t xml:space="preserve">https://slmoran.co.il</t>
  </si>
  <si>
    <t xml:space="preserve">+972 74-702-9898</t>
  </si>
  <si>
    <t xml:space="preserve">Shatner Center 7, Givat Shaul, Jerusalem</t>
  </si>
  <si>
    <t xml:space="preserve">https://slmoran.co.il/products_cat/%D7%90%D7%9E%D7%91%D7%98%D7%99-%D7%97%D7%99%D7%9E%D7%95%D7%9D-%D7%A7%D7%99%D7%A8%D7%95%D7%A8-%D7%A1%D7%99%D7%A8%D7%A7%D7%95%D7%9C%D7%98%D7%95%D7%A8/</t>
  </si>
  <si>
    <t xml:space="preserve">Master-Cold</t>
  </si>
  <si>
    <t xml:space="preserve">lists Huber Ministat 230-cc-NR and a Unistat CC (the Unistat appears to be a used unit); authorised status unverified</t>
  </si>
  <si>
    <t xml:space="preserve">http://master-cold.co.il</t>
  </si>
  <si>
    <t xml:space="preserve">http://master-cold.co.il/1579/products/ministat-230-cc-nr</t>
  </si>
  <si>
    <t xml:space="preserve">Dr. Golik Scientific Solutions</t>
  </si>
  <si>
    <t xml:space="preserve">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</si>
  <si>
    <t xml:space="preserve">https://www.golik.co.il/manufacturers/buchi</t>
  </si>
  <si>
    <t xml:space="preserve">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</si>
  <si>
    <t xml:space="preserve">https://www.hettichlab.com/contact/</t>
  </si>
  <si>
    <t xml:space="preserve">Esco Life Sciences division: biological safety cabinets (Airstream Class I/III, Labculture Class II A2/B1/B2), fume hoods, general-purpose ovens and incubators, CO2 incubators and ULT freezers - Danyel's live dedicated Esco page</t>
  </si>
  <si>
    <t xml:space="preserve">https://www.danyel.co.il/esco/</t>
  </si>
  <si>
    <t xml:space="preserve">Labconco biosafety cabinets, CentriVap concentrators and drying systems - Labconco listed on Labotal's live 'Represented Firms' page and in its drying-systems category</t>
  </si>
  <si>
    <t xml:space="preserve">Ormir Lab Equipment</t>
  </si>
  <si>
    <t xml:space="preserve">NuAire biosafety cabinets (NSF/ANSI 49, EN12469), laminar-flow hoods, CO2 incubators, ULT freezers and PharmaGard isolators - NuAire described on Ormir's live manufacturers page and its live biological-safety-cabinets product page</t>
  </si>
  <si>
    <t xml:space="preserve">https://ormir.co.il</t>
  </si>
  <si>
    <t xml:space="preserve">Kfar Yona</t>
  </si>
  <si>
    <t xml:space="preserve">https://ormir.co.il/card-with-image/</t>
  </si>
  <si>
    <t xml:space="preserve">NuAire AutoFlow CO2 incubators (NU-4750/4850/4950/5510) - catalogue PDF hosted on Citrine's site and addressed 'to Citrine customers'; authorised status not stated</t>
  </si>
  <si>
    <t xml:space="preserve">https://www.citrinesolutions.co.il/userfiles/documents/AutoFlow_CO2_Incubators%20ללקוחות%20סיטרין.pdf</t>
  </si>
  <si>
    <t xml:space="preserve">PHCbi CO2/multigas incubators and biomedical/pharmaceutical freezers - Eldan's live laboratory-instruments page lists PHCbi alongside Hettich and Martin Christ</t>
  </si>
  <si>
    <t xml:space="preserve">https://www.eldan.biz/laboratory-instruments/</t>
  </si>
  <si>
    <t xml:space="preserve">Lumitron Ltd.</t>
  </si>
  <si>
    <t xml:space="preserve">PHCbi listed on Lumitron's 'Our brands' page (earlier record); this session 'PHCBI' appears only as a brand tag on Lumitron's live CO2-incubator-shaker product pages, so the relationship is re-confirmed weakly (brand mention, no PHCbi product page seen)</t>
  </si>
  <si>
    <t xml:space="preserve">https://www.lumitron.co.il/our-brands-heb/?lang=en</t>
  </si>
  <si>
    <t xml:space="preserve">Ex-Lab</t>
  </si>
  <si>
    <t xml:space="preserve">אקס-לאב</t>
  </si>
  <si>
    <t xml:space="preserve">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</si>
  <si>
    <t xml:space="preserve">https://ex-lab.com</t>
  </si>
  <si>
    <t xml:space="preserve">4 Nevatim St., Petah Tikva</t>
  </si>
  <si>
    <t xml:space="preserve">https://ex-lab.com/products/%D7%9E%D7%A7%D7%A4%D7%99%D7%90-%D7%9E%D7%A2%D7%91%D7%93%D7%AA%D7%99-haier-80c/</t>
  </si>
  <si>
    <t xml:space="preserve">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</si>
  <si>
    <t xml:space="preserve">https://medent.co.il/scientific.equipment/product/%D7%A1%D7%A4%D7%A7%D7%98%D7%A8%D7%95%D7%A4%D7%95%D7%98%D7%95%D7%9E%D7%98%D7%A8-uvvis-%D7%9E%D7%A2%D7%91%D7%93%D7%AA%D7%99-%D7%93%D7%92%D7%9D-6305-%D7%AA%D7%95%D7%A6%D7%A8%D7%AA-jenway/</t>
  </si>
  <si>
    <t xml:space="preserve">MRC Laboratory Equipment &amp; Instruments</t>
  </si>
  <si>
    <t xml:space="preserve">MRC</t>
  </si>
  <si>
    <t xml:space="preserve">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</si>
  <si>
    <t xml:space="preserve">https://www.mrclab.com</t>
  </si>
  <si>
    <t xml:space="preserve">+972 3-559-5252</t>
  </si>
  <si>
    <t xml:space="preserve">3 Ha-Gavish St., Holon 5881702</t>
  </si>
  <si>
    <t xml:space="preserve">https://www.mrclab.com/carbolite_drying_ovens_for_solvent</t>
  </si>
  <si>
    <t xml:space="preserve">listed as Yamato Scientific's sales representative for Israel on Yamato's global partners page (Shatner Center bldg 7, Givat Shaul, Jerusalem, +972-74-7029898); no Yamato products seen on S.L. Moran's own site</t>
  </si>
  <si>
    <t xml:space="preserve">https://www.yamato-scientific.com/global/</t>
  </si>
  <si>
    <t xml:space="preserve">HyLabs (Hy Laboratories Ltd.)</t>
  </si>
  <si>
    <t xml:space="preserve">Azenta Life Sciences (formerly GENEWIZ) genomics services - gene synthesis, cloning, gene fragments (gBlock-type), oligo pools, site-directed mutagenesis, plasmid preparation - offered to Israeli research and clinical customers on HyLabs' live 'AZENTA - GENOMICS SERVICES' / 'AZENTA (GENEWIZ)' pages</t>
  </si>
  <si>
    <t xml:space="preserve">https://www.hylabs.co.il</t>
  </si>
  <si>
    <t xml:space="preserve">+972-8-936-6475</t>
  </si>
  <si>
    <t xml:space="preserve">8 Prof. Menakhem Plaut St., Rehovot (Prospeo lists 6 Plaut St., Rehovot 7670606)</t>
  </si>
  <si>
    <t xml:space="preserve">https://www.hylabs.co.il/services/genewiz-genomics-services/</t>
  </si>
  <si>
    <t xml:space="preserve">Tamar Laboratory Supplies Ltd.</t>
  </si>
  <si>
    <t xml:space="preserve">תמר ציוד מעבדתי</t>
  </si>
  <si>
    <t xml:space="preserve">4titude (Azenta Life Sciences, UK) PCR/qPCR/sequencing plates, tubes, seals and benchtop sealers - listed on Tamar's live 'Represented companies' page and its automatic roll heat sealer page; the FluidX tube-capping line recorded earlier did not surface in this round's snippets</t>
  </si>
  <si>
    <t xml:space="preserve">https://www.tamar.co.il</t>
  </si>
  <si>
    <t xml:space="preserve">https://www.tamar.co.il/represented-companies/</t>
  </si>
  <si>
    <t xml:space="preserve">Opentrons OT-2 and Opentrons Flex liquid-handling robots - Lifegene's live automated liquid handler page states that Opentrons solutions are available through Lifegene with full professional support and scientific assistance</t>
  </si>
  <si>
    <t xml:space="preserve">https://www.lifegene.co.il/automated_liquid_handler</t>
  </si>
  <si>
    <t xml:space="preserve">SPT Labtech distributor for Israel - listed on sptlabtech.com/distributors (Greenwork Yakum Business Park Building A, Yakum 6097200, +972 09-9657000); the SPT Labtech consumables store refers Israeli orders to its distributors</t>
  </si>
  <si>
    <t xml:space="preserve">https://www.sptlabtech.com/distributors</t>
  </si>
  <si>
    <t xml:space="preserve">OHAUS balances and centrifuges (e.g. FC-5515R refrigerated microcentrifuge) - Ohaus has a dedicated page in Labotal's live 'Represented Firms' archive, and Labotal's product/guide pages refer to Ohaus' 2024 acquisition of Hermle</t>
  </si>
  <si>
    <t xml:space="preserve">https://labotal.co.il/firms/ohaus/?lang=en</t>
  </si>
  <si>
    <t xml:space="preserve">BDL (bdl.co.il)</t>
  </si>
  <si>
    <t xml:space="preserve">KERN precision balances (EW-N / EG-N series) and KERN balance bench with granite slab listed on BDL's live online catalogue; company's full name and authorised-dealer status not stated by either side</t>
  </si>
  <si>
    <t xml:space="preserve">https://www.bdl.co.il</t>
  </si>
  <si>
    <t xml:space="preserve">+972 9-761-1800</t>
  </si>
  <si>
    <t xml:space="preserve">info@bdl.co.il</t>
  </si>
  <si>
    <t xml:space="preserve">Ra'anana (warehouse: Netanya)</t>
  </si>
  <si>
    <t xml:space="preserve">https://www.bdl.co.il/Contact.aspx</t>
  </si>
  <si>
    <t xml:space="preserve">https://www.bdl.co.il/Item.aspx?Name=Precision+balances+type+EW-N+and+EG-N&amp;SID=19921</t>
  </si>
  <si>
    <t xml:space="preserve">Gilson liquid handling (per Agentek vendors list)</t>
  </si>
  <si>
    <t xml:space="preserve">Gilson PIPETMAN G/L/M/M Connected and NEO pipettes, multichannel pipettes, PIPETMAN DIAMOND tips and PlateMaster P220 - Lifegene's live 'פיפטורים Gilson' page, Gilson product category and product pages</t>
  </si>
  <si>
    <t xml:space="preserve">https://www.lifegene.co.il/gilson_pipettes</t>
  </si>
  <si>
    <t xml:space="preserve">Medent - Scientific Equipment Ltd.</t>
  </si>
  <si>
    <t xml:space="preserve">INTEGRA liquid-handling products (VIAFLO, ASSIST PLUS, VACUSAFE etc.) - listed on INTEGRA's live 'Where to buy' page as its partner for Israel (110 Mordey Hagetaot St., Beer Sheva 84206, +972 8 623 79 84, medent.co.il)</t>
  </si>
  <si>
    <t xml:space="preserve">https://www.integra-biosciences.com/global/en/where-buy</t>
  </si>
  <si>
    <t xml:space="preserve">BMG LABTECH microplate readers (CLARIOstar, PHERAstar etc.) - listed on BMG's live 'Sales &amp; Support Offices' page as the Israel contact (4 Habarzel St., Tel Aviv 69710, +972 3 6492 444, sales@zotal.co.il); the page does not label Zotal as office versus distributor</t>
  </si>
  <si>
    <t xml:space="preserve">https://www.bmglabtech.com/en/sales-and-support-offices/</t>
  </si>
  <si>
    <t xml:space="preserve">GLOBUS Technical Equipment Ltd.</t>
  </si>
  <si>
    <t xml:space="preserve">ZwickRoell sales partner for Israel (materials testing machines) - listed on ZwickRoell's live 'Locations around the world' page (1 Ha'ofe Street, Kadima Industrial Zone, +972 9 956 0444); subsidiary versus independent partner not stated; no website found</t>
  </si>
  <si>
    <t xml:space="preserve">+972-72-394-1126</t>
  </si>
  <si>
    <t xml:space="preserve">Hao'fa 1, Kadima</t>
  </si>
  <si>
    <t xml:space="preserve">https://www.zwickroell.com/company/locations-around-the-world/</t>
  </si>
  <si>
    <t xml:space="preserve">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</si>
  <si>
    <t xml:space="preserve">https://www.danyel.co.il/scilabware/</t>
  </si>
  <si>
    <t xml:space="preserve">Greiner Bio-One distributor for Israel for the Preanalytics, BioScience and CLiP safety IV catheter divisions - listed on gbo.com's 'Subsidiaries &amp; distributors' page (8 Hamada - Science Park, 7414002 Rehovot, +972-8-9366066, danyel.co.il); Danyel also has its own Greiner Bio-One brand page</t>
  </si>
  <si>
    <t xml:space="preserve">https://www.gbo.com/en-int/company/subsidiaries-distributors</t>
  </si>
  <si>
    <t xml:space="preserve">Sarstedt consumables (reagent and centrifuge tubes, gel-loading tips, disposable cuvettes, transfer pipettes) - SARSTEDT (Germany, plastic laboratory and medical products) is on Tamar's live 'Represented companies' page and Tamar's product pages carry Sarstedt items</t>
  </si>
  <si>
    <t xml:space="preserve">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</si>
  <si>
    <t xml:space="preserve">https://www.vacuubrand.com/service-advice/contact/contacts-worldwide</t>
  </si>
  <si>
    <t xml:space="preserve">Yoel Naim Ltd.</t>
  </si>
  <si>
    <t xml:space="preserve">BRAND (liquid handling, volumetric ware) distributor and service partner for Israel - named on BRAND's live 'Sales and Consulting worldwide' page (industrial area, Rehovot); website not found</t>
  </si>
  <si>
    <t xml:space="preserve">https://www.brand.de/en/company/sales-worldwide</t>
  </si>
  <si>
    <t xml:space="preserve">Berthold Technologies bioanalytic instruments - microplate and multimode readers (TriStar2), tube luminometers, NightOWL in-vivo imaging, gamma counters and HPLC radio detectors - per Danyel's live Berthold Technologies brand page</t>
  </si>
  <si>
    <t xml:space="preserve">https://www.danyel.co.il/berthold-technologies/</t>
  </si>
  <si>
    <t xml:space="preserve">Oriontech Engineering</t>
  </si>
  <si>
    <t xml:space="preserve">Berthold Technologies' listed sales contact for Israel (contact Aharon Shneiderman, PO Box 3012, 2412901 Akko) on Berthold's live process-control contacts page and company worldwide-contacts page; division coverage (process control / radiation protection vs bioanalytics) not stated in the snippets</t>
  </si>
  <si>
    <t xml:space="preserve">https://www.berthold.com/en-us/company/contacts/</t>
  </si>
  <si>
    <t xml:space="preserve">Rhenium Research Laboratory Equipment Ltd. (Rhenium Group)</t>
  </si>
  <si>
    <t xml:space="preserve">INFORS HT incubator shakers, bioreactors and bioprocess software - listed as 'Israel, Rhenium research laboratory equipment Ltd.' (distributor) on INFORS HT's live Locations page</t>
  </si>
  <si>
    <t xml:space="preserve">https://infors-ht.com/en/infors-locations</t>
  </si>
  <si>
    <t xml:space="preserve">Electrotherm Marketing 1978 Ltd.</t>
  </si>
  <si>
    <t xml:space="preserve">אלקטרוטרם</t>
  </si>
  <si>
    <t xml:space="preserve">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</si>
  <si>
    <t xml:space="preserve">https://www.electrotherm.co.il</t>
  </si>
  <si>
    <t xml:space="preserve">+972-77-866-0600</t>
  </si>
  <si>
    <t xml:space="preserve">sales@electrotherm.co.il</t>
  </si>
  <si>
    <t xml:space="preserve">Migdal HaEmek</t>
  </si>
  <si>
    <t xml:space="preserve">https://nabertherm.com/en/node/594</t>
  </si>
  <si>
    <t xml:space="preserve">ELGA (Elga - Veolia) laboratory water purification systems - PURELAB Quest and PURELAB Flex product pages live on Lumitron's site; ELGA's 'Approved Partners' directory listed Lumitron under Israel (tel. 972-52-525-6287) in the previous round, but that entry did not appear in this round's snippet</t>
  </si>
  <si>
    <t xml:space="preserve">https://www.lumitron.co.il/products/purelab-quest-water-purification-system/?lang=en</t>
  </si>
  <si>
    <t xml:space="preserve">RADWAG analytical and micro balances (MYA 5Y, AS.X7, AS.X2), precision balances (WTC 2000), moisture analysers - listed under Israel on RADWAG's live contact page (17 Hamefalsim St., zip 49130, +972 732000773, lumitron.co.il) and on Lumitron's live Radwag brand page</t>
  </si>
  <si>
    <t xml:space="preserve">https://radwag.com/en/contact,1,5</t>
  </si>
  <si>
    <t xml:space="preserve">Newtech Ayalon Ltd.</t>
  </si>
  <si>
    <t xml:space="preserve">RADWAG dealer listed under Israel on RADWAG's live contact page (12 Hacharoshet Street, Kfar Saba; sales@weighing.co.il); scope not stated; own site not checked</t>
  </si>
  <si>
    <t xml:space="preserve">https://www.weighing.co.il</t>
  </si>
  <si>
    <t xml:space="preserve">RADWAG dealer listed under Israel on RADWAG's live contact page (+972 phone, mrclab.com); no Radwag-branded page seen on mrclab.com</t>
  </si>
  <si>
    <t xml:space="preserve">מס׳ / Rank</t>
  </si>
  <si>
    <t xml:space="preserve">מוצר / Product</t>
  </si>
  <si>
    <t xml:space="preserve">תיאור / Description</t>
  </si>
  <si>
    <t xml:space="preserve">Thermo Scientific Orbitrap Astral</t>
  </si>
  <si>
    <t xml:space="preserve">high-resolution Orbitrap LC-MS mass spectrometer</t>
  </si>
  <si>
    <t xml:space="preserve">Applied Biosystems QuantStudio</t>
  </si>
  <si>
    <t xml:space="preserve">real-time PCR (qPCR/dPCR) instrument family</t>
  </si>
  <si>
    <t xml:space="preserve">Thermo Scientific Krios cryo-TEM</t>
  </si>
  <si>
    <t xml:space="preserve">cryo-electron microscope for structural biology</t>
  </si>
  <si>
    <t xml:space="preserve">Agilent 1290 Infinity III LC</t>
  </si>
  <si>
    <t xml:space="preserve">flagship UHPLC liquid chromatography system</t>
  </si>
  <si>
    <t xml:space="preserve">Agilent 8890 GC / 7010 Triple Quad GC/MS</t>
  </si>
  <si>
    <t xml:space="preserve">gas chromatograph and GC-MS/MS systems</t>
  </si>
  <si>
    <t xml:space="preserve">Agilent BioTek Cytation</t>
  </si>
  <si>
    <t xml:space="preserve">cell imaging multimode microplate reader</t>
  </si>
  <si>
    <t xml:space="preserve">Milli-Q</t>
  </si>
  <si>
    <t xml:space="preserve">laboratory ultrapure / pure water purification systems</t>
  </si>
  <si>
    <t xml:space="preserve">Millipore filtration (Millex, Stericup, Mobius)</t>
  </si>
  <si>
    <t xml:space="preserve">lab filtration and single-use bioprocess products</t>
  </si>
  <si>
    <t xml:space="preserve">Sigma-Aldrich research chemicals</t>
  </si>
  <si>
    <t xml:space="preserve">reagents, biochemicals and analytical standards</t>
  </si>
  <si>
    <t xml:space="preserve">ACQUITY Premier UPLC</t>
  </si>
  <si>
    <t xml:space="preserve">ultra-performance liquid chromatography systems</t>
  </si>
  <si>
    <t xml:space="preserve">Xevo TQ Absolute</t>
  </si>
  <si>
    <t xml:space="preserve">tandem quadrupole LC-MS/MS mass spectrometer</t>
  </si>
  <si>
    <t xml:space="preserve">Empower CDS</t>
  </si>
  <si>
    <t xml:space="preserve">chromatography data system software</t>
  </si>
  <si>
    <t xml:space="preserve">AVANCE NEO NMR</t>
  </si>
  <si>
    <t xml:space="preserve">high-field NMR spectrometers (BioSpin)</t>
  </si>
  <si>
    <t xml:space="preserve">timsTOF</t>
  </si>
  <si>
    <t xml:space="preserve">trapped-ion-mobility Q-TOF mass spectrometers (Daltonics)</t>
  </si>
  <si>
    <t xml:space="preserve">D8 ADVANCE / Dimension AFM</t>
  </si>
  <si>
    <t xml:space="preserve">X-ray diffraction and atomic force microscopy systems</t>
  </si>
  <si>
    <t xml:space="preserve">Nexera UHPLC series</t>
  </si>
  <si>
    <t xml:space="preserve">ultra-high-performance liquid chromatographs</t>
  </si>
  <si>
    <t xml:space="preserve">LCMS-8060NX / LCMS-9050</t>
  </si>
  <si>
    <t xml:space="preserve">triple-quadrupole and Q-TOF LC-MS/MS systems</t>
  </si>
  <si>
    <t xml:space="preserve">GCMS-QP2050</t>
  </si>
  <si>
    <t xml:space="preserve">single-quadrupole GC-MS system</t>
  </si>
  <si>
    <t xml:space="preserve">XPR analytical &amp; micro balances</t>
  </si>
  <si>
    <t xml:space="preserve">high-precision laboratory balances</t>
  </si>
  <si>
    <t xml:space="preserve">Rainin Pipet-Lite XLS / E4 XLS</t>
  </si>
  <si>
    <t xml:space="preserve">manual and electronic pipettes</t>
  </si>
  <si>
    <t xml:space="preserve">Excellence Titrators &amp; SevenExcellence meters</t>
  </si>
  <si>
    <t xml:space="preserve">titration and pH/ion analysis</t>
  </si>
  <si>
    <t xml:space="preserve">Octet BLI systems</t>
  </si>
  <si>
    <t xml:space="preserve">label-free bio-layer interferometry analyzers</t>
  </si>
  <si>
    <t xml:space="preserve">Biostat STR</t>
  </si>
  <si>
    <t xml:space="preserve">single-use stirred-tank bioreactors</t>
  </si>
  <si>
    <t xml:space="preserve">Cubis II balances</t>
  </si>
  <si>
    <t xml:space="preserve">modular premium laboratory balances</t>
  </si>
  <si>
    <t xml:space="preserve">EnVision Nexus</t>
  </si>
  <si>
    <t xml:space="preserve">multimode microplate reader for HTS</t>
  </si>
  <si>
    <t xml:space="preserve">Opera Phenix Plus</t>
  </si>
  <si>
    <t xml:space="preserve">high-content screening / imaging system</t>
  </si>
  <si>
    <t xml:space="preserve">BioLegend antibodies &amp; reagents</t>
  </si>
  <si>
    <t xml:space="preserve">research antibodies, immunoassays and proteins</t>
  </si>
  <si>
    <t xml:space="preserve">NexION ICP-MS</t>
  </si>
  <si>
    <t xml:space="preserve">inductively coupled plasma mass spectrometers</t>
  </si>
  <si>
    <t xml:space="preserve">Avio ICP-OES</t>
  </si>
  <si>
    <t xml:space="preserve">ICP optical emission spectrometers for elemental analysis</t>
  </si>
  <si>
    <t xml:space="preserve">Spectrum 3 / Lambda / Pyris</t>
  </si>
  <si>
    <t xml:space="preserve">FT-IR, UV-Vis and thermal analysis instruments</t>
  </si>
  <si>
    <t xml:space="preserve">QX600 Droplet Digital PCR</t>
  </si>
  <si>
    <t xml:space="preserve">ddPCR absolute nucleic-acid quantification system</t>
  </si>
  <si>
    <t xml:space="preserve">CFX Opus Real-Time PCR</t>
  </si>
  <si>
    <t xml:space="preserve">qPCR detection systems</t>
  </si>
  <si>
    <t xml:space="preserve">ChemiDoc MP</t>
  </si>
  <si>
    <t xml:space="preserve">gel and western-blot imaging system</t>
  </si>
  <si>
    <t xml:space="preserve">VWR-brand consumables and lab supplies</t>
  </si>
  <si>
    <t xml:space="preserve">lab products sold through the VWR distribution channel</t>
  </si>
  <si>
    <t xml:space="preserve">J.T.Baker chemicals</t>
  </si>
  <si>
    <t xml:space="preserve">high-purity lab chemicals and solvents</t>
  </si>
  <si>
    <t xml:space="preserve">NuSil silicones</t>
  </si>
  <si>
    <t xml:space="preserve">medical- and implant-grade silicone materials</t>
  </si>
  <si>
    <t xml:space="preserve">Eppendorf Research plus</t>
  </si>
  <si>
    <t xml:space="preserve">manual mechanical pipettes</t>
  </si>
  <si>
    <t xml:space="preserve">Centrifuge 5430 / 5910 Ri</t>
  </si>
  <si>
    <t xml:space="preserve">benchtop refrigerated centrifuges</t>
  </si>
  <si>
    <t xml:space="preserve">epMotion</t>
  </si>
  <si>
    <t xml:space="preserve">automated liquid-handling workstations</t>
  </si>
  <si>
    <t xml:space="preserve">QIAcube Connect</t>
  </si>
  <si>
    <t xml:space="preserve">automated nucleic-acid extraction instrument</t>
  </si>
  <si>
    <t xml:space="preserve">QIAstat-Dx</t>
  </si>
  <si>
    <t xml:space="preserve">syndromic molecular diagnostic panel system</t>
  </si>
  <si>
    <t xml:space="preserve">QuantiFERON-TB Gold Plus</t>
  </si>
  <si>
    <t xml:space="preserve">interferon-gamma TB blood test</t>
  </si>
  <si>
    <t xml:space="preserve">NovaSeq X Series</t>
  </si>
  <si>
    <t xml:space="preserve">high-throughput production-scale sequencers</t>
  </si>
  <si>
    <t xml:space="preserve">NextSeq 1000/2000</t>
  </si>
  <si>
    <t xml:space="preserve">mid-throughput benchtop sequencers</t>
  </si>
  <si>
    <t xml:space="preserve">MiSeq i100</t>
  </si>
  <si>
    <t xml:space="preserve">compact benchtop sequencer</t>
  </si>
  <si>
    <t xml:space="preserve">DxH 900</t>
  </si>
  <si>
    <t xml:space="preserve">hematology analyzer (Diagnostics)</t>
  </si>
  <si>
    <t xml:space="preserve">DxI 9000 Access</t>
  </si>
  <si>
    <t xml:space="preserve">immunoassay analyzer (Diagnostics)</t>
  </si>
  <si>
    <t xml:space="preserve">CytoFLEX</t>
  </si>
  <si>
    <t xml:space="preserve">benchtop flow cytometers (Life Sciences)</t>
  </si>
  <si>
    <t xml:space="preserve">AKTA</t>
  </si>
  <si>
    <t xml:space="preserve">protein purification chromatography systems</t>
  </si>
  <si>
    <t xml:space="preserve">MabSelect / Capto resins</t>
  </si>
  <si>
    <t xml:space="preserve">chromatography resins for biologics manufacturing</t>
  </si>
  <si>
    <t xml:space="preserve">Biacore</t>
  </si>
  <si>
    <t xml:space="preserve">surface plasmon resonance interaction analysis</t>
  </si>
  <si>
    <t xml:space="preserve">STELLARIS</t>
  </si>
  <si>
    <t xml:space="preserve">confocal microscopy platform</t>
  </si>
  <si>
    <t xml:space="preserve">Mica</t>
  </si>
  <si>
    <t xml:space="preserve">automated widefield/confocal imaging microhub</t>
  </si>
  <si>
    <t xml:space="preserve">THUNDER Imagers</t>
  </si>
  <si>
    <t xml:space="preserve">computational-clearing widefield imaging systems</t>
  </si>
  <si>
    <t xml:space="preserve">ZenoTOF 7600+</t>
  </si>
  <si>
    <t xml:space="preserve">QTOF LC-MS/MS mass spectrometer</t>
  </si>
  <si>
    <t xml:space="preserve">SCIEX 7500+ (Triple Quad)</t>
  </si>
  <si>
    <t xml:space="preserve">triple-quadrupole LC-MS/MS system</t>
  </si>
  <si>
    <t xml:space="preserve">Echo MS+</t>
  </si>
  <si>
    <t xml:space="preserve">acoustic-ejection mass spectrometry system</t>
  </si>
  <si>
    <t xml:space="preserve">SpectraMax iD5 / i3x</t>
  </si>
  <si>
    <t xml:space="preserve">multi-mode microplate readers</t>
  </si>
  <si>
    <t xml:space="preserve">ImageXpress Confocal HT.ai</t>
  </si>
  <si>
    <t xml:space="preserve">high-content imaging and analysis system</t>
  </si>
  <si>
    <t xml:space="preserve">FLIPR Penta</t>
  </si>
  <si>
    <t xml:space="preserve">kinetic cellular screening (calcium/ion channel) system</t>
  </si>
  <si>
    <t xml:space="preserve">BD FACSDiscover S8</t>
  </si>
  <si>
    <t xml:space="preserve">spectral cell sorter with real-time cell imaging</t>
  </si>
  <si>
    <t xml:space="preserve">BD FACSymphony A5 SE / A1</t>
  </si>
  <si>
    <t xml:space="preserve">high-parameter spectral flow cytometry analyzers</t>
  </si>
  <si>
    <t xml:space="preserve">BD BACTEC FX, BD MAX, BD Phoenix</t>
  </si>
  <si>
    <t xml:space="preserve">blood-culture, molecular IVD and ID/AST systems</t>
  </si>
  <si>
    <t xml:space="preserve">Falcon</t>
  </si>
  <si>
    <t xml:space="preserve">conical tubes, cell-culture plasticware, serological pipets</t>
  </si>
  <si>
    <t xml:space="preserve">Corning Matrigel Matrix</t>
  </si>
  <si>
    <t xml:space="preserve">basement-membrane extract for 3D cell culture</t>
  </si>
  <si>
    <t xml:space="preserve">Axygen</t>
  </si>
  <si>
    <t xml:space="preserve">pipette tips, PCR tubes/plates, genomics consumables</t>
  </si>
  <si>
    <t xml:space="preserve">Maxwell RSC</t>
  </si>
  <si>
    <t xml:space="preserve">automated nucleic acid purification instrument</t>
  </si>
  <si>
    <t xml:space="preserve">GloMax</t>
  </si>
  <si>
    <t xml:space="preserve">multimode microplate readers and luminometers</t>
  </si>
  <si>
    <t xml:space="preserve">CellTiter-Glo / Dual-Luciferase</t>
  </si>
  <si>
    <t xml:space="preserve">bioluminescent cell-viability and reporter assays</t>
  </si>
  <si>
    <t xml:space="preserve">Q5 High-Fidelity DNA Polymerase</t>
  </si>
  <si>
    <t xml:space="preserve">high-fidelity PCR enzyme and master mixes</t>
  </si>
  <si>
    <t xml:space="preserve">NEBNext</t>
  </si>
  <si>
    <t xml:space="preserve">NGS library-preparation kits</t>
  </si>
  <si>
    <t xml:space="preserve">Monarch</t>
  </si>
  <si>
    <t xml:space="preserve">nucleic acid purification kits</t>
  </si>
  <si>
    <t xml:space="preserve">ProteinSimple Jess / Simple Western</t>
  </si>
  <si>
    <t xml:space="preserve">automated capillary western-blot immunoassay systems</t>
  </si>
  <si>
    <t xml:space="preserve">R&amp;D Systems proteins, antibodies &amp; Quantikine ELISAs</t>
  </si>
  <si>
    <t xml:space="preserve">recombinant proteins, antibodies, immunoassay kits</t>
  </si>
  <si>
    <t xml:space="preserve">RNAscope (ACD)</t>
  </si>
  <si>
    <t xml:space="preserve">in situ hybridization assays for RNA detection</t>
  </si>
  <si>
    <t xml:space="preserve">MACS MicroBeads / autoMACS / MultiMACS</t>
  </si>
  <si>
    <t xml:space="preserve">magnetic cell separation reagents and instruments</t>
  </si>
  <si>
    <t xml:space="preserve">CliniMACS Prodigy</t>
  </si>
  <si>
    <t xml:space="preserve">automated closed-system cell-therapy manufacturing platform</t>
  </si>
  <si>
    <t xml:space="preserve">MACSQuant Analyzer / MACSQuant Tyto</t>
  </si>
  <si>
    <t xml:space="preserve">flow cytometers and cartridge-based cell sorter</t>
  </si>
  <si>
    <t xml:space="preserve">Chromium (X / Flex / GEM-X)</t>
  </si>
  <si>
    <t xml:space="preserve">single-cell gene-expression and multiomic platform</t>
  </si>
  <si>
    <t xml:space="preserve">Visium HD</t>
  </si>
  <si>
    <t xml:space="preserve">high-resolution spatial transcriptomics</t>
  </si>
  <si>
    <t xml:space="preserve">Xenium</t>
  </si>
  <si>
    <t xml:space="preserve">in situ single-cell spatial imaging platform</t>
  </si>
  <si>
    <t xml:space="preserve">PromethION (2 Solo / P24 / P48)</t>
  </si>
  <si>
    <t xml:space="preserve">high-throughput nanopore sequencers</t>
  </si>
  <si>
    <t xml:space="preserve">MinION</t>
  </si>
  <si>
    <t xml:space="preserve">portable USB nanopore sequencer</t>
  </si>
  <si>
    <t xml:space="preserve">GridION</t>
  </si>
  <si>
    <t xml:space="preserve">benchtop five-flow-cell nanopore sequencer</t>
  </si>
  <si>
    <t xml:space="preserve">Revio</t>
  </si>
  <si>
    <t xml:space="preserve">high-throughput long-read HiFi sequencing system</t>
  </si>
  <si>
    <t xml:space="preserve">Vega</t>
  </si>
  <si>
    <t xml:space="preserve">benchtop long-read HiFi sequencer</t>
  </si>
  <si>
    <t xml:space="preserve">Kinnex kits</t>
  </si>
  <si>
    <t xml:space="preserve">full-length RNA/16S HiFi library kits</t>
  </si>
  <si>
    <t xml:space="preserve">Fluent</t>
  </si>
  <si>
    <t xml:space="preserve">automated liquid-handling workstation</t>
  </si>
  <si>
    <t xml:space="preserve">Freedom EVO</t>
  </si>
  <si>
    <t xml:space="preserve">modular liquid-handling and robotics platform</t>
  </si>
  <si>
    <t xml:space="preserve">Spark</t>
  </si>
  <si>
    <t xml:space="preserve">multimode microplate reader</t>
  </si>
  <si>
    <t xml:space="preserve">Microlab STAR / STARlet / Vantage</t>
  </si>
  <si>
    <t xml:space="preserve">automated liquid-handling workstations with CO-RE pipetting</t>
  </si>
  <si>
    <t xml:space="preserve">Hamilton precision syringes (Microliter / Gastight)</t>
  </si>
  <si>
    <t xml:space="preserve">glass microliter syringes for GC/HPLC autosamplers</t>
  </si>
  <si>
    <t xml:space="preserve">Hamilton Storage BiOS / SAM</t>
  </si>
  <si>
    <t xml:space="preserve">automated ultra-low-temperature sample storage systems</t>
  </si>
  <si>
    <t xml:space="preserve">Cytek Aurora</t>
  </si>
  <si>
    <t xml:space="preserve">full-spectrum flow cytometer, up to 5 lasers / 64 detectors</t>
  </si>
  <si>
    <t xml:space="preserve">Cytek Aurora CS</t>
  </si>
  <si>
    <t xml:space="preserve">full-spectrum cell sorter</t>
  </si>
  <si>
    <t xml:space="preserve">Cytek Northern Lights</t>
  </si>
  <si>
    <t xml:space="preserve">compact 1-3 laser spectral analyzer (also clinical/CE-IVD)</t>
  </si>
  <si>
    <t xml:space="preserve">ZEISS LSM 980 / LSM 990 with Airyscan 2</t>
  </si>
  <si>
    <t xml:space="preserve">confocal laser scanning microscopes for live-cell imaging</t>
  </si>
  <si>
    <t xml:space="preserve">ZEISS Axio Observer / Axio Imager</t>
  </si>
  <si>
    <t xml:space="preserve">inverted and upright research light microscope platforms</t>
  </si>
  <si>
    <t xml:space="preserve">ZEISS GeminiSEM / Crossbeam</t>
  </si>
  <si>
    <t xml:space="preserve">field-emission SEM and FIB-SEM for materials and life science</t>
  </si>
  <si>
    <t xml:space="preserve">FV4000 (FLUOVIEW)</t>
  </si>
  <si>
    <t xml:space="preserve">confocal laser scanning microscope for life science</t>
  </si>
  <si>
    <t xml:space="preserve">BX53 / BX63 and IXplore (IX83) systems</t>
  </si>
  <si>
    <t xml:space="preserve">upright and inverted research microscope platforms</t>
  </si>
  <si>
    <t xml:space="preserve">OmniScan X3 and Vanta</t>
  </si>
  <si>
    <t xml:space="preserve">phased-array ultrasonic flaw detector; handheld XRF analyzers (NDT)</t>
  </si>
  <si>
    <t xml:space="preserve">ECLIPSE Ti2</t>
  </si>
  <si>
    <t xml:space="preserve">inverted research microscope platform for live-cell imaging</t>
  </si>
  <si>
    <t xml:space="preserve">AX / AX R with NSPARC</t>
  </si>
  <si>
    <t xml:space="preserve">high-resolution confocal microscope systems</t>
  </si>
  <si>
    <t xml:space="preserve">ECLIPSE Ji</t>
  </si>
  <si>
    <t xml:space="preserve">AI-driven smart imaging/cell-analysis system</t>
  </si>
  <si>
    <t xml:space="preserve">JEM-ARM300F2 GRAND ARM2</t>
  </si>
  <si>
    <t xml:space="preserve">atomic-resolution aberration-corrected TEM/STEM</t>
  </si>
  <si>
    <t xml:space="preserve">JSM-IT800 / JSM-7900F</t>
  </si>
  <si>
    <t xml:space="preserve">field-emission scanning electron microscopes</t>
  </si>
  <si>
    <t xml:space="preserve">JNM-ECZ Luminous (ECZL)</t>
  </si>
  <si>
    <t xml:space="preserve">NMR spectrometer series</t>
  </si>
  <si>
    <t xml:space="preserve">Regulus / SU series FE-SEM (e.g. SU8600, SU7000)</t>
  </si>
  <si>
    <t xml:space="preserve">TM4000Plus II</t>
  </si>
  <si>
    <t xml:space="preserve">tabletop scanning electron microscope</t>
  </si>
  <si>
    <t xml:space="preserve">LABOSPECT clinical chemistry analyzers</t>
  </si>
  <si>
    <t xml:space="preserve">high-throughput clinical analyzers (also OEM cobas c for Roche)</t>
  </si>
  <si>
    <t xml:space="preserve">TESCAN CLARA / MIRA</t>
  </si>
  <si>
    <t xml:space="preserve">ultra-high-resolution field-emission SEMs</t>
  </si>
  <si>
    <t xml:space="preserve">TESCAN AMBER X / SOLARIS X</t>
  </si>
  <si>
    <t xml:space="preserve">Xe plasma FIB-SEM for large-volume milling</t>
  </si>
  <si>
    <t xml:space="preserve">TESCAN TENSOR</t>
  </si>
  <si>
    <t xml:space="preserve">4D-STEM for nanoscale materials analysis</t>
  </si>
  <si>
    <t xml:space="preserve">SmartLab</t>
  </si>
  <si>
    <t xml:space="preserve">multipurpose high-resolution X-ray diffractometer</t>
  </si>
  <si>
    <t xml:space="preserve">MiniFlex</t>
  </si>
  <si>
    <t xml:space="preserve">benchtop powder X-ray diffractometer</t>
  </si>
  <si>
    <t xml:space="preserve">XtaLAB Synergy</t>
  </si>
  <si>
    <t xml:space="preserve">single-crystal X-ray diffraction systems</t>
  </si>
  <si>
    <t xml:space="preserve">LabRAM Soleil / LabRAM Odyssey</t>
  </si>
  <si>
    <t xml:space="preserve">Raman microscopes and spectrometers</t>
  </si>
  <si>
    <t xml:space="preserve">Partica LA-960V2</t>
  </si>
  <si>
    <t xml:space="preserve">laser-diffraction particle size analyzer</t>
  </si>
  <si>
    <t xml:space="preserve">Yumizen H500 / H1500</t>
  </si>
  <si>
    <t xml:space="preserve">hematology analyzers (HORIBA Medical)</t>
  </si>
  <si>
    <t xml:space="preserve">Mastersizer 3000+</t>
  </si>
  <si>
    <t xml:space="preserve">Zetasizer Advance</t>
  </si>
  <si>
    <t xml:space="preserve">DLS nanoparticle size &amp; zeta potential analyzer</t>
  </si>
  <si>
    <t xml:space="preserve">Empyrean</t>
  </si>
  <si>
    <t xml:space="preserve">multipurpose X-ray diffractometer (XRD)</t>
  </si>
  <si>
    <t xml:space="preserve">AZtec with Ultim Max (NanoAnalysis)</t>
  </si>
  <si>
    <t xml:space="preserve">EDS/EBSD microanalysis systems for SEM/TEM</t>
  </si>
  <si>
    <t xml:space="preserve">Andor iXon / Sona / Dragonfly</t>
  </si>
  <si>
    <t xml:space="preserve">scientific EMCCD/sCMOS cameras &amp; confocal imaging</t>
  </si>
  <si>
    <t xml:space="preserve">PlasmaPro 100 (Plasma Technology)</t>
  </si>
  <si>
    <t xml:space="preserve">plasma etch &amp; deposition tools for semiconductors</t>
  </si>
  <si>
    <t xml:space="preserve">DMA density meters (e.g. DMA 5000 M)</t>
  </si>
  <si>
    <t xml:space="preserve">laboratory density &amp; concentration measurement</t>
  </si>
  <si>
    <t xml:space="preserve">MCR rheometer series (e.g. MCR 702e)</t>
  </si>
  <si>
    <t xml:space="preserve">rotational &amp; oscillatory rheometers</t>
  </si>
  <si>
    <t xml:space="preserve">Multiwave 5000 / 7000</t>
  </si>
  <si>
    <t xml:space="preserve">microwave sample digestion systems</t>
  </si>
  <si>
    <t xml:space="preserve">OMNIS</t>
  </si>
  <si>
    <t xml:space="preserve">modular automated titration platform</t>
  </si>
  <si>
    <t xml:space="preserve">940 Professional IC Vario / Eco IC</t>
  </si>
  <si>
    <t xml:space="preserve">ion chromatography systems</t>
  </si>
  <si>
    <t xml:space="preserve">Autolab PGSTAT204 / PGSTAT302N</t>
  </si>
  <si>
    <t xml:space="preserve">potentiostat/galvanostat electrochemistry workstations</t>
  </si>
  <si>
    <t xml:space="preserve">828 / 928 Series</t>
  </si>
  <si>
    <t xml:space="preserve">combustion CHN/CHNS/O macro elemental analyzers</t>
  </si>
  <si>
    <t xml:space="preserve">Pegasus BT 4D</t>
  </si>
  <si>
    <t xml:space="preserve">GCxGC time-of-flight mass spectrometer</t>
  </si>
  <si>
    <t xml:space="preserve">836 Series (ONH836)</t>
  </si>
  <si>
    <t xml:space="preserve">oxygen/nitrogen/hydrogen inert-gas-fusion analyzer</t>
  </si>
  <si>
    <t xml:space="preserve">J-1500</t>
  </si>
  <si>
    <t xml:space="preserve">circular dichroism (CD) spectrometer</t>
  </si>
  <si>
    <t xml:space="preserve">FT/IR-4X / FT/IR-6X</t>
  </si>
  <si>
    <t xml:space="preserve">FTIR spectrometers</t>
  </si>
  <si>
    <t xml:space="preserve">V-700 series (V-780)</t>
  </si>
  <si>
    <t xml:space="preserve">UV-Vis/NIR spectrophotometers</t>
  </si>
  <si>
    <t xml:space="preserve">SPECTRO ARCOS</t>
  </si>
  <si>
    <t xml:space="preserve">high-resolution ICP-OES spectrometer</t>
  </si>
  <si>
    <t xml:space="preserve">SPECTRO XEPOS</t>
  </si>
  <si>
    <t xml:space="preserve">energy-dispersive XRF spectrometer</t>
  </si>
  <si>
    <t xml:space="preserve">SPECTROMAXx</t>
  </si>
  <si>
    <t xml:space="preserve">arc/spark OES metals analyzer</t>
  </si>
  <si>
    <t xml:space="preserve">PlasmaQuant 9100 / PlasmaQuant MS</t>
  </si>
  <si>
    <t xml:space="preserve">ICP-OES and ICP-MS spectrometers</t>
  </si>
  <si>
    <t xml:space="preserve">contrAA 800</t>
  </si>
  <si>
    <t xml:space="preserve">high-resolution continuum-source AAS</t>
  </si>
  <si>
    <t xml:space="preserve">multi N/C series</t>
  </si>
  <si>
    <t xml:space="preserve">TOC/TNb analyzers</t>
  </si>
  <si>
    <t xml:space="preserve">UNICUBE / vario EL cube</t>
  </si>
  <si>
    <t xml:space="preserve">CHNS/O combustion elemental analyzers</t>
  </si>
  <si>
    <t xml:space="preserve">isoprime precisION</t>
  </si>
  <si>
    <t xml:space="preserve">isotope ratio mass spectrometer (IRMS)</t>
  </si>
  <si>
    <t xml:space="preserve">vario TOC cube</t>
  </si>
  <si>
    <t xml:space="preserve">total organic carbon analyzer</t>
  </si>
  <si>
    <t xml:space="preserve">DSC 300 Caliris</t>
  </si>
  <si>
    <t xml:space="preserve">differential scanning calorimeter</t>
  </si>
  <si>
    <t xml:space="preserve">STA 509 Jupiter</t>
  </si>
  <si>
    <t xml:space="preserve">simultaneous TGA-DSC thermal analyzer</t>
  </si>
  <si>
    <t xml:space="preserve">LFA 467 HyperFlash</t>
  </si>
  <si>
    <t xml:space="preserve">laser-flash thermal diffusivity/conductivity analyzer</t>
  </si>
  <si>
    <t xml:space="preserve">Biotage Selekt (with Sfär columns)</t>
  </si>
  <si>
    <t xml:space="preserve">flash chromatography purification system and columns</t>
  </si>
  <si>
    <t xml:space="preserve">Biotage Extrahera</t>
  </si>
  <si>
    <t xml:space="preserve">automated SPE/SLE sample-preparation workstation</t>
  </si>
  <si>
    <t xml:space="preserve">Biotage Initiator+ / Alstra+</t>
  </si>
  <si>
    <t xml:space="preserve">microwave organic and peptide synthesizers</t>
  </si>
  <si>
    <t xml:space="preserve">DR3900 / DR6000</t>
  </si>
  <si>
    <t xml:space="preserve">benchtop VIS / UV-VIS spectrophotometers for water analysis</t>
  </si>
  <si>
    <t xml:space="preserve">TNTplus</t>
  </si>
  <si>
    <t xml:space="preserve">barcoded reagent-vial test chemistries</t>
  </si>
  <si>
    <t xml:space="preserve">HQ series (HQ1100/HQ4300) with Intellical probes</t>
  </si>
  <si>
    <t xml:space="preserve">portable and benchtop pH / DO / conductivity meters</t>
  </si>
  <si>
    <t xml:space="preserve">HI931 / HI932</t>
  </si>
  <si>
    <t xml:space="preserve">automatic potentiometric titrators</t>
  </si>
  <si>
    <t xml:space="preserve">edge (HI2020)</t>
  </si>
  <si>
    <t xml:space="preserve">benchtop/portable pH, EC and DO meter</t>
  </si>
  <si>
    <t xml:space="preserve">HI83300 series &amp; Checker HC</t>
  </si>
  <si>
    <t xml:space="preserve">multiparameter photometers and handheld colorimeters</t>
  </si>
  <si>
    <t xml:space="preserve">UDK 169 / UDK 139</t>
  </si>
  <si>
    <t xml:space="preserve">automatic Kjeldahl distillation and titration units</t>
  </si>
  <si>
    <t xml:space="preserve">NDA 702 Dumas analyzer</t>
  </si>
  <si>
    <t xml:space="preserve">nitrogen/protein determination by combustion</t>
  </si>
  <si>
    <t xml:space="preserve">AREX-6 / ARE hotplate stirrers and DKL digesters</t>
  </si>
  <si>
    <t xml:space="preserve">magnetic stirrers, hotplates and Kjeldahl digestion units</t>
  </si>
  <si>
    <t xml:space="preserve">cobas pro integrated solutions (c 503 / e 801)</t>
  </si>
  <si>
    <t xml:space="preserve">high-throughput clinical chemistry and immunoassay analyzers</t>
  </si>
  <si>
    <t xml:space="preserve">cobas 6800 / 8800 and cobas 5800 Systems</t>
  </si>
  <si>
    <t xml:space="preserve">automated PCR molecular diagnostics platforms</t>
  </si>
  <si>
    <t xml:space="preserve">LightCycler 480 / LightCycler PRO</t>
  </si>
  <si>
    <t xml:space="preserve">real-time PCR instruments</t>
  </si>
  <si>
    <t xml:space="preserve">Alinity ci-series</t>
  </si>
  <si>
    <t xml:space="preserve">integrated clinical chemistry and immunoassay analyzers</t>
  </si>
  <si>
    <t xml:space="preserve">Alinity m</t>
  </si>
  <si>
    <t xml:space="preserve">automated molecular (PCR) diagnostics system</t>
  </si>
  <si>
    <t xml:space="preserve">ARCHITECT i2000SR / c8000</t>
  </si>
  <si>
    <t xml:space="preserve">legacy immunoassay and chemistry analyzers</t>
  </si>
  <si>
    <t xml:space="preserve">Atellica Solution (CH 930 / IM 1300-1600)</t>
  </si>
  <si>
    <t xml:space="preserve">integrated chemistry &amp; immunoassay analyzers with sample automation</t>
  </si>
  <si>
    <t xml:space="preserve">Atellica CI 1900</t>
  </si>
  <si>
    <t xml:space="preserve">compact integrated chemistry/immunoassay analyzer</t>
  </si>
  <si>
    <t xml:space="preserve">Aptio Automation</t>
  </si>
  <si>
    <t xml:space="preserve">track-based total laboratory automation</t>
  </si>
  <si>
    <t xml:space="preserve">VITEK 2 / VITEK MS PRIME</t>
  </si>
  <si>
    <t xml:space="preserve">automated microbial ID/AST and MALDI-TOF identification</t>
  </si>
  <si>
    <t xml:space="preserve">BACT/ALERT VIRTUO</t>
  </si>
  <si>
    <t xml:space="preserve">automated blood-culture system</t>
  </si>
  <si>
    <t xml:space="preserve">BIOFIRE FILMARRAY TORCH / SPOTFIRE</t>
  </si>
  <si>
    <t xml:space="preserve">syndromic multiplex PCR panels</t>
  </si>
  <si>
    <t xml:space="preserve">XN-Series (XN-1000 to XN-9100)</t>
  </si>
  <si>
    <t xml:space="preserve">automated hematology analyzers and lines</t>
  </si>
  <si>
    <t xml:space="preserve">XR-Series</t>
  </si>
  <si>
    <t xml:space="preserve">next-generation automated hematology analyzers</t>
  </si>
  <si>
    <t xml:space="preserve">UN-Series (UF-5000 / UD-10)</t>
  </si>
  <si>
    <t xml:space="preserve">automated urinalysis systems</t>
  </si>
  <si>
    <t xml:space="preserve">BC-6800Plus / BC-7500 CRP</t>
  </si>
  <si>
    <t xml:space="preserve">automated hematology analyzers</t>
  </si>
  <si>
    <t xml:space="preserve">CL-8000i</t>
  </si>
  <si>
    <t xml:space="preserve">chemiluminescence immunoassay analyzer</t>
  </si>
  <si>
    <t xml:space="preserve">BS-2000M / M9000</t>
  </si>
  <si>
    <t xml:space="preserve">modular clinical chemistry analyzer and integrated lab automation</t>
  </si>
  <si>
    <t xml:space="preserve">KBF / KBF P series</t>
  </si>
  <si>
    <t xml:space="preserve">constant climate chambers for ICH stability testing</t>
  </si>
  <si>
    <t xml:space="preserve">CB / CB-S series</t>
  </si>
  <si>
    <t xml:space="preserve">CO2 incubators with hot-air sterilisation</t>
  </si>
  <si>
    <t xml:space="preserve">FD / FED / FP series</t>
  </si>
  <si>
    <t xml:space="preserve">drying and heating chambers (lab ovens)</t>
  </si>
  <si>
    <t xml:space="preserve">UN / UF series</t>
  </si>
  <si>
    <t xml:space="preserve">universal heating and drying ovens</t>
  </si>
  <si>
    <t xml:space="preserve">IN / IF / ICO series</t>
  </si>
  <si>
    <t xml:space="preserve">incubators, cooled and CO2 incubators</t>
  </si>
  <si>
    <t xml:space="preserve">HPP / ICH series</t>
  </si>
  <si>
    <t xml:space="preserve">constant climate and stability test chambers</t>
  </si>
  <si>
    <t xml:space="preserve">RCT basic / C-MAG HS</t>
  </si>
  <si>
    <t xml:space="preserve">magnetic hotplate stirrers</t>
  </si>
  <si>
    <t xml:space="preserve">ULTRA-TURRAX T 25 / T 50</t>
  </si>
  <si>
    <t xml:space="preserve">high-shear dispersers / homogenisers</t>
  </si>
  <si>
    <t xml:space="preserve">EUROSTAR / MICROSTAR</t>
  </si>
  <si>
    <t xml:space="preserve">overhead laboratory stirrers</t>
  </si>
  <si>
    <t xml:space="preserve">Hei-VAP series</t>
  </si>
  <si>
    <t xml:space="preserve">rotary evaporators (Core, Expert, Ultimate)</t>
  </si>
  <si>
    <t xml:space="preserve">Hei-TORQUE series</t>
  </si>
  <si>
    <t xml:space="preserve">overhead stirrers</t>
  </si>
  <si>
    <t xml:space="preserve">Hei-PLATE / Hei-Tec</t>
  </si>
  <si>
    <t xml:space="preserve">PRESTO</t>
  </si>
  <si>
    <t xml:space="preserve">highly dynamic process temperature control systems</t>
  </si>
  <si>
    <t xml:space="preserve">CORIO / DYNEO / MAGIO</t>
  </si>
  <si>
    <t xml:space="preserve">refrigerated and heating circulators</t>
  </si>
  <si>
    <t xml:space="preserve">FL / FC series</t>
  </si>
  <si>
    <t xml:space="preserve">recirculating coolers (chillers)</t>
  </si>
  <si>
    <t xml:space="preserve">Integral</t>
  </si>
  <si>
    <t xml:space="preserve">process thermostats for heating and cooling</t>
  </si>
  <si>
    <t xml:space="preserve">PRO / ECO / Alpha</t>
  </si>
  <si>
    <t xml:space="preserve">laboratory heating and cooling thermostats</t>
  </si>
  <si>
    <t xml:space="preserve">Ultracool / Variocool</t>
  </si>
  <si>
    <t xml:space="preserve">process circulation chillers</t>
  </si>
  <si>
    <t xml:space="preserve">Unistat</t>
  </si>
  <si>
    <t xml:space="preserve">highly dynamic temperature control systems (-125 to +425 C)</t>
  </si>
  <si>
    <t xml:space="preserve">Unichiller</t>
  </si>
  <si>
    <t xml:space="preserve">recirculating chillers</t>
  </si>
  <si>
    <t xml:space="preserve">Ministat / Petite Fleur / CC series</t>
  </si>
  <si>
    <t xml:space="preserve">compact bath and circulation thermostats</t>
  </si>
  <si>
    <t xml:space="preserve">Rotavapor R-300</t>
  </si>
  <si>
    <t xml:space="preserve">modular rotary evaporator system</t>
  </si>
  <si>
    <t xml:space="preserve">Mini Spray Dryer S-300 / B-290</t>
  </si>
  <si>
    <t xml:space="preserve">laboratory spray dryers</t>
  </si>
  <si>
    <t xml:space="preserve">KjelMaster K-375 / Kjeldahl line</t>
  </si>
  <si>
    <t xml:space="preserve">nitrogen and protein determination systems</t>
  </si>
  <si>
    <t xml:space="preserve">UNIVERSAL 320 / 320 R</t>
  </si>
  <si>
    <t xml:space="preserve">benchtop laboratory centrifuge</t>
  </si>
  <si>
    <t xml:space="preserve">ROTINA 380 / 420 (R)</t>
  </si>
  <si>
    <t xml:space="preserve">high-capacity benchtop centrifuges</t>
  </si>
  <si>
    <t xml:space="preserve">HettCube</t>
  </si>
  <si>
    <t xml:space="preserve">microbiological incubators</t>
  </si>
  <si>
    <t xml:space="preserve">Airstream Class II (Gen 3)</t>
  </si>
  <si>
    <t xml:space="preserve">biological safety cabinets</t>
  </si>
  <si>
    <t xml:space="preserve">CelCulture</t>
  </si>
  <si>
    <t xml:space="preserve">CO2 incubators</t>
  </si>
  <si>
    <t xml:space="preserve">Isoclean / Streamline isolators</t>
  </si>
  <si>
    <t xml:space="preserve">aseptic and containment isolators</t>
  </si>
  <si>
    <t xml:space="preserve">Protector fume hoods (XStream / Premier)</t>
  </si>
  <si>
    <t xml:space="preserve">ducted and ductless chemical fume hoods</t>
  </si>
  <si>
    <t xml:space="preserve">FreeZone freeze dryers</t>
  </si>
  <si>
    <t xml:space="preserve">benchtop and console laboratory lyophilizers</t>
  </si>
  <si>
    <t xml:space="preserve">Purifier Logic+ biosafety cabinets</t>
  </si>
  <si>
    <t xml:space="preserve">Class II A2/B2/C1 biological safety cabinets</t>
  </si>
  <si>
    <t xml:space="preserve">LabGard ES NU-540 / NU-543</t>
  </si>
  <si>
    <t xml:space="preserve">Class II Type A2 biosafety cabinets</t>
  </si>
  <si>
    <t xml:space="preserve">In-VitroCell NU-5800 series</t>
  </si>
  <si>
    <t xml:space="preserve">direct-heat CO2 incubators</t>
  </si>
  <si>
    <t xml:space="preserve">Glacier NU-99xxx series</t>
  </si>
  <si>
    <t xml:space="preserve">-86C ultralow temperature freezers</t>
  </si>
  <si>
    <t xml:space="preserve">MDF-DU702VH VIP ECO</t>
  </si>
  <si>
    <t xml:space="preserve">-86C ultra-low temperature freezer</t>
  </si>
  <si>
    <t xml:space="preserve">MCO-170AIC / MCO-230AIC IncuSafe</t>
  </si>
  <si>
    <t xml:space="preserve">CO2 incubators with H2O2 decontamination</t>
  </si>
  <si>
    <t xml:space="preserve">MPR / MBR series</t>
  </si>
  <si>
    <t xml:space="preserve">pharmaceutical refrigerators and biomedical freezers</t>
  </si>
  <si>
    <t xml:space="preserve">DW-86L series</t>
  </si>
  <si>
    <t xml:space="preserve">-86C ultra-low temperature freezers</t>
  </si>
  <si>
    <t xml:space="preserve">Automated Biobank</t>
  </si>
  <si>
    <t xml:space="preserve">automated -80C / LN2 sample storage systems</t>
  </si>
  <si>
    <t xml:space="preserve">HXC / HYC series</t>
  </si>
  <si>
    <t xml:space="preserve">blood bank and pharmacy/vaccine refrigerators</t>
  </si>
  <si>
    <t xml:space="preserve">Jenway spectrophotometers</t>
  </si>
  <si>
    <t xml:space="preserve">UV/Vis and visible benchtop spectrophotometers</t>
  </si>
  <si>
    <t xml:space="preserve">Environmental Express HotBlock</t>
  </si>
  <si>
    <t xml:space="preserve">sample digestion and prep for environmental testing</t>
  </si>
  <si>
    <t xml:space="preserve">Stuart / Techne benchtop equipment</t>
  </si>
  <si>
    <t xml:space="preserve">stirrers, shakers, hotplates, dry blocks, thermal cyclers</t>
  </si>
  <si>
    <t xml:space="preserve">Retsch mills and sieve shakers</t>
  </si>
  <si>
    <t xml:space="preserve">planetary ball mills, cutting mills, AS 200 sieving</t>
  </si>
  <si>
    <t xml:space="preserve">Carbolite Gero furnaces</t>
  </si>
  <si>
    <t xml:space="preserve">laboratory chamber, tube and high-temperature furnaces</t>
  </si>
  <si>
    <t xml:space="preserve">Microtrac MRB particle analyzers</t>
  </si>
  <si>
    <t xml:space="preserve">laser diffraction and image particle characterization</t>
  </si>
  <si>
    <t xml:space="preserve">DKN / DKM constant temperature ovens</t>
  </si>
  <si>
    <t xml:space="preserve">forced-convection laboratory drying ovens</t>
  </si>
  <si>
    <t xml:space="preserve">SM / SQ series autoclaves</t>
  </si>
  <si>
    <t xml:space="preserve">benchtop and vertical steam sterilizers</t>
  </si>
  <si>
    <t xml:space="preserve">Auto Pure WL series</t>
  </si>
  <si>
    <t xml:space="preserve">laboratory water purification systems</t>
  </si>
  <si>
    <t xml:space="preserve">BioStore III Cryo</t>
  </si>
  <si>
    <t xml:space="preserve">automated LN2 cryogenic sample storage system</t>
  </si>
  <si>
    <t xml:space="preserve">FluidX / Ziath tubes and readers</t>
  </si>
  <si>
    <t xml:space="preserve">2D-barcoded sample tubes and rack scanners</t>
  </si>
  <si>
    <t xml:space="preserve">GENEWIZ services</t>
  </si>
  <si>
    <t xml:space="preserve">Sanger/NGS sequencing and gene synthesis services</t>
  </si>
  <si>
    <t xml:space="preserve">Opentrons Flex</t>
  </si>
  <si>
    <t xml:space="preserve">benchtop liquid-handling robot with 96-channel head and gripper</t>
  </si>
  <si>
    <t xml:space="preserve">OT-2</t>
  </si>
  <si>
    <t xml:space="preserve">low-cost open-source pipetting robot</t>
  </si>
  <si>
    <t xml:space="preserve">Flex modules</t>
  </si>
  <si>
    <t xml:space="preserve">thermocycler, heater-shaker, magnetic block, plate reader</t>
  </si>
  <si>
    <t xml:space="preserve">mosquito</t>
  </si>
  <si>
    <t xml:space="preserve">nanolitre positive-displacement liquid handler</t>
  </si>
  <si>
    <t xml:space="preserve">dragonfly discovery</t>
  </si>
  <si>
    <t xml:space="preserve">non-contact low-volume reagent dispenser</t>
  </si>
  <si>
    <t xml:space="preserve">firefly</t>
  </si>
  <si>
    <t xml:space="preserve">NGS library-prep liquid handling platform</t>
  </si>
  <si>
    <t xml:space="preserve">Explorer series</t>
  </si>
  <si>
    <t xml:space="preserve">analytical &amp; precision laboratory balances</t>
  </si>
  <si>
    <t xml:space="preserve">Pioneer / Adventurer balances</t>
  </si>
  <si>
    <t xml:space="preserve">mid-range analytical and precision balances</t>
  </si>
  <si>
    <t xml:space="preserve">Frontier series centrifuges</t>
  </si>
  <si>
    <t xml:space="preserve">benchtop micro, multi-pro and high-speed centrifuges</t>
  </si>
  <si>
    <t xml:space="preserve">KERN ABT / ABS analytical balances</t>
  </si>
  <si>
    <t xml:space="preserve">0.1 mg laboratory analytical balances</t>
  </si>
  <si>
    <t xml:space="preserve">KERN test weights</t>
  </si>
  <si>
    <t xml:space="preserve">OIML E1-M3 calibration weights and weight sets</t>
  </si>
  <si>
    <t xml:space="preserve">KERN OBN / OBE microscopes</t>
  </si>
  <si>
    <t xml:space="preserve">laboratory and educational light microscopes</t>
  </si>
  <si>
    <t xml:space="preserve">Apollo GX-A / GF-A series</t>
  </si>
  <si>
    <t xml:space="preserve">precision balances with impact-shock detection</t>
  </si>
  <si>
    <t xml:space="preserve">HR-A / HR-AZ series</t>
  </si>
  <si>
    <t xml:space="preserve">0.1 mg analytical balances</t>
  </si>
  <si>
    <t xml:space="preserve">MX-50 / MS-70 moisture analyzers</t>
  </si>
  <si>
    <t xml:space="preserve">halogen-lamp moisture balances</t>
  </si>
  <si>
    <t xml:space="preserve">PIPETMAN L / G / P</t>
  </si>
  <si>
    <t xml:space="preserve">manual air-displacement micropipettes</t>
  </si>
  <si>
    <t xml:space="preserve">PLC 2050 / 2250 purification systems</t>
  </si>
  <si>
    <t xml:space="preserve">preparative HPLC / flash purification</t>
  </si>
  <si>
    <t xml:space="preserve">GX-271 / GX-274 ASPEC</t>
  </si>
  <si>
    <t xml:space="preserve">liquid-handling and SPE automation platforms</t>
  </si>
  <si>
    <t xml:space="preserve">VIAFLO / VOYAGER</t>
  </si>
  <si>
    <t xml:space="preserve">electronic single- and multichannel pipettes</t>
  </si>
  <si>
    <t xml:space="preserve">ASSIST PLUS</t>
  </si>
  <si>
    <t xml:space="preserve">benchtop pipetting robot for electronic pipettes</t>
  </si>
  <si>
    <t xml:space="preserve">VACUSAFE / MEDIACLAVE</t>
  </si>
  <si>
    <t xml:space="preserve">aspiration system and media sterilizer/preparator</t>
  </si>
  <si>
    <t xml:space="preserve">CLARIOstar Plus</t>
  </si>
  <si>
    <t xml:space="preserve">monochromator-based multi-mode microplate reader</t>
  </si>
  <si>
    <t xml:space="preserve">PHERAstar FSX</t>
  </si>
  <si>
    <t xml:space="preserve">high-throughput screening multi-mode plate reader</t>
  </si>
  <si>
    <t xml:space="preserve">Omega series (FLUOstar / POLARstar / SPECTROstar Nano)</t>
  </si>
  <si>
    <t xml:space="preserve">filter-based and absorbance microplate readers</t>
  </si>
  <si>
    <t xml:space="preserve">XCell ATF</t>
  </si>
  <si>
    <t xml:space="preserve">alternating tangential flow cell-retention systems</t>
  </si>
  <si>
    <t xml:space="preserve">OPUS pre-packed columns</t>
  </si>
  <si>
    <t xml:space="preserve">ready-to-use chromatography columns</t>
  </si>
  <si>
    <t xml:space="preserve">CTech FlowVPX / SoloVPE</t>
  </si>
  <si>
    <t xml:space="preserve">variable-pathlength UV concentration analytics</t>
  </si>
  <si>
    <t xml:space="preserve">AllroundLine / ProLine (Z-series)</t>
  </si>
  <si>
    <t xml:space="preserve">universal static materials testing machines</t>
  </si>
  <si>
    <t xml:space="preserve">testXpert III</t>
  </si>
  <si>
    <t xml:space="preserve">materials testing software platform</t>
  </si>
  <si>
    <t xml:space="preserve">HIT pendulum impact testers &amp; ZHU/DuraScan hardness testers</t>
  </si>
  <si>
    <t xml:space="preserve">impact and hardness testing instruments</t>
  </si>
  <si>
    <t xml:space="preserve">Supreme Air fume hoods</t>
  </si>
  <si>
    <t xml:space="preserve">low-velocity / high-performance laboratory fume hoods</t>
  </si>
  <si>
    <t xml:space="preserve">Evolution / Research Collection casework</t>
  </si>
  <si>
    <t xml:space="preserve">adaptable steel and wood laboratory furniture</t>
  </si>
  <si>
    <t xml:space="preserve">NuAire biosafety cabinets (LabGard)</t>
  </si>
  <si>
    <t xml:space="preserve">Class II biological safety cabinets (NuAire subsidiary)</t>
  </si>
  <si>
    <t xml:space="preserve">SCALA</t>
  </si>
  <si>
    <t xml:space="preserve">modular laboratory furniture system</t>
  </si>
  <si>
    <t xml:space="preserve">SECUFLOW</t>
  </si>
  <si>
    <t xml:space="preserve">energy-saving laboratory fume hoods</t>
  </si>
  <si>
    <t xml:space="preserve">Media ceilings &amp; service modules</t>
  </si>
  <si>
    <t xml:space="preserve">ceiling-mounted lab utility supply systems</t>
  </si>
  <si>
    <t xml:space="preserve">DURAN laboratory glass bottles</t>
  </si>
  <si>
    <t xml:space="preserve">GL 45 borosilicate 3.3 bottles &amp; lab glassware</t>
  </si>
  <si>
    <t xml:space="preserve">WHEATON vials &amp; serum bottles</t>
  </si>
  <si>
    <t xml:space="preserve">glass vials, serum bottles, packaging</t>
  </si>
  <si>
    <t xml:space="preserve">KIMBLE KIMAX glassware</t>
  </si>
  <si>
    <t xml:space="preserve">volumetric &amp; general laboratory glassware</t>
  </si>
  <si>
    <t xml:space="preserve">VACUETTE</t>
  </si>
  <si>
    <t xml:space="preserve">evacuated blood collection tubes &amp; safety needles</t>
  </si>
  <si>
    <t xml:space="preserve">CELLSTAR</t>
  </si>
  <si>
    <t xml:space="preserve">cell culture flasks, dishes &amp; plates</t>
  </si>
  <si>
    <t xml:space="preserve">Sapphire tips &amp; µClear microplates</t>
  </si>
  <si>
    <t xml:space="preserve">pipette tips, PCR &amp; assay microplates</t>
  </si>
  <si>
    <t xml:space="preserve">S-Monovette</t>
  </si>
  <si>
    <t xml:space="preserve">venous blood collection system</t>
  </si>
  <si>
    <t xml:space="preserve">Microvette &amp; Salivette</t>
  </si>
  <si>
    <t xml:space="preserve">capillary blood and saliva collection</t>
  </si>
  <si>
    <t xml:space="preserve">Lab consumables (tubes, tips, cell culture)</t>
  </si>
  <si>
    <t xml:space="preserve">screw-cap tubes, pipette tips, plates</t>
  </si>
  <si>
    <t xml:space="preserve">Transferpette S / electronic</t>
  </si>
  <si>
    <t xml:space="preserve">single- and multichannel air-displacement pipettes</t>
  </si>
  <si>
    <t xml:space="preserve">Dispensette S &amp; HandyStep</t>
  </si>
  <si>
    <t xml:space="preserve">bottle-top dispensers and repetitive pipettes</t>
  </si>
  <si>
    <t xml:space="preserve">BLAUBRAND volumetric glassware</t>
  </si>
  <si>
    <t xml:space="preserve">Class A flasks, pipettes, burettes</t>
  </si>
  <si>
    <t xml:space="preserve">Tristar 5 / Mithras²</t>
  </si>
  <si>
    <t xml:space="preserve">multimode microplate readers</t>
  </si>
  <si>
    <t xml:space="preserve">Lumat³ LB 9508 / Centro</t>
  </si>
  <si>
    <t xml:space="preserve">tube and microplate luminometers</t>
  </si>
  <si>
    <t xml:space="preserve">LB 124 SCINT &amp; process gauges</t>
  </si>
  <si>
    <t xml:space="preserve">contamination monitors, level/density gauges</t>
  </si>
  <si>
    <t xml:space="preserve">Multitron</t>
  </si>
  <si>
    <t xml:space="preserve">stackable incubator shaker for cell culture</t>
  </si>
  <si>
    <t xml:space="preserve">Minifors 2 / Labfors 5</t>
  </si>
  <si>
    <t xml:space="preserve">benchtop bioreactors &amp; fermenters</t>
  </si>
  <si>
    <t xml:space="preserve">eve</t>
  </si>
  <si>
    <t xml:space="preserve">bioprocess platform software</t>
  </si>
  <si>
    <t xml:space="preserve">L / LE / LT muffle furnaces</t>
  </si>
  <si>
    <t xml:space="preserve">laboratory muffle furnaces up to 1,300 °C</t>
  </si>
  <si>
    <t xml:space="preserve">RT / RS tube furnaces</t>
  </si>
  <si>
    <t xml:space="preserve">compact and rotary tube furnaces</t>
  </si>
  <si>
    <t xml:space="preserve">LHT / HTC high-temperature furnaces</t>
  </si>
  <si>
    <t xml:space="preserve">chamber furnaces up to 1,800 °C</t>
  </si>
  <si>
    <t xml:space="preserve">PURELAB flex / Quest</t>
  </si>
  <si>
    <t xml:space="preserve">Type I ultrapure lab water systems</t>
  </si>
  <si>
    <t xml:space="preserve">PURELAB Chorus</t>
  </si>
  <si>
    <t xml:space="preserve">modular Type I/II/III purification range</t>
  </si>
  <si>
    <t xml:space="preserve">MEDICA</t>
  </si>
  <si>
    <t xml:space="preserve">clinical analyzer feed-water systems</t>
  </si>
  <si>
    <t xml:space="preserve">SP VirTis &amp; SP Hull freeze dryers</t>
  </si>
  <si>
    <t xml:space="preserve">lab-to-production lyophilizers (LyoStar, Genesis, AdVantage)</t>
  </si>
  <si>
    <t xml:space="preserve">SP Genevac EZ-2 / HT series</t>
  </si>
  <si>
    <t xml:space="preserve">centrifugal solvent evaporators</t>
  </si>
  <si>
    <t xml:space="preserve">SP Bel-Art &amp; Wilmad-LabGlass</t>
  </si>
  <si>
    <t xml:space="preserve">plastic labware, desiccators, NMR tubes</t>
  </si>
  <si>
    <t xml:space="preserve">MYA 5Y microbalances</t>
  </si>
  <si>
    <t xml:space="preserve">1 µg / 0.1 µg microbalances &amp; ultra-microbalances</t>
  </si>
  <si>
    <t xml:space="preserve">XA 5Y / AS X7 analytical balances</t>
  </si>
  <si>
    <t xml:space="preserve">0.01-0.1 mg analytical balances</t>
  </si>
  <si>
    <t xml:space="preserve">PS X7 precision balances &amp; mass comparators</t>
  </si>
  <si>
    <t xml:space="preserve">precision weighing and metrology</t>
  </si>
  <si>
    <t xml:space="preserve">שם בעברית</t>
  </si>
  <si>
    <t xml:space="preserve">מס׳ יצרנים / # makers</t>
  </si>
  <si>
    <t xml:space="preserve">Getter Group</t>
  </si>
  <si>
    <t xml:space="preserve">Lapidot Group</t>
  </si>
  <si>
    <t xml:space="preserve">Thermo Fisher Scientific Israel Ltd.</t>
  </si>
  <si>
    <t xml:space="preserve">Mercury</t>
  </si>
  <si>
    <t xml:space="preserve">Spectro Ltd.</t>
  </si>
  <si>
    <t xml:space="preserve">Accellix, Jerusalem</t>
  </si>
  <si>
    <t xml:space="preserve">Advanced Technological Solutions Ltd.</t>
  </si>
  <si>
    <t xml:space="preserve">Augusta Life Sciences Israel Ltd.</t>
  </si>
  <si>
    <t xml:space="preserve">BD Israel</t>
  </si>
  <si>
    <t xml:space="preserve">BDL</t>
  </si>
  <si>
    <t xml:space="preserve">Beckman Coulter Ltd.</t>
  </si>
  <si>
    <t xml:space="preserve">HyLabs</t>
  </si>
  <si>
    <t xml:space="preserve">IM Beit HaEmek</t>
  </si>
  <si>
    <t xml:space="preserve">Illumina Israel</t>
  </si>
  <si>
    <t xml:space="preserve">Iner-Tech Ltd.</t>
  </si>
  <si>
    <t xml:space="preserve">Israel Scientific Instruments Ltd.</t>
  </si>
  <si>
    <t xml:space="preserve">New Technology Ltd.</t>
  </si>
  <si>
    <t xml:space="preserve">Quantum Design s.r.l. / Quantum Design Israel site</t>
  </si>
  <si>
    <t xml:space="preserve">R.B.M. Ltd. Control &amp; Mechanization</t>
  </si>
  <si>
    <t xml:space="preserve">Rigaku Semiconductor Instruments Ltd.</t>
  </si>
  <si>
    <t xml:space="preserve">Roche Pharmaceuticals Ltd. - Diagnostics division</t>
  </si>
  <si>
    <t xml:space="preserve">Siemens Healthineers Israel</t>
  </si>
  <si>
    <t xml:space="preserve">Sigma-Aldrich Israel Ltd.</t>
  </si>
  <si>
    <t xml:space="preserve">Waters Israel Ltd.</t>
  </si>
  <si>
    <t xml:space="preserve">סיכום / Summary</t>
  </si>
  <si>
    <t xml:space="preserve">נוצר / Generated: 2026-10-15</t>
  </si>
  <si>
    <t xml:space="preserve">סה״כ יצרנים / Manufacturers</t>
  </si>
  <si>
    <t xml:space="preserve">חברה-בת / משרד של היצרן בישראל (subsidiary)</t>
  </si>
  <si>
    <t xml:space="preserve">מפיץ / נציג ישראלי (distributor)</t>
  </si>
  <si>
    <t xml:space="preserve">נמכר דרך החברה-האם בישראל (parent_subsidiary)</t>
  </si>
  <si>
    <t xml:space="preserve">לא נמצא ייצוג (none_found)</t>
  </si>
  <si>
    <t xml:space="preserve">לא ברור (unclear)</t>
  </si>
  <si>
    <t xml:space="preserve">טרם נבדק (pending)</t>
  </si>
  <si>
    <t xml:space="preserve">אימות: אומת ממקור (verified)</t>
  </si>
  <si>
    <t xml:space="preserve">אימות: חיפוש חלקי (ללא פתיחת אתרי היצרן/המפיץ) (partial)</t>
  </si>
  <si>
    <t xml:space="preserve">אימות: ידע קודם, לא אומת מקוון (unverified)</t>
  </si>
  <si>
    <t xml:space="preserve">אימות: טרם נבדק (pending)</t>
  </si>
  <si>
    <t xml:space="preserve">יצרנים עם ייצוג כלשהו בישראל / Any Israeli channel</t>
  </si>
  <si>
    <t xml:space="preserve">סה״כ עובדים (היכן שדווח) / Employees total</t>
  </si>
  <si>
    <t xml:space="preserve">sum of reported/estimated headcounts; parent-level figures inflate the total</t>
  </si>
  <si>
    <t xml:space="preserve">חציון עובדים / Median employees</t>
  </si>
  <si>
    <t xml:space="preserve">סה״כ הכנסות מיליוני $ / Revenue USD M total</t>
  </si>
  <si>
    <t xml:space="preserve">mixes company, segment, parent and estimated figures — indicative only</t>
  </si>
  <si>
    <t xml:space="preserve">חציון הכנסות מיליוני $ / Median revenue USD M</t>
  </si>
  <si>
    <t xml:space="preserve">רמת ודאות גבוהה / High confidence</t>
  </si>
  <si>
    <t xml:space="preserve">רמת ודאות בינונית / Medium confidence</t>
  </si>
  <si>
    <t xml:space="preserve">רמת ודאות נמוכה / Low confidence</t>
  </si>
  <si>
    <t xml:space="preserve">הערות / Notes:</t>
  </si>
  <si>
    <t xml:space="preserve">• revenue_usd_m: converted at approximate 2025 average FX rates (EUR 1.10, GBP 1.30, CHF 1.17, JPY 0.0067, CNY 0.139, SEK 0.098, SGD 0.76).</t>
  </si>
  <si>
    <t xml:space="preserve">• size_basis = estimate: private company, figure is a public estimate (see revenue_note / employees_note).</t>
  </si>
  <si>
    <t xml:space="preserve">• revenue_scope = parent / segment: figure is the parent group's or a business segment's, not the listed brand alone.</t>
  </si>
  <si>
    <t xml:space="preserve">• israel_presence = none_found: no public evidence of an Israeli channel was found in the research — it does not prove there is none.</t>
  </si>
  <si>
    <t xml:space="preserve">• Israeli representation changes often; verify with the manufacturer before relying on it commercially.</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</si>
</sst>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name val="WenQuanYi Zen Hei"/>
      <family val="2"/>
    </font>
    <font>
      <b val="true"/>
      <sz val="12"/>
      <name val="Arial"/>
      <family val="0"/>
      <charset val="1"/>
    </font>
    <font>
      <b val="true"/>
      <sz val="10"/>
      <name val="Arial"/>
      <family val="0"/>
      <charset val="1"/>
    </font>
    <font>
      <i val="true"/>
      <sz val="9"/>
      <name val="Arial"/>
      <family val="0"/>
      <charset val="1"/>
    </font>
  </fonts>
  <fills count="3">
    <fill>
      <patternFill patternType="none"/>
    </fill>
    <fill>
      <patternFill patternType="gray125"/>
    </fill>
    <fill>
      <patternFill patternType="solid">
        <fgColor rgb="FF0B7285"/>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B728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7285"/>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30"/>
    <col collapsed="false" customWidth="true" hidden="false" outlineLevel="0" max="4" min="4" style="0" width="18"/>
    <col collapsed="false" customWidth="true" hidden="false" outlineLevel="0" max="5" min="5" style="0" width="12"/>
    <col collapsed="false" customWidth="true" hidden="false" outlineLevel="0" max="6" min="6" style="0" width="18"/>
    <col collapsed="false" customWidth="true" hidden="false" outlineLevel="0" max="7" min="7" style="0" width="24"/>
    <col collapsed="false" customWidth="true" hidden="false" outlineLevel="0" max="8" min="8" style="0" width="9"/>
    <col collapsed="false" customWidth="true" hidden="false" outlineLevel="0" max="9" min="9" style="0" width="28"/>
    <col collapsed="false" customWidth="true" hidden="false" outlineLevel="0" max="10" min="10" style="0" width="30"/>
    <col collapsed="false" customWidth="true" hidden="false" outlineLevel="0" max="11" min="11" style="0" width="11"/>
    <col collapsed="false" customWidth="true" hidden="false" outlineLevel="0" max="12" min="12" style="0" width="9"/>
    <col collapsed="false" customWidth="true" hidden="false" outlineLevel="0" max="13" min="13" style="0" width="10"/>
    <col collapsed="false" customWidth="true" hidden="false" outlineLevel="0" max="14" min="14" style="0" width="32"/>
    <col collapsed="false" customWidth="true" hidden="false" outlineLevel="0" max="15" min="15" style="0" width="20"/>
    <col collapsed="false" customWidth="true" hidden="false" outlineLevel="0" max="17" min="16" style="0" width="12"/>
    <col collapsed="false" customWidth="true" hidden="false" outlineLevel="0" max="18" min="18" style="0" width="11"/>
    <col collapsed="false" customWidth="true" hidden="false" outlineLevel="0" max="19" min="19" style="0" width="32"/>
    <col collapsed="false" customWidth="true" hidden="false" outlineLevel="0" max="20" min="20" style="0" width="10"/>
    <col collapsed="false" customWidth="true" hidden="false" outlineLevel="0" max="23" min="21" style="0" width="36"/>
    <col collapsed="false" customWidth="true" hidden="false" outlineLevel="0" max="24" min="24" style="0" width="18"/>
    <col collapsed="false" customWidth="true" hidden="false" outlineLevel="0" max="25" min="25" style="0" width="26"/>
    <col collapsed="false" customWidth="true" hidden="false" outlineLevel="0" max="26" min="26" style="0" width="36"/>
    <col collapsed="false" customWidth="true" hidden="false" outlineLevel="0" max="27" min="27" style="0" width="34"/>
    <col collapsed="false" customWidth="true" hidden="false" outlineLevel="0" max="29" min="28" style="0" width="16"/>
    <col collapsed="false" customWidth="true" hidden="false" outlineLevel="0" max="30" min="30" style="0" width="26"/>
    <col collapsed="false" customWidth="true" hidden="false" outlineLevel="0" max="31" min="31" style="0" width="11"/>
    <col collapsed="false" customWidth="true" hidden="false" outlineLevel="0" max="32" min="32" style="0" width="24"/>
    <col collapsed="false" customWidth="true" hidden="false" outlineLevel="0" max="33" min="33" style="0" width="10"/>
    <col collapsed="false" customWidth="true" hidden="false" outlineLevel="0" max="34" min="34" style="0" width="16"/>
    <col collapsed="false" customWidth="true" hidden="false" outlineLevel="0" max="35" min="35" style="0" width="48"/>
    <col collapsed="false" customWidth="true" hidden="false" outlineLevel="0" max="36" min="36" style="0" width="50"/>
    <col collapsed="false" customWidth="true" hidden="false" outlineLevel="0" max="37" min="37" style="0" width="10"/>
    <col collapsed="false" customWidth="true" hidden="false" outlineLevel="0" max="38" min="38" style="0" width="32"/>
    <col collapsed="false" customWidth="true" hidden="false" outlineLevel="0" max="39" min="39" style="0" width="60"/>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row>
    <row r="2" customFormat="false" ht="605.95" hidden="false" customHeight="false" outlineLevel="0" collapsed="false">
      <c r="A2" s="2" t="n">
        <v>1</v>
      </c>
      <c r="B2" s="2" t="s">
        <v>39</v>
      </c>
      <c r="C2" s="2" t="s">
        <v>40</v>
      </c>
      <c r="D2" s="2" t="s">
        <v>41</v>
      </c>
      <c r="E2" s="2" t="s">
        <v>42</v>
      </c>
      <c r="F2" s="2"/>
      <c r="G2" s="2" t="s">
        <v>43</v>
      </c>
      <c r="H2" s="2" t="n">
        <v>1956</v>
      </c>
      <c r="I2" s="2" t="s">
        <v>44</v>
      </c>
      <c r="J2" s="2" t="s">
        <v>45</v>
      </c>
      <c r="K2" s="3" t="n">
        <v>125000</v>
      </c>
      <c r="L2" s="2" t="n">
        <v>2025</v>
      </c>
      <c r="M2" s="2" t="s">
        <v>46</v>
      </c>
      <c r="N2" s="2" t="s">
        <v>47</v>
      </c>
      <c r="O2" s="2" t="s">
        <v>48</v>
      </c>
      <c r="P2" s="3" t="n">
        <v>44560</v>
      </c>
      <c r="Q2" s="2" t="s">
        <v>49</v>
      </c>
      <c r="R2" s="2" t="s">
        <v>46</v>
      </c>
      <c r="S2" s="2" t="s">
        <v>50</v>
      </c>
      <c r="T2" s="2" t="s">
        <v>51</v>
      </c>
      <c r="U2" s="2" t="s">
        <v>52</v>
      </c>
      <c r="V2" s="2" t="s">
        <v>53</v>
      </c>
      <c r="W2" s="2" t="s">
        <v>54</v>
      </c>
      <c r="X2" s="2" t="s">
        <v>55</v>
      </c>
      <c r="Y2" s="2"/>
      <c r="Z2" s="2"/>
      <c r="AA2" s="2"/>
      <c r="AB2" s="2" t="s">
        <v>56</v>
      </c>
      <c r="AC2" s="2" t="s">
        <v>57</v>
      </c>
      <c r="AD2" s="2" t="s">
        <v>58</v>
      </c>
      <c r="AE2" s="2" t="s">
        <v>59</v>
      </c>
      <c r="AF2" s="2" t="s">
        <v>60</v>
      </c>
      <c r="AG2" s="2"/>
      <c r="AH2" s="2"/>
      <c r="AI2" s="2" t="s">
        <v>61</v>
      </c>
      <c r="AJ2" s="2" t="s">
        <v>62</v>
      </c>
      <c r="AK2" s="2" t="s">
        <v>63</v>
      </c>
      <c r="AL2" s="2" t="s">
        <v>64</v>
      </c>
      <c r="AM2" s="2" t="s">
        <v>65</v>
      </c>
    </row>
    <row r="3" customFormat="false" ht="158.2" hidden="false" customHeight="false" outlineLevel="0" collapsed="false">
      <c r="A3" s="2" t="n">
        <v>2</v>
      </c>
      <c r="B3" s="2" t="s">
        <v>66</v>
      </c>
      <c r="C3" s="2" t="s">
        <v>67</v>
      </c>
      <c r="D3" s="2" t="s">
        <v>68</v>
      </c>
      <c r="E3" s="2" t="s">
        <v>42</v>
      </c>
      <c r="F3" s="2"/>
      <c r="G3" s="2" t="s">
        <v>69</v>
      </c>
      <c r="H3" s="2" t="n">
        <v>1999</v>
      </c>
      <c r="I3" s="2" t="s">
        <v>70</v>
      </c>
      <c r="J3" s="2" t="s">
        <v>45</v>
      </c>
      <c r="K3" s="3" t="n">
        <v>18100</v>
      </c>
      <c r="L3" s="2" t="n">
        <v>2025</v>
      </c>
      <c r="M3" s="2" t="s">
        <v>46</v>
      </c>
      <c r="N3" s="2" t="s">
        <v>71</v>
      </c>
      <c r="O3" s="2" t="s">
        <v>72</v>
      </c>
      <c r="P3" s="3" t="n">
        <v>6950</v>
      </c>
      <c r="Q3" s="2" t="s">
        <v>73</v>
      </c>
      <c r="R3" s="2" t="s">
        <v>46</v>
      </c>
      <c r="S3" s="2" t="s">
        <v>74</v>
      </c>
      <c r="T3" s="2" t="s">
        <v>51</v>
      </c>
      <c r="U3" s="2" t="s">
        <v>75</v>
      </c>
      <c r="V3" s="2" t="s">
        <v>76</v>
      </c>
      <c r="W3" s="2" t="s">
        <v>77</v>
      </c>
      <c r="X3" s="2" t="s">
        <v>78</v>
      </c>
      <c r="Y3" s="2" t="s">
        <v>79</v>
      </c>
      <c r="Z3" s="2" t="s">
        <v>80</v>
      </c>
      <c r="AA3" s="2"/>
      <c r="AB3" s="2" t="s">
        <v>81</v>
      </c>
      <c r="AC3" s="2" t="s">
        <v>82</v>
      </c>
      <c r="AD3" s="2" t="s">
        <v>83</v>
      </c>
      <c r="AE3" s="2" t="s">
        <v>59</v>
      </c>
      <c r="AF3" s="2" t="s">
        <v>60</v>
      </c>
      <c r="AG3" s="2"/>
      <c r="AH3" s="2"/>
      <c r="AI3" s="2" t="s">
        <v>84</v>
      </c>
      <c r="AJ3" s="2" t="s">
        <v>85</v>
      </c>
      <c r="AK3" s="2" t="s">
        <v>63</v>
      </c>
      <c r="AL3" s="2" t="s">
        <v>86</v>
      </c>
      <c r="AM3" s="2" t="s">
        <v>87</v>
      </c>
    </row>
    <row r="4" customFormat="false" ht="258.95" hidden="false" customHeight="false" outlineLevel="0" collapsed="false">
      <c r="A4" s="2" t="n">
        <v>3</v>
      </c>
      <c r="B4" s="2" t="s">
        <v>88</v>
      </c>
      <c r="C4" s="2" t="s">
        <v>89</v>
      </c>
      <c r="D4" s="2" t="s">
        <v>90</v>
      </c>
      <c r="E4" s="2" t="s">
        <v>91</v>
      </c>
      <c r="F4" s="2" t="s">
        <v>92</v>
      </c>
      <c r="G4" s="2" t="s">
        <v>93</v>
      </c>
      <c r="H4" s="2" t="n">
        <v>1668</v>
      </c>
      <c r="I4" s="2" t="s">
        <v>94</v>
      </c>
      <c r="J4" s="2" t="s">
        <v>95</v>
      </c>
      <c r="K4" s="3" t="n">
        <v>62461</v>
      </c>
      <c r="L4" s="2" t="n">
        <v>2025</v>
      </c>
      <c r="M4" s="2" t="s">
        <v>96</v>
      </c>
      <c r="N4" s="2" t="s">
        <v>97</v>
      </c>
      <c r="O4" s="2" t="s">
        <v>98</v>
      </c>
      <c r="P4" s="3" t="n">
        <v>9900</v>
      </c>
      <c r="Q4" s="2" t="s">
        <v>49</v>
      </c>
      <c r="R4" s="2" t="s">
        <v>99</v>
      </c>
      <c r="S4" s="2" t="s">
        <v>100</v>
      </c>
      <c r="T4" s="2" t="s">
        <v>51</v>
      </c>
      <c r="U4" s="2" t="s">
        <v>101</v>
      </c>
      <c r="V4" s="2" t="s">
        <v>102</v>
      </c>
      <c r="W4" s="2" t="s">
        <v>103</v>
      </c>
      <c r="X4" s="2" t="s">
        <v>104</v>
      </c>
      <c r="Y4" s="2" t="s">
        <v>105</v>
      </c>
      <c r="Z4" s="2" t="s">
        <v>106</v>
      </c>
      <c r="AA4" s="2" t="s">
        <v>107</v>
      </c>
      <c r="AB4" s="2" t="s">
        <v>108</v>
      </c>
      <c r="AC4" s="2" t="s">
        <v>57</v>
      </c>
      <c r="AD4" s="2" t="s">
        <v>58</v>
      </c>
      <c r="AE4" s="2" t="s">
        <v>109</v>
      </c>
      <c r="AF4" s="2" t="s">
        <v>110</v>
      </c>
      <c r="AG4" s="2"/>
      <c r="AH4" s="2"/>
      <c r="AI4" s="2" t="s">
        <v>111</v>
      </c>
      <c r="AJ4" s="2" t="s">
        <v>112</v>
      </c>
      <c r="AK4" s="2" t="s">
        <v>113</v>
      </c>
      <c r="AL4" s="2" t="s">
        <v>114</v>
      </c>
      <c r="AM4" s="2" t="s">
        <v>115</v>
      </c>
    </row>
    <row r="5" customFormat="false" ht="258.95" hidden="false" customHeight="false" outlineLevel="0" collapsed="false">
      <c r="A5" s="2" t="n">
        <v>4</v>
      </c>
      <c r="B5" s="2" t="s">
        <v>116</v>
      </c>
      <c r="C5" s="2" t="s">
        <v>117</v>
      </c>
      <c r="D5" s="2" t="s">
        <v>118</v>
      </c>
      <c r="E5" s="2" t="s">
        <v>42</v>
      </c>
      <c r="F5" s="2"/>
      <c r="G5" s="2" t="s">
        <v>119</v>
      </c>
      <c r="H5" s="2" t="n">
        <v>1958</v>
      </c>
      <c r="I5" s="2" t="s">
        <v>120</v>
      </c>
      <c r="J5" s="2" t="s">
        <v>121</v>
      </c>
      <c r="K5" s="3" t="n">
        <v>7900</v>
      </c>
      <c r="L5" s="2" t="n">
        <v>2025</v>
      </c>
      <c r="M5" s="2" t="s">
        <v>46</v>
      </c>
      <c r="N5" s="2" t="s">
        <v>122</v>
      </c>
      <c r="O5" s="2" t="s">
        <v>123</v>
      </c>
      <c r="P5" s="3" t="n">
        <v>3165</v>
      </c>
      <c r="Q5" s="2" t="s">
        <v>49</v>
      </c>
      <c r="R5" s="2" t="s">
        <v>46</v>
      </c>
      <c r="S5" s="2" t="s">
        <v>124</v>
      </c>
      <c r="T5" s="2" t="s">
        <v>51</v>
      </c>
      <c r="U5" s="2" t="s">
        <v>125</v>
      </c>
      <c r="V5" s="2" t="s">
        <v>126</v>
      </c>
      <c r="W5" s="2" t="s">
        <v>127</v>
      </c>
      <c r="X5" s="2" t="s">
        <v>128</v>
      </c>
      <c r="Y5" s="2"/>
      <c r="Z5" s="2" t="s">
        <v>129</v>
      </c>
      <c r="AA5" s="2"/>
      <c r="AB5" s="2" t="s">
        <v>130</v>
      </c>
      <c r="AC5" s="2" t="s">
        <v>57</v>
      </c>
      <c r="AD5" s="2" t="s">
        <v>58</v>
      </c>
      <c r="AE5" s="2" t="s">
        <v>109</v>
      </c>
      <c r="AF5" s="2" t="s">
        <v>110</v>
      </c>
      <c r="AG5" s="2"/>
      <c r="AH5" s="2"/>
      <c r="AI5" s="2" t="s">
        <v>131</v>
      </c>
      <c r="AJ5" s="2" t="s">
        <v>132</v>
      </c>
      <c r="AK5" s="2" t="s">
        <v>63</v>
      </c>
      <c r="AL5" s="2"/>
      <c r="AM5" s="2" t="s">
        <v>133</v>
      </c>
    </row>
    <row r="6" customFormat="false" ht="382.05" hidden="false" customHeight="false" outlineLevel="0" collapsed="false">
      <c r="A6" s="2" t="n">
        <v>5</v>
      </c>
      <c r="B6" s="2" t="s">
        <v>134</v>
      </c>
      <c r="C6" s="2" t="s">
        <v>135</v>
      </c>
      <c r="D6" s="2" t="s">
        <v>136</v>
      </c>
      <c r="E6" s="2" t="s">
        <v>42</v>
      </c>
      <c r="F6" s="2"/>
      <c r="G6" s="2" t="s">
        <v>137</v>
      </c>
      <c r="H6" s="2" t="n">
        <v>1960</v>
      </c>
      <c r="I6" s="2" t="s">
        <v>138</v>
      </c>
      <c r="J6" s="2" t="s">
        <v>45</v>
      </c>
      <c r="K6" s="3" t="n">
        <v>11085</v>
      </c>
      <c r="L6" s="2" t="n">
        <v>2025</v>
      </c>
      <c r="M6" s="2" t="s">
        <v>46</v>
      </c>
      <c r="N6" s="2" t="s">
        <v>139</v>
      </c>
      <c r="O6" s="2" t="s">
        <v>140</v>
      </c>
      <c r="P6" s="3" t="n">
        <v>3440</v>
      </c>
      <c r="Q6" s="2" t="s">
        <v>49</v>
      </c>
      <c r="R6" s="2" t="s">
        <v>46</v>
      </c>
      <c r="S6" s="2" t="s">
        <v>141</v>
      </c>
      <c r="T6" s="2" t="s">
        <v>51</v>
      </c>
      <c r="U6" s="2" t="s">
        <v>142</v>
      </c>
      <c r="V6" s="2" t="s">
        <v>143</v>
      </c>
      <c r="W6" s="2" t="s">
        <v>144</v>
      </c>
      <c r="X6" s="2" t="s">
        <v>145</v>
      </c>
      <c r="Y6" s="2" t="s">
        <v>146</v>
      </c>
      <c r="Z6" s="2" t="s">
        <v>147</v>
      </c>
      <c r="AA6" s="2" t="s">
        <v>148</v>
      </c>
      <c r="AB6" s="2" t="s">
        <v>149</v>
      </c>
      <c r="AC6" s="2" t="s">
        <v>57</v>
      </c>
      <c r="AD6" s="2" t="s">
        <v>58</v>
      </c>
      <c r="AE6" s="2" t="s">
        <v>109</v>
      </c>
      <c r="AF6" s="2" t="s">
        <v>110</v>
      </c>
      <c r="AG6" s="2"/>
      <c r="AH6" s="2"/>
      <c r="AI6" s="2" t="s">
        <v>150</v>
      </c>
      <c r="AJ6" s="2" t="s">
        <v>151</v>
      </c>
      <c r="AK6" s="2" t="s">
        <v>113</v>
      </c>
      <c r="AL6" s="2" t="s">
        <v>152</v>
      </c>
      <c r="AM6" s="2" t="s">
        <v>153</v>
      </c>
    </row>
    <row r="7" customFormat="false" ht="258.95" hidden="false" customHeight="false" outlineLevel="0" collapsed="false">
      <c r="A7" s="2" t="n">
        <v>6</v>
      </c>
      <c r="B7" s="2" t="s">
        <v>154</v>
      </c>
      <c r="C7" s="2" t="s">
        <v>155</v>
      </c>
      <c r="D7" s="2" t="s">
        <v>156</v>
      </c>
      <c r="E7" s="2" t="s">
        <v>157</v>
      </c>
      <c r="F7" s="2"/>
      <c r="G7" s="2" t="s">
        <v>158</v>
      </c>
      <c r="H7" s="2" t="n">
        <v>1875</v>
      </c>
      <c r="I7" s="2" t="s">
        <v>159</v>
      </c>
      <c r="J7" s="2" t="s">
        <v>121</v>
      </c>
      <c r="K7" s="3" t="n">
        <v>14600</v>
      </c>
      <c r="L7" s="2" t="n">
        <v>2025</v>
      </c>
      <c r="M7" s="2" t="s">
        <v>46</v>
      </c>
      <c r="N7" s="2" t="s">
        <v>160</v>
      </c>
      <c r="O7" s="2" t="s">
        <v>161</v>
      </c>
      <c r="P7" s="3" t="n">
        <v>3757</v>
      </c>
      <c r="Q7" s="2" t="s">
        <v>162</v>
      </c>
      <c r="R7" s="2" t="s">
        <v>46</v>
      </c>
      <c r="S7" s="2" t="s">
        <v>163</v>
      </c>
      <c r="T7" s="2" t="s">
        <v>51</v>
      </c>
      <c r="U7" s="2" t="s">
        <v>164</v>
      </c>
      <c r="V7" s="2" t="s">
        <v>165</v>
      </c>
      <c r="W7" s="2" t="s">
        <v>166</v>
      </c>
      <c r="X7" s="2" t="s">
        <v>167</v>
      </c>
      <c r="Y7" s="2"/>
      <c r="Z7" s="2" t="s">
        <v>168</v>
      </c>
      <c r="AA7" s="2"/>
      <c r="AB7" s="2" t="s">
        <v>169</v>
      </c>
      <c r="AC7" s="2" t="s">
        <v>82</v>
      </c>
      <c r="AD7" s="2" t="s">
        <v>83</v>
      </c>
      <c r="AE7" s="2" t="s">
        <v>59</v>
      </c>
      <c r="AF7" s="2" t="s">
        <v>60</v>
      </c>
      <c r="AG7" s="2"/>
      <c r="AH7" s="2"/>
      <c r="AI7" s="2" t="s">
        <v>170</v>
      </c>
      <c r="AJ7" s="2" t="s">
        <v>171</v>
      </c>
      <c r="AK7" s="2" t="s">
        <v>63</v>
      </c>
      <c r="AL7" s="2" t="s">
        <v>172</v>
      </c>
      <c r="AM7" s="2" t="s">
        <v>173</v>
      </c>
    </row>
    <row r="8" customFormat="false" ht="270.1" hidden="false" customHeight="false" outlineLevel="0" collapsed="false">
      <c r="A8" s="2" t="n">
        <v>7</v>
      </c>
      <c r="B8" s="2" t="s">
        <v>174</v>
      </c>
      <c r="C8" s="2" t="s">
        <v>175</v>
      </c>
      <c r="D8" s="2" t="s">
        <v>176</v>
      </c>
      <c r="E8" s="2" t="s">
        <v>42</v>
      </c>
      <c r="F8" s="2"/>
      <c r="G8" s="2" t="s">
        <v>177</v>
      </c>
      <c r="H8" s="2" t="n">
        <v>1945</v>
      </c>
      <c r="I8" s="2" t="s">
        <v>178</v>
      </c>
      <c r="J8" s="2" t="s">
        <v>179</v>
      </c>
      <c r="K8" s="3" t="n">
        <v>18100</v>
      </c>
      <c r="L8" s="2" t="n">
        <v>2025</v>
      </c>
      <c r="M8" s="2" t="s">
        <v>46</v>
      </c>
      <c r="N8" s="2" t="s">
        <v>180</v>
      </c>
      <c r="O8" s="2" t="s">
        <v>181</v>
      </c>
      <c r="P8" s="3" t="n">
        <v>4026</v>
      </c>
      <c r="Q8" s="2" t="s">
        <v>49</v>
      </c>
      <c r="R8" s="2" t="s">
        <v>46</v>
      </c>
      <c r="S8" s="2" t="s">
        <v>182</v>
      </c>
      <c r="T8" s="2" t="s">
        <v>51</v>
      </c>
      <c r="U8" s="2" t="s">
        <v>183</v>
      </c>
      <c r="V8" s="2" t="s">
        <v>184</v>
      </c>
      <c r="W8" s="2" t="s">
        <v>185</v>
      </c>
      <c r="X8" s="2" t="s">
        <v>186</v>
      </c>
      <c r="Y8" s="2"/>
      <c r="Z8" s="2" t="s">
        <v>187</v>
      </c>
      <c r="AA8" s="2"/>
      <c r="AB8" s="2" t="s">
        <v>188</v>
      </c>
      <c r="AC8" s="2" t="s">
        <v>82</v>
      </c>
      <c r="AD8" s="2" t="s">
        <v>83</v>
      </c>
      <c r="AE8" s="2" t="s">
        <v>59</v>
      </c>
      <c r="AF8" s="2" t="s">
        <v>60</v>
      </c>
      <c r="AG8" s="2"/>
      <c r="AH8" s="2"/>
      <c r="AI8" s="2" t="s">
        <v>189</v>
      </c>
      <c r="AJ8" s="2" t="s">
        <v>190</v>
      </c>
      <c r="AK8" s="2" t="s">
        <v>113</v>
      </c>
      <c r="AL8" s="2" t="s">
        <v>191</v>
      </c>
      <c r="AM8" s="2" t="s">
        <v>192</v>
      </c>
    </row>
    <row r="9" customFormat="false" ht="258.95" hidden="false" customHeight="false" outlineLevel="0" collapsed="false">
      <c r="A9" s="2" t="n">
        <v>8</v>
      </c>
      <c r="B9" s="2" t="s">
        <v>193</v>
      </c>
      <c r="C9" s="2" t="s">
        <v>194</v>
      </c>
      <c r="D9" s="2" t="s">
        <v>195</v>
      </c>
      <c r="E9" s="2" t="s">
        <v>91</v>
      </c>
      <c r="F9" s="2"/>
      <c r="G9" s="2" t="s">
        <v>196</v>
      </c>
      <c r="H9" s="2" t="n">
        <v>1870</v>
      </c>
      <c r="I9" s="2" t="s">
        <v>197</v>
      </c>
      <c r="J9" s="2" t="s">
        <v>198</v>
      </c>
      <c r="K9" s="3" t="n">
        <v>14042</v>
      </c>
      <c r="L9" s="2" t="n">
        <v>2025</v>
      </c>
      <c r="M9" s="2" t="s">
        <v>46</v>
      </c>
      <c r="N9" s="2" t="s">
        <v>199</v>
      </c>
      <c r="O9" s="2" t="s">
        <v>200</v>
      </c>
      <c r="P9" s="3" t="n">
        <v>3892</v>
      </c>
      <c r="Q9" s="2" t="s">
        <v>49</v>
      </c>
      <c r="R9" s="2" t="s">
        <v>46</v>
      </c>
      <c r="S9" s="2" t="s">
        <v>201</v>
      </c>
      <c r="T9" s="2" t="s">
        <v>51</v>
      </c>
      <c r="U9" s="2" t="s">
        <v>202</v>
      </c>
      <c r="V9" s="2" t="s">
        <v>203</v>
      </c>
      <c r="W9" s="2" t="s">
        <v>204</v>
      </c>
      <c r="X9" s="2" t="s">
        <v>205</v>
      </c>
      <c r="Y9" s="2"/>
      <c r="Z9" s="2" t="s">
        <v>206</v>
      </c>
      <c r="AA9" s="2" t="s">
        <v>207</v>
      </c>
      <c r="AB9" s="2" t="s">
        <v>208</v>
      </c>
      <c r="AC9" s="2" t="s">
        <v>57</v>
      </c>
      <c r="AD9" s="2" t="s">
        <v>58</v>
      </c>
      <c r="AE9" s="2" t="s">
        <v>59</v>
      </c>
      <c r="AF9" s="2" t="s">
        <v>60</v>
      </c>
      <c r="AG9" s="2"/>
      <c r="AH9" s="2"/>
      <c r="AI9" s="2" t="s">
        <v>209</v>
      </c>
      <c r="AJ9" s="2" t="s">
        <v>210</v>
      </c>
      <c r="AK9" s="2" t="s">
        <v>113</v>
      </c>
      <c r="AL9" s="2" t="s">
        <v>211</v>
      </c>
      <c r="AM9" s="2" t="s">
        <v>212</v>
      </c>
    </row>
    <row r="10" customFormat="false" ht="258.95" hidden="false" customHeight="false" outlineLevel="0" collapsed="false">
      <c r="A10" s="2" t="n">
        <v>9</v>
      </c>
      <c r="B10" s="2" t="s">
        <v>213</v>
      </c>
      <c r="C10" s="2" t="s">
        <v>214</v>
      </c>
      <c r="D10" s="2" t="s">
        <v>41</v>
      </c>
      <c r="E10" s="2" t="s">
        <v>42</v>
      </c>
      <c r="F10" s="2"/>
      <c r="G10" s="2" t="s">
        <v>215</v>
      </c>
      <c r="H10" s="2" t="n">
        <v>1937</v>
      </c>
      <c r="I10" s="2" t="s">
        <v>216</v>
      </c>
      <c r="J10" s="2" t="s">
        <v>95</v>
      </c>
      <c r="K10" s="3" t="n">
        <v>11000</v>
      </c>
      <c r="L10" s="2" t="n">
        <v>2025</v>
      </c>
      <c r="M10" s="2" t="s">
        <v>46</v>
      </c>
      <c r="N10" s="2" t="s">
        <v>217</v>
      </c>
      <c r="O10" s="2" t="s">
        <v>218</v>
      </c>
      <c r="P10" s="3" t="n">
        <v>2856</v>
      </c>
      <c r="Q10" s="2" t="s">
        <v>49</v>
      </c>
      <c r="R10" s="2" t="s">
        <v>46</v>
      </c>
      <c r="S10" s="2" t="s">
        <v>219</v>
      </c>
      <c r="T10" s="2" t="s">
        <v>51</v>
      </c>
      <c r="U10" s="2" t="s">
        <v>220</v>
      </c>
      <c r="V10" s="2" t="s">
        <v>221</v>
      </c>
      <c r="W10" s="2" t="s">
        <v>222</v>
      </c>
      <c r="X10" s="2" t="s">
        <v>223</v>
      </c>
      <c r="Y10" s="2"/>
      <c r="Z10" s="2" t="s">
        <v>224</v>
      </c>
      <c r="AA10" s="2"/>
      <c r="AB10" s="2" t="s">
        <v>225</v>
      </c>
      <c r="AC10" s="2" t="s">
        <v>82</v>
      </c>
      <c r="AD10" s="2" t="s">
        <v>83</v>
      </c>
      <c r="AE10" s="2" t="s">
        <v>59</v>
      </c>
      <c r="AF10" s="2" t="s">
        <v>60</v>
      </c>
      <c r="AG10" s="2"/>
      <c r="AH10" s="2"/>
      <c r="AI10" s="2" t="s">
        <v>226</v>
      </c>
      <c r="AJ10" s="2" t="s">
        <v>227</v>
      </c>
      <c r="AK10" s="2" t="s">
        <v>63</v>
      </c>
      <c r="AL10" s="2" t="s">
        <v>228</v>
      </c>
      <c r="AM10" s="2" t="s">
        <v>229</v>
      </c>
    </row>
    <row r="11" customFormat="false" ht="225.35" hidden="false" customHeight="false" outlineLevel="0" collapsed="false">
      <c r="A11" s="2" t="n">
        <v>10</v>
      </c>
      <c r="B11" s="2" t="s">
        <v>230</v>
      </c>
      <c r="C11" s="2" t="s">
        <v>231</v>
      </c>
      <c r="D11" s="2" t="s">
        <v>232</v>
      </c>
      <c r="E11" s="2" t="s">
        <v>42</v>
      </c>
      <c r="F11" s="2" t="s">
        <v>233</v>
      </c>
      <c r="G11" s="2" t="s">
        <v>234</v>
      </c>
      <c r="H11" s="2" t="n">
        <v>1937</v>
      </c>
      <c r="I11" s="2" t="s">
        <v>235</v>
      </c>
      <c r="J11" s="2" t="s">
        <v>121</v>
      </c>
      <c r="K11" s="3" t="n">
        <v>6000</v>
      </c>
      <c r="L11" s="2" t="n">
        <v>2022</v>
      </c>
      <c r="M11" s="2" t="s">
        <v>46</v>
      </c>
      <c r="N11" s="2" t="s">
        <v>236</v>
      </c>
      <c r="O11" s="2" t="s">
        <v>237</v>
      </c>
      <c r="P11" s="3" t="n">
        <v>1300</v>
      </c>
      <c r="Q11" s="2" t="s">
        <v>238</v>
      </c>
      <c r="R11" s="2" t="s">
        <v>239</v>
      </c>
      <c r="S11" s="2" t="s">
        <v>240</v>
      </c>
      <c r="T11" s="2" t="s">
        <v>241</v>
      </c>
      <c r="U11" s="2" t="s">
        <v>242</v>
      </c>
      <c r="V11" s="2" t="s">
        <v>243</v>
      </c>
      <c r="W11" s="2" t="s">
        <v>244</v>
      </c>
      <c r="X11" s="2" t="s">
        <v>245</v>
      </c>
      <c r="Y11" s="2" t="s">
        <v>246</v>
      </c>
      <c r="Z11" s="2"/>
      <c r="AA11" s="2"/>
      <c r="AB11" s="2" t="s">
        <v>247</v>
      </c>
      <c r="AC11" s="2" t="s">
        <v>57</v>
      </c>
      <c r="AD11" s="2" t="s">
        <v>58</v>
      </c>
      <c r="AE11" s="2" t="s">
        <v>59</v>
      </c>
      <c r="AF11" s="2" t="s">
        <v>60</v>
      </c>
      <c r="AG11" s="2"/>
      <c r="AH11" s="2"/>
      <c r="AI11" s="2" t="s">
        <v>248</v>
      </c>
      <c r="AJ11" s="2" t="s">
        <v>249</v>
      </c>
      <c r="AK11" s="2" t="s">
        <v>113</v>
      </c>
      <c r="AL11" s="2" t="s">
        <v>250</v>
      </c>
      <c r="AM11" s="2" t="s">
        <v>251</v>
      </c>
    </row>
    <row r="12" customFormat="false" ht="270.1" hidden="false" customHeight="false" outlineLevel="0" collapsed="false">
      <c r="A12" s="2" t="n">
        <v>11</v>
      </c>
      <c r="B12" s="2" t="s">
        <v>252</v>
      </c>
      <c r="C12" s="2" t="s">
        <v>253</v>
      </c>
      <c r="D12" s="2" t="s">
        <v>254</v>
      </c>
      <c r="E12" s="2" t="s">
        <v>42</v>
      </c>
      <c r="F12" s="2"/>
      <c r="G12" s="2" t="s">
        <v>255</v>
      </c>
      <c r="H12" s="2" t="n">
        <v>1952</v>
      </c>
      <c r="I12" s="2" t="s">
        <v>256</v>
      </c>
      <c r="J12" s="2" t="s">
        <v>95</v>
      </c>
      <c r="K12" s="3" t="n">
        <v>7450</v>
      </c>
      <c r="L12" s="2" t="n">
        <v>2025</v>
      </c>
      <c r="M12" s="2" t="s">
        <v>46</v>
      </c>
      <c r="N12" s="2" t="s">
        <v>257</v>
      </c>
      <c r="O12" s="2" t="s">
        <v>258</v>
      </c>
      <c r="P12" s="3" t="n">
        <v>2580</v>
      </c>
      <c r="Q12" s="2" t="s">
        <v>49</v>
      </c>
      <c r="R12" s="2" t="s">
        <v>46</v>
      </c>
      <c r="S12" s="2" t="s">
        <v>259</v>
      </c>
      <c r="T12" s="2" t="s">
        <v>241</v>
      </c>
      <c r="U12" s="2" t="s">
        <v>260</v>
      </c>
      <c r="V12" s="2" t="s">
        <v>261</v>
      </c>
      <c r="W12" s="2" t="s">
        <v>262</v>
      </c>
      <c r="X12" s="2"/>
      <c r="Y12" s="2"/>
      <c r="Z12" s="2" t="s">
        <v>263</v>
      </c>
      <c r="AA12" s="2" t="s">
        <v>264</v>
      </c>
      <c r="AB12" s="2" t="s">
        <v>265</v>
      </c>
      <c r="AC12" s="2" t="s">
        <v>57</v>
      </c>
      <c r="AD12" s="2" t="s">
        <v>58</v>
      </c>
      <c r="AE12" s="2" t="s">
        <v>59</v>
      </c>
      <c r="AF12" s="2" t="s">
        <v>60</v>
      </c>
      <c r="AG12" s="2"/>
      <c r="AH12" s="2"/>
      <c r="AI12" s="2" t="s">
        <v>266</v>
      </c>
      <c r="AJ12" s="2" t="s">
        <v>267</v>
      </c>
      <c r="AK12" s="2" t="s">
        <v>63</v>
      </c>
      <c r="AL12" s="2" t="s">
        <v>268</v>
      </c>
      <c r="AM12" s="2" t="s">
        <v>269</v>
      </c>
    </row>
    <row r="13" customFormat="false" ht="225.35" hidden="false" customHeight="false" outlineLevel="0" collapsed="false">
      <c r="A13" s="2" t="n">
        <v>12</v>
      </c>
      <c r="B13" s="2" t="s">
        <v>270</v>
      </c>
      <c r="C13" s="2" t="s">
        <v>271</v>
      </c>
      <c r="D13" s="2" t="s">
        <v>272</v>
      </c>
      <c r="E13" s="2" t="s">
        <v>42</v>
      </c>
      <c r="F13" s="2"/>
      <c r="G13" s="2" t="s">
        <v>273</v>
      </c>
      <c r="H13" s="2" t="n">
        <v>1904</v>
      </c>
      <c r="I13" s="2" t="s">
        <v>274</v>
      </c>
      <c r="J13" s="2" t="s">
        <v>275</v>
      </c>
      <c r="K13" s="3" t="n">
        <v>13500</v>
      </c>
      <c r="L13" s="2" t="n">
        <v>2025</v>
      </c>
      <c r="M13" s="2" t="s">
        <v>46</v>
      </c>
      <c r="N13" s="2" t="s">
        <v>276</v>
      </c>
      <c r="O13" s="2" t="s">
        <v>277</v>
      </c>
      <c r="P13" s="3" t="n">
        <v>6552</v>
      </c>
      <c r="Q13" s="2" t="s">
        <v>49</v>
      </c>
      <c r="R13" s="2" t="s">
        <v>46</v>
      </c>
      <c r="S13" s="2" t="s">
        <v>278</v>
      </c>
      <c r="T13" s="2" t="s">
        <v>51</v>
      </c>
      <c r="U13" s="2" t="s">
        <v>279</v>
      </c>
      <c r="V13" s="2" t="s">
        <v>280</v>
      </c>
      <c r="W13" s="2" t="s">
        <v>281</v>
      </c>
      <c r="X13" s="2" t="s">
        <v>282</v>
      </c>
      <c r="Y13" s="2"/>
      <c r="Z13" s="2" t="s">
        <v>283</v>
      </c>
      <c r="AA13" s="2" t="s">
        <v>284</v>
      </c>
      <c r="AB13" s="2" t="s">
        <v>285</v>
      </c>
      <c r="AC13" s="2" t="s">
        <v>286</v>
      </c>
      <c r="AD13" s="2" t="s">
        <v>287</v>
      </c>
      <c r="AE13" s="2" t="s">
        <v>109</v>
      </c>
      <c r="AF13" s="2" t="s">
        <v>110</v>
      </c>
      <c r="AG13" s="2"/>
      <c r="AH13" s="2"/>
      <c r="AI13" s="2"/>
      <c r="AJ13" s="2" t="s">
        <v>288</v>
      </c>
      <c r="AK13" s="2" t="s">
        <v>289</v>
      </c>
      <c r="AL13" s="2" t="s">
        <v>290</v>
      </c>
      <c r="AM13" s="2" t="s">
        <v>291</v>
      </c>
    </row>
    <row r="14" customFormat="false" ht="281.3" hidden="false" customHeight="false" outlineLevel="0" collapsed="false">
      <c r="A14" s="2" t="n">
        <v>13</v>
      </c>
      <c r="B14" s="2" t="s">
        <v>292</v>
      </c>
      <c r="C14" s="2" t="s">
        <v>293</v>
      </c>
      <c r="D14" s="2" t="s">
        <v>294</v>
      </c>
      <c r="E14" s="2" t="s">
        <v>91</v>
      </c>
      <c r="F14" s="2"/>
      <c r="G14" s="2" t="s">
        <v>295</v>
      </c>
      <c r="H14" s="2" t="n">
        <v>1945</v>
      </c>
      <c r="I14" s="2" t="s">
        <v>296</v>
      </c>
      <c r="J14" s="2" t="s">
        <v>297</v>
      </c>
      <c r="K14" s="3" t="n">
        <v>4125</v>
      </c>
      <c r="L14" s="2" t="n">
        <v>2025</v>
      </c>
      <c r="M14" s="2" t="s">
        <v>46</v>
      </c>
      <c r="N14" s="2" t="s">
        <v>298</v>
      </c>
      <c r="O14" s="2" t="s">
        <v>299</v>
      </c>
      <c r="P14" s="3" t="n">
        <v>1016</v>
      </c>
      <c r="Q14" s="2" t="s">
        <v>49</v>
      </c>
      <c r="R14" s="2" t="s">
        <v>46</v>
      </c>
      <c r="S14" s="2" t="s">
        <v>300</v>
      </c>
      <c r="T14" s="2" t="s">
        <v>51</v>
      </c>
      <c r="U14" s="2" t="s">
        <v>301</v>
      </c>
      <c r="V14" s="2" t="s">
        <v>302</v>
      </c>
      <c r="W14" s="2" t="s">
        <v>303</v>
      </c>
      <c r="X14" s="2" t="s">
        <v>304</v>
      </c>
      <c r="Y14" s="2" t="s">
        <v>305</v>
      </c>
      <c r="Z14" s="2" t="s">
        <v>306</v>
      </c>
      <c r="AA14" s="2"/>
      <c r="AB14" s="2" t="s">
        <v>307</v>
      </c>
      <c r="AC14" s="2" t="s">
        <v>82</v>
      </c>
      <c r="AD14" s="2" t="s">
        <v>83</v>
      </c>
      <c r="AE14" s="2" t="s">
        <v>59</v>
      </c>
      <c r="AF14" s="2" t="s">
        <v>60</v>
      </c>
      <c r="AG14" s="2"/>
      <c r="AH14" s="2"/>
      <c r="AI14" s="2" t="s">
        <v>308</v>
      </c>
      <c r="AJ14" s="2" t="s">
        <v>309</v>
      </c>
      <c r="AK14" s="2" t="s">
        <v>63</v>
      </c>
      <c r="AL14" s="2" t="s">
        <v>310</v>
      </c>
      <c r="AM14" s="2" t="s">
        <v>311</v>
      </c>
    </row>
    <row r="15" customFormat="false" ht="292.5" hidden="false" customHeight="false" outlineLevel="0" collapsed="false">
      <c r="A15" s="2" t="n">
        <v>14</v>
      </c>
      <c r="B15" s="2" t="s">
        <v>312</v>
      </c>
      <c r="C15" s="2" t="s">
        <v>313</v>
      </c>
      <c r="D15" s="2" t="s">
        <v>314</v>
      </c>
      <c r="E15" s="2" t="s">
        <v>315</v>
      </c>
      <c r="F15" s="2"/>
      <c r="G15" s="2" t="s">
        <v>316</v>
      </c>
      <c r="H15" s="2" t="n">
        <v>1984</v>
      </c>
      <c r="I15" s="2" t="s">
        <v>317</v>
      </c>
      <c r="J15" s="2" t="s">
        <v>95</v>
      </c>
      <c r="K15" s="3" t="n">
        <v>5654</v>
      </c>
      <c r="L15" s="2" t="n">
        <v>2025</v>
      </c>
      <c r="M15" s="2" t="s">
        <v>46</v>
      </c>
      <c r="N15" s="2" t="s">
        <v>318</v>
      </c>
      <c r="O15" s="2" t="s">
        <v>319</v>
      </c>
      <c r="P15" s="3" t="n">
        <v>2090</v>
      </c>
      <c r="Q15" s="2" t="s">
        <v>49</v>
      </c>
      <c r="R15" s="2" t="s">
        <v>46</v>
      </c>
      <c r="S15" s="2" t="s">
        <v>320</v>
      </c>
      <c r="T15" s="2" t="s">
        <v>51</v>
      </c>
      <c r="U15" s="2" t="s">
        <v>321</v>
      </c>
      <c r="V15" s="2" t="s">
        <v>322</v>
      </c>
      <c r="W15" s="2" t="s">
        <v>323</v>
      </c>
      <c r="X15" s="2" t="s">
        <v>324</v>
      </c>
      <c r="Y15" s="2"/>
      <c r="Z15" s="2" t="s">
        <v>325</v>
      </c>
      <c r="AA15" s="2" t="s">
        <v>326</v>
      </c>
      <c r="AB15" s="2" t="s">
        <v>327</v>
      </c>
      <c r="AC15" s="2" t="s">
        <v>82</v>
      </c>
      <c r="AD15" s="2" t="s">
        <v>83</v>
      </c>
      <c r="AE15" s="2" t="s">
        <v>59</v>
      </c>
      <c r="AF15" s="2" t="s">
        <v>60</v>
      </c>
      <c r="AG15" s="2"/>
      <c r="AH15" s="2"/>
      <c r="AI15" s="2" t="s">
        <v>328</v>
      </c>
      <c r="AJ15" s="2" t="s">
        <v>329</v>
      </c>
      <c r="AK15" s="2" t="s">
        <v>63</v>
      </c>
      <c r="AL15" s="2" t="s">
        <v>330</v>
      </c>
      <c r="AM15" s="2" t="s">
        <v>331</v>
      </c>
    </row>
    <row r="16" customFormat="false" ht="270.1" hidden="false" customHeight="false" outlineLevel="0" collapsed="false">
      <c r="A16" s="2" t="n">
        <v>15</v>
      </c>
      <c r="B16" s="2" t="s">
        <v>332</v>
      </c>
      <c r="C16" s="2" t="s">
        <v>333</v>
      </c>
      <c r="D16" s="2" t="s">
        <v>334</v>
      </c>
      <c r="E16" s="2" t="s">
        <v>42</v>
      </c>
      <c r="F16" s="2"/>
      <c r="G16" s="2" t="s">
        <v>335</v>
      </c>
      <c r="H16" s="2" t="n">
        <v>1998</v>
      </c>
      <c r="I16" s="2" t="s">
        <v>336</v>
      </c>
      <c r="J16" s="2" t="s">
        <v>337</v>
      </c>
      <c r="K16" s="3" t="n">
        <v>8600</v>
      </c>
      <c r="L16" s="2" t="n">
        <v>2025</v>
      </c>
      <c r="M16" s="2" t="s">
        <v>46</v>
      </c>
      <c r="N16" s="2" t="s">
        <v>338</v>
      </c>
      <c r="O16" s="2" t="s">
        <v>339</v>
      </c>
      <c r="P16" s="3" t="n">
        <v>4343</v>
      </c>
      <c r="Q16" s="2" t="s">
        <v>49</v>
      </c>
      <c r="R16" s="2" t="s">
        <v>46</v>
      </c>
      <c r="S16" s="2" t="s">
        <v>340</v>
      </c>
      <c r="T16" s="2" t="s">
        <v>51</v>
      </c>
      <c r="U16" s="2" t="s">
        <v>341</v>
      </c>
      <c r="V16" s="2" t="s">
        <v>342</v>
      </c>
      <c r="W16" s="2" t="s">
        <v>343</v>
      </c>
      <c r="X16" s="2"/>
      <c r="Y16" s="2"/>
      <c r="Z16" s="2" t="s">
        <v>344</v>
      </c>
      <c r="AA16" s="2"/>
      <c r="AB16" s="2" t="s">
        <v>345</v>
      </c>
      <c r="AC16" s="2" t="s">
        <v>82</v>
      </c>
      <c r="AD16" s="2" t="s">
        <v>83</v>
      </c>
      <c r="AE16" s="2" t="s">
        <v>59</v>
      </c>
      <c r="AF16" s="2" t="s">
        <v>60</v>
      </c>
      <c r="AG16" s="2"/>
      <c r="AH16" s="2"/>
      <c r="AI16" s="2" t="s">
        <v>346</v>
      </c>
      <c r="AJ16" s="2" t="s">
        <v>347</v>
      </c>
      <c r="AK16" s="2" t="s">
        <v>63</v>
      </c>
      <c r="AL16" s="2" t="s">
        <v>348</v>
      </c>
      <c r="AM16" s="2" t="s">
        <v>349</v>
      </c>
    </row>
    <row r="17" customFormat="false" ht="303.7" hidden="false" customHeight="false" outlineLevel="0" collapsed="false">
      <c r="A17" s="2" t="n">
        <v>16</v>
      </c>
      <c r="B17" s="2" t="s">
        <v>350</v>
      </c>
      <c r="C17" s="2" t="s">
        <v>351</v>
      </c>
      <c r="D17" s="2" t="s">
        <v>352</v>
      </c>
      <c r="E17" s="2" t="s">
        <v>42</v>
      </c>
      <c r="F17" s="2" t="s">
        <v>353</v>
      </c>
      <c r="G17" s="2" t="s">
        <v>354</v>
      </c>
      <c r="H17" s="2" t="n">
        <v>1935</v>
      </c>
      <c r="I17" s="2" t="s">
        <v>355</v>
      </c>
      <c r="J17" s="2" t="s">
        <v>356</v>
      </c>
      <c r="K17" s="3" t="n">
        <v>12000</v>
      </c>
      <c r="L17" s="2" t="n">
        <v>2025</v>
      </c>
      <c r="M17" s="2" t="s">
        <v>239</v>
      </c>
      <c r="N17" s="2" t="s">
        <v>357</v>
      </c>
      <c r="O17" s="2" t="s">
        <v>358</v>
      </c>
      <c r="P17" s="3" t="n">
        <v>9900</v>
      </c>
      <c r="Q17" s="2" t="s">
        <v>49</v>
      </c>
      <c r="R17" s="2" t="s">
        <v>99</v>
      </c>
      <c r="S17" s="2" t="s">
        <v>359</v>
      </c>
      <c r="T17" s="2" t="s">
        <v>241</v>
      </c>
      <c r="U17" s="2" t="s">
        <v>360</v>
      </c>
      <c r="V17" s="2" t="s">
        <v>361</v>
      </c>
      <c r="W17" s="2" t="s">
        <v>362</v>
      </c>
      <c r="X17" s="2" t="s">
        <v>363</v>
      </c>
      <c r="Y17" s="2"/>
      <c r="Z17" s="2" t="s">
        <v>364</v>
      </c>
      <c r="AA17" s="2"/>
      <c r="AB17" s="2" t="s">
        <v>365</v>
      </c>
      <c r="AC17" s="2" t="s">
        <v>82</v>
      </c>
      <c r="AD17" s="2" t="s">
        <v>83</v>
      </c>
      <c r="AE17" s="2" t="s">
        <v>59</v>
      </c>
      <c r="AF17" s="2" t="s">
        <v>60</v>
      </c>
      <c r="AG17" s="2"/>
      <c r="AH17" s="2"/>
      <c r="AI17" s="2" t="s">
        <v>366</v>
      </c>
      <c r="AJ17" s="2" t="s">
        <v>367</v>
      </c>
      <c r="AK17" s="2" t="s">
        <v>63</v>
      </c>
      <c r="AL17" s="2" t="s">
        <v>368</v>
      </c>
      <c r="AM17" s="2" t="s">
        <v>369</v>
      </c>
    </row>
    <row r="18" customFormat="false" ht="247.75" hidden="false" customHeight="false" outlineLevel="0" collapsed="false">
      <c r="A18" s="2" t="n">
        <v>17</v>
      </c>
      <c r="B18" s="2" t="s">
        <v>370</v>
      </c>
      <c r="C18" s="2" t="s">
        <v>371</v>
      </c>
      <c r="D18" s="2" t="s">
        <v>372</v>
      </c>
      <c r="E18" s="2" t="s">
        <v>42</v>
      </c>
      <c r="F18" s="2" t="s">
        <v>353</v>
      </c>
      <c r="G18" s="2" t="s">
        <v>354</v>
      </c>
      <c r="H18" s="2" t="n">
        <v>2020</v>
      </c>
      <c r="I18" s="2" t="s">
        <v>373</v>
      </c>
      <c r="J18" s="2" t="s">
        <v>198</v>
      </c>
      <c r="K18" s="3" t="n">
        <v>16000</v>
      </c>
      <c r="L18" s="2" t="n">
        <v>2025</v>
      </c>
      <c r="M18" s="2" t="s">
        <v>239</v>
      </c>
      <c r="N18" s="2" t="s">
        <v>374</v>
      </c>
      <c r="O18" s="2" t="s">
        <v>375</v>
      </c>
      <c r="P18" s="3" t="n">
        <v>7300</v>
      </c>
      <c r="Q18" s="2" t="s">
        <v>49</v>
      </c>
      <c r="R18" s="2" t="s">
        <v>99</v>
      </c>
      <c r="S18" s="2" t="s">
        <v>376</v>
      </c>
      <c r="T18" s="2" t="s">
        <v>241</v>
      </c>
      <c r="U18" s="2" t="s">
        <v>377</v>
      </c>
      <c r="V18" s="2" t="s">
        <v>378</v>
      </c>
      <c r="W18" s="2" t="s">
        <v>379</v>
      </c>
      <c r="X18" s="2" t="s">
        <v>380</v>
      </c>
      <c r="Y18" s="2"/>
      <c r="Z18" s="2" t="s">
        <v>381</v>
      </c>
      <c r="AA18" s="2"/>
      <c r="AB18" s="2" t="s">
        <v>382</v>
      </c>
      <c r="AC18" s="2" t="s">
        <v>82</v>
      </c>
      <c r="AD18" s="2" t="s">
        <v>83</v>
      </c>
      <c r="AE18" s="2" t="s">
        <v>59</v>
      </c>
      <c r="AF18" s="2" t="s">
        <v>60</v>
      </c>
      <c r="AG18" s="2"/>
      <c r="AH18" s="2"/>
      <c r="AI18" s="2" t="s">
        <v>383</v>
      </c>
      <c r="AJ18" s="2" t="s">
        <v>384</v>
      </c>
      <c r="AK18" s="2" t="s">
        <v>63</v>
      </c>
      <c r="AL18" s="2" t="s">
        <v>385</v>
      </c>
      <c r="AM18" s="2" t="s">
        <v>386</v>
      </c>
    </row>
    <row r="19" customFormat="false" ht="258.95" hidden="false" customHeight="false" outlineLevel="0" collapsed="false">
      <c r="A19" s="2" t="n">
        <v>18</v>
      </c>
      <c r="B19" s="2" t="s">
        <v>387</v>
      </c>
      <c r="C19" s="2" t="s">
        <v>388</v>
      </c>
      <c r="D19" s="2" t="s">
        <v>389</v>
      </c>
      <c r="E19" s="2" t="s">
        <v>91</v>
      </c>
      <c r="F19" s="2" t="s">
        <v>353</v>
      </c>
      <c r="G19" s="2" t="s">
        <v>354</v>
      </c>
      <c r="H19" s="2" t="n">
        <v>1849</v>
      </c>
      <c r="I19" s="2" t="s">
        <v>390</v>
      </c>
      <c r="J19" s="2" t="s">
        <v>391</v>
      </c>
      <c r="K19" s="3" t="n">
        <v>3500</v>
      </c>
      <c r="L19" s="2" t="n">
        <v>2025</v>
      </c>
      <c r="M19" s="2" t="s">
        <v>239</v>
      </c>
      <c r="N19" s="2" t="s">
        <v>392</v>
      </c>
      <c r="O19" s="2" t="s">
        <v>393</v>
      </c>
      <c r="P19" s="3" t="n">
        <v>7300</v>
      </c>
      <c r="Q19" s="2" t="s">
        <v>49</v>
      </c>
      <c r="R19" s="2" t="s">
        <v>99</v>
      </c>
      <c r="S19" s="2" t="s">
        <v>394</v>
      </c>
      <c r="T19" s="2" t="s">
        <v>241</v>
      </c>
      <c r="U19" s="2" t="s">
        <v>395</v>
      </c>
      <c r="V19" s="2" t="s">
        <v>396</v>
      </c>
      <c r="W19" s="2" t="s">
        <v>397</v>
      </c>
      <c r="X19" s="2" t="s">
        <v>398</v>
      </c>
      <c r="Y19" s="2"/>
      <c r="Z19" s="2" t="s">
        <v>399</v>
      </c>
      <c r="AA19" s="2"/>
      <c r="AB19" s="2" t="s">
        <v>400</v>
      </c>
      <c r="AC19" s="2" t="s">
        <v>82</v>
      </c>
      <c r="AD19" s="2" t="s">
        <v>83</v>
      </c>
      <c r="AE19" s="2" t="s">
        <v>109</v>
      </c>
      <c r="AF19" s="2" t="s">
        <v>110</v>
      </c>
      <c r="AG19" s="2"/>
      <c r="AH19" s="2"/>
      <c r="AI19" s="2" t="s">
        <v>401</v>
      </c>
      <c r="AJ19" s="2" t="s">
        <v>402</v>
      </c>
      <c r="AK19" s="2" t="s">
        <v>63</v>
      </c>
      <c r="AL19" s="2" t="s">
        <v>403</v>
      </c>
      <c r="AM19" s="2" t="s">
        <v>404</v>
      </c>
    </row>
    <row r="20" customFormat="false" ht="236.55" hidden="false" customHeight="false" outlineLevel="0" collapsed="false">
      <c r="A20" s="2" t="n">
        <v>19</v>
      </c>
      <c r="B20" s="2" t="s">
        <v>405</v>
      </c>
      <c r="C20" s="2" t="s">
        <v>406</v>
      </c>
      <c r="D20" s="2" t="s">
        <v>407</v>
      </c>
      <c r="E20" s="2" t="s">
        <v>42</v>
      </c>
      <c r="F20" s="2" t="s">
        <v>353</v>
      </c>
      <c r="G20" s="2" t="s">
        <v>354</v>
      </c>
      <c r="H20" s="2" t="n">
        <v>1969</v>
      </c>
      <c r="I20" s="2" t="s">
        <v>408</v>
      </c>
      <c r="J20" s="2" t="s">
        <v>121</v>
      </c>
      <c r="K20" s="3" t="n">
        <v>2000</v>
      </c>
      <c r="L20" s="2" t="n">
        <v>2025</v>
      </c>
      <c r="M20" s="2" t="s">
        <v>239</v>
      </c>
      <c r="N20" s="2" t="s">
        <v>409</v>
      </c>
      <c r="O20" s="2" t="s">
        <v>393</v>
      </c>
      <c r="P20" s="3" t="n">
        <v>7300</v>
      </c>
      <c r="Q20" s="2" t="s">
        <v>49</v>
      </c>
      <c r="R20" s="2" t="s">
        <v>99</v>
      </c>
      <c r="S20" s="2" t="s">
        <v>410</v>
      </c>
      <c r="T20" s="2" t="s">
        <v>241</v>
      </c>
      <c r="U20" s="2" t="s">
        <v>411</v>
      </c>
      <c r="V20" s="2" t="s">
        <v>412</v>
      </c>
      <c r="W20" s="2" t="s">
        <v>413</v>
      </c>
      <c r="X20" s="2" t="s">
        <v>414</v>
      </c>
      <c r="Y20" s="2" t="s">
        <v>415</v>
      </c>
      <c r="Z20" s="2" t="s">
        <v>416</v>
      </c>
      <c r="AA20" s="2" t="s">
        <v>417</v>
      </c>
      <c r="AB20" s="2" t="s">
        <v>418</v>
      </c>
      <c r="AC20" s="2" t="s">
        <v>82</v>
      </c>
      <c r="AD20" s="2" t="s">
        <v>83</v>
      </c>
      <c r="AE20" s="2" t="s">
        <v>109</v>
      </c>
      <c r="AF20" s="2" t="s">
        <v>110</v>
      </c>
      <c r="AG20" s="2"/>
      <c r="AH20" s="2"/>
      <c r="AI20" s="2" t="s">
        <v>419</v>
      </c>
      <c r="AJ20" s="2" t="s">
        <v>420</v>
      </c>
      <c r="AK20" s="2" t="s">
        <v>63</v>
      </c>
      <c r="AL20" s="2" t="s">
        <v>421</v>
      </c>
      <c r="AM20" s="2" t="s">
        <v>422</v>
      </c>
    </row>
    <row r="21" customFormat="false" ht="270.1" hidden="false" customHeight="false" outlineLevel="0" collapsed="false">
      <c r="A21" s="2" t="n">
        <v>20</v>
      </c>
      <c r="B21" s="2" t="s">
        <v>423</v>
      </c>
      <c r="C21" s="2" t="s">
        <v>424</v>
      </c>
      <c r="D21" s="2" t="s">
        <v>425</v>
      </c>
      <c r="E21" s="2" t="s">
        <v>42</v>
      </c>
      <c r="F21" s="2" t="s">
        <v>353</v>
      </c>
      <c r="G21" s="2" t="s">
        <v>354</v>
      </c>
      <c r="H21" s="2" t="n">
        <v>1983</v>
      </c>
      <c r="I21" s="2" t="s">
        <v>426</v>
      </c>
      <c r="J21" s="2" t="s">
        <v>427</v>
      </c>
      <c r="K21" s="3" t="n">
        <v>1000</v>
      </c>
      <c r="L21" s="2" t="n">
        <v>2025</v>
      </c>
      <c r="M21" s="2" t="s">
        <v>239</v>
      </c>
      <c r="N21" s="2" t="s">
        <v>428</v>
      </c>
      <c r="O21" s="2" t="s">
        <v>393</v>
      </c>
      <c r="P21" s="3" t="n">
        <v>7300</v>
      </c>
      <c r="Q21" s="2" t="s">
        <v>49</v>
      </c>
      <c r="R21" s="2" t="s">
        <v>99</v>
      </c>
      <c r="S21" s="2" t="s">
        <v>429</v>
      </c>
      <c r="T21" s="2" t="s">
        <v>241</v>
      </c>
      <c r="U21" s="2" t="s">
        <v>430</v>
      </c>
      <c r="V21" s="2" t="s">
        <v>431</v>
      </c>
      <c r="W21" s="2" t="s">
        <v>432</v>
      </c>
      <c r="X21" s="2" t="s">
        <v>433</v>
      </c>
      <c r="Y21" s="2"/>
      <c r="Z21" s="2" t="s">
        <v>434</v>
      </c>
      <c r="AA21" s="2"/>
      <c r="AB21" s="2" t="s">
        <v>435</v>
      </c>
      <c r="AC21" s="2" t="s">
        <v>82</v>
      </c>
      <c r="AD21" s="2" t="s">
        <v>83</v>
      </c>
      <c r="AE21" s="2" t="s">
        <v>109</v>
      </c>
      <c r="AF21" s="2" t="s">
        <v>110</v>
      </c>
      <c r="AG21" s="2"/>
      <c r="AH21" s="2"/>
      <c r="AI21" s="2" t="s">
        <v>436</v>
      </c>
      <c r="AJ21" s="2" t="s">
        <v>437</v>
      </c>
      <c r="AK21" s="2" t="s">
        <v>289</v>
      </c>
      <c r="AL21" s="2" t="s">
        <v>438</v>
      </c>
      <c r="AM21" s="2" t="s">
        <v>439</v>
      </c>
    </row>
    <row r="22" customFormat="false" ht="415.65" hidden="false" customHeight="false" outlineLevel="0" collapsed="false">
      <c r="A22" s="2" t="n">
        <v>21</v>
      </c>
      <c r="B22" s="2" t="s">
        <v>440</v>
      </c>
      <c r="C22" s="2" t="s">
        <v>441</v>
      </c>
      <c r="D22" s="2" t="s">
        <v>442</v>
      </c>
      <c r="E22" s="2" t="s">
        <v>42</v>
      </c>
      <c r="F22" s="2" t="s">
        <v>443</v>
      </c>
      <c r="G22" s="2" t="s">
        <v>444</v>
      </c>
      <c r="H22" s="2" t="n">
        <v>1897</v>
      </c>
      <c r="I22" s="2" t="s">
        <v>445</v>
      </c>
      <c r="J22" s="2" t="s">
        <v>446</v>
      </c>
      <c r="K22" s="3" t="n">
        <v>8000</v>
      </c>
      <c r="L22" s="2" t="n">
        <v>2025</v>
      </c>
      <c r="M22" s="2" t="s">
        <v>239</v>
      </c>
      <c r="N22" s="2" t="s">
        <v>447</v>
      </c>
      <c r="O22" s="2" t="s">
        <v>448</v>
      </c>
      <c r="P22" s="3" t="n">
        <v>3400</v>
      </c>
      <c r="Q22" s="2" t="s">
        <v>449</v>
      </c>
      <c r="R22" s="2" t="s">
        <v>99</v>
      </c>
      <c r="S22" s="2" t="s">
        <v>450</v>
      </c>
      <c r="T22" s="2" t="s">
        <v>51</v>
      </c>
      <c r="U22" s="2" t="s">
        <v>451</v>
      </c>
      <c r="V22" s="2" t="s">
        <v>452</v>
      </c>
      <c r="W22" s="2" t="s">
        <v>453</v>
      </c>
      <c r="X22" s="2"/>
      <c r="Y22" s="2" t="s">
        <v>454</v>
      </c>
      <c r="Z22" s="2" t="s">
        <v>455</v>
      </c>
      <c r="AA22" s="2"/>
      <c r="AB22" s="2" t="s">
        <v>456</v>
      </c>
      <c r="AC22" s="2" t="s">
        <v>57</v>
      </c>
      <c r="AD22" s="2" t="s">
        <v>58</v>
      </c>
      <c r="AE22" s="2" t="s">
        <v>59</v>
      </c>
      <c r="AF22" s="2" t="s">
        <v>60</v>
      </c>
      <c r="AG22" s="2"/>
      <c r="AH22" s="2"/>
      <c r="AI22" s="2" t="s">
        <v>457</v>
      </c>
      <c r="AJ22" s="2" t="s">
        <v>458</v>
      </c>
      <c r="AK22" s="2" t="s">
        <v>63</v>
      </c>
      <c r="AL22" s="2" t="s">
        <v>459</v>
      </c>
      <c r="AM22" s="2" t="s">
        <v>460</v>
      </c>
    </row>
    <row r="23" customFormat="false" ht="270.1" hidden="false" customHeight="false" outlineLevel="0" collapsed="false">
      <c r="A23" s="2" t="n">
        <v>22</v>
      </c>
      <c r="B23" s="2" t="s">
        <v>461</v>
      </c>
      <c r="C23" s="2" t="s">
        <v>462</v>
      </c>
      <c r="D23" s="2" t="s">
        <v>463</v>
      </c>
      <c r="E23" s="2" t="s">
        <v>42</v>
      </c>
      <c r="F23" s="2" t="s">
        <v>464</v>
      </c>
      <c r="G23" s="2" t="s">
        <v>465</v>
      </c>
      <c r="H23" s="2" t="n">
        <v>1851</v>
      </c>
      <c r="I23" s="2" t="s">
        <v>466</v>
      </c>
      <c r="J23" s="2" t="s">
        <v>467</v>
      </c>
      <c r="K23" s="3" t="n">
        <v>67200</v>
      </c>
      <c r="L23" s="2" t="n">
        <v>2025</v>
      </c>
      <c r="M23" s="2" t="s">
        <v>96</v>
      </c>
      <c r="N23" s="2" t="s">
        <v>468</v>
      </c>
      <c r="O23" s="2" t="s">
        <v>469</v>
      </c>
      <c r="P23" s="3" t="n">
        <v>972</v>
      </c>
      <c r="Q23" s="2" t="s">
        <v>49</v>
      </c>
      <c r="R23" s="2" t="s">
        <v>99</v>
      </c>
      <c r="S23" s="2" t="s">
        <v>470</v>
      </c>
      <c r="T23" s="2" t="s">
        <v>51</v>
      </c>
      <c r="U23" s="2" t="s">
        <v>471</v>
      </c>
      <c r="V23" s="2" t="s">
        <v>472</v>
      </c>
      <c r="W23" s="2" t="s">
        <v>473</v>
      </c>
      <c r="X23" s="2" t="s">
        <v>474</v>
      </c>
      <c r="Y23" s="2" t="s">
        <v>475</v>
      </c>
      <c r="Z23" s="2" t="s">
        <v>476</v>
      </c>
      <c r="AA23" s="2" t="s">
        <v>477</v>
      </c>
      <c r="AB23" s="2" t="s">
        <v>478</v>
      </c>
      <c r="AC23" s="2" t="s">
        <v>82</v>
      </c>
      <c r="AD23" s="2" t="s">
        <v>83</v>
      </c>
      <c r="AE23" s="2" t="s">
        <v>59</v>
      </c>
      <c r="AF23" s="2" t="s">
        <v>60</v>
      </c>
      <c r="AG23" s="2"/>
      <c r="AH23" s="2"/>
      <c r="AI23" s="2" t="s">
        <v>479</v>
      </c>
      <c r="AJ23" s="2" t="s">
        <v>480</v>
      </c>
      <c r="AK23" s="2" t="s">
        <v>63</v>
      </c>
      <c r="AL23" s="2"/>
      <c r="AM23" s="2" t="s">
        <v>481</v>
      </c>
    </row>
    <row r="24" customFormat="false" ht="124.6" hidden="false" customHeight="false" outlineLevel="0" collapsed="false">
      <c r="A24" s="2" t="n">
        <v>23</v>
      </c>
      <c r="B24" s="2" t="s">
        <v>482</v>
      </c>
      <c r="C24" s="2" t="s">
        <v>483</v>
      </c>
      <c r="D24" s="2" t="s">
        <v>484</v>
      </c>
      <c r="E24" s="2" t="s">
        <v>42</v>
      </c>
      <c r="F24" s="2"/>
      <c r="G24" s="2" t="s">
        <v>485</v>
      </c>
      <c r="H24" s="2" t="n">
        <v>1978</v>
      </c>
      <c r="I24" s="2" t="s">
        <v>486</v>
      </c>
      <c r="J24" s="2" t="s">
        <v>95</v>
      </c>
      <c r="K24" s="3" t="n">
        <v>2000</v>
      </c>
      <c r="L24" s="2" t="n">
        <v>2024</v>
      </c>
      <c r="M24" s="2" t="s">
        <v>46</v>
      </c>
      <c r="N24" s="2" t="s">
        <v>487</v>
      </c>
      <c r="O24" s="2" t="s">
        <v>488</v>
      </c>
      <c r="P24" s="3" t="n">
        <v>650</v>
      </c>
      <c r="Q24" s="2" t="s">
        <v>489</v>
      </c>
      <c r="R24" s="2" t="s">
        <v>239</v>
      </c>
      <c r="S24" s="2" t="s">
        <v>490</v>
      </c>
      <c r="T24" s="2" t="s">
        <v>239</v>
      </c>
      <c r="U24" s="2" t="s">
        <v>491</v>
      </c>
      <c r="V24" s="2" t="s">
        <v>492</v>
      </c>
      <c r="W24" s="2" t="s">
        <v>493</v>
      </c>
      <c r="X24" s="2" t="s">
        <v>494</v>
      </c>
      <c r="Y24" s="2"/>
      <c r="Z24" s="2" t="s">
        <v>495</v>
      </c>
      <c r="AA24" s="2" t="s">
        <v>496</v>
      </c>
      <c r="AB24" s="2" t="s">
        <v>497</v>
      </c>
      <c r="AC24" s="2" t="s">
        <v>82</v>
      </c>
      <c r="AD24" s="2" t="s">
        <v>83</v>
      </c>
      <c r="AE24" s="2" t="s">
        <v>59</v>
      </c>
      <c r="AF24" s="2" t="s">
        <v>60</v>
      </c>
      <c r="AG24" s="2"/>
      <c r="AH24" s="2"/>
      <c r="AI24" s="2" t="s">
        <v>498</v>
      </c>
      <c r="AJ24" s="2" t="s">
        <v>499</v>
      </c>
      <c r="AK24" s="2" t="s">
        <v>113</v>
      </c>
      <c r="AL24" s="2" t="s">
        <v>500</v>
      </c>
      <c r="AM24" s="2" t="s">
        <v>501</v>
      </c>
    </row>
    <row r="25" customFormat="false" ht="303.7" hidden="false" customHeight="false" outlineLevel="0" collapsed="false">
      <c r="A25" s="2" t="n">
        <v>24</v>
      </c>
      <c r="B25" s="2" t="s">
        <v>502</v>
      </c>
      <c r="C25" s="2" t="s">
        <v>503</v>
      </c>
      <c r="D25" s="2" t="s">
        <v>504</v>
      </c>
      <c r="E25" s="2" t="s">
        <v>42</v>
      </c>
      <c r="F25" s="2"/>
      <c r="G25" s="2" t="s">
        <v>505</v>
      </c>
      <c r="H25" s="2" t="n">
        <v>1974</v>
      </c>
      <c r="I25" s="2" t="s">
        <v>506</v>
      </c>
      <c r="J25" s="2" t="s">
        <v>95</v>
      </c>
      <c r="K25" s="3" t="n">
        <v>1000</v>
      </c>
      <c r="L25" s="2" t="n">
        <v>2024</v>
      </c>
      <c r="M25" s="2" t="s">
        <v>239</v>
      </c>
      <c r="N25" s="2" t="s">
        <v>507</v>
      </c>
      <c r="O25" s="2" t="s">
        <v>508</v>
      </c>
      <c r="P25" s="3" t="n">
        <v>500</v>
      </c>
      <c r="Q25" s="2" t="s">
        <v>489</v>
      </c>
      <c r="R25" s="2" t="s">
        <v>239</v>
      </c>
      <c r="S25" s="2" t="s">
        <v>509</v>
      </c>
      <c r="T25" s="2" t="s">
        <v>239</v>
      </c>
      <c r="U25" s="2" t="s">
        <v>510</v>
      </c>
      <c r="V25" s="2" t="s">
        <v>511</v>
      </c>
      <c r="W25" s="2" t="s">
        <v>512</v>
      </c>
      <c r="X25" s="2" t="s">
        <v>513</v>
      </c>
      <c r="Y25" s="2" t="s">
        <v>514</v>
      </c>
      <c r="Z25" s="2" t="s">
        <v>515</v>
      </c>
      <c r="AA25" s="2" t="s">
        <v>516</v>
      </c>
      <c r="AB25" s="2" t="s">
        <v>517</v>
      </c>
      <c r="AC25" s="2" t="s">
        <v>82</v>
      </c>
      <c r="AD25" s="2" t="s">
        <v>83</v>
      </c>
      <c r="AE25" s="2" t="s">
        <v>59</v>
      </c>
      <c r="AF25" s="2" t="s">
        <v>60</v>
      </c>
      <c r="AG25" s="2"/>
      <c r="AH25" s="2"/>
      <c r="AI25" s="2" t="s">
        <v>518</v>
      </c>
      <c r="AJ25" s="2" t="s">
        <v>519</v>
      </c>
      <c r="AK25" s="2" t="s">
        <v>63</v>
      </c>
      <c r="AL25" s="2" t="s">
        <v>520</v>
      </c>
      <c r="AM25" s="2" t="s">
        <v>521</v>
      </c>
    </row>
    <row r="26" customFormat="false" ht="314.9" hidden="false" customHeight="false" outlineLevel="0" collapsed="false">
      <c r="A26" s="2" t="n">
        <v>25</v>
      </c>
      <c r="B26" s="2" t="s">
        <v>522</v>
      </c>
      <c r="C26" s="2" t="s">
        <v>523</v>
      </c>
      <c r="D26" s="2" t="s">
        <v>524</v>
      </c>
      <c r="E26" s="2" t="s">
        <v>42</v>
      </c>
      <c r="F26" s="2"/>
      <c r="G26" s="2" t="s">
        <v>525</v>
      </c>
      <c r="H26" s="2" t="n">
        <v>1976</v>
      </c>
      <c r="I26" s="2" t="s">
        <v>526</v>
      </c>
      <c r="J26" s="2" t="s">
        <v>95</v>
      </c>
      <c r="K26" s="3" t="n">
        <v>3100</v>
      </c>
      <c r="L26" s="2" t="n">
        <v>2025</v>
      </c>
      <c r="M26" s="2" t="s">
        <v>46</v>
      </c>
      <c r="N26" s="2" t="s">
        <v>527</v>
      </c>
      <c r="O26" s="2" t="s">
        <v>528</v>
      </c>
      <c r="P26" s="3" t="n">
        <v>1220</v>
      </c>
      <c r="Q26" s="2" t="s">
        <v>529</v>
      </c>
      <c r="R26" s="2" t="s">
        <v>46</v>
      </c>
      <c r="S26" s="2" t="s">
        <v>530</v>
      </c>
      <c r="T26" s="2" t="s">
        <v>51</v>
      </c>
      <c r="U26" s="2" t="s">
        <v>531</v>
      </c>
      <c r="V26" s="2" t="s">
        <v>532</v>
      </c>
      <c r="W26" s="2" t="s">
        <v>533</v>
      </c>
      <c r="X26" s="2" t="s">
        <v>534</v>
      </c>
      <c r="Y26" s="2" t="s">
        <v>535</v>
      </c>
      <c r="Z26" s="2" t="s">
        <v>536</v>
      </c>
      <c r="AA26" s="2" t="s">
        <v>537</v>
      </c>
      <c r="AB26" s="2" t="s">
        <v>538</v>
      </c>
      <c r="AC26" s="2" t="s">
        <v>82</v>
      </c>
      <c r="AD26" s="2" t="s">
        <v>83</v>
      </c>
      <c r="AE26" s="2" t="s">
        <v>109</v>
      </c>
      <c r="AF26" s="2" t="s">
        <v>110</v>
      </c>
      <c r="AG26" s="2"/>
      <c r="AH26" s="2"/>
      <c r="AI26" s="2" t="s">
        <v>539</v>
      </c>
      <c r="AJ26" s="2" t="s">
        <v>540</v>
      </c>
      <c r="AK26" s="2" t="s">
        <v>289</v>
      </c>
      <c r="AL26" s="2" t="s">
        <v>541</v>
      </c>
      <c r="AM26" s="2" t="s">
        <v>542</v>
      </c>
    </row>
    <row r="27" customFormat="false" ht="270.1" hidden="false" customHeight="false" outlineLevel="0" collapsed="false">
      <c r="A27" s="2" t="n">
        <v>26</v>
      </c>
      <c r="B27" s="2" t="s">
        <v>543</v>
      </c>
      <c r="C27" s="2" t="s">
        <v>544</v>
      </c>
      <c r="D27" s="2" t="s">
        <v>545</v>
      </c>
      <c r="E27" s="2" t="s">
        <v>91</v>
      </c>
      <c r="F27" s="2"/>
      <c r="G27" s="2" t="s">
        <v>546</v>
      </c>
      <c r="H27" s="2" t="n">
        <v>1989</v>
      </c>
      <c r="I27" s="2" t="s">
        <v>547</v>
      </c>
      <c r="J27" s="2" t="s">
        <v>446</v>
      </c>
      <c r="K27" s="3" t="n">
        <v>4900</v>
      </c>
      <c r="L27" s="2" t="n">
        <v>2025</v>
      </c>
      <c r="M27" s="2" t="s">
        <v>46</v>
      </c>
      <c r="N27" s="2" t="s">
        <v>548</v>
      </c>
      <c r="O27" s="2" t="s">
        <v>549</v>
      </c>
      <c r="P27" s="3" t="n">
        <v>660</v>
      </c>
      <c r="Q27" s="2" t="s">
        <v>489</v>
      </c>
      <c r="R27" s="2" t="s">
        <v>239</v>
      </c>
      <c r="S27" s="2" t="s">
        <v>550</v>
      </c>
      <c r="T27" s="2" t="s">
        <v>51</v>
      </c>
      <c r="U27" s="2" t="s">
        <v>551</v>
      </c>
      <c r="V27" s="2" t="s">
        <v>552</v>
      </c>
      <c r="W27" s="2" t="s">
        <v>553</v>
      </c>
      <c r="X27" s="2" t="s">
        <v>554</v>
      </c>
      <c r="Y27" s="2" t="s">
        <v>555</v>
      </c>
      <c r="Z27" s="2" t="s">
        <v>556</v>
      </c>
      <c r="AA27" s="2"/>
      <c r="AB27" s="2" t="s">
        <v>557</v>
      </c>
      <c r="AC27" s="2" t="s">
        <v>82</v>
      </c>
      <c r="AD27" s="2" t="s">
        <v>83</v>
      </c>
      <c r="AE27" s="2" t="s">
        <v>59</v>
      </c>
      <c r="AF27" s="2" t="s">
        <v>60</v>
      </c>
      <c r="AG27" s="2"/>
      <c r="AH27" s="2"/>
      <c r="AI27" s="2" t="s">
        <v>558</v>
      </c>
      <c r="AJ27" s="2" t="s">
        <v>559</v>
      </c>
      <c r="AK27" s="2" t="s">
        <v>113</v>
      </c>
      <c r="AL27" s="2" t="s">
        <v>560</v>
      </c>
      <c r="AM27" s="2" t="s">
        <v>561</v>
      </c>
    </row>
    <row r="28" customFormat="false" ht="258.95" hidden="false" customHeight="false" outlineLevel="0" collapsed="false">
      <c r="A28" s="2" t="n">
        <v>27</v>
      </c>
      <c r="B28" s="2" t="s">
        <v>562</v>
      </c>
      <c r="C28" s="2" t="s">
        <v>563</v>
      </c>
      <c r="D28" s="2" t="s">
        <v>564</v>
      </c>
      <c r="E28" s="2" t="s">
        <v>42</v>
      </c>
      <c r="F28" s="2"/>
      <c r="G28" s="2" t="s">
        <v>565</v>
      </c>
      <c r="H28" s="2" t="n">
        <v>2012</v>
      </c>
      <c r="I28" s="2" t="s">
        <v>566</v>
      </c>
      <c r="J28" s="2" t="s">
        <v>337</v>
      </c>
      <c r="K28" s="3" t="n">
        <v>1178</v>
      </c>
      <c r="L28" s="2" t="n">
        <v>2025</v>
      </c>
      <c r="M28" s="2" t="s">
        <v>46</v>
      </c>
      <c r="N28" s="2" t="s">
        <v>567</v>
      </c>
      <c r="O28" s="2" t="s">
        <v>568</v>
      </c>
      <c r="P28" s="3" t="n">
        <v>643</v>
      </c>
      <c r="Q28" s="2" t="s">
        <v>49</v>
      </c>
      <c r="R28" s="2" t="s">
        <v>46</v>
      </c>
      <c r="S28" s="2" t="s">
        <v>569</v>
      </c>
      <c r="T28" s="2" t="s">
        <v>51</v>
      </c>
      <c r="U28" s="2" t="s">
        <v>570</v>
      </c>
      <c r="V28" s="2" t="s">
        <v>571</v>
      </c>
      <c r="W28" s="2" t="s">
        <v>572</v>
      </c>
      <c r="X28" s="2" t="s">
        <v>573</v>
      </c>
      <c r="Y28" s="2"/>
      <c r="Z28" s="2" t="s">
        <v>574</v>
      </c>
      <c r="AA28" s="2"/>
      <c r="AB28" s="2" t="s">
        <v>575</v>
      </c>
      <c r="AC28" s="2" t="s">
        <v>82</v>
      </c>
      <c r="AD28" s="2" t="s">
        <v>83</v>
      </c>
      <c r="AE28" s="2" t="s">
        <v>59</v>
      </c>
      <c r="AF28" s="2" t="s">
        <v>60</v>
      </c>
      <c r="AG28" s="2"/>
      <c r="AH28" s="2"/>
      <c r="AI28" s="2" t="s">
        <v>576</v>
      </c>
      <c r="AJ28" s="2" t="s">
        <v>577</v>
      </c>
      <c r="AK28" s="2" t="s">
        <v>63</v>
      </c>
      <c r="AL28" s="2" t="s">
        <v>578</v>
      </c>
      <c r="AM28" s="2" t="s">
        <v>579</v>
      </c>
    </row>
    <row r="29" customFormat="false" ht="326.1" hidden="false" customHeight="false" outlineLevel="0" collapsed="false">
      <c r="A29" s="2" t="n">
        <v>28</v>
      </c>
      <c r="B29" s="2" t="s">
        <v>580</v>
      </c>
      <c r="C29" s="2" t="s">
        <v>581</v>
      </c>
      <c r="D29" s="2" t="s">
        <v>582</v>
      </c>
      <c r="E29" s="2" t="s">
        <v>583</v>
      </c>
      <c r="F29" s="2"/>
      <c r="G29" s="2" t="s">
        <v>584</v>
      </c>
      <c r="H29" s="2" t="n">
        <v>2005</v>
      </c>
      <c r="I29" s="2" t="s">
        <v>585</v>
      </c>
      <c r="J29" s="2" t="s">
        <v>337</v>
      </c>
      <c r="K29" s="3" t="n">
        <v>1335</v>
      </c>
      <c r="L29" s="2" t="n">
        <v>2025</v>
      </c>
      <c r="M29" s="2" t="s">
        <v>46</v>
      </c>
      <c r="N29" s="2" t="s">
        <v>586</v>
      </c>
      <c r="O29" s="2" t="s">
        <v>587</v>
      </c>
      <c r="P29" s="3" t="n">
        <v>291</v>
      </c>
      <c r="Q29" s="2" t="s">
        <v>49</v>
      </c>
      <c r="R29" s="2" t="s">
        <v>46</v>
      </c>
      <c r="S29" s="2" t="s">
        <v>588</v>
      </c>
      <c r="T29" s="2" t="s">
        <v>51</v>
      </c>
      <c r="U29" s="2" t="s">
        <v>589</v>
      </c>
      <c r="V29" s="2" t="s">
        <v>590</v>
      </c>
      <c r="W29" s="2" t="s">
        <v>591</v>
      </c>
      <c r="X29" s="2" t="s">
        <v>592</v>
      </c>
      <c r="Y29" s="2"/>
      <c r="Z29" s="2" t="s">
        <v>593</v>
      </c>
      <c r="AA29" s="2" t="s">
        <v>594</v>
      </c>
      <c r="AB29" s="2" t="s">
        <v>595</v>
      </c>
      <c r="AC29" s="2" t="s">
        <v>82</v>
      </c>
      <c r="AD29" s="2" t="s">
        <v>83</v>
      </c>
      <c r="AE29" s="2" t="s">
        <v>59</v>
      </c>
      <c r="AF29" s="2" t="s">
        <v>60</v>
      </c>
      <c r="AG29" s="2"/>
      <c r="AH29" s="2"/>
      <c r="AI29" s="2" t="s">
        <v>596</v>
      </c>
      <c r="AJ29" s="2" t="s">
        <v>597</v>
      </c>
      <c r="AK29" s="2" t="s">
        <v>63</v>
      </c>
      <c r="AL29" s="2" t="s">
        <v>598</v>
      </c>
      <c r="AM29" s="2" t="s">
        <v>599</v>
      </c>
    </row>
    <row r="30" customFormat="false" ht="314.9" hidden="false" customHeight="false" outlineLevel="0" collapsed="false">
      <c r="A30" s="2" t="n">
        <v>29</v>
      </c>
      <c r="B30" s="2" t="s">
        <v>600</v>
      </c>
      <c r="C30" s="2" t="s">
        <v>601</v>
      </c>
      <c r="D30" s="2" t="s">
        <v>602</v>
      </c>
      <c r="E30" s="2" t="s">
        <v>42</v>
      </c>
      <c r="F30" s="2"/>
      <c r="G30" s="2" t="s">
        <v>603</v>
      </c>
      <c r="H30" s="2" t="n">
        <v>2004</v>
      </c>
      <c r="I30" s="2" t="s">
        <v>604</v>
      </c>
      <c r="J30" s="2" t="s">
        <v>337</v>
      </c>
      <c r="K30" s="3" t="n">
        <v>485</v>
      </c>
      <c r="L30" s="2" t="n">
        <v>2025</v>
      </c>
      <c r="M30" s="2" t="s">
        <v>46</v>
      </c>
      <c r="N30" s="2" t="s">
        <v>605</v>
      </c>
      <c r="O30" s="2" t="s">
        <v>606</v>
      </c>
      <c r="P30" s="3" t="n">
        <v>160</v>
      </c>
      <c r="Q30" s="2" t="s">
        <v>49</v>
      </c>
      <c r="R30" s="2" t="s">
        <v>46</v>
      </c>
      <c r="S30" s="2" t="s">
        <v>607</v>
      </c>
      <c r="T30" s="2" t="s">
        <v>51</v>
      </c>
      <c r="U30" s="2" t="s">
        <v>608</v>
      </c>
      <c r="V30" s="2" t="s">
        <v>609</v>
      </c>
      <c r="W30" s="2" t="s">
        <v>610</v>
      </c>
      <c r="X30" s="2" t="s">
        <v>611</v>
      </c>
      <c r="Y30" s="2"/>
      <c r="Z30" s="2" t="s">
        <v>612</v>
      </c>
      <c r="AA30" s="2"/>
      <c r="AB30" s="2" t="s">
        <v>613</v>
      </c>
      <c r="AC30" s="2" t="s">
        <v>82</v>
      </c>
      <c r="AD30" s="2" t="s">
        <v>83</v>
      </c>
      <c r="AE30" s="2" t="s">
        <v>109</v>
      </c>
      <c r="AF30" s="2" t="s">
        <v>110</v>
      </c>
      <c r="AG30" s="2"/>
      <c r="AH30" s="2"/>
      <c r="AI30" s="2" t="s">
        <v>614</v>
      </c>
      <c r="AJ30" s="2" t="s">
        <v>615</v>
      </c>
      <c r="AK30" s="2" t="s">
        <v>289</v>
      </c>
      <c r="AL30" s="2" t="s">
        <v>616</v>
      </c>
      <c r="AM30" s="2" t="s">
        <v>617</v>
      </c>
    </row>
    <row r="31" customFormat="false" ht="326.1" hidden="false" customHeight="false" outlineLevel="0" collapsed="false">
      <c r="A31" s="2" t="n">
        <v>30</v>
      </c>
      <c r="B31" s="2" t="s">
        <v>618</v>
      </c>
      <c r="C31" s="2" t="s">
        <v>619</v>
      </c>
      <c r="D31" s="2" t="s">
        <v>620</v>
      </c>
      <c r="E31" s="2" t="s">
        <v>621</v>
      </c>
      <c r="F31" s="2"/>
      <c r="G31" s="2" t="s">
        <v>622</v>
      </c>
      <c r="H31" s="2" t="n">
        <v>1980</v>
      </c>
      <c r="I31" s="2" t="s">
        <v>623</v>
      </c>
      <c r="J31" s="2" t="s">
        <v>297</v>
      </c>
      <c r="K31" s="3" t="n">
        <v>3300</v>
      </c>
      <c r="L31" s="2" t="n">
        <v>2024</v>
      </c>
      <c r="M31" s="2" t="s">
        <v>46</v>
      </c>
      <c r="N31" s="2" t="s">
        <v>624</v>
      </c>
      <c r="O31" s="2" t="s">
        <v>625</v>
      </c>
      <c r="P31" s="3" t="n">
        <v>1033</v>
      </c>
      <c r="Q31" s="2" t="s">
        <v>49</v>
      </c>
      <c r="R31" s="2" t="s">
        <v>46</v>
      </c>
      <c r="S31" s="2" t="s">
        <v>626</v>
      </c>
      <c r="T31" s="2" t="s">
        <v>51</v>
      </c>
      <c r="U31" s="2" t="s">
        <v>627</v>
      </c>
      <c r="V31" s="2" t="s">
        <v>628</v>
      </c>
      <c r="W31" s="2" t="s">
        <v>629</v>
      </c>
      <c r="X31" s="2" t="s">
        <v>630</v>
      </c>
      <c r="Y31" s="2" t="s">
        <v>631</v>
      </c>
      <c r="Z31" s="2" t="s">
        <v>632</v>
      </c>
      <c r="AA31" s="2"/>
      <c r="AB31" s="2" t="s">
        <v>633</v>
      </c>
      <c r="AC31" s="2" t="s">
        <v>82</v>
      </c>
      <c r="AD31" s="2" t="s">
        <v>83</v>
      </c>
      <c r="AE31" s="2" t="s">
        <v>59</v>
      </c>
      <c r="AF31" s="2" t="s">
        <v>60</v>
      </c>
      <c r="AG31" s="2"/>
      <c r="AH31" s="2"/>
      <c r="AI31" s="2" t="s">
        <v>634</v>
      </c>
      <c r="AJ31" s="2" t="s">
        <v>635</v>
      </c>
      <c r="AK31" s="2" t="s">
        <v>289</v>
      </c>
      <c r="AL31" s="2" t="s">
        <v>636</v>
      </c>
      <c r="AM31" s="2" t="s">
        <v>637</v>
      </c>
    </row>
    <row r="32" customFormat="false" ht="169.4" hidden="false" customHeight="false" outlineLevel="0" collapsed="false">
      <c r="A32" s="2" t="n">
        <v>31</v>
      </c>
      <c r="B32" s="2" t="s">
        <v>638</v>
      </c>
      <c r="C32" s="2" t="s">
        <v>639</v>
      </c>
      <c r="D32" s="2" t="s">
        <v>640</v>
      </c>
      <c r="E32" s="2" t="s">
        <v>42</v>
      </c>
      <c r="F32" s="2"/>
      <c r="G32" s="2" t="s">
        <v>641</v>
      </c>
      <c r="H32" s="2" t="n">
        <v>1947</v>
      </c>
      <c r="I32" s="2" t="s">
        <v>642</v>
      </c>
      <c r="J32" s="2" t="s">
        <v>297</v>
      </c>
      <c r="K32" s="3" t="n">
        <v>3000</v>
      </c>
      <c r="L32" s="2"/>
      <c r="M32" s="2" t="s">
        <v>46</v>
      </c>
      <c r="N32" s="2" t="s">
        <v>643</v>
      </c>
      <c r="O32" s="2" t="s">
        <v>644</v>
      </c>
      <c r="P32" s="3" t="n">
        <v>600</v>
      </c>
      <c r="Q32" s="2" t="s">
        <v>489</v>
      </c>
      <c r="R32" s="2" t="s">
        <v>239</v>
      </c>
      <c r="S32" s="2" t="s">
        <v>645</v>
      </c>
      <c r="T32" s="2" t="s">
        <v>239</v>
      </c>
      <c r="U32" s="2" t="s">
        <v>646</v>
      </c>
      <c r="V32" s="2" t="s">
        <v>647</v>
      </c>
      <c r="W32" s="2" t="s">
        <v>648</v>
      </c>
      <c r="X32" s="2" t="s">
        <v>649</v>
      </c>
      <c r="Y32" s="2"/>
      <c r="Z32" s="2" t="s">
        <v>650</v>
      </c>
      <c r="AA32" s="2" t="s">
        <v>651</v>
      </c>
      <c r="AB32" s="2" t="s">
        <v>652</v>
      </c>
      <c r="AC32" s="2" t="s">
        <v>82</v>
      </c>
      <c r="AD32" s="2" t="s">
        <v>83</v>
      </c>
      <c r="AE32" s="2" t="s">
        <v>59</v>
      </c>
      <c r="AF32" s="2" t="s">
        <v>60</v>
      </c>
      <c r="AG32" s="2"/>
      <c r="AH32" s="2"/>
      <c r="AI32" s="2" t="s">
        <v>653</v>
      </c>
      <c r="AJ32" s="2" t="s">
        <v>654</v>
      </c>
      <c r="AK32" s="2" t="s">
        <v>63</v>
      </c>
      <c r="AL32" s="2"/>
      <c r="AM32" s="2" t="s">
        <v>655</v>
      </c>
    </row>
    <row r="33" customFormat="false" ht="281.3" hidden="false" customHeight="false" outlineLevel="0" collapsed="false">
      <c r="A33" s="2" t="n">
        <v>32</v>
      </c>
      <c r="B33" s="2" t="s">
        <v>656</v>
      </c>
      <c r="C33" s="2" t="s">
        <v>657</v>
      </c>
      <c r="D33" s="2" t="s">
        <v>658</v>
      </c>
      <c r="E33" s="2" t="s">
        <v>42</v>
      </c>
      <c r="F33" s="2"/>
      <c r="G33" s="2" t="s">
        <v>659</v>
      </c>
      <c r="H33" s="2" t="n">
        <v>2014</v>
      </c>
      <c r="I33" s="2" t="s">
        <v>660</v>
      </c>
      <c r="J33" s="2" t="s">
        <v>446</v>
      </c>
      <c r="K33" s="3" t="n">
        <v>702</v>
      </c>
      <c r="L33" s="2" t="n">
        <v>2025</v>
      </c>
      <c r="M33" s="2" t="s">
        <v>46</v>
      </c>
      <c r="N33" s="2" t="s">
        <v>661</v>
      </c>
      <c r="O33" s="2" t="s">
        <v>662</v>
      </c>
      <c r="P33" s="3" t="n">
        <v>201.5</v>
      </c>
      <c r="Q33" s="2" t="s">
        <v>49</v>
      </c>
      <c r="R33" s="2" t="s">
        <v>46</v>
      </c>
      <c r="S33" s="2" t="s">
        <v>663</v>
      </c>
      <c r="T33" s="2" t="s">
        <v>51</v>
      </c>
      <c r="U33" s="2" t="s">
        <v>664</v>
      </c>
      <c r="V33" s="2" t="s">
        <v>665</v>
      </c>
      <c r="W33" s="2" t="s">
        <v>666</v>
      </c>
      <c r="X33" s="2" t="s">
        <v>667</v>
      </c>
      <c r="Y33" s="2"/>
      <c r="Z33" s="2" t="s">
        <v>668</v>
      </c>
      <c r="AA33" s="2" t="s">
        <v>669</v>
      </c>
      <c r="AB33" s="2" t="s">
        <v>670</v>
      </c>
      <c r="AC33" s="2" t="s">
        <v>82</v>
      </c>
      <c r="AD33" s="2" t="s">
        <v>83</v>
      </c>
      <c r="AE33" s="2" t="s">
        <v>59</v>
      </c>
      <c r="AF33" s="2" t="s">
        <v>60</v>
      </c>
      <c r="AG33" s="2"/>
      <c r="AH33" s="2"/>
      <c r="AI33" s="2" t="s">
        <v>671</v>
      </c>
      <c r="AJ33" s="2" t="s">
        <v>672</v>
      </c>
      <c r="AK33" s="2" t="s">
        <v>63</v>
      </c>
      <c r="AL33" s="2" t="s">
        <v>673</v>
      </c>
      <c r="AM33" s="2" t="s">
        <v>674</v>
      </c>
    </row>
    <row r="34" customFormat="false" ht="337.3" hidden="false" customHeight="false" outlineLevel="0" collapsed="false">
      <c r="A34" s="2" t="n">
        <v>33</v>
      </c>
      <c r="B34" s="2" t="s">
        <v>675</v>
      </c>
      <c r="C34" s="2" t="s">
        <v>676</v>
      </c>
      <c r="D34" s="2" t="s">
        <v>677</v>
      </c>
      <c r="E34" s="2" t="s">
        <v>91</v>
      </c>
      <c r="F34" s="2" t="s">
        <v>678</v>
      </c>
      <c r="G34" s="2" t="s">
        <v>679</v>
      </c>
      <c r="H34" s="2" t="n">
        <v>1846</v>
      </c>
      <c r="I34" s="2" t="s">
        <v>680</v>
      </c>
      <c r="J34" s="2" t="s">
        <v>391</v>
      </c>
      <c r="K34" s="3" t="n">
        <v>46622</v>
      </c>
      <c r="L34" s="2" t="n">
        <v>2025</v>
      </c>
      <c r="M34" s="2" t="s">
        <v>96</v>
      </c>
      <c r="N34" s="2" t="s">
        <v>681</v>
      </c>
      <c r="O34" s="2" t="s">
        <v>682</v>
      </c>
      <c r="P34" s="3" t="n">
        <v>13086</v>
      </c>
      <c r="Q34" s="2" t="s">
        <v>683</v>
      </c>
      <c r="R34" s="2" t="s">
        <v>96</v>
      </c>
      <c r="S34" s="2" t="s">
        <v>684</v>
      </c>
      <c r="T34" s="2" t="s">
        <v>51</v>
      </c>
      <c r="U34" s="2" t="s">
        <v>685</v>
      </c>
      <c r="V34" s="2" t="s">
        <v>686</v>
      </c>
      <c r="W34" s="2" t="s">
        <v>687</v>
      </c>
      <c r="X34" s="2"/>
      <c r="Y34" s="2"/>
      <c r="Z34" s="2"/>
      <c r="AA34" s="2"/>
      <c r="AB34" s="2"/>
      <c r="AC34" s="2" t="s">
        <v>82</v>
      </c>
      <c r="AD34" s="2" t="s">
        <v>83</v>
      </c>
      <c r="AE34" s="2" t="s">
        <v>59</v>
      </c>
      <c r="AF34" s="2" t="s">
        <v>60</v>
      </c>
      <c r="AG34" s="2"/>
      <c r="AH34" s="2"/>
      <c r="AI34" s="2" t="s">
        <v>688</v>
      </c>
      <c r="AJ34" s="2" t="s">
        <v>689</v>
      </c>
      <c r="AK34" s="2" t="s">
        <v>113</v>
      </c>
      <c r="AL34" s="2" t="s">
        <v>690</v>
      </c>
      <c r="AM34" s="2" t="s">
        <v>691</v>
      </c>
    </row>
    <row r="35" customFormat="false" ht="326.1" hidden="false" customHeight="false" outlineLevel="0" collapsed="false">
      <c r="A35" s="2" t="n">
        <v>34</v>
      </c>
      <c r="B35" s="2" t="s">
        <v>692</v>
      </c>
      <c r="C35" s="2" t="s">
        <v>693</v>
      </c>
      <c r="D35" s="2" t="s">
        <v>694</v>
      </c>
      <c r="E35" s="2" t="s">
        <v>157</v>
      </c>
      <c r="F35" s="2" t="s">
        <v>695</v>
      </c>
      <c r="G35" s="2" t="s">
        <v>696</v>
      </c>
      <c r="H35" s="2" t="n">
        <v>2022</v>
      </c>
      <c r="I35" s="2" t="s">
        <v>697</v>
      </c>
      <c r="J35" s="2" t="s">
        <v>391</v>
      </c>
      <c r="K35" s="3" t="n">
        <v>4300</v>
      </c>
      <c r="L35" s="2" t="n">
        <v>2023</v>
      </c>
      <c r="M35" s="2" t="s">
        <v>46</v>
      </c>
      <c r="N35" s="2" t="s">
        <v>698</v>
      </c>
      <c r="O35" s="2" t="s">
        <v>699</v>
      </c>
      <c r="P35" s="3" t="n">
        <v>797</v>
      </c>
      <c r="Q35" s="2" t="s">
        <v>700</v>
      </c>
      <c r="R35" s="2" t="s">
        <v>239</v>
      </c>
      <c r="S35" s="2" t="s">
        <v>701</v>
      </c>
      <c r="T35" s="2" t="s">
        <v>239</v>
      </c>
      <c r="U35" s="2" t="s">
        <v>702</v>
      </c>
      <c r="V35" s="2" t="s">
        <v>703</v>
      </c>
      <c r="W35" s="2" t="s">
        <v>704</v>
      </c>
      <c r="X35" s="2" t="s">
        <v>705</v>
      </c>
      <c r="Y35" s="2"/>
      <c r="Z35" s="2" t="s">
        <v>706</v>
      </c>
      <c r="AA35" s="2"/>
      <c r="AB35" s="2" t="s">
        <v>707</v>
      </c>
      <c r="AC35" s="2" t="s">
        <v>82</v>
      </c>
      <c r="AD35" s="2" t="s">
        <v>83</v>
      </c>
      <c r="AE35" s="2" t="s">
        <v>59</v>
      </c>
      <c r="AF35" s="2" t="s">
        <v>60</v>
      </c>
      <c r="AG35" s="2"/>
      <c r="AH35" s="2"/>
      <c r="AI35" s="2" t="s">
        <v>708</v>
      </c>
      <c r="AJ35" s="2" t="s">
        <v>709</v>
      </c>
      <c r="AK35" s="2" t="s">
        <v>63</v>
      </c>
      <c r="AL35" s="2" t="s">
        <v>710</v>
      </c>
      <c r="AM35" s="2" t="s">
        <v>711</v>
      </c>
    </row>
    <row r="36" customFormat="false" ht="359.7" hidden="false" customHeight="false" outlineLevel="0" collapsed="false">
      <c r="A36" s="2" t="n">
        <v>35</v>
      </c>
      <c r="B36" s="2" t="s">
        <v>712</v>
      </c>
      <c r="C36" s="2" t="s">
        <v>713</v>
      </c>
      <c r="D36" s="2" t="s">
        <v>714</v>
      </c>
      <c r="E36" s="2" t="s">
        <v>157</v>
      </c>
      <c r="F36" s="2" t="s">
        <v>715</v>
      </c>
      <c r="G36" s="2" t="s">
        <v>716</v>
      </c>
      <c r="H36" s="2" t="n">
        <v>1917</v>
      </c>
      <c r="I36" s="2" t="s">
        <v>717</v>
      </c>
      <c r="J36" s="2" t="s">
        <v>391</v>
      </c>
      <c r="K36" s="3" t="n">
        <v>19928</v>
      </c>
      <c r="L36" s="2" t="n">
        <v>2026</v>
      </c>
      <c r="M36" s="2" t="s">
        <v>96</v>
      </c>
      <c r="N36" s="2" t="s">
        <v>718</v>
      </c>
      <c r="O36" s="2" t="s">
        <v>719</v>
      </c>
      <c r="P36" s="3" t="n">
        <v>750</v>
      </c>
      <c r="Q36" s="2" t="s">
        <v>162</v>
      </c>
      <c r="R36" s="2" t="s">
        <v>99</v>
      </c>
      <c r="S36" s="2" t="s">
        <v>720</v>
      </c>
      <c r="T36" s="2" t="s">
        <v>51</v>
      </c>
      <c r="U36" s="2" t="s">
        <v>721</v>
      </c>
      <c r="V36" s="2" t="s">
        <v>722</v>
      </c>
      <c r="W36" s="2" t="s">
        <v>723</v>
      </c>
      <c r="X36" s="2" t="s">
        <v>724</v>
      </c>
      <c r="Y36" s="2" t="s">
        <v>725</v>
      </c>
      <c r="Z36" s="2" t="s">
        <v>726</v>
      </c>
      <c r="AA36" s="2" t="s">
        <v>727</v>
      </c>
      <c r="AB36" s="2" t="s">
        <v>728</v>
      </c>
      <c r="AC36" s="2" t="s">
        <v>82</v>
      </c>
      <c r="AD36" s="2" t="s">
        <v>83</v>
      </c>
      <c r="AE36" s="2" t="s">
        <v>59</v>
      </c>
      <c r="AF36" s="2" t="s">
        <v>60</v>
      </c>
      <c r="AG36" s="2"/>
      <c r="AH36" s="2"/>
      <c r="AI36" s="2" t="s">
        <v>729</v>
      </c>
      <c r="AJ36" s="2" t="s">
        <v>730</v>
      </c>
      <c r="AK36" s="2" t="s">
        <v>113</v>
      </c>
      <c r="AL36" s="2" t="s">
        <v>731</v>
      </c>
      <c r="AM36" s="2" t="s">
        <v>732</v>
      </c>
    </row>
    <row r="37" customFormat="false" ht="202.95" hidden="false" customHeight="false" outlineLevel="0" collapsed="false">
      <c r="A37" s="2" t="n">
        <v>36</v>
      </c>
      <c r="B37" s="2" t="s">
        <v>733</v>
      </c>
      <c r="C37" s="2" t="s">
        <v>734</v>
      </c>
      <c r="D37" s="2" t="s">
        <v>735</v>
      </c>
      <c r="E37" s="2" t="s">
        <v>157</v>
      </c>
      <c r="F37" s="2"/>
      <c r="G37" s="2" t="s">
        <v>736</v>
      </c>
      <c r="H37" s="2" t="n">
        <v>1949</v>
      </c>
      <c r="I37" s="2" t="s">
        <v>737</v>
      </c>
      <c r="J37" s="2" t="s">
        <v>738</v>
      </c>
      <c r="K37" s="3" t="n">
        <v>3604</v>
      </c>
      <c r="L37" s="2" t="n">
        <v>2025</v>
      </c>
      <c r="M37" s="2" t="s">
        <v>46</v>
      </c>
      <c r="N37" s="2" t="s">
        <v>739</v>
      </c>
      <c r="O37" s="2" t="s">
        <v>740</v>
      </c>
      <c r="P37" s="3" t="n">
        <v>1202</v>
      </c>
      <c r="Q37" s="2" t="s">
        <v>162</v>
      </c>
      <c r="R37" s="2" t="s">
        <v>46</v>
      </c>
      <c r="S37" s="2" t="s">
        <v>741</v>
      </c>
      <c r="T37" s="2" t="s">
        <v>51</v>
      </c>
      <c r="U37" s="2" t="s">
        <v>742</v>
      </c>
      <c r="V37" s="2" t="s">
        <v>743</v>
      </c>
      <c r="W37" s="2" t="s">
        <v>744</v>
      </c>
      <c r="X37" s="2" t="s">
        <v>745</v>
      </c>
      <c r="Y37" s="2"/>
      <c r="Z37" s="2" t="s">
        <v>746</v>
      </c>
      <c r="AA37" s="2"/>
      <c r="AB37" s="2" t="s">
        <v>747</v>
      </c>
      <c r="AC37" s="2" t="s">
        <v>82</v>
      </c>
      <c r="AD37" s="2" t="s">
        <v>83</v>
      </c>
      <c r="AE37" s="2" t="s">
        <v>59</v>
      </c>
      <c r="AF37" s="2" t="s">
        <v>60</v>
      </c>
      <c r="AG37" s="2"/>
      <c r="AH37" s="2"/>
      <c r="AI37" s="2" t="s">
        <v>748</v>
      </c>
      <c r="AJ37" s="2" t="s">
        <v>749</v>
      </c>
      <c r="AK37" s="2" t="s">
        <v>113</v>
      </c>
      <c r="AL37" s="2" t="s">
        <v>750</v>
      </c>
      <c r="AM37" s="2" t="s">
        <v>751</v>
      </c>
    </row>
    <row r="38" customFormat="false" ht="326.1" hidden="false" customHeight="false" outlineLevel="0" collapsed="false">
      <c r="A38" s="2" t="n">
        <v>37</v>
      </c>
      <c r="B38" s="2" t="s">
        <v>752</v>
      </c>
      <c r="C38" s="2" t="s">
        <v>753</v>
      </c>
      <c r="D38" s="2" t="s">
        <v>754</v>
      </c>
      <c r="E38" s="2" t="s">
        <v>157</v>
      </c>
      <c r="F38" s="2" t="s">
        <v>755</v>
      </c>
      <c r="G38" s="2" t="s">
        <v>756</v>
      </c>
      <c r="H38" s="2" t="n">
        <v>1947</v>
      </c>
      <c r="I38" s="2" t="s">
        <v>757</v>
      </c>
      <c r="J38" s="2" t="s">
        <v>738</v>
      </c>
      <c r="K38" s="3" t="n">
        <v>15514</v>
      </c>
      <c r="L38" s="2" t="n">
        <v>2026</v>
      </c>
      <c r="M38" s="2" t="s">
        <v>46</v>
      </c>
      <c r="N38" s="2" t="s">
        <v>758</v>
      </c>
      <c r="O38" s="2" t="s">
        <v>759</v>
      </c>
      <c r="P38" s="3" t="n">
        <v>5505</v>
      </c>
      <c r="Q38" s="2" t="s">
        <v>760</v>
      </c>
      <c r="R38" s="2" t="s">
        <v>46</v>
      </c>
      <c r="S38" s="2" t="s">
        <v>761</v>
      </c>
      <c r="T38" s="2" t="s">
        <v>51</v>
      </c>
      <c r="U38" s="2" t="s">
        <v>762</v>
      </c>
      <c r="V38" s="2" t="s">
        <v>763</v>
      </c>
      <c r="W38" s="2" t="s">
        <v>764</v>
      </c>
      <c r="X38" s="2" t="s">
        <v>765</v>
      </c>
      <c r="Y38" s="2"/>
      <c r="Z38" s="2" t="s">
        <v>766</v>
      </c>
      <c r="AA38" s="2"/>
      <c r="AB38" s="2" t="s">
        <v>767</v>
      </c>
      <c r="AC38" s="2" t="s">
        <v>768</v>
      </c>
      <c r="AD38" s="2" t="s">
        <v>769</v>
      </c>
      <c r="AE38" s="2" t="s">
        <v>59</v>
      </c>
      <c r="AF38" s="2" t="s">
        <v>60</v>
      </c>
      <c r="AG38" s="2"/>
      <c r="AH38" s="2"/>
      <c r="AI38" s="2" t="s">
        <v>770</v>
      </c>
      <c r="AJ38" s="2" t="s">
        <v>771</v>
      </c>
      <c r="AK38" s="2" t="s">
        <v>289</v>
      </c>
      <c r="AL38" s="2" t="s">
        <v>772</v>
      </c>
      <c r="AM38" s="2" t="s">
        <v>773</v>
      </c>
    </row>
    <row r="39" customFormat="false" ht="214.15" hidden="false" customHeight="false" outlineLevel="0" collapsed="false">
      <c r="A39" s="2" t="n">
        <v>38</v>
      </c>
      <c r="B39" s="2" t="s">
        <v>774</v>
      </c>
      <c r="C39" s="2" t="s">
        <v>775</v>
      </c>
      <c r="D39" s="2" t="s">
        <v>776</v>
      </c>
      <c r="E39" s="2" t="s">
        <v>777</v>
      </c>
      <c r="F39" s="2" t="s">
        <v>778</v>
      </c>
      <c r="G39" s="2" t="s">
        <v>779</v>
      </c>
      <c r="H39" s="2" t="n">
        <v>1991</v>
      </c>
      <c r="I39" s="2" t="s">
        <v>780</v>
      </c>
      <c r="J39" s="2" t="s">
        <v>738</v>
      </c>
      <c r="K39" s="3" t="n">
        <v>898</v>
      </c>
      <c r="L39" s="2" t="n">
        <v>2025</v>
      </c>
      <c r="M39" s="2" t="s">
        <v>46</v>
      </c>
      <c r="N39" s="2" t="s">
        <v>781</v>
      </c>
      <c r="O39" s="2" t="s">
        <v>782</v>
      </c>
      <c r="P39" s="3" t="n">
        <v>176</v>
      </c>
      <c r="Q39" s="2" t="s">
        <v>783</v>
      </c>
      <c r="R39" s="2" t="s">
        <v>46</v>
      </c>
      <c r="S39" s="2" t="s">
        <v>784</v>
      </c>
      <c r="T39" s="2" t="s">
        <v>51</v>
      </c>
      <c r="U39" s="2" t="s">
        <v>785</v>
      </c>
      <c r="V39" s="2" t="s">
        <v>786</v>
      </c>
      <c r="W39" s="2" t="s">
        <v>787</v>
      </c>
      <c r="X39" s="2" t="s">
        <v>788</v>
      </c>
      <c r="Y39" s="2" t="s">
        <v>789</v>
      </c>
      <c r="Z39" s="2" t="s">
        <v>790</v>
      </c>
      <c r="AA39" s="2" t="s">
        <v>791</v>
      </c>
      <c r="AB39" s="2" t="s">
        <v>792</v>
      </c>
      <c r="AC39" s="2" t="s">
        <v>82</v>
      </c>
      <c r="AD39" s="2" t="s">
        <v>83</v>
      </c>
      <c r="AE39" s="2" t="s">
        <v>59</v>
      </c>
      <c r="AF39" s="2" t="s">
        <v>60</v>
      </c>
      <c r="AG39" s="2"/>
      <c r="AH39" s="2"/>
      <c r="AI39" s="2" t="s">
        <v>793</v>
      </c>
      <c r="AJ39" s="2" t="s">
        <v>794</v>
      </c>
      <c r="AK39" s="2" t="s">
        <v>113</v>
      </c>
      <c r="AL39" s="2" t="s">
        <v>795</v>
      </c>
      <c r="AM39" s="2" t="s">
        <v>796</v>
      </c>
    </row>
    <row r="40" customFormat="false" ht="404.45" hidden="false" customHeight="false" outlineLevel="0" collapsed="false">
      <c r="A40" s="2" t="n">
        <v>39</v>
      </c>
      <c r="B40" s="2" t="s">
        <v>797</v>
      </c>
      <c r="C40" s="2" t="s">
        <v>798</v>
      </c>
      <c r="D40" s="2" t="s">
        <v>735</v>
      </c>
      <c r="E40" s="2" t="s">
        <v>157</v>
      </c>
      <c r="F40" s="2"/>
      <c r="G40" s="2" t="s">
        <v>799</v>
      </c>
      <c r="H40" s="2" t="n">
        <v>1951</v>
      </c>
      <c r="I40" s="2" t="s">
        <v>800</v>
      </c>
      <c r="J40" s="2" t="s">
        <v>738</v>
      </c>
      <c r="K40" s="3" t="n">
        <v>2000</v>
      </c>
      <c r="L40" s="2" t="n">
        <v>2024</v>
      </c>
      <c r="M40" s="2" t="s">
        <v>239</v>
      </c>
      <c r="N40" s="2" t="s">
        <v>801</v>
      </c>
      <c r="O40" s="2" t="s">
        <v>802</v>
      </c>
      <c r="P40" s="3" t="n">
        <v>631</v>
      </c>
      <c r="Q40" s="2" t="s">
        <v>49</v>
      </c>
      <c r="R40" s="2" t="s">
        <v>46</v>
      </c>
      <c r="S40" s="2" t="s">
        <v>803</v>
      </c>
      <c r="T40" s="2" t="s">
        <v>51</v>
      </c>
      <c r="U40" s="2" t="s">
        <v>804</v>
      </c>
      <c r="V40" s="2" t="s">
        <v>805</v>
      </c>
      <c r="W40" s="2" t="s">
        <v>806</v>
      </c>
      <c r="X40" s="2" t="s">
        <v>807</v>
      </c>
      <c r="Y40" s="2" t="s">
        <v>808</v>
      </c>
      <c r="Z40" s="2" t="s">
        <v>809</v>
      </c>
      <c r="AA40" s="2"/>
      <c r="AB40" s="2" t="s">
        <v>810</v>
      </c>
      <c r="AC40" s="2" t="s">
        <v>82</v>
      </c>
      <c r="AD40" s="2" t="s">
        <v>83</v>
      </c>
      <c r="AE40" s="2" t="s">
        <v>59</v>
      </c>
      <c r="AF40" s="2" t="s">
        <v>60</v>
      </c>
      <c r="AG40" s="2"/>
      <c r="AH40" s="2"/>
      <c r="AI40" s="2" t="s">
        <v>811</v>
      </c>
      <c r="AJ40" s="2" t="s">
        <v>812</v>
      </c>
      <c r="AK40" s="2" t="s">
        <v>63</v>
      </c>
      <c r="AL40" s="2" t="s">
        <v>813</v>
      </c>
      <c r="AM40" s="2" t="s">
        <v>814</v>
      </c>
    </row>
    <row r="41" customFormat="false" ht="258.95" hidden="false" customHeight="false" outlineLevel="0" collapsed="false">
      <c r="A41" s="2" t="n">
        <v>40</v>
      </c>
      <c r="B41" s="2" t="s">
        <v>815</v>
      </c>
      <c r="C41" s="2" t="s">
        <v>816</v>
      </c>
      <c r="D41" s="2" t="s">
        <v>156</v>
      </c>
      <c r="E41" s="2" t="s">
        <v>157</v>
      </c>
      <c r="F41" s="2"/>
      <c r="G41" s="2" t="s">
        <v>817</v>
      </c>
      <c r="H41" s="2" t="n">
        <v>1945</v>
      </c>
      <c r="I41" s="2" t="s">
        <v>818</v>
      </c>
      <c r="J41" s="2" t="s">
        <v>121</v>
      </c>
      <c r="K41" s="3" t="n">
        <v>9000</v>
      </c>
      <c r="L41" s="2" t="n">
        <v>2024</v>
      </c>
      <c r="M41" s="2" t="s">
        <v>46</v>
      </c>
      <c r="N41" s="2" t="s">
        <v>819</v>
      </c>
      <c r="O41" s="2" t="s">
        <v>820</v>
      </c>
      <c r="P41" s="3" t="n">
        <v>2231</v>
      </c>
      <c r="Q41" s="2" t="s">
        <v>49</v>
      </c>
      <c r="R41" s="2" t="s">
        <v>46</v>
      </c>
      <c r="S41" s="2" t="s">
        <v>821</v>
      </c>
      <c r="T41" s="2" t="s">
        <v>51</v>
      </c>
      <c r="U41" s="2" t="s">
        <v>822</v>
      </c>
      <c r="V41" s="2" t="s">
        <v>823</v>
      </c>
      <c r="W41" s="2" t="s">
        <v>824</v>
      </c>
      <c r="X41" s="2" t="s">
        <v>825</v>
      </c>
      <c r="Y41" s="2"/>
      <c r="Z41" s="2" t="s">
        <v>826</v>
      </c>
      <c r="AA41" s="2"/>
      <c r="AB41" s="2" t="s">
        <v>827</v>
      </c>
      <c r="AC41" s="2" t="s">
        <v>82</v>
      </c>
      <c r="AD41" s="2" t="s">
        <v>83</v>
      </c>
      <c r="AE41" s="2" t="s">
        <v>59</v>
      </c>
      <c r="AF41" s="2" t="s">
        <v>60</v>
      </c>
      <c r="AG41" s="2"/>
      <c r="AH41" s="2"/>
      <c r="AI41" s="2" t="s">
        <v>828</v>
      </c>
      <c r="AJ41" s="2" t="s">
        <v>829</v>
      </c>
      <c r="AK41" s="2" t="s">
        <v>63</v>
      </c>
      <c r="AL41" s="2" t="s">
        <v>830</v>
      </c>
      <c r="AM41" s="2" t="s">
        <v>831</v>
      </c>
    </row>
    <row r="42" customFormat="false" ht="281.3" hidden="false" customHeight="false" outlineLevel="0" collapsed="false">
      <c r="A42" s="2" t="n">
        <v>41</v>
      </c>
      <c r="B42" s="2" t="s">
        <v>832</v>
      </c>
      <c r="C42" s="2" t="s">
        <v>833</v>
      </c>
      <c r="D42" s="2" t="s">
        <v>834</v>
      </c>
      <c r="E42" s="2" t="s">
        <v>583</v>
      </c>
      <c r="F42" s="2" t="s">
        <v>835</v>
      </c>
      <c r="G42" s="2" t="s">
        <v>836</v>
      </c>
      <c r="H42" s="2" t="n">
        <v>2017</v>
      </c>
      <c r="I42" s="2" t="s">
        <v>837</v>
      </c>
      <c r="J42" s="2" t="s">
        <v>738</v>
      </c>
      <c r="K42" s="3" t="n">
        <v>7600</v>
      </c>
      <c r="L42" s="2" t="n">
        <v>2025</v>
      </c>
      <c r="M42" s="2" t="s">
        <v>96</v>
      </c>
      <c r="N42" s="2" t="s">
        <v>838</v>
      </c>
      <c r="O42" s="2" t="s">
        <v>839</v>
      </c>
      <c r="P42" s="3" t="n">
        <v>1010</v>
      </c>
      <c r="Q42" s="2" t="s">
        <v>783</v>
      </c>
      <c r="R42" s="2" t="s">
        <v>99</v>
      </c>
      <c r="S42" s="2" t="s">
        <v>840</v>
      </c>
      <c r="T42" s="2" t="s">
        <v>51</v>
      </c>
      <c r="U42" s="2" t="s">
        <v>841</v>
      </c>
      <c r="V42" s="2" t="s">
        <v>842</v>
      </c>
      <c r="W42" s="2" t="s">
        <v>843</v>
      </c>
      <c r="X42" s="2" t="s">
        <v>844</v>
      </c>
      <c r="Y42" s="2"/>
      <c r="Z42" s="2" t="s">
        <v>845</v>
      </c>
      <c r="AA42" s="2" t="s">
        <v>846</v>
      </c>
      <c r="AB42" s="2" t="s">
        <v>847</v>
      </c>
      <c r="AC42" s="2" t="s">
        <v>82</v>
      </c>
      <c r="AD42" s="2" t="s">
        <v>83</v>
      </c>
      <c r="AE42" s="2" t="s">
        <v>59</v>
      </c>
      <c r="AF42" s="2" t="s">
        <v>60</v>
      </c>
      <c r="AG42" s="2"/>
      <c r="AH42" s="2"/>
      <c r="AI42" s="2" t="s">
        <v>848</v>
      </c>
      <c r="AJ42" s="2" t="s">
        <v>849</v>
      </c>
      <c r="AK42" s="2" t="s">
        <v>113</v>
      </c>
      <c r="AL42" s="2" t="s">
        <v>850</v>
      </c>
      <c r="AM42" s="2" t="s">
        <v>851</v>
      </c>
    </row>
    <row r="43" customFormat="false" ht="326.1" hidden="false" customHeight="false" outlineLevel="0" collapsed="false">
      <c r="A43" s="2" t="n">
        <v>42</v>
      </c>
      <c r="B43" s="2" t="s">
        <v>852</v>
      </c>
      <c r="C43" s="2" t="s">
        <v>853</v>
      </c>
      <c r="D43" s="2" t="s">
        <v>854</v>
      </c>
      <c r="E43" s="2" t="s">
        <v>583</v>
      </c>
      <c r="F43" s="2"/>
      <c r="G43" s="2" t="s">
        <v>855</v>
      </c>
      <c r="H43" s="2" t="n">
        <v>1959</v>
      </c>
      <c r="I43" s="2" t="s">
        <v>856</v>
      </c>
      <c r="J43" s="2" t="s">
        <v>738</v>
      </c>
      <c r="K43" s="3" t="n">
        <v>2200</v>
      </c>
      <c r="L43" s="2" t="n">
        <v>2025</v>
      </c>
      <c r="M43" s="2" t="s">
        <v>46</v>
      </c>
      <c r="N43" s="2" t="s">
        <v>857</v>
      </c>
      <c r="O43" s="2" t="s">
        <v>858</v>
      </c>
      <c r="P43" s="3" t="n">
        <v>550</v>
      </c>
      <c r="Q43" s="2" t="s">
        <v>162</v>
      </c>
      <c r="R43" s="2" t="s">
        <v>46</v>
      </c>
      <c r="S43" s="2" t="s">
        <v>859</v>
      </c>
      <c r="T43" s="2" t="s">
        <v>51</v>
      </c>
      <c r="U43" s="2" t="s">
        <v>860</v>
      </c>
      <c r="V43" s="2" t="s">
        <v>861</v>
      </c>
      <c r="W43" s="2" t="s">
        <v>862</v>
      </c>
      <c r="X43" s="2" t="s">
        <v>863</v>
      </c>
      <c r="Y43" s="2"/>
      <c r="Z43" s="2" t="s">
        <v>864</v>
      </c>
      <c r="AA43" s="2"/>
      <c r="AB43" s="2" t="s">
        <v>865</v>
      </c>
      <c r="AC43" s="2" t="s">
        <v>768</v>
      </c>
      <c r="AD43" s="2" t="s">
        <v>769</v>
      </c>
      <c r="AE43" s="2" t="s">
        <v>109</v>
      </c>
      <c r="AF43" s="2" t="s">
        <v>110</v>
      </c>
      <c r="AG43" s="2"/>
      <c r="AH43" s="2"/>
      <c r="AI43" s="2" t="s">
        <v>866</v>
      </c>
      <c r="AJ43" s="2" t="s">
        <v>867</v>
      </c>
      <c r="AK43" s="2" t="s">
        <v>289</v>
      </c>
      <c r="AL43" s="2" t="s">
        <v>868</v>
      </c>
      <c r="AM43" s="2" t="s">
        <v>869</v>
      </c>
    </row>
    <row r="44" customFormat="false" ht="258.95" hidden="false" customHeight="false" outlineLevel="0" collapsed="false">
      <c r="A44" s="2" t="n">
        <v>43</v>
      </c>
      <c r="B44" s="2" t="s">
        <v>870</v>
      </c>
      <c r="C44" s="2" t="s">
        <v>871</v>
      </c>
      <c r="D44" s="2" t="s">
        <v>872</v>
      </c>
      <c r="E44" s="2" t="s">
        <v>873</v>
      </c>
      <c r="F44" s="2" t="s">
        <v>874</v>
      </c>
      <c r="G44" s="2" t="s">
        <v>875</v>
      </c>
      <c r="H44" s="2" t="n">
        <v>1922</v>
      </c>
      <c r="I44" s="2" t="s">
        <v>876</v>
      </c>
      <c r="J44" s="2" t="s">
        <v>45</v>
      </c>
      <c r="K44" s="3" t="n">
        <v>4500</v>
      </c>
      <c r="L44" s="2" t="n">
        <v>2025</v>
      </c>
      <c r="M44" s="2" t="s">
        <v>46</v>
      </c>
      <c r="N44" s="2" t="s">
        <v>877</v>
      </c>
      <c r="O44" s="2" t="s">
        <v>878</v>
      </c>
      <c r="P44" s="3" t="n">
        <v>692</v>
      </c>
      <c r="Q44" s="2" t="s">
        <v>49</v>
      </c>
      <c r="R44" s="2" t="s">
        <v>46</v>
      </c>
      <c r="S44" s="2" t="s">
        <v>879</v>
      </c>
      <c r="T44" s="2" t="s">
        <v>51</v>
      </c>
      <c r="U44" s="2" t="s">
        <v>880</v>
      </c>
      <c r="V44" s="2" t="s">
        <v>881</v>
      </c>
      <c r="W44" s="2" t="s">
        <v>882</v>
      </c>
      <c r="X44" s="2" t="s">
        <v>883</v>
      </c>
      <c r="Y44" s="2"/>
      <c r="Z44" s="2" t="s">
        <v>884</v>
      </c>
      <c r="AA44" s="2"/>
      <c r="AB44" s="2" t="s">
        <v>885</v>
      </c>
      <c r="AC44" s="2" t="s">
        <v>82</v>
      </c>
      <c r="AD44" s="2" t="s">
        <v>83</v>
      </c>
      <c r="AE44" s="2" t="s">
        <v>59</v>
      </c>
      <c r="AF44" s="2" t="s">
        <v>60</v>
      </c>
      <c r="AG44" s="2"/>
      <c r="AH44" s="2"/>
      <c r="AI44" s="2" t="s">
        <v>886</v>
      </c>
      <c r="AJ44" s="2" t="s">
        <v>887</v>
      </c>
      <c r="AK44" s="2" t="s">
        <v>63</v>
      </c>
      <c r="AL44" s="2" t="s">
        <v>888</v>
      </c>
      <c r="AM44" s="2" t="s">
        <v>889</v>
      </c>
    </row>
    <row r="45" customFormat="false" ht="202.95" hidden="false" customHeight="false" outlineLevel="0" collapsed="false">
      <c r="A45" s="2" t="n">
        <v>44</v>
      </c>
      <c r="B45" s="2" t="s">
        <v>890</v>
      </c>
      <c r="C45" s="2" t="s">
        <v>891</v>
      </c>
      <c r="D45" s="2" t="s">
        <v>892</v>
      </c>
      <c r="E45" s="2" t="s">
        <v>621</v>
      </c>
      <c r="F45" s="2" t="s">
        <v>893</v>
      </c>
      <c r="G45" s="2" t="s">
        <v>894</v>
      </c>
      <c r="H45" s="2" t="n">
        <v>1943</v>
      </c>
      <c r="I45" s="2" t="s">
        <v>895</v>
      </c>
      <c r="J45" s="2" t="s">
        <v>896</v>
      </c>
      <c r="K45" s="3" t="n">
        <v>3200</v>
      </c>
      <c r="L45" s="2" t="n">
        <v>2024</v>
      </c>
      <c r="M45" s="2" t="s">
        <v>46</v>
      </c>
      <c r="N45" s="2" t="s">
        <v>897</v>
      </c>
      <c r="O45" s="2" t="s">
        <v>898</v>
      </c>
      <c r="P45" s="3" t="n">
        <v>640</v>
      </c>
      <c r="Q45" s="2" t="s">
        <v>489</v>
      </c>
      <c r="R45" s="2" t="s">
        <v>239</v>
      </c>
      <c r="S45" s="2" t="s">
        <v>899</v>
      </c>
      <c r="T45" s="2" t="s">
        <v>241</v>
      </c>
      <c r="U45" s="2" t="s">
        <v>900</v>
      </c>
      <c r="V45" s="2" t="s">
        <v>901</v>
      </c>
      <c r="W45" s="2" t="s">
        <v>902</v>
      </c>
      <c r="X45" s="2" t="s">
        <v>903</v>
      </c>
      <c r="Y45" s="2" t="s">
        <v>904</v>
      </c>
      <c r="Z45" s="2" t="s">
        <v>905</v>
      </c>
      <c r="AA45" s="2" t="s">
        <v>906</v>
      </c>
      <c r="AB45" s="2" t="s">
        <v>907</v>
      </c>
      <c r="AC45" s="2" t="s">
        <v>82</v>
      </c>
      <c r="AD45" s="2" t="s">
        <v>83</v>
      </c>
      <c r="AE45" s="2" t="s">
        <v>59</v>
      </c>
      <c r="AF45" s="2" t="s">
        <v>60</v>
      </c>
      <c r="AG45" s="2"/>
      <c r="AH45" s="2"/>
      <c r="AI45" s="2" t="s">
        <v>908</v>
      </c>
      <c r="AJ45" s="2" t="s">
        <v>909</v>
      </c>
      <c r="AK45" s="2" t="s">
        <v>63</v>
      </c>
      <c r="AL45" s="2" t="s">
        <v>910</v>
      </c>
      <c r="AM45" s="2" t="s">
        <v>911</v>
      </c>
    </row>
    <row r="46" customFormat="false" ht="158.2" hidden="false" customHeight="false" outlineLevel="0" collapsed="false">
      <c r="A46" s="2" t="n">
        <v>45</v>
      </c>
      <c r="B46" s="2" t="s">
        <v>912</v>
      </c>
      <c r="C46" s="2" t="s">
        <v>913</v>
      </c>
      <c r="D46" s="2" t="s">
        <v>914</v>
      </c>
      <c r="E46" s="2" t="s">
        <v>42</v>
      </c>
      <c r="F46" s="2"/>
      <c r="G46" s="2" t="s">
        <v>915</v>
      </c>
      <c r="H46" s="2" t="n">
        <v>1936</v>
      </c>
      <c r="I46" s="2" t="s">
        <v>916</v>
      </c>
      <c r="J46" s="2" t="s">
        <v>917</v>
      </c>
      <c r="K46" s="3" t="n">
        <v>1000</v>
      </c>
      <c r="L46" s="2" t="n">
        <v>2024</v>
      </c>
      <c r="M46" s="2" t="s">
        <v>239</v>
      </c>
      <c r="N46" s="2" t="s">
        <v>918</v>
      </c>
      <c r="O46" s="2" t="s">
        <v>919</v>
      </c>
      <c r="P46" s="3" t="n">
        <v>250</v>
      </c>
      <c r="Q46" s="2" t="s">
        <v>489</v>
      </c>
      <c r="R46" s="2" t="s">
        <v>239</v>
      </c>
      <c r="S46" s="2" t="s">
        <v>920</v>
      </c>
      <c r="T46" s="2" t="s">
        <v>239</v>
      </c>
      <c r="U46" s="2" t="s">
        <v>921</v>
      </c>
      <c r="V46" s="2" t="s">
        <v>922</v>
      </c>
      <c r="W46" s="2" t="s">
        <v>923</v>
      </c>
      <c r="X46" s="2" t="s">
        <v>924</v>
      </c>
      <c r="Y46" s="2" t="s">
        <v>925</v>
      </c>
      <c r="Z46" s="2" t="s">
        <v>926</v>
      </c>
      <c r="AA46" s="2" t="s">
        <v>927</v>
      </c>
      <c r="AB46" s="2" t="s">
        <v>928</v>
      </c>
      <c r="AC46" s="2" t="s">
        <v>82</v>
      </c>
      <c r="AD46" s="2" t="s">
        <v>83</v>
      </c>
      <c r="AE46" s="2" t="s">
        <v>59</v>
      </c>
      <c r="AF46" s="2" t="s">
        <v>60</v>
      </c>
      <c r="AG46" s="2"/>
      <c r="AH46" s="2"/>
      <c r="AI46" s="2" t="s">
        <v>929</v>
      </c>
      <c r="AJ46" s="2" t="s">
        <v>930</v>
      </c>
      <c r="AK46" s="2" t="s">
        <v>63</v>
      </c>
      <c r="AL46" s="2"/>
      <c r="AM46" s="2" t="s">
        <v>931</v>
      </c>
    </row>
    <row r="47" customFormat="false" ht="247.75" hidden="false" customHeight="false" outlineLevel="0" collapsed="false">
      <c r="A47" s="2" t="n">
        <v>46</v>
      </c>
      <c r="B47" s="2" t="s">
        <v>932</v>
      </c>
      <c r="C47" s="2" t="s">
        <v>933</v>
      </c>
      <c r="D47" s="2" t="s">
        <v>934</v>
      </c>
      <c r="E47" s="2" t="s">
        <v>157</v>
      </c>
      <c r="F47" s="2"/>
      <c r="G47" s="2" t="s">
        <v>505</v>
      </c>
      <c r="H47" s="2" t="n">
        <v>1958</v>
      </c>
      <c r="I47" s="2" t="s">
        <v>935</v>
      </c>
      <c r="J47" s="2" t="s">
        <v>121</v>
      </c>
      <c r="K47" s="3" t="n">
        <v>400</v>
      </c>
      <c r="L47" s="2" t="n">
        <v>2024</v>
      </c>
      <c r="M47" s="2" t="s">
        <v>239</v>
      </c>
      <c r="N47" s="2" t="s">
        <v>936</v>
      </c>
      <c r="O47" s="2" t="s">
        <v>937</v>
      </c>
      <c r="P47" s="3" t="n">
        <v>80</v>
      </c>
      <c r="Q47" s="2" t="s">
        <v>938</v>
      </c>
      <c r="R47" s="2" t="s">
        <v>239</v>
      </c>
      <c r="S47" s="2" t="s">
        <v>939</v>
      </c>
      <c r="T47" s="2" t="s">
        <v>239</v>
      </c>
      <c r="U47" s="2" t="s">
        <v>940</v>
      </c>
      <c r="V47" s="2" t="s">
        <v>941</v>
      </c>
      <c r="W47" s="2" t="s">
        <v>942</v>
      </c>
      <c r="X47" s="2"/>
      <c r="Y47" s="2"/>
      <c r="Z47" s="2" t="s">
        <v>943</v>
      </c>
      <c r="AA47" s="2"/>
      <c r="AB47" s="2" t="s">
        <v>944</v>
      </c>
      <c r="AC47" s="2" t="s">
        <v>82</v>
      </c>
      <c r="AD47" s="2" t="s">
        <v>83</v>
      </c>
      <c r="AE47" s="2" t="s">
        <v>59</v>
      </c>
      <c r="AF47" s="2" t="s">
        <v>60</v>
      </c>
      <c r="AG47" s="2"/>
      <c r="AH47" s="2"/>
      <c r="AI47" s="2" t="s">
        <v>945</v>
      </c>
      <c r="AJ47" s="2" t="s">
        <v>946</v>
      </c>
      <c r="AK47" s="2" t="s">
        <v>113</v>
      </c>
      <c r="AL47" s="2" t="s">
        <v>947</v>
      </c>
      <c r="AM47" s="2" t="s">
        <v>948</v>
      </c>
    </row>
    <row r="48" customFormat="false" ht="292.5" hidden="false" customHeight="false" outlineLevel="0" collapsed="false">
      <c r="A48" s="2" t="n">
        <v>47</v>
      </c>
      <c r="B48" s="2" t="s">
        <v>949</v>
      </c>
      <c r="C48" s="2" t="s">
        <v>950</v>
      </c>
      <c r="D48" s="2" t="s">
        <v>951</v>
      </c>
      <c r="E48" s="2" t="s">
        <v>91</v>
      </c>
      <c r="F48" s="2" t="s">
        <v>952</v>
      </c>
      <c r="G48" s="2" t="s">
        <v>953</v>
      </c>
      <c r="H48" s="2" t="n">
        <v>1979</v>
      </c>
      <c r="I48" s="2" t="s">
        <v>954</v>
      </c>
      <c r="J48" s="2" t="s">
        <v>917</v>
      </c>
      <c r="K48" s="3" t="n">
        <v>22500</v>
      </c>
      <c r="L48" s="2" t="n">
        <v>2025</v>
      </c>
      <c r="M48" s="2" t="s">
        <v>96</v>
      </c>
      <c r="N48" s="2" t="s">
        <v>955</v>
      </c>
      <c r="O48" s="2" t="s">
        <v>956</v>
      </c>
      <c r="P48" s="3" t="n">
        <v>7400</v>
      </c>
      <c r="Q48" s="2" t="s">
        <v>49</v>
      </c>
      <c r="R48" s="2" t="s">
        <v>96</v>
      </c>
      <c r="S48" s="2" t="s">
        <v>957</v>
      </c>
      <c r="T48" s="2" t="s">
        <v>51</v>
      </c>
      <c r="U48" s="2" t="s">
        <v>958</v>
      </c>
      <c r="V48" s="2" t="s">
        <v>959</v>
      </c>
      <c r="W48" s="2" t="s">
        <v>960</v>
      </c>
      <c r="X48" s="2" t="s">
        <v>961</v>
      </c>
      <c r="Y48" s="2" t="s">
        <v>962</v>
      </c>
      <c r="Z48" s="2" t="s">
        <v>963</v>
      </c>
      <c r="AA48" s="2"/>
      <c r="AB48" s="2" t="s">
        <v>964</v>
      </c>
      <c r="AC48" s="2" t="s">
        <v>82</v>
      </c>
      <c r="AD48" s="2" t="s">
        <v>83</v>
      </c>
      <c r="AE48" s="2" t="s">
        <v>59</v>
      </c>
      <c r="AF48" s="2" t="s">
        <v>60</v>
      </c>
      <c r="AG48" s="2"/>
      <c r="AH48" s="2"/>
      <c r="AI48" s="2" t="s">
        <v>965</v>
      </c>
      <c r="AJ48" s="2" t="s">
        <v>966</v>
      </c>
      <c r="AK48" s="2" t="s">
        <v>289</v>
      </c>
      <c r="AL48" s="2" t="s">
        <v>967</v>
      </c>
      <c r="AM48" s="2" t="s">
        <v>968</v>
      </c>
    </row>
    <row r="49" customFormat="false" ht="236.55" hidden="false" customHeight="false" outlineLevel="0" collapsed="false">
      <c r="A49" s="2" t="n">
        <v>48</v>
      </c>
      <c r="B49" s="2" t="s">
        <v>969</v>
      </c>
      <c r="C49" s="2" t="s">
        <v>970</v>
      </c>
      <c r="D49" s="2" t="s">
        <v>971</v>
      </c>
      <c r="E49" s="2" t="s">
        <v>91</v>
      </c>
      <c r="F49" s="2" t="s">
        <v>972</v>
      </c>
      <c r="G49" s="2" t="s">
        <v>973</v>
      </c>
      <c r="H49" s="2" t="n">
        <v>1990</v>
      </c>
      <c r="I49" s="2" t="s">
        <v>974</v>
      </c>
      <c r="J49" s="2" t="s">
        <v>121</v>
      </c>
      <c r="K49" s="3" t="n">
        <v>1000</v>
      </c>
      <c r="L49" s="2" t="n">
        <v>2024</v>
      </c>
      <c r="M49" s="2" t="s">
        <v>239</v>
      </c>
      <c r="N49" s="2" t="s">
        <v>975</v>
      </c>
      <c r="O49" s="2" t="s">
        <v>976</v>
      </c>
      <c r="P49" s="3" t="n">
        <v>200</v>
      </c>
      <c r="Q49" s="2" t="s">
        <v>489</v>
      </c>
      <c r="R49" s="2" t="s">
        <v>239</v>
      </c>
      <c r="S49" s="2" t="s">
        <v>977</v>
      </c>
      <c r="T49" s="2" t="s">
        <v>239</v>
      </c>
      <c r="U49" s="2" t="s">
        <v>978</v>
      </c>
      <c r="V49" s="2" t="s">
        <v>979</v>
      </c>
      <c r="W49" s="2" t="s">
        <v>980</v>
      </c>
      <c r="X49" s="2" t="s">
        <v>981</v>
      </c>
      <c r="Y49" s="2" t="s">
        <v>982</v>
      </c>
      <c r="Z49" s="2" t="s">
        <v>983</v>
      </c>
      <c r="AA49" s="2" t="s">
        <v>984</v>
      </c>
      <c r="AB49" s="2" t="s">
        <v>985</v>
      </c>
      <c r="AC49" s="2" t="s">
        <v>82</v>
      </c>
      <c r="AD49" s="2" t="s">
        <v>83</v>
      </c>
      <c r="AE49" s="2" t="s">
        <v>59</v>
      </c>
      <c r="AF49" s="2" t="s">
        <v>60</v>
      </c>
      <c r="AG49" s="2"/>
      <c r="AH49" s="2"/>
      <c r="AI49" s="2" t="s">
        <v>986</v>
      </c>
      <c r="AJ49" s="2" t="s">
        <v>987</v>
      </c>
      <c r="AK49" s="2" t="s">
        <v>63</v>
      </c>
      <c r="AL49" s="2" t="s">
        <v>988</v>
      </c>
      <c r="AM49" s="2" t="s">
        <v>989</v>
      </c>
    </row>
    <row r="50" customFormat="false" ht="202.95" hidden="false" customHeight="false" outlineLevel="0" collapsed="false">
      <c r="A50" s="2" t="n">
        <v>49</v>
      </c>
      <c r="B50" s="2" t="s">
        <v>990</v>
      </c>
      <c r="C50" s="2" t="s">
        <v>991</v>
      </c>
      <c r="D50" s="2" t="s">
        <v>992</v>
      </c>
      <c r="E50" s="2" t="s">
        <v>91</v>
      </c>
      <c r="F50" s="2"/>
      <c r="G50" s="2" t="s">
        <v>993</v>
      </c>
      <c r="H50" s="2" t="n">
        <v>1990</v>
      </c>
      <c r="I50" s="2" t="s">
        <v>994</v>
      </c>
      <c r="J50" s="2" t="s">
        <v>917</v>
      </c>
      <c r="K50" s="3" t="n">
        <v>400</v>
      </c>
      <c r="L50" s="2" t="n">
        <v>2024</v>
      </c>
      <c r="M50" s="2" t="s">
        <v>239</v>
      </c>
      <c r="N50" s="2" t="s">
        <v>995</v>
      </c>
      <c r="O50" s="2" t="s">
        <v>996</v>
      </c>
      <c r="P50" s="3" t="n">
        <v>77</v>
      </c>
      <c r="Q50" s="2" t="s">
        <v>489</v>
      </c>
      <c r="R50" s="2" t="s">
        <v>239</v>
      </c>
      <c r="S50" s="2" t="s">
        <v>997</v>
      </c>
      <c r="T50" s="2" t="s">
        <v>239</v>
      </c>
      <c r="U50" s="2" t="s">
        <v>998</v>
      </c>
      <c r="V50" s="2" t="s">
        <v>999</v>
      </c>
      <c r="W50" s="2" t="s">
        <v>1000</v>
      </c>
      <c r="X50" s="2" t="s">
        <v>1001</v>
      </c>
      <c r="Y50" s="2" t="s">
        <v>1002</v>
      </c>
      <c r="Z50" s="2" t="s">
        <v>1003</v>
      </c>
      <c r="AA50" s="2"/>
      <c r="AB50" s="2" t="s">
        <v>1004</v>
      </c>
      <c r="AC50" s="2" t="s">
        <v>82</v>
      </c>
      <c r="AD50" s="2" t="s">
        <v>83</v>
      </c>
      <c r="AE50" s="2" t="s">
        <v>59</v>
      </c>
      <c r="AF50" s="2" t="s">
        <v>60</v>
      </c>
      <c r="AG50" s="2"/>
      <c r="AH50" s="2"/>
      <c r="AI50" s="2" t="s">
        <v>1005</v>
      </c>
      <c r="AJ50" s="2" t="s">
        <v>1006</v>
      </c>
      <c r="AK50" s="2" t="s">
        <v>113</v>
      </c>
      <c r="AL50" s="2" t="s">
        <v>1007</v>
      </c>
      <c r="AM50" s="2" t="s">
        <v>1008</v>
      </c>
    </row>
    <row r="51" customFormat="false" ht="270.1" hidden="false" customHeight="false" outlineLevel="0" collapsed="false">
      <c r="A51" s="2" t="n">
        <v>50</v>
      </c>
      <c r="B51" s="2" t="s">
        <v>1009</v>
      </c>
      <c r="C51" s="2" t="s">
        <v>1010</v>
      </c>
      <c r="D51" s="2" t="s">
        <v>1011</v>
      </c>
      <c r="E51" s="2" t="s">
        <v>91</v>
      </c>
      <c r="F51" s="2" t="s">
        <v>1012</v>
      </c>
      <c r="G51" s="2" t="s">
        <v>1013</v>
      </c>
      <c r="H51" s="2" t="n">
        <v>1962</v>
      </c>
      <c r="I51" s="2" t="s">
        <v>1014</v>
      </c>
      <c r="J51" s="2" t="s">
        <v>1015</v>
      </c>
      <c r="K51" s="3" t="n">
        <v>4000</v>
      </c>
      <c r="L51" s="2" t="n">
        <v>2025</v>
      </c>
      <c r="M51" s="2" t="s">
        <v>96</v>
      </c>
      <c r="N51" s="2" t="s">
        <v>1016</v>
      </c>
      <c r="O51" s="2" t="s">
        <v>1017</v>
      </c>
      <c r="P51" s="3" t="n">
        <v>965</v>
      </c>
      <c r="Q51" s="2" t="s">
        <v>783</v>
      </c>
      <c r="R51" s="2" t="s">
        <v>96</v>
      </c>
      <c r="S51" s="2" t="s">
        <v>1018</v>
      </c>
      <c r="T51" s="2" t="s">
        <v>241</v>
      </c>
      <c r="U51" s="2" t="s">
        <v>1019</v>
      </c>
      <c r="V51" s="2" t="s">
        <v>1020</v>
      </c>
      <c r="W51" s="2" t="s">
        <v>1021</v>
      </c>
      <c r="X51" s="2" t="s">
        <v>1022</v>
      </c>
      <c r="Y51" s="2" t="s">
        <v>1023</v>
      </c>
      <c r="Z51" s="2" t="s">
        <v>1024</v>
      </c>
      <c r="AA51" s="2"/>
      <c r="AB51" s="2" t="s">
        <v>1025</v>
      </c>
      <c r="AC51" s="2" t="s">
        <v>82</v>
      </c>
      <c r="AD51" s="2" t="s">
        <v>83</v>
      </c>
      <c r="AE51" s="2" t="s">
        <v>109</v>
      </c>
      <c r="AF51" s="2" t="s">
        <v>110</v>
      </c>
      <c r="AG51" s="2"/>
      <c r="AH51" s="2"/>
      <c r="AI51" s="2" t="s">
        <v>1026</v>
      </c>
      <c r="AJ51" s="2" t="s">
        <v>1027</v>
      </c>
      <c r="AK51" s="2" t="s">
        <v>63</v>
      </c>
      <c r="AL51" s="2" t="s">
        <v>1028</v>
      </c>
      <c r="AM51" s="2" t="s">
        <v>1029</v>
      </c>
    </row>
    <row r="52" customFormat="false" ht="236.55" hidden="false" customHeight="false" outlineLevel="0" collapsed="false">
      <c r="A52" s="2" t="n">
        <v>51</v>
      </c>
      <c r="B52" s="2" t="s">
        <v>1030</v>
      </c>
      <c r="C52" s="2" t="s">
        <v>1031</v>
      </c>
      <c r="D52" s="2" t="s">
        <v>1032</v>
      </c>
      <c r="E52" s="2" t="s">
        <v>1033</v>
      </c>
      <c r="F52" s="2" t="s">
        <v>1034</v>
      </c>
      <c r="G52" s="2" t="s">
        <v>1035</v>
      </c>
      <c r="H52" s="2" t="n">
        <v>1997</v>
      </c>
      <c r="I52" s="2" t="s">
        <v>1036</v>
      </c>
      <c r="J52" s="2" t="s">
        <v>121</v>
      </c>
      <c r="K52" s="3" t="n">
        <v>700</v>
      </c>
      <c r="L52" s="2" t="n">
        <v>2025</v>
      </c>
      <c r="M52" s="2" t="s">
        <v>46</v>
      </c>
      <c r="N52" s="2" t="s">
        <v>1037</v>
      </c>
      <c r="O52" s="2" t="s">
        <v>1038</v>
      </c>
      <c r="P52" s="3" t="n">
        <v>201</v>
      </c>
      <c r="Q52" s="2" t="s">
        <v>783</v>
      </c>
      <c r="R52" s="2" t="s">
        <v>46</v>
      </c>
      <c r="S52" s="2" t="s">
        <v>1039</v>
      </c>
      <c r="T52" s="2" t="s">
        <v>51</v>
      </c>
      <c r="U52" s="2" t="s">
        <v>1040</v>
      </c>
      <c r="V52" s="2" t="s">
        <v>1041</v>
      </c>
      <c r="W52" s="2" t="s">
        <v>1042</v>
      </c>
      <c r="X52" s="2" t="s">
        <v>1043</v>
      </c>
      <c r="Y52" s="2" t="s">
        <v>1044</v>
      </c>
      <c r="Z52" s="2" t="s">
        <v>1045</v>
      </c>
      <c r="AA52" s="2" t="s">
        <v>1046</v>
      </c>
      <c r="AB52" s="2" t="s">
        <v>1047</v>
      </c>
      <c r="AC52" s="2" t="s">
        <v>82</v>
      </c>
      <c r="AD52" s="2" t="s">
        <v>83</v>
      </c>
      <c r="AE52" s="2" t="s">
        <v>59</v>
      </c>
      <c r="AF52" s="2" t="s">
        <v>60</v>
      </c>
      <c r="AG52" s="2"/>
      <c r="AH52" s="2"/>
      <c r="AI52" s="2" t="s">
        <v>1048</v>
      </c>
      <c r="AJ52" s="2" t="s">
        <v>1049</v>
      </c>
      <c r="AK52" s="2" t="s">
        <v>63</v>
      </c>
      <c r="AL52" s="2" t="s">
        <v>1050</v>
      </c>
      <c r="AM52" s="2" t="s">
        <v>1051</v>
      </c>
    </row>
    <row r="53" customFormat="false" ht="292.5" hidden="false" customHeight="false" outlineLevel="0" collapsed="false">
      <c r="A53" s="2" t="n">
        <v>52</v>
      </c>
      <c r="B53" s="2" t="s">
        <v>1052</v>
      </c>
      <c r="C53" s="2" t="s">
        <v>1053</v>
      </c>
      <c r="D53" s="2" t="s">
        <v>1054</v>
      </c>
      <c r="E53" s="2" t="s">
        <v>42</v>
      </c>
      <c r="F53" s="2" t="s">
        <v>1055</v>
      </c>
      <c r="G53" s="2" t="s">
        <v>1056</v>
      </c>
      <c r="H53" s="2" t="n">
        <v>1947</v>
      </c>
      <c r="I53" s="2" t="s">
        <v>1057</v>
      </c>
      <c r="J53" s="2" t="s">
        <v>896</v>
      </c>
      <c r="K53" s="3" t="n">
        <v>17000</v>
      </c>
      <c r="L53" s="2" t="n">
        <v>2025</v>
      </c>
      <c r="M53" s="2" t="s">
        <v>96</v>
      </c>
      <c r="N53" s="2" t="s">
        <v>1058</v>
      </c>
      <c r="O53" s="2" t="s">
        <v>1059</v>
      </c>
      <c r="P53" s="3" t="n">
        <v>3321</v>
      </c>
      <c r="Q53" s="2" t="s">
        <v>49</v>
      </c>
      <c r="R53" s="2" t="s">
        <v>99</v>
      </c>
      <c r="S53" s="2" t="s">
        <v>1060</v>
      </c>
      <c r="T53" s="2" t="s">
        <v>51</v>
      </c>
      <c r="U53" s="2" t="s">
        <v>1061</v>
      </c>
      <c r="V53" s="2" t="s">
        <v>1062</v>
      </c>
      <c r="W53" s="2" t="s">
        <v>1063</v>
      </c>
      <c r="X53" s="2" t="s">
        <v>1064</v>
      </c>
      <c r="Y53" s="2" t="s">
        <v>1065</v>
      </c>
      <c r="Z53" s="2" t="s">
        <v>1066</v>
      </c>
      <c r="AA53" s="2" t="s">
        <v>1067</v>
      </c>
      <c r="AB53" s="2" t="s">
        <v>1068</v>
      </c>
      <c r="AC53" s="2" t="s">
        <v>82</v>
      </c>
      <c r="AD53" s="2" t="s">
        <v>83</v>
      </c>
      <c r="AE53" s="2" t="s">
        <v>109</v>
      </c>
      <c r="AF53" s="2" t="s">
        <v>110</v>
      </c>
      <c r="AG53" s="2"/>
      <c r="AH53" s="2"/>
      <c r="AI53" s="2" t="s">
        <v>1069</v>
      </c>
      <c r="AJ53" s="2" t="s">
        <v>1070</v>
      </c>
      <c r="AK53" s="2" t="s">
        <v>289</v>
      </c>
      <c r="AL53" s="2" t="s">
        <v>1071</v>
      </c>
      <c r="AM53" s="2" t="s">
        <v>1072</v>
      </c>
    </row>
    <row r="54" customFormat="false" ht="270.1" hidden="false" customHeight="false" outlineLevel="0" collapsed="false">
      <c r="A54" s="2" t="n">
        <v>53</v>
      </c>
      <c r="B54" s="2" t="s">
        <v>1073</v>
      </c>
      <c r="C54" s="2" t="s">
        <v>1074</v>
      </c>
      <c r="D54" s="2" t="s">
        <v>1075</v>
      </c>
      <c r="E54" s="2" t="s">
        <v>42</v>
      </c>
      <c r="F54" s="2"/>
      <c r="G54" s="2" t="s">
        <v>1076</v>
      </c>
      <c r="H54" s="2" t="n">
        <v>1978</v>
      </c>
      <c r="I54" s="2" t="s">
        <v>1077</v>
      </c>
      <c r="J54" s="2" t="s">
        <v>896</v>
      </c>
      <c r="K54" s="3" t="n">
        <v>1500</v>
      </c>
      <c r="L54" s="2" t="n">
        <v>2024</v>
      </c>
      <c r="M54" s="2" t="s">
        <v>239</v>
      </c>
      <c r="N54" s="2" t="s">
        <v>1078</v>
      </c>
      <c r="O54" s="2" t="s">
        <v>1079</v>
      </c>
      <c r="P54" s="3" t="n">
        <v>150</v>
      </c>
      <c r="Q54" s="2" t="s">
        <v>489</v>
      </c>
      <c r="R54" s="2" t="s">
        <v>239</v>
      </c>
      <c r="S54" s="2" t="s">
        <v>1080</v>
      </c>
      <c r="T54" s="2" t="s">
        <v>239</v>
      </c>
      <c r="U54" s="2" t="s">
        <v>1081</v>
      </c>
      <c r="V54" s="2" t="s">
        <v>1082</v>
      </c>
      <c r="W54" s="2" t="s">
        <v>1083</v>
      </c>
      <c r="X54" s="2" t="s">
        <v>1084</v>
      </c>
      <c r="Y54" s="2" t="s">
        <v>1085</v>
      </c>
      <c r="Z54" s="2" t="s">
        <v>1086</v>
      </c>
      <c r="AA54" s="2"/>
      <c r="AB54" s="2" t="s">
        <v>1087</v>
      </c>
      <c r="AC54" s="2" t="s">
        <v>82</v>
      </c>
      <c r="AD54" s="2" t="s">
        <v>83</v>
      </c>
      <c r="AE54" s="2" t="s">
        <v>59</v>
      </c>
      <c r="AF54" s="2" t="s">
        <v>60</v>
      </c>
      <c r="AG54" s="2"/>
      <c r="AH54" s="2"/>
      <c r="AI54" s="2" t="s">
        <v>1088</v>
      </c>
      <c r="AJ54" s="2" t="s">
        <v>1089</v>
      </c>
      <c r="AK54" s="2" t="s">
        <v>63</v>
      </c>
      <c r="AL54" s="2" t="s">
        <v>1090</v>
      </c>
      <c r="AM54" s="2" t="s">
        <v>1091</v>
      </c>
    </row>
    <row r="55" customFormat="false" ht="191.75" hidden="false" customHeight="false" outlineLevel="0" collapsed="false">
      <c r="A55" s="2" t="n">
        <v>54</v>
      </c>
      <c r="B55" s="2" t="s">
        <v>1092</v>
      </c>
      <c r="C55" s="2" t="s">
        <v>1093</v>
      </c>
      <c r="D55" s="2" t="s">
        <v>1094</v>
      </c>
      <c r="E55" s="2" t="s">
        <v>1095</v>
      </c>
      <c r="F55" s="2"/>
      <c r="G55" s="2" t="s">
        <v>505</v>
      </c>
      <c r="H55" s="2" t="n">
        <v>1983</v>
      </c>
      <c r="I55" s="2" t="s">
        <v>1096</v>
      </c>
      <c r="J55" s="2" t="s">
        <v>1097</v>
      </c>
      <c r="K55" s="3" t="n">
        <v>200</v>
      </c>
      <c r="L55" s="2" t="n">
        <v>2024</v>
      </c>
      <c r="M55" s="2" t="s">
        <v>239</v>
      </c>
      <c r="N55" s="2" t="s">
        <v>1098</v>
      </c>
      <c r="O55" s="2" t="s">
        <v>1099</v>
      </c>
      <c r="P55" s="3" t="n">
        <v>25.6</v>
      </c>
      <c r="Q55" s="2" t="s">
        <v>783</v>
      </c>
      <c r="R55" s="2" t="s">
        <v>46</v>
      </c>
      <c r="S55" s="2" t="s">
        <v>1100</v>
      </c>
      <c r="T55" s="2" t="s">
        <v>51</v>
      </c>
      <c r="U55" s="2" t="s">
        <v>1101</v>
      </c>
      <c r="V55" s="2" t="s">
        <v>1102</v>
      </c>
      <c r="W55" s="2" t="s">
        <v>1103</v>
      </c>
      <c r="X55" s="2" t="s">
        <v>1104</v>
      </c>
      <c r="Y55" s="2"/>
      <c r="Z55" s="2" t="s">
        <v>1105</v>
      </c>
      <c r="AA55" s="2" t="s">
        <v>1106</v>
      </c>
      <c r="AB55" s="2" t="s">
        <v>1107</v>
      </c>
      <c r="AC55" s="2" t="s">
        <v>82</v>
      </c>
      <c r="AD55" s="2" t="s">
        <v>83</v>
      </c>
      <c r="AE55" s="2" t="s">
        <v>59</v>
      </c>
      <c r="AF55" s="2" t="s">
        <v>60</v>
      </c>
      <c r="AG55" s="2"/>
      <c r="AH55" s="2"/>
      <c r="AI55" s="2" t="s">
        <v>1108</v>
      </c>
      <c r="AJ55" s="2" t="s">
        <v>1109</v>
      </c>
      <c r="AK55" s="2" t="s">
        <v>113</v>
      </c>
      <c r="AL55" s="2" t="s">
        <v>1110</v>
      </c>
      <c r="AM55" s="2" t="s">
        <v>1111</v>
      </c>
    </row>
    <row r="56" customFormat="false" ht="314.9" hidden="false" customHeight="false" outlineLevel="0" collapsed="false">
      <c r="A56" s="2" t="n">
        <v>55</v>
      </c>
      <c r="B56" s="2" t="s">
        <v>1112</v>
      </c>
      <c r="C56" s="2" t="s">
        <v>1113</v>
      </c>
      <c r="D56" s="2" t="s">
        <v>1114</v>
      </c>
      <c r="E56" s="2" t="s">
        <v>621</v>
      </c>
      <c r="F56" s="2" t="s">
        <v>1115</v>
      </c>
      <c r="G56" s="2" t="s">
        <v>1116</v>
      </c>
      <c r="H56" s="2" t="n">
        <v>1968</v>
      </c>
      <c r="I56" s="2" t="s">
        <v>1117</v>
      </c>
      <c r="J56" s="2" t="s">
        <v>356</v>
      </c>
      <c r="K56" s="3" t="n">
        <v>103249</v>
      </c>
      <c r="L56" s="2" t="n">
        <v>2024</v>
      </c>
      <c r="M56" s="2" t="s">
        <v>96</v>
      </c>
      <c r="N56" s="2" t="s">
        <v>1118</v>
      </c>
      <c r="O56" s="2" t="s">
        <v>1119</v>
      </c>
      <c r="P56" s="3" t="n">
        <v>16205</v>
      </c>
      <c r="Q56" s="2" t="s">
        <v>49</v>
      </c>
      <c r="R56" s="2" t="s">
        <v>99</v>
      </c>
      <c r="S56" s="2" t="s">
        <v>1120</v>
      </c>
      <c r="T56" s="2" t="s">
        <v>51</v>
      </c>
      <c r="U56" s="2" t="s">
        <v>1121</v>
      </c>
      <c r="V56" s="2" t="s">
        <v>1122</v>
      </c>
      <c r="W56" s="2" t="s">
        <v>1123</v>
      </c>
      <c r="X56" s="2" t="s">
        <v>1124</v>
      </c>
      <c r="Y56" s="2"/>
      <c r="Z56" s="2" t="s">
        <v>1125</v>
      </c>
      <c r="AA56" s="2" t="s">
        <v>1126</v>
      </c>
      <c r="AB56" s="2" t="s">
        <v>1127</v>
      </c>
      <c r="AC56" s="2" t="s">
        <v>1128</v>
      </c>
      <c r="AD56" s="2" t="s">
        <v>1129</v>
      </c>
      <c r="AE56" s="2" t="s">
        <v>59</v>
      </c>
      <c r="AF56" s="2" t="s">
        <v>60</v>
      </c>
      <c r="AG56" s="2"/>
      <c r="AH56" s="2"/>
      <c r="AI56" s="2" t="s">
        <v>1130</v>
      </c>
      <c r="AJ56" s="2" t="s">
        <v>1131</v>
      </c>
      <c r="AK56" s="2" t="s">
        <v>113</v>
      </c>
      <c r="AL56" s="2" t="s">
        <v>1132</v>
      </c>
      <c r="AM56" s="2" t="s">
        <v>1133</v>
      </c>
    </row>
    <row r="57" customFormat="false" ht="292.5" hidden="false" customHeight="false" outlineLevel="0" collapsed="false">
      <c r="A57" s="2" t="n">
        <v>56</v>
      </c>
      <c r="B57" s="2" t="s">
        <v>1134</v>
      </c>
      <c r="C57" s="2" t="s">
        <v>1135</v>
      </c>
      <c r="D57" s="2" t="s">
        <v>1136</v>
      </c>
      <c r="E57" s="2" t="s">
        <v>42</v>
      </c>
      <c r="F57" s="2" t="s">
        <v>1137</v>
      </c>
      <c r="G57" s="2" t="s">
        <v>1138</v>
      </c>
      <c r="H57" s="2" t="n">
        <v>1972</v>
      </c>
      <c r="I57" s="2" t="s">
        <v>1139</v>
      </c>
      <c r="J57" s="2" t="s">
        <v>356</v>
      </c>
      <c r="K57" s="3" t="n">
        <v>115000</v>
      </c>
      <c r="L57" s="2" t="n">
        <v>2025</v>
      </c>
      <c r="M57" s="2" t="s">
        <v>96</v>
      </c>
      <c r="N57" s="2" t="s">
        <v>1140</v>
      </c>
      <c r="O57" s="2" t="s">
        <v>1141</v>
      </c>
      <c r="P57" s="3" t="n">
        <v>8937</v>
      </c>
      <c r="Q57" s="2" t="s">
        <v>49</v>
      </c>
      <c r="R57" s="2" t="s">
        <v>99</v>
      </c>
      <c r="S57" s="2" t="s">
        <v>1142</v>
      </c>
      <c r="T57" s="2" t="s">
        <v>51</v>
      </c>
      <c r="U57" s="2" t="s">
        <v>1143</v>
      </c>
      <c r="V57" s="2" t="s">
        <v>1144</v>
      </c>
      <c r="W57" s="2" t="s">
        <v>1145</v>
      </c>
      <c r="X57" s="2" t="s">
        <v>1146</v>
      </c>
      <c r="Y57" s="2"/>
      <c r="Z57" s="2" t="s">
        <v>1147</v>
      </c>
      <c r="AA57" s="2" t="s">
        <v>1148</v>
      </c>
      <c r="AB57" s="2" t="s">
        <v>1149</v>
      </c>
      <c r="AC57" s="2" t="s">
        <v>1128</v>
      </c>
      <c r="AD57" s="2" t="s">
        <v>1129</v>
      </c>
      <c r="AE57" s="2" t="s">
        <v>59</v>
      </c>
      <c r="AF57" s="2" t="s">
        <v>60</v>
      </c>
      <c r="AG57" s="2"/>
      <c r="AH57" s="2"/>
      <c r="AI57" s="2" t="s">
        <v>1150</v>
      </c>
      <c r="AJ57" s="2" t="s">
        <v>1151</v>
      </c>
      <c r="AK57" s="2" t="s">
        <v>113</v>
      </c>
      <c r="AL57" s="2" t="s">
        <v>1152</v>
      </c>
      <c r="AM57" s="2" t="s">
        <v>1153</v>
      </c>
    </row>
    <row r="58" customFormat="false" ht="281.3" hidden="false" customHeight="false" outlineLevel="0" collapsed="false">
      <c r="A58" s="2" t="n">
        <v>57</v>
      </c>
      <c r="B58" s="2" t="s">
        <v>1154</v>
      </c>
      <c r="C58" s="2" t="s">
        <v>1155</v>
      </c>
      <c r="D58" s="2" t="s">
        <v>1156</v>
      </c>
      <c r="E58" s="2" t="s">
        <v>91</v>
      </c>
      <c r="F58" s="2" t="s">
        <v>1157</v>
      </c>
      <c r="G58" s="2" t="s">
        <v>1158</v>
      </c>
      <c r="H58" s="2" t="n">
        <v>2015</v>
      </c>
      <c r="I58" s="2" t="s">
        <v>1159</v>
      </c>
      <c r="J58" s="2" t="s">
        <v>356</v>
      </c>
      <c r="K58" s="3" t="n">
        <v>74000</v>
      </c>
      <c r="L58" s="2" t="n">
        <v>2025</v>
      </c>
      <c r="M58" s="2" t="s">
        <v>96</v>
      </c>
      <c r="N58" s="2" t="s">
        <v>1160</v>
      </c>
      <c r="O58" s="2" t="s">
        <v>1161</v>
      </c>
      <c r="P58" s="3" t="n">
        <v>4774</v>
      </c>
      <c r="Q58" s="2" t="s">
        <v>1162</v>
      </c>
      <c r="R58" s="2" t="s">
        <v>99</v>
      </c>
      <c r="S58" s="2" t="s">
        <v>1163</v>
      </c>
      <c r="T58" s="2" t="s">
        <v>51</v>
      </c>
      <c r="U58" s="2" t="s">
        <v>1164</v>
      </c>
      <c r="V58" s="2" t="s">
        <v>1165</v>
      </c>
      <c r="W58" s="2" t="s">
        <v>1166</v>
      </c>
      <c r="X58" s="2" t="s">
        <v>1167</v>
      </c>
      <c r="Y58" s="2" t="s">
        <v>1168</v>
      </c>
      <c r="Z58" s="2" t="s">
        <v>1169</v>
      </c>
      <c r="AA58" s="2"/>
      <c r="AB58" s="2" t="s">
        <v>1170</v>
      </c>
      <c r="AC58" s="2" t="s">
        <v>57</v>
      </c>
      <c r="AD58" s="2" t="s">
        <v>58</v>
      </c>
      <c r="AE58" s="2" t="s">
        <v>59</v>
      </c>
      <c r="AF58" s="2" t="s">
        <v>60</v>
      </c>
      <c r="AG58" s="2"/>
      <c r="AH58" s="2"/>
      <c r="AI58" s="2" t="s">
        <v>1171</v>
      </c>
      <c r="AJ58" s="2" t="s">
        <v>1172</v>
      </c>
      <c r="AK58" s="2" t="s">
        <v>63</v>
      </c>
      <c r="AL58" s="2" t="s">
        <v>1173</v>
      </c>
      <c r="AM58" s="2" t="s">
        <v>1174</v>
      </c>
    </row>
    <row r="59" customFormat="false" ht="314.9" hidden="false" customHeight="false" outlineLevel="0" collapsed="false">
      <c r="A59" s="2" t="n">
        <v>58</v>
      </c>
      <c r="B59" s="2" t="s">
        <v>1175</v>
      </c>
      <c r="C59" s="2" t="s">
        <v>1176</v>
      </c>
      <c r="D59" s="2" t="s">
        <v>1177</v>
      </c>
      <c r="E59" s="2" t="s">
        <v>1178</v>
      </c>
      <c r="F59" s="2" t="s">
        <v>1179</v>
      </c>
      <c r="G59" s="2" t="s">
        <v>1180</v>
      </c>
      <c r="H59" s="2" t="n">
        <v>1963</v>
      </c>
      <c r="I59" s="2" t="s">
        <v>1181</v>
      </c>
      <c r="J59" s="2" t="s">
        <v>356</v>
      </c>
      <c r="K59" s="3" t="n">
        <v>14000</v>
      </c>
      <c r="L59" s="2" t="n">
        <v>2024</v>
      </c>
      <c r="M59" s="2" t="s">
        <v>46</v>
      </c>
      <c r="N59" s="2" t="s">
        <v>1182</v>
      </c>
      <c r="O59" s="2" t="s">
        <v>1183</v>
      </c>
      <c r="P59" s="3" t="n">
        <v>4477</v>
      </c>
      <c r="Q59" s="2" t="s">
        <v>49</v>
      </c>
      <c r="R59" s="2" t="s">
        <v>46</v>
      </c>
      <c r="S59" s="2" t="s">
        <v>1184</v>
      </c>
      <c r="T59" s="2" t="s">
        <v>51</v>
      </c>
      <c r="U59" s="2" t="s">
        <v>1185</v>
      </c>
      <c r="V59" s="2" t="s">
        <v>1186</v>
      </c>
      <c r="W59" s="2" t="s">
        <v>1187</v>
      </c>
      <c r="X59" s="2"/>
      <c r="Y59" s="2"/>
      <c r="Z59" s="2" t="s">
        <v>1188</v>
      </c>
      <c r="AA59" s="2"/>
      <c r="AB59" s="2" t="s">
        <v>1189</v>
      </c>
      <c r="AC59" s="2" t="s">
        <v>82</v>
      </c>
      <c r="AD59" s="2" t="s">
        <v>83</v>
      </c>
      <c r="AE59" s="2" t="s">
        <v>59</v>
      </c>
      <c r="AF59" s="2" t="s">
        <v>60</v>
      </c>
      <c r="AG59" s="2"/>
      <c r="AH59" s="2"/>
      <c r="AI59" s="2" t="s">
        <v>1190</v>
      </c>
      <c r="AJ59" s="2" t="s">
        <v>1191</v>
      </c>
      <c r="AK59" s="2" t="s">
        <v>63</v>
      </c>
      <c r="AL59" s="2" t="s">
        <v>1192</v>
      </c>
      <c r="AM59" s="2" t="s">
        <v>1193</v>
      </c>
    </row>
    <row r="60" customFormat="false" ht="292.5" hidden="false" customHeight="false" outlineLevel="0" collapsed="false">
      <c r="A60" s="2" t="n">
        <v>59</v>
      </c>
      <c r="B60" s="2" t="s">
        <v>1194</v>
      </c>
      <c r="C60" s="2" t="s">
        <v>1195</v>
      </c>
      <c r="D60" s="2" t="s">
        <v>1196</v>
      </c>
      <c r="E60" s="2" t="s">
        <v>157</v>
      </c>
      <c r="F60" s="2"/>
      <c r="G60" s="2" t="s">
        <v>1197</v>
      </c>
      <c r="H60" s="2" t="n">
        <v>1968</v>
      </c>
      <c r="I60" s="2" t="s">
        <v>1198</v>
      </c>
      <c r="J60" s="2" t="s">
        <v>356</v>
      </c>
      <c r="K60" s="3" t="n">
        <v>11731</v>
      </c>
      <c r="L60" s="2" t="n">
        <v>2026</v>
      </c>
      <c r="M60" s="2" t="s">
        <v>46</v>
      </c>
      <c r="N60" s="2" t="s">
        <v>1199</v>
      </c>
      <c r="O60" s="2" t="s">
        <v>1200</v>
      </c>
      <c r="P60" s="3" t="n">
        <v>3350</v>
      </c>
      <c r="Q60" s="2" t="s">
        <v>1201</v>
      </c>
      <c r="R60" s="2" t="s">
        <v>46</v>
      </c>
      <c r="S60" s="2" t="s">
        <v>1202</v>
      </c>
      <c r="T60" s="2" t="s">
        <v>51</v>
      </c>
      <c r="U60" s="2" t="s">
        <v>1203</v>
      </c>
      <c r="V60" s="2" t="s">
        <v>1204</v>
      </c>
      <c r="W60" s="2" t="s">
        <v>1205</v>
      </c>
      <c r="X60" s="2" t="s">
        <v>1206</v>
      </c>
      <c r="Y60" s="2"/>
      <c r="Z60" s="2" t="s">
        <v>1207</v>
      </c>
      <c r="AA60" s="2"/>
      <c r="AB60" s="2" t="s">
        <v>1208</v>
      </c>
      <c r="AC60" s="2" t="s">
        <v>82</v>
      </c>
      <c r="AD60" s="2" t="s">
        <v>83</v>
      </c>
      <c r="AE60" s="2" t="s">
        <v>109</v>
      </c>
      <c r="AF60" s="2" t="s">
        <v>110</v>
      </c>
      <c r="AG60" s="2"/>
      <c r="AH60" s="2"/>
      <c r="AI60" s="2" t="s">
        <v>1209</v>
      </c>
      <c r="AJ60" s="2" t="s">
        <v>1210</v>
      </c>
      <c r="AK60" s="2" t="s">
        <v>63</v>
      </c>
      <c r="AL60" s="2" t="s">
        <v>1211</v>
      </c>
      <c r="AM60" s="2" t="s">
        <v>1212</v>
      </c>
    </row>
    <row r="61" customFormat="false" ht="326.1" hidden="false" customHeight="false" outlineLevel="0" collapsed="false">
      <c r="A61" s="2" t="n">
        <v>60</v>
      </c>
      <c r="B61" s="2" t="s">
        <v>1213</v>
      </c>
      <c r="C61" s="2" t="s">
        <v>1214</v>
      </c>
      <c r="D61" s="2" t="s">
        <v>1215</v>
      </c>
      <c r="E61" s="2" t="s">
        <v>1216</v>
      </c>
      <c r="F61" s="2"/>
      <c r="G61" s="2" t="s">
        <v>1217</v>
      </c>
      <c r="H61" s="2" t="n">
        <v>1991</v>
      </c>
      <c r="I61" s="2" t="s">
        <v>1218</v>
      </c>
      <c r="J61" s="2" t="s">
        <v>356</v>
      </c>
      <c r="K61" s="3" t="n">
        <v>20000</v>
      </c>
      <c r="L61" s="2" t="n">
        <v>2024</v>
      </c>
      <c r="M61" s="2" t="s">
        <v>46</v>
      </c>
      <c r="N61" s="2" t="s">
        <v>1219</v>
      </c>
      <c r="O61" s="2" t="s">
        <v>1220</v>
      </c>
      <c r="P61" s="3" t="n">
        <v>4626</v>
      </c>
      <c r="Q61" s="2" t="s">
        <v>49</v>
      </c>
      <c r="R61" s="2" t="s">
        <v>46</v>
      </c>
      <c r="S61" s="2" t="s">
        <v>1221</v>
      </c>
      <c r="T61" s="2" t="s">
        <v>51</v>
      </c>
      <c r="U61" s="2" t="s">
        <v>1222</v>
      </c>
      <c r="V61" s="2" t="s">
        <v>1223</v>
      </c>
      <c r="W61" s="2" t="s">
        <v>1224</v>
      </c>
      <c r="X61" s="2" t="s">
        <v>1225</v>
      </c>
      <c r="Y61" s="2"/>
      <c r="Z61" s="2" t="s">
        <v>1226</v>
      </c>
      <c r="AA61" s="2"/>
      <c r="AB61" s="2" t="s">
        <v>1227</v>
      </c>
      <c r="AC61" s="2" t="s">
        <v>768</v>
      </c>
      <c r="AD61" s="2" t="s">
        <v>769</v>
      </c>
      <c r="AE61" s="2" t="s">
        <v>109</v>
      </c>
      <c r="AF61" s="2" t="s">
        <v>110</v>
      </c>
      <c r="AG61" s="2"/>
      <c r="AH61" s="2"/>
      <c r="AI61" s="2" t="s">
        <v>1228</v>
      </c>
      <c r="AJ61" s="2" t="s">
        <v>1229</v>
      </c>
      <c r="AK61" s="2" t="s">
        <v>63</v>
      </c>
      <c r="AL61" s="2" t="s">
        <v>1230</v>
      </c>
      <c r="AM61" s="2" t="s">
        <v>1231</v>
      </c>
    </row>
    <row r="62" customFormat="false" ht="135.8" hidden="false" customHeight="false" outlineLevel="0" collapsed="false">
      <c r="A62" s="2" t="n">
        <v>61</v>
      </c>
      <c r="B62" s="2" t="s">
        <v>1232</v>
      </c>
      <c r="C62" s="2" t="s">
        <v>1233</v>
      </c>
      <c r="D62" s="2" t="s">
        <v>1234</v>
      </c>
      <c r="E62" s="2" t="s">
        <v>91</v>
      </c>
      <c r="F62" s="2"/>
      <c r="G62" s="2" t="s">
        <v>295</v>
      </c>
      <c r="H62" s="2" t="n">
        <v>1983</v>
      </c>
      <c r="I62" s="2" t="s">
        <v>1235</v>
      </c>
      <c r="J62" s="2" t="s">
        <v>1097</v>
      </c>
      <c r="K62" s="3" t="n">
        <v>400</v>
      </c>
      <c r="L62" s="2" t="n">
        <v>2022</v>
      </c>
      <c r="M62" s="2" t="s">
        <v>46</v>
      </c>
      <c r="N62" s="2" t="s">
        <v>1236</v>
      </c>
      <c r="O62" s="2" t="s">
        <v>1237</v>
      </c>
      <c r="P62" s="3" t="n">
        <v>120</v>
      </c>
      <c r="Q62" s="2" t="s">
        <v>1238</v>
      </c>
      <c r="R62" s="2" t="s">
        <v>239</v>
      </c>
      <c r="S62" s="2" t="s">
        <v>1239</v>
      </c>
      <c r="T62" s="2" t="s">
        <v>241</v>
      </c>
      <c r="U62" s="2" t="s">
        <v>1240</v>
      </c>
      <c r="V62" s="2" t="s">
        <v>1241</v>
      </c>
      <c r="W62" s="2" t="s">
        <v>1242</v>
      </c>
      <c r="X62" s="2" t="s">
        <v>1243</v>
      </c>
      <c r="Y62" s="2" t="s">
        <v>1244</v>
      </c>
      <c r="Z62" s="2" t="s">
        <v>1245</v>
      </c>
      <c r="AA62" s="2" t="s">
        <v>1246</v>
      </c>
      <c r="AB62" s="2" t="s">
        <v>1247</v>
      </c>
      <c r="AC62" s="2" t="s">
        <v>82</v>
      </c>
      <c r="AD62" s="2" t="s">
        <v>83</v>
      </c>
      <c r="AE62" s="2" t="s">
        <v>59</v>
      </c>
      <c r="AF62" s="2" t="s">
        <v>60</v>
      </c>
      <c r="AG62" s="2"/>
      <c r="AH62" s="2"/>
      <c r="AI62" s="2" t="s">
        <v>1248</v>
      </c>
      <c r="AJ62" s="2" t="s">
        <v>1249</v>
      </c>
      <c r="AK62" s="2" t="s">
        <v>63</v>
      </c>
      <c r="AL62" s="2"/>
      <c r="AM62" s="2" t="s">
        <v>1250</v>
      </c>
    </row>
    <row r="63" customFormat="false" ht="404.45" hidden="false" customHeight="false" outlineLevel="0" collapsed="false">
      <c r="A63" s="2" t="n">
        <v>62</v>
      </c>
      <c r="B63" s="2" t="s">
        <v>1251</v>
      </c>
      <c r="C63" s="2"/>
      <c r="D63" s="2" t="s">
        <v>1252</v>
      </c>
      <c r="E63" s="2" t="s">
        <v>91</v>
      </c>
      <c r="F63" s="2"/>
      <c r="G63" s="2" t="s">
        <v>295</v>
      </c>
      <c r="H63" s="2" t="n">
        <v>1933</v>
      </c>
      <c r="I63" s="2" t="s">
        <v>1253</v>
      </c>
      <c r="J63" s="2" t="s">
        <v>1097</v>
      </c>
      <c r="K63" s="3" t="n">
        <v>550</v>
      </c>
      <c r="L63" s="2" t="n">
        <v>2024</v>
      </c>
      <c r="M63" s="2" t="s">
        <v>46</v>
      </c>
      <c r="N63" s="2" t="s">
        <v>1254</v>
      </c>
      <c r="O63" s="2" t="s">
        <v>1255</v>
      </c>
      <c r="P63" s="3" t="n">
        <v>93.2</v>
      </c>
      <c r="Q63" s="2" t="s">
        <v>783</v>
      </c>
      <c r="R63" s="2" t="s">
        <v>46</v>
      </c>
      <c r="S63" s="2" t="s">
        <v>1256</v>
      </c>
      <c r="T63" s="2" t="s">
        <v>241</v>
      </c>
      <c r="U63" s="2" t="s">
        <v>1257</v>
      </c>
      <c r="V63" s="2" t="s">
        <v>1258</v>
      </c>
      <c r="W63" s="2" t="s">
        <v>1259</v>
      </c>
      <c r="X63" s="2" t="s">
        <v>1260</v>
      </c>
      <c r="Y63" s="2" t="s">
        <v>1261</v>
      </c>
      <c r="Z63" s="2" t="s">
        <v>1262</v>
      </c>
      <c r="AA63" s="2"/>
      <c r="AB63" s="2" t="s">
        <v>1263</v>
      </c>
      <c r="AC63" s="2" t="s">
        <v>82</v>
      </c>
      <c r="AD63" s="2" t="s">
        <v>83</v>
      </c>
      <c r="AE63" s="2" t="s">
        <v>59</v>
      </c>
      <c r="AF63" s="2" t="s">
        <v>60</v>
      </c>
      <c r="AG63" s="2"/>
      <c r="AH63" s="2"/>
      <c r="AI63" s="2" t="s">
        <v>1264</v>
      </c>
      <c r="AJ63" s="2" t="s">
        <v>1265</v>
      </c>
      <c r="AK63" s="2" t="s">
        <v>63</v>
      </c>
      <c r="AL63" s="2" t="s">
        <v>1266</v>
      </c>
      <c r="AM63" s="2" t="s">
        <v>1267</v>
      </c>
    </row>
    <row r="64" customFormat="false" ht="270.1" hidden="false" customHeight="false" outlineLevel="0" collapsed="false">
      <c r="A64" s="2" t="n">
        <v>63</v>
      </c>
      <c r="B64" s="2" t="s">
        <v>1268</v>
      </c>
      <c r="C64" s="2" t="s">
        <v>1269</v>
      </c>
      <c r="D64" s="2" t="s">
        <v>1270</v>
      </c>
      <c r="E64" s="2" t="s">
        <v>91</v>
      </c>
      <c r="F64" s="2"/>
      <c r="G64" s="2" t="s">
        <v>295</v>
      </c>
      <c r="H64" s="2" t="n">
        <v>1910</v>
      </c>
      <c r="I64" s="2" t="s">
        <v>1271</v>
      </c>
      <c r="J64" s="2" t="s">
        <v>1097</v>
      </c>
      <c r="K64" s="3" t="n">
        <v>900</v>
      </c>
      <c r="L64" s="2" t="n">
        <v>2024</v>
      </c>
      <c r="M64" s="2" t="s">
        <v>46</v>
      </c>
      <c r="N64" s="2" t="s">
        <v>1272</v>
      </c>
      <c r="O64" s="2" t="s">
        <v>1273</v>
      </c>
      <c r="P64" s="3" t="n">
        <v>260</v>
      </c>
      <c r="Q64" s="2" t="s">
        <v>1238</v>
      </c>
      <c r="R64" s="2" t="s">
        <v>239</v>
      </c>
      <c r="S64" s="2" t="s">
        <v>1274</v>
      </c>
      <c r="T64" s="2" t="s">
        <v>241</v>
      </c>
      <c r="U64" s="2" t="s">
        <v>1275</v>
      </c>
      <c r="V64" s="2" t="s">
        <v>1276</v>
      </c>
      <c r="W64" s="2" t="s">
        <v>1277</v>
      </c>
      <c r="X64" s="2" t="s">
        <v>1278</v>
      </c>
      <c r="Y64" s="2" t="s">
        <v>1279</v>
      </c>
      <c r="Z64" s="2" t="s">
        <v>1280</v>
      </c>
      <c r="AA64" s="2"/>
      <c r="AB64" s="2" t="s">
        <v>1281</v>
      </c>
      <c r="AC64" s="2" t="s">
        <v>82</v>
      </c>
      <c r="AD64" s="2" t="s">
        <v>83</v>
      </c>
      <c r="AE64" s="2" t="s">
        <v>59</v>
      </c>
      <c r="AF64" s="2" t="s">
        <v>60</v>
      </c>
      <c r="AG64" s="2"/>
      <c r="AH64" s="2"/>
      <c r="AI64" s="2" t="s">
        <v>1282</v>
      </c>
      <c r="AJ64" s="2" t="s">
        <v>1283</v>
      </c>
      <c r="AK64" s="2" t="s">
        <v>63</v>
      </c>
      <c r="AL64" s="2" t="s">
        <v>1284</v>
      </c>
      <c r="AM64" s="2" t="s">
        <v>1285</v>
      </c>
    </row>
    <row r="65" customFormat="false" ht="214.15" hidden="false" customHeight="false" outlineLevel="0" collapsed="false">
      <c r="A65" s="2" t="n">
        <v>64</v>
      </c>
      <c r="B65" s="2" t="s">
        <v>1286</v>
      </c>
      <c r="C65" s="2" t="s">
        <v>1287</v>
      </c>
      <c r="D65" s="2" t="s">
        <v>1288</v>
      </c>
      <c r="E65" s="2" t="s">
        <v>91</v>
      </c>
      <c r="F65" s="2" t="s">
        <v>1289</v>
      </c>
      <c r="G65" s="2" t="s">
        <v>1290</v>
      </c>
      <c r="H65" s="2" t="n">
        <v>1938</v>
      </c>
      <c r="I65" s="2" t="s">
        <v>1291</v>
      </c>
      <c r="J65" s="2" t="s">
        <v>1097</v>
      </c>
      <c r="K65" s="3" t="n">
        <v>200</v>
      </c>
      <c r="L65" s="2" t="n">
        <v>2024</v>
      </c>
      <c r="M65" s="2" t="s">
        <v>46</v>
      </c>
      <c r="N65" s="2" t="s">
        <v>1292</v>
      </c>
      <c r="O65" s="2" t="s">
        <v>1293</v>
      </c>
      <c r="P65" s="3" t="n">
        <v>55</v>
      </c>
      <c r="Q65" s="2" t="s">
        <v>1294</v>
      </c>
      <c r="R65" s="2" t="s">
        <v>46</v>
      </c>
      <c r="S65" s="2" t="s">
        <v>1295</v>
      </c>
      <c r="T65" s="2" t="s">
        <v>51</v>
      </c>
      <c r="U65" s="2" t="s">
        <v>1296</v>
      </c>
      <c r="V65" s="2" t="s">
        <v>1297</v>
      </c>
      <c r="W65" s="2" t="s">
        <v>1298</v>
      </c>
      <c r="X65" s="2" t="s">
        <v>1299</v>
      </c>
      <c r="Y65" s="2" t="s">
        <v>1300</v>
      </c>
      <c r="Z65" s="2" t="s">
        <v>1301</v>
      </c>
      <c r="AA65" s="2" t="s">
        <v>1302</v>
      </c>
      <c r="AB65" s="2" t="s">
        <v>1303</v>
      </c>
      <c r="AC65" s="2" t="s">
        <v>82</v>
      </c>
      <c r="AD65" s="2" t="s">
        <v>83</v>
      </c>
      <c r="AE65" s="2" t="s">
        <v>59</v>
      </c>
      <c r="AF65" s="2" t="s">
        <v>60</v>
      </c>
      <c r="AG65" s="2"/>
      <c r="AH65" s="2"/>
      <c r="AI65" s="2" t="s">
        <v>1304</v>
      </c>
      <c r="AJ65" s="2" t="s">
        <v>1305</v>
      </c>
      <c r="AK65" s="2" t="s">
        <v>63</v>
      </c>
      <c r="AL65" s="2"/>
      <c r="AM65" s="2" t="s">
        <v>1306</v>
      </c>
    </row>
    <row r="66" customFormat="false" ht="124.6" hidden="false" customHeight="false" outlineLevel="0" collapsed="false">
      <c r="A66" s="2" t="n">
        <v>65</v>
      </c>
      <c r="B66" s="2" t="s">
        <v>1307</v>
      </c>
      <c r="C66" s="2" t="s">
        <v>1308</v>
      </c>
      <c r="D66" s="2" t="s">
        <v>1309</v>
      </c>
      <c r="E66" s="2" t="s">
        <v>91</v>
      </c>
      <c r="F66" s="2"/>
      <c r="G66" s="2" t="s">
        <v>295</v>
      </c>
      <c r="H66" s="2" t="n">
        <v>1967</v>
      </c>
      <c r="I66" s="2" t="s">
        <v>1310</v>
      </c>
      <c r="J66" s="2" t="s">
        <v>1097</v>
      </c>
      <c r="K66" s="3" t="n">
        <v>423</v>
      </c>
      <c r="L66" s="2" t="n">
        <v>2023</v>
      </c>
      <c r="M66" s="2" t="s">
        <v>46</v>
      </c>
      <c r="N66" s="2" t="s">
        <v>1311</v>
      </c>
      <c r="O66" s="2" t="s">
        <v>1312</v>
      </c>
      <c r="P66" s="3" t="n">
        <v>71.8</v>
      </c>
      <c r="Q66" s="2" t="s">
        <v>1313</v>
      </c>
      <c r="R66" s="2" t="s">
        <v>46</v>
      </c>
      <c r="S66" s="2" t="s">
        <v>1314</v>
      </c>
      <c r="T66" s="2" t="s">
        <v>241</v>
      </c>
      <c r="U66" s="2" t="s">
        <v>1315</v>
      </c>
      <c r="V66" s="2" t="s">
        <v>1316</v>
      </c>
      <c r="W66" s="2" t="s">
        <v>1317</v>
      </c>
      <c r="X66" s="2" t="s">
        <v>1318</v>
      </c>
      <c r="Y66" s="2" t="s">
        <v>1319</v>
      </c>
      <c r="Z66" s="2" t="s">
        <v>1320</v>
      </c>
      <c r="AA66" s="2" t="s">
        <v>1321</v>
      </c>
      <c r="AB66" s="2" t="s">
        <v>1322</v>
      </c>
      <c r="AC66" s="2" t="s">
        <v>82</v>
      </c>
      <c r="AD66" s="2" t="s">
        <v>83</v>
      </c>
      <c r="AE66" s="2" t="s">
        <v>59</v>
      </c>
      <c r="AF66" s="2" t="s">
        <v>60</v>
      </c>
      <c r="AG66" s="2"/>
      <c r="AH66" s="2"/>
      <c r="AI66" s="2" t="s">
        <v>1323</v>
      </c>
      <c r="AJ66" s="2" t="s">
        <v>1324</v>
      </c>
      <c r="AK66" s="2" t="s">
        <v>63</v>
      </c>
      <c r="AL66" s="2"/>
      <c r="AM66" s="2" t="s">
        <v>1325</v>
      </c>
    </row>
    <row r="67" customFormat="false" ht="258.95" hidden="false" customHeight="false" outlineLevel="0" collapsed="false">
      <c r="A67" s="2" t="n">
        <v>66</v>
      </c>
      <c r="B67" s="2" t="s">
        <v>1326</v>
      </c>
      <c r="C67" s="2" t="s">
        <v>1326</v>
      </c>
      <c r="D67" s="2" t="s">
        <v>1327</v>
      </c>
      <c r="E67" s="2" t="s">
        <v>91</v>
      </c>
      <c r="F67" s="2"/>
      <c r="G67" s="2" t="s">
        <v>1328</v>
      </c>
      <c r="H67" s="2" t="n">
        <v>1956</v>
      </c>
      <c r="I67" s="2" t="s">
        <v>1329</v>
      </c>
      <c r="J67" s="2" t="s">
        <v>1097</v>
      </c>
      <c r="K67" s="3" t="n">
        <v>600</v>
      </c>
      <c r="L67" s="2" t="n">
        <v>2025</v>
      </c>
      <c r="M67" s="2" t="s">
        <v>46</v>
      </c>
      <c r="N67" s="2" t="s">
        <v>1330</v>
      </c>
      <c r="O67" s="2" t="s">
        <v>1331</v>
      </c>
      <c r="P67" s="3" t="n">
        <v>110</v>
      </c>
      <c r="Q67" s="2" t="s">
        <v>783</v>
      </c>
      <c r="R67" s="2" t="s">
        <v>46</v>
      </c>
      <c r="S67" s="2" t="s">
        <v>1332</v>
      </c>
      <c r="T67" s="2" t="s">
        <v>51</v>
      </c>
      <c r="U67" s="2" t="s">
        <v>1333</v>
      </c>
      <c r="V67" s="2" t="s">
        <v>1334</v>
      </c>
      <c r="W67" s="2" t="s">
        <v>1335</v>
      </c>
      <c r="X67" s="2" t="s">
        <v>1336</v>
      </c>
      <c r="Y67" s="2" t="s">
        <v>1337</v>
      </c>
      <c r="Z67" s="2" t="s">
        <v>1338</v>
      </c>
      <c r="AA67" s="2"/>
      <c r="AB67" s="2" t="s">
        <v>1339</v>
      </c>
      <c r="AC67" s="2" t="s">
        <v>82</v>
      </c>
      <c r="AD67" s="2" t="s">
        <v>83</v>
      </c>
      <c r="AE67" s="2" t="s">
        <v>59</v>
      </c>
      <c r="AF67" s="2" t="s">
        <v>60</v>
      </c>
      <c r="AG67" s="2"/>
      <c r="AH67" s="2"/>
      <c r="AI67" s="2" t="s">
        <v>1340</v>
      </c>
      <c r="AJ67" s="2" t="s">
        <v>1341</v>
      </c>
      <c r="AK67" s="2" t="s">
        <v>63</v>
      </c>
      <c r="AL67" s="2" t="s">
        <v>1342</v>
      </c>
      <c r="AM67" s="2" t="s">
        <v>1343</v>
      </c>
    </row>
    <row r="68" customFormat="false" ht="348.5" hidden="false" customHeight="false" outlineLevel="0" collapsed="false">
      <c r="A68" s="2" t="n">
        <v>67</v>
      </c>
      <c r="B68" s="2" t="s">
        <v>1344</v>
      </c>
      <c r="C68" s="2" t="s">
        <v>1345</v>
      </c>
      <c r="D68" s="2" t="s">
        <v>1346</v>
      </c>
      <c r="E68" s="2" t="s">
        <v>91</v>
      </c>
      <c r="F68" s="2"/>
      <c r="G68" s="2" t="s">
        <v>1347</v>
      </c>
      <c r="H68" s="2" t="n">
        <v>1968</v>
      </c>
      <c r="I68" s="2" t="s">
        <v>1348</v>
      </c>
      <c r="J68" s="2" t="s">
        <v>1097</v>
      </c>
      <c r="K68" s="3" t="n">
        <v>480</v>
      </c>
      <c r="L68" s="2" t="n">
        <v>2023</v>
      </c>
      <c r="M68" s="2" t="s">
        <v>46</v>
      </c>
      <c r="N68" s="2" t="s">
        <v>1349</v>
      </c>
      <c r="O68" s="2" t="s">
        <v>1350</v>
      </c>
      <c r="P68" s="3" t="n">
        <v>83</v>
      </c>
      <c r="Q68" s="2" t="s">
        <v>489</v>
      </c>
      <c r="R68" s="2" t="s">
        <v>239</v>
      </c>
      <c r="S68" s="2" t="s">
        <v>1351</v>
      </c>
      <c r="T68" s="2" t="s">
        <v>51</v>
      </c>
      <c r="U68" s="2" t="s">
        <v>1352</v>
      </c>
      <c r="V68" s="2" t="s">
        <v>1353</v>
      </c>
      <c r="W68" s="2" t="s">
        <v>1354</v>
      </c>
      <c r="X68" s="2" t="s">
        <v>1355</v>
      </c>
      <c r="Y68" s="2" t="s">
        <v>1356</v>
      </c>
      <c r="Z68" s="2" t="s">
        <v>1357</v>
      </c>
      <c r="AA68" s="2" t="s">
        <v>1358</v>
      </c>
      <c r="AB68" s="2" t="s">
        <v>1359</v>
      </c>
      <c r="AC68" s="2" t="s">
        <v>82</v>
      </c>
      <c r="AD68" s="2" t="s">
        <v>83</v>
      </c>
      <c r="AE68" s="2" t="s">
        <v>59</v>
      </c>
      <c r="AF68" s="2" t="s">
        <v>60</v>
      </c>
      <c r="AG68" s="2"/>
      <c r="AH68" s="2"/>
      <c r="AI68" s="2" t="s">
        <v>1360</v>
      </c>
      <c r="AJ68" s="2" t="s">
        <v>1361</v>
      </c>
      <c r="AK68" s="2" t="s">
        <v>63</v>
      </c>
      <c r="AL68" s="2" t="s">
        <v>1362</v>
      </c>
      <c r="AM68" s="2" t="s">
        <v>1363</v>
      </c>
    </row>
    <row r="69" customFormat="false" ht="214.15" hidden="false" customHeight="false" outlineLevel="0" collapsed="false">
      <c r="A69" s="2" t="n">
        <v>68</v>
      </c>
      <c r="B69" s="2" t="s">
        <v>1364</v>
      </c>
      <c r="C69" s="2" t="s">
        <v>1365</v>
      </c>
      <c r="D69" s="2" t="s">
        <v>1366</v>
      </c>
      <c r="E69" s="2" t="s">
        <v>621</v>
      </c>
      <c r="F69" s="2"/>
      <c r="G69" s="2" t="s">
        <v>295</v>
      </c>
      <c r="H69" s="2" t="n">
        <v>1939</v>
      </c>
      <c r="I69" s="2" t="s">
        <v>1367</v>
      </c>
      <c r="J69" s="2" t="s">
        <v>1097</v>
      </c>
      <c r="K69" s="3" t="n">
        <v>800</v>
      </c>
      <c r="L69" s="2" t="n">
        <v>2025</v>
      </c>
      <c r="M69" s="2" t="s">
        <v>46</v>
      </c>
      <c r="N69" s="2" t="s">
        <v>1368</v>
      </c>
      <c r="O69" s="2" t="s">
        <v>1369</v>
      </c>
      <c r="P69" s="3" t="n">
        <v>204</v>
      </c>
      <c r="Q69" s="2" t="s">
        <v>1370</v>
      </c>
      <c r="R69" s="2" t="s">
        <v>239</v>
      </c>
      <c r="S69" s="2" t="s">
        <v>1371</v>
      </c>
      <c r="T69" s="2" t="s">
        <v>241</v>
      </c>
      <c r="U69" s="2" t="s">
        <v>1372</v>
      </c>
      <c r="V69" s="2" t="s">
        <v>1373</v>
      </c>
      <c r="W69" s="2" t="s">
        <v>1374</v>
      </c>
      <c r="X69" s="2" t="s">
        <v>1375</v>
      </c>
      <c r="Y69" s="2"/>
      <c r="Z69" s="2" t="s">
        <v>1376</v>
      </c>
      <c r="AA69" s="2"/>
      <c r="AB69" s="2" t="s">
        <v>1377</v>
      </c>
      <c r="AC69" s="2" t="s">
        <v>82</v>
      </c>
      <c r="AD69" s="2" t="s">
        <v>83</v>
      </c>
      <c r="AE69" s="2" t="s">
        <v>59</v>
      </c>
      <c r="AF69" s="2" t="s">
        <v>60</v>
      </c>
      <c r="AG69" s="2"/>
      <c r="AH69" s="2"/>
      <c r="AI69" s="2" t="s">
        <v>1378</v>
      </c>
      <c r="AJ69" s="2" t="s">
        <v>1379</v>
      </c>
      <c r="AK69" s="2" t="s">
        <v>63</v>
      </c>
      <c r="AL69" s="2" t="s">
        <v>1380</v>
      </c>
      <c r="AM69" s="2" t="s">
        <v>1381</v>
      </c>
    </row>
    <row r="70" customFormat="false" ht="292.5" hidden="false" customHeight="false" outlineLevel="0" collapsed="false">
      <c r="A70" s="2" t="n">
        <v>69</v>
      </c>
      <c r="B70" s="2" t="s">
        <v>1382</v>
      </c>
      <c r="C70" s="2" t="s">
        <v>1383</v>
      </c>
      <c r="D70" s="2" t="s">
        <v>1234</v>
      </c>
      <c r="E70" s="2" t="s">
        <v>91</v>
      </c>
      <c r="F70" s="2" t="s">
        <v>1384</v>
      </c>
      <c r="G70" s="2" t="s">
        <v>1385</v>
      </c>
      <c r="H70" s="2" t="n">
        <v>1904</v>
      </c>
      <c r="I70" s="2" t="s">
        <v>1386</v>
      </c>
      <c r="J70" s="2" t="s">
        <v>1387</v>
      </c>
      <c r="K70" s="3" t="n">
        <v>500</v>
      </c>
      <c r="L70" s="2" t="n">
        <v>2025</v>
      </c>
      <c r="M70" s="2" t="s">
        <v>46</v>
      </c>
      <c r="N70" s="2" t="s">
        <v>1388</v>
      </c>
      <c r="O70" s="2" t="s">
        <v>1389</v>
      </c>
      <c r="P70" s="3" t="n">
        <v>110</v>
      </c>
      <c r="Q70" s="2" t="s">
        <v>1313</v>
      </c>
      <c r="R70" s="2" t="s">
        <v>46</v>
      </c>
      <c r="S70" s="2" t="s">
        <v>1390</v>
      </c>
      <c r="T70" s="2" t="s">
        <v>51</v>
      </c>
      <c r="U70" s="2" t="s">
        <v>1391</v>
      </c>
      <c r="V70" s="2" t="s">
        <v>1392</v>
      </c>
      <c r="W70" s="2" t="s">
        <v>1393</v>
      </c>
      <c r="X70" s="2" t="s">
        <v>1394</v>
      </c>
      <c r="Y70" s="2" t="s">
        <v>1395</v>
      </c>
      <c r="Z70" s="2" t="s">
        <v>1396</v>
      </c>
      <c r="AA70" s="2"/>
      <c r="AB70" s="2" t="s">
        <v>1397</v>
      </c>
      <c r="AC70" s="2" t="s">
        <v>82</v>
      </c>
      <c r="AD70" s="2" t="s">
        <v>83</v>
      </c>
      <c r="AE70" s="2" t="s">
        <v>59</v>
      </c>
      <c r="AF70" s="2" t="s">
        <v>60</v>
      </c>
      <c r="AG70" s="2"/>
      <c r="AH70" s="2"/>
      <c r="AI70" s="2" t="s">
        <v>1398</v>
      </c>
      <c r="AJ70" s="2" t="s">
        <v>1399</v>
      </c>
      <c r="AK70" s="2" t="s">
        <v>63</v>
      </c>
      <c r="AL70" s="2" t="s">
        <v>1400</v>
      </c>
      <c r="AM70" s="2" t="s">
        <v>1401</v>
      </c>
    </row>
    <row r="71" customFormat="false" ht="225.35" hidden="false" customHeight="false" outlineLevel="0" collapsed="false">
      <c r="A71" s="2" t="n">
        <v>70</v>
      </c>
      <c r="B71" s="2" t="s">
        <v>1402</v>
      </c>
      <c r="C71" s="2" t="s">
        <v>1403</v>
      </c>
      <c r="D71" s="2" t="s">
        <v>1404</v>
      </c>
      <c r="E71" s="2" t="s">
        <v>1405</v>
      </c>
      <c r="F71" s="2"/>
      <c r="G71" s="2" t="s">
        <v>1406</v>
      </c>
      <c r="H71" s="2" t="n">
        <v>1978</v>
      </c>
      <c r="I71" s="2" t="s">
        <v>1407</v>
      </c>
      <c r="J71" s="2" t="s">
        <v>1408</v>
      </c>
      <c r="K71" s="3" t="n">
        <v>1600</v>
      </c>
      <c r="L71" s="2" t="n">
        <v>2025</v>
      </c>
      <c r="M71" s="2" t="s">
        <v>46</v>
      </c>
      <c r="N71" s="2" t="s">
        <v>1409</v>
      </c>
      <c r="O71" s="2" t="s">
        <v>1410</v>
      </c>
      <c r="P71" s="3" t="n">
        <v>115</v>
      </c>
      <c r="Q71" s="2" t="s">
        <v>1370</v>
      </c>
      <c r="R71" s="2" t="s">
        <v>239</v>
      </c>
      <c r="S71" s="2" t="s">
        <v>1411</v>
      </c>
      <c r="T71" s="2" t="s">
        <v>241</v>
      </c>
      <c r="U71" s="2" t="s">
        <v>1412</v>
      </c>
      <c r="V71" s="2" t="s">
        <v>1413</v>
      </c>
      <c r="W71" s="2" t="s">
        <v>1414</v>
      </c>
      <c r="X71" s="2" t="s">
        <v>1415</v>
      </c>
      <c r="Y71" s="2"/>
      <c r="Z71" s="2" t="s">
        <v>1416</v>
      </c>
      <c r="AA71" s="2"/>
      <c r="AB71" s="2" t="s">
        <v>1417</v>
      </c>
      <c r="AC71" s="2" t="s">
        <v>82</v>
      </c>
      <c r="AD71" s="2" t="s">
        <v>83</v>
      </c>
      <c r="AE71" s="2" t="s">
        <v>59</v>
      </c>
      <c r="AF71" s="2" t="s">
        <v>60</v>
      </c>
      <c r="AG71" s="2"/>
      <c r="AH71" s="2"/>
      <c r="AI71" s="2" t="s">
        <v>1418</v>
      </c>
      <c r="AJ71" s="2" t="s">
        <v>1419</v>
      </c>
      <c r="AK71" s="2" t="s">
        <v>63</v>
      </c>
      <c r="AL71" s="2" t="s">
        <v>1420</v>
      </c>
      <c r="AM71" s="2" t="s">
        <v>1421</v>
      </c>
    </row>
    <row r="72" customFormat="false" ht="124.6" hidden="false" customHeight="false" outlineLevel="0" collapsed="false">
      <c r="A72" s="2" t="n">
        <v>71</v>
      </c>
      <c r="B72" s="2" t="s">
        <v>1422</v>
      </c>
      <c r="C72" s="2" t="s">
        <v>1423</v>
      </c>
      <c r="D72" s="2" t="s">
        <v>1424</v>
      </c>
      <c r="E72" s="2" t="s">
        <v>42</v>
      </c>
      <c r="F72" s="2"/>
      <c r="G72" s="2" t="s">
        <v>505</v>
      </c>
      <c r="H72" s="2" t="n">
        <v>1925</v>
      </c>
      <c r="I72" s="2" t="s">
        <v>1425</v>
      </c>
      <c r="J72" s="2" t="s">
        <v>1426</v>
      </c>
      <c r="K72" s="3" t="n">
        <v>375</v>
      </c>
      <c r="L72" s="2"/>
      <c r="M72" s="2" t="s">
        <v>46</v>
      </c>
      <c r="N72" s="2" t="s">
        <v>1427</v>
      </c>
      <c r="O72" s="2" t="s">
        <v>1428</v>
      </c>
      <c r="P72" s="3" t="n">
        <v>42.6</v>
      </c>
      <c r="Q72" s="2" t="s">
        <v>1429</v>
      </c>
      <c r="R72" s="2" t="s">
        <v>239</v>
      </c>
      <c r="S72" s="2" t="s">
        <v>1430</v>
      </c>
      <c r="T72" s="2" t="s">
        <v>239</v>
      </c>
      <c r="U72" s="2" t="s">
        <v>1431</v>
      </c>
      <c r="V72" s="2" t="s">
        <v>1432</v>
      </c>
      <c r="W72" s="2" t="s">
        <v>1433</v>
      </c>
      <c r="X72" s="2" t="s">
        <v>1434</v>
      </c>
      <c r="Y72" s="2"/>
      <c r="Z72" s="2" t="s">
        <v>1435</v>
      </c>
      <c r="AA72" s="2"/>
      <c r="AB72" s="2" t="s">
        <v>1436</v>
      </c>
      <c r="AC72" s="2" t="s">
        <v>82</v>
      </c>
      <c r="AD72" s="2" t="s">
        <v>83</v>
      </c>
      <c r="AE72" s="2" t="s">
        <v>59</v>
      </c>
      <c r="AF72" s="2" t="s">
        <v>60</v>
      </c>
      <c r="AG72" s="2"/>
      <c r="AH72" s="2"/>
      <c r="AI72" s="2" t="s">
        <v>1437</v>
      </c>
      <c r="AJ72" s="2" t="s">
        <v>1438</v>
      </c>
      <c r="AK72" s="2" t="s">
        <v>63</v>
      </c>
      <c r="AL72" s="2"/>
      <c r="AM72" s="2" t="s">
        <v>1439</v>
      </c>
    </row>
    <row r="73" customFormat="false" ht="247.75" hidden="false" customHeight="false" outlineLevel="0" collapsed="false">
      <c r="A73" s="2" t="n">
        <v>72</v>
      </c>
      <c r="B73" s="2" t="s">
        <v>1440</v>
      </c>
      <c r="C73" s="2" t="s">
        <v>1441</v>
      </c>
      <c r="D73" s="2" t="s">
        <v>1442</v>
      </c>
      <c r="E73" s="2" t="s">
        <v>42</v>
      </c>
      <c r="F73" s="2" t="s">
        <v>1443</v>
      </c>
      <c r="G73" s="2" t="s">
        <v>1444</v>
      </c>
      <c r="H73" s="2" t="n">
        <v>1971</v>
      </c>
      <c r="I73" s="2" t="s">
        <v>1445</v>
      </c>
      <c r="J73" s="2" t="s">
        <v>1408</v>
      </c>
      <c r="K73" s="3" t="n">
        <v>300</v>
      </c>
      <c r="L73" s="2" t="n">
        <v>2024</v>
      </c>
      <c r="M73" s="2" t="s">
        <v>46</v>
      </c>
      <c r="N73" s="2" t="s">
        <v>1446</v>
      </c>
      <c r="O73" s="2" t="s">
        <v>1447</v>
      </c>
      <c r="P73" s="3" t="n">
        <v>96</v>
      </c>
      <c r="Q73" s="2" t="s">
        <v>1429</v>
      </c>
      <c r="R73" s="2" t="s">
        <v>239</v>
      </c>
      <c r="S73" s="2" t="s">
        <v>1448</v>
      </c>
      <c r="T73" s="2" t="s">
        <v>51</v>
      </c>
      <c r="U73" s="2" t="s">
        <v>1449</v>
      </c>
      <c r="V73" s="2" t="s">
        <v>1450</v>
      </c>
      <c r="W73" s="2" t="s">
        <v>1451</v>
      </c>
      <c r="X73" s="2" t="s">
        <v>1452</v>
      </c>
      <c r="Y73" s="2"/>
      <c r="Z73" s="2" t="s">
        <v>1453</v>
      </c>
      <c r="AA73" s="2"/>
      <c r="AB73" s="2" t="s">
        <v>1454</v>
      </c>
      <c r="AC73" s="2" t="s">
        <v>82</v>
      </c>
      <c r="AD73" s="2" t="s">
        <v>83</v>
      </c>
      <c r="AE73" s="2" t="s">
        <v>59</v>
      </c>
      <c r="AF73" s="2" t="s">
        <v>60</v>
      </c>
      <c r="AG73" s="2"/>
      <c r="AH73" s="2"/>
      <c r="AI73" s="2" t="s">
        <v>1455</v>
      </c>
      <c r="AJ73" s="2" t="s">
        <v>1456</v>
      </c>
      <c r="AK73" s="2" t="s">
        <v>63</v>
      </c>
      <c r="AL73" s="2" t="s">
        <v>1457</v>
      </c>
      <c r="AM73" s="2" t="s">
        <v>1458</v>
      </c>
    </row>
    <row r="74" customFormat="false" ht="236.55" hidden="false" customHeight="false" outlineLevel="0" collapsed="false">
      <c r="A74" s="2" t="n">
        <v>73</v>
      </c>
      <c r="B74" s="2" t="s">
        <v>1459</v>
      </c>
      <c r="C74" s="2" t="s">
        <v>1460</v>
      </c>
      <c r="D74" s="2" t="s">
        <v>1461</v>
      </c>
      <c r="E74" s="2" t="s">
        <v>157</v>
      </c>
      <c r="F74" s="2"/>
      <c r="G74" s="2" t="s">
        <v>1462</v>
      </c>
      <c r="H74" s="2" t="n">
        <v>1969</v>
      </c>
      <c r="I74" s="2" t="s">
        <v>1463</v>
      </c>
      <c r="J74" s="2" t="s">
        <v>1464</v>
      </c>
      <c r="K74" s="3" t="n">
        <v>8647</v>
      </c>
      <c r="L74" s="2" t="n">
        <v>2026</v>
      </c>
      <c r="M74" s="2" t="s">
        <v>46</v>
      </c>
      <c r="N74" s="2" t="s">
        <v>1465</v>
      </c>
      <c r="O74" s="2" t="s">
        <v>1466</v>
      </c>
      <c r="P74" s="3" t="n">
        <v>2442</v>
      </c>
      <c r="Q74" s="2" t="s">
        <v>1201</v>
      </c>
      <c r="R74" s="2" t="s">
        <v>46</v>
      </c>
      <c r="S74" s="2" t="s">
        <v>1467</v>
      </c>
      <c r="T74" s="2" t="s">
        <v>51</v>
      </c>
      <c r="U74" s="2" t="s">
        <v>1468</v>
      </c>
      <c r="V74" s="2" t="s">
        <v>1469</v>
      </c>
      <c r="W74" s="2" t="s">
        <v>1470</v>
      </c>
      <c r="X74" s="2" t="s">
        <v>1471</v>
      </c>
      <c r="Y74" s="2"/>
      <c r="Z74" s="2" t="s">
        <v>1472</v>
      </c>
      <c r="AA74" s="2"/>
      <c r="AB74" s="2" t="s">
        <v>1473</v>
      </c>
      <c r="AC74" s="2" t="s">
        <v>82</v>
      </c>
      <c r="AD74" s="2" t="s">
        <v>83</v>
      </c>
      <c r="AE74" s="2" t="s">
        <v>59</v>
      </c>
      <c r="AF74" s="2" t="s">
        <v>60</v>
      </c>
      <c r="AG74" s="2"/>
      <c r="AH74" s="2"/>
      <c r="AI74" s="2" t="s">
        <v>1474</v>
      </c>
      <c r="AJ74" s="2" t="s">
        <v>1475</v>
      </c>
      <c r="AK74" s="2" t="s">
        <v>63</v>
      </c>
      <c r="AL74" s="2" t="s">
        <v>1476</v>
      </c>
      <c r="AM74" s="2" t="s">
        <v>1477</v>
      </c>
    </row>
    <row r="75" customFormat="false" ht="303.7" hidden="false" customHeight="false" outlineLevel="0" collapsed="false">
      <c r="A75" s="2" t="n">
        <v>74</v>
      </c>
      <c r="B75" s="2" t="s">
        <v>1478</v>
      </c>
      <c r="C75" s="2" t="s">
        <v>1479</v>
      </c>
      <c r="D75" s="2" t="s">
        <v>1480</v>
      </c>
      <c r="E75" s="2" t="s">
        <v>1216</v>
      </c>
      <c r="F75" s="2" t="s">
        <v>1481</v>
      </c>
      <c r="G75" s="2" t="s">
        <v>1482</v>
      </c>
      <c r="H75" s="2" t="n">
        <v>2005</v>
      </c>
      <c r="I75" s="2" t="s">
        <v>1483</v>
      </c>
      <c r="J75" s="2" t="s">
        <v>1464</v>
      </c>
      <c r="K75" s="3" t="n">
        <v>2800</v>
      </c>
      <c r="L75" s="2" t="n">
        <v>2024</v>
      </c>
      <c r="M75" s="2" t="s">
        <v>239</v>
      </c>
      <c r="N75" s="2" t="s">
        <v>1484</v>
      </c>
      <c r="O75" s="2" t="s">
        <v>1485</v>
      </c>
      <c r="P75" s="3" t="n">
        <v>323.7</v>
      </c>
      <c r="Q75" s="2" t="s">
        <v>49</v>
      </c>
      <c r="R75" s="2" t="s">
        <v>46</v>
      </c>
      <c r="S75" s="2" t="s">
        <v>1486</v>
      </c>
      <c r="T75" s="2" t="s">
        <v>241</v>
      </c>
      <c r="U75" s="2" t="s">
        <v>1487</v>
      </c>
      <c r="V75" s="2" t="s">
        <v>1488</v>
      </c>
      <c r="W75" s="2" t="s">
        <v>1489</v>
      </c>
      <c r="X75" s="2" t="s">
        <v>1490</v>
      </c>
      <c r="Y75" s="2"/>
      <c r="Z75" s="2" t="s">
        <v>1491</v>
      </c>
      <c r="AA75" s="2"/>
      <c r="AB75" s="2" t="s">
        <v>1492</v>
      </c>
      <c r="AC75" s="2" t="s">
        <v>82</v>
      </c>
      <c r="AD75" s="2" t="s">
        <v>83</v>
      </c>
      <c r="AE75" s="2" t="s">
        <v>59</v>
      </c>
      <c r="AF75" s="2" t="s">
        <v>60</v>
      </c>
      <c r="AG75" s="2"/>
      <c r="AH75" s="2"/>
      <c r="AI75" s="2" t="s">
        <v>1493</v>
      </c>
      <c r="AJ75" s="2" t="s">
        <v>1494</v>
      </c>
      <c r="AK75" s="2" t="s">
        <v>63</v>
      </c>
      <c r="AL75" s="2" t="s">
        <v>1495</v>
      </c>
      <c r="AM75" s="2" t="s">
        <v>1496</v>
      </c>
    </row>
    <row r="76" customFormat="false" ht="404.45" hidden="false" customHeight="false" outlineLevel="0" collapsed="false">
      <c r="A76" s="2" t="n">
        <v>75</v>
      </c>
      <c r="B76" s="2" t="s">
        <v>1497</v>
      </c>
      <c r="C76" s="2" t="s">
        <v>1498</v>
      </c>
      <c r="D76" s="2" t="s">
        <v>1499</v>
      </c>
      <c r="E76" s="2" t="s">
        <v>42</v>
      </c>
      <c r="F76" s="2" t="s">
        <v>1500</v>
      </c>
      <c r="G76" s="2" t="s">
        <v>1501</v>
      </c>
      <c r="H76" s="2" t="n">
        <v>1955</v>
      </c>
      <c r="I76" s="2" t="s">
        <v>1502</v>
      </c>
      <c r="J76" s="2" t="s">
        <v>275</v>
      </c>
      <c r="K76" s="3" t="n">
        <v>2000</v>
      </c>
      <c r="L76" s="2" t="n">
        <v>2024</v>
      </c>
      <c r="M76" s="2" t="s">
        <v>239</v>
      </c>
      <c r="N76" s="2" t="s">
        <v>1503</v>
      </c>
      <c r="O76" s="2" t="s">
        <v>1504</v>
      </c>
      <c r="P76" s="3" t="n">
        <v>400</v>
      </c>
      <c r="Q76" s="2" t="s">
        <v>1505</v>
      </c>
      <c r="R76" s="2" t="s">
        <v>239</v>
      </c>
      <c r="S76" s="2" t="s">
        <v>1506</v>
      </c>
      <c r="T76" s="2" t="s">
        <v>239</v>
      </c>
      <c r="U76" s="2" t="s">
        <v>1507</v>
      </c>
      <c r="V76" s="2" t="s">
        <v>1508</v>
      </c>
      <c r="W76" s="2" t="s">
        <v>1509</v>
      </c>
      <c r="X76" s="2" t="s">
        <v>1510</v>
      </c>
      <c r="Y76" s="2" t="s">
        <v>1511</v>
      </c>
      <c r="Z76" s="2" t="s">
        <v>1512</v>
      </c>
      <c r="AA76" s="2"/>
      <c r="AB76" s="2" t="s">
        <v>1513</v>
      </c>
      <c r="AC76" s="2" t="s">
        <v>82</v>
      </c>
      <c r="AD76" s="2" t="s">
        <v>83</v>
      </c>
      <c r="AE76" s="2" t="s">
        <v>59</v>
      </c>
      <c r="AF76" s="2" t="s">
        <v>60</v>
      </c>
      <c r="AG76" s="2"/>
      <c r="AH76" s="2"/>
      <c r="AI76" s="2" t="s">
        <v>1514</v>
      </c>
      <c r="AJ76" s="2" t="s">
        <v>1515</v>
      </c>
      <c r="AK76" s="2" t="s">
        <v>63</v>
      </c>
      <c r="AL76" s="2" t="s">
        <v>1516</v>
      </c>
      <c r="AM76" s="2" t="s">
        <v>1517</v>
      </c>
    </row>
    <row r="77" customFormat="false" ht="247.75" hidden="false" customHeight="false" outlineLevel="0" collapsed="false">
      <c r="A77" s="2" t="n">
        <v>76</v>
      </c>
      <c r="B77" s="2" t="s">
        <v>1518</v>
      </c>
      <c r="C77" s="2" t="s">
        <v>1519</v>
      </c>
      <c r="D77" s="2" t="s">
        <v>1520</v>
      </c>
      <c r="E77" s="2" t="s">
        <v>91</v>
      </c>
      <c r="F77" s="2" t="s">
        <v>1521</v>
      </c>
      <c r="G77" s="2" t="s">
        <v>1522</v>
      </c>
      <c r="H77" s="2" t="n">
        <v>1959</v>
      </c>
      <c r="I77" s="2" t="s">
        <v>1523</v>
      </c>
      <c r="J77" s="2" t="s">
        <v>917</v>
      </c>
      <c r="K77" s="3" t="n">
        <v>1300</v>
      </c>
      <c r="L77" s="2" t="n">
        <v>2025</v>
      </c>
      <c r="M77" s="2" t="s">
        <v>46</v>
      </c>
      <c r="N77" s="2" t="s">
        <v>1524</v>
      </c>
      <c r="O77" s="2" t="s">
        <v>1525</v>
      </c>
      <c r="P77" s="3" t="n">
        <v>330</v>
      </c>
      <c r="Q77" s="2" t="s">
        <v>1526</v>
      </c>
      <c r="R77" s="2" t="s">
        <v>46</v>
      </c>
      <c r="S77" s="2" t="s">
        <v>1527</v>
      </c>
      <c r="T77" s="2" t="s">
        <v>51</v>
      </c>
      <c r="U77" s="2" t="s">
        <v>1528</v>
      </c>
      <c r="V77" s="2" t="s">
        <v>1529</v>
      </c>
      <c r="W77" s="2" t="s">
        <v>1530</v>
      </c>
      <c r="X77" s="2" t="s">
        <v>1531</v>
      </c>
      <c r="Y77" s="2" t="s">
        <v>1532</v>
      </c>
      <c r="Z77" s="2" t="s">
        <v>1533</v>
      </c>
      <c r="AA77" s="2" t="s">
        <v>1534</v>
      </c>
      <c r="AB77" s="2" t="s">
        <v>1535</v>
      </c>
      <c r="AC77" s="2" t="s">
        <v>82</v>
      </c>
      <c r="AD77" s="2" t="s">
        <v>83</v>
      </c>
      <c r="AE77" s="2" t="s">
        <v>109</v>
      </c>
      <c r="AF77" s="2" t="s">
        <v>110</v>
      </c>
      <c r="AG77" s="2"/>
      <c r="AH77" s="2"/>
      <c r="AI77" s="2" t="s">
        <v>1536</v>
      </c>
      <c r="AJ77" s="2" t="s">
        <v>1537</v>
      </c>
      <c r="AK77" s="2" t="s">
        <v>63</v>
      </c>
      <c r="AL77" s="2" t="s">
        <v>1538</v>
      </c>
      <c r="AM77" s="2" t="s">
        <v>1539</v>
      </c>
    </row>
    <row r="78" customFormat="false" ht="303.7" hidden="false" customHeight="false" outlineLevel="0" collapsed="false">
      <c r="A78" s="2" t="n">
        <v>77</v>
      </c>
      <c r="B78" s="2" t="s">
        <v>1540</v>
      </c>
      <c r="C78" s="4" t="s">
        <v>1541</v>
      </c>
      <c r="D78" s="2" t="s">
        <v>1542</v>
      </c>
      <c r="E78" s="2" t="s">
        <v>157</v>
      </c>
      <c r="F78" s="2"/>
      <c r="G78" s="2" t="s">
        <v>505</v>
      </c>
      <c r="H78" s="2" t="n">
        <v>1889</v>
      </c>
      <c r="I78" s="2" t="s">
        <v>1543</v>
      </c>
      <c r="J78" s="2" t="s">
        <v>1097</v>
      </c>
      <c r="K78" s="3" t="n">
        <v>776</v>
      </c>
      <c r="L78" s="2" t="n">
        <v>2025</v>
      </c>
      <c r="M78" s="2" t="s">
        <v>46</v>
      </c>
      <c r="N78" s="2" t="s">
        <v>1544</v>
      </c>
      <c r="O78" s="2" t="s">
        <v>1545</v>
      </c>
      <c r="P78" s="3" t="n">
        <v>293</v>
      </c>
      <c r="Q78" s="2" t="s">
        <v>1546</v>
      </c>
      <c r="R78" s="2" t="s">
        <v>46</v>
      </c>
      <c r="S78" s="2" t="s">
        <v>1547</v>
      </c>
      <c r="T78" s="2" t="s">
        <v>51</v>
      </c>
      <c r="U78" s="2" t="s">
        <v>1548</v>
      </c>
      <c r="V78" s="2" t="s">
        <v>1549</v>
      </c>
      <c r="W78" s="2" t="s">
        <v>1550</v>
      </c>
      <c r="X78" s="2" t="s">
        <v>1551</v>
      </c>
      <c r="Y78" s="2"/>
      <c r="Z78" s="2" t="s">
        <v>1552</v>
      </c>
      <c r="AA78" s="2" t="s">
        <v>1553</v>
      </c>
      <c r="AB78" s="2" t="s">
        <v>1554</v>
      </c>
      <c r="AC78" s="2" t="s">
        <v>82</v>
      </c>
      <c r="AD78" s="2" t="s">
        <v>83</v>
      </c>
      <c r="AE78" s="2" t="s">
        <v>109</v>
      </c>
      <c r="AF78" s="2" t="s">
        <v>110</v>
      </c>
      <c r="AG78" s="2"/>
      <c r="AH78" s="2"/>
      <c r="AI78" s="2" t="s">
        <v>1555</v>
      </c>
      <c r="AJ78" s="2" t="s">
        <v>1556</v>
      </c>
      <c r="AK78" s="2" t="s">
        <v>289</v>
      </c>
      <c r="AL78" s="2" t="s">
        <v>1557</v>
      </c>
      <c r="AM78" s="2" t="s">
        <v>1558</v>
      </c>
    </row>
    <row r="79" customFormat="false" ht="281.3" hidden="false" customHeight="false" outlineLevel="0" collapsed="false">
      <c r="A79" s="2" t="n">
        <v>78</v>
      </c>
      <c r="B79" s="2" t="s">
        <v>1559</v>
      </c>
      <c r="C79" s="2" t="s">
        <v>1560</v>
      </c>
      <c r="D79" s="2" t="s">
        <v>1561</v>
      </c>
      <c r="E79" s="2" t="s">
        <v>42</v>
      </c>
      <c r="F79" s="2"/>
      <c r="G79" s="2" t="s">
        <v>1562</v>
      </c>
      <c r="H79" s="2" t="n">
        <v>1978</v>
      </c>
      <c r="I79" s="2" t="s">
        <v>1563</v>
      </c>
      <c r="J79" s="2" t="s">
        <v>1464</v>
      </c>
      <c r="K79" s="3" t="n">
        <v>2700</v>
      </c>
      <c r="L79" s="2" t="n">
        <v>2025</v>
      </c>
      <c r="M79" s="2" t="s">
        <v>239</v>
      </c>
      <c r="N79" s="2" t="s">
        <v>1564</v>
      </c>
      <c r="O79" s="2" t="s">
        <v>1565</v>
      </c>
      <c r="P79" s="3" t="n">
        <v>594</v>
      </c>
      <c r="Q79" s="2" t="s">
        <v>1566</v>
      </c>
      <c r="R79" s="2" t="s">
        <v>46</v>
      </c>
      <c r="S79" s="2" t="s">
        <v>1567</v>
      </c>
      <c r="T79" s="2" t="s">
        <v>241</v>
      </c>
      <c r="U79" s="2" t="s">
        <v>1568</v>
      </c>
      <c r="V79" s="2" t="s">
        <v>1569</v>
      </c>
      <c r="W79" s="2" t="s">
        <v>1570</v>
      </c>
      <c r="X79" s="2" t="s">
        <v>1571</v>
      </c>
      <c r="Y79" s="2"/>
      <c r="Z79" s="2" t="s">
        <v>1572</v>
      </c>
      <c r="AA79" s="2"/>
      <c r="AB79" s="2" t="s">
        <v>1573</v>
      </c>
      <c r="AC79" s="2" t="s">
        <v>82</v>
      </c>
      <c r="AD79" s="2" t="s">
        <v>83</v>
      </c>
      <c r="AE79" s="2" t="s">
        <v>59</v>
      </c>
      <c r="AF79" s="2" t="s">
        <v>60</v>
      </c>
      <c r="AG79" s="2"/>
      <c r="AH79" s="2"/>
      <c r="AI79" s="2" t="s">
        <v>1574</v>
      </c>
      <c r="AJ79" s="2" t="s">
        <v>1575</v>
      </c>
      <c r="AK79" s="2" t="s">
        <v>63</v>
      </c>
      <c r="AL79" s="2" t="s">
        <v>1576</v>
      </c>
      <c r="AM79" s="2" t="s">
        <v>1577</v>
      </c>
    </row>
    <row r="80" customFormat="false" ht="236.55" hidden="false" customHeight="false" outlineLevel="0" collapsed="false">
      <c r="A80" s="2" t="n">
        <v>79</v>
      </c>
      <c r="B80" s="2" t="s">
        <v>1578</v>
      </c>
      <c r="C80" s="2" t="s">
        <v>1579</v>
      </c>
      <c r="D80" s="2" t="s">
        <v>1580</v>
      </c>
      <c r="E80" s="2" t="s">
        <v>42</v>
      </c>
      <c r="F80" s="2"/>
      <c r="G80" s="2" t="s">
        <v>1581</v>
      </c>
      <c r="H80" s="2" t="n">
        <v>2014</v>
      </c>
      <c r="I80" s="2" t="s">
        <v>1582</v>
      </c>
      <c r="J80" s="2" t="s">
        <v>297</v>
      </c>
      <c r="K80" s="3" t="n">
        <v>208</v>
      </c>
      <c r="L80" s="2" t="n">
        <v>2026</v>
      </c>
      <c r="M80" s="2" t="s">
        <v>46</v>
      </c>
      <c r="N80" s="2" t="s">
        <v>1583</v>
      </c>
      <c r="O80" s="2" t="s">
        <v>1584</v>
      </c>
      <c r="P80" s="3" t="n">
        <v>45</v>
      </c>
      <c r="Q80" s="2" t="s">
        <v>1585</v>
      </c>
      <c r="R80" s="2" t="s">
        <v>239</v>
      </c>
      <c r="S80" s="2" t="s">
        <v>1586</v>
      </c>
      <c r="T80" s="2" t="s">
        <v>239</v>
      </c>
      <c r="U80" s="2" t="s">
        <v>1587</v>
      </c>
      <c r="V80" s="2" t="s">
        <v>1588</v>
      </c>
      <c r="W80" s="2" t="s">
        <v>1589</v>
      </c>
      <c r="X80" s="2" t="s">
        <v>1590</v>
      </c>
      <c r="Y80" s="2"/>
      <c r="Z80" s="2" t="s">
        <v>1591</v>
      </c>
      <c r="AA80" s="2"/>
      <c r="AB80" s="2" t="s">
        <v>1592</v>
      </c>
      <c r="AC80" s="2" t="s">
        <v>82</v>
      </c>
      <c r="AD80" s="2" t="s">
        <v>83</v>
      </c>
      <c r="AE80" s="2" t="s">
        <v>59</v>
      </c>
      <c r="AF80" s="2" t="s">
        <v>60</v>
      </c>
      <c r="AG80" s="2"/>
      <c r="AH80" s="2"/>
      <c r="AI80" s="2" t="s">
        <v>1593</v>
      </c>
      <c r="AJ80" s="2" t="s">
        <v>1594</v>
      </c>
      <c r="AK80" s="2" t="s">
        <v>63</v>
      </c>
      <c r="AL80" s="2" t="s">
        <v>1595</v>
      </c>
      <c r="AM80" s="2" t="s">
        <v>1596</v>
      </c>
    </row>
    <row r="81" customFormat="false" ht="214.15" hidden="false" customHeight="false" outlineLevel="0" collapsed="false">
      <c r="A81" s="2" t="n">
        <v>80</v>
      </c>
      <c r="B81" s="2" t="s">
        <v>1597</v>
      </c>
      <c r="C81" s="2" t="s">
        <v>1598</v>
      </c>
      <c r="D81" s="2" t="s">
        <v>1599</v>
      </c>
      <c r="E81" s="2" t="s">
        <v>583</v>
      </c>
      <c r="F81" s="2" t="s">
        <v>1600</v>
      </c>
      <c r="G81" s="2" t="s">
        <v>1601</v>
      </c>
      <c r="H81" s="2" t="n">
        <v>1997</v>
      </c>
      <c r="I81" s="2" t="s">
        <v>1602</v>
      </c>
      <c r="J81" s="2" t="s">
        <v>297</v>
      </c>
      <c r="K81" s="3" t="n">
        <v>500</v>
      </c>
      <c r="L81" s="2" t="n">
        <v>2024</v>
      </c>
      <c r="M81" s="2" t="s">
        <v>239</v>
      </c>
      <c r="N81" s="2" t="s">
        <v>1603</v>
      </c>
      <c r="O81" s="2" t="s">
        <v>1604</v>
      </c>
      <c r="P81" s="3" t="n">
        <v>67.5</v>
      </c>
      <c r="Q81" s="2" t="s">
        <v>1605</v>
      </c>
      <c r="R81" s="2" t="s">
        <v>239</v>
      </c>
      <c r="S81" s="2" t="s">
        <v>1606</v>
      </c>
      <c r="T81" s="2" t="s">
        <v>239</v>
      </c>
      <c r="U81" s="2" t="s">
        <v>1607</v>
      </c>
      <c r="V81" s="2" t="s">
        <v>1608</v>
      </c>
      <c r="W81" s="2" t="s">
        <v>1609</v>
      </c>
      <c r="X81" s="2" t="s">
        <v>1610</v>
      </c>
      <c r="Y81" s="2"/>
      <c r="Z81" s="2" t="s">
        <v>1611</v>
      </c>
      <c r="AA81" s="2" t="s">
        <v>1612</v>
      </c>
      <c r="AB81" s="2" t="s">
        <v>1613</v>
      </c>
      <c r="AC81" s="2" t="s">
        <v>82</v>
      </c>
      <c r="AD81" s="2" t="s">
        <v>83</v>
      </c>
      <c r="AE81" s="2" t="s">
        <v>59</v>
      </c>
      <c r="AF81" s="2" t="s">
        <v>60</v>
      </c>
      <c r="AG81" s="2"/>
      <c r="AH81" s="2"/>
      <c r="AI81" s="2" t="s">
        <v>1614</v>
      </c>
      <c r="AJ81" s="2" t="s">
        <v>1615</v>
      </c>
      <c r="AK81" s="2" t="s">
        <v>63</v>
      </c>
      <c r="AL81" s="2" t="s">
        <v>1616</v>
      </c>
      <c r="AM81" s="2" t="s">
        <v>1617</v>
      </c>
    </row>
    <row r="82" customFormat="false" ht="147" hidden="false" customHeight="false" outlineLevel="0" collapsed="false">
      <c r="A82" s="2" t="n">
        <v>81</v>
      </c>
      <c r="B82" s="2" t="s">
        <v>1618</v>
      </c>
      <c r="C82" s="2" t="s">
        <v>1619</v>
      </c>
      <c r="D82" s="2" t="s">
        <v>1620</v>
      </c>
      <c r="E82" s="2" t="s">
        <v>42</v>
      </c>
      <c r="F82" s="2" t="s">
        <v>1621</v>
      </c>
      <c r="G82" s="2" t="s">
        <v>1622</v>
      </c>
      <c r="H82" s="2" t="n">
        <v>1907</v>
      </c>
      <c r="I82" s="2" t="s">
        <v>1623</v>
      </c>
      <c r="J82" s="2" t="s">
        <v>179</v>
      </c>
      <c r="K82" s="3" t="n">
        <v>1000</v>
      </c>
      <c r="L82" s="2" t="n">
        <v>2024</v>
      </c>
      <c r="M82" s="2" t="s">
        <v>239</v>
      </c>
      <c r="N82" s="2" t="s">
        <v>1624</v>
      </c>
      <c r="O82" s="2" t="s">
        <v>1625</v>
      </c>
      <c r="P82" s="3" t="n">
        <v>3872</v>
      </c>
      <c r="Q82" s="2" t="s">
        <v>783</v>
      </c>
      <c r="R82" s="2" t="s">
        <v>96</v>
      </c>
      <c r="S82" s="2" t="s">
        <v>1626</v>
      </c>
      <c r="T82" s="2" t="s">
        <v>239</v>
      </c>
      <c r="U82" s="2" t="s">
        <v>1627</v>
      </c>
      <c r="V82" s="2" t="s">
        <v>1628</v>
      </c>
      <c r="W82" s="2" t="s">
        <v>1629</v>
      </c>
      <c r="X82" s="2" t="s">
        <v>1630</v>
      </c>
      <c r="Y82" s="2"/>
      <c r="Z82" s="2" t="s">
        <v>1631</v>
      </c>
      <c r="AA82" s="2"/>
      <c r="AB82" s="2" t="s">
        <v>1632</v>
      </c>
      <c r="AC82" s="2" t="s">
        <v>82</v>
      </c>
      <c r="AD82" s="2" t="s">
        <v>83</v>
      </c>
      <c r="AE82" s="2" t="s">
        <v>59</v>
      </c>
      <c r="AF82" s="2" t="s">
        <v>60</v>
      </c>
      <c r="AG82" s="2"/>
      <c r="AH82" s="2"/>
      <c r="AI82" s="2" t="s">
        <v>1633</v>
      </c>
      <c r="AJ82" s="2" t="s">
        <v>1634</v>
      </c>
      <c r="AK82" s="2" t="s">
        <v>63</v>
      </c>
      <c r="AL82" s="2"/>
      <c r="AM82" s="2" t="s">
        <v>1635</v>
      </c>
    </row>
    <row r="83" customFormat="false" ht="236.55" hidden="false" customHeight="false" outlineLevel="0" collapsed="false">
      <c r="A83" s="2" t="n">
        <v>82</v>
      </c>
      <c r="B83" s="2" t="s">
        <v>1636</v>
      </c>
      <c r="C83" s="2" t="s">
        <v>1637</v>
      </c>
      <c r="D83" s="2" t="s">
        <v>1638</v>
      </c>
      <c r="E83" s="2" t="s">
        <v>91</v>
      </c>
      <c r="F83" s="2"/>
      <c r="G83" s="2" t="s">
        <v>295</v>
      </c>
      <c r="H83" s="2" t="n">
        <v>1844</v>
      </c>
      <c r="I83" s="2" t="s">
        <v>1639</v>
      </c>
      <c r="J83" s="2" t="s">
        <v>179</v>
      </c>
      <c r="K83" s="3" t="n">
        <v>200</v>
      </c>
      <c r="L83" s="2" t="n">
        <v>2023</v>
      </c>
      <c r="M83" s="2" t="s">
        <v>46</v>
      </c>
      <c r="N83" s="2" t="s">
        <v>1640</v>
      </c>
      <c r="O83" s="2" t="s">
        <v>1641</v>
      </c>
      <c r="P83" s="3" t="n">
        <v>48.8</v>
      </c>
      <c r="Q83" s="2" t="s">
        <v>1313</v>
      </c>
      <c r="R83" s="2" t="s">
        <v>46</v>
      </c>
      <c r="S83" s="2" t="s">
        <v>1642</v>
      </c>
      <c r="T83" s="2" t="s">
        <v>51</v>
      </c>
      <c r="U83" s="2" t="s">
        <v>1643</v>
      </c>
      <c r="V83" s="2" t="s">
        <v>1644</v>
      </c>
      <c r="W83" s="2" t="s">
        <v>1645</v>
      </c>
      <c r="X83" s="2" t="s">
        <v>1646</v>
      </c>
      <c r="Y83" s="2" t="s">
        <v>1647</v>
      </c>
      <c r="Z83" s="2" t="s">
        <v>1648</v>
      </c>
      <c r="AA83" s="2"/>
      <c r="AB83" s="2" t="s">
        <v>1649</v>
      </c>
      <c r="AC83" s="2" t="s">
        <v>82</v>
      </c>
      <c r="AD83" s="2" t="s">
        <v>83</v>
      </c>
      <c r="AE83" s="2" t="s">
        <v>109</v>
      </c>
      <c r="AF83" s="2" t="s">
        <v>110</v>
      </c>
      <c r="AG83" s="2"/>
      <c r="AH83" s="2"/>
      <c r="AI83" s="2" t="s">
        <v>1650</v>
      </c>
      <c r="AJ83" s="2" t="s">
        <v>1651</v>
      </c>
      <c r="AK83" s="2" t="s">
        <v>63</v>
      </c>
      <c r="AL83" s="2" t="s">
        <v>1652</v>
      </c>
      <c r="AM83" s="2" t="s">
        <v>1653</v>
      </c>
    </row>
    <row r="84" customFormat="false" ht="270.1" hidden="false" customHeight="false" outlineLevel="0" collapsed="false">
      <c r="A84" s="2" t="n">
        <v>83</v>
      </c>
      <c r="B84" s="2" t="s">
        <v>1654</v>
      </c>
      <c r="C84" s="2" t="s">
        <v>1655</v>
      </c>
      <c r="D84" s="2" t="s">
        <v>1656</v>
      </c>
      <c r="E84" s="2" t="s">
        <v>157</v>
      </c>
      <c r="F84" s="2"/>
      <c r="G84" s="2" t="s">
        <v>1657</v>
      </c>
      <c r="H84" s="2" t="n">
        <v>1977</v>
      </c>
      <c r="I84" s="2" t="s">
        <v>1658</v>
      </c>
      <c r="J84" s="2" t="s">
        <v>179</v>
      </c>
      <c r="K84" s="3" t="n">
        <v>2438</v>
      </c>
      <c r="L84" s="2" t="n">
        <v>2025</v>
      </c>
      <c r="M84" s="2" t="s">
        <v>46</v>
      </c>
      <c r="N84" s="2" t="s">
        <v>1659</v>
      </c>
      <c r="O84" s="2" t="s">
        <v>1660</v>
      </c>
      <c r="P84" s="3" t="n">
        <v>464.5</v>
      </c>
      <c r="Q84" s="2" t="s">
        <v>1661</v>
      </c>
      <c r="R84" s="2" t="s">
        <v>46</v>
      </c>
      <c r="S84" s="2" t="s">
        <v>1662</v>
      </c>
      <c r="T84" s="2" t="s">
        <v>51</v>
      </c>
      <c r="U84" s="2" t="s">
        <v>1663</v>
      </c>
      <c r="V84" s="2" t="s">
        <v>1664</v>
      </c>
      <c r="W84" s="2" t="s">
        <v>1665</v>
      </c>
      <c r="X84" s="2" t="s">
        <v>1666</v>
      </c>
      <c r="Y84" s="2"/>
      <c r="Z84" s="2" t="s">
        <v>1667</v>
      </c>
      <c r="AA84" s="2" t="s">
        <v>1668</v>
      </c>
      <c r="AB84" s="2" t="s">
        <v>1669</v>
      </c>
      <c r="AC84" s="2" t="s">
        <v>286</v>
      </c>
      <c r="AD84" s="2" t="s">
        <v>287</v>
      </c>
      <c r="AE84" s="2" t="s">
        <v>109</v>
      </c>
      <c r="AF84" s="2" t="s">
        <v>110</v>
      </c>
      <c r="AG84" s="2"/>
      <c r="AH84" s="2"/>
      <c r="AI84" s="2"/>
      <c r="AJ84" s="2" t="s">
        <v>1670</v>
      </c>
      <c r="AK84" s="2" t="s">
        <v>289</v>
      </c>
      <c r="AL84" s="2" t="s">
        <v>1671</v>
      </c>
      <c r="AM84" s="2" t="s">
        <v>1672</v>
      </c>
    </row>
    <row r="85" customFormat="false" ht="314.9" hidden="false" customHeight="false" outlineLevel="0" collapsed="false">
      <c r="A85" s="2" t="n">
        <v>84</v>
      </c>
      <c r="B85" s="2" t="s">
        <v>1673</v>
      </c>
      <c r="C85" s="2" t="s">
        <v>1674</v>
      </c>
      <c r="D85" s="2" t="s">
        <v>1675</v>
      </c>
      <c r="E85" s="2" t="s">
        <v>42</v>
      </c>
      <c r="F85" s="2"/>
      <c r="G85" s="2" t="s">
        <v>505</v>
      </c>
      <c r="H85" s="2" t="n">
        <v>1948</v>
      </c>
      <c r="I85" s="2" t="s">
        <v>1676</v>
      </c>
      <c r="J85" s="2" t="s">
        <v>297</v>
      </c>
      <c r="K85" s="3" t="n">
        <v>800</v>
      </c>
      <c r="L85" s="2" t="n">
        <v>2024</v>
      </c>
      <c r="M85" s="2" t="s">
        <v>239</v>
      </c>
      <c r="N85" s="2" t="s">
        <v>1677</v>
      </c>
      <c r="O85" s="2" t="s">
        <v>1678</v>
      </c>
      <c r="P85" s="3" t="n">
        <v>200</v>
      </c>
      <c r="Q85" s="2" t="s">
        <v>489</v>
      </c>
      <c r="R85" s="2" t="s">
        <v>239</v>
      </c>
      <c r="S85" s="2" t="s">
        <v>1679</v>
      </c>
      <c r="T85" s="2" t="s">
        <v>239</v>
      </c>
      <c r="U85" s="2" t="s">
        <v>1680</v>
      </c>
      <c r="V85" s="2" t="s">
        <v>1681</v>
      </c>
      <c r="W85" s="2" t="s">
        <v>1682</v>
      </c>
      <c r="X85" s="2" t="s">
        <v>1683</v>
      </c>
      <c r="Y85" s="2"/>
      <c r="Z85" s="2" t="s">
        <v>1684</v>
      </c>
      <c r="AA85" s="2" t="s">
        <v>1685</v>
      </c>
      <c r="AB85" s="2" t="s">
        <v>1686</v>
      </c>
      <c r="AC85" s="2" t="s">
        <v>82</v>
      </c>
      <c r="AD85" s="2" t="s">
        <v>83</v>
      </c>
      <c r="AE85" s="2" t="s">
        <v>59</v>
      </c>
      <c r="AF85" s="2" t="s">
        <v>60</v>
      </c>
      <c r="AG85" s="2"/>
      <c r="AH85" s="2"/>
      <c r="AI85" s="2" t="s">
        <v>1687</v>
      </c>
      <c r="AJ85" s="2" t="s">
        <v>1688</v>
      </c>
      <c r="AK85" s="2" t="s">
        <v>63</v>
      </c>
      <c r="AL85" s="2" t="s">
        <v>1689</v>
      </c>
      <c r="AM85" s="2" t="s">
        <v>1690</v>
      </c>
    </row>
    <row r="86" customFormat="false" ht="180.55" hidden="false" customHeight="false" outlineLevel="0" collapsed="false">
      <c r="A86" s="2" t="n">
        <v>85</v>
      </c>
      <c r="B86" s="2" t="s">
        <v>1691</v>
      </c>
      <c r="C86" s="2" t="s">
        <v>1692</v>
      </c>
      <c r="D86" s="2" t="s">
        <v>1693</v>
      </c>
      <c r="E86" s="2" t="s">
        <v>621</v>
      </c>
      <c r="F86" s="2"/>
      <c r="G86" s="2" t="s">
        <v>505</v>
      </c>
      <c r="H86" s="2" t="n">
        <v>1965</v>
      </c>
      <c r="I86" s="2" t="s">
        <v>1694</v>
      </c>
      <c r="J86" s="2" t="s">
        <v>297</v>
      </c>
      <c r="K86" s="3" t="n">
        <v>614</v>
      </c>
      <c r="L86" s="2" t="n">
        <v>2024</v>
      </c>
      <c r="M86" s="2" t="s">
        <v>46</v>
      </c>
      <c r="N86" s="2" t="s">
        <v>1695</v>
      </c>
      <c r="O86" s="2" t="s">
        <v>1696</v>
      </c>
      <c r="P86" s="3" t="n">
        <v>290</v>
      </c>
      <c r="Q86" s="2" t="s">
        <v>489</v>
      </c>
      <c r="R86" s="2" t="s">
        <v>239</v>
      </c>
      <c r="S86" s="2" t="s">
        <v>1697</v>
      </c>
      <c r="T86" s="2" t="s">
        <v>51</v>
      </c>
      <c r="U86" s="2" t="s">
        <v>1698</v>
      </c>
      <c r="V86" s="2" t="s">
        <v>1699</v>
      </c>
      <c r="W86" s="2" t="s">
        <v>1700</v>
      </c>
      <c r="X86" s="2" t="s">
        <v>1701</v>
      </c>
      <c r="Y86" s="2"/>
      <c r="Z86" s="2" t="s">
        <v>1702</v>
      </c>
      <c r="AA86" s="2" t="s">
        <v>1703</v>
      </c>
      <c r="AB86" s="2" t="s">
        <v>1704</v>
      </c>
      <c r="AC86" s="2" t="s">
        <v>82</v>
      </c>
      <c r="AD86" s="2" t="s">
        <v>83</v>
      </c>
      <c r="AE86" s="2" t="s">
        <v>59</v>
      </c>
      <c r="AF86" s="2" t="s">
        <v>60</v>
      </c>
      <c r="AG86" s="2"/>
      <c r="AH86" s="2"/>
      <c r="AI86" s="2" t="s">
        <v>1705</v>
      </c>
      <c r="AJ86" s="2" t="s">
        <v>1706</v>
      </c>
      <c r="AK86" s="2" t="s">
        <v>113</v>
      </c>
      <c r="AL86" s="2" t="s">
        <v>1707</v>
      </c>
      <c r="AM86" s="2" t="s">
        <v>1708</v>
      </c>
    </row>
    <row r="87" customFormat="false" ht="202.95" hidden="false" customHeight="false" outlineLevel="0" collapsed="false">
      <c r="A87" s="2" t="n">
        <v>86</v>
      </c>
      <c r="B87" s="2" t="s">
        <v>1709</v>
      </c>
      <c r="C87" s="2" t="s">
        <v>1710</v>
      </c>
      <c r="D87" s="2" t="s">
        <v>1711</v>
      </c>
      <c r="E87" s="2" t="s">
        <v>91</v>
      </c>
      <c r="F87" s="2"/>
      <c r="G87" s="2" t="s">
        <v>505</v>
      </c>
      <c r="H87" s="2" t="n">
        <v>1989</v>
      </c>
      <c r="I87" s="2" t="s">
        <v>1712</v>
      </c>
      <c r="J87" s="2" t="s">
        <v>427</v>
      </c>
      <c r="K87" s="3" t="n">
        <v>300</v>
      </c>
      <c r="L87" s="2" t="n">
        <v>2024</v>
      </c>
      <c r="M87" s="2" t="s">
        <v>239</v>
      </c>
      <c r="N87" s="2" t="s">
        <v>1713</v>
      </c>
      <c r="O87" s="2" t="s">
        <v>996</v>
      </c>
      <c r="P87" s="3" t="n">
        <v>77</v>
      </c>
      <c r="Q87" s="2" t="s">
        <v>489</v>
      </c>
      <c r="R87" s="2" t="s">
        <v>239</v>
      </c>
      <c r="S87" s="2" t="s">
        <v>1714</v>
      </c>
      <c r="T87" s="2" t="s">
        <v>239</v>
      </c>
      <c r="U87" s="2" t="s">
        <v>1715</v>
      </c>
      <c r="V87" s="2" t="s">
        <v>1716</v>
      </c>
      <c r="W87" s="2" t="s">
        <v>1717</v>
      </c>
      <c r="X87" s="2" t="s">
        <v>1718</v>
      </c>
      <c r="Y87" s="2" t="s">
        <v>1719</v>
      </c>
      <c r="Z87" s="2" t="s">
        <v>1720</v>
      </c>
      <c r="AA87" s="2" t="s">
        <v>1721</v>
      </c>
      <c r="AB87" s="2" t="s">
        <v>1722</v>
      </c>
      <c r="AC87" s="2" t="s">
        <v>82</v>
      </c>
      <c r="AD87" s="2" t="s">
        <v>83</v>
      </c>
      <c r="AE87" s="2" t="s">
        <v>59</v>
      </c>
      <c r="AF87" s="2" t="s">
        <v>60</v>
      </c>
      <c r="AG87" s="2"/>
      <c r="AH87" s="2"/>
      <c r="AI87" s="2" t="s">
        <v>1723</v>
      </c>
      <c r="AJ87" s="2" t="s">
        <v>1724</v>
      </c>
      <c r="AK87" s="2" t="s">
        <v>113</v>
      </c>
      <c r="AL87" s="2" t="s">
        <v>1725</v>
      </c>
      <c r="AM87" s="2" t="s">
        <v>1726</v>
      </c>
    </row>
    <row r="88" customFormat="false" ht="247.75" hidden="false" customHeight="false" outlineLevel="0" collapsed="false">
      <c r="A88" s="2" t="n">
        <v>87</v>
      </c>
      <c r="B88" s="2" t="s">
        <v>1727</v>
      </c>
      <c r="C88" s="2" t="s">
        <v>1728</v>
      </c>
      <c r="D88" s="2" t="s">
        <v>41</v>
      </c>
      <c r="E88" s="2" t="s">
        <v>42</v>
      </c>
      <c r="F88" s="2"/>
      <c r="G88" s="2" t="s">
        <v>1729</v>
      </c>
      <c r="H88" s="2" t="n">
        <v>1981</v>
      </c>
      <c r="I88" s="2" t="s">
        <v>1730</v>
      </c>
      <c r="J88" s="2" t="s">
        <v>198</v>
      </c>
      <c r="K88" s="3" t="n">
        <v>2000</v>
      </c>
      <c r="L88" s="2" t="n">
        <v>2025</v>
      </c>
      <c r="M88" s="2" t="s">
        <v>46</v>
      </c>
      <c r="N88" s="2" t="s">
        <v>1731</v>
      </c>
      <c r="O88" s="2" t="s">
        <v>1732</v>
      </c>
      <c r="P88" s="3" t="n">
        <v>738</v>
      </c>
      <c r="Q88" s="2" t="s">
        <v>49</v>
      </c>
      <c r="R88" s="2" t="s">
        <v>46</v>
      </c>
      <c r="S88" s="2" t="s">
        <v>1733</v>
      </c>
      <c r="T88" s="2" t="s">
        <v>51</v>
      </c>
      <c r="U88" s="2" t="s">
        <v>1734</v>
      </c>
      <c r="V88" s="2" t="s">
        <v>1735</v>
      </c>
      <c r="W88" s="2" t="s">
        <v>1736</v>
      </c>
      <c r="X88" s="2" t="s">
        <v>1737</v>
      </c>
      <c r="Y88" s="2"/>
      <c r="Z88" s="2" t="s">
        <v>1738</v>
      </c>
      <c r="AA88" s="2"/>
      <c r="AB88" s="2" t="s">
        <v>1739</v>
      </c>
      <c r="AC88" s="2" t="s">
        <v>286</v>
      </c>
      <c r="AD88" s="2" t="s">
        <v>287</v>
      </c>
      <c r="AE88" s="2" t="s">
        <v>109</v>
      </c>
      <c r="AF88" s="2" t="s">
        <v>110</v>
      </c>
      <c r="AG88" s="2"/>
      <c r="AH88" s="2"/>
      <c r="AI88" s="2"/>
      <c r="AJ88" s="2" t="s">
        <v>1740</v>
      </c>
      <c r="AK88" s="2" t="s">
        <v>289</v>
      </c>
      <c r="AL88" s="2" t="s">
        <v>1741</v>
      </c>
      <c r="AM88" s="2" t="s">
        <v>1742</v>
      </c>
    </row>
    <row r="89" customFormat="false" ht="180.55" hidden="false" customHeight="false" outlineLevel="0" collapsed="false">
      <c r="A89" s="2" t="n">
        <v>88</v>
      </c>
      <c r="B89" s="2" t="s">
        <v>1743</v>
      </c>
      <c r="C89" s="2" t="s">
        <v>1744</v>
      </c>
      <c r="D89" s="2" t="s">
        <v>1745</v>
      </c>
      <c r="E89" s="2" t="s">
        <v>91</v>
      </c>
      <c r="F89" s="2"/>
      <c r="G89" s="2" t="s">
        <v>295</v>
      </c>
      <c r="H89" s="2" t="n">
        <v>1854</v>
      </c>
      <c r="I89" s="2" t="s">
        <v>1746</v>
      </c>
      <c r="J89" s="2" t="s">
        <v>1015</v>
      </c>
      <c r="K89" s="3" t="n">
        <v>1800</v>
      </c>
      <c r="L89" s="2" t="n">
        <v>2025</v>
      </c>
      <c r="M89" s="2" t="s">
        <v>46</v>
      </c>
      <c r="N89" s="2" t="s">
        <v>1747</v>
      </c>
      <c r="O89" s="2" t="s">
        <v>1748</v>
      </c>
      <c r="P89" s="3" t="n">
        <v>334.4</v>
      </c>
      <c r="Q89" s="2" t="s">
        <v>1313</v>
      </c>
      <c r="R89" s="2" t="s">
        <v>46</v>
      </c>
      <c r="S89" s="2" t="s">
        <v>1749</v>
      </c>
      <c r="T89" s="2" t="s">
        <v>51</v>
      </c>
      <c r="U89" s="2" t="s">
        <v>1750</v>
      </c>
      <c r="V89" s="2" t="s">
        <v>1751</v>
      </c>
      <c r="W89" s="2" t="s">
        <v>1752</v>
      </c>
      <c r="X89" s="2" t="s">
        <v>1753</v>
      </c>
      <c r="Y89" s="2" t="s">
        <v>1754</v>
      </c>
      <c r="Z89" s="2" t="s">
        <v>1755</v>
      </c>
      <c r="AA89" s="2"/>
      <c r="AB89" s="2" t="s">
        <v>1756</v>
      </c>
      <c r="AC89" s="2" t="s">
        <v>82</v>
      </c>
      <c r="AD89" s="2" t="s">
        <v>83</v>
      </c>
      <c r="AE89" s="2" t="s">
        <v>59</v>
      </c>
      <c r="AF89" s="2" t="s">
        <v>60</v>
      </c>
      <c r="AG89" s="2"/>
      <c r="AH89" s="2"/>
      <c r="AI89" s="2" t="s">
        <v>1757</v>
      </c>
      <c r="AJ89" s="2" t="s">
        <v>1758</v>
      </c>
      <c r="AK89" s="2" t="s">
        <v>113</v>
      </c>
      <c r="AL89" s="2" t="s">
        <v>1759</v>
      </c>
      <c r="AM89" s="2" t="s">
        <v>1760</v>
      </c>
    </row>
    <row r="90" customFormat="false" ht="258.95" hidden="false" customHeight="false" outlineLevel="0" collapsed="false">
      <c r="A90" s="2" t="n">
        <v>89</v>
      </c>
      <c r="B90" s="2" t="s">
        <v>1761</v>
      </c>
      <c r="C90" s="2" t="s">
        <v>1762</v>
      </c>
      <c r="D90" s="2" t="s">
        <v>1763</v>
      </c>
      <c r="E90" s="2" t="s">
        <v>42</v>
      </c>
      <c r="F90" s="2"/>
      <c r="G90" s="2" t="s">
        <v>1764</v>
      </c>
      <c r="H90" s="2" t="n">
        <v>1906</v>
      </c>
      <c r="I90" s="2" t="s">
        <v>1765</v>
      </c>
      <c r="J90" s="2" t="s">
        <v>1426</v>
      </c>
      <c r="K90" s="3" t="n">
        <v>2800</v>
      </c>
      <c r="L90" s="2" t="n">
        <v>2025</v>
      </c>
      <c r="M90" s="2" t="s">
        <v>239</v>
      </c>
      <c r="N90" s="2" t="s">
        <v>1766</v>
      </c>
      <c r="O90" s="2" t="s">
        <v>1767</v>
      </c>
      <c r="P90" s="3" t="n">
        <v>282</v>
      </c>
      <c r="Q90" s="2" t="s">
        <v>1768</v>
      </c>
      <c r="R90" s="2" t="s">
        <v>46</v>
      </c>
      <c r="S90" s="2" t="s">
        <v>1769</v>
      </c>
      <c r="T90" s="2" t="s">
        <v>241</v>
      </c>
      <c r="U90" s="2" t="s">
        <v>1770</v>
      </c>
      <c r="V90" s="2" t="s">
        <v>1771</v>
      </c>
      <c r="W90" s="2" t="s">
        <v>1772</v>
      </c>
      <c r="X90" s="2" t="s">
        <v>1773</v>
      </c>
      <c r="Y90" s="2"/>
      <c r="Z90" s="2" t="s">
        <v>1774</v>
      </c>
      <c r="AA90" s="2"/>
      <c r="AB90" s="2" t="s">
        <v>1775</v>
      </c>
      <c r="AC90" s="2" t="s">
        <v>286</v>
      </c>
      <c r="AD90" s="2" t="s">
        <v>287</v>
      </c>
      <c r="AE90" s="2" t="s">
        <v>109</v>
      </c>
      <c r="AF90" s="2" t="s">
        <v>110</v>
      </c>
      <c r="AG90" s="2"/>
      <c r="AH90" s="2"/>
      <c r="AI90" s="2"/>
      <c r="AJ90" s="2" t="s">
        <v>1776</v>
      </c>
      <c r="AK90" s="2" t="s">
        <v>63</v>
      </c>
      <c r="AL90" s="2" t="s">
        <v>1777</v>
      </c>
      <c r="AM90" s="2" t="s">
        <v>1778</v>
      </c>
    </row>
    <row r="91" customFormat="false" ht="225.35" hidden="false" customHeight="false" outlineLevel="0" collapsed="false">
      <c r="A91" s="2" t="n">
        <v>90</v>
      </c>
      <c r="B91" s="2" t="s">
        <v>1779</v>
      </c>
      <c r="C91" s="2" t="s">
        <v>1780</v>
      </c>
      <c r="D91" s="2" t="s">
        <v>1781</v>
      </c>
      <c r="E91" s="2" t="s">
        <v>91</v>
      </c>
      <c r="F91" s="2" t="s">
        <v>1782</v>
      </c>
      <c r="G91" s="2" t="s">
        <v>295</v>
      </c>
      <c r="H91" s="2" t="n">
        <v>1908</v>
      </c>
      <c r="I91" s="2" t="s">
        <v>1783</v>
      </c>
      <c r="J91" s="2" t="s">
        <v>1426</v>
      </c>
      <c r="K91" s="3" t="n">
        <v>1600</v>
      </c>
      <c r="L91" s="2" t="n">
        <v>2025</v>
      </c>
      <c r="M91" s="2" t="s">
        <v>46</v>
      </c>
      <c r="N91" s="2" t="s">
        <v>1784</v>
      </c>
      <c r="O91" s="2" t="s">
        <v>1785</v>
      </c>
      <c r="P91" s="3" t="n">
        <v>220</v>
      </c>
      <c r="Q91" s="2" t="s">
        <v>489</v>
      </c>
      <c r="R91" s="2" t="s">
        <v>239</v>
      </c>
      <c r="S91" s="2" t="s">
        <v>1786</v>
      </c>
      <c r="T91" s="2" t="s">
        <v>241</v>
      </c>
      <c r="U91" s="2" t="s">
        <v>1787</v>
      </c>
      <c r="V91" s="2" t="s">
        <v>1788</v>
      </c>
      <c r="W91" s="2" t="s">
        <v>1789</v>
      </c>
      <c r="X91" s="2" t="s">
        <v>1790</v>
      </c>
      <c r="Y91" s="2"/>
      <c r="Z91" s="2" t="s">
        <v>1791</v>
      </c>
      <c r="AA91" s="2"/>
      <c r="AB91" s="2" t="s">
        <v>1792</v>
      </c>
      <c r="AC91" s="2" t="s">
        <v>286</v>
      </c>
      <c r="AD91" s="2" t="s">
        <v>287</v>
      </c>
      <c r="AE91" s="2" t="s">
        <v>109</v>
      </c>
      <c r="AF91" s="2" t="s">
        <v>110</v>
      </c>
      <c r="AG91" s="2"/>
      <c r="AH91" s="2"/>
      <c r="AI91" s="2"/>
      <c r="AJ91" s="2" t="s">
        <v>1793</v>
      </c>
      <c r="AK91" s="2" t="s">
        <v>63</v>
      </c>
      <c r="AL91" s="2" t="s">
        <v>1794</v>
      </c>
      <c r="AM91" s="2" t="s">
        <v>1795</v>
      </c>
    </row>
    <row r="92" customFormat="false" ht="247.75" hidden="false" customHeight="false" outlineLevel="0" collapsed="false">
      <c r="A92" s="2" t="n">
        <v>91</v>
      </c>
      <c r="B92" s="2" t="s">
        <v>1796</v>
      </c>
      <c r="C92" s="2" t="s">
        <v>1797</v>
      </c>
      <c r="D92" s="2" t="s">
        <v>1798</v>
      </c>
      <c r="E92" s="2" t="s">
        <v>91</v>
      </c>
      <c r="F92" s="2" t="s">
        <v>1799</v>
      </c>
      <c r="G92" s="2" t="s">
        <v>1800</v>
      </c>
      <c r="H92" s="2" t="n">
        <v>2017</v>
      </c>
      <c r="I92" s="2" t="s">
        <v>1801</v>
      </c>
      <c r="J92" s="2" t="s">
        <v>467</v>
      </c>
      <c r="K92" s="3" t="n">
        <v>1800</v>
      </c>
      <c r="L92" s="2" t="n">
        <v>2025</v>
      </c>
      <c r="M92" s="2" t="s">
        <v>46</v>
      </c>
      <c r="N92" s="2" t="s">
        <v>1802</v>
      </c>
      <c r="O92" s="2" t="s">
        <v>1803</v>
      </c>
      <c r="P92" s="3" t="n">
        <v>106</v>
      </c>
      <c r="Q92" s="2" t="s">
        <v>1313</v>
      </c>
      <c r="R92" s="2" t="s">
        <v>239</v>
      </c>
      <c r="S92" s="2" t="s">
        <v>1804</v>
      </c>
      <c r="T92" s="2" t="s">
        <v>241</v>
      </c>
      <c r="U92" s="2" t="s">
        <v>1805</v>
      </c>
      <c r="V92" s="2" t="s">
        <v>1806</v>
      </c>
      <c r="W92" s="2" t="s">
        <v>1807</v>
      </c>
      <c r="X92" s="2" t="s">
        <v>1808</v>
      </c>
      <c r="Y92" s="2"/>
      <c r="Z92" s="2" t="s">
        <v>1809</v>
      </c>
      <c r="AA92" s="2" t="s">
        <v>1810</v>
      </c>
      <c r="AB92" s="2" t="s">
        <v>1811</v>
      </c>
      <c r="AC92" s="2" t="s">
        <v>82</v>
      </c>
      <c r="AD92" s="2" t="s">
        <v>83</v>
      </c>
      <c r="AE92" s="2" t="s">
        <v>109</v>
      </c>
      <c r="AF92" s="2" t="s">
        <v>110</v>
      </c>
      <c r="AG92" s="2"/>
      <c r="AH92" s="2"/>
      <c r="AI92" s="2" t="s">
        <v>1812</v>
      </c>
      <c r="AJ92" s="2" t="s">
        <v>1813</v>
      </c>
      <c r="AK92" s="2" t="s">
        <v>63</v>
      </c>
      <c r="AL92" s="2" t="s">
        <v>1814</v>
      </c>
      <c r="AM92" s="2" t="s">
        <v>1815</v>
      </c>
    </row>
    <row r="93" customFormat="false" ht="202.95" hidden="false" customHeight="false" outlineLevel="0" collapsed="false">
      <c r="A93" s="2" t="n">
        <v>92</v>
      </c>
      <c r="B93" s="2" t="s">
        <v>1816</v>
      </c>
      <c r="C93" s="2" t="s">
        <v>1817</v>
      </c>
      <c r="D93" s="2" t="s">
        <v>1818</v>
      </c>
      <c r="E93" s="2" t="s">
        <v>873</v>
      </c>
      <c r="F93" s="2" t="s">
        <v>1819</v>
      </c>
      <c r="G93" s="2" t="s">
        <v>1820</v>
      </c>
      <c r="H93" s="2" t="n">
        <v>1963</v>
      </c>
      <c r="I93" s="2" t="s">
        <v>1821</v>
      </c>
      <c r="J93" s="2" t="s">
        <v>467</v>
      </c>
      <c r="K93" s="3" t="n">
        <v>2651</v>
      </c>
      <c r="L93" s="2" t="n">
        <v>2025</v>
      </c>
      <c r="M93" s="2" t="s">
        <v>46</v>
      </c>
      <c r="N93" s="2" t="s">
        <v>1822</v>
      </c>
      <c r="O93" s="2" t="s">
        <v>1823</v>
      </c>
      <c r="P93" s="3" t="n">
        <v>701</v>
      </c>
      <c r="Q93" s="2" t="s">
        <v>49</v>
      </c>
      <c r="R93" s="2" t="s">
        <v>46</v>
      </c>
      <c r="S93" s="2" t="s">
        <v>1824</v>
      </c>
      <c r="T93" s="2" t="s">
        <v>51</v>
      </c>
      <c r="U93" s="2" t="s">
        <v>1825</v>
      </c>
      <c r="V93" s="2" t="s">
        <v>1826</v>
      </c>
      <c r="W93" s="2" t="s">
        <v>1827</v>
      </c>
      <c r="X93" s="2" t="s">
        <v>1828</v>
      </c>
      <c r="Y93" s="2" t="s">
        <v>1829</v>
      </c>
      <c r="Z93" s="2" t="s">
        <v>1830</v>
      </c>
      <c r="AA93" s="2"/>
      <c r="AB93" s="2" t="s">
        <v>1831</v>
      </c>
      <c r="AC93" s="2" t="s">
        <v>82</v>
      </c>
      <c r="AD93" s="2" t="s">
        <v>83</v>
      </c>
      <c r="AE93" s="2" t="s">
        <v>59</v>
      </c>
      <c r="AF93" s="2" t="s">
        <v>60</v>
      </c>
      <c r="AG93" s="2"/>
      <c r="AH93" s="2"/>
      <c r="AI93" s="2" t="s">
        <v>1832</v>
      </c>
      <c r="AJ93" s="2" t="s">
        <v>1833</v>
      </c>
      <c r="AK93" s="2" t="s">
        <v>63</v>
      </c>
      <c r="AL93" s="2"/>
      <c r="AM93" s="2" t="s">
        <v>1834</v>
      </c>
    </row>
    <row r="94" customFormat="false" ht="147" hidden="false" customHeight="false" outlineLevel="0" collapsed="false">
      <c r="A94" s="2" t="n">
        <v>93</v>
      </c>
      <c r="B94" s="2" t="s">
        <v>1835</v>
      </c>
      <c r="C94" s="2" t="s">
        <v>1836</v>
      </c>
      <c r="D94" s="2" t="s">
        <v>1837</v>
      </c>
      <c r="E94" s="2" t="s">
        <v>91</v>
      </c>
      <c r="F94" s="2"/>
      <c r="G94" s="2" t="s">
        <v>295</v>
      </c>
      <c r="H94" s="2" t="n">
        <v>1961</v>
      </c>
      <c r="I94" s="2" t="s">
        <v>1838</v>
      </c>
      <c r="J94" s="2" t="s">
        <v>467</v>
      </c>
      <c r="K94" s="3" t="n">
        <v>3000</v>
      </c>
      <c r="L94" s="2" t="n">
        <v>2025</v>
      </c>
      <c r="M94" s="2" t="s">
        <v>46</v>
      </c>
      <c r="N94" s="2" t="s">
        <v>1839</v>
      </c>
      <c r="O94" s="2" t="s">
        <v>1840</v>
      </c>
      <c r="P94" s="3" t="n">
        <v>815</v>
      </c>
      <c r="Q94" s="2" t="s">
        <v>1841</v>
      </c>
      <c r="R94" s="2" t="s">
        <v>239</v>
      </c>
      <c r="S94" s="2" t="s">
        <v>1842</v>
      </c>
      <c r="T94" s="2" t="s">
        <v>241</v>
      </c>
      <c r="U94" s="2" t="s">
        <v>1843</v>
      </c>
      <c r="V94" s="2" t="s">
        <v>1844</v>
      </c>
      <c r="W94" s="2" t="s">
        <v>1845</v>
      </c>
      <c r="X94" s="2" t="s">
        <v>1846</v>
      </c>
      <c r="Y94" s="2" t="s">
        <v>1847</v>
      </c>
      <c r="Z94" s="2" t="s">
        <v>1848</v>
      </c>
      <c r="AA94" s="2" t="s">
        <v>1849</v>
      </c>
      <c r="AB94" s="2" t="s">
        <v>1850</v>
      </c>
      <c r="AC94" s="2" t="s">
        <v>82</v>
      </c>
      <c r="AD94" s="2" t="s">
        <v>83</v>
      </c>
      <c r="AE94" s="2" t="s">
        <v>59</v>
      </c>
      <c r="AF94" s="2" t="s">
        <v>60</v>
      </c>
      <c r="AG94" s="2"/>
      <c r="AH94" s="2"/>
      <c r="AI94" s="2" t="s">
        <v>1851</v>
      </c>
      <c r="AJ94" s="2" t="s">
        <v>1852</v>
      </c>
      <c r="AK94" s="2" t="s">
        <v>63</v>
      </c>
      <c r="AL94" s="2"/>
      <c r="AM94" s="2" t="s">
        <v>1853</v>
      </c>
    </row>
    <row r="95" customFormat="false" ht="281.3" hidden="false" customHeight="false" outlineLevel="0" collapsed="false">
      <c r="A95" s="2" t="n">
        <v>94</v>
      </c>
      <c r="B95" s="2" t="s">
        <v>1854</v>
      </c>
      <c r="C95" s="2" t="s">
        <v>1855</v>
      </c>
      <c r="D95" s="2" t="s">
        <v>1856</v>
      </c>
      <c r="E95" s="2" t="s">
        <v>91</v>
      </c>
      <c r="F95" s="2"/>
      <c r="G95" s="2" t="s">
        <v>295</v>
      </c>
      <c r="H95" s="2" t="n">
        <v>1949</v>
      </c>
      <c r="I95" s="2" t="s">
        <v>1857</v>
      </c>
      <c r="J95" s="2" t="s">
        <v>297</v>
      </c>
      <c r="K95" s="3" t="n">
        <v>1000</v>
      </c>
      <c r="L95" s="2" t="n">
        <v>2025</v>
      </c>
      <c r="M95" s="2" t="s">
        <v>96</v>
      </c>
      <c r="N95" s="2" t="s">
        <v>1858</v>
      </c>
      <c r="O95" s="2" t="s">
        <v>1859</v>
      </c>
      <c r="P95" s="3" t="n">
        <v>176</v>
      </c>
      <c r="Q95" s="2" t="s">
        <v>1860</v>
      </c>
      <c r="R95" s="2" t="s">
        <v>96</v>
      </c>
      <c r="S95" s="2" t="s">
        <v>1861</v>
      </c>
      <c r="T95" s="2" t="s">
        <v>51</v>
      </c>
      <c r="U95" s="2" t="s">
        <v>1862</v>
      </c>
      <c r="V95" s="2" t="s">
        <v>1863</v>
      </c>
      <c r="W95" s="2" t="s">
        <v>1864</v>
      </c>
      <c r="X95" s="2" t="s">
        <v>1865</v>
      </c>
      <c r="Y95" s="2" t="s">
        <v>1866</v>
      </c>
      <c r="Z95" s="2" t="s">
        <v>1867</v>
      </c>
      <c r="AA95" s="2" t="s">
        <v>1868</v>
      </c>
      <c r="AB95" s="2" t="s">
        <v>1869</v>
      </c>
      <c r="AC95" s="2" t="s">
        <v>82</v>
      </c>
      <c r="AD95" s="2" t="s">
        <v>83</v>
      </c>
      <c r="AE95" s="2" t="s">
        <v>59</v>
      </c>
      <c r="AF95" s="2" t="s">
        <v>60</v>
      </c>
      <c r="AG95" s="2"/>
      <c r="AH95" s="2"/>
      <c r="AI95" s="2" t="s">
        <v>1870</v>
      </c>
      <c r="AJ95" s="2" t="s">
        <v>1871</v>
      </c>
      <c r="AK95" s="2" t="s">
        <v>63</v>
      </c>
      <c r="AL95" s="2" t="s">
        <v>1872</v>
      </c>
      <c r="AM95" s="2" t="s">
        <v>1873</v>
      </c>
    </row>
    <row r="96" customFormat="false" ht="247.75" hidden="false" customHeight="false" outlineLevel="0" collapsed="false">
      <c r="A96" s="2" t="n">
        <v>95</v>
      </c>
      <c r="B96" s="2" t="s">
        <v>1874</v>
      </c>
      <c r="C96" s="2" t="s">
        <v>1875</v>
      </c>
      <c r="D96" s="2" t="s">
        <v>1876</v>
      </c>
      <c r="E96" s="2" t="s">
        <v>91</v>
      </c>
      <c r="F96" s="2"/>
      <c r="G96" s="2" t="s">
        <v>1877</v>
      </c>
      <c r="H96" s="2" t="n">
        <v>1949</v>
      </c>
      <c r="I96" s="2" t="s">
        <v>1878</v>
      </c>
      <c r="J96" s="2" t="s">
        <v>427</v>
      </c>
      <c r="K96" s="3" t="n">
        <v>360</v>
      </c>
      <c r="L96" s="2" t="n">
        <v>2025</v>
      </c>
      <c r="M96" s="2" t="s">
        <v>46</v>
      </c>
      <c r="N96" s="2" t="s">
        <v>1879</v>
      </c>
      <c r="O96" s="2" t="s">
        <v>1880</v>
      </c>
      <c r="P96" s="3" t="n">
        <v>110</v>
      </c>
      <c r="Q96" s="2" t="s">
        <v>1881</v>
      </c>
      <c r="R96" s="2" t="s">
        <v>46</v>
      </c>
      <c r="S96" s="2" t="s">
        <v>1882</v>
      </c>
      <c r="T96" s="2" t="s">
        <v>51</v>
      </c>
      <c r="U96" s="2" t="s">
        <v>1883</v>
      </c>
      <c r="V96" s="2" t="s">
        <v>1884</v>
      </c>
      <c r="W96" s="2" t="s">
        <v>1885</v>
      </c>
      <c r="X96" s="2" t="s">
        <v>1886</v>
      </c>
      <c r="Y96" s="2"/>
      <c r="Z96" s="2" t="s">
        <v>1887</v>
      </c>
      <c r="AA96" s="2"/>
      <c r="AB96" s="2" t="s">
        <v>1888</v>
      </c>
      <c r="AC96" s="2" t="s">
        <v>82</v>
      </c>
      <c r="AD96" s="2" t="s">
        <v>83</v>
      </c>
      <c r="AE96" s="2" t="s">
        <v>59</v>
      </c>
      <c r="AF96" s="2" t="s">
        <v>60</v>
      </c>
      <c r="AG96" s="2"/>
      <c r="AH96" s="2"/>
      <c r="AI96" s="2" t="s">
        <v>1889</v>
      </c>
      <c r="AJ96" s="2" t="s">
        <v>1890</v>
      </c>
      <c r="AK96" s="2" t="s">
        <v>63</v>
      </c>
      <c r="AL96" s="2" t="s">
        <v>1891</v>
      </c>
      <c r="AM96" s="2" t="s">
        <v>1892</v>
      </c>
    </row>
    <row r="97" customFormat="false" ht="169.4" hidden="false" customHeight="false" outlineLevel="0" collapsed="false">
      <c r="A97" s="2" t="n">
        <v>96</v>
      </c>
      <c r="B97" s="2" t="s">
        <v>1893</v>
      </c>
      <c r="C97" s="2" t="s">
        <v>1894</v>
      </c>
      <c r="D97" s="2" t="s">
        <v>1895</v>
      </c>
      <c r="E97" s="2" t="s">
        <v>621</v>
      </c>
      <c r="F97" s="2"/>
      <c r="G97" s="2" t="s">
        <v>295</v>
      </c>
      <c r="H97" s="2" t="n">
        <v>1965</v>
      </c>
      <c r="I97" s="2" t="s">
        <v>1896</v>
      </c>
      <c r="J97" s="2" t="s">
        <v>198</v>
      </c>
      <c r="K97" s="3" t="n">
        <v>200</v>
      </c>
      <c r="L97" s="2" t="n">
        <v>2015</v>
      </c>
      <c r="M97" s="2" t="s">
        <v>46</v>
      </c>
      <c r="N97" s="2" t="s">
        <v>1897</v>
      </c>
      <c r="O97" s="2" t="s">
        <v>1898</v>
      </c>
      <c r="P97" s="3" t="n">
        <v>70</v>
      </c>
      <c r="Q97" s="2" t="s">
        <v>489</v>
      </c>
      <c r="R97" s="2" t="s">
        <v>239</v>
      </c>
      <c r="S97" s="2" t="s">
        <v>1899</v>
      </c>
      <c r="T97" s="2" t="s">
        <v>239</v>
      </c>
      <c r="U97" s="2" t="s">
        <v>1900</v>
      </c>
      <c r="V97" s="2" t="s">
        <v>1901</v>
      </c>
      <c r="W97" s="2" t="s">
        <v>1902</v>
      </c>
      <c r="X97" s="2" t="s">
        <v>1903</v>
      </c>
      <c r="Y97" s="2" t="s">
        <v>1904</v>
      </c>
      <c r="Z97" s="2" t="s">
        <v>1905</v>
      </c>
      <c r="AA97" s="2" t="s">
        <v>1906</v>
      </c>
      <c r="AB97" s="2" t="s">
        <v>1907</v>
      </c>
      <c r="AC97" s="2" t="s">
        <v>82</v>
      </c>
      <c r="AD97" s="2" t="s">
        <v>83</v>
      </c>
      <c r="AE97" s="2" t="s">
        <v>59</v>
      </c>
      <c r="AF97" s="2" t="s">
        <v>60</v>
      </c>
      <c r="AG97" s="2"/>
      <c r="AH97" s="2"/>
      <c r="AI97" s="2" t="s">
        <v>1908</v>
      </c>
      <c r="AJ97" s="2" t="s">
        <v>1909</v>
      </c>
      <c r="AK97" s="2" t="s">
        <v>113</v>
      </c>
      <c r="AL97" s="2" t="s">
        <v>1910</v>
      </c>
      <c r="AM97" s="2" t="s">
        <v>1911</v>
      </c>
    </row>
    <row r="98" customFormat="false" ht="225.35" hidden="false" customHeight="false" outlineLevel="0" collapsed="false">
      <c r="A98" s="2" t="n">
        <v>97</v>
      </c>
      <c r="B98" s="2" t="s">
        <v>1912</v>
      </c>
      <c r="C98" s="2" t="s">
        <v>1913</v>
      </c>
      <c r="D98" s="2" t="s">
        <v>1914</v>
      </c>
      <c r="E98" s="2" t="s">
        <v>91</v>
      </c>
      <c r="F98" s="2"/>
      <c r="G98" s="2" t="s">
        <v>505</v>
      </c>
      <c r="H98" s="2" t="n">
        <v>1947</v>
      </c>
      <c r="I98" s="2" t="s">
        <v>1915</v>
      </c>
      <c r="J98" s="2" t="s">
        <v>1097</v>
      </c>
      <c r="K98" s="3" t="n">
        <v>600</v>
      </c>
      <c r="L98" s="2" t="n">
        <v>2026</v>
      </c>
      <c r="M98" s="2" t="s">
        <v>46</v>
      </c>
      <c r="N98" s="2" t="s">
        <v>1916</v>
      </c>
      <c r="O98" s="2" t="s">
        <v>1917</v>
      </c>
      <c r="P98" s="3" t="n">
        <v>72</v>
      </c>
      <c r="Q98" s="2" t="s">
        <v>1918</v>
      </c>
      <c r="R98" s="2" t="s">
        <v>46</v>
      </c>
      <c r="S98" s="2" t="s">
        <v>1919</v>
      </c>
      <c r="T98" s="2" t="s">
        <v>51</v>
      </c>
      <c r="U98" s="2" t="s">
        <v>1920</v>
      </c>
      <c r="V98" s="2" t="s">
        <v>1921</v>
      </c>
      <c r="W98" s="2" t="s">
        <v>1922</v>
      </c>
      <c r="X98" s="2" t="s">
        <v>1923</v>
      </c>
      <c r="Y98" s="2" t="s">
        <v>1924</v>
      </c>
      <c r="Z98" s="2" t="s">
        <v>1925</v>
      </c>
      <c r="AA98" s="2"/>
      <c r="AB98" s="2" t="s">
        <v>1926</v>
      </c>
      <c r="AC98" s="2" t="s">
        <v>82</v>
      </c>
      <c r="AD98" s="2" t="s">
        <v>83</v>
      </c>
      <c r="AE98" s="2" t="s">
        <v>59</v>
      </c>
      <c r="AF98" s="2" t="s">
        <v>60</v>
      </c>
      <c r="AG98" s="2"/>
      <c r="AH98" s="2"/>
      <c r="AI98" s="2" t="s">
        <v>1927</v>
      </c>
      <c r="AJ98" s="2" t="s">
        <v>1928</v>
      </c>
      <c r="AK98" s="2" t="s">
        <v>113</v>
      </c>
      <c r="AL98" s="2" t="s">
        <v>1929</v>
      </c>
      <c r="AM98" s="2" t="s">
        <v>1930</v>
      </c>
    </row>
    <row r="99" customFormat="false" ht="214.15" hidden="false" customHeight="false" outlineLevel="0" collapsed="false">
      <c r="A99" s="2" t="n">
        <v>98</v>
      </c>
      <c r="B99" s="2" t="s">
        <v>1931</v>
      </c>
      <c r="C99" s="2" t="s">
        <v>1932</v>
      </c>
      <c r="D99" s="2" t="s">
        <v>1933</v>
      </c>
      <c r="E99" s="2" t="s">
        <v>583</v>
      </c>
      <c r="F99" s="2" t="s">
        <v>1934</v>
      </c>
      <c r="G99" s="2" t="s">
        <v>1935</v>
      </c>
      <c r="H99" s="2" t="n">
        <v>1937</v>
      </c>
      <c r="I99" s="2" t="s">
        <v>1936</v>
      </c>
      <c r="J99" s="2" t="s">
        <v>1937</v>
      </c>
      <c r="K99" s="3" t="n">
        <v>350</v>
      </c>
      <c r="L99" s="2" t="n">
        <v>2024</v>
      </c>
      <c r="M99" s="2" t="s">
        <v>239</v>
      </c>
      <c r="N99" s="2" t="s">
        <v>1938</v>
      </c>
      <c r="O99" s="2" t="s">
        <v>1939</v>
      </c>
      <c r="P99" s="3" t="n">
        <v>2310</v>
      </c>
      <c r="Q99" s="2" t="s">
        <v>1940</v>
      </c>
      <c r="R99" s="2" t="s">
        <v>96</v>
      </c>
      <c r="S99" s="2" t="s">
        <v>1941</v>
      </c>
      <c r="T99" s="2" t="s">
        <v>51</v>
      </c>
      <c r="U99" s="2" t="s">
        <v>1942</v>
      </c>
      <c r="V99" s="2" t="s">
        <v>1943</v>
      </c>
      <c r="W99" s="2" t="s">
        <v>1944</v>
      </c>
      <c r="X99" s="2" t="s">
        <v>1945</v>
      </c>
      <c r="Y99" s="2"/>
      <c r="Z99" s="2" t="s">
        <v>1946</v>
      </c>
      <c r="AA99" s="2" t="s">
        <v>1947</v>
      </c>
      <c r="AB99" s="2" t="s">
        <v>1948</v>
      </c>
      <c r="AC99" s="2" t="s">
        <v>82</v>
      </c>
      <c r="AD99" s="2" t="s">
        <v>83</v>
      </c>
      <c r="AE99" s="2" t="s">
        <v>59</v>
      </c>
      <c r="AF99" s="2" t="s">
        <v>60</v>
      </c>
      <c r="AG99" s="2"/>
      <c r="AH99" s="2"/>
      <c r="AI99" s="2" t="s">
        <v>1949</v>
      </c>
      <c r="AJ99" s="2" t="s">
        <v>1950</v>
      </c>
      <c r="AK99" s="2" t="s">
        <v>63</v>
      </c>
      <c r="AL99" s="2" t="s">
        <v>1951</v>
      </c>
      <c r="AM99" s="2" t="s">
        <v>1952</v>
      </c>
    </row>
    <row r="100" customFormat="false" ht="247.75" hidden="false" customHeight="false" outlineLevel="0" collapsed="false">
      <c r="A100" s="2" t="n">
        <v>99</v>
      </c>
      <c r="B100" s="2" t="s">
        <v>1953</v>
      </c>
      <c r="C100" s="2" t="s">
        <v>1954</v>
      </c>
      <c r="D100" s="2" t="s">
        <v>1955</v>
      </c>
      <c r="E100" s="2" t="s">
        <v>42</v>
      </c>
      <c r="F100" s="2" t="s">
        <v>1956</v>
      </c>
      <c r="G100" s="2" t="s">
        <v>1290</v>
      </c>
      <c r="H100" s="2"/>
      <c r="I100" s="2" t="s">
        <v>1957</v>
      </c>
      <c r="J100" s="2" t="s">
        <v>1097</v>
      </c>
      <c r="K100" s="3" t="n">
        <v>700</v>
      </c>
      <c r="L100" s="2" t="n">
        <v>2021</v>
      </c>
      <c r="M100" s="2" t="s">
        <v>46</v>
      </c>
      <c r="N100" s="2" t="s">
        <v>1958</v>
      </c>
      <c r="O100" s="2" t="s">
        <v>1959</v>
      </c>
      <c r="P100" s="3" t="n">
        <v>179</v>
      </c>
      <c r="Q100" s="2" t="s">
        <v>1960</v>
      </c>
      <c r="R100" s="2" t="s">
        <v>46</v>
      </c>
      <c r="S100" s="2" t="s">
        <v>1961</v>
      </c>
      <c r="T100" s="2" t="s">
        <v>51</v>
      </c>
      <c r="U100" s="2" t="s">
        <v>1962</v>
      </c>
      <c r="V100" s="2" t="s">
        <v>1963</v>
      </c>
      <c r="W100" s="2" t="s">
        <v>1964</v>
      </c>
      <c r="X100" s="2" t="s">
        <v>1965</v>
      </c>
      <c r="Y100" s="2"/>
      <c r="Z100" s="2" t="s">
        <v>1966</v>
      </c>
      <c r="AA100" s="2"/>
      <c r="AB100" s="2" t="s">
        <v>1967</v>
      </c>
      <c r="AC100" s="2" t="s">
        <v>286</v>
      </c>
      <c r="AD100" s="2" t="s">
        <v>287</v>
      </c>
      <c r="AE100" s="2" t="s">
        <v>109</v>
      </c>
      <c r="AF100" s="2" t="s">
        <v>110</v>
      </c>
      <c r="AG100" s="2"/>
      <c r="AH100" s="2"/>
      <c r="AI100" s="2"/>
      <c r="AJ100" s="2" t="s">
        <v>1968</v>
      </c>
      <c r="AK100" s="2" t="s">
        <v>289</v>
      </c>
      <c r="AL100" s="2" t="s">
        <v>1969</v>
      </c>
      <c r="AM100" s="2" t="s">
        <v>1970</v>
      </c>
    </row>
    <row r="101" customFormat="false" ht="225.35" hidden="false" customHeight="false" outlineLevel="0" collapsed="false">
      <c r="A101" s="2" t="n">
        <v>100</v>
      </c>
      <c r="B101" s="2" t="s">
        <v>1971</v>
      </c>
      <c r="C101" s="2" t="s">
        <v>1972</v>
      </c>
      <c r="D101" s="2" t="s">
        <v>1973</v>
      </c>
      <c r="E101" s="2" t="s">
        <v>1974</v>
      </c>
      <c r="F101" s="2"/>
      <c r="G101" s="2" t="s">
        <v>295</v>
      </c>
      <c r="H101" s="2" t="n">
        <v>1984</v>
      </c>
      <c r="I101" s="2" t="s">
        <v>1975</v>
      </c>
      <c r="J101" s="2" t="s">
        <v>179</v>
      </c>
      <c r="K101" s="3" t="n">
        <v>403</v>
      </c>
      <c r="L101" s="2" t="n">
        <v>2025</v>
      </c>
      <c r="M101" s="2" t="s">
        <v>46</v>
      </c>
      <c r="N101" s="2" t="s">
        <v>1976</v>
      </c>
      <c r="O101" s="2" t="s">
        <v>1977</v>
      </c>
      <c r="P101" s="3" t="n">
        <v>26</v>
      </c>
      <c r="Q101" s="2" t="s">
        <v>1978</v>
      </c>
      <c r="R101" s="2" t="s">
        <v>46</v>
      </c>
      <c r="S101" s="2" t="s">
        <v>1979</v>
      </c>
      <c r="T101" s="2" t="s">
        <v>51</v>
      </c>
      <c r="U101" s="2" t="s">
        <v>1980</v>
      </c>
      <c r="V101" s="2" t="s">
        <v>1981</v>
      </c>
      <c r="W101" s="2" t="s">
        <v>1982</v>
      </c>
      <c r="X101" s="2" t="s">
        <v>1983</v>
      </c>
      <c r="Y101" s="2" t="s">
        <v>1984</v>
      </c>
      <c r="Z101" s="2" t="s">
        <v>1985</v>
      </c>
      <c r="AA101" s="2" t="s">
        <v>1986</v>
      </c>
      <c r="AB101" s="2" t="s">
        <v>1987</v>
      </c>
      <c r="AC101" s="2" t="s">
        <v>82</v>
      </c>
      <c r="AD101" s="2" t="s">
        <v>83</v>
      </c>
      <c r="AE101" s="2" t="s">
        <v>59</v>
      </c>
      <c r="AF101" s="2" t="s">
        <v>60</v>
      </c>
      <c r="AG101" s="2"/>
      <c r="AH101" s="2"/>
      <c r="AI101" s="2" t="s">
        <v>1988</v>
      </c>
      <c r="AJ101" s="2" t="s">
        <v>1989</v>
      </c>
      <c r="AK101" s="2" t="s">
        <v>63</v>
      </c>
      <c r="AL101" s="2" t="s">
        <v>1990</v>
      </c>
      <c r="AM101" s="2" t="s">
        <v>1991</v>
      </c>
    </row>
  </sheetData>
  <autoFilter ref="A1:AM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18"/>
    <col collapsed="false" customWidth="true" hidden="false" outlineLevel="0" max="4" min="4" style="0" width="34"/>
    <col collapsed="false" customWidth="true" hidden="false" outlineLevel="0" max="5" min="5" style="0" width="20"/>
    <col collapsed="false" customWidth="true" hidden="false" outlineLevel="0" max="6" min="6" style="0" width="12"/>
    <col collapsed="false" customWidth="true" hidden="false" outlineLevel="0" max="7" min="7" style="0" width="40"/>
    <col collapsed="false" customWidth="true" hidden="false" outlineLevel="0" max="8" min="8" style="0" width="30"/>
    <col collapsed="false" customWidth="true" hidden="false" outlineLevel="0" max="9" min="9" style="0" width="18"/>
    <col collapsed="false" customWidth="true" hidden="false" outlineLevel="0" max="10" min="10" style="0" width="26"/>
    <col collapsed="false" customWidth="true" hidden="false" outlineLevel="0" max="11" min="11" style="0" width="34"/>
    <col collapsed="false" customWidth="true" hidden="false" outlineLevel="0" max="12" min="12" style="0" width="30"/>
    <col collapsed="false" customWidth="true" hidden="false" outlineLevel="0" max="13" min="13" style="0" width="10"/>
    <col collapsed="false" customWidth="true" hidden="false" outlineLevel="0" max="14" min="14" style="0" width="14"/>
    <col collapsed="false" customWidth="true" hidden="false" outlineLevel="0" max="15" min="15" style="0" width="60"/>
  </cols>
  <sheetData>
    <row r="1" customFormat="false" ht="12.65" hidden="false" customHeight="false" outlineLevel="0" collapsed="false">
      <c r="A1" s="5" t="s">
        <v>1992</v>
      </c>
      <c r="B1" s="5" t="s">
        <v>1</v>
      </c>
      <c r="C1" s="5" t="s">
        <v>1993</v>
      </c>
      <c r="D1" s="5" t="s">
        <v>1994</v>
      </c>
      <c r="E1" s="5" t="s">
        <v>1995</v>
      </c>
      <c r="F1" s="5" t="s">
        <v>1996</v>
      </c>
      <c r="G1" s="5" t="s">
        <v>1997</v>
      </c>
      <c r="H1" s="5" t="s">
        <v>8</v>
      </c>
      <c r="I1" s="5" t="s">
        <v>1998</v>
      </c>
      <c r="J1" s="5" t="s">
        <v>1999</v>
      </c>
      <c r="K1" s="5" t="s">
        <v>2000</v>
      </c>
      <c r="L1" s="5" t="s">
        <v>26</v>
      </c>
      <c r="M1" s="5" t="s">
        <v>2001</v>
      </c>
      <c r="N1" s="5" t="s">
        <v>2002</v>
      </c>
      <c r="O1" s="5" t="s">
        <v>2003</v>
      </c>
    </row>
    <row r="2" customFormat="false" ht="23.85" hidden="false" customHeight="false" outlineLevel="0" collapsed="false">
      <c r="A2" s="2" t="n">
        <v>1</v>
      </c>
      <c r="B2" s="2" t="s">
        <v>39</v>
      </c>
      <c r="C2" s="2" t="s">
        <v>57</v>
      </c>
      <c r="D2" s="2" t="s">
        <v>2004</v>
      </c>
      <c r="E2" s="2" t="s">
        <v>2005</v>
      </c>
      <c r="F2" s="2" t="s">
        <v>2006</v>
      </c>
      <c r="G2" s="2" t="s">
        <v>2007</v>
      </c>
      <c r="H2" s="2" t="s">
        <v>44</v>
      </c>
      <c r="I2" s="2" t="s">
        <v>2008</v>
      </c>
      <c r="J2" s="2"/>
      <c r="K2" s="2" t="s">
        <v>2009</v>
      </c>
      <c r="L2" s="2" t="s">
        <v>2010</v>
      </c>
      <c r="M2" s="2"/>
      <c r="N2" s="2"/>
      <c r="O2" s="2" t="s">
        <v>2010</v>
      </c>
    </row>
    <row r="3" customFormat="false" ht="23.85" hidden="false" customHeight="false" outlineLevel="0" collapsed="false">
      <c r="A3" s="2" t="n">
        <v>1</v>
      </c>
      <c r="B3" s="2" t="s">
        <v>39</v>
      </c>
      <c r="C3" s="2" t="s">
        <v>57</v>
      </c>
      <c r="D3" s="2" t="s">
        <v>2011</v>
      </c>
      <c r="E3" s="2" t="s">
        <v>2012</v>
      </c>
      <c r="F3" s="2" t="s">
        <v>2006</v>
      </c>
      <c r="G3" s="2" t="s">
        <v>2013</v>
      </c>
      <c r="H3" s="2" t="s">
        <v>44</v>
      </c>
      <c r="I3" s="2" t="s">
        <v>2008</v>
      </c>
      <c r="J3" s="2"/>
      <c r="K3" s="2" t="s">
        <v>2009</v>
      </c>
      <c r="L3" s="2" t="s">
        <v>2010</v>
      </c>
      <c r="M3" s="2"/>
      <c r="N3" s="2"/>
      <c r="O3" s="2"/>
    </row>
    <row r="4" customFormat="false" ht="79.85" hidden="false" customHeight="false" outlineLevel="0" collapsed="false">
      <c r="A4" s="2" t="n">
        <v>1</v>
      </c>
      <c r="B4" s="2" t="s">
        <v>39</v>
      </c>
      <c r="C4" s="2" t="s">
        <v>57</v>
      </c>
      <c r="D4" s="2" t="s">
        <v>2014</v>
      </c>
      <c r="E4" s="2" t="s">
        <v>2015</v>
      </c>
      <c r="F4" s="2" t="s">
        <v>2016</v>
      </c>
      <c r="G4" s="2" t="s">
        <v>2017</v>
      </c>
      <c r="H4" s="2" t="s">
        <v>2018</v>
      </c>
      <c r="I4" s="2" t="s">
        <v>2019</v>
      </c>
      <c r="J4" s="2"/>
      <c r="K4" s="2" t="s">
        <v>2020</v>
      </c>
      <c r="L4" s="2"/>
      <c r="M4" s="2" t="n">
        <v>2026</v>
      </c>
      <c r="N4" s="2" t="s">
        <v>2021</v>
      </c>
      <c r="O4" s="2" t="s">
        <v>2022</v>
      </c>
    </row>
    <row r="5" customFormat="false" ht="91" hidden="false" customHeight="false" outlineLevel="0" collapsed="false">
      <c r="A5" s="2" t="n">
        <v>1</v>
      </c>
      <c r="B5" s="2" t="s">
        <v>39</v>
      </c>
      <c r="C5" s="2" t="s">
        <v>57</v>
      </c>
      <c r="D5" s="2" t="s">
        <v>2023</v>
      </c>
      <c r="E5" s="2" t="s">
        <v>2024</v>
      </c>
      <c r="F5" s="2" t="s">
        <v>2016</v>
      </c>
      <c r="G5" s="2" t="s">
        <v>2025</v>
      </c>
      <c r="H5" s="2" t="s">
        <v>2026</v>
      </c>
      <c r="I5" s="2" t="s">
        <v>2027</v>
      </c>
      <c r="J5" s="2" t="s">
        <v>2028</v>
      </c>
      <c r="K5" s="2" t="s">
        <v>2029</v>
      </c>
      <c r="L5" s="2"/>
      <c r="M5" s="2" t="n">
        <v>2026</v>
      </c>
      <c r="N5" s="2" t="s">
        <v>2021</v>
      </c>
      <c r="O5" s="2" t="s">
        <v>2030</v>
      </c>
    </row>
    <row r="6" customFormat="false" ht="91" hidden="false" customHeight="false" outlineLevel="0" collapsed="false">
      <c r="A6" s="2" t="n">
        <v>1</v>
      </c>
      <c r="B6" s="2" t="s">
        <v>39</v>
      </c>
      <c r="C6" s="2" t="s">
        <v>57</v>
      </c>
      <c r="D6" s="2" t="s">
        <v>2031</v>
      </c>
      <c r="E6" s="2" t="s">
        <v>2032</v>
      </c>
      <c r="F6" s="2" t="s">
        <v>2016</v>
      </c>
      <c r="G6" s="2" t="s">
        <v>2033</v>
      </c>
      <c r="H6" s="2" t="s">
        <v>2034</v>
      </c>
      <c r="I6" s="2" t="s">
        <v>2035</v>
      </c>
      <c r="J6" s="2" t="s">
        <v>2036</v>
      </c>
      <c r="K6" s="2" t="s">
        <v>2037</v>
      </c>
      <c r="L6" s="2"/>
      <c r="M6" s="2" t="n">
        <v>2026</v>
      </c>
      <c r="N6" s="2" t="s">
        <v>2021</v>
      </c>
      <c r="O6" s="2" t="s">
        <v>2038</v>
      </c>
    </row>
    <row r="7" customFormat="false" ht="23.85" hidden="false" customHeight="false" outlineLevel="0" collapsed="false">
      <c r="A7" s="2" t="n">
        <v>1</v>
      </c>
      <c r="B7" s="2" t="s">
        <v>39</v>
      </c>
      <c r="C7" s="2" t="s">
        <v>57</v>
      </c>
      <c r="D7" s="2" t="s">
        <v>2039</v>
      </c>
      <c r="E7" s="2" t="s">
        <v>2040</v>
      </c>
      <c r="F7" s="2" t="s">
        <v>2016</v>
      </c>
      <c r="G7" s="2" t="s">
        <v>2041</v>
      </c>
      <c r="H7" s="2" t="s">
        <v>2042</v>
      </c>
      <c r="I7" s="2" t="s">
        <v>2043</v>
      </c>
      <c r="J7" s="2"/>
      <c r="K7" s="2" t="s">
        <v>2044</v>
      </c>
      <c r="L7" s="2" t="s">
        <v>2045</v>
      </c>
      <c r="M7" s="2" t="n">
        <v>2026</v>
      </c>
      <c r="N7" s="2" t="s">
        <v>2021</v>
      </c>
      <c r="O7" s="2" t="s">
        <v>2046</v>
      </c>
    </row>
    <row r="8" customFormat="false" ht="68.65" hidden="false" customHeight="false" outlineLevel="0" collapsed="false">
      <c r="A8" s="2" t="n">
        <v>1</v>
      </c>
      <c r="B8" s="2" t="s">
        <v>39</v>
      </c>
      <c r="C8" s="2" t="s">
        <v>57</v>
      </c>
      <c r="D8" s="2" t="s">
        <v>2047</v>
      </c>
      <c r="E8" s="2"/>
      <c r="F8" s="2" t="s">
        <v>2048</v>
      </c>
      <c r="G8" s="2" t="s">
        <v>2049</v>
      </c>
      <c r="H8" s="2" t="s">
        <v>44</v>
      </c>
      <c r="I8" s="2" t="s">
        <v>2008</v>
      </c>
      <c r="J8" s="2"/>
      <c r="K8" s="2" t="s">
        <v>2009</v>
      </c>
      <c r="L8" s="2" t="s">
        <v>2010</v>
      </c>
      <c r="M8" s="2" t="n">
        <v>2026</v>
      </c>
      <c r="N8" s="2" t="s">
        <v>2050</v>
      </c>
      <c r="O8" s="2" t="s">
        <v>2051</v>
      </c>
    </row>
    <row r="9" customFormat="false" ht="46.25" hidden="false" customHeight="false" outlineLevel="0" collapsed="false">
      <c r="A9" s="2" t="n">
        <v>1</v>
      </c>
      <c r="B9" s="2" t="s">
        <v>39</v>
      </c>
      <c r="C9" s="2" t="s">
        <v>57</v>
      </c>
      <c r="D9" s="2" t="s">
        <v>2052</v>
      </c>
      <c r="E9" s="2"/>
      <c r="F9" s="2" t="s">
        <v>2016</v>
      </c>
      <c r="G9" s="2" t="s">
        <v>2053</v>
      </c>
      <c r="H9" s="2"/>
      <c r="I9" s="2"/>
      <c r="J9" s="2"/>
      <c r="K9" s="2"/>
      <c r="L9" s="2"/>
      <c r="M9" s="2" t="n">
        <v>2026</v>
      </c>
      <c r="N9" s="2" t="s">
        <v>2054</v>
      </c>
      <c r="O9" s="2" t="s">
        <v>2055</v>
      </c>
    </row>
    <row r="10" customFormat="false" ht="35.05" hidden="false" customHeight="false" outlineLevel="0" collapsed="false">
      <c r="A10" s="2" t="n">
        <v>1</v>
      </c>
      <c r="B10" s="2" t="s">
        <v>39</v>
      </c>
      <c r="C10" s="2" t="s">
        <v>57</v>
      </c>
      <c r="D10" s="2" t="s">
        <v>2056</v>
      </c>
      <c r="E10" s="2"/>
      <c r="F10" s="2" t="s">
        <v>2016</v>
      </c>
      <c r="G10" s="2" t="s">
        <v>2057</v>
      </c>
      <c r="H10" s="2"/>
      <c r="I10" s="2"/>
      <c r="J10" s="2"/>
      <c r="K10" s="2"/>
      <c r="L10" s="2"/>
      <c r="M10" s="2" t="n">
        <v>2026</v>
      </c>
      <c r="N10" s="2" t="s">
        <v>2054</v>
      </c>
      <c r="O10" s="2" t="s">
        <v>2058</v>
      </c>
    </row>
    <row r="11" customFormat="false" ht="46.25" hidden="false" customHeight="false" outlineLevel="0" collapsed="false">
      <c r="A11" s="2" t="n">
        <v>1</v>
      </c>
      <c r="B11" s="2" t="s">
        <v>39</v>
      </c>
      <c r="C11" s="2" t="s">
        <v>57</v>
      </c>
      <c r="D11" s="2" t="s">
        <v>2059</v>
      </c>
      <c r="E11" s="2"/>
      <c r="F11" s="2" t="s">
        <v>2016</v>
      </c>
      <c r="G11" s="2" t="s">
        <v>2060</v>
      </c>
      <c r="H11" s="2"/>
      <c r="I11" s="2"/>
      <c r="J11" s="2"/>
      <c r="K11" s="2"/>
      <c r="L11" s="2"/>
      <c r="M11" s="2" t="n">
        <v>2026</v>
      </c>
      <c r="N11" s="2" t="s">
        <v>2054</v>
      </c>
      <c r="O11" s="2" t="s">
        <v>2061</v>
      </c>
    </row>
    <row r="12" customFormat="false" ht="57.45" hidden="false" customHeight="false" outlineLevel="0" collapsed="false">
      <c r="A12" s="2" t="n">
        <v>2</v>
      </c>
      <c r="B12" s="2" t="s">
        <v>66</v>
      </c>
      <c r="C12" s="2" t="s">
        <v>82</v>
      </c>
      <c r="D12" s="2" t="s">
        <v>2062</v>
      </c>
      <c r="E12" s="2" t="s">
        <v>2063</v>
      </c>
      <c r="F12" s="2" t="s">
        <v>2016</v>
      </c>
      <c r="G12" s="2" t="s">
        <v>2064</v>
      </c>
      <c r="H12" s="2" t="s">
        <v>2065</v>
      </c>
      <c r="I12" s="2" t="s">
        <v>2066</v>
      </c>
      <c r="J12" s="2" t="s">
        <v>2067</v>
      </c>
      <c r="K12" s="2" t="s">
        <v>2068</v>
      </c>
      <c r="L12" s="2"/>
      <c r="M12" s="2" t="n">
        <v>2026</v>
      </c>
      <c r="N12" s="2" t="s">
        <v>2021</v>
      </c>
      <c r="O12" s="2" t="s">
        <v>2069</v>
      </c>
    </row>
    <row r="13" customFormat="false" ht="46.25" hidden="false" customHeight="false" outlineLevel="0" collapsed="false">
      <c r="A13" s="2" t="n">
        <v>3</v>
      </c>
      <c r="B13" s="2" t="s">
        <v>88</v>
      </c>
      <c r="C13" s="2" t="s">
        <v>57</v>
      </c>
      <c r="D13" s="2" t="s">
        <v>2070</v>
      </c>
      <c r="E13" s="2"/>
      <c r="F13" s="2" t="s">
        <v>2006</v>
      </c>
      <c r="G13" s="2" t="s">
        <v>2071</v>
      </c>
      <c r="H13" s="2" t="s">
        <v>2072</v>
      </c>
      <c r="I13" s="2" t="s">
        <v>2073</v>
      </c>
      <c r="J13" s="2" t="s">
        <v>2074</v>
      </c>
      <c r="K13" s="2" t="s">
        <v>2075</v>
      </c>
      <c r="L13" s="2" t="s">
        <v>2076</v>
      </c>
      <c r="M13" s="2"/>
      <c r="N13" s="2" t="s">
        <v>2050</v>
      </c>
      <c r="O13" s="2" t="s">
        <v>2077</v>
      </c>
    </row>
    <row r="14" customFormat="false" ht="57.45" hidden="false" customHeight="false" outlineLevel="0" collapsed="false">
      <c r="A14" s="2" t="n">
        <v>3</v>
      </c>
      <c r="B14" s="2" t="s">
        <v>88</v>
      </c>
      <c r="C14" s="2" t="s">
        <v>57</v>
      </c>
      <c r="D14" s="2" t="s">
        <v>2078</v>
      </c>
      <c r="E14" s="2" t="s">
        <v>2079</v>
      </c>
      <c r="F14" s="2" t="s">
        <v>2016</v>
      </c>
      <c r="G14" s="2" t="s">
        <v>2080</v>
      </c>
      <c r="H14" s="2" t="s">
        <v>2081</v>
      </c>
      <c r="I14" s="2" t="s">
        <v>2082</v>
      </c>
      <c r="J14" s="2"/>
      <c r="K14" s="2" t="s">
        <v>2083</v>
      </c>
      <c r="L14" s="2" t="s">
        <v>2084</v>
      </c>
      <c r="M14" s="2" t="n">
        <v>2026</v>
      </c>
      <c r="N14" s="2" t="s">
        <v>2021</v>
      </c>
      <c r="O14" s="2" t="s">
        <v>2085</v>
      </c>
    </row>
    <row r="15" customFormat="false" ht="113.4" hidden="false" customHeight="false" outlineLevel="0" collapsed="false">
      <c r="A15" s="2" t="n">
        <v>4</v>
      </c>
      <c r="B15" s="2" t="s">
        <v>116</v>
      </c>
      <c r="C15" s="2" t="s">
        <v>57</v>
      </c>
      <c r="D15" s="2" t="s">
        <v>2086</v>
      </c>
      <c r="E15" s="2"/>
      <c r="F15" s="2" t="s">
        <v>2006</v>
      </c>
      <c r="G15" s="2" t="s">
        <v>2087</v>
      </c>
      <c r="H15" s="2" t="s">
        <v>120</v>
      </c>
      <c r="I15" s="2"/>
      <c r="J15" s="2"/>
      <c r="K15" s="2"/>
      <c r="L15" s="2"/>
      <c r="M15" s="2" t="n">
        <v>2024</v>
      </c>
      <c r="N15" s="2" t="s">
        <v>2021</v>
      </c>
      <c r="O15" s="2" t="s">
        <v>2088</v>
      </c>
    </row>
    <row r="16" customFormat="false" ht="35.05" hidden="false" customHeight="false" outlineLevel="0" collapsed="false">
      <c r="A16" s="2" t="n">
        <v>4</v>
      </c>
      <c r="B16" s="2" t="s">
        <v>116</v>
      </c>
      <c r="C16" s="2" t="s">
        <v>57</v>
      </c>
      <c r="D16" s="2" t="s">
        <v>2031</v>
      </c>
      <c r="E16" s="2" t="s">
        <v>2032</v>
      </c>
      <c r="F16" s="2" t="s">
        <v>2016</v>
      </c>
      <c r="G16" s="2" t="s">
        <v>2089</v>
      </c>
      <c r="H16" s="2" t="s">
        <v>2034</v>
      </c>
      <c r="I16" s="2" t="s">
        <v>2035</v>
      </c>
      <c r="J16" s="2" t="s">
        <v>2036</v>
      </c>
      <c r="K16" s="2" t="s">
        <v>2037</v>
      </c>
      <c r="L16" s="2"/>
      <c r="M16" s="2"/>
      <c r="N16" s="2" t="s">
        <v>2050</v>
      </c>
      <c r="O16" s="2" t="s">
        <v>2090</v>
      </c>
    </row>
    <row r="17" customFormat="false" ht="35.05" hidden="false" customHeight="false" outlineLevel="0" collapsed="false">
      <c r="A17" s="2" t="n">
        <v>5</v>
      </c>
      <c r="B17" s="2" t="s">
        <v>134</v>
      </c>
      <c r="C17" s="2" t="s">
        <v>57</v>
      </c>
      <c r="D17" s="2" t="s">
        <v>2091</v>
      </c>
      <c r="E17" s="2" t="s">
        <v>2092</v>
      </c>
      <c r="F17" s="2" t="s">
        <v>2006</v>
      </c>
      <c r="G17" s="2" t="s">
        <v>2093</v>
      </c>
      <c r="H17" s="2" t="s">
        <v>138</v>
      </c>
      <c r="I17" s="2" t="s">
        <v>145</v>
      </c>
      <c r="J17" s="2" t="s">
        <v>146</v>
      </c>
      <c r="K17" s="2" t="s">
        <v>2094</v>
      </c>
      <c r="L17" s="2" t="s">
        <v>148</v>
      </c>
      <c r="M17" s="2"/>
      <c r="N17" s="2"/>
      <c r="O17" s="2" t="s">
        <v>148</v>
      </c>
    </row>
    <row r="18" customFormat="false" ht="35.05" hidden="false" customHeight="false" outlineLevel="0" collapsed="false">
      <c r="A18" s="2" t="n">
        <v>5</v>
      </c>
      <c r="B18" s="2" t="s">
        <v>134</v>
      </c>
      <c r="C18" s="2" t="s">
        <v>57</v>
      </c>
      <c r="D18" s="2" t="s">
        <v>2095</v>
      </c>
      <c r="E18" s="2"/>
      <c r="F18" s="2" t="s">
        <v>2016</v>
      </c>
      <c r="G18" s="2" t="s">
        <v>2096</v>
      </c>
      <c r="H18" s="2" t="s">
        <v>2097</v>
      </c>
      <c r="I18" s="2" t="s">
        <v>2098</v>
      </c>
      <c r="J18" s="2" t="s">
        <v>2099</v>
      </c>
      <c r="K18" s="2" t="s">
        <v>2100</v>
      </c>
      <c r="L18" s="2"/>
      <c r="M18" s="2" t="n">
        <v>2026</v>
      </c>
      <c r="N18" s="2" t="s">
        <v>2021</v>
      </c>
      <c r="O18" s="2" t="s">
        <v>2101</v>
      </c>
    </row>
    <row r="19" customFormat="false" ht="46.25" hidden="false" customHeight="false" outlineLevel="0" collapsed="false">
      <c r="A19" s="2" t="n">
        <v>5</v>
      </c>
      <c r="B19" s="2" t="s">
        <v>134</v>
      </c>
      <c r="C19" s="2" t="s">
        <v>57</v>
      </c>
      <c r="D19" s="2" t="s">
        <v>2102</v>
      </c>
      <c r="E19" s="2"/>
      <c r="F19" s="2" t="s">
        <v>2006</v>
      </c>
      <c r="G19" s="2" t="s">
        <v>2103</v>
      </c>
      <c r="H19" s="2" t="s">
        <v>138</v>
      </c>
      <c r="I19" s="2"/>
      <c r="J19" s="2"/>
      <c r="K19" s="2" t="s">
        <v>2104</v>
      </c>
      <c r="L19" s="2" t="s">
        <v>148</v>
      </c>
      <c r="M19" s="2" t="n">
        <v>2025</v>
      </c>
      <c r="N19" s="2" t="s">
        <v>2021</v>
      </c>
      <c r="O19" s="2" t="s">
        <v>2105</v>
      </c>
    </row>
    <row r="20" customFormat="false" ht="35.05" hidden="false" customHeight="false" outlineLevel="0" collapsed="false">
      <c r="A20" s="2" t="n">
        <v>5</v>
      </c>
      <c r="B20" s="2" t="s">
        <v>134</v>
      </c>
      <c r="C20" s="2" t="s">
        <v>57</v>
      </c>
      <c r="D20" s="2" t="s">
        <v>2106</v>
      </c>
      <c r="E20" s="2" t="s">
        <v>2107</v>
      </c>
      <c r="F20" s="2" t="s">
        <v>2016</v>
      </c>
      <c r="G20" s="2" t="s">
        <v>2108</v>
      </c>
      <c r="H20" s="2"/>
      <c r="I20" s="2"/>
      <c r="J20" s="2"/>
      <c r="K20" s="2"/>
      <c r="L20" s="2"/>
      <c r="M20" s="2"/>
      <c r="N20" s="2" t="s">
        <v>2050</v>
      </c>
      <c r="O20" s="2" t="s">
        <v>148</v>
      </c>
    </row>
    <row r="21" customFormat="false" ht="57.45" hidden="false" customHeight="false" outlineLevel="0" collapsed="false">
      <c r="A21" s="2" t="n">
        <v>6</v>
      </c>
      <c r="B21" s="2" t="s">
        <v>154</v>
      </c>
      <c r="C21" s="2" t="s">
        <v>82</v>
      </c>
      <c r="D21" s="2" t="s">
        <v>2109</v>
      </c>
      <c r="E21" s="2" t="s">
        <v>2110</v>
      </c>
      <c r="F21" s="2" t="s">
        <v>2016</v>
      </c>
      <c r="G21" s="2" t="s">
        <v>2111</v>
      </c>
      <c r="H21" s="2" t="s">
        <v>2112</v>
      </c>
      <c r="I21" s="2" t="s">
        <v>2113</v>
      </c>
      <c r="J21" s="2"/>
      <c r="K21" s="2" t="s">
        <v>2114</v>
      </c>
      <c r="L21" s="2" t="s">
        <v>2115</v>
      </c>
      <c r="M21" s="2" t="n">
        <v>2026</v>
      </c>
      <c r="N21" s="2" t="s">
        <v>2021</v>
      </c>
      <c r="O21" s="2" t="s">
        <v>2116</v>
      </c>
    </row>
    <row r="22" customFormat="false" ht="79.85" hidden="false" customHeight="false" outlineLevel="0" collapsed="false">
      <c r="A22" s="2" t="n">
        <v>7</v>
      </c>
      <c r="B22" s="2" t="s">
        <v>174</v>
      </c>
      <c r="C22" s="2" t="s">
        <v>82</v>
      </c>
      <c r="D22" s="2" t="s">
        <v>2109</v>
      </c>
      <c r="E22" s="2" t="s">
        <v>2110</v>
      </c>
      <c r="F22" s="2" t="s">
        <v>2016</v>
      </c>
      <c r="G22" s="2" t="s">
        <v>2117</v>
      </c>
      <c r="H22" s="2" t="s">
        <v>2112</v>
      </c>
      <c r="I22" s="2" t="s">
        <v>2113</v>
      </c>
      <c r="J22" s="2"/>
      <c r="K22" s="2" t="s">
        <v>2114</v>
      </c>
      <c r="L22" s="2" t="s">
        <v>2115</v>
      </c>
      <c r="M22" s="2" t="n">
        <v>2026</v>
      </c>
      <c r="N22" s="2" t="s">
        <v>2021</v>
      </c>
      <c r="O22" s="2" t="s">
        <v>2118</v>
      </c>
    </row>
    <row r="23" customFormat="false" ht="23.85" hidden="false" customHeight="false" outlineLevel="0" collapsed="false">
      <c r="A23" s="2" t="n">
        <v>7</v>
      </c>
      <c r="B23" s="2" t="s">
        <v>174</v>
      </c>
      <c r="C23" s="2" t="s">
        <v>82</v>
      </c>
      <c r="D23" s="2" t="s">
        <v>2119</v>
      </c>
      <c r="E23" s="2"/>
      <c r="F23" s="2" t="s">
        <v>2016</v>
      </c>
      <c r="G23" s="2" t="s">
        <v>2120</v>
      </c>
      <c r="H23" s="2" t="s">
        <v>2121</v>
      </c>
      <c r="I23" s="2" t="s">
        <v>2122</v>
      </c>
      <c r="J23" s="2"/>
      <c r="K23" s="2" t="s">
        <v>2123</v>
      </c>
      <c r="L23" s="2"/>
      <c r="M23" s="2"/>
      <c r="N23" s="2" t="s">
        <v>2050</v>
      </c>
      <c r="O23" s="2" t="s">
        <v>2124</v>
      </c>
    </row>
    <row r="24" customFormat="false" ht="23.85" hidden="false" customHeight="false" outlineLevel="0" collapsed="false">
      <c r="A24" s="2" t="n">
        <v>7</v>
      </c>
      <c r="B24" s="2" t="s">
        <v>174</v>
      </c>
      <c r="C24" s="2" t="s">
        <v>82</v>
      </c>
      <c r="D24" s="2" t="s">
        <v>2125</v>
      </c>
      <c r="E24" s="2"/>
      <c r="F24" s="2" t="s">
        <v>2016</v>
      </c>
      <c r="G24" s="2" t="s">
        <v>2126</v>
      </c>
      <c r="H24" s="2"/>
      <c r="I24" s="2"/>
      <c r="J24" s="2"/>
      <c r="K24" s="2"/>
      <c r="L24" s="2"/>
      <c r="M24" s="2"/>
      <c r="N24" s="2" t="s">
        <v>2050</v>
      </c>
      <c r="O24" s="2" t="s">
        <v>2124</v>
      </c>
    </row>
    <row r="25" customFormat="false" ht="68.65" hidden="false" customHeight="false" outlineLevel="0" collapsed="false">
      <c r="A25" s="2" t="n">
        <v>8</v>
      </c>
      <c r="B25" s="2" t="s">
        <v>193</v>
      </c>
      <c r="C25" s="2" t="s">
        <v>57</v>
      </c>
      <c r="D25" s="2" t="s">
        <v>2127</v>
      </c>
      <c r="E25" s="2"/>
      <c r="F25" s="2" t="s">
        <v>2006</v>
      </c>
      <c r="G25" s="2" t="s">
        <v>2128</v>
      </c>
      <c r="H25" s="2" t="s">
        <v>207</v>
      </c>
      <c r="I25" s="2" t="s">
        <v>2129</v>
      </c>
      <c r="J25" s="2"/>
      <c r="K25" s="2" t="s">
        <v>2130</v>
      </c>
      <c r="L25" s="2" t="s">
        <v>207</v>
      </c>
      <c r="M25" s="2" t="n">
        <v>2026</v>
      </c>
      <c r="N25" s="2" t="s">
        <v>2021</v>
      </c>
      <c r="O25" s="2" t="s">
        <v>207</v>
      </c>
    </row>
    <row r="26" customFormat="false" ht="46.25" hidden="false" customHeight="false" outlineLevel="0" collapsed="false">
      <c r="A26" s="2" t="n">
        <v>8</v>
      </c>
      <c r="B26" s="2" t="s">
        <v>193</v>
      </c>
      <c r="C26" s="2" t="s">
        <v>57</v>
      </c>
      <c r="D26" s="2" t="s">
        <v>2131</v>
      </c>
      <c r="E26" s="2" t="s">
        <v>2132</v>
      </c>
      <c r="F26" s="2" t="s">
        <v>2016</v>
      </c>
      <c r="G26" s="2" t="s">
        <v>2133</v>
      </c>
      <c r="H26" s="2" t="s">
        <v>2134</v>
      </c>
      <c r="I26" s="2" t="s">
        <v>2135</v>
      </c>
      <c r="J26" s="2" t="s">
        <v>2136</v>
      </c>
      <c r="K26" s="2" t="s">
        <v>2137</v>
      </c>
      <c r="L26" s="2" t="s">
        <v>2138</v>
      </c>
      <c r="M26" s="2" t="n">
        <v>2026</v>
      </c>
      <c r="N26" s="2" t="s">
        <v>2021</v>
      </c>
      <c r="O26" s="2" t="s">
        <v>2139</v>
      </c>
    </row>
    <row r="27" customFormat="false" ht="68.65" hidden="false" customHeight="false" outlineLevel="0" collapsed="false">
      <c r="A27" s="2" t="n">
        <v>9</v>
      </c>
      <c r="B27" s="2" t="s">
        <v>213</v>
      </c>
      <c r="C27" s="2" t="s">
        <v>82</v>
      </c>
      <c r="D27" s="2" t="s">
        <v>2140</v>
      </c>
      <c r="E27" s="2" t="s">
        <v>2141</v>
      </c>
      <c r="F27" s="2" t="s">
        <v>2016</v>
      </c>
      <c r="G27" s="2" t="s">
        <v>2142</v>
      </c>
      <c r="H27" s="2" t="s">
        <v>2143</v>
      </c>
      <c r="I27" s="2" t="s">
        <v>2027</v>
      </c>
      <c r="J27" s="2" t="s">
        <v>2028</v>
      </c>
      <c r="K27" s="2" t="s">
        <v>2029</v>
      </c>
      <c r="L27" s="2"/>
      <c r="M27" s="2" t="n">
        <v>2026</v>
      </c>
      <c r="N27" s="2" t="s">
        <v>2021</v>
      </c>
      <c r="O27" s="2" t="s">
        <v>2144</v>
      </c>
    </row>
    <row r="28" customFormat="false" ht="57.45" hidden="false" customHeight="false" outlineLevel="0" collapsed="false">
      <c r="A28" s="2" t="n">
        <v>9</v>
      </c>
      <c r="B28" s="2" t="s">
        <v>213</v>
      </c>
      <c r="C28" s="2" t="s">
        <v>82</v>
      </c>
      <c r="D28" s="2" t="s">
        <v>2145</v>
      </c>
      <c r="E28" s="2" t="s">
        <v>2146</v>
      </c>
      <c r="F28" s="2" t="s">
        <v>2016</v>
      </c>
      <c r="G28" s="2" t="s">
        <v>2147</v>
      </c>
      <c r="H28" s="2" t="s">
        <v>2148</v>
      </c>
      <c r="I28" s="2" t="s">
        <v>2149</v>
      </c>
      <c r="J28" s="2" t="s">
        <v>2150</v>
      </c>
      <c r="K28" s="2" t="s">
        <v>2151</v>
      </c>
      <c r="L28" s="2"/>
      <c r="M28" s="2" t="n">
        <v>2026</v>
      </c>
      <c r="N28" s="2" t="s">
        <v>2021</v>
      </c>
      <c r="O28" s="2" t="s">
        <v>2152</v>
      </c>
    </row>
    <row r="29" customFormat="false" ht="46.25" hidden="false" customHeight="false" outlineLevel="0" collapsed="false">
      <c r="A29" s="2" t="n">
        <v>10</v>
      </c>
      <c r="B29" s="2" t="s">
        <v>230</v>
      </c>
      <c r="C29" s="2" t="s">
        <v>57</v>
      </c>
      <c r="D29" s="2" t="s">
        <v>2153</v>
      </c>
      <c r="E29" s="2"/>
      <c r="F29" s="2" t="s">
        <v>2006</v>
      </c>
      <c r="G29" s="2" t="s">
        <v>2154</v>
      </c>
      <c r="H29" s="2" t="s">
        <v>235</v>
      </c>
      <c r="I29" s="2" t="s">
        <v>2155</v>
      </c>
      <c r="J29" s="2" t="s">
        <v>246</v>
      </c>
      <c r="K29" s="2" t="s">
        <v>2156</v>
      </c>
      <c r="L29" s="2"/>
      <c r="M29" s="2" t="n">
        <v>2026</v>
      </c>
      <c r="N29" s="2" t="s">
        <v>2021</v>
      </c>
      <c r="O29" s="2" t="s">
        <v>2157</v>
      </c>
    </row>
    <row r="30" customFormat="false" ht="35.05" hidden="false" customHeight="false" outlineLevel="0" collapsed="false">
      <c r="A30" s="2" t="n">
        <v>10</v>
      </c>
      <c r="B30" s="2" t="s">
        <v>230</v>
      </c>
      <c r="C30" s="2" t="s">
        <v>57</v>
      </c>
      <c r="D30" s="2" t="s">
        <v>2158</v>
      </c>
      <c r="E30" s="2"/>
      <c r="F30" s="2" t="s">
        <v>2016</v>
      </c>
      <c r="G30" s="2" t="s">
        <v>2159</v>
      </c>
      <c r="H30" s="2" t="s">
        <v>2160</v>
      </c>
      <c r="I30" s="2" t="s">
        <v>2161</v>
      </c>
      <c r="J30" s="2" t="s">
        <v>2162</v>
      </c>
      <c r="K30" s="2" t="s">
        <v>2163</v>
      </c>
      <c r="L30" s="2"/>
      <c r="M30" s="2"/>
      <c r="N30" s="2" t="s">
        <v>2050</v>
      </c>
      <c r="O30" s="2" t="s">
        <v>2164</v>
      </c>
    </row>
    <row r="31" customFormat="false" ht="35.05" hidden="false" customHeight="false" outlineLevel="0" collapsed="false">
      <c r="A31" s="2" t="n">
        <v>11</v>
      </c>
      <c r="B31" s="2" t="s">
        <v>252</v>
      </c>
      <c r="C31" s="2" t="s">
        <v>57</v>
      </c>
      <c r="D31" s="2" t="s">
        <v>2165</v>
      </c>
      <c r="E31" s="2" t="s">
        <v>2166</v>
      </c>
      <c r="F31" s="2" t="s">
        <v>2006</v>
      </c>
      <c r="G31" s="2" t="s">
        <v>2167</v>
      </c>
      <c r="H31" s="2" t="s">
        <v>256</v>
      </c>
      <c r="I31" s="2"/>
      <c r="J31" s="2"/>
      <c r="K31" s="2" t="s">
        <v>2168</v>
      </c>
      <c r="L31" s="2" t="s">
        <v>264</v>
      </c>
      <c r="M31" s="2"/>
      <c r="N31" s="2"/>
      <c r="O31" s="2" t="s">
        <v>2169</v>
      </c>
    </row>
    <row r="32" customFormat="false" ht="79.85" hidden="false" customHeight="false" outlineLevel="0" collapsed="false">
      <c r="A32" s="2" t="n">
        <v>11</v>
      </c>
      <c r="B32" s="2" t="s">
        <v>252</v>
      </c>
      <c r="C32" s="2" t="s">
        <v>57</v>
      </c>
      <c r="D32" s="2" t="s">
        <v>2170</v>
      </c>
      <c r="E32" s="2" t="s">
        <v>2171</v>
      </c>
      <c r="F32" s="2" t="s">
        <v>2006</v>
      </c>
      <c r="G32" s="2" t="s">
        <v>2172</v>
      </c>
      <c r="H32" s="2" t="s">
        <v>256</v>
      </c>
      <c r="I32" s="2"/>
      <c r="J32" s="2"/>
      <c r="K32" s="2" t="s">
        <v>2168</v>
      </c>
      <c r="L32" s="2" t="s">
        <v>264</v>
      </c>
      <c r="M32" s="2" t="n">
        <v>2006</v>
      </c>
      <c r="N32" s="2" t="s">
        <v>2050</v>
      </c>
      <c r="O32" s="2" t="s">
        <v>2173</v>
      </c>
    </row>
    <row r="33" customFormat="false" ht="15" hidden="false" customHeight="false" outlineLevel="0" collapsed="false">
      <c r="A33" s="2" t="n">
        <v>12</v>
      </c>
      <c r="B33" s="2" t="s">
        <v>270</v>
      </c>
      <c r="C33" s="2" t="s">
        <v>286</v>
      </c>
      <c r="D33" s="2" t="s">
        <v>2174</v>
      </c>
      <c r="E33" s="2"/>
      <c r="F33" s="2"/>
      <c r="G33" s="2"/>
      <c r="H33" s="2"/>
      <c r="I33" s="2"/>
      <c r="J33" s="2"/>
      <c r="K33" s="2"/>
      <c r="L33" s="2"/>
      <c r="M33" s="2"/>
      <c r="N33" s="2"/>
      <c r="O33" s="2"/>
    </row>
    <row r="34" customFormat="false" ht="68.65" hidden="false" customHeight="false" outlineLevel="0" collapsed="false">
      <c r="A34" s="2" t="n">
        <v>13</v>
      </c>
      <c r="B34" s="2" t="s">
        <v>292</v>
      </c>
      <c r="C34" s="2" t="s">
        <v>82</v>
      </c>
      <c r="D34" s="2" t="s">
        <v>2175</v>
      </c>
      <c r="E34" s="2" t="s">
        <v>2176</v>
      </c>
      <c r="F34" s="2" t="s">
        <v>2016</v>
      </c>
      <c r="G34" s="2" t="s">
        <v>2177</v>
      </c>
      <c r="H34" s="2" t="s">
        <v>2178</v>
      </c>
      <c r="I34" s="2" t="s">
        <v>2179</v>
      </c>
      <c r="J34" s="2"/>
      <c r="K34" s="2" t="s">
        <v>2180</v>
      </c>
      <c r="L34" s="2"/>
      <c r="M34" s="2" t="n">
        <v>2026</v>
      </c>
      <c r="N34" s="2" t="s">
        <v>2021</v>
      </c>
      <c r="O34" s="2" t="s">
        <v>2181</v>
      </c>
    </row>
    <row r="35" customFormat="false" ht="79.85" hidden="false" customHeight="false" outlineLevel="0" collapsed="false">
      <c r="A35" s="2" t="n">
        <v>14</v>
      </c>
      <c r="B35" s="2" t="s">
        <v>312</v>
      </c>
      <c r="C35" s="2" t="s">
        <v>82</v>
      </c>
      <c r="D35" s="2" t="s">
        <v>2182</v>
      </c>
      <c r="E35" s="2"/>
      <c r="F35" s="2" t="s">
        <v>2016</v>
      </c>
      <c r="G35" s="2" t="s">
        <v>2183</v>
      </c>
      <c r="H35" s="2" t="s">
        <v>2184</v>
      </c>
      <c r="I35" s="2" t="s">
        <v>2185</v>
      </c>
      <c r="J35" s="2"/>
      <c r="K35" s="2" t="s">
        <v>2186</v>
      </c>
      <c r="L35" s="2"/>
      <c r="M35" s="2" t="n">
        <v>2026</v>
      </c>
      <c r="N35" s="2" t="s">
        <v>2021</v>
      </c>
      <c r="O35" s="2" t="s">
        <v>2187</v>
      </c>
    </row>
    <row r="36" customFormat="false" ht="57.45" hidden="false" customHeight="false" outlineLevel="0" collapsed="false">
      <c r="A36" s="2" t="n">
        <v>14</v>
      </c>
      <c r="B36" s="2" t="s">
        <v>312</v>
      </c>
      <c r="C36" s="2" t="s">
        <v>82</v>
      </c>
      <c r="D36" s="2" t="s">
        <v>2188</v>
      </c>
      <c r="E36" s="2"/>
      <c r="F36" s="2" t="s">
        <v>2016</v>
      </c>
      <c r="G36" s="2" t="s">
        <v>2189</v>
      </c>
      <c r="H36" s="2" t="s">
        <v>2190</v>
      </c>
      <c r="I36" s="2" t="s">
        <v>2066</v>
      </c>
      <c r="J36" s="2" t="s">
        <v>2067</v>
      </c>
      <c r="K36" s="2" t="s">
        <v>2068</v>
      </c>
      <c r="L36" s="2"/>
      <c r="M36" s="2" t="n">
        <v>2014</v>
      </c>
      <c r="N36" s="2" t="s">
        <v>2050</v>
      </c>
      <c r="O36" s="2" t="s">
        <v>2191</v>
      </c>
    </row>
    <row r="37" customFormat="false" ht="35.05" hidden="false" customHeight="false" outlineLevel="0" collapsed="false">
      <c r="A37" s="2" t="n">
        <v>14</v>
      </c>
      <c r="B37" s="2" t="s">
        <v>312</v>
      </c>
      <c r="C37" s="2" t="s">
        <v>82</v>
      </c>
      <c r="D37" s="2" t="s">
        <v>2192</v>
      </c>
      <c r="E37" s="2" t="s">
        <v>2193</v>
      </c>
      <c r="F37" s="2" t="s">
        <v>2016</v>
      </c>
      <c r="G37" s="2" t="s">
        <v>2194</v>
      </c>
      <c r="H37" s="2" t="s">
        <v>2195</v>
      </c>
      <c r="I37" s="2" t="s">
        <v>2196</v>
      </c>
      <c r="J37" s="2" t="s">
        <v>2197</v>
      </c>
      <c r="K37" s="2" t="s">
        <v>2198</v>
      </c>
      <c r="L37" s="2"/>
      <c r="M37" s="2"/>
      <c r="N37" s="2" t="s">
        <v>2050</v>
      </c>
      <c r="O37" s="2" t="s">
        <v>2199</v>
      </c>
    </row>
    <row r="38" customFormat="false" ht="79.85" hidden="false" customHeight="false" outlineLevel="0" collapsed="false">
      <c r="A38" s="2" t="n">
        <v>15</v>
      </c>
      <c r="B38" s="2" t="s">
        <v>332</v>
      </c>
      <c r="C38" s="2" t="s">
        <v>82</v>
      </c>
      <c r="D38" s="2" t="s">
        <v>2200</v>
      </c>
      <c r="E38" s="2" t="s">
        <v>2040</v>
      </c>
      <c r="F38" s="2" t="s">
        <v>2016</v>
      </c>
      <c r="G38" s="2" t="s">
        <v>2201</v>
      </c>
      <c r="H38" s="2" t="s">
        <v>2042</v>
      </c>
      <c r="I38" s="2" t="s">
        <v>2043</v>
      </c>
      <c r="J38" s="2"/>
      <c r="K38" s="2" t="s">
        <v>2044</v>
      </c>
      <c r="L38" s="2" t="s">
        <v>2045</v>
      </c>
      <c r="M38" s="2" t="n">
        <v>2026</v>
      </c>
      <c r="N38" s="2" t="s">
        <v>2021</v>
      </c>
      <c r="O38" s="2" t="s">
        <v>2202</v>
      </c>
    </row>
    <row r="39" customFormat="false" ht="46.25" hidden="false" customHeight="false" outlineLevel="0" collapsed="false">
      <c r="A39" s="2" t="n">
        <v>15</v>
      </c>
      <c r="B39" s="2" t="s">
        <v>332</v>
      </c>
      <c r="C39" s="2" t="s">
        <v>82</v>
      </c>
      <c r="D39" s="2" t="s">
        <v>2203</v>
      </c>
      <c r="E39" s="2" t="s">
        <v>2204</v>
      </c>
      <c r="F39" s="2" t="s">
        <v>2006</v>
      </c>
      <c r="G39" s="2" t="s">
        <v>2205</v>
      </c>
      <c r="H39" s="2" t="s">
        <v>336</v>
      </c>
      <c r="I39" s="2"/>
      <c r="J39" s="2"/>
      <c r="K39" s="2" t="s">
        <v>2206</v>
      </c>
      <c r="L39" s="2"/>
      <c r="M39" s="2" t="n">
        <v>2026</v>
      </c>
      <c r="N39" s="2" t="s">
        <v>2021</v>
      </c>
      <c r="O39" s="2" t="s">
        <v>2207</v>
      </c>
    </row>
    <row r="40" customFormat="false" ht="46.25" hidden="false" customHeight="false" outlineLevel="0" collapsed="false">
      <c r="A40" s="2" t="n">
        <v>16</v>
      </c>
      <c r="B40" s="2" t="s">
        <v>350</v>
      </c>
      <c r="C40" s="2" t="s">
        <v>82</v>
      </c>
      <c r="D40" s="2" t="s">
        <v>2014</v>
      </c>
      <c r="E40" s="2" t="s">
        <v>2015</v>
      </c>
      <c r="F40" s="2" t="s">
        <v>2016</v>
      </c>
      <c r="G40" s="2" t="s">
        <v>2208</v>
      </c>
      <c r="H40" s="2" t="s">
        <v>2018</v>
      </c>
      <c r="I40" s="2" t="s">
        <v>2019</v>
      </c>
      <c r="J40" s="2"/>
      <c r="K40" s="2" t="s">
        <v>2020</v>
      </c>
      <c r="L40" s="2"/>
      <c r="M40" s="2" t="n">
        <v>2026</v>
      </c>
      <c r="N40" s="2" t="s">
        <v>2021</v>
      </c>
      <c r="O40" s="2" t="s">
        <v>2209</v>
      </c>
    </row>
    <row r="41" customFormat="false" ht="68.65" hidden="false" customHeight="false" outlineLevel="0" collapsed="false">
      <c r="A41" s="2" t="n">
        <v>16</v>
      </c>
      <c r="B41" s="2" t="s">
        <v>350</v>
      </c>
      <c r="C41" s="2" t="s">
        <v>82</v>
      </c>
      <c r="D41" s="2" t="s">
        <v>2210</v>
      </c>
      <c r="E41" s="2"/>
      <c r="F41" s="2" t="s">
        <v>2006</v>
      </c>
      <c r="G41" s="2" t="s">
        <v>2211</v>
      </c>
      <c r="H41" s="2"/>
      <c r="I41" s="2"/>
      <c r="J41" s="2"/>
      <c r="K41" s="2"/>
      <c r="L41" s="2"/>
      <c r="M41" s="2" t="n">
        <v>2026</v>
      </c>
      <c r="N41" s="2" t="s">
        <v>2054</v>
      </c>
      <c r="O41" s="2" t="s">
        <v>2212</v>
      </c>
    </row>
    <row r="42" customFormat="false" ht="46.25" hidden="false" customHeight="false" outlineLevel="0" collapsed="false">
      <c r="A42" s="2" t="n">
        <v>17</v>
      </c>
      <c r="B42" s="2" t="s">
        <v>370</v>
      </c>
      <c r="C42" s="2" t="s">
        <v>82</v>
      </c>
      <c r="D42" s="2" t="s">
        <v>2213</v>
      </c>
      <c r="E42" s="2"/>
      <c r="F42" s="2" t="s">
        <v>2016</v>
      </c>
      <c r="G42" s="2" t="s">
        <v>2214</v>
      </c>
      <c r="H42" s="2" t="s">
        <v>2042</v>
      </c>
      <c r="I42" s="2" t="s">
        <v>2043</v>
      </c>
      <c r="J42" s="2"/>
      <c r="K42" s="2" t="s">
        <v>2044</v>
      </c>
      <c r="L42" s="2" t="s">
        <v>2045</v>
      </c>
      <c r="M42" s="2" t="n">
        <v>2026</v>
      </c>
      <c r="N42" s="2" t="s">
        <v>2021</v>
      </c>
      <c r="O42" s="2" t="s">
        <v>2215</v>
      </c>
    </row>
    <row r="43" customFormat="false" ht="35.05" hidden="false" customHeight="false" outlineLevel="0" collapsed="false">
      <c r="A43" s="2" t="n">
        <v>17</v>
      </c>
      <c r="B43" s="2" t="s">
        <v>370</v>
      </c>
      <c r="C43" s="2" t="s">
        <v>82</v>
      </c>
      <c r="D43" s="2" t="s">
        <v>2192</v>
      </c>
      <c r="E43" s="2" t="s">
        <v>2193</v>
      </c>
      <c r="F43" s="2" t="s">
        <v>2016</v>
      </c>
      <c r="G43" s="2" t="s">
        <v>2216</v>
      </c>
      <c r="H43" s="2" t="s">
        <v>2194</v>
      </c>
      <c r="I43" s="2" t="s">
        <v>2196</v>
      </c>
      <c r="J43" s="2" t="s">
        <v>2197</v>
      </c>
      <c r="K43" s="2" t="s">
        <v>2198</v>
      </c>
      <c r="L43" s="2"/>
      <c r="M43" s="2"/>
      <c r="N43" s="2" t="s">
        <v>2050</v>
      </c>
      <c r="O43" s="2" t="s">
        <v>2217</v>
      </c>
    </row>
    <row r="44" customFormat="false" ht="57.45" hidden="false" customHeight="false" outlineLevel="0" collapsed="false">
      <c r="A44" s="2" t="n">
        <v>18</v>
      </c>
      <c r="B44" s="2" t="s">
        <v>387</v>
      </c>
      <c r="C44" s="2" t="s">
        <v>82</v>
      </c>
      <c r="D44" s="2" t="s">
        <v>2218</v>
      </c>
      <c r="E44" s="2"/>
      <c r="F44" s="2" t="s">
        <v>2016</v>
      </c>
      <c r="G44" s="2" t="s">
        <v>2219</v>
      </c>
      <c r="H44" s="2" t="s">
        <v>2097</v>
      </c>
      <c r="I44" s="2" t="s">
        <v>2098</v>
      </c>
      <c r="J44" s="2" t="s">
        <v>2099</v>
      </c>
      <c r="K44" s="2" t="s">
        <v>2100</v>
      </c>
      <c r="L44" s="2"/>
      <c r="M44" s="2" t="n">
        <v>2026</v>
      </c>
      <c r="N44" s="2" t="s">
        <v>2021</v>
      </c>
      <c r="O44" s="2" t="s">
        <v>2101</v>
      </c>
    </row>
    <row r="45" customFormat="false" ht="35.05" hidden="false" customHeight="false" outlineLevel="0" collapsed="false">
      <c r="A45" s="2" t="n">
        <v>18</v>
      </c>
      <c r="B45" s="2" t="s">
        <v>387</v>
      </c>
      <c r="C45" s="2" t="s">
        <v>82</v>
      </c>
      <c r="D45" s="2" t="s">
        <v>2014</v>
      </c>
      <c r="E45" s="2"/>
      <c r="F45" s="2" t="s">
        <v>2016</v>
      </c>
      <c r="G45" s="2" t="s">
        <v>2220</v>
      </c>
      <c r="H45" s="2" t="s">
        <v>2018</v>
      </c>
      <c r="I45" s="2" t="s">
        <v>2019</v>
      </c>
      <c r="J45" s="2"/>
      <c r="K45" s="2" t="s">
        <v>2020</v>
      </c>
      <c r="L45" s="2"/>
      <c r="M45" s="2" t="n">
        <v>2009</v>
      </c>
      <c r="N45" s="2" t="s">
        <v>2050</v>
      </c>
      <c r="O45" s="2" t="s">
        <v>2221</v>
      </c>
    </row>
    <row r="46" customFormat="false" ht="46.25" hidden="false" customHeight="false" outlineLevel="0" collapsed="false">
      <c r="A46" s="2" t="n">
        <v>19</v>
      </c>
      <c r="B46" s="2" t="s">
        <v>405</v>
      </c>
      <c r="C46" s="2" t="s">
        <v>82</v>
      </c>
      <c r="D46" s="2" t="s">
        <v>2222</v>
      </c>
      <c r="E46" s="2" t="s">
        <v>2015</v>
      </c>
      <c r="F46" s="2" t="s">
        <v>2016</v>
      </c>
      <c r="G46" s="2" t="s">
        <v>2223</v>
      </c>
      <c r="H46" s="2" t="s">
        <v>2018</v>
      </c>
      <c r="I46" s="2" t="s">
        <v>2019</v>
      </c>
      <c r="J46" s="2"/>
      <c r="K46" s="2" t="s">
        <v>2020</v>
      </c>
      <c r="L46" s="2"/>
      <c r="M46" s="2" t="n">
        <v>2025</v>
      </c>
      <c r="N46" s="2" t="s">
        <v>2021</v>
      </c>
      <c r="O46" s="2"/>
    </row>
    <row r="47" customFormat="false" ht="91" hidden="false" customHeight="false" outlineLevel="0" collapsed="false">
      <c r="A47" s="2" t="n">
        <v>20</v>
      </c>
      <c r="B47" s="2" t="s">
        <v>423</v>
      </c>
      <c r="C47" s="2" t="s">
        <v>82</v>
      </c>
      <c r="D47" s="2" t="s">
        <v>2224</v>
      </c>
      <c r="E47" s="2"/>
      <c r="F47" s="2" t="s">
        <v>2016</v>
      </c>
      <c r="G47" s="2" t="s">
        <v>2225</v>
      </c>
      <c r="H47" s="2" t="s">
        <v>2226</v>
      </c>
      <c r="I47" s="2" t="s">
        <v>2227</v>
      </c>
      <c r="J47" s="2"/>
      <c r="K47" s="2" t="s">
        <v>2228</v>
      </c>
      <c r="L47" s="2"/>
      <c r="M47" s="2" t="n">
        <v>2026</v>
      </c>
      <c r="N47" s="2" t="s">
        <v>2021</v>
      </c>
      <c r="O47" s="2" t="s">
        <v>2229</v>
      </c>
    </row>
    <row r="48" customFormat="false" ht="79.85" hidden="false" customHeight="false" outlineLevel="0" collapsed="false">
      <c r="A48" s="2" t="n">
        <v>21</v>
      </c>
      <c r="B48" s="2" t="s">
        <v>440</v>
      </c>
      <c r="C48" s="2" t="s">
        <v>57</v>
      </c>
      <c r="D48" s="2" t="s">
        <v>2230</v>
      </c>
      <c r="E48" s="2"/>
      <c r="F48" s="2" t="s">
        <v>2006</v>
      </c>
      <c r="G48" s="2" t="s">
        <v>2231</v>
      </c>
      <c r="H48" s="2" t="s">
        <v>120</v>
      </c>
      <c r="I48" s="2"/>
      <c r="J48" s="2"/>
      <c r="K48" s="2"/>
      <c r="L48" s="2"/>
      <c r="M48" s="2" t="n">
        <v>2026</v>
      </c>
      <c r="N48" s="2" t="s">
        <v>2021</v>
      </c>
      <c r="O48" s="2" t="s">
        <v>2232</v>
      </c>
    </row>
    <row r="49" customFormat="false" ht="113.4" hidden="false" customHeight="false" outlineLevel="0" collapsed="false">
      <c r="A49" s="2" t="n">
        <v>21</v>
      </c>
      <c r="B49" s="2" t="s">
        <v>440</v>
      </c>
      <c r="C49" s="2" t="s">
        <v>57</v>
      </c>
      <c r="D49" s="2" t="s">
        <v>2233</v>
      </c>
      <c r="E49" s="2"/>
      <c r="F49" s="2" t="s">
        <v>2006</v>
      </c>
      <c r="G49" s="2" t="s">
        <v>2234</v>
      </c>
      <c r="H49" s="2" t="s">
        <v>2235</v>
      </c>
      <c r="I49" s="2"/>
      <c r="J49" s="2"/>
      <c r="K49" s="2" t="s">
        <v>2236</v>
      </c>
      <c r="L49" s="2"/>
      <c r="M49" s="2" t="n">
        <v>2026</v>
      </c>
      <c r="N49" s="2" t="s">
        <v>2021</v>
      </c>
      <c r="O49" s="2" t="s">
        <v>2237</v>
      </c>
    </row>
    <row r="50" customFormat="false" ht="46.25" hidden="false" customHeight="false" outlineLevel="0" collapsed="false">
      <c r="A50" s="2" t="n">
        <v>21</v>
      </c>
      <c r="B50" s="2" t="s">
        <v>440</v>
      </c>
      <c r="C50" s="2" t="s">
        <v>57</v>
      </c>
      <c r="D50" s="2" t="s">
        <v>2238</v>
      </c>
      <c r="E50" s="2" t="s">
        <v>2239</v>
      </c>
      <c r="F50" s="2" t="s">
        <v>2016</v>
      </c>
      <c r="G50" s="2" t="s">
        <v>2240</v>
      </c>
      <c r="H50" s="2" t="s">
        <v>2097</v>
      </c>
      <c r="I50" s="2" t="s">
        <v>2098</v>
      </c>
      <c r="J50" s="2" t="s">
        <v>2099</v>
      </c>
      <c r="K50" s="2" t="s">
        <v>2100</v>
      </c>
      <c r="L50" s="2"/>
      <c r="M50" s="2"/>
      <c r="N50" s="2" t="s">
        <v>2050</v>
      </c>
      <c r="O50" s="2" t="s">
        <v>2101</v>
      </c>
    </row>
    <row r="51" customFormat="false" ht="57.45" hidden="false" customHeight="false" outlineLevel="0" collapsed="false">
      <c r="A51" s="2" t="n">
        <v>22</v>
      </c>
      <c r="B51" s="2" t="s">
        <v>461</v>
      </c>
      <c r="C51" s="2" t="s">
        <v>82</v>
      </c>
      <c r="D51" s="2" t="s">
        <v>2241</v>
      </c>
      <c r="E51" s="2" t="s">
        <v>2242</v>
      </c>
      <c r="F51" s="2" t="s">
        <v>2016</v>
      </c>
      <c r="G51" s="2" t="s">
        <v>2243</v>
      </c>
      <c r="H51" s="2" t="s">
        <v>2244</v>
      </c>
      <c r="I51" s="2" t="s">
        <v>2245</v>
      </c>
      <c r="J51" s="2"/>
      <c r="K51" s="2" t="s">
        <v>2246</v>
      </c>
      <c r="L51" s="2"/>
      <c r="M51" s="2" t="n">
        <v>2026</v>
      </c>
      <c r="N51" s="2" t="s">
        <v>2021</v>
      </c>
      <c r="O51" s="2" t="s">
        <v>2247</v>
      </c>
    </row>
    <row r="52" customFormat="false" ht="57.45" hidden="false" customHeight="false" outlineLevel="0" collapsed="false">
      <c r="A52" s="2" t="n">
        <v>23</v>
      </c>
      <c r="B52" s="2" t="s">
        <v>482</v>
      </c>
      <c r="C52" s="2" t="s">
        <v>82</v>
      </c>
      <c r="D52" s="2" t="s">
        <v>2248</v>
      </c>
      <c r="E52" s="2" t="s">
        <v>2249</v>
      </c>
      <c r="F52" s="2" t="s">
        <v>2016</v>
      </c>
      <c r="G52" s="2" t="s">
        <v>2250</v>
      </c>
      <c r="H52" s="2" t="s">
        <v>2251</v>
      </c>
      <c r="I52" s="2" t="s">
        <v>2252</v>
      </c>
      <c r="J52" s="2" t="s">
        <v>2253</v>
      </c>
      <c r="K52" s="2" t="s">
        <v>2254</v>
      </c>
      <c r="L52" s="2" t="s">
        <v>2255</v>
      </c>
      <c r="M52" s="2" t="n">
        <v>2026</v>
      </c>
      <c r="N52" s="2" t="s">
        <v>2021</v>
      </c>
      <c r="O52" s="2" t="s">
        <v>2256</v>
      </c>
    </row>
    <row r="53" customFormat="false" ht="46.25" hidden="false" customHeight="false" outlineLevel="0" collapsed="false">
      <c r="A53" s="2" t="n">
        <v>24</v>
      </c>
      <c r="B53" s="2" t="s">
        <v>502</v>
      </c>
      <c r="C53" s="2" t="s">
        <v>82</v>
      </c>
      <c r="D53" s="2" t="s">
        <v>2257</v>
      </c>
      <c r="E53" s="2" t="s">
        <v>2258</v>
      </c>
      <c r="F53" s="2" t="s">
        <v>2016</v>
      </c>
      <c r="G53" s="2" t="s">
        <v>2259</v>
      </c>
      <c r="H53" s="2" t="s">
        <v>2260</v>
      </c>
      <c r="I53" s="2" t="s">
        <v>2261</v>
      </c>
      <c r="J53" s="2" t="s">
        <v>2262</v>
      </c>
      <c r="K53" s="2" t="s">
        <v>2263</v>
      </c>
      <c r="L53" s="2"/>
      <c r="M53" s="2" t="n">
        <v>2026</v>
      </c>
      <c r="N53" s="2" t="s">
        <v>2021</v>
      </c>
      <c r="O53" s="2" t="s">
        <v>2264</v>
      </c>
    </row>
    <row r="54" customFormat="false" ht="35.05" hidden="false" customHeight="false" outlineLevel="0" collapsed="false">
      <c r="A54" s="2" t="n">
        <v>25</v>
      </c>
      <c r="B54" s="2" t="s">
        <v>522</v>
      </c>
      <c r="C54" s="2" t="s">
        <v>82</v>
      </c>
      <c r="D54" s="2" t="s">
        <v>2265</v>
      </c>
      <c r="E54" s="2" t="s">
        <v>2266</v>
      </c>
      <c r="F54" s="2" t="s">
        <v>2016</v>
      </c>
      <c r="G54" s="2" t="s">
        <v>2267</v>
      </c>
      <c r="H54" s="2" t="s">
        <v>2244</v>
      </c>
      <c r="I54" s="2" t="s">
        <v>2245</v>
      </c>
      <c r="J54" s="2"/>
      <c r="K54" s="2" t="s">
        <v>2246</v>
      </c>
      <c r="L54" s="2"/>
      <c r="M54" s="2"/>
      <c r="N54" s="2" t="s">
        <v>2050</v>
      </c>
      <c r="O54" s="2" t="s">
        <v>2247</v>
      </c>
    </row>
    <row r="55" customFormat="false" ht="68.65" hidden="false" customHeight="false" outlineLevel="0" collapsed="false">
      <c r="A55" s="2" t="n">
        <v>25</v>
      </c>
      <c r="B55" s="2" t="s">
        <v>522</v>
      </c>
      <c r="C55" s="2" t="s">
        <v>82</v>
      </c>
      <c r="D55" s="2" t="s">
        <v>2268</v>
      </c>
      <c r="E55" s="2"/>
      <c r="F55" s="2" t="s">
        <v>2016</v>
      </c>
      <c r="G55" s="2" t="s">
        <v>2269</v>
      </c>
      <c r="H55" s="2"/>
      <c r="I55" s="2"/>
      <c r="J55" s="2"/>
      <c r="K55" s="2"/>
      <c r="L55" s="2"/>
      <c r="M55" s="2" t="n">
        <v>2026</v>
      </c>
      <c r="N55" s="2" t="s">
        <v>2054</v>
      </c>
      <c r="O55" s="2" t="s">
        <v>2270</v>
      </c>
    </row>
    <row r="56" customFormat="false" ht="57.45" hidden="false" customHeight="false" outlineLevel="0" collapsed="false">
      <c r="A56" s="2" t="n">
        <v>26</v>
      </c>
      <c r="B56" s="2" t="s">
        <v>543</v>
      </c>
      <c r="C56" s="2" t="s">
        <v>82</v>
      </c>
      <c r="D56" s="2" t="s">
        <v>2271</v>
      </c>
      <c r="E56" s="2" t="s">
        <v>2272</v>
      </c>
      <c r="F56" s="2" t="s">
        <v>2016</v>
      </c>
      <c r="G56" s="2" t="s">
        <v>2273</v>
      </c>
      <c r="H56" s="2" t="s">
        <v>2274</v>
      </c>
      <c r="I56" s="2" t="s">
        <v>2275</v>
      </c>
      <c r="J56" s="2" t="s">
        <v>2276</v>
      </c>
      <c r="K56" s="2" t="s">
        <v>2277</v>
      </c>
      <c r="L56" s="2"/>
      <c r="M56" s="2"/>
      <c r="N56" s="2"/>
      <c r="O56" s="2" t="s">
        <v>2278</v>
      </c>
    </row>
    <row r="57" customFormat="false" ht="57.45" hidden="false" customHeight="false" outlineLevel="0" collapsed="false">
      <c r="A57" s="2" t="n">
        <v>26</v>
      </c>
      <c r="B57" s="2" t="s">
        <v>543</v>
      </c>
      <c r="C57" s="2" t="s">
        <v>82</v>
      </c>
      <c r="D57" s="2" t="s">
        <v>2279</v>
      </c>
      <c r="E57" s="2" t="s">
        <v>2272</v>
      </c>
      <c r="F57" s="2" t="s">
        <v>2016</v>
      </c>
      <c r="G57" s="2" t="s">
        <v>2280</v>
      </c>
      <c r="H57" s="2" t="s">
        <v>2274</v>
      </c>
      <c r="I57" s="2" t="s">
        <v>2275</v>
      </c>
      <c r="J57" s="2" t="s">
        <v>2276</v>
      </c>
      <c r="K57" s="2" t="s">
        <v>2277</v>
      </c>
      <c r="L57" s="2"/>
      <c r="M57" s="2" t="n">
        <v>2022</v>
      </c>
      <c r="N57" s="2" t="s">
        <v>2050</v>
      </c>
      <c r="O57" s="2" t="s">
        <v>2281</v>
      </c>
    </row>
    <row r="58" customFormat="false" ht="79.85" hidden="false" customHeight="false" outlineLevel="0" collapsed="false">
      <c r="A58" s="2" t="n">
        <v>27</v>
      </c>
      <c r="B58" s="2" t="s">
        <v>562</v>
      </c>
      <c r="C58" s="2" t="s">
        <v>82</v>
      </c>
      <c r="D58" s="2" t="s">
        <v>2213</v>
      </c>
      <c r="E58" s="2"/>
      <c r="F58" s="2" t="s">
        <v>2016</v>
      </c>
      <c r="G58" s="2" t="s">
        <v>2282</v>
      </c>
      <c r="H58" s="2" t="s">
        <v>2042</v>
      </c>
      <c r="I58" s="2" t="s">
        <v>2043</v>
      </c>
      <c r="J58" s="2"/>
      <c r="K58" s="2" t="s">
        <v>2044</v>
      </c>
      <c r="L58" s="2" t="s">
        <v>2045</v>
      </c>
      <c r="M58" s="2" t="n">
        <v>2026</v>
      </c>
      <c r="N58" s="2" t="s">
        <v>2021</v>
      </c>
      <c r="O58" s="2" t="s">
        <v>2283</v>
      </c>
    </row>
    <row r="59" customFormat="false" ht="46.25" hidden="false" customHeight="false" outlineLevel="0" collapsed="false">
      <c r="A59" s="2" t="n">
        <v>27</v>
      </c>
      <c r="B59" s="2" t="s">
        <v>562</v>
      </c>
      <c r="C59" s="2" t="s">
        <v>82</v>
      </c>
      <c r="D59" s="2" t="s">
        <v>2192</v>
      </c>
      <c r="E59" s="2" t="s">
        <v>2193</v>
      </c>
      <c r="F59" s="2" t="s">
        <v>2016</v>
      </c>
      <c r="G59" s="2" t="s">
        <v>2194</v>
      </c>
      <c r="H59" s="2" t="s">
        <v>2284</v>
      </c>
      <c r="I59" s="2" t="s">
        <v>2196</v>
      </c>
      <c r="J59" s="2" t="s">
        <v>2197</v>
      </c>
      <c r="K59" s="2" t="s">
        <v>2198</v>
      </c>
      <c r="L59" s="2"/>
      <c r="M59" s="2"/>
      <c r="N59" s="2" t="s">
        <v>2050</v>
      </c>
      <c r="O59" s="2" t="s">
        <v>2285</v>
      </c>
    </row>
    <row r="60" customFormat="false" ht="79.85" hidden="false" customHeight="false" outlineLevel="0" collapsed="false">
      <c r="A60" s="2" t="n">
        <v>28</v>
      </c>
      <c r="B60" s="2" t="s">
        <v>580</v>
      </c>
      <c r="C60" s="2" t="s">
        <v>82</v>
      </c>
      <c r="D60" s="2" t="s">
        <v>2286</v>
      </c>
      <c r="E60" s="2" t="s">
        <v>2287</v>
      </c>
      <c r="F60" s="2" t="s">
        <v>2016</v>
      </c>
      <c r="G60" s="2" t="s">
        <v>2288</v>
      </c>
      <c r="H60" s="2" t="s">
        <v>2289</v>
      </c>
      <c r="I60" s="2" t="s">
        <v>2290</v>
      </c>
      <c r="J60" s="2"/>
      <c r="K60" s="2" t="s">
        <v>2291</v>
      </c>
      <c r="L60" s="2"/>
      <c r="M60" s="2" t="n">
        <v>2026</v>
      </c>
      <c r="N60" s="2" t="s">
        <v>2021</v>
      </c>
      <c r="O60" s="2" t="s">
        <v>2292</v>
      </c>
    </row>
    <row r="61" customFormat="false" ht="79.85" hidden="false" customHeight="false" outlineLevel="0" collapsed="false">
      <c r="A61" s="2" t="n">
        <v>29</v>
      </c>
      <c r="B61" s="2" t="s">
        <v>600</v>
      </c>
      <c r="C61" s="2" t="s">
        <v>82</v>
      </c>
      <c r="D61" s="2" t="s">
        <v>2293</v>
      </c>
      <c r="E61" s="2"/>
      <c r="F61" s="2" t="s">
        <v>2016</v>
      </c>
      <c r="G61" s="2" t="s">
        <v>2294</v>
      </c>
      <c r="H61" s="2" t="s">
        <v>2226</v>
      </c>
      <c r="I61" s="2" t="s">
        <v>2227</v>
      </c>
      <c r="J61" s="2"/>
      <c r="K61" s="2" t="s">
        <v>2228</v>
      </c>
      <c r="L61" s="2"/>
      <c r="M61" s="2" t="n">
        <v>2026</v>
      </c>
      <c r="N61" s="2" t="s">
        <v>2054</v>
      </c>
      <c r="O61" s="2" t="s">
        <v>2295</v>
      </c>
    </row>
    <row r="62" customFormat="false" ht="91" hidden="false" customHeight="false" outlineLevel="0" collapsed="false">
      <c r="A62" s="2" t="n">
        <v>30</v>
      </c>
      <c r="B62" s="2" t="s">
        <v>618</v>
      </c>
      <c r="C62" s="2" t="s">
        <v>82</v>
      </c>
      <c r="D62" s="2" t="s">
        <v>2023</v>
      </c>
      <c r="E62" s="2" t="s">
        <v>2024</v>
      </c>
      <c r="F62" s="2" t="s">
        <v>2016</v>
      </c>
      <c r="G62" s="2" t="s">
        <v>2296</v>
      </c>
      <c r="H62" s="2" t="s">
        <v>2026</v>
      </c>
      <c r="I62" s="2" t="s">
        <v>2027</v>
      </c>
      <c r="J62" s="2" t="s">
        <v>2028</v>
      </c>
      <c r="K62" s="2" t="s">
        <v>2029</v>
      </c>
      <c r="L62" s="2"/>
      <c r="M62" s="2" t="n">
        <v>2026</v>
      </c>
      <c r="N62" s="2" t="s">
        <v>2021</v>
      </c>
      <c r="O62" s="2" t="s">
        <v>2297</v>
      </c>
    </row>
    <row r="63" customFormat="false" ht="57.45" hidden="false" customHeight="false" outlineLevel="0" collapsed="false">
      <c r="A63" s="2" t="n">
        <v>31</v>
      </c>
      <c r="B63" s="2" t="s">
        <v>638</v>
      </c>
      <c r="C63" s="2" t="s">
        <v>82</v>
      </c>
      <c r="D63" s="2" t="s">
        <v>2200</v>
      </c>
      <c r="E63" s="2" t="s">
        <v>2040</v>
      </c>
      <c r="F63" s="2" t="s">
        <v>2016</v>
      </c>
      <c r="G63" s="2" t="s">
        <v>2298</v>
      </c>
      <c r="H63" s="2" t="s">
        <v>2042</v>
      </c>
      <c r="I63" s="2" t="s">
        <v>2043</v>
      </c>
      <c r="J63" s="2"/>
      <c r="K63" s="2" t="s">
        <v>2044</v>
      </c>
      <c r="L63" s="2" t="s">
        <v>2045</v>
      </c>
      <c r="M63" s="2" t="n">
        <v>2026</v>
      </c>
      <c r="N63" s="2" t="s">
        <v>2021</v>
      </c>
      <c r="O63" s="2" t="s">
        <v>2299</v>
      </c>
    </row>
    <row r="64" customFormat="false" ht="57.45" hidden="false" customHeight="false" outlineLevel="0" collapsed="false">
      <c r="A64" s="2" t="n">
        <v>31</v>
      </c>
      <c r="B64" s="2" t="s">
        <v>638</v>
      </c>
      <c r="C64" s="2" t="s">
        <v>82</v>
      </c>
      <c r="D64" s="2" t="s">
        <v>2300</v>
      </c>
      <c r="E64" s="2"/>
      <c r="F64" s="2" t="s">
        <v>2016</v>
      </c>
      <c r="G64" s="2" t="s">
        <v>2301</v>
      </c>
      <c r="H64" s="2" t="s">
        <v>2302</v>
      </c>
      <c r="I64" s="2" t="s">
        <v>2303</v>
      </c>
      <c r="J64" s="2"/>
      <c r="K64" s="2" t="s">
        <v>2304</v>
      </c>
      <c r="L64" s="2"/>
      <c r="M64" s="2" t="n">
        <v>2026</v>
      </c>
      <c r="N64" s="2" t="s">
        <v>2054</v>
      </c>
      <c r="O64" s="2" t="s">
        <v>2299</v>
      </c>
    </row>
    <row r="65" customFormat="false" ht="35.05" hidden="false" customHeight="false" outlineLevel="0" collapsed="false">
      <c r="A65" s="2" t="n">
        <v>31</v>
      </c>
      <c r="B65" s="2" t="s">
        <v>638</v>
      </c>
      <c r="C65" s="2" t="s">
        <v>82</v>
      </c>
      <c r="D65" s="2" t="s">
        <v>2305</v>
      </c>
      <c r="E65" s="2"/>
      <c r="F65" s="2" t="s">
        <v>2016</v>
      </c>
      <c r="G65" s="2" t="s">
        <v>2306</v>
      </c>
      <c r="H65" s="2" t="s">
        <v>2307</v>
      </c>
      <c r="I65" s="2"/>
      <c r="J65" s="2"/>
      <c r="K65" s="2"/>
      <c r="L65" s="2"/>
      <c r="M65" s="2" t="n">
        <v>2026</v>
      </c>
      <c r="N65" s="2" t="s">
        <v>2054</v>
      </c>
      <c r="O65" s="2" t="s">
        <v>2308</v>
      </c>
    </row>
    <row r="66" customFormat="false" ht="57.45" hidden="false" customHeight="false" outlineLevel="0" collapsed="false">
      <c r="A66" s="2" t="n">
        <v>32</v>
      </c>
      <c r="B66" s="2" t="s">
        <v>656</v>
      </c>
      <c r="C66" s="2" t="s">
        <v>82</v>
      </c>
      <c r="D66" s="2" t="s">
        <v>2279</v>
      </c>
      <c r="E66" s="2" t="s">
        <v>2272</v>
      </c>
      <c r="F66" s="2" t="s">
        <v>2016</v>
      </c>
      <c r="G66" s="2" t="s">
        <v>2309</v>
      </c>
      <c r="H66" s="2" t="s">
        <v>2274</v>
      </c>
      <c r="I66" s="2" t="s">
        <v>2275</v>
      </c>
      <c r="J66" s="2" t="s">
        <v>2276</v>
      </c>
      <c r="K66" s="2" t="s">
        <v>2277</v>
      </c>
      <c r="L66" s="2"/>
      <c r="M66" s="2" t="n">
        <v>2026</v>
      </c>
      <c r="N66" s="2" t="s">
        <v>2021</v>
      </c>
      <c r="O66" s="2" t="s">
        <v>2310</v>
      </c>
    </row>
    <row r="67" customFormat="false" ht="68.65" hidden="false" customHeight="false" outlineLevel="0" collapsed="false">
      <c r="A67" s="2" t="n">
        <v>33</v>
      </c>
      <c r="B67" s="2" t="s">
        <v>675</v>
      </c>
      <c r="C67" s="2" t="s">
        <v>82</v>
      </c>
      <c r="D67" s="2" t="s">
        <v>2311</v>
      </c>
      <c r="E67" s="2"/>
      <c r="F67" s="2" t="s">
        <v>2006</v>
      </c>
      <c r="G67" s="2" t="s">
        <v>2312</v>
      </c>
      <c r="H67" s="2" t="s">
        <v>2313</v>
      </c>
      <c r="I67" s="2"/>
      <c r="J67" s="2"/>
      <c r="K67" s="2" t="s">
        <v>2314</v>
      </c>
      <c r="L67" s="2"/>
      <c r="M67" s="2" t="n">
        <v>2026</v>
      </c>
      <c r="N67" s="2" t="s">
        <v>2021</v>
      </c>
      <c r="O67" s="2" t="s">
        <v>2315</v>
      </c>
    </row>
    <row r="68" customFormat="false" ht="79.85" hidden="false" customHeight="false" outlineLevel="0" collapsed="false">
      <c r="A68" s="2" t="n">
        <v>33</v>
      </c>
      <c r="B68" s="2" t="s">
        <v>675</v>
      </c>
      <c r="C68" s="2" t="s">
        <v>82</v>
      </c>
      <c r="D68" s="2" t="s">
        <v>2241</v>
      </c>
      <c r="E68" s="2" t="s">
        <v>2316</v>
      </c>
      <c r="F68" s="2" t="s">
        <v>2016</v>
      </c>
      <c r="G68" s="2" t="s">
        <v>2317</v>
      </c>
      <c r="H68" s="2" t="s">
        <v>2244</v>
      </c>
      <c r="I68" s="2" t="s">
        <v>2245</v>
      </c>
      <c r="J68" s="2"/>
      <c r="K68" s="2" t="s">
        <v>2246</v>
      </c>
      <c r="L68" s="2"/>
      <c r="M68" s="2" t="n">
        <v>2026</v>
      </c>
      <c r="N68" s="2" t="s">
        <v>2021</v>
      </c>
      <c r="O68" s="2" t="s">
        <v>2318</v>
      </c>
    </row>
    <row r="69" customFormat="false" ht="91" hidden="false" customHeight="false" outlineLevel="0" collapsed="false">
      <c r="A69" s="2" t="n">
        <v>34</v>
      </c>
      <c r="B69" s="2" t="s">
        <v>692</v>
      </c>
      <c r="C69" s="2" t="s">
        <v>82</v>
      </c>
      <c r="D69" s="2" t="s">
        <v>2293</v>
      </c>
      <c r="E69" s="2"/>
      <c r="F69" s="2" t="s">
        <v>2016</v>
      </c>
      <c r="G69" s="2" t="s">
        <v>2319</v>
      </c>
      <c r="H69" s="2" t="s">
        <v>2226</v>
      </c>
      <c r="I69" s="2" t="s">
        <v>2227</v>
      </c>
      <c r="J69" s="2"/>
      <c r="K69" s="2" t="s">
        <v>2228</v>
      </c>
      <c r="L69" s="2"/>
      <c r="M69" s="2" t="n">
        <v>2026</v>
      </c>
      <c r="N69" s="2" t="s">
        <v>2021</v>
      </c>
      <c r="O69" s="2" t="s">
        <v>2320</v>
      </c>
    </row>
    <row r="70" customFormat="false" ht="35.05" hidden="false" customHeight="false" outlineLevel="0" collapsed="false">
      <c r="A70" s="2" t="n">
        <v>34</v>
      </c>
      <c r="B70" s="2" t="s">
        <v>692</v>
      </c>
      <c r="C70" s="2" t="s">
        <v>82</v>
      </c>
      <c r="D70" s="2" t="s">
        <v>2241</v>
      </c>
      <c r="E70" s="2" t="s">
        <v>2242</v>
      </c>
      <c r="F70" s="2" t="s">
        <v>2016</v>
      </c>
      <c r="G70" s="2" t="s">
        <v>2321</v>
      </c>
      <c r="H70" s="2" t="s">
        <v>2244</v>
      </c>
      <c r="I70" s="2" t="s">
        <v>2245</v>
      </c>
      <c r="J70" s="2"/>
      <c r="K70" s="2" t="s">
        <v>2246</v>
      </c>
      <c r="L70" s="2"/>
      <c r="M70" s="2"/>
      <c r="N70" s="2" t="s">
        <v>2050</v>
      </c>
      <c r="O70" s="2" t="s">
        <v>2247</v>
      </c>
    </row>
    <row r="71" customFormat="false" ht="124.6" hidden="false" customHeight="false" outlineLevel="0" collapsed="false">
      <c r="A71" s="2" t="n">
        <v>35</v>
      </c>
      <c r="B71" s="2" t="s">
        <v>712</v>
      </c>
      <c r="C71" s="2" t="s">
        <v>82</v>
      </c>
      <c r="D71" s="2" t="s">
        <v>2322</v>
      </c>
      <c r="E71" s="2" t="s">
        <v>2110</v>
      </c>
      <c r="F71" s="2" t="s">
        <v>2016</v>
      </c>
      <c r="G71" s="2" t="s">
        <v>2323</v>
      </c>
      <c r="H71" s="2" t="s">
        <v>2112</v>
      </c>
      <c r="I71" s="2" t="s">
        <v>2113</v>
      </c>
      <c r="J71" s="2"/>
      <c r="K71" s="2" t="s">
        <v>2114</v>
      </c>
      <c r="L71" s="2" t="s">
        <v>2115</v>
      </c>
      <c r="M71" s="2" t="n">
        <v>2026</v>
      </c>
      <c r="N71" s="2" t="s">
        <v>2021</v>
      </c>
      <c r="O71" s="2" t="s">
        <v>2324</v>
      </c>
    </row>
    <row r="72" customFormat="false" ht="102.2" hidden="false" customHeight="false" outlineLevel="0" collapsed="false">
      <c r="A72" s="2" t="n">
        <v>36</v>
      </c>
      <c r="B72" s="2" t="s">
        <v>733</v>
      </c>
      <c r="C72" s="2" t="s">
        <v>82</v>
      </c>
      <c r="D72" s="2" t="s">
        <v>2031</v>
      </c>
      <c r="E72" s="2" t="s">
        <v>2325</v>
      </c>
      <c r="F72" s="2" t="s">
        <v>2016</v>
      </c>
      <c r="G72" s="2" t="s">
        <v>2326</v>
      </c>
      <c r="H72" s="2" t="s">
        <v>2327</v>
      </c>
      <c r="I72" s="2" t="s">
        <v>2035</v>
      </c>
      <c r="J72" s="2" t="s">
        <v>2036</v>
      </c>
      <c r="K72" s="2" t="s">
        <v>2037</v>
      </c>
      <c r="L72" s="2"/>
      <c r="M72" s="2" t="n">
        <v>2026</v>
      </c>
      <c r="N72" s="2" t="s">
        <v>2021</v>
      </c>
      <c r="O72" s="2" t="s">
        <v>2328</v>
      </c>
    </row>
    <row r="73" customFormat="false" ht="102.2" hidden="false" customHeight="false" outlineLevel="0" collapsed="false">
      <c r="A73" s="2" t="n">
        <v>37</v>
      </c>
      <c r="B73" s="2" t="s">
        <v>752</v>
      </c>
      <c r="C73" s="2" t="s">
        <v>768</v>
      </c>
      <c r="D73" s="2" t="s">
        <v>2329</v>
      </c>
      <c r="E73" s="2" t="s">
        <v>2330</v>
      </c>
      <c r="F73" s="2" t="s">
        <v>2006</v>
      </c>
      <c r="G73" s="2" t="s">
        <v>2331</v>
      </c>
      <c r="H73" s="2" t="s">
        <v>2332</v>
      </c>
      <c r="I73" s="2"/>
      <c r="J73" s="2"/>
      <c r="K73" s="2"/>
      <c r="L73" s="2"/>
      <c r="M73" s="2" t="n">
        <v>2026</v>
      </c>
      <c r="N73" s="2" t="s">
        <v>2021</v>
      </c>
      <c r="O73" s="2" t="s">
        <v>2333</v>
      </c>
    </row>
    <row r="74" customFormat="false" ht="102.2" hidden="false" customHeight="false" outlineLevel="0" collapsed="false">
      <c r="A74" s="2" t="n">
        <v>38</v>
      </c>
      <c r="B74" s="2" t="s">
        <v>774</v>
      </c>
      <c r="C74" s="2" t="s">
        <v>82</v>
      </c>
      <c r="D74" s="2" t="s">
        <v>2334</v>
      </c>
      <c r="E74" s="2"/>
      <c r="F74" s="2" t="s">
        <v>2016</v>
      </c>
      <c r="G74" s="2" t="s">
        <v>2335</v>
      </c>
      <c r="H74" s="2" t="s">
        <v>2336</v>
      </c>
      <c r="I74" s="2" t="s">
        <v>2337</v>
      </c>
      <c r="J74" s="2"/>
      <c r="K74" s="2" t="s">
        <v>2338</v>
      </c>
      <c r="L74" s="2"/>
      <c r="M74" s="2" t="n">
        <v>2026</v>
      </c>
      <c r="N74" s="2" t="s">
        <v>2021</v>
      </c>
      <c r="O74" s="2" t="s">
        <v>2339</v>
      </c>
    </row>
    <row r="75" customFormat="false" ht="79.85" hidden="false" customHeight="false" outlineLevel="0" collapsed="false">
      <c r="A75" s="2" t="n">
        <v>39</v>
      </c>
      <c r="B75" s="2" t="s">
        <v>797</v>
      </c>
      <c r="C75" s="2" t="s">
        <v>82</v>
      </c>
      <c r="D75" s="2" t="s">
        <v>2340</v>
      </c>
      <c r="E75" s="2"/>
      <c r="F75" s="2" t="s">
        <v>2006</v>
      </c>
      <c r="G75" s="2" t="s">
        <v>2341</v>
      </c>
      <c r="H75" s="2" t="s">
        <v>2342</v>
      </c>
      <c r="I75" s="2" t="s">
        <v>2343</v>
      </c>
      <c r="J75" s="2"/>
      <c r="K75" s="2" t="s">
        <v>2344</v>
      </c>
      <c r="L75" s="2"/>
      <c r="M75" s="2" t="n">
        <v>2024</v>
      </c>
      <c r="N75" s="2" t="s">
        <v>2050</v>
      </c>
      <c r="O75" s="2" t="s">
        <v>2342</v>
      </c>
    </row>
    <row r="76" customFormat="false" ht="68.65" hidden="false" customHeight="false" outlineLevel="0" collapsed="false">
      <c r="A76" s="2" t="n">
        <v>39</v>
      </c>
      <c r="B76" s="2" t="s">
        <v>797</v>
      </c>
      <c r="C76" s="2" t="s">
        <v>82</v>
      </c>
      <c r="D76" s="2" t="s">
        <v>2345</v>
      </c>
      <c r="E76" s="2" t="s">
        <v>2346</v>
      </c>
      <c r="F76" s="2" t="s">
        <v>2016</v>
      </c>
      <c r="G76" s="2" t="s">
        <v>2347</v>
      </c>
      <c r="H76" s="2" t="s">
        <v>2348</v>
      </c>
      <c r="I76" s="2" t="s">
        <v>2349</v>
      </c>
      <c r="J76" s="2"/>
      <c r="K76" s="2" t="s">
        <v>2350</v>
      </c>
      <c r="L76" s="2"/>
      <c r="M76" s="2" t="n">
        <v>2026</v>
      </c>
      <c r="N76" s="2" t="s">
        <v>2021</v>
      </c>
      <c r="O76" s="2" t="s">
        <v>2351</v>
      </c>
    </row>
    <row r="77" customFormat="false" ht="68.65" hidden="false" customHeight="false" outlineLevel="0" collapsed="false">
      <c r="A77" s="2" t="n">
        <v>40</v>
      </c>
      <c r="B77" s="2" t="s">
        <v>815</v>
      </c>
      <c r="C77" s="2" t="s">
        <v>82</v>
      </c>
      <c r="D77" s="2" t="s">
        <v>2352</v>
      </c>
      <c r="E77" s="2"/>
      <c r="F77" s="2" t="s">
        <v>2016</v>
      </c>
      <c r="G77" s="2" t="s">
        <v>2353</v>
      </c>
      <c r="H77" s="2" t="s">
        <v>2354</v>
      </c>
      <c r="I77" s="2" t="s">
        <v>2355</v>
      </c>
      <c r="J77" s="2" t="s">
        <v>2356</v>
      </c>
      <c r="K77" s="2" t="s">
        <v>2357</v>
      </c>
      <c r="L77" s="2"/>
      <c r="M77" s="2" t="n">
        <v>2026</v>
      </c>
      <c r="N77" s="2" t="s">
        <v>2021</v>
      </c>
      <c r="O77" s="2" t="s">
        <v>2358</v>
      </c>
    </row>
    <row r="78" customFormat="false" ht="68.65" hidden="false" customHeight="false" outlineLevel="0" collapsed="false">
      <c r="A78" s="2" t="n">
        <v>40</v>
      </c>
      <c r="B78" s="2" t="s">
        <v>815</v>
      </c>
      <c r="C78" s="2" t="s">
        <v>82</v>
      </c>
      <c r="D78" s="2" t="s">
        <v>2359</v>
      </c>
      <c r="E78" s="2"/>
      <c r="F78" s="2" t="s">
        <v>2016</v>
      </c>
      <c r="G78" s="2" t="s">
        <v>2360</v>
      </c>
      <c r="H78" s="2" t="s">
        <v>2361</v>
      </c>
      <c r="I78" s="2"/>
      <c r="J78" s="2"/>
      <c r="K78" s="2" t="s">
        <v>2362</v>
      </c>
      <c r="L78" s="2" t="s">
        <v>2363</v>
      </c>
      <c r="M78" s="2" t="n">
        <v>2026</v>
      </c>
      <c r="N78" s="2" t="s">
        <v>2021</v>
      </c>
      <c r="O78" s="2" t="s">
        <v>2364</v>
      </c>
    </row>
    <row r="79" customFormat="false" ht="68.65" hidden="false" customHeight="false" outlineLevel="0" collapsed="false">
      <c r="A79" s="2" t="n">
        <v>41</v>
      </c>
      <c r="B79" s="2" t="s">
        <v>832</v>
      </c>
      <c r="C79" s="2" t="s">
        <v>82</v>
      </c>
      <c r="D79" s="2" t="s">
        <v>2365</v>
      </c>
      <c r="E79" s="2" t="s">
        <v>2366</v>
      </c>
      <c r="F79" s="2" t="s">
        <v>2016</v>
      </c>
      <c r="G79" s="2" t="s">
        <v>2367</v>
      </c>
      <c r="H79" s="2" t="s">
        <v>2368</v>
      </c>
      <c r="I79" s="2" t="s">
        <v>2369</v>
      </c>
      <c r="J79" s="2" t="s">
        <v>2370</v>
      </c>
      <c r="K79" s="2" t="s">
        <v>2371</v>
      </c>
      <c r="L79" s="2"/>
      <c r="M79" s="2" t="n">
        <v>2026</v>
      </c>
      <c r="N79" s="2" t="s">
        <v>2021</v>
      </c>
      <c r="O79" s="2" t="s">
        <v>2372</v>
      </c>
    </row>
    <row r="80" customFormat="false" ht="57.45" hidden="false" customHeight="false" outlineLevel="0" collapsed="false">
      <c r="A80" s="2" t="n">
        <v>42</v>
      </c>
      <c r="B80" s="2" t="s">
        <v>852</v>
      </c>
      <c r="C80" s="2" t="s">
        <v>768</v>
      </c>
      <c r="D80" s="2" t="s">
        <v>2373</v>
      </c>
      <c r="E80" s="2"/>
      <c r="F80" s="2" t="s">
        <v>2016</v>
      </c>
      <c r="G80" s="2" t="s">
        <v>2374</v>
      </c>
      <c r="H80" s="2"/>
      <c r="I80" s="2"/>
      <c r="J80" s="2"/>
      <c r="K80" s="2"/>
      <c r="L80" s="2"/>
      <c r="M80" s="2" t="n">
        <v>2012</v>
      </c>
      <c r="N80" s="2" t="s">
        <v>2050</v>
      </c>
      <c r="O80" s="2" t="s">
        <v>2375</v>
      </c>
    </row>
    <row r="81" customFormat="false" ht="135.8" hidden="false" customHeight="false" outlineLevel="0" collapsed="false">
      <c r="A81" s="2" t="n">
        <v>42</v>
      </c>
      <c r="B81" s="2" t="s">
        <v>852</v>
      </c>
      <c r="C81" s="2" t="s">
        <v>768</v>
      </c>
      <c r="D81" s="2" t="s">
        <v>2376</v>
      </c>
      <c r="E81" s="2"/>
      <c r="F81" s="2" t="s">
        <v>2016</v>
      </c>
      <c r="G81" s="2" t="s">
        <v>2377</v>
      </c>
      <c r="H81" s="2" t="s">
        <v>2378</v>
      </c>
      <c r="I81" s="2"/>
      <c r="J81" s="2"/>
      <c r="K81" s="2"/>
      <c r="L81" s="2"/>
      <c r="M81" s="2" t="n">
        <v>2026</v>
      </c>
      <c r="N81" s="2" t="s">
        <v>2054</v>
      </c>
      <c r="O81" s="2" t="s">
        <v>2379</v>
      </c>
    </row>
    <row r="82" customFormat="false" ht="68.65" hidden="false" customHeight="false" outlineLevel="0" collapsed="false">
      <c r="A82" s="2" t="n">
        <v>43</v>
      </c>
      <c r="B82" s="2" t="s">
        <v>870</v>
      </c>
      <c r="C82" s="2" t="s">
        <v>82</v>
      </c>
      <c r="D82" s="2" t="s">
        <v>2380</v>
      </c>
      <c r="E82" s="2" t="s">
        <v>2381</v>
      </c>
      <c r="F82" s="2" t="s">
        <v>2016</v>
      </c>
      <c r="G82" s="2" t="s">
        <v>2382</v>
      </c>
      <c r="H82" s="2" t="s">
        <v>2383</v>
      </c>
      <c r="I82" s="2"/>
      <c r="J82" s="2"/>
      <c r="K82" s="2"/>
      <c r="L82" s="2"/>
      <c r="M82" s="2" t="n">
        <v>2026</v>
      </c>
      <c r="N82" s="2" t="s">
        <v>2021</v>
      </c>
      <c r="O82" s="2" t="s">
        <v>2384</v>
      </c>
    </row>
    <row r="83" customFormat="false" ht="57.45" hidden="false" customHeight="false" outlineLevel="0" collapsed="false">
      <c r="A83" s="2" t="n">
        <v>44</v>
      </c>
      <c r="B83" s="2" t="s">
        <v>890</v>
      </c>
      <c r="C83" s="2" t="s">
        <v>82</v>
      </c>
      <c r="D83" s="2" t="s">
        <v>2385</v>
      </c>
      <c r="E83" s="2" t="s">
        <v>2386</v>
      </c>
      <c r="F83" s="2" t="s">
        <v>2016</v>
      </c>
      <c r="G83" s="2" t="s">
        <v>2387</v>
      </c>
      <c r="H83" s="2" t="s">
        <v>2160</v>
      </c>
      <c r="I83" s="2" t="s">
        <v>2388</v>
      </c>
      <c r="J83" s="2" t="s">
        <v>2162</v>
      </c>
      <c r="K83" s="2" t="s">
        <v>2163</v>
      </c>
      <c r="L83" s="2"/>
      <c r="M83" s="2" t="n">
        <v>2025</v>
      </c>
      <c r="N83" s="2" t="s">
        <v>2021</v>
      </c>
      <c r="O83" s="2" t="s">
        <v>2389</v>
      </c>
    </row>
    <row r="84" customFormat="false" ht="102.2" hidden="false" customHeight="false" outlineLevel="0" collapsed="false">
      <c r="A84" s="2" t="n">
        <v>45</v>
      </c>
      <c r="B84" s="2" t="s">
        <v>912</v>
      </c>
      <c r="C84" s="2" t="s">
        <v>82</v>
      </c>
      <c r="D84" s="2" t="s">
        <v>2109</v>
      </c>
      <c r="E84" s="2" t="s">
        <v>2110</v>
      </c>
      <c r="F84" s="2" t="s">
        <v>2016</v>
      </c>
      <c r="G84" s="2" t="s">
        <v>2390</v>
      </c>
      <c r="H84" s="2" t="s">
        <v>2112</v>
      </c>
      <c r="I84" s="2" t="s">
        <v>2113</v>
      </c>
      <c r="J84" s="2"/>
      <c r="K84" s="2" t="s">
        <v>2114</v>
      </c>
      <c r="L84" s="2" t="s">
        <v>2115</v>
      </c>
      <c r="M84" s="2" t="n">
        <v>2026</v>
      </c>
      <c r="N84" s="2" t="s">
        <v>2021</v>
      </c>
      <c r="O84" s="2" t="s">
        <v>2391</v>
      </c>
    </row>
    <row r="85" customFormat="false" ht="91" hidden="false" customHeight="false" outlineLevel="0" collapsed="false">
      <c r="A85" s="2" t="n">
        <v>46</v>
      </c>
      <c r="B85" s="2" t="s">
        <v>932</v>
      </c>
      <c r="C85" s="2" t="s">
        <v>82</v>
      </c>
      <c r="D85" s="2" t="s">
        <v>2300</v>
      </c>
      <c r="E85" s="2"/>
      <c r="F85" s="2" t="s">
        <v>2016</v>
      </c>
      <c r="G85" s="2" t="s">
        <v>2392</v>
      </c>
      <c r="H85" s="2" t="s">
        <v>2302</v>
      </c>
      <c r="I85" s="2" t="s">
        <v>2303</v>
      </c>
      <c r="J85" s="2"/>
      <c r="K85" s="2" t="s">
        <v>2304</v>
      </c>
      <c r="L85" s="2"/>
      <c r="M85" s="2" t="n">
        <v>2026</v>
      </c>
      <c r="N85" s="2" t="s">
        <v>2021</v>
      </c>
      <c r="O85" s="2" t="s">
        <v>2393</v>
      </c>
    </row>
    <row r="86" customFormat="false" ht="124.6" hidden="false" customHeight="false" outlineLevel="0" collapsed="false">
      <c r="A86" s="2" t="n">
        <v>47</v>
      </c>
      <c r="B86" s="2" t="s">
        <v>949</v>
      </c>
      <c r="C86" s="2" t="s">
        <v>82</v>
      </c>
      <c r="D86" s="2" t="s">
        <v>2394</v>
      </c>
      <c r="E86" s="2" t="s">
        <v>2395</v>
      </c>
      <c r="F86" s="2" t="s">
        <v>2016</v>
      </c>
      <c r="G86" s="2" t="s">
        <v>2396</v>
      </c>
      <c r="H86" s="2" t="s">
        <v>2397</v>
      </c>
      <c r="I86" s="2" t="s">
        <v>2398</v>
      </c>
      <c r="J86" s="2" t="s">
        <v>2399</v>
      </c>
      <c r="K86" s="2" t="s">
        <v>2400</v>
      </c>
      <c r="L86" s="2" t="s">
        <v>2401</v>
      </c>
      <c r="M86" s="2" t="n">
        <v>2026</v>
      </c>
      <c r="N86" s="2" t="s">
        <v>2054</v>
      </c>
      <c r="O86" s="2" t="s">
        <v>2402</v>
      </c>
    </row>
    <row r="87" customFormat="false" ht="35.05" hidden="false" customHeight="false" outlineLevel="0" collapsed="false">
      <c r="A87" s="2" t="n">
        <v>48</v>
      </c>
      <c r="B87" s="2" t="s">
        <v>969</v>
      </c>
      <c r="C87" s="2" t="s">
        <v>82</v>
      </c>
      <c r="D87" s="2" t="s">
        <v>2403</v>
      </c>
      <c r="E87" s="2"/>
      <c r="F87" s="2" t="s">
        <v>2016</v>
      </c>
      <c r="G87" s="2" t="s">
        <v>2404</v>
      </c>
      <c r="H87" s="2" t="s">
        <v>2194</v>
      </c>
      <c r="I87" s="2" t="s">
        <v>2196</v>
      </c>
      <c r="J87" s="2" t="s">
        <v>2197</v>
      </c>
      <c r="K87" s="2" t="s">
        <v>2198</v>
      </c>
      <c r="L87" s="2"/>
      <c r="M87" s="2" t="n">
        <v>2026</v>
      </c>
      <c r="N87" s="2" t="s">
        <v>2021</v>
      </c>
      <c r="O87" s="2" t="s">
        <v>2405</v>
      </c>
    </row>
    <row r="88" customFormat="false" ht="35.05" hidden="false" customHeight="false" outlineLevel="0" collapsed="false">
      <c r="A88" s="2" t="n">
        <v>48</v>
      </c>
      <c r="B88" s="2" t="s">
        <v>969</v>
      </c>
      <c r="C88" s="2" t="s">
        <v>82</v>
      </c>
      <c r="D88" s="2" t="s">
        <v>2406</v>
      </c>
      <c r="E88" s="2"/>
      <c r="F88" s="2" t="s">
        <v>2016</v>
      </c>
      <c r="G88" s="2" t="s">
        <v>2407</v>
      </c>
      <c r="H88" s="2" t="s">
        <v>2408</v>
      </c>
      <c r="I88" s="2" t="s">
        <v>2409</v>
      </c>
      <c r="J88" s="2"/>
      <c r="K88" s="2" t="s">
        <v>2410</v>
      </c>
      <c r="L88" s="2"/>
      <c r="M88" s="2" t="n">
        <v>2026</v>
      </c>
      <c r="N88" s="2" t="s">
        <v>2021</v>
      </c>
      <c r="O88" s="2" t="s">
        <v>2411</v>
      </c>
    </row>
    <row r="89" customFormat="false" ht="23.85" hidden="false" customHeight="false" outlineLevel="0" collapsed="false">
      <c r="A89" s="2" t="n">
        <v>48</v>
      </c>
      <c r="B89" s="2" t="s">
        <v>969</v>
      </c>
      <c r="C89" s="2" t="s">
        <v>82</v>
      </c>
      <c r="D89" s="2" t="s">
        <v>2412</v>
      </c>
      <c r="E89" s="2" t="s">
        <v>2176</v>
      </c>
      <c r="F89" s="2" t="s">
        <v>2016</v>
      </c>
      <c r="G89" s="2" t="s">
        <v>2413</v>
      </c>
      <c r="H89" s="2" t="s">
        <v>2178</v>
      </c>
      <c r="I89" s="2" t="s">
        <v>2179</v>
      </c>
      <c r="J89" s="2"/>
      <c r="K89" s="2" t="s">
        <v>2180</v>
      </c>
      <c r="L89" s="2"/>
      <c r="M89" s="2" t="n">
        <v>2026</v>
      </c>
      <c r="N89" s="2" t="s">
        <v>2021</v>
      </c>
      <c r="O89" s="2" t="s">
        <v>2414</v>
      </c>
    </row>
    <row r="90" customFormat="false" ht="68.65" hidden="false" customHeight="false" outlineLevel="0" collapsed="false">
      <c r="A90" s="2" t="n">
        <v>49</v>
      </c>
      <c r="B90" s="2" t="s">
        <v>990</v>
      </c>
      <c r="C90" s="2" t="s">
        <v>82</v>
      </c>
      <c r="D90" s="2" t="s">
        <v>2394</v>
      </c>
      <c r="E90" s="2" t="s">
        <v>2395</v>
      </c>
      <c r="F90" s="2" t="s">
        <v>2016</v>
      </c>
      <c r="G90" s="2" t="s">
        <v>2415</v>
      </c>
      <c r="H90" s="2" t="s">
        <v>2416</v>
      </c>
      <c r="I90" s="2" t="s">
        <v>2398</v>
      </c>
      <c r="J90" s="2" t="s">
        <v>2399</v>
      </c>
      <c r="K90" s="2" t="s">
        <v>2400</v>
      </c>
      <c r="L90" s="2" t="s">
        <v>2401</v>
      </c>
      <c r="M90" s="2" t="n">
        <v>2026</v>
      </c>
      <c r="N90" s="2" t="s">
        <v>2021</v>
      </c>
      <c r="O90" s="2" t="s">
        <v>2417</v>
      </c>
    </row>
    <row r="91" customFormat="false" ht="46.25" hidden="false" customHeight="false" outlineLevel="0" collapsed="false">
      <c r="A91" s="2" t="n">
        <v>50</v>
      </c>
      <c r="B91" s="2" t="s">
        <v>1009</v>
      </c>
      <c r="C91" s="2" t="s">
        <v>82</v>
      </c>
      <c r="D91" s="2" t="s">
        <v>2418</v>
      </c>
      <c r="E91" s="2" t="s">
        <v>2419</v>
      </c>
      <c r="F91" s="2" t="s">
        <v>2016</v>
      </c>
      <c r="G91" s="2" t="s">
        <v>2420</v>
      </c>
      <c r="H91" s="2" t="s">
        <v>2421</v>
      </c>
      <c r="I91" s="2" t="s">
        <v>2422</v>
      </c>
      <c r="J91" s="2" t="s">
        <v>2423</v>
      </c>
      <c r="K91" s="2" t="s">
        <v>2424</v>
      </c>
      <c r="L91" s="2" t="s">
        <v>2425</v>
      </c>
      <c r="M91" s="2" t="n">
        <v>2019</v>
      </c>
      <c r="N91" s="2" t="s">
        <v>2050</v>
      </c>
      <c r="O91" s="2" t="s">
        <v>2426</v>
      </c>
    </row>
    <row r="92" customFormat="false" ht="102.2" hidden="false" customHeight="false" outlineLevel="0" collapsed="false">
      <c r="A92" s="2" t="n">
        <v>51</v>
      </c>
      <c r="B92" s="2" t="s">
        <v>1030</v>
      </c>
      <c r="C92" s="2" t="s">
        <v>82</v>
      </c>
      <c r="D92" s="2" t="s">
        <v>2031</v>
      </c>
      <c r="E92" s="2" t="s">
        <v>2325</v>
      </c>
      <c r="F92" s="2" t="s">
        <v>2016</v>
      </c>
      <c r="G92" s="2" t="s">
        <v>2427</v>
      </c>
      <c r="H92" s="2" t="s">
        <v>2034</v>
      </c>
      <c r="I92" s="2" t="s">
        <v>2035</v>
      </c>
      <c r="J92" s="2" t="s">
        <v>2036</v>
      </c>
      <c r="K92" s="2" t="s">
        <v>2037</v>
      </c>
      <c r="L92" s="2"/>
      <c r="M92" s="2" t="n">
        <v>2026</v>
      </c>
      <c r="N92" s="2" t="s">
        <v>2021</v>
      </c>
      <c r="O92" s="2" t="s">
        <v>2428</v>
      </c>
    </row>
    <row r="93" customFormat="false" ht="191.75" hidden="false" customHeight="false" outlineLevel="0" collapsed="false">
      <c r="A93" s="2" t="n">
        <v>52</v>
      </c>
      <c r="B93" s="2" t="s">
        <v>1052</v>
      </c>
      <c r="C93" s="2" t="s">
        <v>82</v>
      </c>
      <c r="D93" s="2" t="s">
        <v>2429</v>
      </c>
      <c r="E93" s="2" t="s">
        <v>2430</v>
      </c>
      <c r="F93" s="2" t="s">
        <v>2016</v>
      </c>
      <c r="G93" s="2" t="s">
        <v>2431</v>
      </c>
      <c r="H93" s="2" t="s">
        <v>2432</v>
      </c>
      <c r="I93" s="2" t="s">
        <v>2433</v>
      </c>
      <c r="J93" s="2"/>
      <c r="K93" s="2" t="s">
        <v>2434</v>
      </c>
      <c r="L93" s="2"/>
      <c r="M93" s="2" t="n">
        <v>2026</v>
      </c>
      <c r="N93" s="2" t="s">
        <v>2021</v>
      </c>
      <c r="O93" s="2" t="s">
        <v>2435</v>
      </c>
    </row>
    <row r="94" customFormat="false" ht="91" hidden="false" customHeight="false" outlineLevel="0" collapsed="false">
      <c r="A94" s="2" t="n">
        <v>53</v>
      </c>
      <c r="B94" s="2" t="s">
        <v>1073</v>
      </c>
      <c r="C94" s="2" t="s">
        <v>82</v>
      </c>
      <c r="D94" s="2" t="s">
        <v>2418</v>
      </c>
      <c r="E94" s="2" t="s">
        <v>2419</v>
      </c>
      <c r="F94" s="2" t="s">
        <v>2016</v>
      </c>
      <c r="G94" s="2" t="s">
        <v>2436</v>
      </c>
      <c r="H94" s="2" t="s">
        <v>2421</v>
      </c>
      <c r="I94" s="2" t="s">
        <v>2422</v>
      </c>
      <c r="J94" s="2" t="s">
        <v>2423</v>
      </c>
      <c r="K94" s="2" t="s">
        <v>2424</v>
      </c>
      <c r="L94" s="2" t="s">
        <v>2425</v>
      </c>
      <c r="M94" s="2" t="n">
        <v>2026</v>
      </c>
      <c r="N94" s="2" t="s">
        <v>2021</v>
      </c>
      <c r="O94" s="2" t="s">
        <v>2437</v>
      </c>
    </row>
    <row r="95" customFormat="false" ht="23.85" hidden="false" customHeight="false" outlineLevel="0" collapsed="false">
      <c r="A95" s="2" t="n">
        <v>53</v>
      </c>
      <c r="B95" s="2" t="s">
        <v>1073</v>
      </c>
      <c r="C95" s="2" t="s">
        <v>82</v>
      </c>
      <c r="D95" s="2" t="s">
        <v>2438</v>
      </c>
      <c r="E95" s="2"/>
      <c r="F95" s="2" t="s">
        <v>2016</v>
      </c>
      <c r="G95" s="2" t="s">
        <v>2439</v>
      </c>
      <c r="H95" s="2" t="s">
        <v>2440</v>
      </c>
      <c r="I95" s="2" t="s">
        <v>2441</v>
      </c>
      <c r="J95" s="2"/>
      <c r="K95" s="2" t="s">
        <v>2442</v>
      </c>
      <c r="L95" s="2"/>
      <c r="M95" s="2"/>
      <c r="N95" s="2" t="s">
        <v>2050</v>
      </c>
      <c r="O95" s="2" t="s">
        <v>2443</v>
      </c>
    </row>
    <row r="96" customFormat="false" ht="57.45" hidden="false" customHeight="false" outlineLevel="0" collapsed="false">
      <c r="A96" s="2" t="n">
        <v>53</v>
      </c>
      <c r="B96" s="2" t="s">
        <v>1073</v>
      </c>
      <c r="C96" s="2" t="s">
        <v>82</v>
      </c>
      <c r="D96" s="2" t="s">
        <v>2444</v>
      </c>
      <c r="E96" s="2"/>
      <c r="F96" s="2" t="s">
        <v>2016</v>
      </c>
      <c r="G96" s="2" t="s">
        <v>2445</v>
      </c>
      <c r="H96" s="2" t="s">
        <v>2446</v>
      </c>
      <c r="I96" s="2"/>
      <c r="J96" s="2"/>
      <c r="K96" s="2"/>
      <c r="L96" s="2"/>
      <c r="M96" s="2"/>
      <c r="N96" s="2" t="s">
        <v>2050</v>
      </c>
      <c r="O96" s="2" t="s">
        <v>2447</v>
      </c>
    </row>
    <row r="97" customFormat="false" ht="102.2" hidden="false" customHeight="false" outlineLevel="0" collapsed="false">
      <c r="A97" s="2" t="n">
        <v>53</v>
      </c>
      <c r="B97" s="2" t="s">
        <v>1073</v>
      </c>
      <c r="C97" s="2" t="s">
        <v>82</v>
      </c>
      <c r="D97" s="2" t="s">
        <v>2448</v>
      </c>
      <c r="E97" s="2" t="s">
        <v>2449</v>
      </c>
      <c r="F97" s="2" t="s">
        <v>2016</v>
      </c>
      <c r="G97" s="2" t="s">
        <v>2450</v>
      </c>
      <c r="H97" s="2" t="s">
        <v>2081</v>
      </c>
      <c r="I97" s="2" t="s">
        <v>2082</v>
      </c>
      <c r="J97" s="2"/>
      <c r="K97" s="2" t="s">
        <v>2083</v>
      </c>
      <c r="L97" s="2" t="s">
        <v>2084</v>
      </c>
      <c r="M97" s="2" t="n">
        <v>2026</v>
      </c>
      <c r="N97" s="2" t="s">
        <v>2054</v>
      </c>
      <c r="O97" s="2" t="s">
        <v>2451</v>
      </c>
    </row>
    <row r="98" customFormat="false" ht="102.2" hidden="false" customHeight="false" outlineLevel="0" collapsed="false">
      <c r="A98" s="2" t="n">
        <v>54</v>
      </c>
      <c r="B98" s="2" t="s">
        <v>1092</v>
      </c>
      <c r="C98" s="2" t="s">
        <v>82</v>
      </c>
      <c r="D98" s="2" t="s">
        <v>2452</v>
      </c>
      <c r="E98" s="2" t="s">
        <v>2453</v>
      </c>
      <c r="F98" s="2" t="s">
        <v>2016</v>
      </c>
      <c r="G98" s="2" t="s">
        <v>2454</v>
      </c>
      <c r="H98" s="2" t="s">
        <v>2134</v>
      </c>
      <c r="I98" s="2" t="s">
        <v>2135</v>
      </c>
      <c r="J98" s="2" t="s">
        <v>2136</v>
      </c>
      <c r="K98" s="2" t="s">
        <v>2137</v>
      </c>
      <c r="L98" s="2" t="s">
        <v>2138</v>
      </c>
      <c r="M98" s="2" t="n">
        <v>2026</v>
      </c>
      <c r="N98" s="2" t="s">
        <v>2021</v>
      </c>
      <c r="O98" s="2" t="s">
        <v>2455</v>
      </c>
    </row>
    <row r="99" customFormat="false" ht="147" hidden="false" customHeight="false" outlineLevel="0" collapsed="false">
      <c r="A99" s="2" t="n">
        <v>55</v>
      </c>
      <c r="B99" s="2" t="s">
        <v>1112</v>
      </c>
      <c r="C99" s="2" t="s">
        <v>1128</v>
      </c>
      <c r="D99" s="2" t="s">
        <v>2456</v>
      </c>
      <c r="E99" s="2"/>
      <c r="F99" s="2" t="s">
        <v>2006</v>
      </c>
      <c r="G99" s="2" t="s">
        <v>2457</v>
      </c>
      <c r="H99" s="2" t="s">
        <v>2458</v>
      </c>
      <c r="I99" s="2" t="s">
        <v>2459</v>
      </c>
      <c r="J99" s="2"/>
      <c r="K99" s="2" t="s">
        <v>2460</v>
      </c>
      <c r="L99" s="2"/>
      <c r="M99" s="2" t="n">
        <v>2026</v>
      </c>
      <c r="N99" s="2" t="s">
        <v>2021</v>
      </c>
      <c r="O99" s="2" t="s">
        <v>2461</v>
      </c>
    </row>
    <row r="100" customFormat="false" ht="57.45" hidden="false" customHeight="false" outlineLevel="0" collapsed="false">
      <c r="A100" s="2" t="n">
        <v>55</v>
      </c>
      <c r="B100" s="2" t="s">
        <v>1112</v>
      </c>
      <c r="C100" s="2" t="s">
        <v>1128</v>
      </c>
      <c r="D100" s="2" t="s">
        <v>2140</v>
      </c>
      <c r="E100" s="2" t="s">
        <v>2462</v>
      </c>
      <c r="F100" s="2" t="s">
        <v>2016</v>
      </c>
      <c r="G100" s="2" t="s">
        <v>2463</v>
      </c>
      <c r="H100" s="2" t="s">
        <v>2143</v>
      </c>
      <c r="I100" s="2" t="s">
        <v>2027</v>
      </c>
      <c r="J100" s="2" t="s">
        <v>2028</v>
      </c>
      <c r="K100" s="2" t="s">
        <v>2029</v>
      </c>
      <c r="L100" s="2"/>
      <c r="M100" s="2" t="n">
        <v>2026</v>
      </c>
      <c r="N100" s="2" t="s">
        <v>2021</v>
      </c>
      <c r="O100" s="2" t="s">
        <v>2464</v>
      </c>
    </row>
    <row r="101" customFormat="false" ht="57.45" hidden="false" customHeight="false" outlineLevel="0" collapsed="false">
      <c r="A101" s="2" t="n">
        <v>55</v>
      </c>
      <c r="B101" s="2" t="s">
        <v>1112</v>
      </c>
      <c r="C101" s="2" t="s">
        <v>1128</v>
      </c>
      <c r="D101" s="2" t="s">
        <v>2465</v>
      </c>
      <c r="E101" s="2"/>
      <c r="F101" s="2" t="s">
        <v>2016</v>
      </c>
      <c r="G101" s="2" t="s">
        <v>2466</v>
      </c>
      <c r="H101" s="2" t="s">
        <v>2467</v>
      </c>
      <c r="I101" s="2"/>
      <c r="J101" s="2"/>
      <c r="K101" s="2"/>
      <c r="L101" s="2"/>
      <c r="M101" s="2" t="n">
        <v>2026</v>
      </c>
      <c r="N101" s="2" t="s">
        <v>2021</v>
      </c>
      <c r="O101" s="2" t="s">
        <v>2468</v>
      </c>
    </row>
    <row r="102" customFormat="false" ht="91" hidden="false" customHeight="false" outlineLevel="0" collapsed="false">
      <c r="A102" s="2" t="n">
        <v>56</v>
      </c>
      <c r="B102" s="2" t="s">
        <v>1134</v>
      </c>
      <c r="C102" s="2" t="s">
        <v>1128</v>
      </c>
      <c r="D102" s="2" t="s">
        <v>2469</v>
      </c>
      <c r="E102" s="2" t="s">
        <v>2470</v>
      </c>
      <c r="F102" s="2" t="s">
        <v>2006</v>
      </c>
      <c r="G102" s="2" t="s">
        <v>2471</v>
      </c>
      <c r="H102" s="2" t="s">
        <v>2472</v>
      </c>
      <c r="I102" s="2" t="s">
        <v>2473</v>
      </c>
      <c r="J102" s="2"/>
      <c r="K102" s="2" t="s">
        <v>2474</v>
      </c>
      <c r="L102" s="2" t="s">
        <v>1148</v>
      </c>
      <c r="M102" s="2" t="n">
        <v>2026</v>
      </c>
      <c r="N102" s="2" t="s">
        <v>2021</v>
      </c>
      <c r="O102" s="2" t="s">
        <v>1148</v>
      </c>
    </row>
    <row r="103" customFormat="false" ht="102.2" hidden="false" customHeight="false" outlineLevel="0" collapsed="false">
      <c r="A103" s="2" t="n">
        <v>56</v>
      </c>
      <c r="B103" s="2" t="s">
        <v>1134</v>
      </c>
      <c r="C103" s="2" t="s">
        <v>1128</v>
      </c>
      <c r="D103" s="2" t="s">
        <v>2182</v>
      </c>
      <c r="E103" s="2" t="s">
        <v>2475</v>
      </c>
      <c r="F103" s="2" t="s">
        <v>2016</v>
      </c>
      <c r="G103" s="2" t="s">
        <v>2476</v>
      </c>
      <c r="H103" s="2" t="s">
        <v>2184</v>
      </c>
      <c r="I103" s="2" t="s">
        <v>2185</v>
      </c>
      <c r="J103" s="2"/>
      <c r="K103" s="2" t="s">
        <v>2186</v>
      </c>
      <c r="L103" s="2"/>
      <c r="M103" s="2" t="n">
        <v>2025</v>
      </c>
      <c r="N103" s="2" t="s">
        <v>2021</v>
      </c>
      <c r="O103" s="2" t="s">
        <v>2477</v>
      </c>
    </row>
    <row r="104" customFormat="false" ht="158.2" hidden="false" customHeight="false" outlineLevel="0" collapsed="false">
      <c r="A104" s="2" t="n">
        <v>57</v>
      </c>
      <c r="B104" s="2" t="s">
        <v>1154</v>
      </c>
      <c r="C104" s="2" t="s">
        <v>57</v>
      </c>
      <c r="D104" s="2" t="s">
        <v>2478</v>
      </c>
      <c r="E104" s="2"/>
      <c r="F104" s="2" t="s">
        <v>2006</v>
      </c>
      <c r="G104" s="2" t="s">
        <v>2479</v>
      </c>
      <c r="H104" s="2" t="s">
        <v>2480</v>
      </c>
      <c r="I104" s="2" t="s">
        <v>2481</v>
      </c>
      <c r="J104" s="2"/>
      <c r="K104" s="2" t="s">
        <v>2482</v>
      </c>
      <c r="L104" s="2" t="s">
        <v>2483</v>
      </c>
      <c r="M104" s="2" t="n">
        <v>2026</v>
      </c>
      <c r="N104" s="2" t="s">
        <v>2021</v>
      </c>
      <c r="O104" s="2" t="s">
        <v>2484</v>
      </c>
    </row>
    <row r="105" customFormat="false" ht="57.45" hidden="false" customHeight="false" outlineLevel="0" collapsed="false">
      <c r="A105" s="2" t="n">
        <v>58</v>
      </c>
      <c r="B105" s="2" t="s">
        <v>1175</v>
      </c>
      <c r="C105" s="2" t="s">
        <v>82</v>
      </c>
      <c r="D105" s="2" t="s">
        <v>2485</v>
      </c>
      <c r="E105" s="2"/>
      <c r="F105" s="2" t="s">
        <v>2006</v>
      </c>
      <c r="G105" s="2" t="s">
        <v>2486</v>
      </c>
      <c r="H105" s="2" t="s">
        <v>2487</v>
      </c>
      <c r="I105" s="2"/>
      <c r="J105" s="2"/>
      <c r="K105" s="2" t="s">
        <v>2488</v>
      </c>
      <c r="L105" s="2"/>
      <c r="M105" s="2" t="n">
        <v>2025</v>
      </c>
      <c r="N105" s="2" t="s">
        <v>2021</v>
      </c>
      <c r="O105" s="2" t="s">
        <v>2489</v>
      </c>
    </row>
    <row r="106" customFormat="false" ht="124.6" hidden="false" customHeight="false" outlineLevel="0" collapsed="false">
      <c r="A106" s="2" t="n">
        <v>58</v>
      </c>
      <c r="B106" s="2" t="s">
        <v>1175</v>
      </c>
      <c r="C106" s="2" t="s">
        <v>82</v>
      </c>
      <c r="D106" s="2" t="s">
        <v>2182</v>
      </c>
      <c r="E106" s="2" t="s">
        <v>2475</v>
      </c>
      <c r="F106" s="2" t="s">
        <v>2016</v>
      </c>
      <c r="G106" s="2" t="s">
        <v>2490</v>
      </c>
      <c r="H106" s="2" t="s">
        <v>2184</v>
      </c>
      <c r="I106" s="2" t="s">
        <v>2185</v>
      </c>
      <c r="J106" s="2"/>
      <c r="K106" s="2" t="s">
        <v>2186</v>
      </c>
      <c r="L106" s="2"/>
      <c r="M106" s="2" t="n">
        <v>2026</v>
      </c>
      <c r="N106" s="2" t="s">
        <v>2021</v>
      </c>
      <c r="O106" s="2" t="s">
        <v>2491</v>
      </c>
    </row>
    <row r="107" customFormat="false" ht="124.6" hidden="false" customHeight="false" outlineLevel="0" collapsed="false">
      <c r="A107" s="2" t="n">
        <v>59</v>
      </c>
      <c r="B107" s="2" t="s">
        <v>1194</v>
      </c>
      <c r="C107" s="2" t="s">
        <v>82</v>
      </c>
      <c r="D107" s="2" t="s">
        <v>2492</v>
      </c>
      <c r="E107" s="2"/>
      <c r="F107" s="2" t="s">
        <v>2016</v>
      </c>
      <c r="G107" s="2" t="s">
        <v>2493</v>
      </c>
      <c r="H107" s="2" t="s">
        <v>2494</v>
      </c>
      <c r="I107" s="2" t="s">
        <v>2495</v>
      </c>
      <c r="J107" s="2" t="s">
        <v>2496</v>
      </c>
      <c r="K107" s="2" t="s">
        <v>2497</v>
      </c>
      <c r="L107" s="2"/>
      <c r="M107" s="2" t="n">
        <v>2026</v>
      </c>
      <c r="N107" s="2" t="s">
        <v>2021</v>
      </c>
      <c r="O107" s="2" t="s">
        <v>2498</v>
      </c>
    </row>
    <row r="108" customFormat="false" ht="23.85" hidden="false" customHeight="false" outlineLevel="0" collapsed="false">
      <c r="A108" s="2" t="n">
        <v>60</v>
      </c>
      <c r="B108" s="2" t="s">
        <v>1213</v>
      </c>
      <c r="C108" s="2" t="s">
        <v>768</v>
      </c>
      <c r="D108" s="2" t="s">
        <v>2499</v>
      </c>
      <c r="E108" s="2" t="s">
        <v>2063</v>
      </c>
      <c r="F108" s="2" t="s">
        <v>2016</v>
      </c>
      <c r="G108" s="2" t="s">
        <v>2500</v>
      </c>
      <c r="H108" s="2" t="s">
        <v>2065</v>
      </c>
      <c r="I108" s="2" t="s">
        <v>2066</v>
      </c>
      <c r="J108" s="2" t="s">
        <v>2067</v>
      </c>
      <c r="K108" s="2" t="s">
        <v>2068</v>
      </c>
      <c r="L108" s="2"/>
      <c r="M108" s="2"/>
      <c r="N108" s="2" t="s">
        <v>2050</v>
      </c>
      <c r="O108" s="2" t="s">
        <v>2501</v>
      </c>
    </row>
    <row r="109" customFormat="false" ht="23.85" hidden="false" customHeight="false" outlineLevel="0" collapsed="false">
      <c r="A109" s="2" t="n">
        <v>60</v>
      </c>
      <c r="B109" s="2" t="s">
        <v>1213</v>
      </c>
      <c r="C109" s="2" t="s">
        <v>768</v>
      </c>
      <c r="D109" s="2" t="s">
        <v>2502</v>
      </c>
      <c r="E109" s="2"/>
      <c r="F109" s="2" t="s">
        <v>2016</v>
      </c>
      <c r="G109" s="2" t="s">
        <v>2503</v>
      </c>
      <c r="H109" s="2" t="s">
        <v>2504</v>
      </c>
      <c r="I109" s="2" t="s">
        <v>2505</v>
      </c>
      <c r="J109" s="2" t="s">
        <v>2506</v>
      </c>
      <c r="K109" s="2" t="s">
        <v>2507</v>
      </c>
      <c r="L109" s="2"/>
      <c r="M109" s="2"/>
      <c r="N109" s="2" t="s">
        <v>2050</v>
      </c>
      <c r="O109" s="2" t="s">
        <v>2508</v>
      </c>
    </row>
    <row r="110" customFormat="false" ht="57.45" hidden="false" customHeight="false" outlineLevel="0" collapsed="false">
      <c r="A110" s="2" t="n">
        <v>61</v>
      </c>
      <c r="B110" s="2" t="s">
        <v>1232</v>
      </c>
      <c r="C110" s="2" t="s">
        <v>82</v>
      </c>
      <c r="D110" s="2" t="s">
        <v>2509</v>
      </c>
      <c r="E110" s="2" t="s">
        <v>2453</v>
      </c>
      <c r="F110" s="2" t="s">
        <v>2016</v>
      </c>
      <c r="G110" s="2" t="s">
        <v>2510</v>
      </c>
      <c r="H110" s="2" t="s">
        <v>2134</v>
      </c>
      <c r="I110" s="2" t="s">
        <v>2135</v>
      </c>
      <c r="J110" s="2" t="s">
        <v>2136</v>
      </c>
      <c r="K110" s="2" t="s">
        <v>2137</v>
      </c>
      <c r="L110" s="2" t="s">
        <v>2138</v>
      </c>
      <c r="M110" s="2" t="n">
        <v>2026</v>
      </c>
      <c r="N110" s="2" t="s">
        <v>2021</v>
      </c>
      <c r="O110" s="2" t="s">
        <v>2511</v>
      </c>
    </row>
    <row r="111" customFormat="false" ht="79.85" hidden="false" customHeight="false" outlineLevel="0" collapsed="false">
      <c r="A111" s="2" t="n">
        <v>62</v>
      </c>
      <c r="B111" s="2" t="s">
        <v>1251</v>
      </c>
      <c r="C111" s="2" t="s">
        <v>82</v>
      </c>
      <c r="D111" s="2" t="s">
        <v>2418</v>
      </c>
      <c r="E111" s="2" t="s">
        <v>2419</v>
      </c>
      <c r="F111" s="2" t="s">
        <v>2016</v>
      </c>
      <c r="G111" s="2" t="s">
        <v>2512</v>
      </c>
      <c r="H111" s="2" t="s">
        <v>2421</v>
      </c>
      <c r="I111" s="2" t="s">
        <v>2422</v>
      </c>
      <c r="J111" s="2" t="s">
        <v>2423</v>
      </c>
      <c r="K111" s="2" t="s">
        <v>2424</v>
      </c>
      <c r="L111" s="2" t="s">
        <v>2425</v>
      </c>
      <c r="M111" s="2" t="n">
        <v>2026</v>
      </c>
      <c r="N111" s="2" t="s">
        <v>2021</v>
      </c>
      <c r="O111" s="2" t="s">
        <v>2513</v>
      </c>
    </row>
    <row r="112" customFormat="false" ht="91" hidden="false" customHeight="false" outlineLevel="0" collapsed="false">
      <c r="A112" s="2" t="n">
        <v>63</v>
      </c>
      <c r="B112" s="2" t="s">
        <v>1268</v>
      </c>
      <c r="C112" s="2" t="s">
        <v>82</v>
      </c>
      <c r="D112" s="2" t="s">
        <v>2418</v>
      </c>
      <c r="E112" s="2" t="s">
        <v>2419</v>
      </c>
      <c r="F112" s="2" t="s">
        <v>2016</v>
      </c>
      <c r="G112" s="2" t="s">
        <v>2514</v>
      </c>
      <c r="H112" s="2" t="s">
        <v>2421</v>
      </c>
      <c r="I112" s="2" t="s">
        <v>2422</v>
      </c>
      <c r="J112" s="2" t="s">
        <v>2423</v>
      </c>
      <c r="K112" s="2" t="s">
        <v>2424</v>
      </c>
      <c r="L112" s="2" t="s">
        <v>2425</v>
      </c>
      <c r="M112" s="2" t="n">
        <v>2026</v>
      </c>
      <c r="N112" s="2" t="s">
        <v>2021</v>
      </c>
      <c r="O112" s="2" t="s">
        <v>2515</v>
      </c>
    </row>
    <row r="113" customFormat="false" ht="46.25" hidden="false" customHeight="false" outlineLevel="0" collapsed="false">
      <c r="A113" s="2" t="n">
        <v>63</v>
      </c>
      <c r="B113" s="2" t="s">
        <v>1268</v>
      </c>
      <c r="C113" s="2" t="s">
        <v>82</v>
      </c>
      <c r="D113" s="2" t="s">
        <v>2509</v>
      </c>
      <c r="E113" s="2" t="s">
        <v>2516</v>
      </c>
      <c r="F113" s="2" t="s">
        <v>2016</v>
      </c>
      <c r="G113" s="2" t="s">
        <v>2517</v>
      </c>
      <c r="H113" s="2" t="s">
        <v>2134</v>
      </c>
      <c r="I113" s="2" t="s">
        <v>2135</v>
      </c>
      <c r="J113" s="2" t="s">
        <v>2136</v>
      </c>
      <c r="K113" s="2" t="s">
        <v>2137</v>
      </c>
      <c r="L113" s="2" t="s">
        <v>2138</v>
      </c>
      <c r="M113" s="2"/>
      <c r="N113" s="2" t="s">
        <v>2050</v>
      </c>
      <c r="O113" s="2" t="s">
        <v>2518</v>
      </c>
    </row>
    <row r="114" customFormat="false" ht="68.65" hidden="false" customHeight="false" outlineLevel="0" collapsed="false">
      <c r="A114" s="2" t="n">
        <v>64</v>
      </c>
      <c r="B114" s="2" t="s">
        <v>1286</v>
      </c>
      <c r="C114" s="2" t="s">
        <v>82</v>
      </c>
      <c r="D114" s="2" t="s">
        <v>2509</v>
      </c>
      <c r="E114" s="2" t="s">
        <v>2453</v>
      </c>
      <c r="F114" s="2" t="s">
        <v>2016</v>
      </c>
      <c r="G114" s="2" t="s">
        <v>2519</v>
      </c>
      <c r="H114" s="2" t="s">
        <v>2134</v>
      </c>
      <c r="I114" s="2" t="s">
        <v>2135</v>
      </c>
      <c r="J114" s="2" t="s">
        <v>2136</v>
      </c>
      <c r="K114" s="2" t="s">
        <v>2137</v>
      </c>
      <c r="L114" s="2" t="s">
        <v>2138</v>
      </c>
      <c r="M114" s="2" t="n">
        <v>2026</v>
      </c>
      <c r="N114" s="2" t="s">
        <v>2021</v>
      </c>
      <c r="O114" s="2" t="s">
        <v>2455</v>
      </c>
    </row>
    <row r="115" customFormat="false" ht="46.25" hidden="false" customHeight="false" outlineLevel="0" collapsed="false">
      <c r="A115" s="2" t="n">
        <v>65</v>
      </c>
      <c r="B115" s="2" t="s">
        <v>1307</v>
      </c>
      <c r="C115" s="2" t="s">
        <v>82</v>
      </c>
      <c r="D115" s="2" t="s">
        <v>2509</v>
      </c>
      <c r="E115" s="2" t="s">
        <v>2453</v>
      </c>
      <c r="F115" s="2" t="s">
        <v>2016</v>
      </c>
      <c r="G115" s="2" t="s">
        <v>2520</v>
      </c>
      <c r="H115" s="2" t="s">
        <v>2134</v>
      </c>
      <c r="I115" s="2" t="s">
        <v>2135</v>
      </c>
      <c r="J115" s="2" t="s">
        <v>2136</v>
      </c>
      <c r="K115" s="2" t="s">
        <v>2137</v>
      </c>
      <c r="L115" s="2" t="s">
        <v>2138</v>
      </c>
      <c r="M115" s="2" t="n">
        <v>2026</v>
      </c>
      <c r="N115" s="2" t="s">
        <v>2021</v>
      </c>
      <c r="O115" s="2" t="s">
        <v>2455</v>
      </c>
    </row>
    <row r="116" customFormat="false" ht="68.65" hidden="false" customHeight="false" outlineLevel="0" collapsed="false">
      <c r="A116" s="2" t="n">
        <v>66</v>
      </c>
      <c r="B116" s="2" t="s">
        <v>1326</v>
      </c>
      <c r="C116" s="2" t="s">
        <v>82</v>
      </c>
      <c r="D116" s="2" t="s">
        <v>2418</v>
      </c>
      <c r="E116" s="2" t="s">
        <v>2419</v>
      </c>
      <c r="F116" s="2" t="s">
        <v>2016</v>
      </c>
      <c r="G116" s="2" t="s">
        <v>2521</v>
      </c>
      <c r="H116" s="2" t="s">
        <v>2421</v>
      </c>
      <c r="I116" s="2" t="s">
        <v>2422</v>
      </c>
      <c r="J116" s="2" t="s">
        <v>2423</v>
      </c>
      <c r="K116" s="2" t="s">
        <v>2424</v>
      </c>
      <c r="L116" s="2" t="s">
        <v>2425</v>
      </c>
      <c r="M116" s="2" t="n">
        <v>2026</v>
      </c>
      <c r="N116" s="2" t="s">
        <v>2021</v>
      </c>
      <c r="O116" s="2" t="s">
        <v>2522</v>
      </c>
    </row>
    <row r="117" customFormat="false" ht="46.25" hidden="false" customHeight="false" outlineLevel="0" collapsed="false">
      <c r="A117" s="2" t="n">
        <v>66</v>
      </c>
      <c r="B117" s="2" t="s">
        <v>1326</v>
      </c>
      <c r="C117" s="2" t="s">
        <v>82</v>
      </c>
      <c r="D117" s="2" t="s">
        <v>2523</v>
      </c>
      <c r="E117" s="2" t="s">
        <v>2524</v>
      </c>
      <c r="F117" s="2" t="s">
        <v>2016</v>
      </c>
      <c r="G117" s="2" t="s">
        <v>2525</v>
      </c>
      <c r="H117" s="2" t="s">
        <v>2526</v>
      </c>
      <c r="I117" s="2"/>
      <c r="J117" s="2"/>
      <c r="K117" s="2"/>
      <c r="L117" s="2"/>
      <c r="M117" s="2"/>
      <c r="N117" s="2" t="s">
        <v>2050</v>
      </c>
      <c r="O117" s="2" t="s">
        <v>2527</v>
      </c>
    </row>
    <row r="118" customFormat="false" ht="91" hidden="false" customHeight="false" outlineLevel="0" collapsed="false">
      <c r="A118" s="2" t="n">
        <v>66</v>
      </c>
      <c r="B118" s="2" t="s">
        <v>1326</v>
      </c>
      <c r="C118" s="2" t="s">
        <v>82</v>
      </c>
      <c r="D118" s="2" t="s">
        <v>2528</v>
      </c>
      <c r="E118" s="2"/>
      <c r="F118" s="2" t="s">
        <v>2016</v>
      </c>
      <c r="G118" s="2" t="s">
        <v>2529</v>
      </c>
      <c r="H118" s="2" t="s">
        <v>2530</v>
      </c>
      <c r="I118" s="2" t="s">
        <v>2531</v>
      </c>
      <c r="J118" s="2" t="s">
        <v>2532</v>
      </c>
      <c r="K118" s="2" t="s">
        <v>2533</v>
      </c>
      <c r="L118" s="2" t="s">
        <v>2534</v>
      </c>
      <c r="M118" s="2" t="n">
        <v>2026</v>
      </c>
      <c r="N118" s="2" t="s">
        <v>2021</v>
      </c>
      <c r="O118" s="2" t="s">
        <v>2535</v>
      </c>
    </row>
    <row r="119" customFormat="false" ht="68.65" hidden="false" customHeight="false" outlineLevel="0" collapsed="false">
      <c r="A119" s="2" t="n">
        <v>67</v>
      </c>
      <c r="B119" s="2" t="s">
        <v>1344</v>
      </c>
      <c r="C119" s="2" t="s">
        <v>82</v>
      </c>
      <c r="D119" s="2" t="s">
        <v>2536</v>
      </c>
      <c r="E119" s="2" t="s">
        <v>2537</v>
      </c>
      <c r="F119" s="2" t="s">
        <v>2016</v>
      </c>
      <c r="G119" s="2" t="s">
        <v>2538</v>
      </c>
      <c r="H119" s="2" t="s">
        <v>2539</v>
      </c>
      <c r="I119" s="2" t="s">
        <v>2540</v>
      </c>
      <c r="J119" s="2"/>
      <c r="K119" s="2" t="s">
        <v>2541</v>
      </c>
      <c r="L119" s="2"/>
      <c r="M119" s="2" t="n">
        <v>2026</v>
      </c>
      <c r="N119" s="2" t="s">
        <v>2021</v>
      </c>
      <c r="O119" s="2" t="s">
        <v>2542</v>
      </c>
    </row>
    <row r="120" customFormat="false" ht="35.05" hidden="false" customHeight="false" outlineLevel="0" collapsed="false">
      <c r="A120" s="2" t="n">
        <v>67</v>
      </c>
      <c r="B120" s="2" t="s">
        <v>1344</v>
      </c>
      <c r="C120" s="2" t="s">
        <v>82</v>
      </c>
      <c r="D120" s="2" t="s">
        <v>2543</v>
      </c>
      <c r="E120" s="2"/>
      <c r="F120" s="2" t="s">
        <v>2016</v>
      </c>
      <c r="G120" s="2" t="s">
        <v>2544</v>
      </c>
      <c r="H120" s="2" t="s">
        <v>2545</v>
      </c>
      <c r="I120" s="2"/>
      <c r="J120" s="2"/>
      <c r="K120" s="2"/>
      <c r="L120" s="2"/>
      <c r="M120" s="2"/>
      <c r="N120" s="2" t="s">
        <v>2050</v>
      </c>
      <c r="O120" s="2" t="s">
        <v>2546</v>
      </c>
    </row>
    <row r="121" customFormat="false" ht="102.2" hidden="false" customHeight="false" outlineLevel="0" collapsed="false">
      <c r="A121" s="2" t="n">
        <v>68</v>
      </c>
      <c r="B121" s="2" t="s">
        <v>1364</v>
      </c>
      <c r="C121" s="2" t="s">
        <v>82</v>
      </c>
      <c r="D121" s="2" t="s">
        <v>2547</v>
      </c>
      <c r="E121" s="2" t="s">
        <v>2366</v>
      </c>
      <c r="F121" s="2" t="s">
        <v>2016</v>
      </c>
      <c r="G121" s="2" t="s">
        <v>2548</v>
      </c>
      <c r="H121" s="2" t="s">
        <v>2368</v>
      </c>
      <c r="I121" s="2" t="s">
        <v>2369</v>
      </c>
      <c r="J121" s="2" t="s">
        <v>2370</v>
      </c>
      <c r="K121" s="2" t="s">
        <v>2371</v>
      </c>
      <c r="L121" s="2"/>
      <c r="M121" s="2" t="n">
        <v>2026</v>
      </c>
      <c r="N121" s="2" t="s">
        <v>2021</v>
      </c>
      <c r="O121" s="2" t="s">
        <v>2549</v>
      </c>
    </row>
    <row r="122" customFormat="false" ht="91" hidden="false" customHeight="false" outlineLevel="0" collapsed="false">
      <c r="A122" s="2" t="n">
        <v>69</v>
      </c>
      <c r="B122" s="2" t="s">
        <v>1382</v>
      </c>
      <c r="C122" s="2" t="s">
        <v>82</v>
      </c>
      <c r="D122" s="2" t="s">
        <v>2062</v>
      </c>
      <c r="E122" s="2" t="s">
        <v>2063</v>
      </c>
      <c r="F122" s="2" t="s">
        <v>2016</v>
      </c>
      <c r="G122" s="2" t="s">
        <v>2550</v>
      </c>
      <c r="H122" s="2" t="s">
        <v>2065</v>
      </c>
      <c r="I122" s="2" t="s">
        <v>2066</v>
      </c>
      <c r="J122" s="2" t="s">
        <v>2067</v>
      </c>
      <c r="K122" s="2" t="s">
        <v>2068</v>
      </c>
      <c r="L122" s="2"/>
      <c r="M122" s="2" t="n">
        <v>2026</v>
      </c>
      <c r="N122" s="2" t="s">
        <v>2021</v>
      </c>
      <c r="O122" s="2" t="s">
        <v>2551</v>
      </c>
    </row>
    <row r="123" customFormat="false" ht="57.45" hidden="false" customHeight="false" outlineLevel="0" collapsed="false">
      <c r="A123" s="2" t="n">
        <v>70</v>
      </c>
      <c r="B123" s="2" t="s">
        <v>1402</v>
      </c>
      <c r="C123" s="2" t="s">
        <v>82</v>
      </c>
      <c r="D123" s="2" t="s">
        <v>2213</v>
      </c>
      <c r="E123" s="2"/>
      <c r="F123" s="2" t="s">
        <v>2016</v>
      </c>
      <c r="G123" s="2" t="s">
        <v>2552</v>
      </c>
      <c r="H123" s="2" t="s">
        <v>2042</v>
      </c>
      <c r="I123" s="2" t="s">
        <v>2043</v>
      </c>
      <c r="J123" s="2"/>
      <c r="K123" s="2" t="s">
        <v>2044</v>
      </c>
      <c r="L123" s="2" t="s">
        <v>2045</v>
      </c>
      <c r="M123" s="2" t="n">
        <v>2026</v>
      </c>
      <c r="N123" s="2" t="s">
        <v>2021</v>
      </c>
      <c r="O123" s="2" t="s">
        <v>2553</v>
      </c>
    </row>
    <row r="124" customFormat="false" ht="46.25" hidden="false" customHeight="false" outlineLevel="0" collapsed="false">
      <c r="A124" s="2" t="n">
        <v>71</v>
      </c>
      <c r="B124" s="2" t="s">
        <v>1422</v>
      </c>
      <c r="C124" s="2" t="s">
        <v>82</v>
      </c>
      <c r="D124" s="2" t="s">
        <v>2509</v>
      </c>
      <c r="E124" s="2" t="s">
        <v>2453</v>
      </c>
      <c r="F124" s="2" t="s">
        <v>2016</v>
      </c>
      <c r="G124" s="2" t="s">
        <v>2554</v>
      </c>
      <c r="H124" s="2" t="s">
        <v>2134</v>
      </c>
      <c r="I124" s="2" t="s">
        <v>2135</v>
      </c>
      <c r="J124" s="2" t="s">
        <v>2136</v>
      </c>
      <c r="K124" s="2" t="s">
        <v>2137</v>
      </c>
      <c r="L124" s="2" t="s">
        <v>2138</v>
      </c>
      <c r="M124" s="2" t="n">
        <v>2026</v>
      </c>
      <c r="N124" s="2" t="s">
        <v>2021</v>
      </c>
      <c r="O124" s="2" t="s">
        <v>2455</v>
      </c>
    </row>
    <row r="125" customFormat="false" ht="68.65" hidden="false" customHeight="false" outlineLevel="0" collapsed="false">
      <c r="A125" s="2" t="n">
        <v>72</v>
      </c>
      <c r="B125" s="2" t="s">
        <v>1440</v>
      </c>
      <c r="C125" s="2" t="s">
        <v>82</v>
      </c>
      <c r="D125" s="2" t="s">
        <v>2555</v>
      </c>
      <c r="E125" s="2"/>
      <c r="F125" s="2" t="s">
        <v>2016</v>
      </c>
      <c r="G125" s="2" t="s">
        <v>2556</v>
      </c>
      <c r="H125" s="2" t="s">
        <v>2557</v>
      </c>
      <c r="I125" s="2"/>
      <c r="J125" s="2"/>
      <c r="K125" s="2" t="s">
        <v>2558</v>
      </c>
      <c r="L125" s="2"/>
      <c r="M125" s="2" t="n">
        <v>2026</v>
      </c>
      <c r="N125" s="2" t="s">
        <v>2021</v>
      </c>
      <c r="O125" s="2" t="s">
        <v>2559</v>
      </c>
    </row>
    <row r="126" customFormat="false" ht="46.25" hidden="false" customHeight="false" outlineLevel="0" collapsed="false">
      <c r="A126" s="2" t="n">
        <v>72</v>
      </c>
      <c r="B126" s="2" t="s">
        <v>1440</v>
      </c>
      <c r="C126" s="2" t="s">
        <v>82</v>
      </c>
      <c r="D126" s="2" t="s">
        <v>2523</v>
      </c>
      <c r="E126" s="2" t="s">
        <v>2524</v>
      </c>
      <c r="F126" s="2" t="s">
        <v>2016</v>
      </c>
      <c r="G126" s="2" t="s">
        <v>2560</v>
      </c>
      <c r="H126" s="2" t="s">
        <v>2526</v>
      </c>
      <c r="I126" s="2"/>
      <c r="J126" s="2"/>
      <c r="K126" s="2"/>
      <c r="L126" s="2"/>
      <c r="M126" s="2"/>
      <c r="N126" s="2" t="s">
        <v>2050</v>
      </c>
      <c r="O126" s="2" t="s">
        <v>2561</v>
      </c>
    </row>
    <row r="127" customFormat="false" ht="46.25" hidden="false" customHeight="false" outlineLevel="0" collapsed="false">
      <c r="A127" s="2" t="n">
        <v>73</v>
      </c>
      <c r="B127" s="2" t="s">
        <v>1459</v>
      </c>
      <c r="C127" s="2" t="s">
        <v>82</v>
      </c>
      <c r="D127" s="2" t="s">
        <v>2499</v>
      </c>
      <c r="E127" s="2"/>
      <c r="F127" s="2" t="s">
        <v>2016</v>
      </c>
      <c r="G127" s="2" t="s">
        <v>2562</v>
      </c>
      <c r="H127" s="2" t="s">
        <v>2065</v>
      </c>
      <c r="I127" s="2" t="s">
        <v>2066</v>
      </c>
      <c r="J127" s="2" t="s">
        <v>2067</v>
      </c>
      <c r="K127" s="2" t="s">
        <v>2068</v>
      </c>
      <c r="L127" s="2"/>
      <c r="M127" s="2" t="n">
        <v>2026</v>
      </c>
      <c r="N127" s="2" t="s">
        <v>2021</v>
      </c>
      <c r="O127" s="2" t="s">
        <v>2563</v>
      </c>
    </row>
    <row r="128" customFormat="false" ht="68.65" hidden="false" customHeight="false" outlineLevel="0" collapsed="false">
      <c r="A128" s="2" t="n">
        <v>73</v>
      </c>
      <c r="B128" s="2" t="s">
        <v>1459</v>
      </c>
      <c r="C128" s="2" t="s">
        <v>82</v>
      </c>
      <c r="D128" s="2" t="s">
        <v>2564</v>
      </c>
      <c r="E128" s="2" t="s">
        <v>2176</v>
      </c>
      <c r="F128" s="2" t="s">
        <v>2016</v>
      </c>
      <c r="G128" s="2" t="s">
        <v>2565</v>
      </c>
      <c r="H128" s="2" t="s">
        <v>2178</v>
      </c>
      <c r="I128" s="2" t="s">
        <v>2179</v>
      </c>
      <c r="J128" s="2"/>
      <c r="K128" s="2" t="s">
        <v>2180</v>
      </c>
      <c r="L128" s="2"/>
      <c r="M128" s="2" t="n">
        <v>2026</v>
      </c>
      <c r="N128" s="2" t="s">
        <v>2021</v>
      </c>
      <c r="O128" s="2" t="s">
        <v>2566</v>
      </c>
    </row>
    <row r="129" customFormat="false" ht="135.8" hidden="false" customHeight="false" outlineLevel="0" collapsed="false">
      <c r="A129" s="2" t="n">
        <v>74</v>
      </c>
      <c r="B129" s="2" t="s">
        <v>1478</v>
      </c>
      <c r="C129" s="2" t="s">
        <v>82</v>
      </c>
      <c r="D129" s="2" t="s">
        <v>2567</v>
      </c>
      <c r="E129" s="2" t="s">
        <v>2568</v>
      </c>
      <c r="F129" s="2" t="s">
        <v>2016</v>
      </c>
      <c r="G129" s="2" t="s">
        <v>2569</v>
      </c>
      <c r="H129" s="2" t="s">
        <v>2570</v>
      </c>
      <c r="I129" s="2"/>
      <c r="J129" s="2"/>
      <c r="K129" s="2" t="s">
        <v>2571</v>
      </c>
      <c r="L129" s="2"/>
      <c r="M129" s="2" t="n">
        <v>2026</v>
      </c>
      <c r="N129" s="2" t="s">
        <v>2021</v>
      </c>
      <c r="O129" s="2" t="s">
        <v>2572</v>
      </c>
    </row>
    <row r="130" customFormat="false" ht="91" hidden="false" customHeight="false" outlineLevel="0" collapsed="false">
      <c r="A130" s="2" t="n">
        <v>75</v>
      </c>
      <c r="B130" s="2" t="s">
        <v>1497</v>
      </c>
      <c r="C130" s="2" t="s">
        <v>82</v>
      </c>
      <c r="D130" s="2" t="s">
        <v>2418</v>
      </c>
      <c r="E130" s="2" t="s">
        <v>2419</v>
      </c>
      <c r="F130" s="2" t="s">
        <v>2016</v>
      </c>
      <c r="G130" s="2" t="s">
        <v>2573</v>
      </c>
      <c r="H130" s="2" t="s">
        <v>2421</v>
      </c>
      <c r="I130" s="2" t="s">
        <v>2422</v>
      </c>
      <c r="J130" s="2" t="s">
        <v>2423</v>
      </c>
      <c r="K130" s="2" t="s">
        <v>2424</v>
      </c>
      <c r="L130" s="2" t="s">
        <v>2425</v>
      </c>
      <c r="M130" s="2" t="n">
        <v>2026</v>
      </c>
      <c r="N130" s="2" t="s">
        <v>2021</v>
      </c>
      <c r="O130" s="2" t="s">
        <v>2574</v>
      </c>
    </row>
    <row r="131" customFormat="false" ht="102.2" hidden="false" customHeight="false" outlineLevel="0" collapsed="false">
      <c r="A131" s="2" t="n">
        <v>76</v>
      </c>
      <c r="B131" s="2" t="s">
        <v>1518</v>
      </c>
      <c r="C131" s="2" t="s">
        <v>82</v>
      </c>
      <c r="D131" s="2" t="s">
        <v>2575</v>
      </c>
      <c r="E131" s="2" t="s">
        <v>2576</v>
      </c>
      <c r="F131" s="2" t="s">
        <v>2016</v>
      </c>
      <c r="G131" s="2" t="s">
        <v>2577</v>
      </c>
      <c r="H131" s="2" t="s">
        <v>2578</v>
      </c>
      <c r="I131" s="2" t="s">
        <v>2579</v>
      </c>
      <c r="J131" s="2"/>
      <c r="K131" s="2" t="s">
        <v>2580</v>
      </c>
      <c r="L131" s="2"/>
      <c r="M131" s="2" t="n">
        <v>2026</v>
      </c>
      <c r="N131" s="2" t="s">
        <v>2021</v>
      </c>
      <c r="O131" s="2" t="s">
        <v>2581</v>
      </c>
    </row>
    <row r="132" customFormat="false" ht="57.45" hidden="false" customHeight="false" outlineLevel="0" collapsed="false">
      <c r="A132" s="2" t="n">
        <v>77</v>
      </c>
      <c r="B132" s="2" t="s">
        <v>1540</v>
      </c>
      <c r="C132" s="2" t="s">
        <v>82</v>
      </c>
      <c r="D132" s="2" t="s">
        <v>2536</v>
      </c>
      <c r="E132" s="2" t="s">
        <v>2537</v>
      </c>
      <c r="F132" s="2" t="s">
        <v>2016</v>
      </c>
      <c r="G132" s="2" t="s">
        <v>2582</v>
      </c>
      <c r="H132" s="2" t="s">
        <v>2539</v>
      </c>
      <c r="I132" s="2" t="s">
        <v>2540</v>
      </c>
      <c r="J132" s="2"/>
      <c r="K132" s="2" t="s">
        <v>2541</v>
      </c>
      <c r="L132" s="2"/>
      <c r="M132" s="2" t="n">
        <v>2018</v>
      </c>
      <c r="N132" s="2" t="s">
        <v>2050</v>
      </c>
      <c r="O132" s="2" t="s">
        <v>2583</v>
      </c>
    </row>
    <row r="133" customFormat="false" ht="79.85" hidden="false" customHeight="false" outlineLevel="0" collapsed="false">
      <c r="A133" s="2" t="n">
        <v>78</v>
      </c>
      <c r="B133" s="2" t="s">
        <v>1559</v>
      </c>
      <c r="C133" s="2" t="s">
        <v>82</v>
      </c>
      <c r="D133" s="2" t="s">
        <v>2584</v>
      </c>
      <c r="E133" s="2"/>
      <c r="F133" s="2" t="s">
        <v>2016</v>
      </c>
      <c r="G133" s="2" t="s">
        <v>2585</v>
      </c>
      <c r="H133" s="2" t="s">
        <v>2586</v>
      </c>
      <c r="I133" s="2" t="s">
        <v>2587</v>
      </c>
      <c r="J133" s="2"/>
      <c r="K133" s="2" t="s">
        <v>2588</v>
      </c>
      <c r="L133" s="2"/>
      <c r="M133" s="2" t="n">
        <v>2026</v>
      </c>
      <c r="N133" s="2" t="s">
        <v>2021</v>
      </c>
      <c r="O133" s="2" t="s">
        <v>2589</v>
      </c>
    </row>
    <row r="134" customFormat="false" ht="79.85" hidden="false" customHeight="false" outlineLevel="0" collapsed="false">
      <c r="A134" s="2" t="n">
        <v>78</v>
      </c>
      <c r="B134" s="2" t="s">
        <v>1559</v>
      </c>
      <c r="C134" s="2" t="s">
        <v>82</v>
      </c>
      <c r="D134" s="2" t="s">
        <v>2590</v>
      </c>
      <c r="E134" s="2" t="s">
        <v>2591</v>
      </c>
      <c r="F134" s="2" t="s">
        <v>2016</v>
      </c>
      <c r="G134" s="2" t="s">
        <v>2592</v>
      </c>
      <c r="H134" s="2" t="s">
        <v>2593</v>
      </c>
      <c r="I134" s="2" t="s">
        <v>2409</v>
      </c>
      <c r="J134" s="2"/>
      <c r="K134" s="2" t="s">
        <v>2410</v>
      </c>
      <c r="L134" s="2"/>
      <c r="M134" s="2" t="n">
        <v>2026</v>
      </c>
      <c r="N134" s="2" t="s">
        <v>2021</v>
      </c>
      <c r="O134" s="2" t="s">
        <v>2594</v>
      </c>
    </row>
    <row r="135" customFormat="false" ht="57.45" hidden="false" customHeight="false" outlineLevel="0" collapsed="false">
      <c r="A135" s="2" t="n">
        <v>79</v>
      </c>
      <c r="B135" s="2" t="s">
        <v>1578</v>
      </c>
      <c r="C135" s="2" t="s">
        <v>82</v>
      </c>
      <c r="D135" s="2" t="s">
        <v>2192</v>
      </c>
      <c r="E135" s="2" t="s">
        <v>2193</v>
      </c>
      <c r="F135" s="2" t="s">
        <v>2016</v>
      </c>
      <c r="G135" s="2" t="s">
        <v>2595</v>
      </c>
      <c r="H135" s="2" t="s">
        <v>2194</v>
      </c>
      <c r="I135" s="2" t="s">
        <v>2196</v>
      </c>
      <c r="J135" s="2" t="s">
        <v>2197</v>
      </c>
      <c r="K135" s="2" t="s">
        <v>2198</v>
      </c>
      <c r="L135" s="2"/>
      <c r="M135" s="2" t="n">
        <v>2026</v>
      </c>
      <c r="N135" s="2" t="s">
        <v>2021</v>
      </c>
      <c r="O135" s="2" t="s">
        <v>2596</v>
      </c>
    </row>
    <row r="136" customFormat="false" ht="57.45" hidden="false" customHeight="false" outlineLevel="0" collapsed="false">
      <c r="A136" s="2" t="n">
        <v>80</v>
      </c>
      <c r="B136" s="2" t="s">
        <v>1597</v>
      </c>
      <c r="C136" s="2" t="s">
        <v>82</v>
      </c>
      <c r="D136" s="2" t="s">
        <v>2109</v>
      </c>
      <c r="E136" s="2" t="s">
        <v>2110</v>
      </c>
      <c r="F136" s="2" t="s">
        <v>2016</v>
      </c>
      <c r="G136" s="2" t="s">
        <v>2597</v>
      </c>
      <c r="H136" s="2" t="s">
        <v>2112</v>
      </c>
      <c r="I136" s="2" t="s">
        <v>2113</v>
      </c>
      <c r="J136" s="2"/>
      <c r="K136" s="2" t="s">
        <v>2114</v>
      </c>
      <c r="L136" s="2" t="s">
        <v>2115</v>
      </c>
      <c r="M136" s="2" t="n">
        <v>2026</v>
      </c>
      <c r="N136" s="2" t="s">
        <v>2021</v>
      </c>
      <c r="O136" s="2" t="s">
        <v>2598</v>
      </c>
    </row>
    <row r="137" customFormat="false" ht="57.45" hidden="false" customHeight="false" outlineLevel="0" collapsed="false">
      <c r="A137" s="2" t="n">
        <v>81</v>
      </c>
      <c r="B137" s="2" t="s">
        <v>1618</v>
      </c>
      <c r="C137" s="2" t="s">
        <v>82</v>
      </c>
      <c r="D137" s="2" t="s">
        <v>2509</v>
      </c>
      <c r="E137" s="2" t="s">
        <v>2132</v>
      </c>
      <c r="F137" s="2" t="s">
        <v>2016</v>
      </c>
      <c r="G137" s="2" t="s">
        <v>2599</v>
      </c>
      <c r="H137" s="2" t="s">
        <v>2134</v>
      </c>
      <c r="I137" s="2" t="s">
        <v>2135</v>
      </c>
      <c r="J137" s="2" t="s">
        <v>2136</v>
      </c>
      <c r="K137" s="2" t="s">
        <v>2137</v>
      </c>
      <c r="L137" s="2" t="s">
        <v>2138</v>
      </c>
      <c r="M137" s="2" t="n">
        <v>2026</v>
      </c>
      <c r="N137" s="2" t="s">
        <v>2021</v>
      </c>
      <c r="O137" s="2" t="s">
        <v>2600</v>
      </c>
    </row>
    <row r="138" customFormat="false" ht="57.45" hidden="false" customHeight="false" outlineLevel="0" collapsed="false">
      <c r="A138" s="2" t="n">
        <v>82</v>
      </c>
      <c r="B138" s="2" t="s">
        <v>1636</v>
      </c>
      <c r="C138" s="2" t="s">
        <v>82</v>
      </c>
      <c r="D138" s="2" t="s">
        <v>2601</v>
      </c>
      <c r="E138" s="2"/>
      <c r="F138" s="2" t="s">
        <v>2016</v>
      </c>
      <c r="G138" s="2" t="s">
        <v>2602</v>
      </c>
      <c r="H138" s="2" t="s">
        <v>2603</v>
      </c>
      <c r="I138" s="2" t="s">
        <v>2604</v>
      </c>
      <c r="J138" s="2" t="s">
        <v>2605</v>
      </c>
      <c r="K138" s="2" t="s">
        <v>2606</v>
      </c>
      <c r="L138" s="2" t="s">
        <v>2607</v>
      </c>
      <c r="M138" s="2" t="n">
        <v>2026</v>
      </c>
      <c r="N138" s="2" t="s">
        <v>2021</v>
      </c>
      <c r="O138" s="2" t="s">
        <v>2608</v>
      </c>
    </row>
    <row r="139" customFormat="false" ht="23.85" hidden="false" customHeight="false" outlineLevel="0" collapsed="false">
      <c r="A139" s="2" t="n">
        <v>83</v>
      </c>
      <c r="B139" s="2" t="s">
        <v>1654</v>
      </c>
      <c r="C139" s="2" t="s">
        <v>286</v>
      </c>
      <c r="D139" s="2" t="s">
        <v>2174</v>
      </c>
      <c r="E139" s="2"/>
      <c r="F139" s="2"/>
      <c r="G139" s="2"/>
      <c r="H139" s="2"/>
      <c r="I139" s="2"/>
      <c r="J139" s="2"/>
      <c r="K139" s="2"/>
      <c r="L139" s="2"/>
      <c r="M139" s="2"/>
      <c r="N139" s="2"/>
      <c r="O139" s="2"/>
    </row>
    <row r="140" customFormat="false" ht="23.85" hidden="false" customHeight="false" outlineLevel="0" collapsed="false">
      <c r="A140" s="2" t="n">
        <v>84</v>
      </c>
      <c r="B140" s="2" t="s">
        <v>1673</v>
      </c>
      <c r="C140" s="2" t="s">
        <v>82</v>
      </c>
      <c r="D140" s="2" t="s">
        <v>2109</v>
      </c>
      <c r="E140" s="2" t="s">
        <v>2110</v>
      </c>
      <c r="F140" s="2" t="s">
        <v>2016</v>
      </c>
      <c r="G140" s="2" t="s">
        <v>2609</v>
      </c>
      <c r="H140" s="2" t="s">
        <v>2112</v>
      </c>
      <c r="I140" s="2" t="s">
        <v>2113</v>
      </c>
      <c r="J140" s="2"/>
      <c r="K140" s="2" t="s">
        <v>2114</v>
      </c>
      <c r="L140" s="2" t="s">
        <v>2115</v>
      </c>
      <c r="M140" s="2"/>
      <c r="N140" s="2" t="s">
        <v>2050</v>
      </c>
      <c r="O140" s="2" t="s">
        <v>2391</v>
      </c>
    </row>
    <row r="141" customFormat="false" ht="57.45" hidden="false" customHeight="false" outlineLevel="0" collapsed="false">
      <c r="A141" s="2" t="n">
        <v>84</v>
      </c>
      <c r="B141" s="2" t="s">
        <v>1673</v>
      </c>
      <c r="C141" s="2" t="s">
        <v>82</v>
      </c>
      <c r="D141" s="2" t="s">
        <v>2192</v>
      </c>
      <c r="E141" s="2" t="s">
        <v>2193</v>
      </c>
      <c r="F141" s="2" t="s">
        <v>2016</v>
      </c>
      <c r="G141" s="2" t="s">
        <v>2610</v>
      </c>
      <c r="H141" s="2" t="s">
        <v>2194</v>
      </c>
      <c r="I141" s="2" t="s">
        <v>2196</v>
      </c>
      <c r="J141" s="2" t="s">
        <v>2197</v>
      </c>
      <c r="K141" s="2" t="s">
        <v>2198</v>
      </c>
      <c r="L141" s="2"/>
      <c r="M141" s="2" t="n">
        <v>2026</v>
      </c>
      <c r="N141" s="2" t="s">
        <v>2021</v>
      </c>
      <c r="O141" s="2" t="s">
        <v>2611</v>
      </c>
    </row>
    <row r="142" customFormat="false" ht="57.45" hidden="false" customHeight="false" outlineLevel="0" collapsed="false">
      <c r="A142" s="2" t="n">
        <v>85</v>
      </c>
      <c r="B142" s="2" t="s">
        <v>1691</v>
      </c>
      <c r="C142" s="2" t="s">
        <v>82</v>
      </c>
      <c r="D142" s="2" t="s">
        <v>2612</v>
      </c>
      <c r="E142" s="2"/>
      <c r="F142" s="2" t="s">
        <v>2016</v>
      </c>
      <c r="G142" s="2" t="s">
        <v>2613</v>
      </c>
      <c r="H142" s="2" t="s">
        <v>2421</v>
      </c>
      <c r="I142" s="2" t="s">
        <v>2422</v>
      </c>
      <c r="J142" s="2" t="s">
        <v>2423</v>
      </c>
      <c r="K142" s="2" t="s">
        <v>2424</v>
      </c>
      <c r="L142" s="2" t="s">
        <v>2425</v>
      </c>
      <c r="M142" s="2" t="n">
        <v>2026</v>
      </c>
      <c r="N142" s="2" t="s">
        <v>2021</v>
      </c>
      <c r="O142" s="2" t="s">
        <v>2614</v>
      </c>
    </row>
    <row r="143" customFormat="false" ht="68.65" hidden="false" customHeight="false" outlineLevel="0" collapsed="false">
      <c r="A143" s="2" t="n">
        <v>86</v>
      </c>
      <c r="B143" s="2" t="s">
        <v>1709</v>
      </c>
      <c r="C143" s="2" t="s">
        <v>82</v>
      </c>
      <c r="D143" s="2" t="s">
        <v>2286</v>
      </c>
      <c r="E143" s="2"/>
      <c r="F143" s="2" t="s">
        <v>2016</v>
      </c>
      <c r="G143" s="2" t="s">
        <v>2615</v>
      </c>
      <c r="H143" s="2" t="s">
        <v>2289</v>
      </c>
      <c r="I143" s="2" t="s">
        <v>2290</v>
      </c>
      <c r="J143" s="2"/>
      <c r="K143" s="2" t="s">
        <v>2291</v>
      </c>
      <c r="L143" s="2"/>
      <c r="M143" s="2" t="n">
        <v>2026</v>
      </c>
      <c r="N143" s="2" t="s">
        <v>2021</v>
      </c>
      <c r="O143" s="2" t="s">
        <v>2616</v>
      </c>
    </row>
    <row r="144" customFormat="false" ht="15" hidden="false" customHeight="false" outlineLevel="0" collapsed="false">
      <c r="A144" s="2" t="n">
        <v>87</v>
      </c>
      <c r="B144" s="2" t="s">
        <v>1727</v>
      </c>
      <c r="C144" s="2" t="s">
        <v>286</v>
      </c>
      <c r="D144" s="2" t="s">
        <v>2174</v>
      </c>
      <c r="E144" s="2"/>
      <c r="F144" s="2"/>
      <c r="G144" s="2"/>
      <c r="H144" s="2"/>
      <c r="I144" s="2"/>
      <c r="J144" s="2"/>
      <c r="K144" s="2"/>
      <c r="L144" s="2"/>
      <c r="M144" s="2"/>
      <c r="N144" s="2"/>
      <c r="O144" s="2"/>
    </row>
    <row r="145" customFormat="false" ht="68.65" hidden="false" customHeight="false" outlineLevel="0" collapsed="false">
      <c r="A145" s="2" t="n">
        <v>88</v>
      </c>
      <c r="B145" s="2" t="s">
        <v>1743</v>
      </c>
      <c r="C145" s="2" t="s">
        <v>82</v>
      </c>
      <c r="D145" s="2" t="s">
        <v>2617</v>
      </c>
      <c r="E145" s="2"/>
      <c r="F145" s="2" t="s">
        <v>2016</v>
      </c>
      <c r="G145" s="2" t="s">
        <v>2618</v>
      </c>
      <c r="H145" s="2"/>
      <c r="I145" s="2" t="s">
        <v>2619</v>
      </c>
      <c r="J145" s="2"/>
      <c r="K145" s="2" t="s">
        <v>2620</v>
      </c>
      <c r="L145" s="2"/>
      <c r="M145" s="2" t="n">
        <v>2026</v>
      </c>
      <c r="N145" s="2" t="s">
        <v>2021</v>
      </c>
      <c r="O145" s="2" t="s">
        <v>2621</v>
      </c>
    </row>
    <row r="146" customFormat="false" ht="15" hidden="false" customHeight="false" outlineLevel="0" collapsed="false">
      <c r="A146" s="2" t="n">
        <v>89</v>
      </c>
      <c r="B146" s="2" t="s">
        <v>1761</v>
      </c>
      <c r="C146" s="2" t="s">
        <v>286</v>
      </c>
      <c r="D146" s="2" t="s">
        <v>2174</v>
      </c>
      <c r="E146" s="2"/>
      <c r="F146" s="2"/>
      <c r="G146" s="2"/>
      <c r="H146" s="2"/>
      <c r="I146" s="2"/>
      <c r="J146" s="2"/>
      <c r="K146" s="2"/>
      <c r="L146" s="2"/>
      <c r="M146" s="2"/>
      <c r="N146" s="2"/>
      <c r="O146" s="2"/>
    </row>
    <row r="147" customFormat="false" ht="15" hidden="false" customHeight="false" outlineLevel="0" collapsed="false">
      <c r="A147" s="2" t="n">
        <v>90</v>
      </c>
      <c r="B147" s="2" t="s">
        <v>1779</v>
      </c>
      <c r="C147" s="2" t="s">
        <v>286</v>
      </c>
      <c r="D147" s="2" t="s">
        <v>2174</v>
      </c>
      <c r="E147" s="2"/>
      <c r="F147" s="2"/>
      <c r="G147" s="2"/>
      <c r="H147" s="2"/>
      <c r="I147" s="2"/>
      <c r="J147" s="2"/>
      <c r="K147" s="2"/>
      <c r="L147" s="2"/>
      <c r="M147" s="2"/>
      <c r="N147" s="2"/>
      <c r="O147" s="2"/>
    </row>
    <row r="148" customFormat="false" ht="79.85" hidden="false" customHeight="false" outlineLevel="0" collapsed="false">
      <c r="A148" s="2" t="n">
        <v>91</v>
      </c>
      <c r="B148" s="2" t="s">
        <v>1796</v>
      </c>
      <c r="C148" s="2" t="s">
        <v>82</v>
      </c>
      <c r="D148" s="2" t="s">
        <v>2200</v>
      </c>
      <c r="E148" s="2" t="s">
        <v>2040</v>
      </c>
      <c r="F148" s="2" t="s">
        <v>2016</v>
      </c>
      <c r="G148" s="2" t="s">
        <v>2622</v>
      </c>
      <c r="H148" s="2" t="s">
        <v>2042</v>
      </c>
      <c r="I148" s="2" t="s">
        <v>2043</v>
      </c>
      <c r="J148" s="2"/>
      <c r="K148" s="2" t="s">
        <v>2044</v>
      </c>
      <c r="L148" s="2" t="s">
        <v>2045</v>
      </c>
      <c r="M148" s="2" t="n">
        <v>2026</v>
      </c>
      <c r="N148" s="2" t="s">
        <v>2021</v>
      </c>
      <c r="O148" s="2" t="s">
        <v>2623</v>
      </c>
    </row>
    <row r="149" customFormat="false" ht="79.85" hidden="false" customHeight="false" outlineLevel="0" collapsed="false">
      <c r="A149" s="2" t="n">
        <v>92</v>
      </c>
      <c r="B149" s="2" t="s">
        <v>1816</v>
      </c>
      <c r="C149" s="2" t="s">
        <v>82</v>
      </c>
      <c r="D149" s="2" t="s">
        <v>2200</v>
      </c>
      <c r="E149" s="2" t="s">
        <v>2040</v>
      </c>
      <c r="F149" s="2" t="s">
        <v>2016</v>
      </c>
      <c r="G149" s="2" t="s">
        <v>2624</v>
      </c>
      <c r="H149" s="2" t="s">
        <v>2042</v>
      </c>
      <c r="I149" s="2" t="s">
        <v>2043</v>
      </c>
      <c r="J149" s="2"/>
      <c r="K149" s="2" t="s">
        <v>2044</v>
      </c>
      <c r="L149" s="2" t="s">
        <v>2045</v>
      </c>
      <c r="M149" s="2" t="n">
        <v>2026</v>
      </c>
      <c r="N149" s="2" t="s">
        <v>2021</v>
      </c>
      <c r="O149" s="2" t="s">
        <v>2625</v>
      </c>
    </row>
    <row r="150" customFormat="false" ht="68.65" hidden="false" customHeight="false" outlineLevel="0" collapsed="false">
      <c r="A150" s="2" t="n">
        <v>93</v>
      </c>
      <c r="B150" s="2" t="s">
        <v>1835</v>
      </c>
      <c r="C150" s="2" t="s">
        <v>82</v>
      </c>
      <c r="D150" s="2" t="s">
        <v>2590</v>
      </c>
      <c r="E150" s="2" t="s">
        <v>2591</v>
      </c>
      <c r="F150" s="2" t="s">
        <v>2016</v>
      </c>
      <c r="G150" s="2" t="s">
        <v>2626</v>
      </c>
      <c r="H150" s="2" t="s">
        <v>2593</v>
      </c>
      <c r="I150" s="2" t="s">
        <v>2409</v>
      </c>
      <c r="J150" s="2"/>
      <c r="K150" s="2" t="s">
        <v>2410</v>
      </c>
      <c r="L150" s="2"/>
      <c r="M150" s="2" t="n">
        <v>2026</v>
      </c>
      <c r="N150" s="2" t="s">
        <v>2021</v>
      </c>
      <c r="O150" s="2" t="s">
        <v>2594</v>
      </c>
    </row>
    <row r="151" customFormat="false" ht="91" hidden="false" customHeight="false" outlineLevel="0" collapsed="false">
      <c r="A151" s="2" t="n">
        <v>94</v>
      </c>
      <c r="B151" s="2" t="s">
        <v>1854</v>
      </c>
      <c r="C151" s="2" t="s">
        <v>82</v>
      </c>
      <c r="D151" s="2" t="s">
        <v>2509</v>
      </c>
      <c r="E151" s="2" t="s">
        <v>2132</v>
      </c>
      <c r="F151" s="2" t="s">
        <v>2016</v>
      </c>
      <c r="G151" s="2" t="s">
        <v>2627</v>
      </c>
      <c r="H151" s="2" t="s">
        <v>2134</v>
      </c>
      <c r="I151" s="2" t="s">
        <v>2135</v>
      </c>
      <c r="J151" s="2" t="s">
        <v>2136</v>
      </c>
      <c r="K151" s="2" t="s">
        <v>2137</v>
      </c>
      <c r="L151" s="2" t="s">
        <v>2138</v>
      </c>
      <c r="M151" s="2" t="n">
        <v>2026</v>
      </c>
      <c r="N151" s="2" t="s">
        <v>2021</v>
      </c>
      <c r="O151" s="2" t="s">
        <v>2628</v>
      </c>
    </row>
    <row r="152" customFormat="false" ht="57.45" hidden="false" customHeight="false" outlineLevel="0" collapsed="false">
      <c r="A152" s="2" t="n">
        <v>94</v>
      </c>
      <c r="B152" s="2" t="s">
        <v>1854</v>
      </c>
      <c r="C152" s="2" t="s">
        <v>82</v>
      </c>
      <c r="D152" s="2" t="s">
        <v>2629</v>
      </c>
      <c r="E152" s="2"/>
      <c r="F152" s="2" t="s">
        <v>2016</v>
      </c>
      <c r="G152" s="2" t="s">
        <v>2630</v>
      </c>
      <c r="H152" s="2"/>
      <c r="I152" s="2"/>
      <c r="J152" s="2"/>
      <c r="K152" s="2"/>
      <c r="L152" s="2"/>
      <c r="M152" s="2" t="n">
        <v>2026</v>
      </c>
      <c r="N152" s="2" t="s">
        <v>2054</v>
      </c>
      <c r="O152" s="2" t="s">
        <v>2631</v>
      </c>
    </row>
    <row r="153" customFormat="false" ht="57.45" hidden="false" customHeight="false" outlineLevel="0" collapsed="false">
      <c r="A153" s="2" t="n">
        <v>95</v>
      </c>
      <c r="B153" s="2" t="s">
        <v>1874</v>
      </c>
      <c r="C153" s="2" t="s">
        <v>82</v>
      </c>
      <c r="D153" s="2" t="s">
        <v>2200</v>
      </c>
      <c r="E153" s="2" t="s">
        <v>2040</v>
      </c>
      <c r="F153" s="2" t="s">
        <v>2016</v>
      </c>
      <c r="G153" s="2" t="s">
        <v>2632</v>
      </c>
      <c r="H153" s="2" t="s">
        <v>2042</v>
      </c>
      <c r="I153" s="2" t="s">
        <v>2043</v>
      </c>
      <c r="J153" s="2"/>
      <c r="K153" s="2" t="s">
        <v>2044</v>
      </c>
      <c r="L153" s="2" t="s">
        <v>2045</v>
      </c>
      <c r="M153" s="2" t="n">
        <v>2026</v>
      </c>
      <c r="N153" s="2" t="s">
        <v>2021</v>
      </c>
      <c r="O153" s="2" t="s">
        <v>2633</v>
      </c>
    </row>
    <row r="154" customFormat="false" ht="79.85" hidden="false" customHeight="false" outlineLevel="0" collapsed="false">
      <c r="A154" s="2" t="n">
        <v>95</v>
      </c>
      <c r="B154" s="2" t="s">
        <v>1874</v>
      </c>
      <c r="C154" s="2" t="s">
        <v>82</v>
      </c>
      <c r="D154" s="2" t="s">
        <v>2634</v>
      </c>
      <c r="E154" s="2"/>
      <c r="F154" s="2" t="s">
        <v>2016</v>
      </c>
      <c r="G154" s="2" t="s">
        <v>2635</v>
      </c>
      <c r="H154" s="2"/>
      <c r="I154" s="2"/>
      <c r="J154" s="2"/>
      <c r="K154" s="2"/>
      <c r="L154" s="2"/>
      <c r="M154" s="2" t="n">
        <v>2026</v>
      </c>
      <c r="N154" s="2" t="s">
        <v>2054</v>
      </c>
      <c r="O154" s="2" t="s">
        <v>2636</v>
      </c>
    </row>
    <row r="155" customFormat="false" ht="46.25" hidden="false" customHeight="false" outlineLevel="0" collapsed="false">
      <c r="A155" s="2" t="n">
        <v>96</v>
      </c>
      <c r="B155" s="2" t="s">
        <v>1893</v>
      </c>
      <c r="C155" s="2" t="s">
        <v>82</v>
      </c>
      <c r="D155" s="2" t="s">
        <v>2637</v>
      </c>
      <c r="E155" s="2" t="s">
        <v>2015</v>
      </c>
      <c r="F155" s="2" t="s">
        <v>2016</v>
      </c>
      <c r="G155" s="2" t="s">
        <v>2638</v>
      </c>
      <c r="H155" s="2" t="s">
        <v>2018</v>
      </c>
      <c r="I155" s="2" t="s">
        <v>2019</v>
      </c>
      <c r="J155" s="2"/>
      <c r="K155" s="2" t="s">
        <v>2020</v>
      </c>
      <c r="L155" s="2"/>
      <c r="M155" s="2" t="n">
        <v>2026</v>
      </c>
      <c r="N155" s="2" t="s">
        <v>2021</v>
      </c>
      <c r="O155" s="2" t="s">
        <v>2639</v>
      </c>
    </row>
    <row r="156" customFormat="false" ht="91" hidden="false" customHeight="false" outlineLevel="0" collapsed="false">
      <c r="A156" s="2" t="n">
        <v>97</v>
      </c>
      <c r="B156" s="2" t="s">
        <v>1912</v>
      </c>
      <c r="C156" s="2" t="s">
        <v>82</v>
      </c>
      <c r="D156" s="2" t="s">
        <v>2640</v>
      </c>
      <c r="E156" s="2" t="s">
        <v>2641</v>
      </c>
      <c r="F156" s="2" t="s">
        <v>2016</v>
      </c>
      <c r="G156" s="2" t="s">
        <v>2642</v>
      </c>
      <c r="H156" s="2" t="s">
        <v>2643</v>
      </c>
      <c r="I156" s="2" t="s">
        <v>2644</v>
      </c>
      <c r="J156" s="2" t="s">
        <v>2645</v>
      </c>
      <c r="K156" s="2" t="s">
        <v>2646</v>
      </c>
      <c r="L156" s="2"/>
      <c r="M156" s="2" t="n">
        <v>2026</v>
      </c>
      <c r="N156" s="2" t="s">
        <v>2021</v>
      </c>
      <c r="O156" s="2" t="s">
        <v>2647</v>
      </c>
    </row>
    <row r="157" customFormat="false" ht="79.85" hidden="false" customHeight="false" outlineLevel="0" collapsed="false">
      <c r="A157" s="2" t="n">
        <v>98</v>
      </c>
      <c r="B157" s="2" t="s">
        <v>1931</v>
      </c>
      <c r="C157" s="2" t="s">
        <v>82</v>
      </c>
      <c r="D157" s="2" t="s">
        <v>2564</v>
      </c>
      <c r="E157" s="2" t="s">
        <v>2176</v>
      </c>
      <c r="F157" s="2" t="s">
        <v>2016</v>
      </c>
      <c r="G157" s="2" t="s">
        <v>2648</v>
      </c>
      <c r="H157" s="2" t="s">
        <v>2178</v>
      </c>
      <c r="I157" s="2" t="s">
        <v>2179</v>
      </c>
      <c r="J157" s="2"/>
      <c r="K157" s="2" t="s">
        <v>2180</v>
      </c>
      <c r="L157" s="2"/>
      <c r="M157" s="2" t="n">
        <v>2026</v>
      </c>
      <c r="N157" s="2" t="s">
        <v>2021</v>
      </c>
      <c r="O157" s="2" t="s">
        <v>2649</v>
      </c>
    </row>
    <row r="158" customFormat="false" ht="23.85" hidden="false" customHeight="false" outlineLevel="0" collapsed="false">
      <c r="A158" s="2" t="n">
        <v>99</v>
      </c>
      <c r="B158" s="2" t="s">
        <v>1953</v>
      </c>
      <c r="C158" s="2" t="s">
        <v>286</v>
      </c>
      <c r="D158" s="2" t="s">
        <v>2174</v>
      </c>
      <c r="E158" s="2"/>
      <c r="F158" s="2"/>
      <c r="G158" s="2"/>
      <c r="H158" s="2"/>
      <c r="I158" s="2"/>
      <c r="J158" s="2"/>
      <c r="K158" s="2"/>
      <c r="L158" s="2"/>
      <c r="M158" s="2"/>
      <c r="N158" s="2"/>
      <c r="O158" s="2"/>
    </row>
    <row r="159" customFormat="false" ht="68.65" hidden="false" customHeight="false" outlineLevel="0" collapsed="false">
      <c r="A159" s="2" t="n">
        <v>100</v>
      </c>
      <c r="B159" s="2" t="s">
        <v>1971</v>
      </c>
      <c r="C159" s="2" t="s">
        <v>82</v>
      </c>
      <c r="D159" s="2" t="s">
        <v>2564</v>
      </c>
      <c r="E159" s="2" t="s">
        <v>2176</v>
      </c>
      <c r="F159" s="2" t="s">
        <v>2016</v>
      </c>
      <c r="G159" s="2" t="s">
        <v>2650</v>
      </c>
      <c r="H159" s="2" t="s">
        <v>2178</v>
      </c>
      <c r="I159" s="2" t="s">
        <v>2179</v>
      </c>
      <c r="J159" s="2"/>
      <c r="K159" s="2" t="s">
        <v>2180</v>
      </c>
      <c r="L159" s="2"/>
      <c r="M159" s="2" t="n">
        <v>2026</v>
      </c>
      <c r="N159" s="2" t="s">
        <v>2021</v>
      </c>
      <c r="O159" s="2" t="s">
        <v>2651</v>
      </c>
    </row>
    <row r="160" customFormat="false" ht="46.25" hidden="false" customHeight="false" outlineLevel="0" collapsed="false">
      <c r="A160" s="2" t="n">
        <v>100</v>
      </c>
      <c r="B160" s="2" t="s">
        <v>1971</v>
      </c>
      <c r="C160" s="2" t="s">
        <v>82</v>
      </c>
      <c r="D160" s="2" t="s">
        <v>2652</v>
      </c>
      <c r="E160" s="2"/>
      <c r="F160" s="2" t="s">
        <v>2016</v>
      </c>
      <c r="G160" s="2" t="s">
        <v>2653</v>
      </c>
      <c r="H160" s="2" t="s">
        <v>2654</v>
      </c>
      <c r="I160" s="2"/>
      <c r="J160" s="2"/>
      <c r="K160" s="2"/>
      <c r="L160" s="2"/>
      <c r="M160" s="2" t="n">
        <v>2026</v>
      </c>
      <c r="N160" s="2" t="s">
        <v>2054</v>
      </c>
      <c r="O160" s="2" t="s">
        <v>2651</v>
      </c>
    </row>
    <row r="161" customFormat="false" ht="46.25" hidden="false" customHeight="false" outlineLevel="0" collapsed="false">
      <c r="A161" s="2" t="n">
        <v>100</v>
      </c>
      <c r="B161" s="2" t="s">
        <v>1971</v>
      </c>
      <c r="C161" s="2" t="s">
        <v>82</v>
      </c>
      <c r="D161" s="2" t="s">
        <v>2575</v>
      </c>
      <c r="E161" s="2"/>
      <c r="F161" s="2" t="s">
        <v>2016</v>
      </c>
      <c r="G161" s="2" t="s">
        <v>2655</v>
      </c>
      <c r="H161" s="2" t="s">
        <v>2578</v>
      </c>
      <c r="I161" s="2" t="s">
        <v>2579</v>
      </c>
      <c r="J161" s="2"/>
      <c r="K161" s="2" t="s">
        <v>2580</v>
      </c>
      <c r="L161" s="2"/>
      <c r="M161" s="2" t="n">
        <v>2026</v>
      </c>
      <c r="N161" s="2" t="s">
        <v>2054</v>
      </c>
      <c r="O161" s="2" t="s">
        <v>2651</v>
      </c>
    </row>
  </sheetData>
  <autoFilter ref="A1:O1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7"/>
    <col collapsed="false" customWidth="true" hidden="false" outlineLevel="0" max="4" min="4" style="0" width="34"/>
    <col collapsed="false" customWidth="true" hidden="false" outlineLevel="0" max="5" min="5" style="0" width="50"/>
  </cols>
  <sheetData>
    <row r="1" customFormat="false" ht="12.65" hidden="false" customHeight="false" outlineLevel="0" collapsed="false">
      <c r="A1" s="5" t="s">
        <v>1992</v>
      </c>
      <c r="B1" s="5" t="s">
        <v>1</v>
      </c>
      <c r="C1" s="5" t="s">
        <v>2656</v>
      </c>
      <c r="D1" s="5" t="s">
        <v>2657</v>
      </c>
      <c r="E1" s="5" t="s">
        <v>2658</v>
      </c>
    </row>
    <row r="2" customFormat="false" ht="15" hidden="false" customHeight="false" outlineLevel="0" collapsed="false">
      <c r="A2" s="2" t="n">
        <v>1</v>
      </c>
      <c r="B2" s="2" t="s">
        <v>39</v>
      </c>
      <c r="C2" s="2" t="n">
        <v>1</v>
      </c>
      <c r="D2" s="2" t="s">
        <v>2659</v>
      </c>
      <c r="E2" s="2" t="s">
        <v>2660</v>
      </c>
    </row>
    <row r="3" customFormat="false" ht="15" hidden="false" customHeight="false" outlineLevel="0" collapsed="false">
      <c r="A3" s="2" t="n">
        <v>1</v>
      </c>
      <c r="B3" s="2" t="s">
        <v>39</v>
      </c>
      <c r="C3" s="2" t="n">
        <v>2</v>
      </c>
      <c r="D3" s="2" t="s">
        <v>2661</v>
      </c>
      <c r="E3" s="2" t="s">
        <v>2662</v>
      </c>
    </row>
    <row r="4" customFormat="false" ht="15" hidden="false" customHeight="false" outlineLevel="0" collapsed="false">
      <c r="A4" s="2" t="n">
        <v>1</v>
      </c>
      <c r="B4" s="2" t="s">
        <v>39</v>
      </c>
      <c r="C4" s="2" t="n">
        <v>3</v>
      </c>
      <c r="D4" s="2" t="s">
        <v>2663</v>
      </c>
      <c r="E4" s="2" t="s">
        <v>2664</v>
      </c>
    </row>
    <row r="5" customFormat="false" ht="15" hidden="false" customHeight="false" outlineLevel="0" collapsed="false">
      <c r="A5" s="2" t="n">
        <v>2</v>
      </c>
      <c r="B5" s="2" t="s">
        <v>66</v>
      </c>
      <c r="C5" s="2" t="n">
        <v>1</v>
      </c>
      <c r="D5" s="2" t="s">
        <v>2665</v>
      </c>
      <c r="E5" s="2" t="s">
        <v>2666</v>
      </c>
    </row>
    <row r="6" customFormat="false" ht="23.85" hidden="false" customHeight="false" outlineLevel="0" collapsed="false">
      <c r="A6" s="2" t="n">
        <v>2</v>
      </c>
      <c r="B6" s="2" t="s">
        <v>66</v>
      </c>
      <c r="C6" s="2" t="n">
        <v>2</v>
      </c>
      <c r="D6" s="2" t="s">
        <v>2667</v>
      </c>
      <c r="E6" s="2" t="s">
        <v>2668</v>
      </c>
    </row>
    <row r="7" customFormat="false" ht="15" hidden="false" customHeight="false" outlineLevel="0" collapsed="false">
      <c r="A7" s="2" t="n">
        <v>2</v>
      </c>
      <c r="B7" s="2" t="s">
        <v>66</v>
      </c>
      <c r="C7" s="2" t="n">
        <v>3</v>
      </c>
      <c r="D7" s="2" t="s">
        <v>2669</v>
      </c>
      <c r="E7" s="2" t="s">
        <v>2670</v>
      </c>
    </row>
    <row r="8" customFormat="false" ht="35.05" hidden="false" customHeight="false" outlineLevel="0" collapsed="false">
      <c r="A8" s="2" t="n">
        <v>3</v>
      </c>
      <c r="B8" s="2" t="s">
        <v>88</v>
      </c>
      <c r="C8" s="2" t="n">
        <v>1</v>
      </c>
      <c r="D8" s="2" t="s">
        <v>2671</v>
      </c>
      <c r="E8" s="2" t="s">
        <v>2672</v>
      </c>
    </row>
    <row r="9" customFormat="false" ht="35.05" hidden="false" customHeight="false" outlineLevel="0" collapsed="false">
      <c r="A9" s="2" t="n">
        <v>3</v>
      </c>
      <c r="B9" s="2" t="s">
        <v>88</v>
      </c>
      <c r="C9" s="2" t="n">
        <v>2</v>
      </c>
      <c r="D9" s="2" t="s">
        <v>2673</v>
      </c>
      <c r="E9" s="2" t="s">
        <v>2674</v>
      </c>
    </row>
    <row r="10" customFormat="false" ht="35.05" hidden="false" customHeight="false" outlineLevel="0" collapsed="false">
      <c r="A10" s="2" t="n">
        <v>3</v>
      </c>
      <c r="B10" s="2" t="s">
        <v>88</v>
      </c>
      <c r="C10" s="2" t="n">
        <v>3</v>
      </c>
      <c r="D10" s="2" t="s">
        <v>2675</v>
      </c>
      <c r="E10" s="2" t="s">
        <v>2676</v>
      </c>
    </row>
    <row r="11" customFormat="false" ht="15" hidden="false" customHeight="false" outlineLevel="0" collapsed="false">
      <c r="A11" s="2" t="n">
        <v>4</v>
      </c>
      <c r="B11" s="2" t="s">
        <v>116</v>
      </c>
      <c r="C11" s="2" t="n">
        <v>1</v>
      </c>
      <c r="D11" s="2" t="s">
        <v>2677</v>
      </c>
      <c r="E11" s="2" t="s">
        <v>2678</v>
      </c>
    </row>
    <row r="12" customFormat="false" ht="15" hidden="false" customHeight="false" outlineLevel="0" collapsed="false">
      <c r="A12" s="2" t="n">
        <v>4</v>
      </c>
      <c r="B12" s="2" t="s">
        <v>116</v>
      </c>
      <c r="C12" s="2" t="n">
        <v>2</v>
      </c>
      <c r="D12" s="2" t="s">
        <v>2679</v>
      </c>
      <c r="E12" s="2" t="s">
        <v>2680</v>
      </c>
    </row>
    <row r="13" customFormat="false" ht="15" hidden="false" customHeight="false" outlineLevel="0" collapsed="false">
      <c r="A13" s="2" t="n">
        <v>4</v>
      </c>
      <c r="B13" s="2" t="s">
        <v>116</v>
      </c>
      <c r="C13" s="2" t="n">
        <v>3</v>
      </c>
      <c r="D13" s="2" t="s">
        <v>2681</v>
      </c>
      <c r="E13" s="2" t="s">
        <v>2682</v>
      </c>
    </row>
    <row r="14" customFormat="false" ht="15" hidden="false" customHeight="false" outlineLevel="0" collapsed="false">
      <c r="A14" s="2" t="n">
        <v>5</v>
      </c>
      <c r="B14" s="2" t="s">
        <v>134</v>
      </c>
      <c r="C14" s="2" t="n">
        <v>1</v>
      </c>
      <c r="D14" s="2" t="s">
        <v>2683</v>
      </c>
      <c r="E14" s="2" t="s">
        <v>2684</v>
      </c>
    </row>
    <row r="15" customFormat="false" ht="15" hidden="false" customHeight="false" outlineLevel="0" collapsed="false">
      <c r="A15" s="2" t="n">
        <v>5</v>
      </c>
      <c r="B15" s="2" t="s">
        <v>134</v>
      </c>
      <c r="C15" s="2" t="n">
        <v>2</v>
      </c>
      <c r="D15" s="2" t="s">
        <v>2685</v>
      </c>
      <c r="E15" s="2" t="s">
        <v>2686</v>
      </c>
    </row>
    <row r="16" customFormat="false" ht="15" hidden="false" customHeight="false" outlineLevel="0" collapsed="false">
      <c r="A16" s="2" t="n">
        <v>5</v>
      </c>
      <c r="B16" s="2" t="s">
        <v>134</v>
      </c>
      <c r="C16" s="2" t="n">
        <v>3</v>
      </c>
      <c r="D16" s="2" t="s">
        <v>2687</v>
      </c>
      <c r="E16" s="2" t="s">
        <v>2688</v>
      </c>
    </row>
    <row r="17" customFormat="false" ht="15" hidden="false" customHeight="false" outlineLevel="0" collapsed="false">
      <c r="A17" s="2" t="n">
        <v>6</v>
      </c>
      <c r="B17" s="2" t="s">
        <v>154</v>
      </c>
      <c r="C17" s="2" t="n">
        <v>1</v>
      </c>
      <c r="D17" s="2" t="s">
        <v>2689</v>
      </c>
      <c r="E17" s="2" t="s">
        <v>2690</v>
      </c>
    </row>
    <row r="18" customFormat="false" ht="15" hidden="false" customHeight="false" outlineLevel="0" collapsed="false">
      <c r="A18" s="2" t="n">
        <v>6</v>
      </c>
      <c r="B18" s="2" t="s">
        <v>154</v>
      </c>
      <c r="C18" s="2" t="n">
        <v>2</v>
      </c>
      <c r="D18" s="2" t="s">
        <v>2691</v>
      </c>
      <c r="E18" s="2" t="s">
        <v>2692</v>
      </c>
    </row>
    <row r="19" customFormat="false" ht="15" hidden="false" customHeight="false" outlineLevel="0" collapsed="false">
      <c r="A19" s="2" t="n">
        <v>6</v>
      </c>
      <c r="B19" s="2" t="s">
        <v>154</v>
      </c>
      <c r="C19" s="2" t="n">
        <v>3</v>
      </c>
      <c r="D19" s="2" t="s">
        <v>2693</v>
      </c>
      <c r="E19" s="2" t="s">
        <v>2694</v>
      </c>
    </row>
    <row r="20" customFormat="false" ht="15" hidden="false" customHeight="false" outlineLevel="0" collapsed="false">
      <c r="A20" s="2" t="n">
        <v>7</v>
      </c>
      <c r="B20" s="2" t="s">
        <v>174</v>
      </c>
      <c r="C20" s="2" t="n">
        <v>1</v>
      </c>
      <c r="D20" s="2" t="s">
        <v>2695</v>
      </c>
      <c r="E20" s="2" t="s">
        <v>2696</v>
      </c>
    </row>
    <row r="21" customFormat="false" ht="15" hidden="false" customHeight="false" outlineLevel="0" collapsed="false">
      <c r="A21" s="2" t="n">
        <v>7</v>
      </c>
      <c r="B21" s="2" t="s">
        <v>174</v>
      </c>
      <c r="C21" s="2" t="n">
        <v>2</v>
      </c>
      <c r="D21" s="2" t="s">
        <v>2697</v>
      </c>
      <c r="E21" s="2" t="s">
        <v>2698</v>
      </c>
    </row>
    <row r="22" customFormat="false" ht="23.85" hidden="false" customHeight="false" outlineLevel="0" collapsed="false">
      <c r="A22" s="2" t="n">
        <v>7</v>
      </c>
      <c r="B22" s="2" t="s">
        <v>174</v>
      </c>
      <c r="C22" s="2" t="n">
        <v>3</v>
      </c>
      <c r="D22" s="2" t="s">
        <v>2699</v>
      </c>
      <c r="E22" s="2" t="s">
        <v>2700</v>
      </c>
    </row>
    <row r="23" customFormat="false" ht="15" hidden="false" customHeight="false" outlineLevel="0" collapsed="false">
      <c r="A23" s="2" t="n">
        <v>8</v>
      </c>
      <c r="B23" s="2" t="s">
        <v>193</v>
      </c>
      <c r="C23" s="2" t="n">
        <v>1</v>
      </c>
      <c r="D23" s="2" t="s">
        <v>2701</v>
      </c>
      <c r="E23" s="2" t="s">
        <v>2702</v>
      </c>
    </row>
    <row r="24" customFormat="false" ht="15" hidden="false" customHeight="false" outlineLevel="0" collapsed="false">
      <c r="A24" s="2" t="n">
        <v>8</v>
      </c>
      <c r="B24" s="2" t="s">
        <v>193</v>
      </c>
      <c r="C24" s="2" t="n">
        <v>2</v>
      </c>
      <c r="D24" s="2" t="s">
        <v>2703</v>
      </c>
      <c r="E24" s="2" t="s">
        <v>2704</v>
      </c>
    </row>
    <row r="25" customFormat="false" ht="15" hidden="false" customHeight="false" outlineLevel="0" collapsed="false">
      <c r="A25" s="2" t="n">
        <v>8</v>
      </c>
      <c r="B25" s="2" t="s">
        <v>193</v>
      </c>
      <c r="C25" s="2" t="n">
        <v>3</v>
      </c>
      <c r="D25" s="2" t="s">
        <v>2705</v>
      </c>
      <c r="E25" s="2" t="s">
        <v>2706</v>
      </c>
    </row>
    <row r="26" customFormat="false" ht="15" hidden="false" customHeight="false" outlineLevel="0" collapsed="false">
      <c r="A26" s="2" t="n">
        <v>9</v>
      </c>
      <c r="B26" s="2" t="s">
        <v>213</v>
      </c>
      <c r="C26" s="2" t="n">
        <v>1</v>
      </c>
      <c r="D26" s="2" t="s">
        <v>2707</v>
      </c>
      <c r="E26" s="2" t="s">
        <v>2708</v>
      </c>
    </row>
    <row r="27" customFormat="false" ht="15" hidden="false" customHeight="false" outlineLevel="0" collapsed="false">
      <c r="A27" s="2" t="n">
        <v>9</v>
      </c>
      <c r="B27" s="2" t="s">
        <v>213</v>
      </c>
      <c r="C27" s="2" t="n">
        <v>2</v>
      </c>
      <c r="D27" s="2" t="s">
        <v>2709</v>
      </c>
      <c r="E27" s="2" t="s">
        <v>2710</v>
      </c>
    </row>
    <row r="28" customFormat="false" ht="15" hidden="false" customHeight="false" outlineLevel="0" collapsed="false">
      <c r="A28" s="2" t="n">
        <v>9</v>
      </c>
      <c r="B28" s="2" t="s">
        <v>213</v>
      </c>
      <c r="C28" s="2" t="n">
        <v>3</v>
      </c>
      <c r="D28" s="2" t="s">
        <v>2711</v>
      </c>
      <c r="E28" s="2" t="s">
        <v>2712</v>
      </c>
    </row>
    <row r="29" customFormat="false" ht="23.85" hidden="false" customHeight="false" outlineLevel="0" collapsed="false">
      <c r="A29" s="2" t="n">
        <v>10</v>
      </c>
      <c r="B29" s="2" t="s">
        <v>230</v>
      </c>
      <c r="C29" s="2" t="n">
        <v>1</v>
      </c>
      <c r="D29" s="2" t="s">
        <v>2713</v>
      </c>
      <c r="E29" s="2" t="s">
        <v>2714</v>
      </c>
    </row>
    <row r="30" customFormat="false" ht="23.85" hidden="false" customHeight="false" outlineLevel="0" collapsed="false">
      <c r="A30" s="2" t="n">
        <v>10</v>
      </c>
      <c r="B30" s="2" t="s">
        <v>230</v>
      </c>
      <c r="C30" s="2" t="n">
        <v>2</v>
      </c>
      <c r="D30" s="2" t="s">
        <v>2715</v>
      </c>
      <c r="E30" s="2" t="s">
        <v>2716</v>
      </c>
    </row>
    <row r="31" customFormat="false" ht="23.85" hidden="false" customHeight="false" outlineLevel="0" collapsed="false">
      <c r="A31" s="2" t="n">
        <v>10</v>
      </c>
      <c r="B31" s="2" t="s">
        <v>230</v>
      </c>
      <c r="C31" s="2" t="n">
        <v>3</v>
      </c>
      <c r="D31" s="2" t="s">
        <v>2717</v>
      </c>
      <c r="E31" s="2" t="s">
        <v>2718</v>
      </c>
    </row>
    <row r="32" customFormat="false" ht="15" hidden="false" customHeight="false" outlineLevel="0" collapsed="false">
      <c r="A32" s="2" t="n">
        <v>11</v>
      </c>
      <c r="B32" s="2" t="s">
        <v>252</v>
      </c>
      <c r="C32" s="2" t="n">
        <v>1</v>
      </c>
      <c r="D32" s="2" t="s">
        <v>2719</v>
      </c>
      <c r="E32" s="2" t="s">
        <v>2720</v>
      </c>
    </row>
    <row r="33" customFormat="false" ht="15" hidden="false" customHeight="false" outlineLevel="0" collapsed="false">
      <c r="A33" s="2" t="n">
        <v>11</v>
      </c>
      <c r="B33" s="2" t="s">
        <v>252</v>
      </c>
      <c r="C33" s="2" t="n">
        <v>2</v>
      </c>
      <c r="D33" s="2" t="s">
        <v>2721</v>
      </c>
      <c r="E33" s="2" t="s">
        <v>2722</v>
      </c>
    </row>
    <row r="34" customFormat="false" ht="15" hidden="false" customHeight="false" outlineLevel="0" collapsed="false">
      <c r="A34" s="2" t="n">
        <v>11</v>
      </c>
      <c r="B34" s="2" t="s">
        <v>252</v>
      </c>
      <c r="C34" s="2" t="n">
        <v>3</v>
      </c>
      <c r="D34" s="2" t="s">
        <v>2723</v>
      </c>
      <c r="E34" s="2" t="s">
        <v>2724</v>
      </c>
    </row>
    <row r="35" customFormat="false" ht="23.85" hidden="false" customHeight="false" outlineLevel="0" collapsed="false">
      <c r="A35" s="2" t="n">
        <v>12</v>
      </c>
      <c r="B35" s="2" t="s">
        <v>270</v>
      </c>
      <c r="C35" s="2" t="n">
        <v>1</v>
      </c>
      <c r="D35" s="2" t="s">
        <v>2725</v>
      </c>
      <c r="E35" s="2" t="s">
        <v>2726</v>
      </c>
    </row>
    <row r="36" customFormat="false" ht="15" hidden="false" customHeight="false" outlineLevel="0" collapsed="false">
      <c r="A36" s="2" t="n">
        <v>12</v>
      </c>
      <c r="B36" s="2" t="s">
        <v>270</v>
      </c>
      <c r="C36" s="2" t="n">
        <v>2</v>
      </c>
      <c r="D36" s="2" t="s">
        <v>2727</v>
      </c>
      <c r="E36" s="2" t="s">
        <v>2728</v>
      </c>
    </row>
    <row r="37" customFormat="false" ht="15" hidden="false" customHeight="false" outlineLevel="0" collapsed="false">
      <c r="A37" s="2" t="n">
        <v>12</v>
      </c>
      <c r="B37" s="2" t="s">
        <v>270</v>
      </c>
      <c r="C37" s="2" t="n">
        <v>3</v>
      </c>
      <c r="D37" s="2" t="s">
        <v>2729</v>
      </c>
      <c r="E37" s="2" t="s">
        <v>2730</v>
      </c>
    </row>
    <row r="38" customFormat="false" ht="15" hidden="false" customHeight="false" outlineLevel="0" collapsed="false">
      <c r="A38" s="2" t="n">
        <v>13</v>
      </c>
      <c r="B38" s="2" t="s">
        <v>292</v>
      </c>
      <c r="C38" s="2" t="n">
        <v>1</v>
      </c>
      <c r="D38" s="2" t="s">
        <v>2731</v>
      </c>
      <c r="E38" s="2" t="s">
        <v>2732</v>
      </c>
    </row>
    <row r="39" customFormat="false" ht="15" hidden="false" customHeight="false" outlineLevel="0" collapsed="false">
      <c r="A39" s="2" t="n">
        <v>13</v>
      </c>
      <c r="B39" s="2" t="s">
        <v>292</v>
      </c>
      <c r="C39" s="2" t="n">
        <v>2</v>
      </c>
      <c r="D39" s="2" t="s">
        <v>2733</v>
      </c>
      <c r="E39" s="2" t="s">
        <v>2734</v>
      </c>
    </row>
    <row r="40" customFormat="false" ht="15" hidden="false" customHeight="false" outlineLevel="0" collapsed="false">
      <c r="A40" s="2" t="n">
        <v>13</v>
      </c>
      <c r="B40" s="2" t="s">
        <v>292</v>
      </c>
      <c r="C40" s="2" t="n">
        <v>3</v>
      </c>
      <c r="D40" s="2" t="s">
        <v>2735</v>
      </c>
      <c r="E40" s="2" t="s">
        <v>2736</v>
      </c>
    </row>
    <row r="41" customFormat="false" ht="15" hidden="false" customHeight="false" outlineLevel="0" collapsed="false">
      <c r="A41" s="2" t="n">
        <v>14</v>
      </c>
      <c r="B41" s="2" t="s">
        <v>312</v>
      </c>
      <c r="C41" s="2" t="n">
        <v>1</v>
      </c>
      <c r="D41" s="2" t="s">
        <v>2737</v>
      </c>
      <c r="E41" s="2" t="s">
        <v>2738</v>
      </c>
    </row>
    <row r="42" customFormat="false" ht="15" hidden="false" customHeight="false" outlineLevel="0" collapsed="false">
      <c r="A42" s="2" t="n">
        <v>14</v>
      </c>
      <c r="B42" s="2" t="s">
        <v>312</v>
      </c>
      <c r="C42" s="2" t="n">
        <v>2</v>
      </c>
      <c r="D42" s="2" t="s">
        <v>2739</v>
      </c>
      <c r="E42" s="2" t="s">
        <v>2740</v>
      </c>
    </row>
    <row r="43" customFormat="false" ht="15" hidden="false" customHeight="false" outlineLevel="0" collapsed="false">
      <c r="A43" s="2" t="n">
        <v>14</v>
      </c>
      <c r="B43" s="2" t="s">
        <v>312</v>
      </c>
      <c r="C43" s="2" t="n">
        <v>3</v>
      </c>
      <c r="D43" s="2" t="s">
        <v>2741</v>
      </c>
      <c r="E43" s="2" t="s">
        <v>2742</v>
      </c>
    </row>
    <row r="44" customFormat="false" ht="15" hidden="false" customHeight="false" outlineLevel="0" collapsed="false">
      <c r="A44" s="2" t="n">
        <v>15</v>
      </c>
      <c r="B44" s="2" t="s">
        <v>332</v>
      </c>
      <c r="C44" s="2" t="n">
        <v>1</v>
      </c>
      <c r="D44" s="2" t="s">
        <v>2743</v>
      </c>
      <c r="E44" s="2" t="s">
        <v>2744</v>
      </c>
    </row>
    <row r="45" customFormat="false" ht="15" hidden="false" customHeight="false" outlineLevel="0" collapsed="false">
      <c r="A45" s="2" t="n">
        <v>15</v>
      </c>
      <c r="B45" s="2" t="s">
        <v>332</v>
      </c>
      <c r="C45" s="2" t="n">
        <v>2</v>
      </c>
      <c r="D45" s="2" t="s">
        <v>2745</v>
      </c>
      <c r="E45" s="2" t="s">
        <v>2746</v>
      </c>
    </row>
    <row r="46" customFormat="false" ht="15" hidden="false" customHeight="false" outlineLevel="0" collapsed="false">
      <c r="A46" s="2" t="n">
        <v>15</v>
      </c>
      <c r="B46" s="2" t="s">
        <v>332</v>
      </c>
      <c r="C46" s="2" t="n">
        <v>3</v>
      </c>
      <c r="D46" s="2" t="s">
        <v>2747</v>
      </c>
      <c r="E46" s="2" t="s">
        <v>2748</v>
      </c>
    </row>
    <row r="47" customFormat="false" ht="15" hidden="false" customHeight="false" outlineLevel="0" collapsed="false">
      <c r="A47" s="2" t="n">
        <v>16</v>
      </c>
      <c r="B47" s="2" t="s">
        <v>350</v>
      </c>
      <c r="C47" s="2" t="n">
        <v>1</v>
      </c>
      <c r="D47" s="2" t="s">
        <v>2749</v>
      </c>
      <c r="E47" s="2" t="s">
        <v>2750</v>
      </c>
    </row>
    <row r="48" customFormat="false" ht="15" hidden="false" customHeight="false" outlineLevel="0" collapsed="false">
      <c r="A48" s="2" t="n">
        <v>16</v>
      </c>
      <c r="B48" s="2" t="s">
        <v>350</v>
      </c>
      <c r="C48" s="2" t="n">
        <v>2</v>
      </c>
      <c r="D48" s="2" t="s">
        <v>2751</v>
      </c>
      <c r="E48" s="2" t="s">
        <v>2752</v>
      </c>
    </row>
    <row r="49" customFormat="false" ht="15" hidden="false" customHeight="false" outlineLevel="0" collapsed="false">
      <c r="A49" s="2" t="n">
        <v>16</v>
      </c>
      <c r="B49" s="2" t="s">
        <v>350</v>
      </c>
      <c r="C49" s="2" t="n">
        <v>3</v>
      </c>
      <c r="D49" s="2" t="s">
        <v>2753</v>
      </c>
      <c r="E49" s="2" t="s">
        <v>2754</v>
      </c>
    </row>
    <row r="50" customFormat="false" ht="15" hidden="false" customHeight="false" outlineLevel="0" collapsed="false">
      <c r="A50" s="2" t="n">
        <v>17</v>
      </c>
      <c r="B50" s="2" t="s">
        <v>370</v>
      </c>
      <c r="C50" s="2" t="n">
        <v>1</v>
      </c>
      <c r="D50" s="2" t="s">
        <v>2755</v>
      </c>
      <c r="E50" s="2" t="s">
        <v>2756</v>
      </c>
    </row>
    <row r="51" customFormat="false" ht="15" hidden="false" customHeight="false" outlineLevel="0" collapsed="false">
      <c r="A51" s="2" t="n">
        <v>17</v>
      </c>
      <c r="B51" s="2" t="s">
        <v>370</v>
      </c>
      <c r="C51" s="2" t="n">
        <v>2</v>
      </c>
      <c r="D51" s="2" t="s">
        <v>2757</v>
      </c>
      <c r="E51" s="2" t="s">
        <v>2758</v>
      </c>
    </row>
    <row r="52" customFormat="false" ht="15" hidden="false" customHeight="false" outlineLevel="0" collapsed="false">
      <c r="A52" s="2" t="n">
        <v>17</v>
      </c>
      <c r="B52" s="2" t="s">
        <v>370</v>
      </c>
      <c r="C52" s="2" t="n">
        <v>3</v>
      </c>
      <c r="D52" s="2" t="s">
        <v>2759</v>
      </c>
      <c r="E52" s="2" t="s">
        <v>2760</v>
      </c>
    </row>
    <row r="53" customFormat="false" ht="15" hidden="false" customHeight="false" outlineLevel="0" collapsed="false">
      <c r="A53" s="2" t="n">
        <v>18</v>
      </c>
      <c r="B53" s="2" t="s">
        <v>387</v>
      </c>
      <c r="C53" s="2" t="n">
        <v>1</v>
      </c>
      <c r="D53" s="2" t="s">
        <v>2761</v>
      </c>
      <c r="E53" s="2" t="s">
        <v>2762</v>
      </c>
    </row>
    <row r="54" customFormat="false" ht="15" hidden="false" customHeight="false" outlineLevel="0" collapsed="false">
      <c r="A54" s="2" t="n">
        <v>18</v>
      </c>
      <c r="B54" s="2" t="s">
        <v>387</v>
      </c>
      <c r="C54" s="2" t="n">
        <v>2</v>
      </c>
      <c r="D54" s="2" t="s">
        <v>2763</v>
      </c>
      <c r="E54" s="2" t="s">
        <v>2764</v>
      </c>
    </row>
    <row r="55" customFormat="false" ht="15" hidden="false" customHeight="false" outlineLevel="0" collapsed="false">
      <c r="A55" s="2" t="n">
        <v>18</v>
      </c>
      <c r="B55" s="2" t="s">
        <v>387</v>
      </c>
      <c r="C55" s="2" t="n">
        <v>3</v>
      </c>
      <c r="D55" s="2" t="s">
        <v>2765</v>
      </c>
      <c r="E55" s="2" t="s">
        <v>2766</v>
      </c>
    </row>
    <row r="56" customFormat="false" ht="15" hidden="false" customHeight="false" outlineLevel="0" collapsed="false">
      <c r="A56" s="2" t="n">
        <v>19</v>
      </c>
      <c r="B56" s="2" t="s">
        <v>405</v>
      </c>
      <c r="C56" s="2" t="n">
        <v>1</v>
      </c>
      <c r="D56" s="2" t="s">
        <v>2767</v>
      </c>
      <c r="E56" s="2" t="s">
        <v>2768</v>
      </c>
    </row>
    <row r="57" customFormat="false" ht="15" hidden="false" customHeight="false" outlineLevel="0" collapsed="false">
      <c r="A57" s="2" t="n">
        <v>19</v>
      </c>
      <c r="B57" s="2" t="s">
        <v>405</v>
      </c>
      <c r="C57" s="2" t="n">
        <v>2</v>
      </c>
      <c r="D57" s="2" t="s">
        <v>2769</v>
      </c>
      <c r="E57" s="2" t="s">
        <v>2770</v>
      </c>
    </row>
    <row r="58" customFormat="false" ht="15" hidden="false" customHeight="false" outlineLevel="0" collapsed="false">
      <c r="A58" s="2" t="n">
        <v>19</v>
      </c>
      <c r="B58" s="2" t="s">
        <v>405</v>
      </c>
      <c r="C58" s="2" t="n">
        <v>3</v>
      </c>
      <c r="D58" s="2" t="s">
        <v>2771</v>
      </c>
      <c r="E58" s="2" t="s">
        <v>2772</v>
      </c>
    </row>
    <row r="59" customFormat="false" ht="15" hidden="false" customHeight="false" outlineLevel="0" collapsed="false">
      <c r="A59" s="2" t="n">
        <v>20</v>
      </c>
      <c r="B59" s="2" t="s">
        <v>423</v>
      </c>
      <c r="C59" s="2" t="n">
        <v>1</v>
      </c>
      <c r="D59" s="2" t="s">
        <v>2773</v>
      </c>
      <c r="E59" s="2" t="s">
        <v>2774</v>
      </c>
    </row>
    <row r="60" customFormat="false" ht="15" hidden="false" customHeight="false" outlineLevel="0" collapsed="false">
      <c r="A60" s="2" t="n">
        <v>20</v>
      </c>
      <c r="B60" s="2" t="s">
        <v>423</v>
      </c>
      <c r="C60" s="2" t="n">
        <v>2</v>
      </c>
      <c r="D60" s="2" t="s">
        <v>2775</v>
      </c>
      <c r="E60" s="2" t="s">
        <v>2776</v>
      </c>
    </row>
    <row r="61" customFormat="false" ht="15" hidden="false" customHeight="false" outlineLevel="0" collapsed="false">
      <c r="A61" s="2" t="n">
        <v>20</v>
      </c>
      <c r="B61" s="2" t="s">
        <v>423</v>
      </c>
      <c r="C61" s="2" t="n">
        <v>3</v>
      </c>
      <c r="D61" s="2" t="s">
        <v>2777</v>
      </c>
      <c r="E61" s="2" t="s">
        <v>2778</v>
      </c>
    </row>
    <row r="62" customFormat="false" ht="35.05" hidden="false" customHeight="false" outlineLevel="0" collapsed="false">
      <c r="A62" s="2" t="n">
        <v>21</v>
      </c>
      <c r="B62" s="2" t="s">
        <v>440</v>
      </c>
      <c r="C62" s="2" t="n">
        <v>1</v>
      </c>
      <c r="D62" s="2" t="s">
        <v>2779</v>
      </c>
      <c r="E62" s="2" t="s">
        <v>2780</v>
      </c>
    </row>
    <row r="63" customFormat="false" ht="35.05" hidden="false" customHeight="false" outlineLevel="0" collapsed="false">
      <c r="A63" s="2" t="n">
        <v>21</v>
      </c>
      <c r="B63" s="2" t="s">
        <v>440</v>
      </c>
      <c r="C63" s="2" t="n">
        <v>2</v>
      </c>
      <c r="D63" s="2" t="s">
        <v>2781</v>
      </c>
      <c r="E63" s="2" t="s">
        <v>2782</v>
      </c>
    </row>
    <row r="64" customFormat="false" ht="35.05" hidden="false" customHeight="false" outlineLevel="0" collapsed="false">
      <c r="A64" s="2" t="n">
        <v>21</v>
      </c>
      <c r="B64" s="2" t="s">
        <v>440</v>
      </c>
      <c r="C64" s="2" t="n">
        <v>3</v>
      </c>
      <c r="D64" s="2" t="s">
        <v>2783</v>
      </c>
      <c r="E64" s="2" t="s">
        <v>2784</v>
      </c>
    </row>
    <row r="65" customFormat="false" ht="23.85" hidden="false" customHeight="false" outlineLevel="0" collapsed="false">
      <c r="A65" s="2" t="n">
        <v>22</v>
      </c>
      <c r="B65" s="2" t="s">
        <v>461</v>
      </c>
      <c r="C65" s="2" t="n">
        <v>1</v>
      </c>
      <c r="D65" s="2" t="s">
        <v>2785</v>
      </c>
      <c r="E65" s="2" t="s">
        <v>2786</v>
      </c>
    </row>
    <row r="66" customFormat="false" ht="23.85" hidden="false" customHeight="false" outlineLevel="0" collapsed="false">
      <c r="A66" s="2" t="n">
        <v>22</v>
      </c>
      <c r="B66" s="2" t="s">
        <v>461</v>
      </c>
      <c r="C66" s="2" t="n">
        <v>2</v>
      </c>
      <c r="D66" s="2" t="s">
        <v>2787</v>
      </c>
      <c r="E66" s="2" t="s">
        <v>2788</v>
      </c>
    </row>
    <row r="67" customFormat="false" ht="23.85" hidden="false" customHeight="false" outlineLevel="0" collapsed="false">
      <c r="A67" s="2" t="n">
        <v>22</v>
      </c>
      <c r="B67" s="2" t="s">
        <v>461</v>
      </c>
      <c r="C67" s="2" t="n">
        <v>3</v>
      </c>
      <c r="D67" s="2" t="s">
        <v>2789</v>
      </c>
      <c r="E67" s="2" t="s">
        <v>2790</v>
      </c>
    </row>
    <row r="68" customFormat="false" ht="15" hidden="false" customHeight="false" outlineLevel="0" collapsed="false">
      <c r="A68" s="2" t="n">
        <v>23</v>
      </c>
      <c r="B68" s="2" t="s">
        <v>482</v>
      </c>
      <c r="C68" s="2" t="n">
        <v>1</v>
      </c>
      <c r="D68" s="2" t="s">
        <v>2791</v>
      </c>
      <c r="E68" s="2" t="s">
        <v>2792</v>
      </c>
    </row>
    <row r="69" customFormat="false" ht="15" hidden="false" customHeight="false" outlineLevel="0" collapsed="false">
      <c r="A69" s="2" t="n">
        <v>23</v>
      </c>
      <c r="B69" s="2" t="s">
        <v>482</v>
      </c>
      <c r="C69" s="2" t="n">
        <v>2</v>
      </c>
      <c r="D69" s="2" t="s">
        <v>2793</v>
      </c>
      <c r="E69" s="2" t="s">
        <v>2794</v>
      </c>
    </row>
    <row r="70" customFormat="false" ht="15" hidden="false" customHeight="false" outlineLevel="0" collapsed="false">
      <c r="A70" s="2" t="n">
        <v>23</v>
      </c>
      <c r="B70" s="2" t="s">
        <v>482</v>
      </c>
      <c r="C70" s="2" t="n">
        <v>3</v>
      </c>
      <c r="D70" s="2" t="s">
        <v>2795</v>
      </c>
      <c r="E70" s="2" t="s">
        <v>2796</v>
      </c>
    </row>
    <row r="71" customFormat="false" ht="15" hidden="false" customHeight="false" outlineLevel="0" collapsed="false">
      <c r="A71" s="2" t="n">
        <v>24</v>
      </c>
      <c r="B71" s="2" t="s">
        <v>502</v>
      </c>
      <c r="C71" s="2" t="n">
        <v>1</v>
      </c>
      <c r="D71" s="2" t="s">
        <v>2797</v>
      </c>
      <c r="E71" s="2" t="s">
        <v>2798</v>
      </c>
    </row>
    <row r="72" customFormat="false" ht="15" hidden="false" customHeight="false" outlineLevel="0" collapsed="false">
      <c r="A72" s="2" t="n">
        <v>24</v>
      </c>
      <c r="B72" s="2" t="s">
        <v>502</v>
      </c>
      <c r="C72" s="2" t="n">
        <v>2</v>
      </c>
      <c r="D72" s="2" t="s">
        <v>2799</v>
      </c>
      <c r="E72" s="2" t="s">
        <v>2800</v>
      </c>
    </row>
    <row r="73" customFormat="false" ht="15" hidden="false" customHeight="false" outlineLevel="0" collapsed="false">
      <c r="A73" s="2" t="n">
        <v>24</v>
      </c>
      <c r="B73" s="2" t="s">
        <v>502</v>
      </c>
      <c r="C73" s="2" t="n">
        <v>3</v>
      </c>
      <c r="D73" s="2" t="s">
        <v>2801</v>
      </c>
      <c r="E73" s="2" t="s">
        <v>2802</v>
      </c>
    </row>
    <row r="74" customFormat="false" ht="15" hidden="false" customHeight="false" outlineLevel="0" collapsed="false">
      <c r="A74" s="2" t="n">
        <v>25</v>
      </c>
      <c r="B74" s="2" t="s">
        <v>522</v>
      </c>
      <c r="C74" s="2" t="n">
        <v>1</v>
      </c>
      <c r="D74" s="2" t="s">
        <v>2803</v>
      </c>
      <c r="E74" s="2" t="s">
        <v>2804</v>
      </c>
    </row>
    <row r="75" customFormat="false" ht="23.85" hidden="false" customHeight="false" outlineLevel="0" collapsed="false">
      <c r="A75" s="2" t="n">
        <v>25</v>
      </c>
      <c r="B75" s="2" t="s">
        <v>522</v>
      </c>
      <c r="C75" s="2" t="n">
        <v>2</v>
      </c>
      <c r="D75" s="2" t="s">
        <v>2805</v>
      </c>
      <c r="E75" s="2" t="s">
        <v>2806</v>
      </c>
    </row>
    <row r="76" customFormat="false" ht="15" hidden="false" customHeight="false" outlineLevel="0" collapsed="false">
      <c r="A76" s="2" t="n">
        <v>25</v>
      </c>
      <c r="B76" s="2" t="s">
        <v>522</v>
      </c>
      <c r="C76" s="2" t="n">
        <v>3</v>
      </c>
      <c r="D76" s="2" t="s">
        <v>2807</v>
      </c>
      <c r="E76" s="2" t="s">
        <v>2808</v>
      </c>
    </row>
    <row r="77" customFormat="false" ht="23.85" hidden="false" customHeight="false" outlineLevel="0" collapsed="false">
      <c r="A77" s="2" t="n">
        <v>26</v>
      </c>
      <c r="B77" s="2" t="s">
        <v>543</v>
      </c>
      <c r="C77" s="2" t="n">
        <v>1</v>
      </c>
      <c r="D77" s="2" t="s">
        <v>2809</v>
      </c>
      <c r="E77" s="2" t="s">
        <v>2810</v>
      </c>
    </row>
    <row r="78" customFormat="false" ht="15" hidden="false" customHeight="false" outlineLevel="0" collapsed="false">
      <c r="A78" s="2" t="n">
        <v>26</v>
      </c>
      <c r="B78" s="2" t="s">
        <v>543</v>
      </c>
      <c r="C78" s="2" t="n">
        <v>2</v>
      </c>
      <c r="D78" s="2" t="s">
        <v>2811</v>
      </c>
      <c r="E78" s="2" t="s">
        <v>2812</v>
      </c>
    </row>
    <row r="79" customFormat="false" ht="15" hidden="false" customHeight="false" outlineLevel="0" collapsed="false">
      <c r="A79" s="2" t="n">
        <v>26</v>
      </c>
      <c r="B79" s="2" t="s">
        <v>543</v>
      </c>
      <c r="C79" s="2" t="n">
        <v>3</v>
      </c>
      <c r="D79" s="2" t="s">
        <v>2813</v>
      </c>
      <c r="E79" s="2" t="s">
        <v>2814</v>
      </c>
    </row>
    <row r="80" customFormat="false" ht="15" hidden="false" customHeight="false" outlineLevel="0" collapsed="false">
      <c r="A80" s="2" t="n">
        <v>27</v>
      </c>
      <c r="B80" s="2" t="s">
        <v>562</v>
      </c>
      <c r="C80" s="2" t="n">
        <v>1</v>
      </c>
      <c r="D80" s="2" t="s">
        <v>2815</v>
      </c>
      <c r="E80" s="2" t="s">
        <v>2816</v>
      </c>
    </row>
    <row r="81" customFormat="false" ht="15" hidden="false" customHeight="false" outlineLevel="0" collapsed="false">
      <c r="A81" s="2" t="n">
        <v>27</v>
      </c>
      <c r="B81" s="2" t="s">
        <v>562</v>
      </c>
      <c r="C81" s="2" t="n">
        <v>2</v>
      </c>
      <c r="D81" s="2" t="s">
        <v>2817</v>
      </c>
      <c r="E81" s="2" t="s">
        <v>2818</v>
      </c>
    </row>
    <row r="82" customFormat="false" ht="15" hidden="false" customHeight="false" outlineLevel="0" collapsed="false">
      <c r="A82" s="2" t="n">
        <v>27</v>
      </c>
      <c r="B82" s="2" t="s">
        <v>562</v>
      </c>
      <c r="C82" s="2" t="n">
        <v>3</v>
      </c>
      <c r="D82" s="2" t="s">
        <v>2819</v>
      </c>
      <c r="E82" s="2" t="s">
        <v>2820</v>
      </c>
    </row>
    <row r="83" customFormat="false" ht="15" hidden="false" customHeight="false" outlineLevel="0" collapsed="false">
      <c r="A83" s="2" t="n">
        <v>28</v>
      </c>
      <c r="B83" s="2" t="s">
        <v>580</v>
      </c>
      <c r="C83" s="2" t="n">
        <v>1</v>
      </c>
      <c r="D83" s="2" t="s">
        <v>2821</v>
      </c>
      <c r="E83" s="2" t="s">
        <v>2822</v>
      </c>
    </row>
    <row r="84" customFormat="false" ht="15" hidden="false" customHeight="false" outlineLevel="0" collapsed="false">
      <c r="A84" s="2" t="n">
        <v>28</v>
      </c>
      <c r="B84" s="2" t="s">
        <v>580</v>
      </c>
      <c r="C84" s="2" t="n">
        <v>2</v>
      </c>
      <c r="D84" s="2" t="s">
        <v>2823</v>
      </c>
      <c r="E84" s="2" t="s">
        <v>2824</v>
      </c>
    </row>
    <row r="85" customFormat="false" ht="15" hidden="false" customHeight="false" outlineLevel="0" collapsed="false">
      <c r="A85" s="2" t="n">
        <v>28</v>
      </c>
      <c r="B85" s="2" t="s">
        <v>580</v>
      </c>
      <c r="C85" s="2" t="n">
        <v>3</v>
      </c>
      <c r="D85" s="2" t="s">
        <v>2825</v>
      </c>
      <c r="E85" s="2" t="s">
        <v>2826</v>
      </c>
    </row>
    <row r="86" customFormat="false" ht="15" hidden="false" customHeight="false" outlineLevel="0" collapsed="false">
      <c r="A86" s="2" t="n">
        <v>29</v>
      </c>
      <c r="B86" s="2" t="s">
        <v>600</v>
      </c>
      <c r="C86" s="2" t="n">
        <v>1</v>
      </c>
      <c r="D86" s="2" t="s">
        <v>2827</v>
      </c>
      <c r="E86" s="2" t="s">
        <v>2828</v>
      </c>
    </row>
    <row r="87" customFormat="false" ht="15" hidden="false" customHeight="false" outlineLevel="0" collapsed="false">
      <c r="A87" s="2" t="n">
        <v>29</v>
      </c>
      <c r="B87" s="2" t="s">
        <v>600</v>
      </c>
      <c r="C87" s="2" t="n">
        <v>2</v>
      </c>
      <c r="D87" s="2" t="s">
        <v>2829</v>
      </c>
      <c r="E87" s="2" t="s">
        <v>2830</v>
      </c>
    </row>
    <row r="88" customFormat="false" ht="15" hidden="false" customHeight="false" outlineLevel="0" collapsed="false">
      <c r="A88" s="2" t="n">
        <v>29</v>
      </c>
      <c r="B88" s="2" t="s">
        <v>600</v>
      </c>
      <c r="C88" s="2" t="n">
        <v>3</v>
      </c>
      <c r="D88" s="2" t="s">
        <v>2831</v>
      </c>
      <c r="E88" s="2" t="s">
        <v>2832</v>
      </c>
    </row>
    <row r="89" customFormat="false" ht="15" hidden="false" customHeight="false" outlineLevel="0" collapsed="false">
      <c r="A89" s="2" t="n">
        <v>30</v>
      </c>
      <c r="B89" s="2" t="s">
        <v>618</v>
      </c>
      <c r="C89" s="2" t="n">
        <v>1</v>
      </c>
      <c r="D89" s="2" t="s">
        <v>2833</v>
      </c>
      <c r="E89" s="2" t="s">
        <v>2834</v>
      </c>
    </row>
    <row r="90" customFormat="false" ht="15" hidden="false" customHeight="false" outlineLevel="0" collapsed="false">
      <c r="A90" s="2" t="n">
        <v>30</v>
      </c>
      <c r="B90" s="2" t="s">
        <v>618</v>
      </c>
      <c r="C90" s="2" t="n">
        <v>2</v>
      </c>
      <c r="D90" s="2" t="s">
        <v>2835</v>
      </c>
      <c r="E90" s="2" t="s">
        <v>2836</v>
      </c>
    </row>
    <row r="91" customFormat="false" ht="15" hidden="false" customHeight="false" outlineLevel="0" collapsed="false">
      <c r="A91" s="2" t="n">
        <v>30</v>
      </c>
      <c r="B91" s="2" t="s">
        <v>618</v>
      </c>
      <c r="C91" s="2" t="n">
        <v>3</v>
      </c>
      <c r="D91" s="2" t="s">
        <v>2837</v>
      </c>
      <c r="E91" s="2" t="s">
        <v>2838</v>
      </c>
    </row>
    <row r="92" customFormat="false" ht="15" hidden="false" customHeight="false" outlineLevel="0" collapsed="false">
      <c r="A92" s="2" t="n">
        <v>31</v>
      </c>
      <c r="B92" s="2" t="s">
        <v>638</v>
      </c>
      <c r="C92" s="2" t="n">
        <v>1</v>
      </c>
      <c r="D92" s="2" t="s">
        <v>2839</v>
      </c>
      <c r="E92" s="2" t="s">
        <v>2840</v>
      </c>
    </row>
    <row r="93" customFormat="false" ht="23.85" hidden="false" customHeight="false" outlineLevel="0" collapsed="false">
      <c r="A93" s="2" t="n">
        <v>31</v>
      </c>
      <c r="B93" s="2" t="s">
        <v>638</v>
      </c>
      <c r="C93" s="2" t="n">
        <v>2</v>
      </c>
      <c r="D93" s="2" t="s">
        <v>2841</v>
      </c>
      <c r="E93" s="2" t="s">
        <v>2842</v>
      </c>
    </row>
    <row r="94" customFormat="false" ht="15" hidden="false" customHeight="false" outlineLevel="0" collapsed="false">
      <c r="A94" s="2" t="n">
        <v>31</v>
      </c>
      <c r="B94" s="2" t="s">
        <v>638</v>
      </c>
      <c r="C94" s="2" t="n">
        <v>3</v>
      </c>
      <c r="D94" s="2" t="s">
        <v>2843</v>
      </c>
      <c r="E94" s="2" t="s">
        <v>2844</v>
      </c>
    </row>
    <row r="95" customFormat="false" ht="15" hidden="false" customHeight="false" outlineLevel="0" collapsed="false">
      <c r="A95" s="2" t="n">
        <v>32</v>
      </c>
      <c r="B95" s="2" t="s">
        <v>656</v>
      </c>
      <c r="C95" s="2" t="n">
        <v>1</v>
      </c>
      <c r="D95" s="2" t="s">
        <v>2845</v>
      </c>
      <c r="E95" s="2" t="s">
        <v>2846</v>
      </c>
    </row>
    <row r="96" customFormat="false" ht="15" hidden="false" customHeight="false" outlineLevel="0" collapsed="false">
      <c r="A96" s="2" t="n">
        <v>32</v>
      </c>
      <c r="B96" s="2" t="s">
        <v>656</v>
      </c>
      <c r="C96" s="2" t="n">
        <v>2</v>
      </c>
      <c r="D96" s="2" t="s">
        <v>2847</v>
      </c>
      <c r="E96" s="2" t="s">
        <v>2848</v>
      </c>
    </row>
    <row r="97" customFormat="false" ht="15" hidden="false" customHeight="false" outlineLevel="0" collapsed="false">
      <c r="A97" s="2" t="n">
        <v>32</v>
      </c>
      <c r="B97" s="2" t="s">
        <v>656</v>
      </c>
      <c r="C97" s="2" t="n">
        <v>3</v>
      </c>
      <c r="D97" s="2" t="s">
        <v>2849</v>
      </c>
      <c r="E97" s="2" t="s">
        <v>2850</v>
      </c>
    </row>
    <row r="98" customFormat="false" ht="23.85" hidden="false" customHeight="false" outlineLevel="0" collapsed="false">
      <c r="A98" s="2" t="n">
        <v>33</v>
      </c>
      <c r="B98" s="2" t="s">
        <v>675</v>
      </c>
      <c r="C98" s="2" t="n">
        <v>1</v>
      </c>
      <c r="D98" s="2" t="s">
        <v>2851</v>
      </c>
      <c r="E98" s="2" t="s">
        <v>2852</v>
      </c>
    </row>
    <row r="99" customFormat="false" ht="23.85" hidden="false" customHeight="false" outlineLevel="0" collapsed="false">
      <c r="A99" s="2" t="n">
        <v>33</v>
      </c>
      <c r="B99" s="2" t="s">
        <v>675</v>
      </c>
      <c r="C99" s="2" t="n">
        <v>2</v>
      </c>
      <c r="D99" s="2" t="s">
        <v>2853</v>
      </c>
      <c r="E99" s="2" t="s">
        <v>2854</v>
      </c>
    </row>
    <row r="100" customFormat="false" ht="23.85" hidden="false" customHeight="false" outlineLevel="0" collapsed="false">
      <c r="A100" s="2" t="n">
        <v>33</v>
      </c>
      <c r="B100" s="2" t="s">
        <v>675</v>
      </c>
      <c r="C100" s="2" t="n">
        <v>3</v>
      </c>
      <c r="D100" s="2" t="s">
        <v>2855</v>
      </c>
      <c r="E100" s="2" t="s">
        <v>2856</v>
      </c>
    </row>
    <row r="101" customFormat="false" ht="23.85" hidden="false" customHeight="false" outlineLevel="0" collapsed="false">
      <c r="A101" s="2" t="n">
        <v>34</v>
      </c>
      <c r="B101" s="2" t="s">
        <v>692</v>
      </c>
      <c r="C101" s="2" t="n">
        <v>1</v>
      </c>
      <c r="D101" s="2" t="s">
        <v>2857</v>
      </c>
      <c r="E101" s="2" t="s">
        <v>2858</v>
      </c>
    </row>
    <row r="102" customFormat="false" ht="23.85" hidden="false" customHeight="false" outlineLevel="0" collapsed="false">
      <c r="A102" s="2" t="n">
        <v>34</v>
      </c>
      <c r="B102" s="2" t="s">
        <v>692</v>
      </c>
      <c r="C102" s="2" t="n">
        <v>2</v>
      </c>
      <c r="D102" s="2" t="s">
        <v>2859</v>
      </c>
      <c r="E102" s="2" t="s">
        <v>2860</v>
      </c>
    </row>
    <row r="103" customFormat="false" ht="23.85" hidden="false" customHeight="false" outlineLevel="0" collapsed="false">
      <c r="A103" s="2" t="n">
        <v>34</v>
      </c>
      <c r="B103" s="2" t="s">
        <v>692</v>
      </c>
      <c r="C103" s="2" t="n">
        <v>3</v>
      </c>
      <c r="D103" s="2" t="s">
        <v>2861</v>
      </c>
      <c r="E103" s="2" t="s">
        <v>2862</v>
      </c>
    </row>
    <row r="104" customFormat="false" ht="23.85" hidden="false" customHeight="false" outlineLevel="0" collapsed="false">
      <c r="A104" s="2" t="n">
        <v>35</v>
      </c>
      <c r="B104" s="2" t="s">
        <v>712</v>
      </c>
      <c r="C104" s="2" t="n">
        <v>1</v>
      </c>
      <c r="D104" s="2" t="s">
        <v>2863</v>
      </c>
      <c r="E104" s="2" t="s">
        <v>2864</v>
      </c>
    </row>
    <row r="105" customFormat="false" ht="23.85" hidden="false" customHeight="false" outlineLevel="0" collapsed="false">
      <c r="A105" s="2" t="n">
        <v>35</v>
      </c>
      <c r="B105" s="2" t="s">
        <v>712</v>
      </c>
      <c r="C105" s="2" t="n">
        <v>2</v>
      </c>
      <c r="D105" s="2" t="s">
        <v>2865</v>
      </c>
      <c r="E105" s="2" t="s">
        <v>2866</v>
      </c>
    </row>
    <row r="106" customFormat="false" ht="23.85" hidden="false" customHeight="false" outlineLevel="0" collapsed="false">
      <c r="A106" s="2" t="n">
        <v>35</v>
      </c>
      <c r="B106" s="2" t="s">
        <v>712</v>
      </c>
      <c r="C106" s="2" t="n">
        <v>3</v>
      </c>
      <c r="D106" s="2" t="s">
        <v>2867</v>
      </c>
      <c r="E106" s="2" t="s">
        <v>2868</v>
      </c>
    </row>
    <row r="107" customFormat="false" ht="15" hidden="false" customHeight="false" outlineLevel="0" collapsed="false">
      <c r="A107" s="2" t="n">
        <v>36</v>
      </c>
      <c r="B107" s="2" t="s">
        <v>733</v>
      </c>
      <c r="C107" s="2" t="n">
        <v>1</v>
      </c>
      <c r="D107" s="2" t="s">
        <v>2869</v>
      </c>
      <c r="E107" s="2" t="s">
        <v>2870</v>
      </c>
    </row>
    <row r="108" customFormat="false" ht="15" hidden="false" customHeight="false" outlineLevel="0" collapsed="false">
      <c r="A108" s="2" t="n">
        <v>36</v>
      </c>
      <c r="B108" s="2" t="s">
        <v>733</v>
      </c>
      <c r="C108" s="2" t="n">
        <v>2</v>
      </c>
      <c r="D108" s="2" t="s">
        <v>2871</v>
      </c>
      <c r="E108" s="2" t="s">
        <v>2872</v>
      </c>
    </row>
    <row r="109" customFormat="false" ht="15" hidden="false" customHeight="false" outlineLevel="0" collapsed="false">
      <c r="A109" s="2" t="n">
        <v>36</v>
      </c>
      <c r="B109" s="2" t="s">
        <v>733</v>
      </c>
      <c r="C109" s="2" t="n">
        <v>3</v>
      </c>
      <c r="D109" s="2" t="s">
        <v>2873</v>
      </c>
      <c r="E109" s="2" t="s">
        <v>2874</v>
      </c>
    </row>
    <row r="110" customFormat="false" ht="23.85" hidden="false" customHeight="false" outlineLevel="0" collapsed="false">
      <c r="A110" s="2" t="n">
        <v>37</v>
      </c>
      <c r="B110" s="2" t="s">
        <v>752</v>
      </c>
      <c r="C110" s="2" t="n">
        <v>1</v>
      </c>
      <c r="D110" s="2" t="s">
        <v>2875</v>
      </c>
      <c r="E110" s="2" t="s">
        <v>2872</v>
      </c>
    </row>
    <row r="111" customFormat="false" ht="15" hidden="false" customHeight="false" outlineLevel="0" collapsed="false">
      <c r="A111" s="2" t="n">
        <v>37</v>
      </c>
      <c r="B111" s="2" t="s">
        <v>752</v>
      </c>
      <c r="C111" s="2" t="n">
        <v>2</v>
      </c>
      <c r="D111" s="2" t="s">
        <v>2876</v>
      </c>
      <c r="E111" s="2" t="s">
        <v>2877</v>
      </c>
    </row>
    <row r="112" customFormat="false" ht="23.85" hidden="false" customHeight="false" outlineLevel="0" collapsed="false">
      <c r="A112" s="2" t="n">
        <v>37</v>
      </c>
      <c r="B112" s="2" t="s">
        <v>752</v>
      </c>
      <c r="C112" s="2" t="n">
        <v>3</v>
      </c>
      <c r="D112" s="2" t="s">
        <v>2878</v>
      </c>
      <c r="E112" s="2" t="s">
        <v>2879</v>
      </c>
    </row>
    <row r="113" customFormat="false" ht="15" hidden="false" customHeight="false" outlineLevel="0" collapsed="false">
      <c r="A113" s="2" t="n">
        <v>38</v>
      </c>
      <c r="B113" s="2" t="s">
        <v>774</v>
      </c>
      <c r="C113" s="2" t="n">
        <v>1</v>
      </c>
      <c r="D113" s="2" t="s">
        <v>2880</v>
      </c>
      <c r="E113" s="2" t="s">
        <v>2881</v>
      </c>
    </row>
    <row r="114" customFormat="false" ht="15" hidden="false" customHeight="false" outlineLevel="0" collapsed="false">
      <c r="A114" s="2" t="n">
        <v>38</v>
      </c>
      <c r="B114" s="2" t="s">
        <v>774</v>
      </c>
      <c r="C114" s="2" t="n">
        <v>2</v>
      </c>
      <c r="D114" s="2" t="s">
        <v>2882</v>
      </c>
      <c r="E114" s="2" t="s">
        <v>2883</v>
      </c>
    </row>
    <row r="115" customFormat="false" ht="15" hidden="false" customHeight="false" outlineLevel="0" collapsed="false">
      <c r="A115" s="2" t="n">
        <v>38</v>
      </c>
      <c r="B115" s="2" t="s">
        <v>774</v>
      </c>
      <c r="C115" s="2" t="n">
        <v>3</v>
      </c>
      <c r="D115" s="2" t="s">
        <v>2884</v>
      </c>
      <c r="E115" s="2" t="s">
        <v>2885</v>
      </c>
    </row>
    <row r="116" customFormat="false" ht="15" hidden="false" customHeight="false" outlineLevel="0" collapsed="false">
      <c r="A116" s="2" t="n">
        <v>39</v>
      </c>
      <c r="B116" s="2" t="s">
        <v>797</v>
      </c>
      <c r="C116" s="2" t="n">
        <v>1</v>
      </c>
      <c r="D116" s="2" t="s">
        <v>2886</v>
      </c>
      <c r="E116" s="2" t="s">
        <v>2887</v>
      </c>
    </row>
    <row r="117" customFormat="false" ht="15" hidden="false" customHeight="false" outlineLevel="0" collapsed="false">
      <c r="A117" s="2" t="n">
        <v>39</v>
      </c>
      <c r="B117" s="2" t="s">
        <v>797</v>
      </c>
      <c r="C117" s="2" t="n">
        <v>2</v>
      </c>
      <c r="D117" s="2" t="s">
        <v>2888</v>
      </c>
      <c r="E117" s="2" t="s">
        <v>2889</v>
      </c>
    </row>
    <row r="118" customFormat="false" ht="15" hidden="false" customHeight="false" outlineLevel="0" collapsed="false">
      <c r="A118" s="2" t="n">
        <v>39</v>
      </c>
      <c r="B118" s="2" t="s">
        <v>797</v>
      </c>
      <c r="C118" s="2" t="n">
        <v>3</v>
      </c>
      <c r="D118" s="2" t="s">
        <v>2890</v>
      </c>
      <c r="E118" s="2" t="s">
        <v>2891</v>
      </c>
    </row>
    <row r="119" customFormat="false" ht="15" hidden="false" customHeight="false" outlineLevel="0" collapsed="false">
      <c r="A119" s="2" t="n">
        <v>40</v>
      </c>
      <c r="B119" s="2" t="s">
        <v>815</v>
      </c>
      <c r="C119" s="2" t="n">
        <v>1</v>
      </c>
      <c r="D119" s="2" t="s">
        <v>2892</v>
      </c>
      <c r="E119" s="2" t="s">
        <v>2893</v>
      </c>
    </row>
    <row r="120" customFormat="false" ht="15" hidden="false" customHeight="false" outlineLevel="0" collapsed="false">
      <c r="A120" s="2" t="n">
        <v>40</v>
      </c>
      <c r="B120" s="2" t="s">
        <v>815</v>
      </c>
      <c r="C120" s="2" t="n">
        <v>2</v>
      </c>
      <c r="D120" s="2" t="s">
        <v>2894</v>
      </c>
      <c r="E120" s="2" t="s">
        <v>2895</v>
      </c>
    </row>
    <row r="121" customFormat="false" ht="15" hidden="false" customHeight="false" outlineLevel="0" collapsed="false">
      <c r="A121" s="2" t="n">
        <v>40</v>
      </c>
      <c r="B121" s="2" t="s">
        <v>815</v>
      </c>
      <c r="C121" s="2" t="n">
        <v>3</v>
      </c>
      <c r="D121" s="2" t="s">
        <v>2896</v>
      </c>
      <c r="E121" s="2" t="s">
        <v>2897</v>
      </c>
    </row>
    <row r="122" customFormat="false" ht="15" hidden="false" customHeight="false" outlineLevel="0" collapsed="false">
      <c r="A122" s="2" t="n">
        <v>41</v>
      </c>
      <c r="B122" s="2" t="s">
        <v>832</v>
      </c>
      <c r="C122" s="2" t="n">
        <v>1</v>
      </c>
      <c r="D122" s="2" t="s">
        <v>2898</v>
      </c>
      <c r="E122" s="2" t="s">
        <v>2895</v>
      </c>
    </row>
    <row r="123" customFormat="false" ht="15" hidden="false" customHeight="false" outlineLevel="0" collapsed="false">
      <c r="A123" s="2" t="n">
        <v>41</v>
      </c>
      <c r="B123" s="2" t="s">
        <v>832</v>
      </c>
      <c r="C123" s="2" t="n">
        <v>2</v>
      </c>
      <c r="D123" s="2" t="s">
        <v>2899</v>
      </c>
      <c r="E123" s="2" t="s">
        <v>2900</v>
      </c>
    </row>
    <row r="124" customFormat="false" ht="15" hidden="false" customHeight="false" outlineLevel="0" collapsed="false">
      <c r="A124" s="2" t="n">
        <v>41</v>
      </c>
      <c r="B124" s="2" t="s">
        <v>832</v>
      </c>
      <c r="C124" s="2" t="n">
        <v>3</v>
      </c>
      <c r="D124" s="2" t="s">
        <v>2901</v>
      </c>
      <c r="E124" s="2" t="s">
        <v>2902</v>
      </c>
    </row>
    <row r="125" customFormat="false" ht="15" hidden="false" customHeight="false" outlineLevel="0" collapsed="false">
      <c r="A125" s="2" t="n">
        <v>42</v>
      </c>
      <c r="B125" s="2" t="s">
        <v>852</v>
      </c>
      <c r="C125" s="2" t="n">
        <v>1</v>
      </c>
      <c r="D125" s="2" t="s">
        <v>2903</v>
      </c>
      <c r="E125" s="2" t="s">
        <v>2904</v>
      </c>
    </row>
    <row r="126" customFormat="false" ht="15" hidden="false" customHeight="false" outlineLevel="0" collapsed="false">
      <c r="A126" s="2" t="n">
        <v>42</v>
      </c>
      <c r="B126" s="2" t="s">
        <v>852</v>
      </c>
      <c r="C126" s="2" t="n">
        <v>2</v>
      </c>
      <c r="D126" s="2" t="s">
        <v>2905</v>
      </c>
      <c r="E126" s="2" t="s">
        <v>2906</v>
      </c>
    </row>
    <row r="127" customFormat="false" ht="15" hidden="false" customHeight="false" outlineLevel="0" collapsed="false">
      <c r="A127" s="2" t="n">
        <v>42</v>
      </c>
      <c r="B127" s="2" t="s">
        <v>852</v>
      </c>
      <c r="C127" s="2" t="n">
        <v>3</v>
      </c>
      <c r="D127" s="2" t="s">
        <v>2907</v>
      </c>
      <c r="E127" s="2" t="s">
        <v>2908</v>
      </c>
    </row>
    <row r="128" customFormat="false" ht="15" hidden="false" customHeight="false" outlineLevel="0" collapsed="false">
      <c r="A128" s="2" t="n">
        <v>43</v>
      </c>
      <c r="B128" s="2" t="s">
        <v>870</v>
      </c>
      <c r="C128" s="2" t="n">
        <v>1</v>
      </c>
      <c r="D128" s="2" t="s">
        <v>2909</v>
      </c>
      <c r="E128" s="2" t="s">
        <v>2910</v>
      </c>
    </row>
    <row r="129" customFormat="false" ht="15" hidden="false" customHeight="false" outlineLevel="0" collapsed="false">
      <c r="A129" s="2" t="n">
        <v>43</v>
      </c>
      <c r="B129" s="2" t="s">
        <v>870</v>
      </c>
      <c r="C129" s="2" t="n">
        <v>2</v>
      </c>
      <c r="D129" s="2" t="s">
        <v>2911</v>
      </c>
      <c r="E129" s="2" t="s">
        <v>2912</v>
      </c>
    </row>
    <row r="130" customFormat="false" ht="15" hidden="false" customHeight="false" outlineLevel="0" collapsed="false">
      <c r="A130" s="2" t="n">
        <v>43</v>
      </c>
      <c r="B130" s="2" t="s">
        <v>870</v>
      </c>
      <c r="C130" s="2" t="n">
        <v>3</v>
      </c>
      <c r="D130" s="2" t="s">
        <v>2913</v>
      </c>
      <c r="E130" s="2" t="s">
        <v>2914</v>
      </c>
    </row>
    <row r="131" customFormat="false" ht="15" hidden="false" customHeight="false" outlineLevel="0" collapsed="false">
      <c r="A131" s="2" t="n">
        <v>44</v>
      </c>
      <c r="B131" s="2" t="s">
        <v>890</v>
      </c>
      <c r="C131" s="2" t="n">
        <v>1</v>
      </c>
      <c r="D131" s="2" t="s">
        <v>2915</v>
      </c>
      <c r="E131" s="2" t="s">
        <v>2916</v>
      </c>
    </row>
    <row r="132" customFormat="false" ht="15" hidden="false" customHeight="false" outlineLevel="0" collapsed="false">
      <c r="A132" s="2" t="n">
        <v>44</v>
      </c>
      <c r="B132" s="2" t="s">
        <v>890</v>
      </c>
      <c r="C132" s="2" t="n">
        <v>2</v>
      </c>
      <c r="D132" s="2" t="s">
        <v>2917</v>
      </c>
      <c r="E132" s="2" t="s">
        <v>2918</v>
      </c>
    </row>
    <row r="133" customFormat="false" ht="15" hidden="false" customHeight="false" outlineLevel="0" collapsed="false">
      <c r="A133" s="2" t="n">
        <v>44</v>
      </c>
      <c r="B133" s="2" t="s">
        <v>890</v>
      </c>
      <c r="C133" s="2" t="n">
        <v>3</v>
      </c>
      <c r="D133" s="2" t="s">
        <v>2919</v>
      </c>
      <c r="E133" s="2" t="s">
        <v>2920</v>
      </c>
    </row>
    <row r="134" customFormat="false" ht="15" hidden="false" customHeight="false" outlineLevel="0" collapsed="false">
      <c r="A134" s="2" t="n">
        <v>45</v>
      </c>
      <c r="B134" s="2" t="s">
        <v>912</v>
      </c>
      <c r="C134" s="2" t="n">
        <v>1</v>
      </c>
      <c r="D134" s="2" t="s">
        <v>2921</v>
      </c>
      <c r="E134" s="2" t="s">
        <v>2922</v>
      </c>
    </row>
    <row r="135" customFormat="false" ht="15" hidden="false" customHeight="false" outlineLevel="0" collapsed="false">
      <c r="A135" s="2" t="n">
        <v>45</v>
      </c>
      <c r="B135" s="2" t="s">
        <v>912</v>
      </c>
      <c r="C135" s="2" t="n">
        <v>2</v>
      </c>
      <c r="D135" s="2" t="s">
        <v>2923</v>
      </c>
      <c r="E135" s="2" t="s">
        <v>2924</v>
      </c>
    </row>
    <row r="136" customFormat="false" ht="15" hidden="false" customHeight="false" outlineLevel="0" collapsed="false">
      <c r="A136" s="2" t="n">
        <v>45</v>
      </c>
      <c r="B136" s="2" t="s">
        <v>912</v>
      </c>
      <c r="C136" s="2" t="n">
        <v>3</v>
      </c>
      <c r="D136" s="2" t="s">
        <v>2925</v>
      </c>
      <c r="E136" s="2" t="s">
        <v>2926</v>
      </c>
    </row>
    <row r="137" customFormat="false" ht="15" hidden="false" customHeight="false" outlineLevel="0" collapsed="false">
      <c r="A137" s="2" t="n">
        <v>46</v>
      </c>
      <c r="B137" s="2" t="s">
        <v>932</v>
      </c>
      <c r="C137" s="2" t="n">
        <v>1</v>
      </c>
      <c r="D137" s="2" t="s">
        <v>2927</v>
      </c>
      <c r="E137" s="2" t="s">
        <v>2928</v>
      </c>
    </row>
    <row r="138" customFormat="false" ht="15" hidden="false" customHeight="false" outlineLevel="0" collapsed="false">
      <c r="A138" s="2" t="n">
        <v>46</v>
      </c>
      <c r="B138" s="2" t="s">
        <v>932</v>
      </c>
      <c r="C138" s="2" t="n">
        <v>2</v>
      </c>
      <c r="D138" s="2" t="s">
        <v>2929</v>
      </c>
      <c r="E138" s="2" t="s">
        <v>2930</v>
      </c>
    </row>
    <row r="139" customFormat="false" ht="15" hidden="false" customHeight="false" outlineLevel="0" collapsed="false">
      <c r="A139" s="2" t="n">
        <v>46</v>
      </c>
      <c r="B139" s="2" t="s">
        <v>932</v>
      </c>
      <c r="C139" s="2" t="n">
        <v>3</v>
      </c>
      <c r="D139" s="2" t="s">
        <v>2931</v>
      </c>
      <c r="E139" s="2" t="s">
        <v>2932</v>
      </c>
    </row>
    <row r="140" customFormat="false" ht="23.85" hidden="false" customHeight="false" outlineLevel="0" collapsed="false">
      <c r="A140" s="2" t="n">
        <v>47</v>
      </c>
      <c r="B140" s="2" t="s">
        <v>949</v>
      </c>
      <c r="C140" s="2" t="n">
        <v>1</v>
      </c>
      <c r="D140" s="2" t="s">
        <v>2933</v>
      </c>
      <c r="E140" s="2" t="s">
        <v>2934</v>
      </c>
    </row>
    <row r="141" customFormat="false" ht="23.85" hidden="false" customHeight="false" outlineLevel="0" collapsed="false">
      <c r="A141" s="2" t="n">
        <v>47</v>
      </c>
      <c r="B141" s="2" t="s">
        <v>949</v>
      </c>
      <c r="C141" s="2" t="n">
        <v>2</v>
      </c>
      <c r="D141" s="2" t="s">
        <v>2935</v>
      </c>
      <c r="E141" s="2" t="s">
        <v>2936</v>
      </c>
    </row>
    <row r="142" customFormat="false" ht="23.85" hidden="false" customHeight="false" outlineLevel="0" collapsed="false">
      <c r="A142" s="2" t="n">
        <v>47</v>
      </c>
      <c r="B142" s="2" t="s">
        <v>949</v>
      </c>
      <c r="C142" s="2" t="n">
        <v>3</v>
      </c>
      <c r="D142" s="2" t="s">
        <v>2937</v>
      </c>
      <c r="E142" s="2" t="s">
        <v>2938</v>
      </c>
    </row>
    <row r="143" customFormat="false" ht="15" hidden="false" customHeight="false" outlineLevel="0" collapsed="false">
      <c r="A143" s="2" t="n">
        <v>48</v>
      </c>
      <c r="B143" s="2" t="s">
        <v>969</v>
      </c>
      <c r="C143" s="2" t="n">
        <v>1</v>
      </c>
      <c r="D143" s="2" t="s">
        <v>2939</v>
      </c>
      <c r="E143" s="2" t="s">
        <v>2940</v>
      </c>
    </row>
    <row r="144" customFormat="false" ht="15" hidden="false" customHeight="false" outlineLevel="0" collapsed="false">
      <c r="A144" s="2" t="n">
        <v>48</v>
      </c>
      <c r="B144" s="2" t="s">
        <v>969</v>
      </c>
      <c r="C144" s="2" t="n">
        <v>2</v>
      </c>
      <c r="D144" s="2" t="s">
        <v>2941</v>
      </c>
      <c r="E144" s="2" t="s">
        <v>2942</v>
      </c>
    </row>
    <row r="145" customFormat="false" ht="15" hidden="false" customHeight="false" outlineLevel="0" collapsed="false">
      <c r="A145" s="2" t="n">
        <v>48</v>
      </c>
      <c r="B145" s="2" t="s">
        <v>969</v>
      </c>
      <c r="C145" s="2" t="n">
        <v>3</v>
      </c>
      <c r="D145" s="2" t="s">
        <v>2943</v>
      </c>
      <c r="E145" s="2" t="s">
        <v>2944</v>
      </c>
    </row>
    <row r="146" customFormat="false" ht="15" hidden="false" customHeight="false" outlineLevel="0" collapsed="false">
      <c r="A146" s="2" t="n">
        <v>49</v>
      </c>
      <c r="B146" s="2" t="s">
        <v>990</v>
      </c>
      <c r="C146" s="2" t="n">
        <v>1</v>
      </c>
      <c r="D146" s="2" t="s">
        <v>2945</v>
      </c>
      <c r="E146" s="2" t="s">
        <v>2946</v>
      </c>
    </row>
    <row r="147" customFormat="false" ht="15" hidden="false" customHeight="false" outlineLevel="0" collapsed="false">
      <c r="A147" s="2" t="n">
        <v>49</v>
      </c>
      <c r="B147" s="2" t="s">
        <v>990</v>
      </c>
      <c r="C147" s="2" t="n">
        <v>2</v>
      </c>
      <c r="D147" s="2" t="s">
        <v>2947</v>
      </c>
      <c r="E147" s="2" t="s">
        <v>2948</v>
      </c>
    </row>
    <row r="148" customFormat="false" ht="15" hidden="false" customHeight="false" outlineLevel="0" collapsed="false">
      <c r="A148" s="2" t="n">
        <v>49</v>
      </c>
      <c r="B148" s="2" t="s">
        <v>990</v>
      </c>
      <c r="C148" s="2" t="n">
        <v>3</v>
      </c>
      <c r="D148" s="2" t="s">
        <v>2949</v>
      </c>
      <c r="E148" s="2" t="s">
        <v>2950</v>
      </c>
    </row>
    <row r="149" customFormat="false" ht="15" hidden="false" customHeight="false" outlineLevel="0" collapsed="false">
      <c r="A149" s="2" t="n">
        <v>50</v>
      </c>
      <c r="B149" s="2" t="s">
        <v>1009</v>
      </c>
      <c r="C149" s="2" t="n">
        <v>1</v>
      </c>
      <c r="D149" s="2" t="s">
        <v>2951</v>
      </c>
      <c r="E149" s="2" t="s">
        <v>2952</v>
      </c>
    </row>
    <row r="150" customFormat="false" ht="15" hidden="false" customHeight="false" outlineLevel="0" collapsed="false">
      <c r="A150" s="2" t="n">
        <v>50</v>
      </c>
      <c r="B150" s="2" t="s">
        <v>1009</v>
      </c>
      <c r="C150" s="2" t="n">
        <v>2</v>
      </c>
      <c r="D150" s="2" t="s">
        <v>2953</v>
      </c>
      <c r="E150" s="2" t="s">
        <v>2954</v>
      </c>
    </row>
    <row r="151" customFormat="false" ht="15" hidden="false" customHeight="false" outlineLevel="0" collapsed="false">
      <c r="A151" s="2" t="n">
        <v>50</v>
      </c>
      <c r="B151" s="2" t="s">
        <v>1009</v>
      </c>
      <c r="C151" s="2" t="n">
        <v>3</v>
      </c>
      <c r="D151" s="2" t="s">
        <v>2955</v>
      </c>
      <c r="E151" s="2" t="s">
        <v>2956</v>
      </c>
    </row>
    <row r="152" customFormat="false" ht="15" hidden="false" customHeight="false" outlineLevel="0" collapsed="false">
      <c r="A152" s="2" t="n">
        <v>51</v>
      </c>
      <c r="B152" s="2" t="s">
        <v>1030</v>
      </c>
      <c r="C152" s="2" t="n">
        <v>1</v>
      </c>
      <c r="D152" s="2" t="s">
        <v>2957</v>
      </c>
      <c r="E152" s="2" t="s">
        <v>2958</v>
      </c>
    </row>
    <row r="153" customFormat="false" ht="15" hidden="false" customHeight="false" outlineLevel="0" collapsed="false">
      <c r="A153" s="2" t="n">
        <v>51</v>
      </c>
      <c r="B153" s="2" t="s">
        <v>1030</v>
      </c>
      <c r="C153" s="2" t="n">
        <v>2</v>
      </c>
      <c r="D153" s="2" t="s">
        <v>2959</v>
      </c>
      <c r="E153" s="2" t="s">
        <v>2960</v>
      </c>
    </row>
    <row r="154" customFormat="false" ht="15" hidden="false" customHeight="false" outlineLevel="0" collapsed="false">
      <c r="A154" s="2" t="n">
        <v>51</v>
      </c>
      <c r="B154" s="2" t="s">
        <v>1030</v>
      </c>
      <c r="C154" s="2" t="n">
        <v>3</v>
      </c>
      <c r="D154" s="2" t="s">
        <v>2961</v>
      </c>
      <c r="E154" s="2" t="s">
        <v>2962</v>
      </c>
    </row>
    <row r="155" customFormat="false" ht="15" hidden="false" customHeight="false" outlineLevel="0" collapsed="false">
      <c r="A155" s="2" t="n">
        <v>52</v>
      </c>
      <c r="B155" s="2" t="s">
        <v>1052</v>
      </c>
      <c r="C155" s="2" t="n">
        <v>1</v>
      </c>
      <c r="D155" s="2" t="s">
        <v>2963</v>
      </c>
      <c r="E155" s="2" t="s">
        <v>2964</v>
      </c>
    </row>
    <row r="156" customFormat="false" ht="15" hidden="false" customHeight="false" outlineLevel="0" collapsed="false">
      <c r="A156" s="2" t="n">
        <v>52</v>
      </c>
      <c r="B156" s="2" t="s">
        <v>1052</v>
      </c>
      <c r="C156" s="2" t="n">
        <v>2</v>
      </c>
      <c r="D156" s="2" t="s">
        <v>2965</v>
      </c>
      <c r="E156" s="2" t="s">
        <v>2966</v>
      </c>
    </row>
    <row r="157" customFormat="false" ht="23.85" hidden="false" customHeight="false" outlineLevel="0" collapsed="false">
      <c r="A157" s="2" t="n">
        <v>52</v>
      </c>
      <c r="B157" s="2" t="s">
        <v>1052</v>
      </c>
      <c r="C157" s="2" t="n">
        <v>3</v>
      </c>
      <c r="D157" s="2" t="s">
        <v>2967</v>
      </c>
      <c r="E157" s="2" t="s">
        <v>2968</v>
      </c>
    </row>
    <row r="158" customFormat="false" ht="15" hidden="false" customHeight="false" outlineLevel="0" collapsed="false">
      <c r="A158" s="2" t="n">
        <v>53</v>
      </c>
      <c r="B158" s="2" t="s">
        <v>1073</v>
      </c>
      <c r="C158" s="2" t="n">
        <v>1</v>
      </c>
      <c r="D158" s="2" t="s">
        <v>2969</v>
      </c>
      <c r="E158" s="2" t="s">
        <v>2970</v>
      </c>
    </row>
    <row r="159" customFormat="false" ht="15" hidden="false" customHeight="false" outlineLevel="0" collapsed="false">
      <c r="A159" s="2" t="n">
        <v>53</v>
      </c>
      <c r="B159" s="2" t="s">
        <v>1073</v>
      </c>
      <c r="C159" s="2" t="n">
        <v>2</v>
      </c>
      <c r="D159" s="2" t="s">
        <v>2971</v>
      </c>
      <c r="E159" s="2" t="s">
        <v>2972</v>
      </c>
    </row>
    <row r="160" customFormat="false" ht="15" hidden="false" customHeight="false" outlineLevel="0" collapsed="false">
      <c r="A160" s="2" t="n">
        <v>53</v>
      </c>
      <c r="B160" s="2" t="s">
        <v>1073</v>
      </c>
      <c r="C160" s="2" t="n">
        <v>3</v>
      </c>
      <c r="D160" s="2" t="s">
        <v>2973</v>
      </c>
      <c r="E160" s="2" t="s">
        <v>2974</v>
      </c>
    </row>
    <row r="161" customFormat="false" ht="15" hidden="false" customHeight="false" outlineLevel="0" collapsed="false">
      <c r="A161" s="2" t="n">
        <v>54</v>
      </c>
      <c r="B161" s="2" t="s">
        <v>1092</v>
      </c>
      <c r="C161" s="2" t="n">
        <v>1</v>
      </c>
      <c r="D161" s="2" t="s">
        <v>2975</v>
      </c>
      <c r="E161" s="2" t="s">
        <v>2976</v>
      </c>
    </row>
    <row r="162" customFormat="false" ht="15" hidden="false" customHeight="false" outlineLevel="0" collapsed="false">
      <c r="A162" s="2" t="n">
        <v>54</v>
      </c>
      <c r="B162" s="2" t="s">
        <v>1092</v>
      </c>
      <c r="C162" s="2" t="n">
        <v>2</v>
      </c>
      <c r="D162" s="2" t="s">
        <v>2977</v>
      </c>
      <c r="E162" s="2" t="s">
        <v>2978</v>
      </c>
    </row>
    <row r="163" customFormat="false" ht="23.85" hidden="false" customHeight="false" outlineLevel="0" collapsed="false">
      <c r="A163" s="2" t="n">
        <v>54</v>
      </c>
      <c r="B163" s="2" t="s">
        <v>1092</v>
      </c>
      <c r="C163" s="2" t="n">
        <v>3</v>
      </c>
      <c r="D163" s="2" t="s">
        <v>2979</v>
      </c>
      <c r="E163" s="2" t="s">
        <v>2980</v>
      </c>
    </row>
    <row r="164" customFormat="false" ht="23.85" hidden="false" customHeight="false" outlineLevel="0" collapsed="false">
      <c r="A164" s="2" t="n">
        <v>55</v>
      </c>
      <c r="B164" s="2" t="s">
        <v>1112</v>
      </c>
      <c r="C164" s="2" t="n">
        <v>1</v>
      </c>
      <c r="D164" s="2" t="s">
        <v>2981</v>
      </c>
      <c r="E164" s="2" t="s">
        <v>2982</v>
      </c>
    </row>
    <row r="165" customFormat="false" ht="23.85" hidden="false" customHeight="false" outlineLevel="0" collapsed="false">
      <c r="A165" s="2" t="n">
        <v>55</v>
      </c>
      <c r="B165" s="2" t="s">
        <v>1112</v>
      </c>
      <c r="C165" s="2" t="n">
        <v>2</v>
      </c>
      <c r="D165" s="2" t="s">
        <v>2983</v>
      </c>
      <c r="E165" s="2" t="s">
        <v>2984</v>
      </c>
    </row>
    <row r="166" customFormat="false" ht="15" hidden="false" customHeight="false" outlineLevel="0" collapsed="false">
      <c r="A166" s="2" t="n">
        <v>55</v>
      </c>
      <c r="B166" s="2" t="s">
        <v>1112</v>
      </c>
      <c r="C166" s="2" t="n">
        <v>3</v>
      </c>
      <c r="D166" s="2" t="s">
        <v>2985</v>
      </c>
      <c r="E166" s="2" t="s">
        <v>2986</v>
      </c>
    </row>
    <row r="167" customFormat="false" ht="15" hidden="false" customHeight="false" outlineLevel="0" collapsed="false">
      <c r="A167" s="2" t="n">
        <v>56</v>
      </c>
      <c r="B167" s="2" t="s">
        <v>1134</v>
      </c>
      <c r="C167" s="2" t="n">
        <v>1</v>
      </c>
      <c r="D167" s="2" t="s">
        <v>2987</v>
      </c>
      <c r="E167" s="2" t="s">
        <v>2988</v>
      </c>
    </row>
    <row r="168" customFormat="false" ht="15" hidden="false" customHeight="false" outlineLevel="0" collapsed="false">
      <c r="A168" s="2" t="n">
        <v>56</v>
      </c>
      <c r="B168" s="2" t="s">
        <v>1134</v>
      </c>
      <c r="C168" s="2" t="n">
        <v>2</v>
      </c>
      <c r="D168" s="2" t="s">
        <v>2989</v>
      </c>
      <c r="E168" s="2" t="s">
        <v>2990</v>
      </c>
    </row>
    <row r="169" customFormat="false" ht="15" hidden="false" customHeight="false" outlineLevel="0" collapsed="false">
      <c r="A169" s="2" t="n">
        <v>56</v>
      </c>
      <c r="B169" s="2" t="s">
        <v>1134</v>
      </c>
      <c r="C169" s="2" t="n">
        <v>3</v>
      </c>
      <c r="D169" s="2" t="s">
        <v>2991</v>
      </c>
      <c r="E169" s="2" t="s">
        <v>2992</v>
      </c>
    </row>
    <row r="170" customFormat="false" ht="23.85" hidden="false" customHeight="false" outlineLevel="0" collapsed="false">
      <c r="A170" s="2" t="n">
        <v>57</v>
      </c>
      <c r="B170" s="2" t="s">
        <v>1154</v>
      </c>
      <c r="C170" s="2" t="n">
        <v>1</v>
      </c>
      <c r="D170" s="2" t="s">
        <v>2993</v>
      </c>
      <c r="E170" s="2" t="s">
        <v>2994</v>
      </c>
    </row>
    <row r="171" customFormat="false" ht="23.85" hidden="false" customHeight="false" outlineLevel="0" collapsed="false">
      <c r="A171" s="2" t="n">
        <v>57</v>
      </c>
      <c r="B171" s="2" t="s">
        <v>1154</v>
      </c>
      <c r="C171" s="2" t="n">
        <v>2</v>
      </c>
      <c r="D171" s="2" t="s">
        <v>2995</v>
      </c>
      <c r="E171" s="2" t="s">
        <v>2996</v>
      </c>
    </row>
    <row r="172" customFormat="false" ht="23.85" hidden="false" customHeight="false" outlineLevel="0" collapsed="false">
      <c r="A172" s="2" t="n">
        <v>57</v>
      </c>
      <c r="B172" s="2" t="s">
        <v>1154</v>
      </c>
      <c r="C172" s="2" t="n">
        <v>3</v>
      </c>
      <c r="D172" s="2" t="s">
        <v>2997</v>
      </c>
      <c r="E172" s="2" t="s">
        <v>2998</v>
      </c>
    </row>
    <row r="173" customFormat="false" ht="15" hidden="false" customHeight="false" outlineLevel="0" collapsed="false">
      <c r="A173" s="2" t="n">
        <v>58</v>
      </c>
      <c r="B173" s="2" t="s">
        <v>1175</v>
      </c>
      <c r="C173" s="2" t="n">
        <v>1</v>
      </c>
      <c r="D173" s="2" t="s">
        <v>2999</v>
      </c>
      <c r="E173" s="2" t="s">
        <v>3000</v>
      </c>
    </row>
    <row r="174" customFormat="false" ht="15" hidden="false" customHeight="false" outlineLevel="0" collapsed="false">
      <c r="A174" s="2" t="n">
        <v>58</v>
      </c>
      <c r="B174" s="2" t="s">
        <v>1175</v>
      </c>
      <c r="C174" s="2" t="n">
        <v>2</v>
      </c>
      <c r="D174" s="2" t="s">
        <v>3001</v>
      </c>
      <c r="E174" s="2" t="s">
        <v>3002</v>
      </c>
    </row>
    <row r="175" customFormat="false" ht="23.85" hidden="false" customHeight="false" outlineLevel="0" collapsed="false">
      <c r="A175" s="2" t="n">
        <v>58</v>
      </c>
      <c r="B175" s="2" t="s">
        <v>1175</v>
      </c>
      <c r="C175" s="2" t="n">
        <v>3</v>
      </c>
      <c r="D175" s="2" t="s">
        <v>3003</v>
      </c>
      <c r="E175" s="2" t="s">
        <v>3004</v>
      </c>
    </row>
    <row r="176" customFormat="false" ht="15" hidden="false" customHeight="false" outlineLevel="0" collapsed="false">
      <c r="A176" s="2" t="n">
        <v>59</v>
      </c>
      <c r="B176" s="2" t="s">
        <v>1194</v>
      </c>
      <c r="C176" s="2" t="n">
        <v>1</v>
      </c>
      <c r="D176" s="2" t="s">
        <v>3005</v>
      </c>
      <c r="E176" s="2" t="s">
        <v>3006</v>
      </c>
    </row>
    <row r="177" customFormat="false" ht="15" hidden="false" customHeight="false" outlineLevel="0" collapsed="false">
      <c r="A177" s="2" t="n">
        <v>59</v>
      </c>
      <c r="B177" s="2" t="s">
        <v>1194</v>
      </c>
      <c r="C177" s="2" t="n">
        <v>2</v>
      </c>
      <c r="D177" s="2" t="s">
        <v>3007</v>
      </c>
      <c r="E177" s="2" t="s">
        <v>3008</v>
      </c>
    </row>
    <row r="178" customFormat="false" ht="15" hidden="false" customHeight="false" outlineLevel="0" collapsed="false">
      <c r="A178" s="2" t="n">
        <v>59</v>
      </c>
      <c r="B178" s="2" t="s">
        <v>1194</v>
      </c>
      <c r="C178" s="2" t="n">
        <v>3</v>
      </c>
      <c r="D178" s="2" t="s">
        <v>3009</v>
      </c>
      <c r="E178" s="2" t="s">
        <v>3010</v>
      </c>
    </row>
    <row r="179" customFormat="false" ht="15" hidden="false" customHeight="false" outlineLevel="0" collapsed="false">
      <c r="A179" s="2" t="n">
        <v>60</v>
      </c>
      <c r="B179" s="2" t="s">
        <v>1213</v>
      </c>
      <c r="C179" s="2" t="n">
        <v>1</v>
      </c>
      <c r="D179" s="2" t="s">
        <v>3011</v>
      </c>
      <c r="E179" s="2" t="s">
        <v>3012</v>
      </c>
    </row>
    <row r="180" customFormat="false" ht="15" hidden="false" customHeight="false" outlineLevel="0" collapsed="false">
      <c r="A180" s="2" t="n">
        <v>60</v>
      </c>
      <c r="B180" s="2" t="s">
        <v>1213</v>
      </c>
      <c r="C180" s="2" t="n">
        <v>2</v>
      </c>
      <c r="D180" s="2" t="s">
        <v>3013</v>
      </c>
      <c r="E180" s="2" t="s">
        <v>3014</v>
      </c>
    </row>
    <row r="181" customFormat="false" ht="23.85" hidden="false" customHeight="false" outlineLevel="0" collapsed="false">
      <c r="A181" s="2" t="n">
        <v>60</v>
      </c>
      <c r="B181" s="2" t="s">
        <v>1213</v>
      </c>
      <c r="C181" s="2" t="n">
        <v>3</v>
      </c>
      <c r="D181" s="2" t="s">
        <v>3015</v>
      </c>
      <c r="E181" s="2" t="s">
        <v>3016</v>
      </c>
    </row>
    <row r="182" customFormat="false" ht="15" hidden="false" customHeight="false" outlineLevel="0" collapsed="false">
      <c r="A182" s="2" t="n">
        <v>61</v>
      </c>
      <c r="B182" s="2" t="s">
        <v>1232</v>
      </c>
      <c r="C182" s="2" t="n">
        <v>1</v>
      </c>
      <c r="D182" s="2" t="s">
        <v>3017</v>
      </c>
      <c r="E182" s="2" t="s">
        <v>3018</v>
      </c>
    </row>
    <row r="183" customFormat="false" ht="15" hidden="false" customHeight="false" outlineLevel="0" collapsed="false">
      <c r="A183" s="2" t="n">
        <v>61</v>
      </c>
      <c r="B183" s="2" t="s">
        <v>1232</v>
      </c>
      <c r="C183" s="2" t="n">
        <v>2</v>
      </c>
      <c r="D183" s="2" t="s">
        <v>3019</v>
      </c>
      <c r="E183" s="2" t="s">
        <v>3020</v>
      </c>
    </row>
    <row r="184" customFormat="false" ht="15" hidden="false" customHeight="false" outlineLevel="0" collapsed="false">
      <c r="A184" s="2" t="n">
        <v>61</v>
      </c>
      <c r="B184" s="2" t="s">
        <v>1232</v>
      </c>
      <c r="C184" s="2" t="n">
        <v>3</v>
      </c>
      <c r="D184" s="2" t="s">
        <v>3021</v>
      </c>
      <c r="E184" s="2" t="s">
        <v>3022</v>
      </c>
    </row>
    <row r="185" customFormat="false" ht="15" hidden="false" customHeight="false" outlineLevel="0" collapsed="false">
      <c r="A185" s="2" t="n">
        <v>62</v>
      </c>
      <c r="B185" s="2" t="s">
        <v>1251</v>
      </c>
      <c r="C185" s="2" t="n">
        <v>1</v>
      </c>
      <c r="D185" s="2" t="s">
        <v>3023</v>
      </c>
      <c r="E185" s="2" t="s">
        <v>3024</v>
      </c>
    </row>
    <row r="186" customFormat="false" ht="15" hidden="false" customHeight="false" outlineLevel="0" collapsed="false">
      <c r="A186" s="2" t="n">
        <v>62</v>
      </c>
      <c r="B186" s="2" t="s">
        <v>1251</v>
      </c>
      <c r="C186" s="2" t="n">
        <v>2</v>
      </c>
      <c r="D186" s="2" t="s">
        <v>3025</v>
      </c>
      <c r="E186" s="2" t="s">
        <v>3026</v>
      </c>
    </row>
    <row r="187" customFormat="false" ht="15" hidden="false" customHeight="false" outlineLevel="0" collapsed="false">
      <c r="A187" s="2" t="n">
        <v>62</v>
      </c>
      <c r="B187" s="2" t="s">
        <v>1251</v>
      </c>
      <c r="C187" s="2" t="n">
        <v>3</v>
      </c>
      <c r="D187" s="2" t="s">
        <v>3027</v>
      </c>
      <c r="E187" s="2" t="s">
        <v>3028</v>
      </c>
    </row>
    <row r="188" customFormat="false" ht="15" hidden="false" customHeight="false" outlineLevel="0" collapsed="false">
      <c r="A188" s="2" t="n">
        <v>63</v>
      </c>
      <c r="B188" s="2" t="s">
        <v>1268</v>
      </c>
      <c r="C188" s="2" t="n">
        <v>1</v>
      </c>
      <c r="D188" s="2" t="s">
        <v>3029</v>
      </c>
      <c r="E188" s="2" t="s">
        <v>3030</v>
      </c>
    </row>
    <row r="189" customFormat="false" ht="15" hidden="false" customHeight="false" outlineLevel="0" collapsed="false">
      <c r="A189" s="2" t="n">
        <v>63</v>
      </c>
      <c r="B189" s="2" t="s">
        <v>1268</v>
      </c>
      <c r="C189" s="2" t="n">
        <v>2</v>
      </c>
      <c r="D189" s="2" t="s">
        <v>3031</v>
      </c>
      <c r="E189" s="2" t="s">
        <v>3032</v>
      </c>
    </row>
    <row r="190" customFormat="false" ht="15" hidden="false" customHeight="false" outlineLevel="0" collapsed="false">
      <c r="A190" s="2" t="n">
        <v>63</v>
      </c>
      <c r="B190" s="2" t="s">
        <v>1268</v>
      </c>
      <c r="C190" s="2" t="n">
        <v>3</v>
      </c>
      <c r="D190" s="2" t="s">
        <v>3033</v>
      </c>
      <c r="E190" s="2" t="s">
        <v>3034</v>
      </c>
    </row>
    <row r="191" customFormat="false" ht="23.85" hidden="false" customHeight="false" outlineLevel="0" collapsed="false">
      <c r="A191" s="2" t="n">
        <v>64</v>
      </c>
      <c r="B191" s="2" t="s">
        <v>1286</v>
      </c>
      <c r="C191" s="2" t="n">
        <v>1</v>
      </c>
      <c r="D191" s="2" t="s">
        <v>3035</v>
      </c>
      <c r="E191" s="2" t="s">
        <v>3036</v>
      </c>
    </row>
    <row r="192" customFormat="false" ht="23.85" hidden="false" customHeight="false" outlineLevel="0" collapsed="false">
      <c r="A192" s="2" t="n">
        <v>64</v>
      </c>
      <c r="B192" s="2" t="s">
        <v>1286</v>
      </c>
      <c r="C192" s="2" t="n">
        <v>2</v>
      </c>
      <c r="D192" s="2" t="s">
        <v>3037</v>
      </c>
      <c r="E192" s="2" t="s">
        <v>3038</v>
      </c>
    </row>
    <row r="193" customFormat="false" ht="23.85" hidden="false" customHeight="false" outlineLevel="0" collapsed="false">
      <c r="A193" s="2" t="n">
        <v>64</v>
      </c>
      <c r="B193" s="2" t="s">
        <v>1286</v>
      </c>
      <c r="C193" s="2" t="n">
        <v>3</v>
      </c>
      <c r="D193" s="2" t="s">
        <v>3039</v>
      </c>
      <c r="E193" s="2" t="s">
        <v>3030</v>
      </c>
    </row>
    <row r="194" customFormat="false" ht="15" hidden="false" customHeight="false" outlineLevel="0" collapsed="false">
      <c r="A194" s="2" t="n">
        <v>65</v>
      </c>
      <c r="B194" s="2" t="s">
        <v>1307</v>
      </c>
      <c r="C194" s="2" t="n">
        <v>1</v>
      </c>
      <c r="D194" s="2" t="s">
        <v>3040</v>
      </c>
      <c r="E194" s="2" t="s">
        <v>3041</v>
      </c>
    </row>
    <row r="195" customFormat="false" ht="15" hidden="false" customHeight="false" outlineLevel="0" collapsed="false">
      <c r="A195" s="2" t="n">
        <v>65</v>
      </c>
      <c r="B195" s="2" t="s">
        <v>1307</v>
      </c>
      <c r="C195" s="2" t="n">
        <v>2</v>
      </c>
      <c r="D195" s="2" t="s">
        <v>3042</v>
      </c>
      <c r="E195" s="2" t="s">
        <v>3043</v>
      </c>
    </row>
    <row r="196" customFormat="false" ht="15" hidden="false" customHeight="false" outlineLevel="0" collapsed="false">
      <c r="A196" s="2" t="n">
        <v>65</v>
      </c>
      <c r="B196" s="2" t="s">
        <v>1307</v>
      </c>
      <c r="C196" s="2" t="n">
        <v>3</v>
      </c>
      <c r="D196" s="2" t="s">
        <v>3044</v>
      </c>
      <c r="E196" s="2" t="s">
        <v>3045</v>
      </c>
    </row>
    <row r="197" customFormat="false" ht="15" hidden="false" customHeight="false" outlineLevel="0" collapsed="false">
      <c r="A197" s="2" t="n">
        <v>66</v>
      </c>
      <c r="B197" s="2" t="s">
        <v>1326</v>
      </c>
      <c r="C197" s="2" t="n">
        <v>1</v>
      </c>
      <c r="D197" s="2" t="s">
        <v>3046</v>
      </c>
      <c r="E197" s="2" t="s">
        <v>3047</v>
      </c>
    </row>
    <row r="198" customFormat="false" ht="15" hidden="false" customHeight="false" outlineLevel="0" collapsed="false">
      <c r="A198" s="2" t="n">
        <v>66</v>
      </c>
      <c r="B198" s="2" t="s">
        <v>1326</v>
      </c>
      <c r="C198" s="2" t="n">
        <v>2</v>
      </c>
      <c r="D198" s="2" t="s">
        <v>3048</v>
      </c>
      <c r="E198" s="2" t="s">
        <v>3049</v>
      </c>
    </row>
    <row r="199" customFormat="false" ht="15" hidden="false" customHeight="false" outlineLevel="0" collapsed="false">
      <c r="A199" s="2" t="n">
        <v>66</v>
      </c>
      <c r="B199" s="2" t="s">
        <v>1326</v>
      </c>
      <c r="C199" s="2" t="n">
        <v>3</v>
      </c>
      <c r="D199" s="2" t="s">
        <v>3050</v>
      </c>
      <c r="E199" s="2" t="s">
        <v>3051</v>
      </c>
    </row>
    <row r="200" customFormat="false" ht="15" hidden="false" customHeight="false" outlineLevel="0" collapsed="false">
      <c r="A200" s="2" t="n">
        <v>67</v>
      </c>
      <c r="B200" s="2" t="s">
        <v>1344</v>
      </c>
      <c r="C200" s="2" t="n">
        <v>1</v>
      </c>
      <c r="D200" s="2" t="s">
        <v>3052</v>
      </c>
      <c r="E200" s="2" t="s">
        <v>3053</v>
      </c>
    </row>
    <row r="201" customFormat="false" ht="15" hidden="false" customHeight="false" outlineLevel="0" collapsed="false">
      <c r="A201" s="2" t="n">
        <v>67</v>
      </c>
      <c r="B201" s="2" t="s">
        <v>1344</v>
      </c>
      <c r="C201" s="2" t="n">
        <v>2</v>
      </c>
      <c r="D201" s="2" t="s">
        <v>3054</v>
      </c>
      <c r="E201" s="2" t="s">
        <v>3055</v>
      </c>
    </row>
    <row r="202" customFormat="false" ht="15" hidden="false" customHeight="false" outlineLevel="0" collapsed="false">
      <c r="A202" s="2" t="n">
        <v>67</v>
      </c>
      <c r="B202" s="2" t="s">
        <v>1344</v>
      </c>
      <c r="C202" s="2" t="n">
        <v>3</v>
      </c>
      <c r="D202" s="2" t="s">
        <v>3056</v>
      </c>
      <c r="E202" s="2" t="s">
        <v>3057</v>
      </c>
    </row>
    <row r="203" customFormat="false" ht="15" hidden="false" customHeight="false" outlineLevel="0" collapsed="false">
      <c r="A203" s="2" t="n">
        <v>68</v>
      </c>
      <c r="B203" s="2" t="s">
        <v>1364</v>
      </c>
      <c r="C203" s="2" t="n">
        <v>1</v>
      </c>
      <c r="D203" s="2" t="s">
        <v>3058</v>
      </c>
      <c r="E203" s="2" t="s">
        <v>3059</v>
      </c>
    </row>
    <row r="204" customFormat="false" ht="15" hidden="false" customHeight="false" outlineLevel="0" collapsed="false">
      <c r="A204" s="2" t="n">
        <v>68</v>
      </c>
      <c r="B204" s="2" t="s">
        <v>1364</v>
      </c>
      <c r="C204" s="2" t="n">
        <v>2</v>
      </c>
      <c r="D204" s="2" t="s">
        <v>3060</v>
      </c>
      <c r="E204" s="2" t="s">
        <v>3061</v>
      </c>
    </row>
    <row r="205" customFormat="false" ht="15" hidden="false" customHeight="false" outlineLevel="0" collapsed="false">
      <c r="A205" s="2" t="n">
        <v>68</v>
      </c>
      <c r="B205" s="2" t="s">
        <v>1364</v>
      </c>
      <c r="C205" s="2" t="n">
        <v>3</v>
      </c>
      <c r="D205" s="2" t="s">
        <v>3062</v>
      </c>
      <c r="E205" s="2" t="s">
        <v>3063</v>
      </c>
    </row>
    <row r="206" customFormat="false" ht="15" hidden="false" customHeight="false" outlineLevel="0" collapsed="false">
      <c r="A206" s="2" t="n">
        <v>69</v>
      </c>
      <c r="B206" s="2" t="s">
        <v>1382</v>
      </c>
      <c r="C206" s="2" t="n">
        <v>1</v>
      </c>
      <c r="D206" s="2" t="s">
        <v>3064</v>
      </c>
      <c r="E206" s="2" t="s">
        <v>3065</v>
      </c>
    </row>
    <row r="207" customFormat="false" ht="15" hidden="false" customHeight="false" outlineLevel="0" collapsed="false">
      <c r="A207" s="2" t="n">
        <v>69</v>
      </c>
      <c r="B207" s="2" t="s">
        <v>1382</v>
      </c>
      <c r="C207" s="2" t="n">
        <v>2</v>
      </c>
      <c r="D207" s="2" t="s">
        <v>3066</v>
      </c>
      <c r="E207" s="2" t="s">
        <v>3067</v>
      </c>
    </row>
    <row r="208" customFormat="false" ht="15" hidden="false" customHeight="false" outlineLevel="0" collapsed="false">
      <c r="A208" s="2" t="n">
        <v>69</v>
      </c>
      <c r="B208" s="2" t="s">
        <v>1382</v>
      </c>
      <c r="C208" s="2" t="n">
        <v>3</v>
      </c>
      <c r="D208" s="2" t="s">
        <v>3068</v>
      </c>
      <c r="E208" s="2" t="s">
        <v>3069</v>
      </c>
    </row>
    <row r="209" customFormat="false" ht="15" hidden="false" customHeight="false" outlineLevel="0" collapsed="false">
      <c r="A209" s="2" t="n">
        <v>70</v>
      </c>
      <c r="B209" s="2" t="s">
        <v>1402</v>
      </c>
      <c r="C209" s="2" t="n">
        <v>1</v>
      </c>
      <c r="D209" s="2" t="s">
        <v>3070</v>
      </c>
      <c r="E209" s="2" t="s">
        <v>3071</v>
      </c>
    </row>
    <row r="210" customFormat="false" ht="15" hidden="false" customHeight="false" outlineLevel="0" collapsed="false">
      <c r="A210" s="2" t="n">
        <v>70</v>
      </c>
      <c r="B210" s="2" t="s">
        <v>1402</v>
      </c>
      <c r="C210" s="2" t="n">
        <v>2</v>
      </c>
      <c r="D210" s="2" t="s">
        <v>3072</v>
      </c>
      <c r="E210" s="2" t="s">
        <v>3073</v>
      </c>
    </row>
    <row r="211" customFormat="false" ht="15" hidden="false" customHeight="false" outlineLevel="0" collapsed="false">
      <c r="A211" s="2" t="n">
        <v>70</v>
      </c>
      <c r="B211" s="2" t="s">
        <v>1402</v>
      </c>
      <c r="C211" s="2" t="n">
        <v>3</v>
      </c>
      <c r="D211" s="2" t="s">
        <v>3074</v>
      </c>
      <c r="E211" s="2" t="s">
        <v>3075</v>
      </c>
    </row>
    <row r="212" customFormat="false" ht="23.85" hidden="false" customHeight="false" outlineLevel="0" collapsed="false">
      <c r="A212" s="2" t="n">
        <v>71</v>
      </c>
      <c r="B212" s="2" t="s">
        <v>1422</v>
      </c>
      <c r="C212" s="2" t="n">
        <v>1</v>
      </c>
      <c r="D212" s="2" t="s">
        <v>3076</v>
      </c>
      <c r="E212" s="2" t="s">
        <v>3077</v>
      </c>
    </row>
    <row r="213" customFormat="false" ht="15" hidden="false" customHeight="false" outlineLevel="0" collapsed="false">
      <c r="A213" s="2" t="n">
        <v>71</v>
      </c>
      <c r="B213" s="2" t="s">
        <v>1422</v>
      </c>
      <c r="C213" s="2" t="n">
        <v>2</v>
      </c>
      <c r="D213" s="2" t="s">
        <v>3078</v>
      </c>
      <c r="E213" s="2" t="s">
        <v>3079</v>
      </c>
    </row>
    <row r="214" customFormat="false" ht="15" hidden="false" customHeight="false" outlineLevel="0" collapsed="false">
      <c r="A214" s="2" t="n">
        <v>71</v>
      </c>
      <c r="B214" s="2" t="s">
        <v>1422</v>
      </c>
      <c r="C214" s="2" t="n">
        <v>3</v>
      </c>
      <c r="D214" s="2" t="s">
        <v>3080</v>
      </c>
      <c r="E214" s="2" t="s">
        <v>3081</v>
      </c>
    </row>
    <row r="215" customFormat="false" ht="15" hidden="false" customHeight="false" outlineLevel="0" collapsed="false">
      <c r="A215" s="2" t="n">
        <v>72</v>
      </c>
      <c r="B215" s="2" t="s">
        <v>1440</v>
      </c>
      <c r="C215" s="2" t="n">
        <v>1</v>
      </c>
      <c r="D215" s="2" t="s">
        <v>3082</v>
      </c>
      <c r="E215" s="2" t="s">
        <v>3083</v>
      </c>
    </row>
    <row r="216" customFormat="false" ht="15" hidden="false" customHeight="false" outlineLevel="0" collapsed="false">
      <c r="A216" s="2" t="n">
        <v>72</v>
      </c>
      <c r="B216" s="2" t="s">
        <v>1440</v>
      </c>
      <c r="C216" s="2" t="n">
        <v>2</v>
      </c>
      <c r="D216" s="2" t="s">
        <v>3084</v>
      </c>
      <c r="E216" s="2" t="s">
        <v>3085</v>
      </c>
    </row>
    <row r="217" customFormat="false" ht="15" hidden="false" customHeight="false" outlineLevel="0" collapsed="false">
      <c r="A217" s="2" t="n">
        <v>72</v>
      </c>
      <c r="B217" s="2" t="s">
        <v>1440</v>
      </c>
      <c r="C217" s="2" t="n">
        <v>3</v>
      </c>
      <c r="D217" s="2" t="s">
        <v>3086</v>
      </c>
      <c r="E217" s="2" t="s">
        <v>3087</v>
      </c>
    </row>
    <row r="218" customFormat="false" ht="15" hidden="false" customHeight="false" outlineLevel="0" collapsed="false">
      <c r="A218" s="2" t="n">
        <v>73</v>
      </c>
      <c r="B218" s="2" t="s">
        <v>1459</v>
      </c>
      <c r="C218" s="2" t="n">
        <v>1</v>
      </c>
      <c r="D218" s="2" t="s">
        <v>3088</v>
      </c>
      <c r="E218" s="2" t="s">
        <v>3089</v>
      </c>
    </row>
    <row r="219" customFormat="false" ht="15" hidden="false" customHeight="false" outlineLevel="0" collapsed="false">
      <c r="A219" s="2" t="n">
        <v>73</v>
      </c>
      <c r="B219" s="2" t="s">
        <v>1459</v>
      </c>
      <c r="C219" s="2" t="n">
        <v>2</v>
      </c>
      <c r="D219" s="2" t="s">
        <v>3090</v>
      </c>
      <c r="E219" s="2" t="s">
        <v>3091</v>
      </c>
    </row>
    <row r="220" customFormat="false" ht="15" hidden="false" customHeight="false" outlineLevel="0" collapsed="false">
      <c r="A220" s="2" t="n">
        <v>73</v>
      </c>
      <c r="B220" s="2" t="s">
        <v>1459</v>
      </c>
      <c r="C220" s="2" t="n">
        <v>3</v>
      </c>
      <c r="D220" s="2" t="s">
        <v>3092</v>
      </c>
      <c r="E220" s="2" t="s">
        <v>3093</v>
      </c>
    </row>
    <row r="221" customFormat="false" ht="15" hidden="false" customHeight="false" outlineLevel="0" collapsed="false">
      <c r="A221" s="2" t="n">
        <v>74</v>
      </c>
      <c r="B221" s="2" t="s">
        <v>1478</v>
      </c>
      <c r="C221" s="2" t="n">
        <v>1</v>
      </c>
      <c r="D221" s="2" t="s">
        <v>3094</v>
      </c>
      <c r="E221" s="2" t="s">
        <v>3095</v>
      </c>
    </row>
    <row r="222" customFormat="false" ht="15" hidden="false" customHeight="false" outlineLevel="0" collapsed="false">
      <c r="A222" s="2" t="n">
        <v>74</v>
      </c>
      <c r="B222" s="2" t="s">
        <v>1478</v>
      </c>
      <c r="C222" s="2" t="n">
        <v>2</v>
      </c>
      <c r="D222" s="2" t="s">
        <v>3096</v>
      </c>
      <c r="E222" s="2" t="s">
        <v>3097</v>
      </c>
    </row>
    <row r="223" customFormat="false" ht="15" hidden="false" customHeight="false" outlineLevel="0" collapsed="false">
      <c r="A223" s="2" t="n">
        <v>74</v>
      </c>
      <c r="B223" s="2" t="s">
        <v>1478</v>
      </c>
      <c r="C223" s="2" t="n">
        <v>3</v>
      </c>
      <c r="D223" s="2" t="s">
        <v>3098</v>
      </c>
      <c r="E223" s="2" t="s">
        <v>3099</v>
      </c>
    </row>
    <row r="224" customFormat="false" ht="23.85" hidden="false" customHeight="false" outlineLevel="0" collapsed="false">
      <c r="A224" s="2" t="n">
        <v>75</v>
      </c>
      <c r="B224" s="2" t="s">
        <v>1497</v>
      </c>
      <c r="C224" s="2" t="n">
        <v>1</v>
      </c>
      <c r="D224" s="2" t="s">
        <v>3100</v>
      </c>
      <c r="E224" s="2" t="s">
        <v>3101</v>
      </c>
    </row>
    <row r="225" customFormat="false" ht="23.85" hidden="false" customHeight="false" outlineLevel="0" collapsed="false">
      <c r="A225" s="2" t="n">
        <v>75</v>
      </c>
      <c r="B225" s="2" t="s">
        <v>1497</v>
      </c>
      <c r="C225" s="2" t="n">
        <v>2</v>
      </c>
      <c r="D225" s="2" t="s">
        <v>3102</v>
      </c>
      <c r="E225" s="2" t="s">
        <v>3103</v>
      </c>
    </row>
    <row r="226" customFormat="false" ht="23.85" hidden="false" customHeight="false" outlineLevel="0" collapsed="false">
      <c r="A226" s="2" t="n">
        <v>75</v>
      </c>
      <c r="B226" s="2" t="s">
        <v>1497</v>
      </c>
      <c r="C226" s="2" t="n">
        <v>3</v>
      </c>
      <c r="D226" s="2" t="s">
        <v>3104</v>
      </c>
      <c r="E226" s="2" t="s">
        <v>3105</v>
      </c>
    </row>
    <row r="227" customFormat="false" ht="35.05" hidden="false" customHeight="false" outlineLevel="0" collapsed="false">
      <c r="A227" s="2" t="n">
        <v>76</v>
      </c>
      <c r="B227" s="2" t="s">
        <v>1518</v>
      </c>
      <c r="C227" s="2" t="n">
        <v>1</v>
      </c>
      <c r="D227" s="2" t="s">
        <v>3106</v>
      </c>
      <c r="E227" s="2" t="s">
        <v>3107</v>
      </c>
    </row>
    <row r="228" customFormat="false" ht="35.05" hidden="false" customHeight="false" outlineLevel="0" collapsed="false">
      <c r="A228" s="2" t="n">
        <v>76</v>
      </c>
      <c r="B228" s="2" t="s">
        <v>1518</v>
      </c>
      <c r="C228" s="2" t="n">
        <v>2</v>
      </c>
      <c r="D228" s="2" t="s">
        <v>3108</v>
      </c>
      <c r="E228" s="2" t="s">
        <v>3109</v>
      </c>
    </row>
    <row r="229" customFormat="false" ht="35.05" hidden="false" customHeight="false" outlineLevel="0" collapsed="false">
      <c r="A229" s="2" t="n">
        <v>76</v>
      </c>
      <c r="B229" s="2" t="s">
        <v>1518</v>
      </c>
      <c r="C229" s="2" t="n">
        <v>3</v>
      </c>
      <c r="D229" s="2" t="s">
        <v>3110</v>
      </c>
      <c r="E229" s="2" t="s">
        <v>3111</v>
      </c>
    </row>
    <row r="230" customFormat="false" ht="15" hidden="false" customHeight="false" outlineLevel="0" collapsed="false">
      <c r="A230" s="2" t="n">
        <v>77</v>
      </c>
      <c r="B230" s="2" t="s">
        <v>1540</v>
      </c>
      <c r="C230" s="2" t="n">
        <v>1</v>
      </c>
      <c r="D230" s="2" t="s">
        <v>3112</v>
      </c>
      <c r="E230" s="2" t="s">
        <v>3113</v>
      </c>
    </row>
    <row r="231" customFormat="false" ht="15" hidden="false" customHeight="false" outlineLevel="0" collapsed="false">
      <c r="A231" s="2" t="n">
        <v>77</v>
      </c>
      <c r="B231" s="2" t="s">
        <v>1540</v>
      </c>
      <c r="C231" s="2" t="n">
        <v>2</v>
      </c>
      <c r="D231" s="2" t="s">
        <v>3114</v>
      </c>
      <c r="E231" s="2" t="s">
        <v>3115</v>
      </c>
    </row>
    <row r="232" customFormat="false" ht="15" hidden="false" customHeight="false" outlineLevel="0" collapsed="false">
      <c r="A232" s="2" t="n">
        <v>77</v>
      </c>
      <c r="B232" s="2" t="s">
        <v>1540</v>
      </c>
      <c r="C232" s="2" t="n">
        <v>3</v>
      </c>
      <c r="D232" s="2" t="s">
        <v>3116</v>
      </c>
      <c r="E232" s="2" t="s">
        <v>3117</v>
      </c>
    </row>
    <row r="233" customFormat="false" ht="15" hidden="false" customHeight="false" outlineLevel="0" collapsed="false">
      <c r="A233" s="2" t="n">
        <v>78</v>
      </c>
      <c r="B233" s="2" t="s">
        <v>1559</v>
      </c>
      <c r="C233" s="2" t="n">
        <v>1</v>
      </c>
      <c r="D233" s="2" t="s">
        <v>3118</v>
      </c>
      <c r="E233" s="2" t="s">
        <v>3119</v>
      </c>
    </row>
    <row r="234" customFormat="false" ht="15" hidden="false" customHeight="false" outlineLevel="0" collapsed="false">
      <c r="A234" s="2" t="n">
        <v>78</v>
      </c>
      <c r="B234" s="2" t="s">
        <v>1559</v>
      </c>
      <c r="C234" s="2" t="n">
        <v>2</v>
      </c>
      <c r="D234" s="2" t="s">
        <v>3120</v>
      </c>
      <c r="E234" s="2" t="s">
        <v>3121</v>
      </c>
    </row>
    <row r="235" customFormat="false" ht="15" hidden="false" customHeight="false" outlineLevel="0" collapsed="false">
      <c r="A235" s="2" t="n">
        <v>78</v>
      </c>
      <c r="B235" s="2" t="s">
        <v>1559</v>
      </c>
      <c r="C235" s="2" t="n">
        <v>3</v>
      </c>
      <c r="D235" s="2" t="s">
        <v>3122</v>
      </c>
      <c r="E235" s="2" t="s">
        <v>3123</v>
      </c>
    </row>
    <row r="236" customFormat="false" ht="23.85" hidden="false" customHeight="false" outlineLevel="0" collapsed="false">
      <c r="A236" s="2" t="n">
        <v>79</v>
      </c>
      <c r="B236" s="2" t="s">
        <v>1578</v>
      </c>
      <c r="C236" s="2" t="n">
        <v>1</v>
      </c>
      <c r="D236" s="2" t="s">
        <v>3124</v>
      </c>
      <c r="E236" s="2" t="s">
        <v>3125</v>
      </c>
    </row>
    <row r="237" customFormat="false" ht="15" hidden="false" customHeight="false" outlineLevel="0" collapsed="false">
      <c r="A237" s="2" t="n">
        <v>79</v>
      </c>
      <c r="B237" s="2" t="s">
        <v>1578</v>
      </c>
      <c r="C237" s="2" t="n">
        <v>2</v>
      </c>
      <c r="D237" s="2" t="s">
        <v>3126</v>
      </c>
      <c r="E237" s="2" t="s">
        <v>3127</v>
      </c>
    </row>
    <row r="238" customFormat="false" ht="15" hidden="false" customHeight="false" outlineLevel="0" collapsed="false">
      <c r="A238" s="2" t="n">
        <v>79</v>
      </c>
      <c r="B238" s="2" t="s">
        <v>1578</v>
      </c>
      <c r="C238" s="2" t="n">
        <v>3</v>
      </c>
      <c r="D238" s="2" t="s">
        <v>3128</v>
      </c>
      <c r="E238" s="2" t="s">
        <v>3129</v>
      </c>
    </row>
    <row r="239" customFormat="false" ht="15" hidden="false" customHeight="false" outlineLevel="0" collapsed="false">
      <c r="A239" s="2" t="n">
        <v>80</v>
      </c>
      <c r="B239" s="2" t="s">
        <v>1597</v>
      </c>
      <c r="C239" s="2" t="n">
        <v>1</v>
      </c>
      <c r="D239" s="2" t="s">
        <v>3130</v>
      </c>
      <c r="E239" s="2" t="s">
        <v>3131</v>
      </c>
    </row>
    <row r="240" customFormat="false" ht="15" hidden="false" customHeight="false" outlineLevel="0" collapsed="false">
      <c r="A240" s="2" t="n">
        <v>80</v>
      </c>
      <c r="B240" s="2" t="s">
        <v>1597</v>
      </c>
      <c r="C240" s="2" t="n">
        <v>2</v>
      </c>
      <c r="D240" s="2" t="s">
        <v>3132</v>
      </c>
      <c r="E240" s="2" t="s">
        <v>3133</v>
      </c>
    </row>
    <row r="241" customFormat="false" ht="15" hidden="false" customHeight="false" outlineLevel="0" collapsed="false">
      <c r="A241" s="2" t="n">
        <v>80</v>
      </c>
      <c r="B241" s="2" t="s">
        <v>1597</v>
      </c>
      <c r="C241" s="2" t="n">
        <v>3</v>
      </c>
      <c r="D241" s="2" t="s">
        <v>3134</v>
      </c>
      <c r="E241" s="2" t="s">
        <v>3135</v>
      </c>
    </row>
    <row r="242" customFormat="false" ht="15" hidden="false" customHeight="false" outlineLevel="0" collapsed="false">
      <c r="A242" s="2" t="n">
        <v>81</v>
      </c>
      <c r="B242" s="2" t="s">
        <v>1618</v>
      </c>
      <c r="C242" s="2" t="n">
        <v>1</v>
      </c>
      <c r="D242" s="2" t="s">
        <v>3136</v>
      </c>
      <c r="E242" s="2" t="s">
        <v>3137</v>
      </c>
    </row>
    <row r="243" customFormat="false" ht="15" hidden="false" customHeight="false" outlineLevel="0" collapsed="false">
      <c r="A243" s="2" t="n">
        <v>81</v>
      </c>
      <c r="B243" s="2" t="s">
        <v>1618</v>
      </c>
      <c r="C243" s="2" t="n">
        <v>2</v>
      </c>
      <c r="D243" s="2" t="s">
        <v>3138</v>
      </c>
      <c r="E243" s="2" t="s">
        <v>3139</v>
      </c>
    </row>
    <row r="244" customFormat="false" ht="15" hidden="false" customHeight="false" outlineLevel="0" collapsed="false">
      <c r="A244" s="2" t="n">
        <v>81</v>
      </c>
      <c r="B244" s="2" t="s">
        <v>1618</v>
      </c>
      <c r="C244" s="2" t="n">
        <v>3</v>
      </c>
      <c r="D244" s="2" t="s">
        <v>3140</v>
      </c>
      <c r="E244" s="2" t="s">
        <v>3141</v>
      </c>
    </row>
    <row r="245" customFormat="false" ht="15" hidden="false" customHeight="false" outlineLevel="0" collapsed="false">
      <c r="A245" s="2" t="n">
        <v>82</v>
      </c>
      <c r="B245" s="2" t="s">
        <v>1636</v>
      </c>
      <c r="C245" s="2" t="n">
        <v>1</v>
      </c>
      <c r="D245" s="2" t="s">
        <v>3142</v>
      </c>
      <c r="E245" s="2" t="s">
        <v>3143</v>
      </c>
    </row>
    <row r="246" customFormat="false" ht="15" hidden="false" customHeight="false" outlineLevel="0" collapsed="false">
      <c r="A246" s="2" t="n">
        <v>82</v>
      </c>
      <c r="B246" s="2" t="s">
        <v>1636</v>
      </c>
      <c r="C246" s="2" t="n">
        <v>2</v>
      </c>
      <c r="D246" s="2" t="s">
        <v>3144</v>
      </c>
      <c r="E246" s="2" t="s">
        <v>3145</v>
      </c>
    </row>
    <row r="247" customFormat="false" ht="15" hidden="false" customHeight="false" outlineLevel="0" collapsed="false">
      <c r="A247" s="2" t="n">
        <v>82</v>
      </c>
      <c r="B247" s="2" t="s">
        <v>1636</v>
      </c>
      <c r="C247" s="2" t="n">
        <v>3</v>
      </c>
      <c r="D247" s="2" t="s">
        <v>3146</v>
      </c>
      <c r="E247" s="2" t="s">
        <v>3147</v>
      </c>
    </row>
    <row r="248" customFormat="false" ht="23.85" hidden="false" customHeight="false" outlineLevel="0" collapsed="false">
      <c r="A248" s="2" t="n">
        <v>83</v>
      </c>
      <c r="B248" s="2" t="s">
        <v>1654</v>
      </c>
      <c r="C248" s="2" t="n">
        <v>1</v>
      </c>
      <c r="D248" s="2" t="s">
        <v>3148</v>
      </c>
      <c r="E248" s="2" t="s">
        <v>3149</v>
      </c>
    </row>
    <row r="249" customFormat="false" ht="23.85" hidden="false" customHeight="false" outlineLevel="0" collapsed="false">
      <c r="A249" s="2" t="n">
        <v>83</v>
      </c>
      <c r="B249" s="2" t="s">
        <v>1654</v>
      </c>
      <c r="C249" s="2" t="n">
        <v>2</v>
      </c>
      <c r="D249" s="2" t="s">
        <v>3150</v>
      </c>
      <c r="E249" s="2" t="s">
        <v>3151</v>
      </c>
    </row>
    <row r="250" customFormat="false" ht="23.85" hidden="false" customHeight="false" outlineLevel="0" collapsed="false">
      <c r="A250" s="2" t="n">
        <v>83</v>
      </c>
      <c r="B250" s="2" t="s">
        <v>1654</v>
      </c>
      <c r="C250" s="2" t="n">
        <v>3</v>
      </c>
      <c r="D250" s="2" t="s">
        <v>3152</v>
      </c>
      <c r="E250" s="2" t="s">
        <v>3153</v>
      </c>
    </row>
    <row r="251" customFormat="false" ht="15" hidden="false" customHeight="false" outlineLevel="0" collapsed="false">
      <c r="A251" s="2" t="n">
        <v>84</v>
      </c>
      <c r="B251" s="2" t="s">
        <v>1673</v>
      </c>
      <c r="C251" s="2" t="n">
        <v>1</v>
      </c>
      <c r="D251" s="2" t="s">
        <v>3154</v>
      </c>
      <c r="E251" s="2" t="s">
        <v>3155</v>
      </c>
    </row>
    <row r="252" customFormat="false" ht="15" hidden="false" customHeight="false" outlineLevel="0" collapsed="false">
      <c r="A252" s="2" t="n">
        <v>84</v>
      </c>
      <c r="B252" s="2" t="s">
        <v>1673</v>
      </c>
      <c r="C252" s="2" t="n">
        <v>2</v>
      </c>
      <c r="D252" s="2" t="s">
        <v>3156</v>
      </c>
      <c r="E252" s="2" t="s">
        <v>3157</v>
      </c>
    </row>
    <row r="253" customFormat="false" ht="15" hidden="false" customHeight="false" outlineLevel="0" collapsed="false">
      <c r="A253" s="2" t="n">
        <v>84</v>
      </c>
      <c r="B253" s="2" t="s">
        <v>1673</v>
      </c>
      <c r="C253" s="2" t="n">
        <v>3</v>
      </c>
      <c r="D253" s="2" t="s">
        <v>3158</v>
      </c>
      <c r="E253" s="2" t="s">
        <v>3159</v>
      </c>
    </row>
    <row r="254" customFormat="false" ht="15" hidden="false" customHeight="false" outlineLevel="0" collapsed="false">
      <c r="A254" s="2" t="n">
        <v>85</v>
      </c>
      <c r="B254" s="2" t="s">
        <v>1691</v>
      </c>
      <c r="C254" s="2" t="n">
        <v>1</v>
      </c>
      <c r="D254" s="2" t="s">
        <v>3160</v>
      </c>
      <c r="E254" s="2" t="s">
        <v>3161</v>
      </c>
    </row>
    <row r="255" customFormat="false" ht="15" hidden="false" customHeight="false" outlineLevel="0" collapsed="false">
      <c r="A255" s="2" t="n">
        <v>85</v>
      </c>
      <c r="B255" s="2" t="s">
        <v>1691</v>
      </c>
      <c r="C255" s="2" t="n">
        <v>2</v>
      </c>
      <c r="D255" s="2" t="s">
        <v>3162</v>
      </c>
      <c r="E255" s="2" t="s">
        <v>3163</v>
      </c>
    </row>
    <row r="256" customFormat="false" ht="15" hidden="false" customHeight="false" outlineLevel="0" collapsed="false">
      <c r="A256" s="2" t="n">
        <v>85</v>
      </c>
      <c r="B256" s="2" t="s">
        <v>1691</v>
      </c>
      <c r="C256" s="2" t="n">
        <v>3</v>
      </c>
      <c r="D256" s="2" t="s">
        <v>3164</v>
      </c>
      <c r="E256" s="2" t="s">
        <v>3165</v>
      </c>
    </row>
    <row r="257" customFormat="false" ht="15" hidden="false" customHeight="false" outlineLevel="0" collapsed="false">
      <c r="A257" s="2" t="n">
        <v>86</v>
      </c>
      <c r="B257" s="2" t="s">
        <v>1709</v>
      </c>
      <c r="C257" s="2" t="n">
        <v>1</v>
      </c>
      <c r="D257" s="2" t="s">
        <v>3166</v>
      </c>
      <c r="E257" s="2" t="s">
        <v>3167</v>
      </c>
    </row>
    <row r="258" customFormat="false" ht="15" hidden="false" customHeight="false" outlineLevel="0" collapsed="false">
      <c r="A258" s="2" t="n">
        <v>86</v>
      </c>
      <c r="B258" s="2" t="s">
        <v>1709</v>
      </c>
      <c r="C258" s="2" t="n">
        <v>2</v>
      </c>
      <c r="D258" s="2" t="s">
        <v>3168</v>
      </c>
      <c r="E258" s="2" t="s">
        <v>3169</v>
      </c>
    </row>
    <row r="259" customFormat="false" ht="23.85" hidden="false" customHeight="false" outlineLevel="0" collapsed="false">
      <c r="A259" s="2" t="n">
        <v>86</v>
      </c>
      <c r="B259" s="2" t="s">
        <v>1709</v>
      </c>
      <c r="C259" s="2" t="n">
        <v>3</v>
      </c>
      <c r="D259" s="2" t="s">
        <v>3170</v>
      </c>
      <c r="E259" s="2" t="s">
        <v>3171</v>
      </c>
    </row>
    <row r="260" customFormat="false" ht="15" hidden="false" customHeight="false" outlineLevel="0" collapsed="false">
      <c r="A260" s="2" t="n">
        <v>87</v>
      </c>
      <c r="B260" s="2" t="s">
        <v>1727</v>
      </c>
      <c r="C260" s="2" t="n">
        <v>1</v>
      </c>
      <c r="D260" s="2" t="s">
        <v>3172</v>
      </c>
      <c r="E260" s="2" t="s">
        <v>3173</v>
      </c>
    </row>
    <row r="261" customFormat="false" ht="15" hidden="false" customHeight="false" outlineLevel="0" collapsed="false">
      <c r="A261" s="2" t="n">
        <v>87</v>
      </c>
      <c r="B261" s="2" t="s">
        <v>1727</v>
      </c>
      <c r="C261" s="2" t="n">
        <v>2</v>
      </c>
      <c r="D261" s="2" t="s">
        <v>3174</v>
      </c>
      <c r="E261" s="2" t="s">
        <v>3175</v>
      </c>
    </row>
    <row r="262" customFormat="false" ht="15" hidden="false" customHeight="false" outlineLevel="0" collapsed="false">
      <c r="A262" s="2" t="n">
        <v>87</v>
      </c>
      <c r="B262" s="2" t="s">
        <v>1727</v>
      </c>
      <c r="C262" s="2" t="n">
        <v>3</v>
      </c>
      <c r="D262" s="2" t="s">
        <v>3176</v>
      </c>
      <c r="E262" s="2" t="s">
        <v>3177</v>
      </c>
    </row>
    <row r="263" customFormat="false" ht="15" hidden="false" customHeight="false" outlineLevel="0" collapsed="false">
      <c r="A263" s="2" t="n">
        <v>88</v>
      </c>
      <c r="B263" s="2" t="s">
        <v>1743</v>
      </c>
      <c r="C263" s="2" t="n">
        <v>1</v>
      </c>
      <c r="D263" s="2" t="s">
        <v>3178</v>
      </c>
      <c r="E263" s="2" t="s">
        <v>3179</v>
      </c>
    </row>
    <row r="264" customFormat="false" ht="15" hidden="false" customHeight="false" outlineLevel="0" collapsed="false">
      <c r="A264" s="2" t="n">
        <v>88</v>
      </c>
      <c r="B264" s="2" t="s">
        <v>1743</v>
      </c>
      <c r="C264" s="2" t="n">
        <v>2</v>
      </c>
      <c r="D264" s="2" t="s">
        <v>3180</v>
      </c>
      <c r="E264" s="2" t="s">
        <v>3181</v>
      </c>
    </row>
    <row r="265" customFormat="false" ht="23.85" hidden="false" customHeight="false" outlineLevel="0" collapsed="false">
      <c r="A265" s="2" t="n">
        <v>88</v>
      </c>
      <c r="B265" s="2" t="s">
        <v>1743</v>
      </c>
      <c r="C265" s="2" t="n">
        <v>3</v>
      </c>
      <c r="D265" s="2" t="s">
        <v>3182</v>
      </c>
      <c r="E265" s="2" t="s">
        <v>3183</v>
      </c>
    </row>
    <row r="266" customFormat="false" ht="15" hidden="false" customHeight="false" outlineLevel="0" collapsed="false">
      <c r="A266" s="2" t="n">
        <v>89</v>
      </c>
      <c r="B266" s="2" t="s">
        <v>1761</v>
      </c>
      <c r="C266" s="2" t="n">
        <v>1</v>
      </c>
      <c r="D266" s="2" t="s">
        <v>3184</v>
      </c>
      <c r="E266" s="2" t="s">
        <v>3185</v>
      </c>
    </row>
    <row r="267" customFormat="false" ht="15" hidden="false" customHeight="false" outlineLevel="0" collapsed="false">
      <c r="A267" s="2" t="n">
        <v>89</v>
      </c>
      <c r="B267" s="2" t="s">
        <v>1761</v>
      </c>
      <c r="C267" s="2" t="n">
        <v>2</v>
      </c>
      <c r="D267" s="2" t="s">
        <v>3186</v>
      </c>
      <c r="E267" s="2" t="s">
        <v>3187</v>
      </c>
    </row>
    <row r="268" customFormat="false" ht="15" hidden="false" customHeight="false" outlineLevel="0" collapsed="false">
      <c r="A268" s="2" t="n">
        <v>89</v>
      </c>
      <c r="B268" s="2" t="s">
        <v>1761</v>
      </c>
      <c r="C268" s="2" t="n">
        <v>3</v>
      </c>
      <c r="D268" s="2" t="s">
        <v>3188</v>
      </c>
      <c r="E268" s="2" t="s">
        <v>3189</v>
      </c>
    </row>
    <row r="269" customFormat="false" ht="15" hidden="false" customHeight="false" outlineLevel="0" collapsed="false">
      <c r="A269" s="2" t="n">
        <v>90</v>
      </c>
      <c r="B269" s="2" t="s">
        <v>1779</v>
      </c>
      <c r="C269" s="2" t="n">
        <v>1</v>
      </c>
      <c r="D269" s="2" t="s">
        <v>3190</v>
      </c>
      <c r="E269" s="2" t="s">
        <v>3191</v>
      </c>
    </row>
    <row r="270" customFormat="false" ht="15" hidden="false" customHeight="false" outlineLevel="0" collapsed="false">
      <c r="A270" s="2" t="n">
        <v>90</v>
      </c>
      <c r="B270" s="2" t="s">
        <v>1779</v>
      </c>
      <c r="C270" s="2" t="n">
        <v>2</v>
      </c>
      <c r="D270" s="2" t="s">
        <v>3192</v>
      </c>
      <c r="E270" s="2" t="s">
        <v>3193</v>
      </c>
    </row>
    <row r="271" customFormat="false" ht="15" hidden="false" customHeight="false" outlineLevel="0" collapsed="false">
      <c r="A271" s="2" t="n">
        <v>90</v>
      </c>
      <c r="B271" s="2" t="s">
        <v>1779</v>
      </c>
      <c r="C271" s="2" t="n">
        <v>3</v>
      </c>
      <c r="D271" s="2" t="s">
        <v>3194</v>
      </c>
      <c r="E271" s="2" t="s">
        <v>3195</v>
      </c>
    </row>
    <row r="272" customFormat="false" ht="15" hidden="false" customHeight="false" outlineLevel="0" collapsed="false">
      <c r="A272" s="2" t="n">
        <v>91</v>
      </c>
      <c r="B272" s="2" t="s">
        <v>1796</v>
      </c>
      <c r="C272" s="2" t="n">
        <v>1</v>
      </c>
      <c r="D272" s="2" t="s">
        <v>3196</v>
      </c>
      <c r="E272" s="2" t="s">
        <v>3197</v>
      </c>
    </row>
    <row r="273" customFormat="false" ht="15" hidden="false" customHeight="false" outlineLevel="0" collapsed="false">
      <c r="A273" s="2" t="n">
        <v>91</v>
      </c>
      <c r="B273" s="2" t="s">
        <v>1796</v>
      </c>
      <c r="C273" s="2" t="n">
        <v>2</v>
      </c>
      <c r="D273" s="2" t="s">
        <v>3198</v>
      </c>
      <c r="E273" s="2" t="s">
        <v>3199</v>
      </c>
    </row>
    <row r="274" customFormat="false" ht="15" hidden="false" customHeight="false" outlineLevel="0" collapsed="false">
      <c r="A274" s="2" t="n">
        <v>91</v>
      </c>
      <c r="B274" s="2" t="s">
        <v>1796</v>
      </c>
      <c r="C274" s="2" t="n">
        <v>3</v>
      </c>
      <c r="D274" s="2" t="s">
        <v>3200</v>
      </c>
      <c r="E274" s="2" t="s">
        <v>3201</v>
      </c>
    </row>
    <row r="275" customFormat="false" ht="15" hidden="false" customHeight="false" outlineLevel="0" collapsed="false">
      <c r="A275" s="2" t="n">
        <v>92</v>
      </c>
      <c r="B275" s="2" t="s">
        <v>1816</v>
      </c>
      <c r="C275" s="2" t="n">
        <v>1</v>
      </c>
      <c r="D275" s="2" t="s">
        <v>3202</v>
      </c>
      <c r="E275" s="2" t="s">
        <v>3203</v>
      </c>
    </row>
    <row r="276" customFormat="false" ht="15" hidden="false" customHeight="false" outlineLevel="0" collapsed="false">
      <c r="A276" s="2" t="n">
        <v>92</v>
      </c>
      <c r="B276" s="2" t="s">
        <v>1816</v>
      </c>
      <c r="C276" s="2" t="n">
        <v>2</v>
      </c>
      <c r="D276" s="2" t="s">
        <v>3204</v>
      </c>
      <c r="E276" s="2" t="s">
        <v>3205</v>
      </c>
    </row>
    <row r="277" customFormat="false" ht="15" hidden="false" customHeight="false" outlineLevel="0" collapsed="false">
      <c r="A277" s="2" t="n">
        <v>92</v>
      </c>
      <c r="B277" s="2" t="s">
        <v>1816</v>
      </c>
      <c r="C277" s="2" t="n">
        <v>3</v>
      </c>
      <c r="D277" s="2" t="s">
        <v>3206</v>
      </c>
      <c r="E277" s="2" t="s">
        <v>3207</v>
      </c>
    </row>
    <row r="278" customFormat="false" ht="15" hidden="false" customHeight="false" outlineLevel="0" collapsed="false">
      <c r="A278" s="2" t="n">
        <v>93</v>
      </c>
      <c r="B278" s="2" t="s">
        <v>1835</v>
      </c>
      <c r="C278" s="2" t="n">
        <v>1</v>
      </c>
      <c r="D278" s="2" t="s">
        <v>3208</v>
      </c>
      <c r="E278" s="2" t="s">
        <v>3209</v>
      </c>
    </row>
    <row r="279" customFormat="false" ht="15" hidden="false" customHeight="false" outlineLevel="0" collapsed="false">
      <c r="A279" s="2" t="n">
        <v>93</v>
      </c>
      <c r="B279" s="2" t="s">
        <v>1835</v>
      </c>
      <c r="C279" s="2" t="n">
        <v>2</v>
      </c>
      <c r="D279" s="2" t="s">
        <v>3210</v>
      </c>
      <c r="E279" s="2" t="s">
        <v>3211</v>
      </c>
    </row>
    <row r="280" customFormat="false" ht="23.85" hidden="false" customHeight="false" outlineLevel="0" collapsed="false">
      <c r="A280" s="2" t="n">
        <v>93</v>
      </c>
      <c r="B280" s="2" t="s">
        <v>1835</v>
      </c>
      <c r="C280" s="2" t="n">
        <v>3</v>
      </c>
      <c r="D280" s="2" t="s">
        <v>3212</v>
      </c>
      <c r="E280" s="2" t="s">
        <v>3213</v>
      </c>
    </row>
    <row r="281" customFormat="false" ht="15" hidden="false" customHeight="false" outlineLevel="0" collapsed="false">
      <c r="A281" s="2" t="n">
        <v>94</v>
      </c>
      <c r="B281" s="2" t="s">
        <v>1854</v>
      </c>
      <c r="C281" s="2" t="n">
        <v>1</v>
      </c>
      <c r="D281" s="2" t="s">
        <v>3214</v>
      </c>
      <c r="E281" s="2" t="s">
        <v>3215</v>
      </c>
    </row>
    <row r="282" customFormat="false" ht="15" hidden="false" customHeight="false" outlineLevel="0" collapsed="false">
      <c r="A282" s="2" t="n">
        <v>94</v>
      </c>
      <c r="B282" s="2" t="s">
        <v>1854</v>
      </c>
      <c r="C282" s="2" t="n">
        <v>2</v>
      </c>
      <c r="D282" s="2" t="s">
        <v>3216</v>
      </c>
      <c r="E282" s="2" t="s">
        <v>3217</v>
      </c>
    </row>
    <row r="283" customFormat="false" ht="15" hidden="false" customHeight="false" outlineLevel="0" collapsed="false">
      <c r="A283" s="2" t="n">
        <v>94</v>
      </c>
      <c r="B283" s="2" t="s">
        <v>1854</v>
      </c>
      <c r="C283" s="2" t="n">
        <v>3</v>
      </c>
      <c r="D283" s="2" t="s">
        <v>3218</v>
      </c>
      <c r="E283" s="2" t="s">
        <v>3219</v>
      </c>
    </row>
    <row r="284" customFormat="false" ht="15" hidden="false" customHeight="false" outlineLevel="0" collapsed="false">
      <c r="A284" s="2" t="n">
        <v>95</v>
      </c>
      <c r="B284" s="2" t="s">
        <v>1874</v>
      </c>
      <c r="C284" s="2" t="n">
        <v>1</v>
      </c>
      <c r="D284" s="2" t="s">
        <v>3220</v>
      </c>
      <c r="E284" s="2" t="s">
        <v>3221</v>
      </c>
    </row>
    <row r="285" customFormat="false" ht="15" hidden="false" customHeight="false" outlineLevel="0" collapsed="false">
      <c r="A285" s="2" t="n">
        <v>95</v>
      </c>
      <c r="B285" s="2" t="s">
        <v>1874</v>
      </c>
      <c r="C285" s="2" t="n">
        <v>2</v>
      </c>
      <c r="D285" s="2" t="s">
        <v>3222</v>
      </c>
      <c r="E285" s="2" t="s">
        <v>3223</v>
      </c>
    </row>
    <row r="286" customFormat="false" ht="15" hidden="false" customHeight="false" outlineLevel="0" collapsed="false">
      <c r="A286" s="2" t="n">
        <v>95</v>
      </c>
      <c r="B286" s="2" t="s">
        <v>1874</v>
      </c>
      <c r="C286" s="2" t="n">
        <v>3</v>
      </c>
      <c r="D286" s="2" t="s">
        <v>3224</v>
      </c>
      <c r="E286" s="2" t="s">
        <v>3225</v>
      </c>
    </row>
    <row r="287" customFormat="false" ht="15" hidden="false" customHeight="false" outlineLevel="0" collapsed="false">
      <c r="A287" s="2" t="n">
        <v>96</v>
      </c>
      <c r="B287" s="2" t="s">
        <v>1893</v>
      </c>
      <c r="C287" s="2" t="n">
        <v>1</v>
      </c>
      <c r="D287" s="2" t="s">
        <v>3226</v>
      </c>
      <c r="E287" s="2" t="s">
        <v>3227</v>
      </c>
    </row>
    <row r="288" customFormat="false" ht="15" hidden="false" customHeight="false" outlineLevel="0" collapsed="false">
      <c r="A288" s="2" t="n">
        <v>96</v>
      </c>
      <c r="B288" s="2" t="s">
        <v>1893</v>
      </c>
      <c r="C288" s="2" t="n">
        <v>2</v>
      </c>
      <c r="D288" s="2" t="s">
        <v>3228</v>
      </c>
      <c r="E288" s="2" t="s">
        <v>3229</v>
      </c>
    </row>
    <row r="289" customFormat="false" ht="15" hidden="false" customHeight="false" outlineLevel="0" collapsed="false">
      <c r="A289" s="2" t="n">
        <v>96</v>
      </c>
      <c r="B289" s="2" t="s">
        <v>1893</v>
      </c>
      <c r="C289" s="2" t="n">
        <v>3</v>
      </c>
      <c r="D289" s="2" t="s">
        <v>3230</v>
      </c>
      <c r="E289" s="2" t="s">
        <v>3231</v>
      </c>
    </row>
    <row r="290" customFormat="false" ht="15" hidden="false" customHeight="false" outlineLevel="0" collapsed="false">
      <c r="A290" s="2" t="n">
        <v>97</v>
      </c>
      <c r="B290" s="2" t="s">
        <v>1912</v>
      </c>
      <c r="C290" s="2" t="n">
        <v>1</v>
      </c>
      <c r="D290" s="2" t="s">
        <v>3232</v>
      </c>
      <c r="E290" s="2" t="s">
        <v>3233</v>
      </c>
    </row>
    <row r="291" customFormat="false" ht="15" hidden="false" customHeight="false" outlineLevel="0" collapsed="false">
      <c r="A291" s="2" t="n">
        <v>97</v>
      </c>
      <c r="B291" s="2" t="s">
        <v>1912</v>
      </c>
      <c r="C291" s="2" t="n">
        <v>2</v>
      </c>
      <c r="D291" s="2" t="s">
        <v>3234</v>
      </c>
      <c r="E291" s="2" t="s">
        <v>3235</v>
      </c>
    </row>
    <row r="292" customFormat="false" ht="15" hidden="false" customHeight="false" outlineLevel="0" collapsed="false">
      <c r="A292" s="2" t="n">
        <v>97</v>
      </c>
      <c r="B292" s="2" t="s">
        <v>1912</v>
      </c>
      <c r="C292" s="2" t="n">
        <v>3</v>
      </c>
      <c r="D292" s="2" t="s">
        <v>3236</v>
      </c>
      <c r="E292" s="2" t="s">
        <v>3237</v>
      </c>
    </row>
    <row r="293" customFormat="false" ht="15" hidden="false" customHeight="false" outlineLevel="0" collapsed="false">
      <c r="A293" s="2" t="n">
        <v>98</v>
      </c>
      <c r="B293" s="2" t="s">
        <v>1931</v>
      </c>
      <c r="C293" s="2" t="n">
        <v>1</v>
      </c>
      <c r="D293" s="2" t="s">
        <v>3238</v>
      </c>
      <c r="E293" s="2" t="s">
        <v>3239</v>
      </c>
    </row>
    <row r="294" customFormat="false" ht="15" hidden="false" customHeight="false" outlineLevel="0" collapsed="false">
      <c r="A294" s="2" t="n">
        <v>98</v>
      </c>
      <c r="B294" s="2" t="s">
        <v>1931</v>
      </c>
      <c r="C294" s="2" t="n">
        <v>2</v>
      </c>
      <c r="D294" s="2" t="s">
        <v>3240</v>
      </c>
      <c r="E294" s="2" t="s">
        <v>3241</v>
      </c>
    </row>
    <row r="295" customFormat="false" ht="15" hidden="false" customHeight="false" outlineLevel="0" collapsed="false">
      <c r="A295" s="2" t="n">
        <v>98</v>
      </c>
      <c r="B295" s="2" t="s">
        <v>1931</v>
      </c>
      <c r="C295" s="2" t="n">
        <v>3</v>
      </c>
      <c r="D295" s="2" t="s">
        <v>3242</v>
      </c>
      <c r="E295" s="2" t="s">
        <v>3243</v>
      </c>
    </row>
    <row r="296" customFormat="false" ht="23.85" hidden="false" customHeight="false" outlineLevel="0" collapsed="false">
      <c r="A296" s="2" t="n">
        <v>99</v>
      </c>
      <c r="B296" s="2" t="s">
        <v>1953</v>
      </c>
      <c r="C296" s="2" t="n">
        <v>1</v>
      </c>
      <c r="D296" s="2" t="s">
        <v>3244</v>
      </c>
      <c r="E296" s="2" t="s">
        <v>3245</v>
      </c>
    </row>
    <row r="297" customFormat="false" ht="23.85" hidden="false" customHeight="false" outlineLevel="0" collapsed="false">
      <c r="A297" s="2" t="n">
        <v>99</v>
      </c>
      <c r="B297" s="2" t="s">
        <v>1953</v>
      </c>
      <c r="C297" s="2" t="n">
        <v>2</v>
      </c>
      <c r="D297" s="2" t="s">
        <v>3246</v>
      </c>
      <c r="E297" s="2" t="s">
        <v>3247</v>
      </c>
    </row>
    <row r="298" customFormat="false" ht="23.85" hidden="false" customHeight="false" outlineLevel="0" collapsed="false">
      <c r="A298" s="2" t="n">
        <v>99</v>
      </c>
      <c r="B298" s="2" t="s">
        <v>1953</v>
      </c>
      <c r="C298" s="2" t="n">
        <v>3</v>
      </c>
      <c r="D298" s="2" t="s">
        <v>3248</v>
      </c>
      <c r="E298" s="2" t="s">
        <v>3249</v>
      </c>
    </row>
    <row r="299" customFormat="false" ht="15" hidden="false" customHeight="false" outlineLevel="0" collapsed="false">
      <c r="A299" s="2" t="n">
        <v>100</v>
      </c>
      <c r="B299" s="2" t="s">
        <v>1971</v>
      </c>
      <c r="C299" s="2" t="n">
        <v>1</v>
      </c>
      <c r="D299" s="2" t="s">
        <v>3250</v>
      </c>
      <c r="E299" s="2" t="s">
        <v>3251</v>
      </c>
    </row>
    <row r="300" customFormat="false" ht="15" hidden="false" customHeight="false" outlineLevel="0" collapsed="false">
      <c r="A300" s="2" t="n">
        <v>100</v>
      </c>
      <c r="B300" s="2" t="s">
        <v>1971</v>
      </c>
      <c r="C300" s="2" t="n">
        <v>2</v>
      </c>
      <c r="D300" s="2" t="s">
        <v>3252</v>
      </c>
      <c r="E300" s="2" t="s">
        <v>3253</v>
      </c>
    </row>
    <row r="301" customFormat="false" ht="23.85" hidden="false" customHeight="false" outlineLevel="0" collapsed="false">
      <c r="A301" s="2" t="n">
        <v>100</v>
      </c>
      <c r="B301" s="2" t="s">
        <v>1971</v>
      </c>
      <c r="C301" s="2" t="n">
        <v>3</v>
      </c>
      <c r="D301" s="2" t="s">
        <v>3254</v>
      </c>
      <c r="E301" s="2" t="s">
        <v>3255</v>
      </c>
    </row>
  </sheetData>
  <autoFilter ref="A1:E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2"/>
    <col collapsed="false" customWidth="true" hidden="false" outlineLevel="0" max="4" min="4" style="0" width="28"/>
    <col collapsed="false" customWidth="true" hidden="false" outlineLevel="0" max="5" min="5" style="0" width="18"/>
    <col collapsed="false" customWidth="true" hidden="false" outlineLevel="0" max="6" min="6" style="0" width="26"/>
    <col collapsed="false" customWidth="true" hidden="false" outlineLevel="0" max="7" min="7" style="0" width="34"/>
    <col collapsed="false" customWidth="true" hidden="false" outlineLevel="0" max="8" min="8" style="0" width="10"/>
    <col collapsed="false" customWidth="true" hidden="false" outlineLevel="0" max="9" min="9" style="0" width="7"/>
    <col collapsed="false" customWidth="true" hidden="false" outlineLevel="0" max="10" min="10" style="0" width="30"/>
    <col collapsed="false" customWidth="true" hidden="false" outlineLevel="0" max="11" min="11" style="0" width="60"/>
  </cols>
  <sheetData>
    <row r="1" customFormat="false" ht="15" hidden="false" customHeight="false" outlineLevel="0" collapsed="false">
      <c r="A1" s="5" t="s">
        <v>1994</v>
      </c>
      <c r="B1" s="5" t="s">
        <v>3256</v>
      </c>
      <c r="C1" s="5" t="s">
        <v>1996</v>
      </c>
      <c r="D1" s="5" t="s">
        <v>8</v>
      </c>
      <c r="E1" s="5" t="s">
        <v>1998</v>
      </c>
      <c r="F1" s="5" t="s">
        <v>1999</v>
      </c>
      <c r="G1" s="5" t="s">
        <v>2000</v>
      </c>
      <c r="H1" s="5" t="s">
        <v>3257</v>
      </c>
      <c r="I1" s="5" t="s">
        <v>1992</v>
      </c>
      <c r="J1" s="5" t="s">
        <v>1</v>
      </c>
      <c r="K1" s="5" t="s">
        <v>1997</v>
      </c>
    </row>
    <row r="2" customFormat="false" ht="23.85" hidden="false" customHeight="false" outlineLevel="0" collapsed="false">
      <c r="A2" s="2" t="s">
        <v>2213</v>
      </c>
      <c r="B2" s="2" t="s">
        <v>2040</v>
      </c>
      <c r="C2" s="2" t="s">
        <v>2016</v>
      </c>
      <c r="D2" s="2" t="s">
        <v>2042</v>
      </c>
      <c r="E2" s="2" t="s">
        <v>2043</v>
      </c>
      <c r="F2" s="2"/>
      <c r="G2" s="2" t="s">
        <v>2044</v>
      </c>
      <c r="H2" s="2" t="n">
        <v>9</v>
      </c>
      <c r="I2" s="2" t="n">
        <v>1</v>
      </c>
      <c r="J2" s="2" t="s">
        <v>39</v>
      </c>
      <c r="K2" s="2" t="s">
        <v>2041</v>
      </c>
    </row>
    <row r="3" customFormat="false" ht="57.45" hidden="false" customHeight="false" outlineLevel="0" collapsed="false">
      <c r="A3" s="2" t="s">
        <v>2213</v>
      </c>
      <c r="B3" s="2" t="s">
        <v>2040</v>
      </c>
      <c r="C3" s="2" t="s">
        <v>2016</v>
      </c>
      <c r="D3" s="2" t="s">
        <v>2042</v>
      </c>
      <c r="E3" s="2" t="s">
        <v>2043</v>
      </c>
      <c r="F3" s="2"/>
      <c r="G3" s="2" t="s">
        <v>2044</v>
      </c>
      <c r="H3" s="2" t="n">
        <v>9</v>
      </c>
      <c r="I3" s="2" t="n">
        <v>15</v>
      </c>
      <c r="J3" s="2" t="s">
        <v>332</v>
      </c>
      <c r="K3" s="2" t="s">
        <v>2201</v>
      </c>
    </row>
    <row r="4" customFormat="false" ht="35.05" hidden="false" customHeight="false" outlineLevel="0" collapsed="false">
      <c r="A4" s="2" t="s">
        <v>2213</v>
      </c>
      <c r="B4" s="2" t="s">
        <v>2040</v>
      </c>
      <c r="C4" s="2" t="s">
        <v>2016</v>
      </c>
      <c r="D4" s="2" t="s">
        <v>2042</v>
      </c>
      <c r="E4" s="2" t="s">
        <v>2043</v>
      </c>
      <c r="F4" s="2"/>
      <c r="G4" s="2" t="s">
        <v>2044</v>
      </c>
      <c r="H4" s="2" t="n">
        <v>9</v>
      </c>
      <c r="I4" s="2" t="n">
        <v>17</v>
      </c>
      <c r="J4" s="2" t="s">
        <v>370</v>
      </c>
      <c r="K4" s="2" t="s">
        <v>2214</v>
      </c>
    </row>
    <row r="5" customFormat="false" ht="57.45" hidden="false" customHeight="false" outlineLevel="0" collapsed="false">
      <c r="A5" s="2" t="s">
        <v>2213</v>
      </c>
      <c r="B5" s="2" t="s">
        <v>2040</v>
      </c>
      <c r="C5" s="2" t="s">
        <v>2016</v>
      </c>
      <c r="D5" s="2" t="s">
        <v>2042</v>
      </c>
      <c r="E5" s="2" t="s">
        <v>2043</v>
      </c>
      <c r="F5" s="2"/>
      <c r="G5" s="2" t="s">
        <v>2044</v>
      </c>
      <c r="H5" s="2" t="n">
        <v>9</v>
      </c>
      <c r="I5" s="2" t="n">
        <v>27</v>
      </c>
      <c r="J5" s="2" t="s">
        <v>562</v>
      </c>
      <c r="K5" s="2" t="s">
        <v>2282</v>
      </c>
    </row>
    <row r="6" customFormat="false" ht="35.05" hidden="false" customHeight="false" outlineLevel="0" collapsed="false">
      <c r="A6" s="2" t="s">
        <v>2213</v>
      </c>
      <c r="B6" s="2" t="s">
        <v>2040</v>
      </c>
      <c r="C6" s="2" t="s">
        <v>2016</v>
      </c>
      <c r="D6" s="2" t="s">
        <v>2042</v>
      </c>
      <c r="E6" s="2" t="s">
        <v>2043</v>
      </c>
      <c r="F6" s="2"/>
      <c r="G6" s="2" t="s">
        <v>2044</v>
      </c>
      <c r="H6" s="2" t="n">
        <v>9</v>
      </c>
      <c r="I6" s="2" t="n">
        <v>31</v>
      </c>
      <c r="J6" s="2" t="s">
        <v>638</v>
      </c>
      <c r="K6" s="2" t="s">
        <v>2298</v>
      </c>
    </row>
    <row r="7" customFormat="false" ht="46.25" hidden="false" customHeight="false" outlineLevel="0" collapsed="false">
      <c r="A7" s="2" t="s">
        <v>2213</v>
      </c>
      <c r="B7" s="2" t="s">
        <v>2040</v>
      </c>
      <c r="C7" s="2" t="s">
        <v>2016</v>
      </c>
      <c r="D7" s="2" t="s">
        <v>2042</v>
      </c>
      <c r="E7" s="2" t="s">
        <v>2043</v>
      </c>
      <c r="F7" s="2"/>
      <c r="G7" s="2" t="s">
        <v>2044</v>
      </c>
      <c r="H7" s="2" t="n">
        <v>9</v>
      </c>
      <c r="I7" s="2" t="n">
        <v>70</v>
      </c>
      <c r="J7" s="2" t="s">
        <v>1402</v>
      </c>
      <c r="K7" s="2" t="s">
        <v>2552</v>
      </c>
    </row>
    <row r="8" customFormat="false" ht="57.45" hidden="false" customHeight="false" outlineLevel="0" collapsed="false">
      <c r="A8" s="2" t="s">
        <v>2213</v>
      </c>
      <c r="B8" s="2" t="s">
        <v>2040</v>
      </c>
      <c r="C8" s="2" t="s">
        <v>2016</v>
      </c>
      <c r="D8" s="2" t="s">
        <v>2042</v>
      </c>
      <c r="E8" s="2" t="s">
        <v>2043</v>
      </c>
      <c r="F8" s="2"/>
      <c r="G8" s="2" t="s">
        <v>2044</v>
      </c>
      <c r="H8" s="2" t="n">
        <v>9</v>
      </c>
      <c r="I8" s="2" t="n">
        <v>91</v>
      </c>
      <c r="J8" s="2" t="s">
        <v>1796</v>
      </c>
      <c r="K8" s="2" t="s">
        <v>2622</v>
      </c>
    </row>
    <row r="9" customFormat="false" ht="57.45" hidden="false" customHeight="false" outlineLevel="0" collapsed="false">
      <c r="A9" s="2" t="s">
        <v>2213</v>
      </c>
      <c r="B9" s="2" t="s">
        <v>2040</v>
      </c>
      <c r="C9" s="2" t="s">
        <v>2016</v>
      </c>
      <c r="D9" s="2" t="s">
        <v>2042</v>
      </c>
      <c r="E9" s="2" t="s">
        <v>2043</v>
      </c>
      <c r="F9" s="2"/>
      <c r="G9" s="2" t="s">
        <v>2044</v>
      </c>
      <c r="H9" s="2" t="n">
        <v>9</v>
      </c>
      <c r="I9" s="2" t="n">
        <v>92</v>
      </c>
      <c r="J9" s="2" t="s">
        <v>1816</v>
      </c>
      <c r="K9" s="2" t="s">
        <v>2624</v>
      </c>
    </row>
    <row r="10" customFormat="false" ht="46.25" hidden="false" customHeight="false" outlineLevel="0" collapsed="false">
      <c r="A10" s="2" t="s">
        <v>2213</v>
      </c>
      <c r="B10" s="2" t="s">
        <v>2040</v>
      </c>
      <c r="C10" s="2" t="s">
        <v>2016</v>
      </c>
      <c r="D10" s="2" t="s">
        <v>2042</v>
      </c>
      <c r="E10" s="2" t="s">
        <v>2043</v>
      </c>
      <c r="F10" s="2"/>
      <c r="G10" s="2" t="s">
        <v>2044</v>
      </c>
      <c r="H10" s="2" t="n">
        <v>9</v>
      </c>
      <c r="I10" s="2" t="n">
        <v>95</v>
      </c>
      <c r="J10" s="2" t="s">
        <v>1874</v>
      </c>
      <c r="K10" s="2" t="s">
        <v>2632</v>
      </c>
    </row>
    <row r="11" customFormat="false" ht="35.05" hidden="false" customHeight="false" outlineLevel="0" collapsed="false">
      <c r="A11" s="2" t="s">
        <v>2452</v>
      </c>
      <c r="B11" s="2" t="s">
        <v>2132</v>
      </c>
      <c r="C11" s="2" t="s">
        <v>2016</v>
      </c>
      <c r="D11" s="2" t="s">
        <v>2134</v>
      </c>
      <c r="E11" s="2" t="s">
        <v>2135</v>
      </c>
      <c r="F11" s="2" t="s">
        <v>2136</v>
      </c>
      <c r="G11" s="2" t="s">
        <v>2137</v>
      </c>
      <c r="H11" s="2" t="n">
        <v>9</v>
      </c>
      <c r="I11" s="2" t="n">
        <v>8</v>
      </c>
      <c r="J11" s="2" t="s">
        <v>193</v>
      </c>
      <c r="K11" s="2" t="s">
        <v>2133</v>
      </c>
    </row>
    <row r="12" customFormat="false" ht="68.65" hidden="false" customHeight="false" outlineLevel="0" collapsed="false">
      <c r="A12" s="2" t="s">
        <v>2452</v>
      </c>
      <c r="B12" s="2" t="s">
        <v>2132</v>
      </c>
      <c r="C12" s="2" t="s">
        <v>2016</v>
      </c>
      <c r="D12" s="2" t="s">
        <v>2134</v>
      </c>
      <c r="E12" s="2" t="s">
        <v>2135</v>
      </c>
      <c r="F12" s="2" t="s">
        <v>2136</v>
      </c>
      <c r="G12" s="2" t="s">
        <v>2137</v>
      </c>
      <c r="H12" s="2" t="n">
        <v>9</v>
      </c>
      <c r="I12" s="2" t="n">
        <v>54</v>
      </c>
      <c r="J12" s="2" t="s">
        <v>1092</v>
      </c>
      <c r="K12" s="2" t="s">
        <v>2454</v>
      </c>
    </row>
    <row r="13" customFormat="false" ht="35.05" hidden="false" customHeight="false" outlineLevel="0" collapsed="false">
      <c r="A13" s="2" t="s">
        <v>2452</v>
      </c>
      <c r="B13" s="2" t="s">
        <v>2132</v>
      </c>
      <c r="C13" s="2" t="s">
        <v>2016</v>
      </c>
      <c r="D13" s="2" t="s">
        <v>2134</v>
      </c>
      <c r="E13" s="2" t="s">
        <v>2135</v>
      </c>
      <c r="F13" s="2" t="s">
        <v>2136</v>
      </c>
      <c r="G13" s="2" t="s">
        <v>2137</v>
      </c>
      <c r="H13" s="2" t="n">
        <v>9</v>
      </c>
      <c r="I13" s="2" t="n">
        <v>61</v>
      </c>
      <c r="J13" s="2" t="s">
        <v>1232</v>
      </c>
      <c r="K13" s="2" t="s">
        <v>2510</v>
      </c>
    </row>
    <row r="14" customFormat="false" ht="23.85" hidden="false" customHeight="false" outlineLevel="0" collapsed="false">
      <c r="A14" s="2" t="s">
        <v>2452</v>
      </c>
      <c r="B14" s="2" t="s">
        <v>2132</v>
      </c>
      <c r="C14" s="2" t="s">
        <v>2016</v>
      </c>
      <c r="D14" s="2" t="s">
        <v>2134</v>
      </c>
      <c r="E14" s="2" t="s">
        <v>2135</v>
      </c>
      <c r="F14" s="2" t="s">
        <v>2136</v>
      </c>
      <c r="G14" s="2" t="s">
        <v>2137</v>
      </c>
      <c r="H14" s="2" t="n">
        <v>9</v>
      </c>
      <c r="I14" s="2" t="n">
        <v>63</v>
      </c>
      <c r="J14" s="2" t="s">
        <v>1268</v>
      </c>
      <c r="K14" s="2" t="s">
        <v>2517</v>
      </c>
    </row>
    <row r="15" customFormat="false" ht="46.25" hidden="false" customHeight="false" outlineLevel="0" collapsed="false">
      <c r="A15" s="2" t="s">
        <v>2452</v>
      </c>
      <c r="B15" s="2" t="s">
        <v>2132</v>
      </c>
      <c r="C15" s="2" t="s">
        <v>2016</v>
      </c>
      <c r="D15" s="2" t="s">
        <v>2134</v>
      </c>
      <c r="E15" s="2" t="s">
        <v>2135</v>
      </c>
      <c r="F15" s="2" t="s">
        <v>2136</v>
      </c>
      <c r="G15" s="2" t="s">
        <v>2137</v>
      </c>
      <c r="H15" s="2" t="n">
        <v>9</v>
      </c>
      <c r="I15" s="2" t="n">
        <v>64</v>
      </c>
      <c r="J15" s="2" t="s">
        <v>1286</v>
      </c>
      <c r="K15" s="2" t="s">
        <v>2519</v>
      </c>
    </row>
    <row r="16" customFormat="false" ht="35.05" hidden="false" customHeight="false" outlineLevel="0" collapsed="false">
      <c r="A16" s="2" t="s">
        <v>2452</v>
      </c>
      <c r="B16" s="2" t="s">
        <v>2132</v>
      </c>
      <c r="C16" s="2" t="s">
        <v>2016</v>
      </c>
      <c r="D16" s="2" t="s">
        <v>2134</v>
      </c>
      <c r="E16" s="2" t="s">
        <v>2135</v>
      </c>
      <c r="F16" s="2" t="s">
        <v>2136</v>
      </c>
      <c r="G16" s="2" t="s">
        <v>2137</v>
      </c>
      <c r="H16" s="2" t="n">
        <v>9</v>
      </c>
      <c r="I16" s="2" t="n">
        <v>65</v>
      </c>
      <c r="J16" s="2" t="s">
        <v>1307</v>
      </c>
      <c r="K16" s="2" t="s">
        <v>2520</v>
      </c>
    </row>
    <row r="17" customFormat="false" ht="35.05" hidden="false" customHeight="false" outlineLevel="0" collapsed="false">
      <c r="A17" s="2" t="s">
        <v>2452</v>
      </c>
      <c r="B17" s="2" t="s">
        <v>2132</v>
      </c>
      <c r="C17" s="2" t="s">
        <v>2016</v>
      </c>
      <c r="D17" s="2" t="s">
        <v>2134</v>
      </c>
      <c r="E17" s="2" t="s">
        <v>2135</v>
      </c>
      <c r="F17" s="2" t="s">
        <v>2136</v>
      </c>
      <c r="G17" s="2" t="s">
        <v>2137</v>
      </c>
      <c r="H17" s="2" t="n">
        <v>9</v>
      </c>
      <c r="I17" s="2" t="n">
        <v>71</v>
      </c>
      <c r="J17" s="2" t="s">
        <v>1422</v>
      </c>
      <c r="K17" s="2" t="s">
        <v>2554</v>
      </c>
    </row>
    <row r="18" customFormat="false" ht="46.25" hidden="false" customHeight="false" outlineLevel="0" collapsed="false">
      <c r="A18" s="2" t="s">
        <v>2452</v>
      </c>
      <c r="B18" s="2" t="s">
        <v>2132</v>
      </c>
      <c r="C18" s="2" t="s">
        <v>2016</v>
      </c>
      <c r="D18" s="2" t="s">
        <v>2134</v>
      </c>
      <c r="E18" s="2" t="s">
        <v>2135</v>
      </c>
      <c r="F18" s="2" t="s">
        <v>2136</v>
      </c>
      <c r="G18" s="2" t="s">
        <v>2137</v>
      </c>
      <c r="H18" s="2" t="n">
        <v>9</v>
      </c>
      <c r="I18" s="2" t="n">
        <v>81</v>
      </c>
      <c r="J18" s="2" t="s">
        <v>1618</v>
      </c>
      <c r="K18" s="2" t="s">
        <v>2599</v>
      </c>
    </row>
    <row r="19" customFormat="false" ht="68.65" hidden="false" customHeight="false" outlineLevel="0" collapsed="false">
      <c r="A19" s="2" t="s">
        <v>2452</v>
      </c>
      <c r="B19" s="2" t="s">
        <v>2132</v>
      </c>
      <c r="C19" s="2" t="s">
        <v>2016</v>
      </c>
      <c r="D19" s="2" t="s">
        <v>2134</v>
      </c>
      <c r="E19" s="2" t="s">
        <v>2135</v>
      </c>
      <c r="F19" s="2" t="s">
        <v>2136</v>
      </c>
      <c r="G19" s="2" t="s">
        <v>2137</v>
      </c>
      <c r="H19" s="2" t="n">
        <v>9</v>
      </c>
      <c r="I19" s="2" t="n">
        <v>94</v>
      </c>
      <c r="J19" s="2" t="s">
        <v>1854</v>
      </c>
      <c r="K19" s="2" t="s">
        <v>2627</v>
      </c>
    </row>
    <row r="20" customFormat="false" ht="35.05" hidden="false" customHeight="false" outlineLevel="0" collapsed="false">
      <c r="A20" s="2" t="s">
        <v>2418</v>
      </c>
      <c r="B20" s="2" t="s">
        <v>2419</v>
      </c>
      <c r="C20" s="2" t="s">
        <v>2016</v>
      </c>
      <c r="D20" s="2" t="s">
        <v>2421</v>
      </c>
      <c r="E20" s="2" t="s">
        <v>2422</v>
      </c>
      <c r="F20" s="2" t="s">
        <v>2423</v>
      </c>
      <c r="G20" s="2" t="s">
        <v>2424</v>
      </c>
      <c r="H20" s="2" t="n">
        <v>7</v>
      </c>
      <c r="I20" s="2" t="n">
        <v>50</v>
      </c>
      <c r="J20" s="2" t="s">
        <v>1009</v>
      </c>
      <c r="K20" s="2" t="s">
        <v>2420</v>
      </c>
    </row>
    <row r="21" customFormat="false" ht="68.65" hidden="false" customHeight="false" outlineLevel="0" collapsed="false">
      <c r="A21" s="2" t="s">
        <v>2418</v>
      </c>
      <c r="B21" s="2" t="s">
        <v>2419</v>
      </c>
      <c r="C21" s="2" t="s">
        <v>2016</v>
      </c>
      <c r="D21" s="2" t="s">
        <v>2421</v>
      </c>
      <c r="E21" s="2" t="s">
        <v>2422</v>
      </c>
      <c r="F21" s="2" t="s">
        <v>2423</v>
      </c>
      <c r="G21" s="2" t="s">
        <v>2424</v>
      </c>
      <c r="H21" s="2" t="n">
        <v>7</v>
      </c>
      <c r="I21" s="2" t="n">
        <v>53</v>
      </c>
      <c r="J21" s="2" t="s">
        <v>1073</v>
      </c>
      <c r="K21" s="2" t="s">
        <v>2436</v>
      </c>
    </row>
    <row r="22" customFormat="false" ht="57.45" hidden="false" customHeight="false" outlineLevel="0" collapsed="false">
      <c r="A22" s="2" t="s">
        <v>2418</v>
      </c>
      <c r="B22" s="2" t="s">
        <v>2419</v>
      </c>
      <c r="C22" s="2" t="s">
        <v>2016</v>
      </c>
      <c r="D22" s="2" t="s">
        <v>2421</v>
      </c>
      <c r="E22" s="2" t="s">
        <v>2422</v>
      </c>
      <c r="F22" s="2" t="s">
        <v>2423</v>
      </c>
      <c r="G22" s="2" t="s">
        <v>2424</v>
      </c>
      <c r="H22" s="2" t="n">
        <v>7</v>
      </c>
      <c r="I22" s="2" t="n">
        <v>62</v>
      </c>
      <c r="J22" s="2" t="s">
        <v>1251</v>
      </c>
      <c r="K22" s="2" t="s">
        <v>2512</v>
      </c>
    </row>
    <row r="23" customFormat="false" ht="68.65" hidden="false" customHeight="false" outlineLevel="0" collapsed="false">
      <c r="A23" s="2" t="s">
        <v>2418</v>
      </c>
      <c r="B23" s="2" t="s">
        <v>2419</v>
      </c>
      <c r="C23" s="2" t="s">
        <v>2016</v>
      </c>
      <c r="D23" s="2" t="s">
        <v>2421</v>
      </c>
      <c r="E23" s="2" t="s">
        <v>2422</v>
      </c>
      <c r="F23" s="2" t="s">
        <v>2423</v>
      </c>
      <c r="G23" s="2" t="s">
        <v>2424</v>
      </c>
      <c r="H23" s="2" t="n">
        <v>7</v>
      </c>
      <c r="I23" s="2" t="n">
        <v>63</v>
      </c>
      <c r="J23" s="2" t="s">
        <v>1268</v>
      </c>
      <c r="K23" s="2" t="s">
        <v>2514</v>
      </c>
    </row>
    <row r="24" customFormat="false" ht="35.05" hidden="false" customHeight="false" outlineLevel="0" collapsed="false">
      <c r="A24" s="2" t="s">
        <v>2418</v>
      </c>
      <c r="B24" s="2" t="s">
        <v>2419</v>
      </c>
      <c r="C24" s="2" t="s">
        <v>2016</v>
      </c>
      <c r="D24" s="2" t="s">
        <v>2421</v>
      </c>
      <c r="E24" s="2" t="s">
        <v>2422</v>
      </c>
      <c r="F24" s="2" t="s">
        <v>2423</v>
      </c>
      <c r="G24" s="2" t="s">
        <v>2424</v>
      </c>
      <c r="H24" s="2" t="n">
        <v>7</v>
      </c>
      <c r="I24" s="2" t="n">
        <v>66</v>
      </c>
      <c r="J24" s="2" t="s">
        <v>1326</v>
      </c>
      <c r="K24" s="2" t="s">
        <v>2521</v>
      </c>
    </row>
    <row r="25" customFormat="false" ht="57.45" hidden="false" customHeight="false" outlineLevel="0" collapsed="false">
      <c r="A25" s="2" t="s">
        <v>2418</v>
      </c>
      <c r="B25" s="2" t="s">
        <v>2419</v>
      </c>
      <c r="C25" s="2" t="s">
        <v>2016</v>
      </c>
      <c r="D25" s="2" t="s">
        <v>2421</v>
      </c>
      <c r="E25" s="2" t="s">
        <v>2422</v>
      </c>
      <c r="F25" s="2" t="s">
        <v>2423</v>
      </c>
      <c r="G25" s="2" t="s">
        <v>2424</v>
      </c>
      <c r="H25" s="2" t="n">
        <v>7</v>
      </c>
      <c r="I25" s="2" t="n">
        <v>75</v>
      </c>
      <c r="J25" s="2" t="s">
        <v>1497</v>
      </c>
      <c r="K25" s="2" t="s">
        <v>2573</v>
      </c>
    </row>
    <row r="26" customFormat="false" ht="46.25" hidden="false" customHeight="false" outlineLevel="0" collapsed="false">
      <c r="A26" s="2" t="s">
        <v>2418</v>
      </c>
      <c r="B26" s="2" t="s">
        <v>2419</v>
      </c>
      <c r="C26" s="2" t="s">
        <v>2016</v>
      </c>
      <c r="D26" s="2" t="s">
        <v>2421</v>
      </c>
      <c r="E26" s="2" t="s">
        <v>2422</v>
      </c>
      <c r="F26" s="2" t="s">
        <v>2423</v>
      </c>
      <c r="G26" s="2" t="s">
        <v>2424</v>
      </c>
      <c r="H26" s="2" t="n">
        <v>7</v>
      </c>
      <c r="I26" s="2" t="n">
        <v>85</v>
      </c>
      <c r="J26" s="2" t="s">
        <v>1691</v>
      </c>
      <c r="K26" s="2" t="s">
        <v>2613</v>
      </c>
    </row>
    <row r="27" customFormat="false" ht="46.25" hidden="false" customHeight="false" outlineLevel="0" collapsed="false">
      <c r="A27" s="2" t="s">
        <v>2322</v>
      </c>
      <c r="B27" s="2" t="s">
        <v>2110</v>
      </c>
      <c r="C27" s="2" t="s">
        <v>2016</v>
      </c>
      <c r="D27" s="2" t="s">
        <v>2112</v>
      </c>
      <c r="E27" s="2" t="s">
        <v>2113</v>
      </c>
      <c r="F27" s="2"/>
      <c r="G27" s="2" t="s">
        <v>2114</v>
      </c>
      <c r="H27" s="2" t="n">
        <v>6</v>
      </c>
      <c r="I27" s="2" t="n">
        <v>6</v>
      </c>
      <c r="J27" s="2" t="s">
        <v>154</v>
      </c>
      <c r="K27" s="2" t="s">
        <v>2111</v>
      </c>
    </row>
    <row r="28" customFormat="false" ht="57.45" hidden="false" customHeight="false" outlineLevel="0" collapsed="false">
      <c r="A28" s="2" t="s">
        <v>2322</v>
      </c>
      <c r="B28" s="2" t="s">
        <v>2110</v>
      </c>
      <c r="C28" s="2" t="s">
        <v>2016</v>
      </c>
      <c r="D28" s="2" t="s">
        <v>2112</v>
      </c>
      <c r="E28" s="2" t="s">
        <v>2113</v>
      </c>
      <c r="F28" s="2"/>
      <c r="G28" s="2" t="s">
        <v>2114</v>
      </c>
      <c r="H28" s="2" t="n">
        <v>6</v>
      </c>
      <c r="I28" s="2" t="n">
        <v>7</v>
      </c>
      <c r="J28" s="2" t="s">
        <v>174</v>
      </c>
      <c r="K28" s="2" t="s">
        <v>2117</v>
      </c>
    </row>
    <row r="29" customFormat="false" ht="91" hidden="false" customHeight="false" outlineLevel="0" collapsed="false">
      <c r="A29" s="2" t="s">
        <v>2322</v>
      </c>
      <c r="B29" s="2" t="s">
        <v>2110</v>
      </c>
      <c r="C29" s="2" t="s">
        <v>2016</v>
      </c>
      <c r="D29" s="2" t="s">
        <v>2112</v>
      </c>
      <c r="E29" s="2" t="s">
        <v>2113</v>
      </c>
      <c r="F29" s="2"/>
      <c r="G29" s="2" t="s">
        <v>2114</v>
      </c>
      <c r="H29" s="2" t="n">
        <v>6</v>
      </c>
      <c r="I29" s="2" t="n">
        <v>35</v>
      </c>
      <c r="J29" s="2" t="s">
        <v>712</v>
      </c>
      <c r="K29" s="2" t="s">
        <v>2323</v>
      </c>
    </row>
    <row r="30" customFormat="false" ht="68.65" hidden="false" customHeight="false" outlineLevel="0" collapsed="false">
      <c r="A30" s="2" t="s">
        <v>2322</v>
      </c>
      <c r="B30" s="2" t="s">
        <v>2110</v>
      </c>
      <c r="C30" s="2" t="s">
        <v>2016</v>
      </c>
      <c r="D30" s="2" t="s">
        <v>2112</v>
      </c>
      <c r="E30" s="2" t="s">
        <v>2113</v>
      </c>
      <c r="F30" s="2"/>
      <c r="G30" s="2" t="s">
        <v>2114</v>
      </c>
      <c r="H30" s="2" t="n">
        <v>6</v>
      </c>
      <c r="I30" s="2" t="n">
        <v>45</v>
      </c>
      <c r="J30" s="2" t="s">
        <v>912</v>
      </c>
      <c r="K30" s="2" t="s">
        <v>2390</v>
      </c>
    </row>
    <row r="31" customFormat="false" ht="46.25" hidden="false" customHeight="false" outlineLevel="0" collapsed="false">
      <c r="A31" s="2" t="s">
        <v>2322</v>
      </c>
      <c r="B31" s="2" t="s">
        <v>2110</v>
      </c>
      <c r="C31" s="2" t="s">
        <v>2016</v>
      </c>
      <c r="D31" s="2" t="s">
        <v>2112</v>
      </c>
      <c r="E31" s="2" t="s">
        <v>2113</v>
      </c>
      <c r="F31" s="2"/>
      <c r="G31" s="2" t="s">
        <v>2114</v>
      </c>
      <c r="H31" s="2" t="n">
        <v>6</v>
      </c>
      <c r="I31" s="2" t="n">
        <v>80</v>
      </c>
      <c r="J31" s="2" t="s">
        <v>1597</v>
      </c>
      <c r="K31" s="2" t="s">
        <v>2597</v>
      </c>
    </row>
    <row r="32" customFormat="false" ht="23.85" hidden="false" customHeight="false" outlineLevel="0" collapsed="false">
      <c r="A32" s="2" t="s">
        <v>2322</v>
      </c>
      <c r="B32" s="2" t="s">
        <v>2110</v>
      </c>
      <c r="C32" s="2" t="s">
        <v>2016</v>
      </c>
      <c r="D32" s="2" t="s">
        <v>2112</v>
      </c>
      <c r="E32" s="2" t="s">
        <v>2113</v>
      </c>
      <c r="F32" s="2"/>
      <c r="G32" s="2" t="s">
        <v>2114</v>
      </c>
      <c r="H32" s="2" t="n">
        <v>6</v>
      </c>
      <c r="I32" s="2" t="n">
        <v>84</v>
      </c>
      <c r="J32" s="2" t="s">
        <v>1673</v>
      </c>
      <c r="K32" s="2" t="s">
        <v>2609</v>
      </c>
    </row>
    <row r="33" customFormat="false" ht="46.25" hidden="false" customHeight="false" outlineLevel="0" collapsed="false">
      <c r="A33" s="2" t="s">
        <v>2403</v>
      </c>
      <c r="B33" s="2" t="s">
        <v>2193</v>
      </c>
      <c r="C33" s="2" t="s">
        <v>2016</v>
      </c>
      <c r="D33" s="2" t="s">
        <v>2195</v>
      </c>
      <c r="E33" s="2" t="s">
        <v>2196</v>
      </c>
      <c r="F33" s="2" t="s">
        <v>2197</v>
      </c>
      <c r="G33" s="2" t="s">
        <v>2198</v>
      </c>
      <c r="H33" s="2" t="n">
        <v>6</v>
      </c>
      <c r="I33" s="2" t="n">
        <v>14</v>
      </c>
      <c r="J33" s="2" t="s">
        <v>312</v>
      </c>
      <c r="K33" s="2" t="s">
        <v>2194</v>
      </c>
    </row>
    <row r="34" customFormat="false" ht="46.25" hidden="false" customHeight="false" outlineLevel="0" collapsed="false">
      <c r="A34" s="2" t="s">
        <v>2403</v>
      </c>
      <c r="B34" s="2" t="s">
        <v>2193</v>
      </c>
      <c r="C34" s="2" t="s">
        <v>2016</v>
      </c>
      <c r="D34" s="2" t="s">
        <v>2195</v>
      </c>
      <c r="E34" s="2" t="s">
        <v>2196</v>
      </c>
      <c r="F34" s="2" t="s">
        <v>2197</v>
      </c>
      <c r="G34" s="2" t="s">
        <v>2198</v>
      </c>
      <c r="H34" s="2" t="n">
        <v>6</v>
      </c>
      <c r="I34" s="2" t="n">
        <v>17</v>
      </c>
      <c r="J34" s="2" t="s">
        <v>370</v>
      </c>
      <c r="K34" s="2" t="s">
        <v>2216</v>
      </c>
    </row>
    <row r="35" customFormat="false" ht="46.25" hidden="false" customHeight="false" outlineLevel="0" collapsed="false">
      <c r="A35" s="2" t="s">
        <v>2403</v>
      </c>
      <c r="B35" s="2" t="s">
        <v>2193</v>
      </c>
      <c r="C35" s="2" t="s">
        <v>2016</v>
      </c>
      <c r="D35" s="2" t="s">
        <v>2195</v>
      </c>
      <c r="E35" s="2" t="s">
        <v>2196</v>
      </c>
      <c r="F35" s="2" t="s">
        <v>2197</v>
      </c>
      <c r="G35" s="2" t="s">
        <v>2198</v>
      </c>
      <c r="H35" s="2" t="n">
        <v>6</v>
      </c>
      <c r="I35" s="2" t="n">
        <v>27</v>
      </c>
      <c r="J35" s="2" t="s">
        <v>562</v>
      </c>
      <c r="K35" s="2" t="s">
        <v>2194</v>
      </c>
    </row>
    <row r="36" customFormat="false" ht="46.25" hidden="false" customHeight="false" outlineLevel="0" collapsed="false">
      <c r="A36" s="2" t="s">
        <v>2403</v>
      </c>
      <c r="B36" s="2" t="s">
        <v>2193</v>
      </c>
      <c r="C36" s="2" t="s">
        <v>2016</v>
      </c>
      <c r="D36" s="2" t="s">
        <v>2195</v>
      </c>
      <c r="E36" s="2" t="s">
        <v>2196</v>
      </c>
      <c r="F36" s="2" t="s">
        <v>2197</v>
      </c>
      <c r="G36" s="2" t="s">
        <v>2198</v>
      </c>
      <c r="H36" s="2" t="n">
        <v>6</v>
      </c>
      <c r="I36" s="2" t="n">
        <v>48</v>
      </c>
      <c r="J36" s="2" t="s">
        <v>969</v>
      </c>
      <c r="K36" s="2" t="s">
        <v>2404</v>
      </c>
    </row>
    <row r="37" customFormat="false" ht="46.25" hidden="false" customHeight="false" outlineLevel="0" collapsed="false">
      <c r="A37" s="2" t="s">
        <v>2403</v>
      </c>
      <c r="B37" s="2" t="s">
        <v>2193</v>
      </c>
      <c r="C37" s="2" t="s">
        <v>2016</v>
      </c>
      <c r="D37" s="2" t="s">
        <v>2195</v>
      </c>
      <c r="E37" s="2" t="s">
        <v>2196</v>
      </c>
      <c r="F37" s="2" t="s">
        <v>2197</v>
      </c>
      <c r="G37" s="2" t="s">
        <v>2198</v>
      </c>
      <c r="H37" s="2" t="n">
        <v>6</v>
      </c>
      <c r="I37" s="2" t="n">
        <v>79</v>
      </c>
      <c r="J37" s="2" t="s">
        <v>1578</v>
      </c>
      <c r="K37" s="2" t="s">
        <v>2595</v>
      </c>
    </row>
    <row r="38" customFormat="false" ht="46.25" hidden="false" customHeight="false" outlineLevel="0" collapsed="false">
      <c r="A38" s="2" t="s">
        <v>2403</v>
      </c>
      <c r="B38" s="2" t="s">
        <v>2193</v>
      </c>
      <c r="C38" s="2" t="s">
        <v>2016</v>
      </c>
      <c r="D38" s="2" t="s">
        <v>2195</v>
      </c>
      <c r="E38" s="2" t="s">
        <v>2196</v>
      </c>
      <c r="F38" s="2" t="s">
        <v>2197</v>
      </c>
      <c r="G38" s="2" t="s">
        <v>2198</v>
      </c>
      <c r="H38" s="2" t="n">
        <v>6</v>
      </c>
      <c r="I38" s="2" t="n">
        <v>84</v>
      </c>
      <c r="J38" s="2" t="s">
        <v>1673</v>
      </c>
      <c r="K38" s="2" t="s">
        <v>2610</v>
      </c>
    </row>
    <row r="39" customFormat="false" ht="35.05" hidden="false" customHeight="false" outlineLevel="0" collapsed="false">
      <c r="A39" s="2" t="s">
        <v>2499</v>
      </c>
      <c r="B39" s="2" t="s">
        <v>2063</v>
      </c>
      <c r="C39" s="2" t="s">
        <v>2016</v>
      </c>
      <c r="D39" s="2" t="s">
        <v>2065</v>
      </c>
      <c r="E39" s="2" t="s">
        <v>2066</v>
      </c>
      <c r="F39" s="2" t="s">
        <v>2067</v>
      </c>
      <c r="G39" s="2" t="s">
        <v>2068</v>
      </c>
      <c r="H39" s="2" t="n">
        <v>5</v>
      </c>
      <c r="I39" s="2" t="n">
        <v>2</v>
      </c>
      <c r="J39" s="2" t="s">
        <v>66</v>
      </c>
      <c r="K39" s="2" t="s">
        <v>2064</v>
      </c>
    </row>
    <row r="40" customFormat="false" ht="35.05" hidden="false" customHeight="false" outlineLevel="0" collapsed="false">
      <c r="A40" s="2" t="s">
        <v>2499</v>
      </c>
      <c r="B40" s="2" t="s">
        <v>2063</v>
      </c>
      <c r="C40" s="2" t="s">
        <v>2016</v>
      </c>
      <c r="D40" s="2" t="s">
        <v>2065</v>
      </c>
      <c r="E40" s="2" t="s">
        <v>2066</v>
      </c>
      <c r="F40" s="2" t="s">
        <v>2067</v>
      </c>
      <c r="G40" s="2" t="s">
        <v>2068</v>
      </c>
      <c r="H40" s="2" t="n">
        <v>5</v>
      </c>
      <c r="I40" s="2" t="n">
        <v>14</v>
      </c>
      <c r="J40" s="2" t="s">
        <v>312</v>
      </c>
      <c r="K40" s="2" t="s">
        <v>2189</v>
      </c>
    </row>
    <row r="41" customFormat="false" ht="23.85" hidden="false" customHeight="false" outlineLevel="0" collapsed="false">
      <c r="A41" s="2" t="s">
        <v>2499</v>
      </c>
      <c r="B41" s="2" t="s">
        <v>2063</v>
      </c>
      <c r="C41" s="2" t="s">
        <v>2016</v>
      </c>
      <c r="D41" s="2" t="s">
        <v>2065</v>
      </c>
      <c r="E41" s="2" t="s">
        <v>2066</v>
      </c>
      <c r="F41" s="2" t="s">
        <v>2067</v>
      </c>
      <c r="G41" s="2" t="s">
        <v>2068</v>
      </c>
      <c r="H41" s="2" t="n">
        <v>5</v>
      </c>
      <c r="I41" s="2" t="n">
        <v>60</v>
      </c>
      <c r="J41" s="2" t="s">
        <v>1213</v>
      </c>
      <c r="K41" s="2" t="s">
        <v>2500</v>
      </c>
    </row>
    <row r="42" customFormat="false" ht="57.45" hidden="false" customHeight="false" outlineLevel="0" collapsed="false">
      <c r="A42" s="2" t="s">
        <v>2499</v>
      </c>
      <c r="B42" s="2" t="s">
        <v>2063</v>
      </c>
      <c r="C42" s="2" t="s">
        <v>2016</v>
      </c>
      <c r="D42" s="2" t="s">
        <v>2065</v>
      </c>
      <c r="E42" s="2" t="s">
        <v>2066</v>
      </c>
      <c r="F42" s="2" t="s">
        <v>2067</v>
      </c>
      <c r="G42" s="2" t="s">
        <v>2068</v>
      </c>
      <c r="H42" s="2" t="n">
        <v>5</v>
      </c>
      <c r="I42" s="2" t="n">
        <v>69</v>
      </c>
      <c r="J42" s="2" t="s">
        <v>1382</v>
      </c>
      <c r="K42" s="2" t="s">
        <v>2550</v>
      </c>
    </row>
    <row r="43" customFormat="false" ht="35.05" hidden="false" customHeight="false" outlineLevel="0" collapsed="false">
      <c r="A43" s="2" t="s">
        <v>2499</v>
      </c>
      <c r="B43" s="2" t="s">
        <v>2063</v>
      </c>
      <c r="C43" s="2" t="s">
        <v>2016</v>
      </c>
      <c r="D43" s="2" t="s">
        <v>2065</v>
      </c>
      <c r="E43" s="2" t="s">
        <v>2066</v>
      </c>
      <c r="F43" s="2" t="s">
        <v>2067</v>
      </c>
      <c r="G43" s="2" t="s">
        <v>2068</v>
      </c>
      <c r="H43" s="2" t="n">
        <v>5</v>
      </c>
      <c r="I43" s="2" t="n">
        <v>73</v>
      </c>
      <c r="J43" s="2" t="s">
        <v>1459</v>
      </c>
      <c r="K43" s="2" t="s">
        <v>2562</v>
      </c>
    </row>
    <row r="44" customFormat="false" ht="46.25" hidden="false" customHeight="false" outlineLevel="0" collapsed="false">
      <c r="A44" s="2" t="s">
        <v>2412</v>
      </c>
      <c r="B44" s="2" t="s">
        <v>2176</v>
      </c>
      <c r="C44" s="2" t="s">
        <v>2016</v>
      </c>
      <c r="D44" s="2" t="s">
        <v>2178</v>
      </c>
      <c r="E44" s="2" t="s">
        <v>2179</v>
      </c>
      <c r="F44" s="2"/>
      <c r="G44" s="2" t="s">
        <v>2180</v>
      </c>
      <c r="H44" s="2" t="n">
        <v>5</v>
      </c>
      <c r="I44" s="2" t="n">
        <v>13</v>
      </c>
      <c r="J44" s="2" t="s">
        <v>292</v>
      </c>
      <c r="K44" s="2" t="s">
        <v>2177</v>
      </c>
    </row>
    <row r="45" customFormat="false" ht="23.85" hidden="false" customHeight="false" outlineLevel="0" collapsed="false">
      <c r="A45" s="2" t="s">
        <v>2412</v>
      </c>
      <c r="B45" s="2" t="s">
        <v>2176</v>
      </c>
      <c r="C45" s="2" t="s">
        <v>2016</v>
      </c>
      <c r="D45" s="2" t="s">
        <v>2178</v>
      </c>
      <c r="E45" s="2" t="s">
        <v>2179</v>
      </c>
      <c r="F45" s="2"/>
      <c r="G45" s="2" t="s">
        <v>2180</v>
      </c>
      <c r="H45" s="2" t="n">
        <v>5</v>
      </c>
      <c r="I45" s="2" t="n">
        <v>48</v>
      </c>
      <c r="J45" s="2" t="s">
        <v>969</v>
      </c>
      <c r="K45" s="2" t="s">
        <v>2413</v>
      </c>
    </row>
    <row r="46" customFormat="false" ht="46.25" hidden="false" customHeight="false" outlineLevel="0" collapsed="false">
      <c r="A46" s="2" t="s">
        <v>2412</v>
      </c>
      <c r="B46" s="2" t="s">
        <v>2176</v>
      </c>
      <c r="C46" s="2" t="s">
        <v>2016</v>
      </c>
      <c r="D46" s="2" t="s">
        <v>2178</v>
      </c>
      <c r="E46" s="2" t="s">
        <v>2179</v>
      </c>
      <c r="F46" s="2"/>
      <c r="G46" s="2" t="s">
        <v>2180</v>
      </c>
      <c r="H46" s="2" t="n">
        <v>5</v>
      </c>
      <c r="I46" s="2" t="n">
        <v>73</v>
      </c>
      <c r="J46" s="2" t="s">
        <v>1459</v>
      </c>
      <c r="K46" s="2" t="s">
        <v>2565</v>
      </c>
    </row>
    <row r="47" customFormat="false" ht="57.45" hidden="false" customHeight="false" outlineLevel="0" collapsed="false">
      <c r="A47" s="2" t="s">
        <v>2412</v>
      </c>
      <c r="B47" s="2" t="s">
        <v>2176</v>
      </c>
      <c r="C47" s="2" t="s">
        <v>2016</v>
      </c>
      <c r="D47" s="2" t="s">
        <v>2178</v>
      </c>
      <c r="E47" s="2" t="s">
        <v>2179</v>
      </c>
      <c r="F47" s="2"/>
      <c r="G47" s="2" t="s">
        <v>2180</v>
      </c>
      <c r="H47" s="2" t="n">
        <v>5</v>
      </c>
      <c r="I47" s="2" t="n">
        <v>98</v>
      </c>
      <c r="J47" s="2" t="s">
        <v>1931</v>
      </c>
      <c r="K47" s="2" t="s">
        <v>2648</v>
      </c>
    </row>
    <row r="48" customFormat="false" ht="46.25" hidden="false" customHeight="false" outlineLevel="0" collapsed="false">
      <c r="A48" s="2" t="s">
        <v>2412</v>
      </c>
      <c r="B48" s="2" t="s">
        <v>2176</v>
      </c>
      <c r="C48" s="2" t="s">
        <v>2016</v>
      </c>
      <c r="D48" s="2" t="s">
        <v>2178</v>
      </c>
      <c r="E48" s="2" t="s">
        <v>2179</v>
      </c>
      <c r="F48" s="2"/>
      <c r="G48" s="2" t="s">
        <v>2180</v>
      </c>
      <c r="H48" s="2" t="n">
        <v>5</v>
      </c>
      <c r="I48" s="2" t="n">
        <v>100</v>
      </c>
      <c r="J48" s="2" t="s">
        <v>1971</v>
      </c>
      <c r="K48" s="2" t="s">
        <v>2650</v>
      </c>
    </row>
    <row r="49" customFormat="false" ht="46.25" hidden="false" customHeight="false" outlineLevel="0" collapsed="false">
      <c r="A49" s="2" t="s">
        <v>2014</v>
      </c>
      <c r="B49" s="2" t="s">
        <v>2015</v>
      </c>
      <c r="C49" s="2" t="s">
        <v>2016</v>
      </c>
      <c r="D49" s="2" t="s">
        <v>2018</v>
      </c>
      <c r="E49" s="2" t="s">
        <v>2019</v>
      </c>
      <c r="F49" s="2"/>
      <c r="G49" s="2" t="s">
        <v>2020</v>
      </c>
      <c r="H49" s="2" t="n">
        <v>5</v>
      </c>
      <c r="I49" s="2" t="n">
        <v>1</v>
      </c>
      <c r="J49" s="2" t="s">
        <v>39</v>
      </c>
      <c r="K49" s="2" t="s">
        <v>2017</v>
      </c>
    </row>
    <row r="50" customFormat="false" ht="35.05" hidden="false" customHeight="false" outlineLevel="0" collapsed="false">
      <c r="A50" s="2" t="s">
        <v>2014</v>
      </c>
      <c r="B50" s="2" t="s">
        <v>2015</v>
      </c>
      <c r="C50" s="2" t="s">
        <v>2016</v>
      </c>
      <c r="D50" s="2" t="s">
        <v>2018</v>
      </c>
      <c r="E50" s="2" t="s">
        <v>2019</v>
      </c>
      <c r="F50" s="2"/>
      <c r="G50" s="2" t="s">
        <v>2020</v>
      </c>
      <c r="H50" s="2" t="n">
        <v>5</v>
      </c>
      <c r="I50" s="2" t="n">
        <v>16</v>
      </c>
      <c r="J50" s="2" t="s">
        <v>350</v>
      </c>
      <c r="K50" s="2" t="s">
        <v>2208</v>
      </c>
    </row>
    <row r="51" customFormat="false" ht="23.85" hidden="false" customHeight="false" outlineLevel="0" collapsed="false">
      <c r="A51" s="2" t="s">
        <v>2014</v>
      </c>
      <c r="B51" s="2" t="s">
        <v>2015</v>
      </c>
      <c r="C51" s="2" t="s">
        <v>2016</v>
      </c>
      <c r="D51" s="2" t="s">
        <v>2018</v>
      </c>
      <c r="E51" s="2" t="s">
        <v>2019</v>
      </c>
      <c r="F51" s="2"/>
      <c r="G51" s="2" t="s">
        <v>2020</v>
      </c>
      <c r="H51" s="2" t="n">
        <v>5</v>
      </c>
      <c r="I51" s="2" t="n">
        <v>18</v>
      </c>
      <c r="J51" s="2" t="s">
        <v>387</v>
      </c>
      <c r="K51" s="2" t="s">
        <v>2220</v>
      </c>
    </row>
    <row r="52" customFormat="false" ht="35.05" hidden="false" customHeight="false" outlineLevel="0" collapsed="false">
      <c r="A52" s="2" t="s">
        <v>2014</v>
      </c>
      <c r="B52" s="2" t="s">
        <v>2015</v>
      </c>
      <c r="C52" s="2" t="s">
        <v>2016</v>
      </c>
      <c r="D52" s="2" t="s">
        <v>2018</v>
      </c>
      <c r="E52" s="2" t="s">
        <v>2019</v>
      </c>
      <c r="F52" s="2"/>
      <c r="G52" s="2" t="s">
        <v>2020</v>
      </c>
      <c r="H52" s="2" t="n">
        <v>5</v>
      </c>
      <c r="I52" s="2" t="n">
        <v>19</v>
      </c>
      <c r="J52" s="2" t="s">
        <v>405</v>
      </c>
      <c r="K52" s="2" t="s">
        <v>2223</v>
      </c>
    </row>
    <row r="53" customFormat="false" ht="35.05" hidden="false" customHeight="false" outlineLevel="0" collapsed="false">
      <c r="A53" s="2" t="s">
        <v>2014</v>
      </c>
      <c r="B53" s="2" t="s">
        <v>2015</v>
      </c>
      <c r="C53" s="2" t="s">
        <v>2016</v>
      </c>
      <c r="D53" s="2" t="s">
        <v>2018</v>
      </c>
      <c r="E53" s="2" t="s">
        <v>2019</v>
      </c>
      <c r="F53" s="2"/>
      <c r="G53" s="2" t="s">
        <v>2020</v>
      </c>
      <c r="H53" s="2" t="n">
        <v>5</v>
      </c>
      <c r="I53" s="2" t="n">
        <v>96</v>
      </c>
      <c r="J53" s="2" t="s">
        <v>1893</v>
      </c>
      <c r="K53" s="2" t="s">
        <v>2638</v>
      </c>
    </row>
    <row r="54" customFormat="false" ht="57.45" hidden="false" customHeight="false" outlineLevel="0" collapsed="false">
      <c r="A54" s="2" t="s">
        <v>2031</v>
      </c>
      <c r="B54" s="2" t="s">
        <v>2032</v>
      </c>
      <c r="C54" s="2" t="s">
        <v>2016</v>
      </c>
      <c r="D54" s="2" t="s">
        <v>2034</v>
      </c>
      <c r="E54" s="2" t="s">
        <v>2035</v>
      </c>
      <c r="F54" s="2" t="s">
        <v>2036</v>
      </c>
      <c r="G54" s="2" t="s">
        <v>2037</v>
      </c>
      <c r="H54" s="2" t="n">
        <v>4</v>
      </c>
      <c r="I54" s="2" t="n">
        <v>1</v>
      </c>
      <c r="J54" s="2" t="s">
        <v>39</v>
      </c>
      <c r="K54" s="2" t="s">
        <v>2033</v>
      </c>
    </row>
    <row r="55" customFormat="false" ht="23.85" hidden="false" customHeight="false" outlineLevel="0" collapsed="false">
      <c r="A55" s="2" t="s">
        <v>2031</v>
      </c>
      <c r="B55" s="2" t="s">
        <v>2032</v>
      </c>
      <c r="C55" s="2" t="s">
        <v>2016</v>
      </c>
      <c r="D55" s="2" t="s">
        <v>2034</v>
      </c>
      <c r="E55" s="2" t="s">
        <v>2035</v>
      </c>
      <c r="F55" s="2" t="s">
        <v>2036</v>
      </c>
      <c r="G55" s="2" t="s">
        <v>2037</v>
      </c>
      <c r="H55" s="2" t="n">
        <v>4</v>
      </c>
      <c r="I55" s="2" t="n">
        <v>4</v>
      </c>
      <c r="J55" s="2" t="s">
        <v>116</v>
      </c>
      <c r="K55" s="2" t="s">
        <v>2089</v>
      </c>
    </row>
    <row r="56" customFormat="false" ht="68.65" hidden="false" customHeight="false" outlineLevel="0" collapsed="false">
      <c r="A56" s="2" t="s">
        <v>2031</v>
      </c>
      <c r="B56" s="2" t="s">
        <v>2032</v>
      </c>
      <c r="C56" s="2" t="s">
        <v>2016</v>
      </c>
      <c r="D56" s="2" t="s">
        <v>2034</v>
      </c>
      <c r="E56" s="2" t="s">
        <v>2035</v>
      </c>
      <c r="F56" s="2" t="s">
        <v>2036</v>
      </c>
      <c r="G56" s="2" t="s">
        <v>2037</v>
      </c>
      <c r="H56" s="2" t="n">
        <v>4</v>
      </c>
      <c r="I56" s="2" t="n">
        <v>36</v>
      </c>
      <c r="J56" s="2" t="s">
        <v>733</v>
      </c>
      <c r="K56" s="2" t="s">
        <v>2326</v>
      </c>
    </row>
    <row r="57" customFormat="false" ht="68.65" hidden="false" customHeight="false" outlineLevel="0" collapsed="false">
      <c r="A57" s="2" t="s">
        <v>2031</v>
      </c>
      <c r="B57" s="2" t="s">
        <v>2032</v>
      </c>
      <c r="C57" s="2" t="s">
        <v>2016</v>
      </c>
      <c r="D57" s="2" t="s">
        <v>2034</v>
      </c>
      <c r="E57" s="2" t="s">
        <v>2035</v>
      </c>
      <c r="F57" s="2" t="s">
        <v>2036</v>
      </c>
      <c r="G57" s="2" t="s">
        <v>2037</v>
      </c>
      <c r="H57" s="2" t="n">
        <v>4</v>
      </c>
      <c r="I57" s="2" t="n">
        <v>51</v>
      </c>
      <c r="J57" s="2" t="s">
        <v>1030</v>
      </c>
      <c r="K57" s="2" t="s">
        <v>2427</v>
      </c>
    </row>
    <row r="58" customFormat="false" ht="57.45" hidden="false" customHeight="false" outlineLevel="0" collapsed="false">
      <c r="A58" s="2" t="s">
        <v>2140</v>
      </c>
      <c r="B58" s="2" t="s">
        <v>2024</v>
      </c>
      <c r="C58" s="2" t="s">
        <v>2016</v>
      </c>
      <c r="D58" s="2" t="s">
        <v>2026</v>
      </c>
      <c r="E58" s="2" t="s">
        <v>2027</v>
      </c>
      <c r="F58" s="2" t="s">
        <v>2028</v>
      </c>
      <c r="G58" s="2" t="s">
        <v>2029</v>
      </c>
      <c r="H58" s="2" t="n">
        <v>4</v>
      </c>
      <c r="I58" s="2" t="n">
        <v>1</v>
      </c>
      <c r="J58" s="2" t="s">
        <v>39</v>
      </c>
      <c r="K58" s="2" t="s">
        <v>2025</v>
      </c>
    </row>
    <row r="59" customFormat="false" ht="46.25" hidden="false" customHeight="false" outlineLevel="0" collapsed="false">
      <c r="A59" s="2" t="s">
        <v>2140</v>
      </c>
      <c r="B59" s="2" t="s">
        <v>2024</v>
      </c>
      <c r="C59" s="2" t="s">
        <v>2016</v>
      </c>
      <c r="D59" s="2" t="s">
        <v>2026</v>
      </c>
      <c r="E59" s="2" t="s">
        <v>2027</v>
      </c>
      <c r="F59" s="2" t="s">
        <v>2028</v>
      </c>
      <c r="G59" s="2" t="s">
        <v>2029</v>
      </c>
      <c r="H59" s="2" t="n">
        <v>4</v>
      </c>
      <c r="I59" s="2" t="n">
        <v>9</v>
      </c>
      <c r="J59" s="2" t="s">
        <v>213</v>
      </c>
      <c r="K59" s="2" t="s">
        <v>2142</v>
      </c>
    </row>
    <row r="60" customFormat="false" ht="57.45" hidden="false" customHeight="false" outlineLevel="0" collapsed="false">
      <c r="A60" s="2" t="s">
        <v>2140</v>
      </c>
      <c r="B60" s="2" t="s">
        <v>2024</v>
      </c>
      <c r="C60" s="2" t="s">
        <v>2016</v>
      </c>
      <c r="D60" s="2" t="s">
        <v>2026</v>
      </c>
      <c r="E60" s="2" t="s">
        <v>2027</v>
      </c>
      <c r="F60" s="2" t="s">
        <v>2028</v>
      </c>
      <c r="G60" s="2" t="s">
        <v>2029</v>
      </c>
      <c r="H60" s="2" t="n">
        <v>4</v>
      </c>
      <c r="I60" s="2" t="n">
        <v>30</v>
      </c>
      <c r="J60" s="2" t="s">
        <v>618</v>
      </c>
      <c r="K60" s="2" t="s">
        <v>2296</v>
      </c>
    </row>
    <row r="61" customFormat="false" ht="35.05" hidden="false" customHeight="false" outlineLevel="0" collapsed="false">
      <c r="A61" s="2" t="s">
        <v>2140</v>
      </c>
      <c r="B61" s="2" t="s">
        <v>2024</v>
      </c>
      <c r="C61" s="2" t="s">
        <v>2016</v>
      </c>
      <c r="D61" s="2" t="s">
        <v>2026</v>
      </c>
      <c r="E61" s="2" t="s">
        <v>2027</v>
      </c>
      <c r="F61" s="2" t="s">
        <v>2028</v>
      </c>
      <c r="G61" s="2" t="s">
        <v>2029</v>
      </c>
      <c r="H61" s="2" t="n">
        <v>4</v>
      </c>
      <c r="I61" s="2" t="n">
        <v>55</v>
      </c>
      <c r="J61" s="2" t="s">
        <v>1112</v>
      </c>
      <c r="K61" s="2" t="s">
        <v>2463</v>
      </c>
    </row>
    <row r="62" customFormat="false" ht="35.05" hidden="false" customHeight="false" outlineLevel="0" collapsed="false">
      <c r="A62" s="2" t="s">
        <v>3258</v>
      </c>
      <c r="B62" s="2" t="s">
        <v>2242</v>
      </c>
      <c r="C62" s="2" t="s">
        <v>2016</v>
      </c>
      <c r="D62" s="2" t="s">
        <v>2244</v>
      </c>
      <c r="E62" s="2" t="s">
        <v>2245</v>
      </c>
      <c r="F62" s="2"/>
      <c r="G62" s="2" t="s">
        <v>2246</v>
      </c>
      <c r="H62" s="2" t="n">
        <v>4</v>
      </c>
      <c r="I62" s="2" t="n">
        <v>22</v>
      </c>
      <c r="J62" s="2" t="s">
        <v>461</v>
      </c>
      <c r="K62" s="2" t="s">
        <v>2243</v>
      </c>
    </row>
    <row r="63" customFormat="false" ht="35.05" hidden="false" customHeight="false" outlineLevel="0" collapsed="false">
      <c r="A63" s="2" t="s">
        <v>3258</v>
      </c>
      <c r="B63" s="2" t="s">
        <v>2242</v>
      </c>
      <c r="C63" s="2" t="s">
        <v>2016</v>
      </c>
      <c r="D63" s="2" t="s">
        <v>2244</v>
      </c>
      <c r="E63" s="2" t="s">
        <v>2245</v>
      </c>
      <c r="F63" s="2"/>
      <c r="G63" s="2" t="s">
        <v>2246</v>
      </c>
      <c r="H63" s="2" t="n">
        <v>4</v>
      </c>
      <c r="I63" s="2" t="n">
        <v>25</v>
      </c>
      <c r="J63" s="2" t="s">
        <v>522</v>
      </c>
      <c r="K63" s="2" t="s">
        <v>2267</v>
      </c>
    </row>
    <row r="64" customFormat="false" ht="57.45" hidden="false" customHeight="false" outlineLevel="0" collapsed="false">
      <c r="A64" s="2" t="s">
        <v>3258</v>
      </c>
      <c r="B64" s="2" t="s">
        <v>2242</v>
      </c>
      <c r="C64" s="2" t="s">
        <v>2016</v>
      </c>
      <c r="D64" s="2" t="s">
        <v>2244</v>
      </c>
      <c r="E64" s="2" t="s">
        <v>2245</v>
      </c>
      <c r="F64" s="2"/>
      <c r="G64" s="2" t="s">
        <v>2246</v>
      </c>
      <c r="H64" s="2" t="n">
        <v>4</v>
      </c>
      <c r="I64" s="2" t="n">
        <v>33</v>
      </c>
      <c r="J64" s="2" t="s">
        <v>675</v>
      </c>
      <c r="K64" s="2" t="s">
        <v>2317</v>
      </c>
    </row>
    <row r="65" customFormat="false" ht="35.05" hidden="false" customHeight="false" outlineLevel="0" collapsed="false">
      <c r="A65" s="2" t="s">
        <v>3258</v>
      </c>
      <c r="B65" s="2" t="s">
        <v>2242</v>
      </c>
      <c r="C65" s="2" t="s">
        <v>2016</v>
      </c>
      <c r="D65" s="2" t="s">
        <v>2244</v>
      </c>
      <c r="E65" s="2" t="s">
        <v>2245</v>
      </c>
      <c r="F65" s="2"/>
      <c r="G65" s="2" t="s">
        <v>2246</v>
      </c>
      <c r="H65" s="2" t="n">
        <v>4</v>
      </c>
      <c r="I65" s="2" t="n">
        <v>34</v>
      </c>
      <c r="J65" s="2" t="s">
        <v>692</v>
      </c>
      <c r="K65" s="2" t="s">
        <v>2321</v>
      </c>
    </row>
    <row r="66" customFormat="false" ht="35.05" hidden="false" customHeight="false" outlineLevel="0" collapsed="false">
      <c r="A66" s="2" t="s">
        <v>2279</v>
      </c>
      <c r="B66" s="2" t="s">
        <v>2272</v>
      </c>
      <c r="C66" s="2" t="s">
        <v>2016</v>
      </c>
      <c r="D66" s="2" t="s">
        <v>2274</v>
      </c>
      <c r="E66" s="2" t="s">
        <v>2275</v>
      </c>
      <c r="F66" s="2" t="s">
        <v>2276</v>
      </c>
      <c r="G66" s="2" t="s">
        <v>2277</v>
      </c>
      <c r="H66" s="2" t="n">
        <v>3</v>
      </c>
      <c r="I66" s="2" t="n">
        <v>26</v>
      </c>
      <c r="J66" s="2" t="s">
        <v>543</v>
      </c>
      <c r="K66" s="2" t="s">
        <v>2273</v>
      </c>
    </row>
    <row r="67" customFormat="false" ht="46.25" hidden="false" customHeight="false" outlineLevel="0" collapsed="false">
      <c r="A67" s="2" t="s">
        <v>2279</v>
      </c>
      <c r="B67" s="2" t="s">
        <v>2272</v>
      </c>
      <c r="C67" s="2" t="s">
        <v>2016</v>
      </c>
      <c r="D67" s="2" t="s">
        <v>2274</v>
      </c>
      <c r="E67" s="2" t="s">
        <v>2275</v>
      </c>
      <c r="F67" s="2" t="s">
        <v>2276</v>
      </c>
      <c r="G67" s="2" t="s">
        <v>2277</v>
      </c>
      <c r="H67" s="2" t="n">
        <v>3</v>
      </c>
      <c r="I67" s="2" t="n">
        <v>26</v>
      </c>
      <c r="J67" s="2" t="s">
        <v>543</v>
      </c>
      <c r="K67" s="2" t="s">
        <v>2280</v>
      </c>
    </row>
    <row r="68" customFormat="false" ht="35.05" hidden="false" customHeight="false" outlineLevel="0" collapsed="false">
      <c r="A68" s="2" t="s">
        <v>2279</v>
      </c>
      <c r="B68" s="2" t="s">
        <v>2272</v>
      </c>
      <c r="C68" s="2" t="s">
        <v>2016</v>
      </c>
      <c r="D68" s="2" t="s">
        <v>2274</v>
      </c>
      <c r="E68" s="2" t="s">
        <v>2275</v>
      </c>
      <c r="F68" s="2" t="s">
        <v>2276</v>
      </c>
      <c r="G68" s="2" t="s">
        <v>2277</v>
      </c>
      <c r="H68" s="2" t="n">
        <v>3</v>
      </c>
      <c r="I68" s="2" t="n">
        <v>32</v>
      </c>
      <c r="J68" s="2" t="s">
        <v>656</v>
      </c>
      <c r="K68" s="2" t="s">
        <v>2309</v>
      </c>
    </row>
    <row r="69" customFormat="false" ht="57.45" hidden="false" customHeight="false" outlineLevel="0" collapsed="false">
      <c r="A69" s="2" t="s">
        <v>2293</v>
      </c>
      <c r="B69" s="2"/>
      <c r="C69" s="2" t="s">
        <v>2016</v>
      </c>
      <c r="D69" s="2" t="s">
        <v>2226</v>
      </c>
      <c r="E69" s="2" t="s">
        <v>2227</v>
      </c>
      <c r="F69" s="2"/>
      <c r="G69" s="2" t="s">
        <v>2228</v>
      </c>
      <c r="H69" s="2" t="n">
        <v>3</v>
      </c>
      <c r="I69" s="2" t="n">
        <v>20</v>
      </c>
      <c r="J69" s="2" t="s">
        <v>423</v>
      </c>
      <c r="K69" s="2" t="s">
        <v>2225</v>
      </c>
    </row>
    <row r="70" customFormat="false" ht="57.45" hidden="false" customHeight="false" outlineLevel="0" collapsed="false">
      <c r="A70" s="2" t="s">
        <v>2293</v>
      </c>
      <c r="B70" s="2"/>
      <c r="C70" s="2" t="s">
        <v>2016</v>
      </c>
      <c r="D70" s="2" t="s">
        <v>2226</v>
      </c>
      <c r="E70" s="2" t="s">
        <v>2227</v>
      </c>
      <c r="F70" s="2"/>
      <c r="G70" s="2" t="s">
        <v>2228</v>
      </c>
      <c r="H70" s="2" t="n">
        <v>3</v>
      </c>
      <c r="I70" s="2" t="n">
        <v>29</v>
      </c>
      <c r="J70" s="2" t="s">
        <v>600</v>
      </c>
      <c r="K70" s="2" t="s">
        <v>2294</v>
      </c>
    </row>
    <row r="71" customFormat="false" ht="57.45" hidden="false" customHeight="false" outlineLevel="0" collapsed="false">
      <c r="A71" s="2" t="s">
        <v>2293</v>
      </c>
      <c r="B71" s="2"/>
      <c r="C71" s="2" t="s">
        <v>2016</v>
      </c>
      <c r="D71" s="2" t="s">
        <v>2226</v>
      </c>
      <c r="E71" s="2" t="s">
        <v>2227</v>
      </c>
      <c r="F71" s="2"/>
      <c r="G71" s="2" t="s">
        <v>2228</v>
      </c>
      <c r="H71" s="2" t="n">
        <v>3</v>
      </c>
      <c r="I71" s="2" t="n">
        <v>34</v>
      </c>
      <c r="J71" s="2" t="s">
        <v>692</v>
      </c>
      <c r="K71" s="2" t="s">
        <v>2319</v>
      </c>
    </row>
    <row r="72" customFormat="false" ht="57.45" hidden="false" customHeight="false" outlineLevel="0" collapsed="false">
      <c r="A72" s="2" t="s">
        <v>2182</v>
      </c>
      <c r="B72" s="2" t="s">
        <v>2475</v>
      </c>
      <c r="C72" s="2" t="s">
        <v>2016</v>
      </c>
      <c r="D72" s="2" t="s">
        <v>2184</v>
      </c>
      <c r="E72" s="2" t="s">
        <v>2185</v>
      </c>
      <c r="F72" s="2"/>
      <c r="G72" s="2" t="s">
        <v>2186</v>
      </c>
      <c r="H72" s="2" t="n">
        <v>3</v>
      </c>
      <c r="I72" s="2" t="n">
        <v>14</v>
      </c>
      <c r="J72" s="2" t="s">
        <v>312</v>
      </c>
      <c r="K72" s="2" t="s">
        <v>2183</v>
      </c>
    </row>
    <row r="73" customFormat="false" ht="68.65" hidden="false" customHeight="false" outlineLevel="0" collapsed="false">
      <c r="A73" s="2" t="s">
        <v>2182</v>
      </c>
      <c r="B73" s="2" t="s">
        <v>2475</v>
      </c>
      <c r="C73" s="2" t="s">
        <v>2016</v>
      </c>
      <c r="D73" s="2" t="s">
        <v>2184</v>
      </c>
      <c r="E73" s="2" t="s">
        <v>2185</v>
      </c>
      <c r="F73" s="2"/>
      <c r="G73" s="2" t="s">
        <v>2186</v>
      </c>
      <c r="H73" s="2" t="n">
        <v>3</v>
      </c>
      <c r="I73" s="2" t="n">
        <v>56</v>
      </c>
      <c r="J73" s="2" t="s">
        <v>1134</v>
      </c>
      <c r="K73" s="2" t="s">
        <v>2476</v>
      </c>
    </row>
    <row r="74" customFormat="false" ht="79.85" hidden="false" customHeight="false" outlineLevel="0" collapsed="false">
      <c r="A74" s="2" t="s">
        <v>2182</v>
      </c>
      <c r="B74" s="2" t="s">
        <v>2475</v>
      </c>
      <c r="C74" s="2" t="s">
        <v>2016</v>
      </c>
      <c r="D74" s="2" t="s">
        <v>2184</v>
      </c>
      <c r="E74" s="2" t="s">
        <v>2185</v>
      </c>
      <c r="F74" s="2"/>
      <c r="G74" s="2" t="s">
        <v>2186</v>
      </c>
      <c r="H74" s="2" t="n">
        <v>3</v>
      </c>
      <c r="I74" s="2" t="n">
        <v>58</v>
      </c>
      <c r="J74" s="2" t="s">
        <v>1175</v>
      </c>
      <c r="K74" s="2" t="s">
        <v>2490</v>
      </c>
    </row>
    <row r="75" customFormat="false" ht="23.85" hidden="false" customHeight="false" outlineLevel="0" collapsed="false">
      <c r="A75" s="2" t="s">
        <v>3259</v>
      </c>
      <c r="B75" s="2" t="s">
        <v>2239</v>
      </c>
      <c r="C75" s="2" t="s">
        <v>2016</v>
      </c>
      <c r="D75" s="2" t="s">
        <v>2097</v>
      </c>
      <c r="E75" s="2" t="s">
        <v>2098</v>
      </c>
      <c r="F75" s="2" t="s">
        <v>2099</v>
      </c>
      <c r="G75" s="2" t="s">
        <v>2100</v>
      </c>
      <c r="H75" s="2" t="n">
        <v>3</v>
      </c>
      <c r="I75" s="2" t="n">
        <v>5</v>
      </c>
      <c r="J75" s="2" t="s">
        <v>134</v>
      </c>
      <c r="K75" s="2" t="s">
        <v>2096</v>
      </c>
    </row>
    <row r="76" customFormat="false" ht="35.05" hidden="false" customHeight="false" outlineLevel="0" collapsed="false">
      <c r="A76" s="2" t="s">
        <v>3259</v>
      </c>
      <c r="B76" s="2" t="s">
        <v>2239</v>
      </c>
      <c r="C76" s="2" t="s">
        <v>2016</v>
      </c>
      <c r="D76" s="2" t="s">
        <v>2097</v>
      </c>
      <c r="E76" s="2" t="s">
        <v>2098</v>
      </c>
      <c r="F76" s="2" t="s">
        <v>2099</v>
      </c>
      <c r="G76" s="2" t="s">
        <v>2100</v>
      </c>
      <c r="H76" s="2" t="n">
        <v>3</v>
      </c>
      <c r="I76" s="2" t="n">
        <v>18</v>
      </c>
      <c r="J76" s="2" t="s">
        <v>387</v>
      </c>
      <c r="K76" s="2" t="s">
        <v>2219</v>
      </c>
    </row>
    <row r="77" customFormat="false" ht="35.05" hidden="false" customHeight="false" outlineLevel="0" collapsed="false">
      <c r="A77" s="2" t="s">
        <v>3259</v>
      </c>
      <c r="B77" s="2" t="s">
        <v>2239</v>
      </c>
      <c r="C77" s="2" t="s">
        <v>2016</v>
      </c>
      <c r="D77" s="2" t="s">
        <v>2097</v>
      </c>
      <c r="E77" s="2" t="s">
        <v>2098</v>
      </c>
      <c r="F77" s="2" t="s">
        <v>2099</v>
      </c>
      <c r="G77" s="2" t="s">
        <v>2100</v>
      </c>
      <c r="H77" s="2" t="n">
        <v>3</v>
      </c>
      <c r="I77" s="2" t="n">
        <v>21</v>
      </c>
      <c r="J77" s="2" t="s">
        <v>440</v>
      </c>
      <c r="K77" s="2" t="s">
        <v>2240</v>
      </c>
    </row>
    <row r="78" customFormat="false" ht="23.85" hidden="false" customHeight="false" outlineLevel="0" collapsed="false">
      <c r="A78" s="2" t="s">
        <v>2406</v>
      </c>
      <c r="B78" s="2" t="s">
        <v>2591</v>
      </c>
      <c r="C78" s="2" t="s">
        <v>2016</v>
      </c>
      <c r="D78" s="2" t="s">
        <v>2408</v>
      </c>
      <c r="E78" s="2" t="s">
        <v>2409</v>
      </c>
      <c r="F78" s="2"/>
      <c r="G78" s="2" t="s">
        <v>2410</v>
      </c>
      <c r="H78" s="2" t="n">
        <v>3</v>
      </c>
      <c r="I78" s="2" t="n">
        <v>48</v>
      </c>
      <c r="J78" s="2" t="s">
        <v>969</v>
      </c>
      <c r="K78" s="2" t="s">
        <v>2407</v>
      </c>
    </row>
    <row r="79" customFormat="false" ht="46.25" hidden="false" customHeight="false" outlineLevel="0" collapsed="false">
      <c r="A79" s="2" t="s">
        <v>2406</v>
      </c>
      <c r="B79" s="2" t="s">
        <v>2591</v>
      </c>
      <c r="C79" s="2" t="s">
        <v>2016</v>
      </c>
      <c r="D79" s="2" t="s">
        <v>2408</v>
      </c>
      <c r="E79" s="2" t="s">
        <v>2409</v>
      </c>
      <c r="F79" s="2"/>
      <c r="G79" s="2" t="s">
        <v>2410</v>
      </c>
      <c r="H79" s="2" t="n">
        <v>3</v>
      </c>
      <c r="I79" s="2" t="n">
        <v>78</v>
      </c>
      <c r="J79" s="2" t="s">
        <v>1559</v>
      </c>
      <c r="K79" s="2" t="s">
        <v>2592</v>
      </c>
    </row>
    <row r="80" customFormat="false" ht="46.25" hidden="false" customHeight="false" outlineLevel="0" collapsed="false">
      <c r="A80" s="2" t="s">
        <v>2406</v>
      </c>
      <c r="B80" s="2" t="s">
        <v>2591</v>
      </c>
      <c r="C80" s="2" t="s">
        <v>2016</v>
      </c>
      <c r="D80" s="2" t="s">
        <v>2408</v>
      </c>
      <c r="E80" s="2" t="s">
        <v>2409</v>
      </c>
      <c r="F80" s="2"/>
      <c r="G80" s="2" t="s">
        <v>2410</v>
      </c>
      <c r="H80" s="2" t="n">
        <v>3</v>
      </c>
      <c r="I80" s="2" t="n">
        <v>93</v>
      </c>
      <c r="J80" s="2" t="s">
        <v>1835</v>
      </c>
      <c r="K80" s="2" t="s">
        <v>2626</v>
      </c>
    </row>
    <row r="81" customFormat="false" ht="23.85" hidden="false" customHeight="false" outlineLevel="0" collapsed="false">
      <c r="A81" s="2" t="s">
        <v>3260</v>
      </c>
      <c r="B81" s="2" t="s">
        <v>2005</v>
      </c>
      <c r="C81" s="2" t="s">
        <v>2006</v>
      </c>
      <c r="D81" s="2" t="s">
        <v>44</v>
      </c>
      <c r="E81" s="2" t="s">
        <v>2008</v>
      </c>
      <c r="F81" s="2"/>
      <c r="G81" s="2" t="s">
        <v>2009</v>
      </c>
      <c r="H81" s="2" t="n">
        <v>3</v>
      </c>
      <c r="I81" s="2" t="n">
        <v>1</v>
      </c>
      <c r="J81" s="2" t="s">
        <v>39</v>
      </c>
      <c r="K81" s="2" t="s">
        <v>2007</v>
      </c>
    </row>
    <row r="82" customFormat="false" ht="23.85" hidden="false" customHeight="false" outlineLevel="0" collapsed="false">
      <c r="A82" s="2" t="s">
        <v>3260</v>
      </c>
      <c r="B82" s="2" t="s">
        <v>2005</v>
      </c>
      <c r="C82" s="2" t="s">
        <v>2006</v>
      </c>
      <c r="D82" s="2" t="s">
        <v>44</v>
      </c>
      <c r="E82" s="2" t="s">
        <v>2008</v>
      </c>
      <c r="F82" s="2"/>
      <c r="G82" s="2" t="s">
        <v>2009</v>
      </c>
      <c r="H82" s="2" t="n">
        <v>3</v>
      </c>
      <c r="I82" s="2" t="n">
        <v>1</v>
      </c>
      <c r="J82" s="2" t="s">
        <v>39</v>
      </c>
      <c r="K82" s="2" t="s">
        <v>2013</v>
      </c>
    </row>
    <row r="83" customFormat="false" ht="46.25" hidden="false" customHeight="false" outlineLevel="0" collapsed="false">
      <c r="A83" s="2" t="s">
        <v>3260</v>
      </c>
      <c r="B83" s="2" t="s">
        <v>2005</v>
      </c>
      <c r="C83" s="2" t="s">
        <v>2006</v>
      </c>
      <c r="D83" s="2" t="s">
        <v>44</v>
      </c>
      <c r="E83" s="2" t="s">
        <v>2008</v>
      </c>
      <c r="F83" s="2"/>
      <c r="G83" s="2" t="s">
        <v>2009</v>
      </c>
      <c r="H83" s="2" t="n">
        <v>3</v>
      </c>
      <c r="I83" s="2" t="n">
        <v>1</v>
      </c>
      <c r="J83" s="2" t="s">
        <v>39</v>
      </c>
      <c r="K83" s="2" t="s">
        <v>2049</v>
      </c>
    </row>
    <row r="84" customFormat="false" ht="23.85" hidden="false" customHeight="false" outlineLevel="0" collapsed="false">
      <c r="A84" s="2" t="s">
        <v>2170</v>
      </c>
      <c r="B84" s="2" t="s">
        <v>2166</v>
      </c>
      <c r="C84" s="2" t="s">
        <v>2006</v>
      </c>
      <c r="D84" s="2" t="s">
        <v>256</v>
      </c>
      <c r="E84" s="2"/>
      <c r="F84" s="2"/>
      <c r="G84" s="2" t="s">
        <v>2168</v>
      </c>
      <c r="H84" s="2" t="n">
        <v>2</v>
      </c>
      <c r="I84" s="2" t="n">
        <v>11</v>
      </c>
      <c r="J84" s="2" t="s">
        <v>252</v>
      </c>
      <c r="K84" s="2" t="s">
        <v>2167</v>
      </c>
    </row>
    <row r="85" customFormat="false" ht="57.45" hidden="false" customHeight="false" outlineLevel="0" collapsed="false">
      <c r="A85" s="2" t="s">
        <v>2170</v>
      </c>
      <c r="B85" s="2" t="s">
        <v>2166</v>
      </c>
      <c r="C85" s="2" t="s">
        <v>2006</v>
      </c>
      <c r="D85" s="2" t="s">
        <v>256</v>
      </c>
      <c r="E85" s="2"/>
      <c r="F85" s="2"/>
      <c r="G85" s="2" t="s">
        <v>2168</v>
      </c>
      <c r="H85" s="2" t="n">
        <v>2</v>
      </c>
      <c r="I85" s="2" t="n">
        <v>11</v>
      </c>
      <c r="J85" s="2" t="s">
        <v>252</v>
      </c>
      <c r="K85" s="2" t="s">
        <v>2172</v>
      </c>
    </row>
    <row r="86" customFormat="false" ht="23.85" hidden="false" customHeight="false" outlineLevel="0" collapsed="false">
      <c r="A86" s="2" t="s">
        <v>2091</v>
      </c>
      <c r="B86" s="2" t="s">
        <v>2092</v>
      </c>
      <c r="C86" s="2" t="s">
        <v>2006</v>
      </c>
      <c r="D86" s="2" t="s">
        <v>138</v>
      </c>
      <c r="E86" s="2" t="s">
        <v>145</v>
      </c>
      <c r="F86" s="2" t="s">
        <v>146</v>
      </c>
      <c r="G86" s="2" t="s">
        <v>2094</v>
      </c>
      <c r="H86" s="2" t="n">
        <v>2</v>
      </c>
      <c r="I86" s="2" t="n">
        <v>5</v>
      </c>
      <c r="J86" s="2" t="s">
        <v>134</v>
      </c>
      <c r="K86" s="2" t="s">
        <v>2093</v>
      </c>
    </row>
    <row r="87" customFormat="false" ht="35.05" hidden="false" customHeight="false" outlineLevel="0" collapsed="false">
      <c r="A87" s="2" t="s">
        <v>2091</v>
      </c>
      <c r="B87" s="2" t="s">
        <v>2092</v>
      </c>
      <c r="C87" s="2" t="s">
        <v>2006</v>
      </c>
      <c r="D87" s="2" t="s">
        <v>138</v>
      </c>
      <c r="E87" s="2" t="s">
        <v>145</v>
      </c>
      <c r="F87" s="2" t="s">
        <v>146</v>
      </c>
      <c r="G87" s="2" t="s">
        <v>2094</v>
      </c>
      <c r="H87" s="2" t="n">
        <v>2</v>
      </c>
      <c r="I87" s="2" t="n">
        <v>5</v>
      </c>
      <c r="J87" s="2" t="s">
        <v>134</v>
      </c>
      <c r="K87" s="2" t="s">
        <v>2103</v>
      </c>
    </row>
    <row r="88" customFormat="false" ht="35.05" hidden="false" customHeight="false" outlineLevel="0" collapsed="false">
      <c r="A88" s="2" t="s">
        <v>2523</v>
      </c>
      <c r="B88" s="2" t="s">
        <v>2524</v>
      </c>
      <c r="C88" s="2" t="s">
        <v>2016</v>
      </c>
      <c r="D88" s="2" t="s">
        <v>2526</v>
      </c>
      <c r="E88" s="2"/>
      <c r="F88" s="2"/>
      <c r="G88" s="2"/>
      <c r="H88" s="2" t="n">
        <v>2</v>
      </c>
      <c r="I88" s="2" t="n">
        <v>66</v>
      </c>
      <c r="J88" s="2" t="s">
        <v>1326</v>
      </c>
      <c r="K88" s="2" t="s">
        <v>2525</v>
      </c>
    </row>
    <row r="89" customFormat="false" ht="35.05" hidden="false" customHeight="false" outlineLevel="0" collapsed="false">
      <c r="A89" s="2" t="s">
        <v>2523</v>
      </c>
      <c r="B89" s="2" t="s">
        <v>2524</v>
      </c>
      <c r="C89" s="2" t="s">
        <v>2016</v>
      </c>
      <c r="D89" s="2" t="s">
        <v>2526</v>
      </c>
      <c r="E89" s="2"/>
      <c r="F89" s="2"/>
      <c r="G89" s="2"/>
      <c r="H89" s="2" t="n">
        <v>2</v>
      </c>
      <c r="I89" s="2" t="n">
        <v>72</v>
      </c>
      <c r="J89" s="2" t="s">
        <v>1440</v>
      </c>
      <c r="K89" s="2" t="s">
        <v>2560</v>
      </c>
    </row>
    <row r="90" customFormat="false" ht="46.25" hidden="false" customHeight="false" outlineLevel="0" collapsed="false">
      <c r="A90" s="2" t="s">
        <v>2547</v>
      </c>
      <c r="B90" s="2" t="s">
        <v>2366</v>
      </c>
      <c r="C90" s="2" t="s">
        <v>2016</v>
      </c>
      <c r="D90" s="2" t="s">
        <v>2368</v>
      </c>
      <c r="E90" s="2" t="s">
        <v>2369</v>
      </c>
      <c r="F90" s="2" t="s">
        <v>2370</v>
      </c>
      <c r="G90" s="2" t="s">
        <v>2371</v>
      </c>
      <c r="H90" s="2" t="n">
        <v>2</v>
      </c>
      <c r="I90" s="2" t="n">
        <v>41</v>
      </c>
      <c r="J90" s="2" t="s">
        <v>832</v>
      </c>
      <c r="K90" s="2" t="s">
        <v>2367</v>
      </c>
    </row>
    <row r="91" customFormat="false" ht="68.65" hidden="false" customHeight="false" outlineLevel="0" collapsed="false">
      <c r="A91" s="2" t="s">
        <v>2547</v>
      </c>
      <c r="B91" s="2" t="s">
        <v>2366</v>
      </c>
      <c r="C91" s="2" t="s">
        <v>2016</v>
      </c>
      <c r="D91" s="2" t="s">
        <v>2368</v>
      </c>
      <c r="E91" s="2" t="s">
        <v>2369</v>
      </c>
      <c r="F91" s="2" t="s">
        <v>2370</v>
      </c>
      <c r="G91" s="2" t="s">
        <v>2371</v>
      </c>
      <c r="H91" s="2" t="n">
        <v>2</v>
      </c>
      <c r="I91" s="2" t="n">
        <v>68</v>
      </c>
      <c r="J91" s="2" t="s">
        <v>1364</v>
      </c>
      <c r="K91" s="2" t="s">
        <v>2548</v>
      </c>
    </row>
    <row r="92" customFormat="false" ht="68.65" hidden="false" customHeight="false" outlineLevel="0" collapsed="false">
      <c r="A92" s="2" t="s">
        <v>2575</v>
      </c>
      <c r="B92" s="2" t="s">
        <v>2576</v>
      </c>
      <c r="C92" s="2" t="s">
        <v>2016</v>
      </c>
      <c r="D92" s="2" t="s">
        <v>2578</v>
      </c>
      <c r="E92" s="2" t="s">
        <v>2579</v>
      </c>
      <c r="F92" s="2"/>
      <c r="G92" s="2" t="s">
        <v>2580</v>
      </c>
      <c r="H92" s="2" t="n">
        <v>2</v>
      </c>
      <c r="I92" s="2" t="n">
        <v>76</v>
      </c>
      <c r="J92" s="2" t="s">
        <v>1518</v>
      </c>
      <c r="K92" s="2" t="s">
        <v>2577</v>
      </c>
    </row>
    <row r="93" customFormat="false" ht="35.05" hidden="false" customHeight="false" outlineLevel="0" collapsed="false">
      <c r="A93" s="2" t="s">
        <v>2575</v>
      </c>
      <c r="B93" s="2" t="s">
        <v>2576</v>
      </c>
      <c r="C93" s="2" t="s">
        <v>2016</v>
      </c>
      <c r="D93" s="2" t="s">
        <v>2578</v>
      </c>
      <c r="E93" s="2" t="s">
        <v>2579</v>
      </c>
      <c r="F93" s="2"/>
      <c r="G93" s="2" t="s">
        <v>2580</v>
      </c>
      <c r="H93" s="2" t="n">
        <v>2</v>
      </c>
      <c r="I93" s="2" t="n">
        <v>100</v>
      </c>
      <c r="J93" s="2" t="s">
        <v>1971</v>
      </c>
      <c r="K93" s="2" t="s">
        <v>2655</v>
      </c>
    </row>
    <row r="94" customFormat="false" ht="35.05" hidden="false" customHeight="false" outlineLevel="0" collapsed="false">
      <c r="A94" s="2" t="s">
        <v>3261</v>
      </c>
      <c r="B94" s="2" t="s">
        <v>2079</v>
      </c>
      <c r="C94" s="2" t="s">
        <v>2016</v>
      </c>
      <c r="D94" s="2" t="s">
        <v>2081</v>
      </c>
      <c r="E94" s="2" t="s">
        <v>2082</v>
      </c>
      <c r="F94" s="2"/>
      <c r="G94" s="2" t="s">
        <v>2083</v>
      </c>
      <c r="H94" s="2" t="n">
        <v>2</v>
      </c>
      <c r="I94" s="2" t="n">
        <v>3</v>
      </c>
      <c r="J94" s="2" t="s">
        <v>88</v>
      </c>
      <c r="K94" s="2" t="s">
        <v>2080</v>
      </c>
    </row>
    <row r="95" customFormat="false" ht="68.65" hidden="false" customHeight="false" outlineLevel="0" collapsed="false">
      <c r="A95" s="2" t="s">
        <v>3261</v>
      </c>
      <c r="B95" s="2" t="s">
        <v>2079</v>
      </c>
      <c r="C95" s="2" t="s">
        <v>2016</v>
      </c>
      <c r="D95" s="2" t="s">
        <v>2081</v>
      </c>
      <c r="E95" s="2" t="s">
        <v>2082</v>
      </c>
      <c r="F95" s="2"/>
      <c r="G95" s="2" t="s">
        <v>2083</v>
      </c>
      <c r="H95" s="2" t="n">
        <v>2</v>
      </c>
      <c r="I95" s="2" t="n">
        <v>53</v>
      </c>
      <c r="J95" s="2" t="s">
        <v>1073</v>
      </c>
      <c r="K95" s="2" t="s">
        <v>2450</v>
      </c>
    </row>
    <row r="96" customFormat="false" ht="46.25" hidden="false" customHeight="false" outlineLevel="0" collapsed="false">
      <c r="A96" s="2" t="s">
        <v>2300</v>
      </c>
      <c r="B96" s="2"/>
      <c r="C96" s="2" t="s">
        <v>2016</v>
      </c>
      <c r="D96" s="2" t="s">
        <v>2302</v>
      </c>
      <c r="E96" s="2" t="s">
        <v>2303</v>
      </c>
      <c r="F96" s="2"/>
      <c r="G96" s="2" t="s">
        <v>2304</v>
      </c>
      <c r="H96" s="2" t="n">
        <v>2</v>
      </c>
      <c r="I96" s="2" t="n">
        <v>31</v>
      </c>
      <c r="J96" s="2" t="s">
        <v>638</v>
      </c>
      <c r="K96" s="2" t="s">
        <v>2301</v>
      </c>
    </row>
    <row r="97" customFormat="false" ht="68.65" hidden="false" customHeight="false" outlineLevel="0" collapsed="false">
      <c r="A97" s="2" t="s">
        <v>2300</v>
      </c>
      <c r="B97" s="2"/>
      <c r="C97" s="2" t="s">
        <v>2016</v>
      </c>
      <c r="D97" s="2" t="s">
        <v>2302</v>
      </c>
      <c r="E97" s="2" t="s">
        <v>2303</v>
      </c>
      <c r="F97" s="2"/>
      <c r="G97" s="2" t="s">
        <v>2304</v>
      </c>
      <c r="H97" s="2" t="n">
        <v>2</v>
      </c>
      <c r="I97" s="2" t="n">
        <v>46</v>
      </c>
      <c r="J97" s="2" t="s">
        <v>932</v>
      </c>
      <c r="K97" s="2" t="s">
        <v>2392</v>
      </c>
    </row>
    <row r="98" customFormat="false" ht="46.25" hidden="false" customHeight="false" outlineLevel="0" collapsed="false">
      <c r="A98" s="2" t="s">
        <v>2536</v>
      </c>
      <c r="B98" s="2" t="s">
        <v>2537</v>
      </c>
      <c r="C98" s="2" t="s">
        <v>2016</v>
      </c>
      <c r="D98" s="2" t="s">
        <v>2539</v>
      </c>
      <c r="E98" s="2" t="s">
        <v>2540</v>
      </c>
      <c r="F98" s="2"/>
      <c r="G98" s="2" t="s">
        <v>2541</v>
      </c>
      <c r="H98" s="2" t="n">
        <v>2</v>
      </c>
      <c r="I98" s="2" t="n">
        <v>67</v>
      </c>
      <c r="J98" s="2" t="s">
        <v>1344</v>
      </c>
      <c r="K98" s="2" t="s">
        <v>2538</v>
      </c>
    </row>
    <row r="99" customFormat="false" ht="35.05" hidden="false" customHeight="false" outlineLevel="0" collapsed="false">
      <c r="A99" s="2" t="s">
        <v>2536</v>
      </c>
      <c r="B99" s="2" t="s">
        <v>2537</v>
      </c>
      <c r="C99" s="2" t="s">
        <v>2016</v>
      </c>
      <c r="D99" s="2" t="s">
        <v>2539</v>
      </c>
      <c r="E99" s="2" t="s">
        <v>2540</v>
      </c>
      <c r="F99" s="2"/>
      <c r="G99" s="2" t="s">
        <v>2541</v>
      </c>
      <c r="H99" s="2" t="n">
        <v>2</v>
      </c>
      <c r="I99" s="2" t="n">
        <v>77</v>
      </c>
      <c r="J99" s="2" t="s">
        <v>1540</v>
      </c>
      <c r="K99" s="2" t="s">
        <v>2582</v>
      </c>
    </row>
    <row r="100" customFormat="false" ht="79.85" hidden="false" customHeight="false" outlineLevel="0" collapsed="false">
      <c r="A100" s="2" t="s">
        <v>3262</v>
      </c>
      <c r="B100" s="2" t="s">
        <v>2395</v>
      </c>
      <c r="C100" s="2" t="s">
        <v>2016</v>
      </c>
      <c r="D100" s="2" t="s">
        <v>2397</v>
      </c>
      <c r="E100" s="2" t="s">
        <v>2398</v>
      </c>
      <c r="F100" s="2" t="s">
        <v>2399</v>
      </c>
      <c r="G100" s="2" t="s">
        <v>2400</v>
      </c>
      <c r="H100" s="2" t="n">
        <v>2</v>
      </c>
      <c r="I100" s="2" t="n">
        <v>47</v>
      </c>
      <c r="J100" s="2" t="s">
        <v>949</v>
      </c>
      <c r="K100" s="2" t="s">
        <v>2396</v>
      </c>
    </row>
    <row r="101" customFormat="false" ht="46.25" hidden="false" customHeight="false" outlineLevel="0" collapsed="false">
      <c r="A101" s="2" t="s">
        <v>3262</v>
      </c>
      <c r="B101" s="2" t="s">
        <v>2395</v>
      </c>
      <c r="C101" s="2" t="s">
        <v>2016</v>
      </c>
      <c r="D101" s="2" t="s">
        <v>2397</v>
      </c>
      <c r="E101" s="2" t="s">
        <v>2398</v>
      </c>
      <c r="F101" s="2" t="s">
        <v>2399</v>
      </c>
      <c r="G101" s="2" t="s">
        <v>2400</v>
      </c>
      <c r="H101" s="2" t="n">
        <v>2</v>
      </c>
      <c r="I101" s="2" t="n">
        <v>49</v>
      </c>
      <c r="J101" s="2" t="s">
        <v>990</v>
      </c>
      <c r="K101" s="2" t="s">
        <v>2415</v>
      </c>
    </row>
    <row r="102" customFormat="false" ht="57.45" hidden="false" customHeight="false" outlineLevel="0" collapsed="false">
      <c r="A102" s="2" t="s">
        <v>2286</v>
      </c>
      <c r="B102" s="2" t="s">
        <v>2287</v>
      </c>
      <c r="C102" s="2" t="s">
        <v>2016</v>
      </c>
      <c r="D102" s="2" t="s">
        <v>2289</v>
      </c>
      <c r="E102" s="2" t="s">
        <v>2290</v>
      </c>
      <c r="F102" s="2"/>
      <c r="G102" s="2" t="s">
        <v>2291</v>
      </c>
      <c r="H102" s="2" t="n">
        <v>2</v>
      </c>
      <c r="I102" s="2" t="n">
        <v>28</v>
      </c>
      <c r="J102" s="2" t="s">
        <v>580</v>
      </c>
      <c r="K102" s="2" t="s">
        <v>2288</v>
      </c>
    </row>
    <row r="103" customFormat="false" ht="46.25" hidden="false" customHeight="false" outlineLevel="0" collapsed="false">
      <c r="A103" s="2" t="s">
        <v>2286</v>
      </c>
      <c r="B103" s="2" t="s">
        <v>2287</v>
      </c>
      <c r="C103" s="2" t="s">
        <v>2016</v>
      </c>
      <c r="D103" s="2" t="s">
        <v>2289</v>
      </c>
      <c r="E103" s="2" t="s">
        <v>2290</v>
      </c>
      <c r="F103" s="2"/>
      <c r="G103" s="2" t="s">
        <v>2291</v>
      </c>
      <c r="H103" s="2" t="n">
        <v>2</v>
      </c>
      <c r="I103" s="2" t="n">
        <v>86</v>
      </c>
      <c r="J103" s="2" t="s">
        <v>1709</v>
      </c>
      <c r="K103" s="2" t="s">
        <v>2615</v>
      </c>
    </row>
    <row r="104" customFormat="false" ht="57.45" hidden="false" customHeight="false" outlineLevel="0" collapsed="false">
      <c r="A104" s="2" t="s">
        <v>2469</v>
      </c>
      <c r="B104" s="2" t="s">
        <v>2470</v>
      </c>
      <c r="C104" s="2" t="s">
        <v>2006</v>
      </c>
      <c r="D104" s="2" t="s">
        <v>2472</v>
      </c>
      <c r="E104" s="2" t="s">
        <v>2473</v>
      </c>
      <c r="F104" s="2"/>
      <c r="G104" s="2" t="s">
        <v>2474</v>
      </c>
      <c r="H104" s="2" t="n">
        <v>1</v>
      </c>
      <c r="I104" s="2" t="n">
        <v>56</v>
      </c>
      <c r="J104" s="2" t="s">
        <v>1134</v>
      </c>
      <c r="K104" s="2" t="s">
        <v>2471</v>
      </c>
    </row>
    <row r="105" customFormat="false" ht="46.25" hidden="false" customHeight="false" outlineLevel="0" collapsed="false">
      <c r="A105" s="2" t="s">
        <v>3263</v>
      </c>
      <c r="B105" s="2"/>
      <c r="C105" s="2" t="s">
        <v>2006</v>
      </c>
      <c r="D105" s="2" t="s">
        <v>2487</v>
      </c>
      <c r="E105" s="2"/>
      <c r="F105" s="2"/>
      <c r="G105" s="2" t="s">
        <v>2488</v>
      </c>
      <c r="H105" s="2" t="n">
        <v>1</v>
      </c>
      <c r="I105" s="2" t="n">
        <v>58</v>
      </c>
      <c r="J105" s="2" t="s">
        <v>1175</v>
      </c>
      <c r="K105" s="2" t="s">
        <v>2486</v>
      </c>
    </row>
    <row r="106" customFormat="false" ht="35.05" hidden="false" customHeight="false" outlineLevel="0" collapsed="false">
      <c r="A106" s="2" t="s">
        <v>3264</v>
      </c>
      <c r="B106" s="2"/>
      <c r="C106" s="2" t="s">
        <v>2016</v>
      </c>
      <c r="D106" s="2"/>
      <c r="E106" s="2"/>
      <c r="F106" s="2"/>
      <c r="G106" s="2"/>
      <c r="H106" s="2" t="n">
        <v>1</v>
      </c>
      <c r="I106" s="2" t="n">
        <v>42</v>
      </c>
      <c r="J106" s="2" t="s">
        <v>852</v>
      </c>
      <c r="K106" s="2" t="s">
        <v>2374</v>
      </c>
    </row>
    <row r="107" customFormat="false" ht="46.25" hidden="false" customHeight="false" outlineLevel="0" collapsed="false">
      <c r="A107" s="2" t="s">
        <v>2352</v>
      </c>
      <c r="B107" s="2"/>
      <c r="C107" s="2" t="s">
        <v>2016</v>
      </c>
      <c r="D107" s="2" t="s">
        <v>2354</v>
      </c>
      <c r="E107" s="2" t="s">
        <v>2355</v>
      </c>
      <c r="F107" s="2" t="s">
        <v>2356</v>
      </c>
      <c r="G107" s="2" t="s">
        <v>2357</v>
      </c>
      <c r="H107" s="2" t="n">
        <v>1</v>
      </c>
      <c r="I107" s="2" t="n">
        <v>40</v>
      </c>
      <c r="J107" s="2" t="s">
        <v>815</v>
      </c>
      <c r="K107" s="2" t="s">
        <v>2353</v>
      </c>
    </row>
    <row r="108" customFormat="false" ht="57.45" hidden="false" customHeight="false" outlineLevel="0" collapsed="false">
      <c r="A108" s="2" t="s">
        <v>3265</v>
      </c>
      <c r="B108" s="2"/>
      <c r="C108" s="2" t="s">
        <v>2006</v>
      </c>
      <c r="D108" s="2" t="s">
        <v>120</v>
      </c>
      <c r="E108" s="2"/>
      <c r="F108" s="2"/>
      <c r="G108" s="2"/>
      <c r="H108" s="2" t="n">
        <v>1</v>
      </c>
      <c r="I108" s="2" t="n">
        <v>21</v>
      </c>
      <c r="J108" s="2" t="s">
        <v>440</v>
      </c>
      <c r="K108" s="2" t="s">
        <v>2231</v>
      </c>
    </row>
    <row r="109" customFormat="false" ht="57.45" hidden="false" customHeight="false" outlineLevel="0" collapsed="false">
      <c r="A109" s="2" t="s">
        <v>2528</v>
      </c>
      <c r="B109" s="2"/>
      <c r="C109" s="2" t="s">
        <v>2016</v>
      </c>
      <c r="D109" s="2" t="s">
        <v>2530</v>
      </c>
      <c r="E109" s="2" t="s">
        <v>2531</v>
      </c>
      <c r="F109" s="2" t="s">
        <v>2532</v>
      </c>
      <c r="G109" s="2" t="s">
        <v>2533</v>
      </c>
      <c r="H109" s="2" t="n">
        <v>1</v>
      </c>
      <c r="I109" s="2" t="n">
        <v>66</v>
      </c>
      <c r="J109" s="2" t="s">
        <v>1326</v>
      </c>
      <c r="K109" s="2" t="s">
        <v>2529</v>
      </c>
    </row>
    <row r="110" customFormat="false" ht="79.85" hidden="false" customHeight="false" outlineLevel="0" collapsed="false">
      <c r="A110" s="2" t="s">
        <v>3266</v>
      </c>
      <c r="B110" s="2"/>
      <c r="C110" s="2" t="s">
        <v>2006</v>
      </c>
      <c r="D110" s="2" t="s">
        <v>2235</v>
      </c>
      <c r="E110" s="2"/>
      <c r="F110" s="2"/>
      <c r="G110" s="2" t="s">
        <v>2236</v>
      </c>
      <c r="H110" s="2" t="n">
        <v>1</v>
      </c>
      <c r="I110" s="2" t="n">
        <v>21</v>
      </c>
      <c r="J110" s="2" t="s">
        <v>440</v>
      </c>
      <c r="K110" s="2" t="s">
        <v>2234</v>
      </c>
    </row>
    <row r="111" customFormat="false" ht="35.05" hidden="false" customHeight="false" outlineLevel="0" collapsed="false">
      <c r="A111" s="2" t="s">
        <v>3267</v>
      </c>
      <c r="B111" s="2"/>
      <c r="C111" s="2" t="s">
        <v>2016</v>
      </c>
      <c r="D111" s="2" t="s">
        <v>2603</v>
      </c>
      <c r="E111" s="2" t="s">
        <v>2604</v>
      </c>
      <c r="F111" s="2" t="s">
        <v>2605</v>
      </c>
      <c r="G111" s="2" t="s">
        <v>2606</v>
      </c>
      <c r="H111" s="2" t="n">
        <v>1</v>
      </c>
      <c r="I111" s="2" t="n">
        <v>82</v>
      </c>
      <c r="J111" s="2" t="s">
        <v>1636</v>
      </c>
      <c r="K111" s="2" t="s">
        <v>2602</v>
      </c>
    </row>
    <row r="112" customFormat="false" ht="46.25" hidden="false" customHeight="false" outlineLevel="0" collapsed="false">
      <c r="A112" s="2" t="s">
        <v>3268</v>
      </c>
      <c r="B112" s="2"/>
      <c r="C112" s="2" t="s">
        <v>2006</v>
      </c>
      <c r="D112" s="2"/>
      <c r="E112" s="2"/>
      <c r="F112" s="2"/>
      <c r="G112" s="2"/>
      <c r="H112" s="2" t="n">
        <v>1</v>
      </c>
      <c r="I112" s="2" t="n">
        <v>16</v>
      </c>
      <c r="J112" s="2" t="s">
        <v>350</v>
      </c>
      <c r="K112" s="2" t="s">
        <v>2211</v>
      </c>
    </row>
    <row r="113" customFormat="false" ht="23.85" hidden="false" customHeight="false" outlineLevel="0" collapsed="false">
      <c r="A113" s="2" t="s">
        <v>2502</v>
      </c>
      <c r="B113" s="2"/>
      <c r="C113" s="2" t="s">
        <v>2016</v>
      </c>
      <c r="D113" s="2" t="s">
        <v>2504</v>
      </c>
      <c r="E113" s="2" t="s">
        <v>2505</v>
      </c>
      <c r="F113" s="2" t="s">
        <v>2506</v>
      </c>
      <c r="G113" s="2" t="s">
        <v>2507</v>
      </c>
      <c r="H113" s="2" t="n">
        <v>1</v>
      </c>
      <c r="I113" s="2" t="n">
        <v>60</v>
      </c>
      <c r="J113" s="2" t="s">
        <v>1213</v>
      </c>
      <c r="K113" s="2" t="s">
        <v>2503</v>
      </c>
    </row>
    <row r="114" customFormat="false" ht="23.85" hidden="false" customHeight="false" outlineLevel="0" collapsed="false">
      <c r="A114" s="2" t="s">
        <v>2438</v>
      </c>
      <c r="B114" s="2"/>
      <c r="C114" s="2" t="s">
        <v>2016</v>
      </c>
      <c r="D114" s="2" t="s">
        <v>2440</v>
      </c>
      <c r="E114" s="2" t="s">
        <v>2441</v>
      </c>
      <c r="F114" s="2"/>
      <c r="G114" s="2" t="s">
        <v>2442</v>
      </c>
      <c r="H114" s="2" t="n">
        <v>1</v>
      </c>
      <c r="I114" s="2" t="n">
        <v>53</v>
      </c>
      <c r="J114" s="2" t="s">
        <v>1073</v>
      </c>
      <c r="K114" s="2" t="s">
        <v>2439</v>
      </c>
    </row>
    <row r="115" customFormat="false" ht="46.25" hidden="false" customHeight="false" outlineLevel="0" collapsed="false">
      <c r="A115" s="2" t="s">
        <v>2268</v>
      </c>
      <c r="B115" s="2"/>
      <c r="C115" s="2" t="s">
        <v>2016</v>
      </c>
      <c r="D115" s="2"/>
      <c r="E115" s="2"/>
      <c r="F115" s="2"/>
      <c r="G115" s="2"/>
      <c r="H115" s="2" t="n">
        <v>1</v>
      </c>
      <c r="I115" s="2" t="n">
        <v>25</v>
      </c>
      <c r="J115" s="2" t="s">
        <v>522</v>
      </c>
      <c r="K115" s="2" t="s">
        <v>2269</v>
      </c>
    </row>
    <row r="116" customFormat="false" ht="15" hidden="false" customHeight="false" outlineLevel="0" collapsed="false">
      <c r="A116" s="2" t="s">
        <v>2444</v>
      </c>
      <c r="B116" s="2"/>
      <c r="C116" s="2" t="s">
        <v>2016</v>
      </c>
      <c r="D116" s="2" t="s">
        <v>2446</v>
      </c>
      <c r="E116" s="2"/>
      <c r="F116" s="2"/>
      <c r="G116" s="2"/>
      <c r="H116" s="2" t="n">
        <v>1</v>
      </c>
      <c r="I116" s="2" t="n">
        <v>53</v>
      </c>
      <c r="J116" s="2" t="s">
        <v>1073</v>
      </c>
      <c r="K116" s="2" t="s">
        <v>2445</v>
      </c>
    </row>
    <row r="117" customFormat="false" ht="15" hidden="false" customHeight="false" outlineLevel="0" collapsed="false">
      <c r="A117" s="2" t="s">
        <v>2125</v>
      </c>
      <c r="B117" s="2"/>
      <c r="C117" s="2" t="s">
        <v>2016</v>
      </c>
      <c r="D117" s="2"/>
      <c r="E117" s="2"/>
      <c r="F117" s="2"/>
      <c r="G117" s="2"/>
      <c r="H117" s="2" t="n">
        <v>1</v>
      </c>
      <c r="I117" s="2" t="n">
        <v>7</v>
      </c>
      <c r="J117" s="2" t="s">
        <v>174</v>
      </c>
      <c r="K117" s="2" t="s">
        <v>2126</v>
      </c>
    </row>
    <row r="118" customFormat="false" ht="79.85" hidden="false" customHeight="false" outlineLevel="0" collapsed="false">
      <c r="A118" s="2" t="s">
        <v>2492</v>
      </c>
      <c r="B118" s="2"/>
      <c r="C118" s="2" t="s">
        <v>2016</v>
      </c>
      <c r="D118" s="2" t="s">
        <v>2494</v>
      </c>
      <c r="E118" s="2" t="s">
        <v>2495</v>
      </c>
      <c r="F118" s="2" t="s">
        <v>2496</v>
      </c>
      <c r="G118" s="2" t="s">
        <v>2497</v>
      </c>
      <c r="H118" s="2" t="n">
        <v>1</v>
      </c>
      <c r="I118" s="2" t="n">
        <v>59</v>
      </c>
      <c r="J118" s="2" t="s">
        <v>1194</v>
      </c>
      <c r="K118" s="2" t="s">
        <v>2493</v>
      </c>
    </row>
    <row r="119" customFormat="false" ht="46.25" hidden="false" customHeight="false" outlineLevel="0" collapsed="false">
      <c r="A119" s="2" t="s">
        <v>2465</v>
      </c>
      <c r="B119" s="2"/>
      <c r="C119" s="2" t="s">
        <v>2016</v>
      </c>
      <c r="D119" s="2" t="s">
        <v>2467</v>
      </c>
      <c r="E119" s="2"/>
      <c r="F119" s="2"/>
      <c r="G119" s="2"/>
      <c r="H119" s="2" t="n">
        <v>1</v>
      </c>
      <c r="I119" s="2" t="n">
        <v>55</v>
      </c>
      <c r="J119" s="2" t="s">
        <v>1112</v>
      </c>
      <c r="K119" s="2" t="s">
        <v>2466</v>
      </c>
    </row>
    <row r="120" customFormat="false" ht="57.45" hidden="false" customHeight="false" outlineLevel="0" collapsed="false">
      <c r="A120" s="2" t="s">
        <v>2640</v>
      </c>
      <c r="B120" s="2" t="s">
        <v>2641</v>
      </c>
      <c r="C120" s="2" t="s">
        <v>2016</v>
      </c>
      <c r="D120" s="2" t="s">
        <v>2643</v>
      </c>
      <c r="E120" s="2" t="s">
        <v>2644</v>
      </c>
      <c r="F120" s="2" t="s">
        <v>2645</v>
      </c>
      <c r="G120" s="2" t="s">
        <v>2646</v>
      </c>
      <c r="H120" s="2" t="n">
        <v>1</v>
      </c>
      <c r="I120" s="2" t="n">
        <v>97</v>
      </c>
      <c r="J120" s="2" t="s">
        <v>1912</v>
      </c>
      <c r="K120" s="2" t="s">
        <v>2642</v>
      </c>
    </row>
    <row r="121" customFormat="false" ht="35.05" hidden="false" customHeight="false" outlineLevel="0" collapsed="false">
      <c r="A121" s="2" t="s">
        <v>2145</v>
      </c>
      <c r="B121" s="2" t="s">
        <v>2146</v>
      </c>
      <c r="C121" s="2" t="s">
        <v>2016</v>
      </c>
      <c r="D121" s="2" t="s">
        <v>2148</v>
      </c>
      <c r="E121" s="2" t="s">
        <v>2149</v>
      </c>
      <c r="F121" s="2" t="s">
        <v>2150</v>
      </c>
      <c r="G121" s="2" t="s">
        <v>2151</v>
      </c>
      <c r="H121" s="2" t="n">
        <v>1</v>
      </c>
      <c r="I121" s="2" t="n">
        <v>9</v>
      </c>
      <c r="J121" s="2" t="s">
        <v>213</v>
      </c>
      <c r="K121" s="2" t="s">
        <v>2147</v>
      </c>
    </row>
    <row r="122" customFormat="false" ht="91" hidden="false" customHeight="false" outlineLevel="0" collapsed="false">
      <c r="A122" s="2" t="s">
        <v>2567</v>
      </c>
      <c r="B122" s="2" t="s">
        <v>2568</v>
      </c>
      <c r="C122" s="2" t="s">
        <v>2016</v>
      </c>
      <c r="D122" s="2" t="s">
        <v>2570</v>
      </c>
      <c r="E122" s="2"/>
      <c r="F122" s="2"/>
      <c r="G122" s="2" t="s">
        <v>2571</v>
      </c>
      <c r="H122" s="2" t="n">
        <v>1</v>
      </c>
      <c r="I122" s="2" t="n">
        <v>74</v>
      </c>
      <c r="J122" s="2" t="s">
        <v>1478</v>
      </c>
      <c r="K122" s="2" t="s">
        <v>2569</v>
      </c>
    </row>
    <row r="123" customFormat="false" ht="46.25" hidden="false" customHeight="false" outlineLevel="0" collapsed="false">
      <c r="A123" s="2" t="s">
        <v>2617</v>
      </c>
      <c r="B123" s="2"/>
      <c r="C123" s="2" t="s">
        <v>2016</v>
      </c>
      <c r="D123" s="2"/>
      <c r="E123" s="2" t="s">
        <v>2619</v>
      </c>
      <c r="F123" s="2"/>
      <c r="G123" s="2" t="s">
        <v>2620</v>
      </c>
      <c r="H123" s="2" t="n">
        <v>1</v>
      </c>
      <c r="I123" s="2" t="n">
        <v>88</v>
      </c>
      <c r="J123" s="2" t="s">
        <v>1743</v>
      </c>
      <c r="K123" s="2" t="s">
        <v>2618</v>
      </c>
    </row>
    <row r="124" customFormat="false" ht="68.65" hidden="false" customHeight="false" outlineLevel="0" collapsed="false">
      <c r="A124" s="2" t="s">
        <v>2329</v>
      </c>
      <c r="B124" s="2" t="s">
        <v>2330</v>
      </c>
      <c r="C124" s="2" t="s">
        <v>2006</v>
      </c>
      <c r="D124" s="2" t="s">
        <v>2332</v>
      </c>
      <c r="E124" s="2"/>
      <c r="F124" s="2"/>
      <c r="G124" s="2"/>
      <c r="H124" s="2" t="n">
        <v>1</v>
      </c>
      <c r="I124" s="2" t="n">
        <v>37</v>
      </c>
      <c r="J124" s="2" t="s">
        <v>752</v>
      </c>
      <c r="K124" s="2" t="s">
        <v>2331</v>
      </c>
    </row>
    <row r="125" customFormat="false" ht="57.45" hidden="false" customHeight="false" outlineLevel="0" collapsed="false">
      <c r="A125" s="2" t="s">
        <v>3269</v>
      </c>
      <c r="B125" s="2"/>
      <c r="C125" s="2" t="s">
        <v>2016</v>
      </c>
      <c r="D125" s="2" t="s">
        <v>2586</v>
      </c>
      <c r="E125" s="2" t="s">
        <v>2587</v>
      </c>
      <c r="F125" s="2"/>
      <c r="G125" s="2" t="s">
        <v>2588</v>
      </c>
      <c r="H125" s="2" t="n">
        <v>1</v>
      </c>
      <c r="I125" s="2" t="n">
        <v>78</v>
      </c>
      <c r="J125" s="2" t="s">
        <v>1559</v>
      </c>
      <c r="K125" s="2" t="s">
        <v>2585</v>
      </c>
    </row>
    <row r="126" customFormat="false" ht="46.25" hidden="false" customHeight="false" outlineLevel="0" collapsed="false">
      <c r="A126" s="2" t="s">
        <v>3270</v>
      </c>
      <c r="B126" s="2" t="s">
        <v>2249</v>
      </c>
      <c r="C126" s="2" t="s">
        <v>2016</v>
      </c>
      <c r="D126" s="2" t="s">
        <v>2251</v>
      </c>
      <c r="E126" s="2" t="s">
        <v>2252</v>
      </c>
      <c r="F126" s="2" t="s">
        <v>2253</v>
      </c>
      <c r="G126" s="2" t="s">
        <v>2254</v>
      </c>
      <c r="H126" s="2" t="n">
        <v>1</v>
      </c>
      <c r="I126" s="2" t="n">
        <v>23</v>
      </c>
      <c r="J126" s="2" t="s">
        <v>482</v>
      </c>
      <c r="K126" s="2" t="s">
        <v>2250</v>
      </c>
    </row>
    <row r="127" customFormat="false" ht="23.85" hidden="false" customHeight="false" outlineLevel="0" collapsed="false">
      <c r="A127" s="2" t="s">
        <v>2158</v>
      </c>
      <c r="B127" s="2"/>
      <c r="C127" s="2" t="s">
        <v>2016</v>
      </c>
      <c r="D127" s="2" t="s">
        <v>2160</v>
      </c>
      <c r="E127" s="2" t="s">
        <v>2161</v>
      </c>
      <c r="F127" s="2" t="s">
        <v>2162</v>
      </c>
      <c r="G127" s="2" t="s">
        <v>2163</v>
      </c>
      <c r="H127" s="2" t="n">
        <v>1</v>
      </c>
      <c r="I127" s="2" t="n">
        <v>10</v>
      </c>
      <c r="J127" s="2" t="s">
        <v>230</v>
      </c>
      <c r="K127" s="2" t="s">
        <v>2159</v>
      </c>
    </row>
    <row r="128" customFormat="false" ht="35.05" hidden="false" customHeight="false" outlineLevel="0" collapsed="false">
      <c r="A128" s="2" t="s">
        <v>3271</v>
      </c>
      <c r="B128" s="2" t="s">
        <v>2204</v>
      </c>
      <c r="C128" s="2" t="s">
        <v>2006</v>
      </c>
      <c r="D128" s="2" t="s">
        <v>336</v>
      </c>
      <c r="E128" s="2"/>
      <c r="F128" s="2"/>
      <c r="G128" s="2" t="s">
        <v>2206</v>
      </c>
      <c r="H128" s="2" t="n">
        <v>1</v>
      </c>
      <c r="I128" s="2" t="n">
        <v>15</v>
      </c>
      <c r="J128" s="2" t="s">
        <v>332</v>
      </c>
      <c r="K128" s="2" t="s">
        <v>2205</v>
      </c>
    </row>
    <row r="129" customFormat="false" ht="35.05" hidden="false" customHeight="false" outlineLevel="0" collapsed="false">
      <c r="A129" s="2" t="s">
        <v>3272</v>
      </c>
      <c r="B129" s="2"/>
      <c r="C129" s="2" t="s">
        <v>2016</v>
      </c>
      <c r="D129" s="2"/>
      <c r="E129" s="2"/>
      <c r="F129" s="2"/>
      <c r="G129" s="2"/>
      <c r="H129" s="2" t="n">
        <v>1</v>
      </c>
      <c r="I129" s="2" t="n">
        <v>1</v>
      </c>
      <c r="J129" s="2" t="s">
        <v>39</v>
      </c>
      <c r="K129" s="2" t="s">
        <v>2053</v>
      </c>
    </row>
    <row r="130" customFormat="false" ht="46.25" hidden="false" customHeight="false" outlineLevel="0" collapsed="false">
      <c r="A130" s="2" t="s">
        <v>3273</v>
      </c>
      <c r="B130" s="2" t="s">
        <v>2386</v>
      </c>
      <c r="C130" s="2" t="s">
        <v>2016</v>
      </c>
      <c r="D130" s="2" t="s">
        <v>2160</v>
      </c>
      <c r="E130" s="2" t="s">
        <v>2388</v>
      </c>
      <c r="F130" s="2" t="s">
        <v>2162</v>
      </c>
      <c r="G130" s="2" t="s">
        <v>2163</v>
      </c>
      <c r="H130" s="2" t="n">
        <v>1</v>
      </c>
      <c r="I130" s="2" t="n">
        <v>44</v>
      </c>
      <c r="J130" s="2" t="s">
        <v>890</v>
      </c>
      <c r="K130" s="2" t="s">
        <v>2387</v>
      </c>
    </row>
    <row r="131" customFormat="false" ht="23.85" hidden="false" customHeight="false" outlineLevel="0" collapsed="false">
      <c r="A131" s="2" t="s">
        <v>2059</v>
      </c>
      <c r="B131" s="2"/>
      <c r="C131" s="2" t="s">
        <v>2016</v>
      </c>
      <c r="D131" s="2"/>
      <c r="E131" s="2"/>
      <c r="F131" s="2"/>
      <c r="G131" s="2"/>
      <c r="H131" s="2" t="n">
        <v>1</v>
      </c>
      <c r="I131" s="2" t="n">
        <v>1</v>
      </c>
      <c r="J131" s="2" t="s">
        <v>39</v>
      </c>
      <c r="K131" s="2" t="s">
        <v>2060</v>
      </c>
    </row>
    <row r="132" customFormat="false" ht="23.85" hidden="false" customHeight="false" outlineLevel="0" collapsed="false">
      <c r="A132" s="2" t="s">
        <v>2543</v>
      </c>
      <c r="B132" s="2"/>
      <c r="C132" s="2" t="s">
        <v>2016</v>
      </c>
      <c r="D132" s="2" t="s">
        <v>2545</v>
      </c>
      <c r="E132" s="2"/>
      <c r="F132" s="2"/>
      <c r="G132" s="2"/>
      <c r="H132" s="2" t="n">
        <v>1</v>
      </c>
      <c r="I132" s="2" t="n">
        <v>67</v>
      </c>
      <c r="J132" s="2" t="s">
        <v>1344</v>
      </c>
      <c r="K132" s="2" t="s">
        <v>2544</v>
      </c>
    </row>
    <row r="133" customFormat="false" ht="23.85" hidden="false" customHeight="false" outlineLevel="0" collapsed="false">
      <c r="A133" s="2" t="s">
        <v>2119</v>
      </c>
      <c r="B133" s="2"/>
      <c r="C133" s="2" t="s">
        <v>2016</v>
      </c>
      <c r="D133" s="2" t="s">
        <v>2121</v>
      </c>
      <c r="E133" s="2" t="s">
        <v>2122</v>
      </c>
      <c r="F133" s="2"/>
      <c r="G133" s="2" t="s">
        <v>2123</v>
      </c>
      <c r="H133" s="2" t="n">
        <v>1</v>
      </c>
      <c r="I133" s="2" t="n">
        <v>7</v>
      </c>
      <c r="J133" s="2" t="s">
        <v>174</v>
      </c>
      <c r="K133" s="2" t="s">
        <v>2120</v>
      </c>
    </row>
    <row r="134" customFormat="false" ht="124.6" hidden="false" customHeight="false" outlineLevel="0" collapsed="false">
      <c r="A134" s="2" t="s">
        <v>2429</v>
      </c>
      <c r="B134" s="2" t="s">
        <v>2430</v>
      </c>
      <c r="C134" s="2" t="s">
        <v>2016</v>
      </c>
      <c r="D134" s="2" t="s">
        <v>2432</v>
      </c>
      <c r="E134" s="2" t="s">
        <v>2433</v>
      </c>
      <c r="F134" s="2"/>
      <c r="G134" s="2" t="s">
        <v>2434</v>
      </c>
      <c r="H134" s="2" t="n">
        <v>1</v>
      </c>
      <c r="I134" s="2" t="n">
        <v>52</v>
      </c>
      <c r="J134" s="2" t="s">
        <v>1052</v>
      </c>
      <c r="K134" s="2" t="s">
        <v>2431</v>
      </c>
    </row>
    <row r="135" customFormat="false" ht="23.85" hidden="false" customHeight="false" outlineLevel="0" collapsed="false">
      <c r="A135" s="2" t="s">
        <v>3274</v>
      </c>
      <c r="B135" s="2" t="s">
        <v>2107</v>
      </c>
      <c r="C135" s="2" t="s">
        <v>2016</v>
      </c>
      <c r="D135" s="2"/>
      <c r="E135" s="2"/>
      <c r="F135" s="2"/>
      <c r="G135" s="2"/>
      <c r="H135" s="2" t="n">
        <v>1</v>
      </c>
      <c r="I135" s="2" t="n">
        <v>5</v>
      </c>
      <c r="J135" s="2" t="s">
        <v>134</v>
      </c>
      <c r="K135" s="2" t="s">
        <v>2108</v>
      </c>
    </row>
    <row r="136" customFormat="false" ht="46.25" hidden="false" customHeight="false" outlineLevel="0" collapsed="false">
      <c r="A136" s="2" t="s">
        <v>2359</v>
      </c>
      <c r="B136" s="2"/>
      <c r="C136" s="2" t="s">
        <v>2016</v>
      </c>
      <c r="D136" s="2" t="s">
        <v>2361</v>
      </c>
      <c r="E136" s="2"/>
      <c r="F136" s="2"/>
      <c r="G136" s="2" t="s">
        <v>2362</v>
      </c>
      <c r="H136" s="2" t="n">
        <v>1</v>
      </c>
      <c r="I136" s="2" t="n">
        <v>40</v>
      </c>
      <c r="J136" s="2" t="s">
        <v>815</v>
      </c>
      <c r="K136" s="2" t="s">
        <v>2360</v>
      </c>
    </row>
    <row r="137" customFormat="false" ht="35.05" hidden="false" customHeight="false" outlineLevel="0" collapsed="false">
      <c r="A137" s="2" t="s">
        <v>2652</v>
      </c>
      <c r="B137" s="2"/>
      <c r="C137" s="2" t="s">
        <v>2016</v>
      </c>
      <c r="D137" s="2" t="s">
        <v>2654</v>
      </c>
      <c r="E137" s="2"/>
      <c r="F137" s="2"/>
      <c r="G137" s="2"/>
      <c r="H137" s="2" t="n">
        <v>1</v>
      </c>
      <c r="I137" s="2" t="n">
        <v>100</v>
      </c>
      <c r="J137" s="2" t="s">
        <v>1971</v>
      </c>
      <c r="K137" s="2" t="s">
        <v>2653</v>
      </c>
    </row>
    <row r="138" customFormat="false" ht="57.45" hidden="false" customHeight="false" outlineLevel="0" collapsed="false">
      <c r="A138" s="2" t="s">
        <v>2634</v>
      </c>
      <c r="B138" s="2"/>
      <c r="C138" s="2" t="s">
        <v>2016</v>
      </c>
      <c r="D138" s="2"/>
      <c r="E138" s="2"/>
      <c r="F138" s="2"/>
      <c r="G138" s="2"/>
      <c r="H138" s="2" t="n">
        <v>1</v>
      </c>
      <c r="I138" s="2" t="n">
        <v>95</v>
      </c>
      <c r="J138" s="2" t="s">
        <v>1874</v>
      </c>
      <c r="K138" s="2" t="s">
        <v>2635</v>
      </c>
    </row>
    <row r="139" customFormat="false" ht="46.25" hidden="false" customHeight="false" outlineLevel="0" collapsed="false">
      <c r="A139" s="2" t="s">
        <v>2555</v>
      </c>
      <c r="B139" s="2"/>
      <c r="C139" s="2" t="s">
        <v>2016</v>
      </c>
      <c r="D139" s="2" t="s">
        <v>2557</v>
      </c>
      <c r="E139" s="2"/>
      <c r="F139" s="2"/>
      <c r="G139" s="2" t="s">
        <v>2558</v>
      </c>
      <c r="H139" s="2" t="n">
        <v>1</v>
      </c>
      <c r="I139" s="2" t="n">
        <v>72</v>
      </c>
      <c r="J139" s="2" t="s">
        <v>1440</v>
      </c>
      <c r="K139" s="2" t="s">
        <v>2556</v>
      </c>
    </row>
    <row r="140" customFormat="false" ht="35.05" hidden="false" customHeight="false" outlineLevel="0" collapsed="false">
      <c r="A140" s="2" t="s">
        <v>2257</v>
      </c>
      <c r="B140" s="2" t="s">
        <v>2258</v>
      </c>
      <c r="C140" s="2" t="s">
        <v>2016</v>
      </c>
      <c r="D140" s="2" t="s">
        <v>2260</v>
      </c>
      <c r="E140" s="2" t="s">
        <v>2261</v>
      </c>
      <c r="F140" s="2" t="s">
        <v>2262</v>
      </c>
      <c r="G140" s="2" t="s">
        <v>2263</v>
      </c>
      <c r="H140" s="2" t="n">
        <v>1</v>
      </c>
      <c r="I140" s="2" t="n">
        <v>24</v>
      </c>
      <c r="J140" s="2" t="s">
        <v>502</v>
      </c>
      <c r="K140" s="2" t="s">
        <v>2259</v>
      </c>
    </row>
    <row r="141" customFormat="false" ht="35.05" hidden="false" customHeight="false" outlineLevel="0" collapsed="false">
      <c r="A141" s="2" t="s">
        <v>2153</v>
      </c>
      <c r="B141" s="2"/>
      <c r="C141" s="2" t="s">
        <v>2006</v>
      </c>
      <c r="D141" s="2" t="s">
        <v>235</v>
      </c>
      <c r="E141" s="2" t="s">
        <v>2155</v>
      </c>
      <c r="F141" s="2" t="s">
        <v>246</v>
      </c>
      <c r="G141" s="2" t="s">
        <v>2156</v>
      </c>
      <c r="H141" s="2" t="n">
        <v>1</v>
      </c>
      <c r="I141" s="2" t="n">
        <v>10</v>
      </c>
      <c r="J141" s="2" t="s">
        <v>230</v>
      </c>
      <c r="K141" s="2" t="s">
        <v>2154</v>
      </c>
    </row>
    <row r="142" customFormat="false" ht="68.65" hidden="false" customHeight="false" outlineLevel="0" collapsed="false">
      <c r="A142" s="2" t="s">
        <v>2334</v>
      </c>
      <c r="B142" s="2"/>
      <c r="C142" s="2" t="s">
        <v>2016</v>
      </c>
      <c r="D142" s="2" t="s">
        <v>2336</v>
      </c>
      <c r="E142" s="2" t="s">
        <v>2337</v>
      </c>
      <c r="F142" s="2"/>
      <c r="G142" s="2" t="s">
        <v>2338</v>
      </c>
      <c r="H142" s="2" t="n">
        <v>1</v>
      </c>
      <c r="I142" s="2" t="n">
        <v>38</v>
      </c>
      <c r="J142" s="2" t="s">
        <v>774</v>
      </c>
      <c r="K142" s="2" t="s">
        <v>2335</v>
      </c>
    </row>
    <row r="143" customFormat="false" ht="46.25" hidden="false" customHeight="false" outlineLevel="0" collapsed="false">
      <c r="A143" s="2" t="s">
        <v>2380</v>
      </c>
      <c r="B143" s="2" t="s">
        <v>2381</v>
      </c>
      <c r="C143" s="2" t="s">
        <v>2016</v>
      </c>
      <c r="D143" s="2" t="s">
        <v>2383</v>
      </c>
      <c r="E143" s="2"/>
      <c r="F143" s="2"/>
      <c r="G143" s="2"/>
      <c r="H143" s="2" t="n">
        <v>1</v>
      </c>
      <c r="I143" s="2" t="n">
        <v>43</v>
      </c>
      <c r="J143" s="2" t="s">
        <v>870</v>
      </c>
      <c r="K143" s="2" t="s">
        <v>2382</v>
      </c>
    </row>
    <row r="144" customFormat="false" ht="91" hidden="false" customHeight="false" outlineLevel="0" collapsed="false">
      <c r="A144" s="2" t="s">
        <v>3275</v>
      </c>
      <c r="B144" s="2"/>
      <c r="C144" s="2" t="s">
        <v>2016</v>
      </c>
      <c r="D144" s="2" t="s">
        <v>2378</v>
      </c>
      <c r="E144" s="2"/>
      <c r="F144" s="2"/>
      <c r="G144" s="2"/>
      <c r="H144" s="2" t="n">
        <v>1</v>
      </c>
      <c r="I144" s="2" t="n">
        <v>42</v>
      </c>
      <c r="J144" s="2" t="s">
        <v>852</v>
      </c>
      <c r="K144" s="2" t="s">
        <v>2377</v>
      </c>
    </row>
    <row r="145" customFormat="false" ht="23.85" hidden="false" customHeight="false" outlineLevel="0" collapsed="false">
      <c r="A145" s="2" t="s">
        <v>3276</v>
      </c>
      <c r="B145" s="2"/>
      <c r="C145" s="2" t="s">
        <v>2016</v>
      </c>
      <c r="D145" s="2"/>
      <c r="E145" s="2"/>
      <c r="F145" s="2"/>
      <c r="G145" s="2"/>
      <c r="H145" s="2" t="n">
        <v>1</v>
      </c>
      <c r="I145" s="2" t="n">
        <v>1</v>
      </c>
      <c r="J145" s="2" t="s">
        <v>39</v>
      </c>
      <c r="K145" s="2" t="s">
        <v>2057</v>
      </c>
    </row>
    <row r="146" customFormat="false" ht="57.45" hidden="false" customHeight="false" outlineLevel="0" collapsed="false">
      <c r="A146" s="2" t="s">
        <v>3277</v>
      </c>
      <c r="B146" s="2"/>
      <c r="C146" s="2" t="s">
        <v>2006</v>
      </c>
      <c r="D146" s="2" t="s">
        <v>2342</v>
      </c>
      <c r="E146" s="2" t="s">
        <v>2343</v>
      </c>
      <c r="F146" s="2"/>
      <c r="G146" s="2" t="s">
        <v>2344</v>
      </c>
      <c r="H146" s="2" t="n">
        <v>1</v>
      </c>
      <c r="I146" s="2" t="n">
        <v>39</v>
      </c>
      <c r="J146" s="2" t="s">
        <v>797</v>
      </c>
      <c r="K146" s="2" t="s">
        <v>2341</v>
      </c>
    </row>
    <row r="147" customFormat="false" ht="91" hidden="false" customHeight="false" outlineLevel="0" collapsed="false">
      <c r="A147" s="2" t="s">
        <v>3278</v>
      </c>
      <c r="B147" s="2"/>
      <c r="C147" s="2" t="s">
        <v>2006</v>
      </c>
      <c r="D147" s="2" t="s">
        <v>2458</v>
      </c>
      <c r="E147" s="2" t="s">
        <v>2459</v>
      </c>
      <c r="F147" s="2"/>
      <c r="G147" s="2" t="s">
        <v>2460</v>
      </c>
      <c r="H147" s="2" t="n">
        <v>1</v>
      </c>
      <c r="I147" s="2" t="n">
        <v>55</v>
      </c>
      <c r="J147" s="2" t="s">
        <v>1112</v>
      </c>
      <c r="K147" s="2" t="s">
        <v>2457</v>
      </c>
    </row>
    <row r="148" customFormat="false" ht="46.25" hidden="false" customHeight="false" outlineLevel="0" collapsed="false">
      <c r="A148" s="2" t="s">
        <v>2127</v>
      </c>
      <c r="B148" s="2"/>
      <c r="C148" s="2" t="s">
        <v>2006</v>
      </c>
      <c r="D148" s="2" t="s">
        <v>207</v>
      </c>
      <c r="E148" s="2" t="s">
        <v>2129</v>
      </c>
      <c r="F148" s="2"/>
      <c r="G148" s="2" t="s">
        <v>2130</v>
      </c>
      <c r="H148" s="2" t="n">
        <v>1</v>
      </c>
      <c r="I148" s="2" t="n">
        <v>8</v>
      </c>
      <c r="J148" s="2" t="s">
        <v>193</v>
      </c>
      <c r="K148" s="2" t="s">
        <v>2128</v>
      </c>
    </row>
    <row r="149" customFormat="false" ht="102.2" hidden="false" customHeight="false" outlineLevel="0" collapsed="false">
      <c r="A149" s="2" t="s">
        <v>3279</v>
      </c>
      <c r="B149" s="2"/>
      <c r="C149" s="2" t="s">
        <v>2006</v>
      </c>
      <c r="D149" s="2" t="s">
        <v>2480</v>
      </c>
      <c r="E149" s="2" t="s">
        <v>2481</v>
      </c>
      <c r="F149" s="2"/>
      <c r="G149" s="2" t="s">
        <v>2482</v>
      </c>
      <c r="H149" s="2" t="n">
        <v>1</v>
      </c>
      <c r="I149" s="2" t="n">
        <v>57</v>
      </c>
      <c r="J149" s="2" t="s">
        <v>1154</v>
      </c>
      <c r="K149" s="2" t="s">
        <v>2479</v>
      </c>
    </row>
    <row r="150" customFormat="false" ht="35.05" hidden="false" customHeight="false" outlineLevel="0" collapsed="false">
      <c r="A150" s="2" t="s">
        <v>3280</v>
      </c>
      <c r="B150" s="2"/>
      <c r="C150" s="2" t="s">
        <v>2006</v>
      </c>
      <c r="D150" s="2" t="s">
        <v>2072</v>
      </c>
      <c r="E150" s="2" t="s">
        <v>2073</v>
      </c>
      <c r="F150" s="2" t="s">
        <v>2074</v>
      </c>
      <c r="G150" s="2" t="s">
        <v>2075</v>
      </c>
      <c r="H150" s="2" t="n">
        <v>1</v>
      </c>
      <c r="I150" s="2" t="n">
        <v>3</v>
      </c>
      <c r="J150" s="2" t="s">
        <v>88</v>
      </c>
      <c r="K150" s="2" t="s">
        <v>2071</v>
      </c>
    </row>
    <row r="151" customFormat="false" ht="23.85" hidden="false" customHeight="false" outlineLevel="0" collapsed="false">
      <c r="A151" s="2" t="s">
        <v>2305</v>
      </c>
      <c r="B151" s="2"/>
      <c r="C151" s="2" t="s">
        <v>2016</v>
      </c>
      <c r="D151" s="2" t="s">
        <v>2307</v>
      </c>
      <c r="E151" s="2"/>
      <c r="F151" s="2"/>
      <c r="G151" s="2"/>
      <c r="H151" s="2" t="n">
        <v>1</v>
      </c>
      <c r="I151" s="2" t="n">
        <v>31</v>
      </c>
      <c r="J151" s="2" t="s">
        <v>638</v>
      </c>
      <c r="K151" s="2" t="s">
        <v>2306</v>
      </c>
    </row>
    <row r="152" customFormat="false" ht="79.85" hidden="false" customHeight="false" outlineLevel="0" collapsed="false">
      <c r="A152" s="2" t="s">
        <v>3281</v>
      </c>
      <c r="B152" s="2"/>
      <c r="C152" s="2" t="s">
        <v>2006</v>
      </c>
      <c r="D152" s="2" t="s">
        <v>120</v>
      </c>
      <c r="E152" s="2"/>
      <c r="F152" s="2"/>
      <c r="G152" s="2"/>
      <c r="H152" s="2" t="n">
        <v>1</v>
      </c>
      <c r="I152" s="2" t="n">
        <v>4</v>
      </c>
      <c r="J152" s="2" t="s">
        <v>116</v>
      </c>
      <c r="K152" s="2" t="s">
        <v>2087</v>
      </c>
    </row>
    <row r="153" customFormat="false" ht="46.25" hidden="false" customHeight="false" outlineLevel="0" collapsed="false">
      <c r="A153" s="2" t="s">
        <v>2345</v>
      </c>
      <c r="B153" s="2" t="s">
        <v>2346</v>
      </c>
      <c r="C153" s="2" t="s">
        <v>2016</v>
      </c>
      <c r="D153" s="2" t="s">
        <v>2348</v>
      </c>
      <c r="E153" s="2" t="s">
        <v>2349</v>
      </c>
      <c r="F153" s="2"/>
      <c r="G153" s="2" t="s">
        <v>2350</v>
      </c>
      <c r="H153" s="2" t="n">
        <v>1</v>
      </c>
      <c r="I153" s="2" t="n">
        <v>39</v>
      </c>
      <c r="J153" s="2" t="s">
        <v>797</v>
      </c>
      <c r="K153" s="2" t="s">
        <v>2347</v>
      </c>
    </row>
    <row r="154" customFormat="false" ht="35.05" hidden="false" customHeight="false" outlineLevel="0" collapsed="false">
      <c r="A154" s="2" t="s">
        <v>2629</v>
      </c>
      <c r="B154" s="2"/>
      <c r="C154" s="2" t="s">
        <v>2016</v>
      </c>
      <c r="D154" s="2"/>
      <c r="E154" s="2"/>
      <c r="F154" s="2"/>
      <c r="G154" s="2"/>
      <c r="H154" s="2" t="n">
        <v>1</v>
      </c>
      <c r="I154" s="2" t="n">
        <v>94</v>
      </c>
      <c r="J154" s="2" t="s">
        <v>1854</v>
      </c>
      <c r="K154" s="2" t="s">
        <v>2630</v>
      </c>
    </row>
    <row r="155" customFormat="false" ht="46.25" hidden="false" customHeight="false" outlineLevel="0" collapsed="false">
      <c r="A155" s="2" t="s">
        <v>2311</v>
      </c>
      <c r="B155" s="2"/>
      <c r="C155" s="2" t="s">
        <v>2006</v>
      </c>
      <c r="D155" s="2" t="s">
        <v>2313</v>
      </c>
      <c r="E155" s="2"/>
      <c r="F155" s="2"/>
      <c r="G155" s="2" t="s">
        <v>2314</v>
      </c>
      <c r="H155" s="2" t="n">
        <v>1</v>
      </c>
      <c r="I155" s="2" t="n">
        <v>33</v>
      </c>
      <c r="J155" s="2" t="s">
        <v>675</v>
      </c>
      <c r="K155" s="2" t="s">
        <v>2312</v>
      </c>
    </row>
  </sheetData>
  <autoFilter ref="A1:K1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60"/>
  </cols>
  <sheetData>
    <row r="1" customFormat="false" ht="15" hidden="false" customHeight="false" outlineLevel="0" collapsed="false">
      <c r="A1" s="6" t="s">
        <v>3282</v>
      </c>
    </row>
    <row r="2" customFormat="false" ht="15" hidden="false" customHeight="false" outlineLevel="0" collapsed="false">
      <c r="A2" s="7" t="s">
        <v>3283</v>
      </c>
    </row>
    <row r="4" customFormat="false" ht="15" hidden="false" customHeight="false" outlineLevel="0" collapsed="false">
      <c r="A4" s="8" t="s">
        <v>3284</v>
      </c>
      <c r="B4" s="9" t="n">
        <f aca="false">COUNTA(Manufacturers!A2:A101)</f>
        <v>100</v>
      </c>
      <c r="C4" s="10"/>
    </row>
    <row r="5" customFormat="false" ht="15" hidden="false" customHeight="false" outlineLevel="0" collapsed="false">
      <c r="A5" s="8" t="s">
        <v>3285</v>
      </c>
      <c r="B5" s="9" t="n">
        <f aca="false">COUNTIF(Manufacturers!AC2:AC101,"subsidiary")</f>
        <v>9</v>
      </c>
      <c r="C5" s="10"/>
    </row>
    <row r="6" customFormat="false" ht="15" hidden="false" customHeight="false" outlineLevel="0" collapsed="false">
      <c r="A6" s="8" t="s">
        <v>3286</v>
      </c>
      <c r="B6" s="9" t="n">
        <f aca="false">COUNTIF(Manufacturers!AC2:AC101,"distributor")</f>
        <v>80</v>
      </c>
      <c r="C6" s="10"/>
    </row>
    <row r="7" customFormat="false" ht="15" hidden="false" customHeight="false" outlineLevel="0" collapsed="false">
      <c r="A7" s="8" t="s">
        <v>3287</v>
      </c>
      <c r="B7" s="9" t="n">
        <f aca="false">COUNTIF(Manufacturers!AC2:AC101,"parent_subsidiary")</f>
        <v>2</v>
      </c>
      <c r="C7" s="10"/>
    </row>
    <row r="8" customFormat="false" ht="15" hidden="false" customHeight="false" outlineLevel="0" collapsed="false">
      <c r="A8" s="8" t="s">
        <v>3288</v>
      </c>
      <c r="B8" s="9" t="n">
        <f aca="false">COUNTIF(Manufacturers!AC2:AC101,"none_found")</f>
        <v>6</v>
      </c>
      <c r="C8" s="10"/>
    </row>
    <row r="9" customFormat="false" ht="15" hidden="false" customHeight="false" outlineLevel="0" collapsed="false">
      <c r="A9" s="8" t="s">
        <v>3289</v>
      </c>
      <c r="B9" s="9" t="n">
        <f aca="false">COUNTIF(Manufacturers!AC2:AC101,"unclear")</f>
        <v>3</v>
      </c>
      <c r="C9" s="10"/>
    </row>
    <row r="10" customFormat="false" ht="15" hidden="false" customHeight="false" outlineLevel="0" collapsed="false">
      <c r="A10" s="8" t="s">
        <v>3290</v>
      </c>
      <c r="B10" s="9" t="n">
        <f aca="false">COUNTIF(Manufacturers!AC2:AC101,"pending")</f>
        <v>0</v>
      </c>
      <c r="C10" s="10"/>
    </row>
    <row r="11" customFormat="false" ht="15" hidden="false" customHeight="false" outlineLevel="0" collapsed="false">
      <c r="A11" s="8" t="s">
        <v>3291</v>
      </c>
      <c r="B11" s="9" t="n">
        <f aca="false">COUNTIF(Manufacturers!AE2:AE101,"verified")</f>
        <v>77</v>
      </c>
      <c r="C11" s="10"/>
    </row>
    <row r="12" customFormat="false" ht="15" hidden="false" customHeight="false" outlineLevel="0" collapsed="false">
      <c r="A12" s="8" t="s">
        <v>3292</v>
      </c>
      <c r="B12" s="9" t="n">
        <f aca="false">COUNTIF(Manufacturers!AE2:AE101,"partial")</f>
        <v>23</v>
      </c>
      <c r="C12" s="10"/>
    </row>
    <row r="13" customFormat="false" ht="15" hidden="false" customHeight="false" outlineLevel="0" collapsed="false">
      <c r="A13" s="8" t="s">
        <v>3293</v>
      </c>
      <c r="B13" s="9" t="n">
        <f aca="false">COUNTIF(Manufacturers!AE2:AE101,"unverified")</f>
        <v>0</v>
      </c>
      <c r="C13" s="10"/>
    </row>
    <row r="14" customFormat="false" ht="15" hidden="false" customHeight="false" outlineLevel="0" collapsed="false">
      <c r="A14" s="8" t="s">
        <v>3294</v>
      </c>
      <c r="B14" s="9" t="n">
        <f aca="false">COUNTIF(Manufacturers!AE2:AE101,"pending")</f>
        <v>0</v>
      </c>
      <c r="C14" s="10"/>
    </row>
    <row r="15" customFormat="false" ht="15" hidden="false" customHeight="false" outlineLevel="0" collapsed="false">
      <c r="A15" s="8" t="s">
        <v>3295</v>
      </c>
      <c r="B15" s="9" t="n">
        <f aca="false">COUNTIF(Manufacturers!AC2:AC101,"subsidiary")+COUNTIF(Manufacturers!AC2:AC101,"distributor")+COUNTIF(Manufacturers!AC2:AC101,"parent_subsidiary")</f>
        <v>91</v>
      </c>
      <c r="C15" s="10"/>
    </row>
    <row r="16" customFormat="false" ht="15" hidden="false" customHeight="false" outlineLevel="0" collapsed="false">
      <c r="A16" s="8" t="s">
        <v>3296</v>
      </c>
      <c r="B16" s="9" t="n">
        <f aca="false">SUM(Manufacturers!K2:K101)</f>
        <v>1015038</v>
      </c>
      <c r="C16" s="10" t="s">
        <v>3297</v>
      </c>
    </row>
    <row r="17" customFormat="false" ht="15" hidden="false" customHeight="false" outlineLevel="0" collapsed="false">
      <c r="A17" s="8" t="s">
        <v>3298</v>
      </c>
      <c r="B17" s="9" t="n">
        <f aca="false">MEDIAN(Manufacturers!K2:K101)</f>
        <v>2100</v>
      </c>
      <c r="C17" s="10"/>
    </row>
    <row r="18" customFormat="false" ht="15" hidden="false" customHeight="false" outlineLevel="0" collapsed="false">
      <c r="A18" s="8" t="s">
        <v>3299</v>
      </c>
      <c r="B18" s="9" t="n">
        <f aca="false">SUM(Manufacturers!P2:P101)</f>
        <v>249113.6</v>
      </c>
      <c r="C18" s="10" t="s">
        <v>3300</v>
      </c>
    </row>
    <row r="19" customFormat="false" ht="15" hidden="false" customHeight="false" outlineLevel="0" collapsed="false">
      <c r="A19" s="8" t="s">
        <v>3301</v>
      </c>
      <c r="B19" s="9" t="n">
        <f aca="false">MEDIAN(Manufacturers!P2:P101)</f>
        <v>641.5</v>
      </c>
      <c r="C19" s="10"/>
    </row>
    <row r="20" customFormat="false" ht="15" hidden="false" customHeight="false" outlineLevel="0" collapsed="false">
      <c r="A20" s="8" t="s">
        <v>3302</v>
      </c>
      <c r="B20" s="9" t="n">
        <f aca="false">COUNTIF(Manufacturers!AK2:AK101,"high")</f>
        <v>22</v>
      </c>
      <c r="C20" s="10"/>
    </row>
    <row r="21" customFormat="false" ht="15" hidden="false" customHeight="false" outlineLevel="0" collapsed="false">
      <c r="A21" s="8" t="s">
        <v>3303</v>
      </c>
      <c r="B21" s="9" t="n">
        <f aca="false">COUNTIF(Manufacturers!AK2:AK101,"medium")</f>
        <v>65</v>
      </c>
      <c r="C21" s="10"/>
    </row>
    <row r="22" customFormat="false" ht="15" hidden="false" customHeight="false" outlineLevel="0" collapsed="false">
      <c r="A22" s="8" t="s">
        <v>3304</v>
      </c>
      <c r="B22" s="9" t="n">
        <f aca="false">COUNTIF(Manufacturers!AK2:AK101,"low")</f>
        <v>13</v>
      </c>
      <c r="C22" s="10"/>
    </row>
    <row r="24" customFormat="false" ht="15" hidden="false" customHeight="false" outlineLevel="0" collapsed="false">
      <c r="A24" s="8" t="s">
        <v>3305</v>
      </c>
    </row>
    <row r="25" customFormat="false" ht="15" hidden="false" customHeight="false" outlineLevel="0" collapsed="false">
      <c r="A25" s="7" t="s">
        <v>3306</v>
      </c>
    </row>
    <row r="26" customFormat="false" ht="15" hidden="false" customHeight="false" outlineLevel="0" collapsed="false">
      <c r="A26" s="7" t="s">
        <v>3307</v>
      </c>
    </row>
    <row r="27" customFormat="false" ht="15" hidden="false" customHeight="false" outlineLevel="0" collapsed="false">
      <c r="A27" s="7" t="s">
        <v>3308</v>
      </c>
    </row>
    <row r="28" customFormat="false" ht="15" hidden="false" customHeight="false" outlineLevel="0" collapsed="false">
      <c r="A28" s="7" t="s">
        <v>3309</v>
      </c>
    </row>
    <row r="29" customFormat="false" ht="15" hidden="false" customHeight="false" outlineLevel="0" collapsed="false">
      <c r="A29" s="7" t="s">
        <v>3310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2026-10-15T13:04:17Z</dcterms:created>
  <dc:creator>openpyxl</dc:creator>
  <dc:description/>
  <dc:language>en-US</dc:language>
  <cp:lastModifiedBy/>
  <dcterms:modified xsi:type="dcterms:W3CDTF">2026-10-15T13:04:17Z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