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nufacturers" sheetId="1" state="visible" r:id="rId1"/>
    <sheet xmlns:r="http://schemas.openxmlformats.org/officeDocument/2006/relationships" name="Israel entities" sheetId="2" state="visible" r:id="rId2"/>
    <sheet xmlns:r="http://schemas.openxmlformats.org/officeDocument/2006/relationships" name="Products" sheetId="3" state="visible" r:id="rId3"/>
    <sheet xmlns:r="http://schemas.openxmlformats.org/officeDocument/2006/relationships" name="By Israeli entity" sheetId="4" state="visible" r:id="rId4"/>
    <sheet xmlns:r="http://schemas.openxmlformats.org/officeDocument/2006/relationships" name="Summary" sheetId="5" state="visible" r:id="rId5"/>
  </sheets>
  <definedNames>
    <definedName name="_xlnm._FilterDatabase" localSheetId="0" hidden="1">'Manufacturers'!$A$1:$AF$101</definedName>
    <definedName name="_xlnm._FilterDatabase" localSheetId="1" hidden="1">'Israel entities'!$A$1:$I$130</definedName>
    <definedName name="_xlnm._FilterDatabase" localSheetId="2" hidden="1">'Products'!$A$1:$E$301</definedName>
    <definedName name="_xlnm._FilterDatabase" localSheetId="3" hidden="1">'By Israeli entity'!$A$1:$H$89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b val="1"/>
      <sz val="12"/>
    </font>
    <font>
      <name val="Arial"/>
      <b val="1"/>
      <sz val="10"/>
    </font>
    <font>
      <name val="Arial"/>
      <i val="1"/>
      <sz val="9"/>
    </font>
  </fonts>
  <fills count="3">
    <fill>
      <patternFill/>
    </fill>
    <fill>
      <patternFill patternType="gray125"/>
    </fill>
    <fill>
      <patternFill patternType="solid">
        <fgColor rgb="000B7285"/>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3" fontId="2" fillId="0" borderId="0" applyAlignment="1" pivotButton="0" quotePrefix="0" xfId="0">
      <alignment vertical="top"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3" fontId="2" fillId="0"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101"/>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30" customWidth="1" min="3" max="3"/>
    <col width="18" customWidth="1" min="4" max="4"/>
    <col width="12" customWidth="1" min="5" max="5"/>
    <col width="18" customWidth="1" min="6" max="6"/>
    <col width="24" customWidth="1" min="7" max="7"/>
    <col width="9" customWidth="1" min="8" max="8"/>
    <col width="28" customWidth="1" min="9" max="9"/>
    <col width="30" customWidth="1" min="10" max="10"/>
    <col width="11" customWidth="1" min="11" max="11"/>
    <col width="9" customWidth="1" min="12" max="12"/>
    <col width="10" customWidth="1" min="13" max="13"/>
    <col width="32" customWidth="1" min="14" max="14"/>
    <col width="20" customWidth="1" min="15" max="15"/>
    <col width="12" customWidth="1" min="16" max="16"/>
    <col width="12" customWidth="1" min="17" max="17"/>
    <col width="11" customWidth="1" min="18" max="18"/>
    <col width="32" customWidth="1" min="19" max="19"/>
    <col width="10" customWidth="1" min="20" max="20"/>
    <col width="36" customWidth="1" min="21" max="21"/>
    <col width="36" customWidth="1" min="22" max="22"/>
    <col width="36" customWidth="1" min="23" max="23"/>
    <col width="16" customWidth="1" min="24" max="24"/>
    <col width="26" customWidth="1" min="25" max="25"/>
    <col width="11" customWidth="1" min="26" max="26"/>
    <col width="24" customWidth="1" min="27" max="27"/>
    <col width="48" customWidth="1" min="28" max="28"/>
    <col width="50" customWidth="1" min="29" max="29"/>
    <col width="10" customWidth="1" min="30" max="30"/>
    <col width="32" customWidth="1" min="31" max="31"/>
    <col width="60" customWidth="1" min="32" max="32"/>
  </cols>
  <sheetData>
    <row r="1" ht="32" customHeight="1">
      <c r="A1" s="1" t="inlineStr">
        <is>
          <t>#</t>
        </is>
      </c>
      <c r="B1" s="1" t="inlineStr">
        <is>
          <t>יצרן / Manufacturer</t>
        </is>
      </c>
      <c r="C1" s="1" t="inlineStr">
        <is>
          <t>מותגים / Brands</t>
        </is>
      </c>
      <c r="D1" s="1" t="inlineStr">
        <is>
          <t>עיר / HQ city</t>
        </is>
      </c>
      <c r="E1" s="1" t="inlineStr">
        <is>
          <t>מדינה / Country</t>
        </is>
      </c>
      <c r="F1" s="1" t="inlineStr">
        <is>
          <t>חברת-אם / Parent</t>
        </is>
      </c>
      <c r="G1" s="1" t="inlineStr">
        <is>
          <t>בעלות / Ownership</t>
        </is>
      </c>
      <c r="H1" s="1" t="inlineStr">
        <is>
          <t>שנת ייסוד / Founded</t>
        </is>
      </c>
      <c r="I1" s="1" t="inlineStr">
        <is>
          <t>אתר / Website</t>
        </is>
      </c>
      <c r="J1" s="1" t="inlineStr">
        <is>
          <t>קטגוריה / Category</t>
        </is>
      </c>
      <c r="K1" s="1" t="inlineStr">
        <is>
          <t>עובדים / Employees</t>
        </is>
      </c>
      <c r="L1" s="1" t="inlineStr">
        <is>
          <t>שנת נתון עובדים / Employees year</t>
        </is>
      </c>
      <c r="M1" s="1" t="inlineStr">
        <is>
          <t>היקף נתון העובדים / Employees scope</t>
        </is>
      </c>
      <c r="N1" s="1" t="inlineStr">
        <is>
          <t>הערת עובדים / Employees note</t>
        </is>
      </c>
      <c r="O1" s="1" t="inlineStr">
        <is>
          <t>הכנסות (מטבע מקורי) / Revenue</t>
        </is>
      </c>
      <c r="P1" s="1" t="inlineStr">
        <is>
          <t>הכנסות מיליוני $ / Revenue USD M</t>
        </is>
      </c>
      <c r="Q1" s="1" t="inlineStr">
        <is>
          <t>שנת כספים / Fiscal year</t>
        </is>
      </c>
      <c r="R1" s="1" t="inlineStr">
        <is>
          <t>היקף ההכנסות / Revenue scope</t>
        </is>
      </c>
      <c r="S1" s="1" t="inlineStr">
        <is>
          <t>הערת הכנסות / Revenue note</t>
        </is>
      </c>
      <c r="T1" s="1" t="inlineStr">
        <is>
          <t>בסיס הנתונים / Size basis</t>
        </is>
      </c>
      <c r="U1" s="1" t="inlineStr">
        <is>
          <t>מוצר מוביל 1 / Top product 1</t>
        </is>
      </c>
      <c r="V1" s="1" t="inlineStr">
        <is>
          <t>מוצר מוביל 2 / Top product 2</t>
        </is>
      </c>
      <c r="W1" s="1" t="inlineStr">
        <is>
          <t>מוצר מוביל 3 / Top product 3</t>
        </is>
      </c>
      <c r="X1" s="1" t="inlineStr">
        <is>
          <t>ייצוג בישראל / Israel presence</t>
        </is>
      </c>
      <c r="Y1" s="1" t="inlineStr">
        <is>
          <t>ייצוג בישראל (עברית)</t>
        </is>
      </c>
      <c r="Z1" s="1" t="inlineStr">
        <is>
          <t>סטטוס אימות / Verification</t>
        </is>
      </c>
      <c r="AA1" s="1" t="inlineStr">
        <is>
          <t>סטטוס אימות (עברית)</t>
        </is>
      </c>
      <c r="AB1" s="1" t="inlineStr">
        <is>
          <t>נציגים / מפיצים בישראל / Israeli entities</t>
        </is>
      </c>
      <c r="AC1" s="1" t="inlineStr">
        <is>
          <t>הערת ישראל / Israel note</t>
        </is>
      </c>
      <c r="AD1" s="1" t="inlineStr">
        <is>
          <t>רמת ודאות / Confidence</t>
        </is>
      </c>
      <c r="AE1" s="1" t="inlineStr">
        <is>
          <t>הערת ודאות / Confidence note</t>
        </is>
      </c>
      <c r="AF1" s="1" t="inlineStr">
        <is>
          <t>מקורות / Sources</t>
        </is>
      </c>
    </row>
    <row r="2">
      <c r="A2" s="2" t="n">
        <v>1</v>
      </c>
      <c r="B2" s="2" t="inlineStr">
        <is>
          <t>Thermo Fisher Scientific</t>
        </is>
      </c>
      <c r="C2" s="2" t="inlineStr">
        <is>
          <t>Thermo Scientific, Fisher Scientific, Invitrogen, Applied Biosystems, Gibco, Patheon, PPD, Phadia, Oxoid, Olink</t>
        </is>
      </c>
      <c r="D2" s="2" t="inlineStr">
        <is>
          <t>Waltham, Massachusetts</t>
        </is>
      </c>
      <c r="E2" s="2" t="inlineStr">
        <is>
          <t>USA</t>
        </is>
      </c>
      <c r="F2" s="2" t="inlineStr"/>
      <c r="G2" s="2" t="inlineStr">
        <is>
          <t>Public (NYSE: TMO)</t>
        </is>
      </c>
      <c r="H2" s="2" t="n">
        <v>1956</v>
      </c>
      <c r="I2" s="2" t="inlineStr">
        <is>
          <t>https://www.thermofisher.com</t>
        </is>
      </c>
      <c r="J2" s="2" t="inlineStr">
        <is>
          <t>Diversified analytical &amp; life-science instruments</t>
        </is>
      </c>
      <c r="K2" s="3" t="n">
        <v>125000</v>
      </c>
      <c r="L2" s="2" t="n">
        <v>2025</v>
      </c>
      <c r="M2" s="2" t="inlineStr">
        <is>
          <t>company</t>
        </is>
      </c>
      <c r="N2" s="2" t="inlineStr">
        <is>
          <t>FY2025 Form 10-K: 'As of December 31, 2025, we employed approximately 125,000 colleagues globally' (~59,000 Americas, ~44,000 EMEA, ~22,000 Asia-Pacific).</t>
        </is>
      </c>
      <c r="O2" s="2" t="inlineStr">
        <is>
          <t>USD 44.56 billion</t>
        </is>
      </c>
      <c r="P2" s="3" t="n">
        <v>44560</v>
      </c>
      <c r="Q2" s="2" t="inlineStr">
        <is>
          <t>FY2025</t>
        </is>
      </c>
      <c r="R2" s="2" t="inlineStr">
        <is>
          <t>company</t>
        </is>
      </c>
      <c r="S2" s="2" t="inlineStr">
        <is>
          <t>FY2025 revenue USD 44.56 billion (+3.9% vs 2024) per StockAnalysis / AmericanCompanies summaries of the SEC 10-K; the 10-K itself (sec.gov link in sources) could not be opened in-session.</t>
        </is>
      </c>
      <c r="T2" s="2" t="inlineStr">
        <is>
          <t>reported</t>
        </is>
      </c>
      <c r="U2" s="2" t="inlineStr">
        <is>
          <t>Thermo Scientific Orbitrap Astral — high-resolution Orbitrap LC-MS mass spectrometer</t>
        </is>
      </c>
      <c r="V2" s="2" t="inlineStr">
        <is>
          <t>Applied Biosystems QuantStudio — real-time PCR (qPCR/dPCR) instrument family</t>
        </is>
      </c>
      <c r="W2" s="2" t="inlineStr">
        <is>
          <t>Thermo Scientific Krios cryo-TEM — cryo-electron microscope for structural biology</t>
        </is>
      </c>
      <c r="X2" s="2" t="inlineStr">
        <is>
          <t>subsidiary</t>
        </is>
      </c>
      <c r="Y2" s="2" t="inlineStr">
        <is>
          <t>חברה-בת / משרד של היצרן בישראל</t>
        </is>
      </c>
      <c r="Z2" s="2" t="inlineStr">
        <is>
          <t>verified</t>
        </is>
      </c>
      <c r="AA2" s="2" t="inlineStr">
        <is>
          <t>אומת ממקור</t>
        </is>
      </c>
      <c r="AB2" s="2" t="inlineStr">
        <is>
          <t>Thermo Fisher Integrated Solutions Israel Ltd. (תרמו פישר ישראל (רעננה)) [חברה-בת; direct life-science sales &amp; field service organisation being built out 2025-26] | Thermo Fisher Scientific Israel Ltd. (Kiryat Shmona) (תרמו פישר קריית שמונה) [חברה-בת; manufacturing / engineering site (ISO 9001/13485); not a sales channel] | Rhenium Ltd. (רניום) [מפיץ; Invitrogen / Applied Biosystems / Gibco (Life Technologies brands; evidence from 2011 – verify current scope)] | Gamidor Diagnostics (1984) Ltd. (גמידור דיאגנוסטיקה) [מפיץ; Thermo Scientific microbiology / diagnostics (non-exclusive distributor letter, Mar 2025–Mar 2026)] | Bargal Analytical Instruments Ltd. (ברגל) [מפיץ; chromatography &amp; mass spectrometry (2018-19 evidence – verify current scope)] | Danyel Biotech Ltd. (דניאל ביוטק) [מפיץ; Olink proteomics (a Thermo Fisher business)] | Thermo Fisher Scientific – EM service location, Airport City [שירות; electron-microscopy service &amp; support]</t>
        </is>
      </c>
      <c r="AC2" s="2" t="inlineStr">
        <is>
          <t>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D2" s="2" t="inlineStr">
        <is>
          <t>medium</t>
        </is>
      </c>
      <c r="AE2" s="2" t="inlineStr">
        <is>
          <t>Size: official 10-K figures (high). Israel: own-subsidiary evidence rests on Thermo Fisher-hosted ISO certificates, a Thermo Fisher service-locations page and multiple Thermo Fisher job postings; distributor evidence is partly stale (Rhenium 2011, Bargal 2018-19) or scope-ambiguous (Gamidor 2025-26 tender letter). Manufacturer/distributor pages could not be opened to confirm.</t>
        </is>
      </c>
      <c r="AF2" s="2" t="inlineStr">
        <is>
          <t>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t>
        </is>
      </c>
    </row>
    <row r="3">
      <c r="A3" s="2" t="n">
        <v>2</v>
      </c>
      <c r="B3" s="2" t="inlineStr">
        <is>
          <t>Agilent Technologies</t>
        </is>
      </c>
      <c r="C3" s="2" t="inlineStr">
        <is>
          <t>Agilent, BioTek, Dako, Agilent CrossLab</t>
        </is>
      </c>
      <c r="D3" s="2" t="inlineStr">
        <is>
          <t>Santa Clara, California</t>
        </is>
      </c>
      <c r="E3" s="2" t="inlineStr">
        <is>
          <t>USA</t>
        </is>
      </c>
      <c r="F3" s="2" t="inlineStr"/>
      <c r="G3" s="2" t="inlineStr">
        <is>
          <t>Public (NYSE: A)</t>
        </is>
      </c>
      <c r="H3" s="2" t="n">
        <v>1999</v>
      </c>
      <c r="I3" s="2" t="inlineStr">
        <is>
          <t>https://www.agilent.com</t>
        </is>
      </c>
      <c r="J3" s="2" t="inlineStr">
        <is>
          <t>Diversified analytical &amp; life-science instruments</t>
        </is>
      </c>
      <c r="K3" s="3" t="n">
        <v>18000</v>
      </c>
      <c r="L3" s="2" t="n">
        <v>2024</v>
      </c>
      <c r="M3" s="2" t="inlineStr">
        <is>
          <t>company</t>
        </is>
      </c>
      <c r="N3" s="2" t="inlineStr">
        <is>
          <t>Figure from model knowledge of the company's published report; could not be re-verified against a source in this session (search budget exhausted, network blocked). FY2024 Form 10-K: approximately 18,000 employees (FY2025 10-K figure not checked).</t>
        </is>
      </c>
      <c r="O3" s="2" t="inlineStr">
        <is>
          <t>USD 6.51 billion</t>
        </is>
      </c>
      <c r="P3" s="3" t="n">
        <v>6510</v>
      </c>
      <c r="Q3" s="2" t="inlineStr">
        <is>
          <t>FY2024 (ended 31 Oct 2024)</t>
        </is>
      </c>
      <c r="R3" s="2" t="inlineStr">
        <is>
          <t>company</t>
        </is>
      </c>
      <c r="S3" s="2" t="inlineStr">
        <is>
          <t>Figure from model knowledge of the company's published report; could not be re-verified against a source in this session (search budget exhausted, network blocked). FY2025 (ended 31 Oct 2025) revenue was reported around USD 6.9-7.0 billion but is not verified here.</t>
        </is>
      </c>
      <c r="T3" s="2" t="inlineStr">
        <is>
          <t>reported</t>
        </is>
      </c>
      <c r="U3" s="2" t="inlineStr">
        <is>
          <t>Agilent 1290 Infinity III LC — flagship UHPLC liquid chromatography system</t>
        </is>
      </c>
      <c r="V3" s="2" t="inlineStr">
        <is>
          <t>Agilent 8890 GC / 7010 Triple Quad GC/MS — gas chromatograph and GC-MS/MS systems</t>
        </is>
      </c>
      <c r="W3" s="2" t="inlineStr">
        <is>
          <t>Agilent BioTek Cytation — cell imaging multimode microplate reader</t>
        </is>
      </c>
      <c r="X3" s="2" t="inlineStr">
        <is>
          <t>distributor</t>
        </is>
      </c>
      <c r="Y3" s="2" t="inlineStr">
        <is>
          <t>מפיץ / נציג ישראלי</t>
        </is>
      </c>
      <c r="Z3" s="2" t="inlineStr">
        <is>
          <t>verified</t>
        </is>
      </c>
      <c r="AA3" s="2" t="inlineStr">
        <is>
          <t>אומת ממקור</t>
        </is>
      </c>
      <c r="AB3" s="2" t="inlineStr">
        <is>
          <t>Eldan Electronic Instruments Ltd. (Neopharm group) (אלדן) [מפיץ; Agilent authorised distributor for Israel (chromatography, spectroscopy, mass spectrometry, lab products)]</t>
        </is>
      </c>
      <c r="AC3" s="2" t="inlineStr">
        <is>
          <t>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D3" s="2" t="inlineStr">
        <is>
          <t>medium</t>
        </is>
      </c>
      <c r="AE3" s="2" t="inlineStr">
        <is>
          <t>Israel: one official-source entity supplied by the brief, not re-verified and not checked for completeness. Low: identity/products from model knowledge; size figures recalled from published reports but not verified in-session; Israeli presence not researched (search budget exhausted, WebFetch/curl blocked). Needs a follow-up research run.</t>
        </is>
      </c>
      <c r="AF3" s="2" t="inlineStr">
        <is>
          <t>https://www.agilent.com/en/contact-us/israel</t>
        </is>
      </c>
    </row>
    <row r="4">
      <c r="A4" s="2" t="n">
        <v>3</v>
      </c>
      <c r="B4" s="2" t="inlineStr">
        <is>
          <t>Merck KGaA – Life Science (MilliporeSigma / Sigma-Aldrich / Merck Millipore)</t>
        </is>
      </c>
      <c r="C4" s="2" t="inlineStr">
        <is>
          <t>MilliporeSigma (USA/Canada), Sigma-Aldrich, Merck Millipore, Millipore, EMD Millipore, SAFC, Supelco, BioReliance</t>
        </is>
      </c>
      <c r="D4" s="2" t="inlineStr">
        <is>
          <t>Darmstadt</t>
        </is>
      </c>
      <c r="E4" s="2" t="inlineStr">
        <is>
          <t>Germany</t>
        </is>
      </c>
      <c r="F4" s="2" t="inlineStr">
        <is>
          <t>Merck KGaA</t>
        </is>
      </c>
      <c r="G4" s="2" t="inlineStr">
        <is>
          <t>Subsidiary/business sector of Merck KGaA (public, FWB: MRK; majority held by the Merck family via E. Merck KG)</t>
        </is>
      </c>
      <c r="H4" s="2" t="n">
        <v>1668</v>
      </c>
      <c r="I4" s="2" t="inlineStr">
        <is>
          <t>https://www.sigmaaldrich.com</t>
        </is>
      </c>
      <c r="J4" s="2" t="inlineStr">
        <is>
          <t>Life-science instruments &amp; reagents</t>
        </is>
      </c>
      <c r="K4" s="3" t="n">
        <v>62000</v>
      </c>
      <c r="L4" s="2" t="n">
        <v>2024</v>
      </c>
      <c r="M4" s="2" t="inlineStr">
        <is>
          <t>parent</t>
        </is>
      </c>
      <c r="N4" s="2" t="inlineStr">
        <is>
          <t>Merck KGaA group headcount (~62,000); the Life Science business sector employs roughly 28,000 (recalled, unverified).</t>
        </is>
      </c>
      <c r="O4" s="2" t="inlineStr">
        <is>
          <t>EUR 9.26 billion</t>
        </is>
      </c>
      <c r="P4" s="3" t="n">
        <v>10188</v>
      </c>
      <c r="Q4" s="2" t="inlineStr">
        <is>
          <t>FY2024</t>
        </is>
      </c>
      <c r="R4" s="2" t="inlineStr">
        <is>
          <t>segment</t>
        </is>
      </c>
      <c r="S4" s="2" t="inlineStr">
        <is>
          <t>Figure from model knowledge of the company's published report; could not be re-verified against a source in this session (search budget exhausted, network blocked). Life Science sector net sales ~EUR 9,262 million in 2024 (group net sales ~EUR 21.2 billion). FY2025 figures not verified. Converted at EUR 1.10.</t>
        </is>
      </c>
      <c r="T4" s="2" t="inlineStr">
        <is>
          <t>reported</t>
        </is>
      </c>
      <c r="U4" s="2" t="inlineStr">
        <is>
          <t>Milli-Q — laboratory ultrapure / pure water purification systems</t>
        </is>
      </c>
      <c r="V4" s="2" t="inlineStr">
        <is>
          <t>Millipore filtration (Millex, Stericup, Mobius) — lab filtration and single-use bioprocess products</t>
        </is>
      </c>
      <c r="W4" s="2" t="inlineStr">
        <is>
          <t>Sigma-Aldrich research chemicals — reagents, biochemicals and analytical standards</t>
        </is>
      </c>
      <c r="X4" s="2" t="inlineStr">
        <is>
          <t>subsidiary</t>
        </is>
      </c>
      <c r="Y4" s="2" t="inlineStr">
        <is>
          <t>חברה-בת / משרד של היצרן בישראל</t>
        </is>
      </c>
      <c r="Z4" s="2" t="inlineStr">
        <is>
          <t>verified</t>
        </is>
      </c>
      <c r="AA4" s="2" t="inlineStr">
        <is>
          <t>אומת ממקור</t>
        </is>
      </c>
      <c r="AB4" s="2" t="inlineStr">
        <is>
          <t>Sigma-Aldrich Israel Ltd. (affiliate of Merck KGaA, Darmstadt) [חברה-בת; Merck's own Israeli entity: sales/customer contact for Israel and production sites in Rehovot (antibodies, primers, peptides; 3 Plaut St.) and Jerusalem (Har Hotzvim)] | Mercury Scientific &amp; Industrial Products Ltd. (Gadot group) (מרקורי מוצרי מדע ותעשייה (גדות מרקורי)) [מפיץ; self-described exclusive Israeli representative for Merck Milli-Q lab-water systems (sales + certified service since 2012) and distributor of Merck KGaA life-science and chemicals divisions (Millipore filtration, MQuant etc.)]</t>
        </is>
      </c>
      <c r="AC4" s="2" t="inlineStr">
        <is>
          <t>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D4" s="2" t="inlineStr">
        <is>
          <t>high</t>
        </is>
      </c>
      <c r="AE4" s="2" t="inlineStr">
        <is>
          <t>Subsidiary confirmed on the manufacturer's own contact page and certificates; Milli-Q distributor role is the distributor's own statement.</t>
        </is>
      </c>
      <c r="AF4" s="2" t="inlineStr">
        <is>
          <t>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t>
        </is>
      </c>
    </row>
    <row r="5">
      <c r="A5" s="2" t="n">
        <v>4</v>
      </c>
      <c r="B5" s="2" t="inlineStr">
        <is>
          <t>Waters Corporation</t>
        </is>
      </c>
      <c r="C5" s="2" t="inlineStr">
        <is>
          <t>TA Instruments, Wyatt Technology, Waters Biosciences (ex-BD Biosciences), Waters Advanced Diagnostics (ex-BD Diagnostic Solutions)</t>
        </is>
      </c>
      <c r="D5" s="2" t="inlineStr">
        <is>
          <t>Milford, Massachusetts</t>
        </is>
      </c>
      <c r="E5" s="2" t="inlineStr">
        <is>
          <t>USA</t>
        </is>
      </c>
      <c r="F5" s="2" t="inlineStr"/>
      <c r="G5" s="2" t="inlineStr">
        <is>
          <t>Public (NYSE: WAT)</t>
        </is>
      </c>
      <c r="H5" s="2" t="n">
        <v>1958</v>
      </c>
      <c r="I5" s="2" t="inlineStr">
        <is>
          <t>https://www.waters.com</t>
        </is>
      </c>
      <c r="J5" s="2" t="inlineStr">
        <is>
          <t>Analytical instruments (chromatography / mass spectrometry / spectroscopy)</t>
        </is>
      </c>
      <c r="K5" s="3" t="n">
        <v>7800</v>
      </c>
      <c r="L5" s="2" t="n">
        <v>2024</v>
      </c>
      <c r="M5" s="2" t="inlineStr">
        <is>
          <t>company</t>
        </is>
      </c>
      <c r="N5" s="2" t="inlineStr">
        <is>
          <t>Figure from model knowledge of the company's published report; could not be re-verified against a source in this session (search budget exhausted, network blocked). Stand-alone Waters, ~7,800 employees (2024 10-K). The combination with BD's Biosciences &amp; Diagnostic Solutions business (announced 14 Jul 2025, Reverse Morris Trust, ~USD 17.5 billion; expected to close around end of Q1 calendar 2026) roughly doubles headcount (~16,000) and revenue (~USD 6.5 billion pro forma) - closing status and combined figures NOT verified in this session.</t>
        </is>
      </c>
      <c r="O5" s="2" t="inlineStr">
        <is>
          <t>USD 2.96 billion</t>
        </is>
      </c>
      <c r="P5" s="3" t="n">
        <v>2958</v>
      </c>
      <c r="Q5" s="2" t="inlineStr">
        <is>
          <t>FY2024</t>
        </is>
      </c>
      <c r="R5" s="2" t="inlineStr">
        <is>
          <t>company</t>
        </is>
      </c>
      <c r="S5" s="2" t="inlineStr">
        <is>
          <t>FY2024 stand-alone figure. On 9 Feb 2026 Waters completed the Reverse Morris Trust combination with BD's Biosciences &amp; Diagnostic Solutions businesses; the combined company has pro-forma revenue of roughly USD 6.5 billion and ~16,000 employees (deal announcement, not re-verified).</t>
        </is>
      </c>
      <c r="T5" s="2" t="inlineStr">
        <is>
          <t>reported</t>
        </is>
      </c>
      <c r="U5" s="2" t="inlineStr">
        <is>
          <t>ACQUITY Premier UPLC — ultra-performance liquid chromatography systems</t>
        </is>
      </c>
      <c r="V5" s="2" t="inlineStr">
        <is>
          <t>Xevo TQ Absolute — tandem quadrupole LC-MS/MS mass spectrometer</t>
        </is>
      </c>
      <c r="W5" s="2" t="inlineStr">
        <is>
          <t>Empower CDS — chromatography data system software</t>
        </is>
      </c>
      <c r="X5" s="2" t="inlineStr">
        <is>
          <t>subsidiary</t>
        </is>
      </c>
      <c r="Y5" s="2" t="inlineStr">
        <is>
          <t>חברה-בת / משרד של היצרן בישראל</t>
        </is>
      </c>
      <c r="Z5" s="2" t="inlineStr">
        <is>
          <t>partial</t>
        </is>
      </c>
      <c r="AA5" s="2" t="inlineStr">
        <is>
          <t>חיפוש חלקי (ללא פתיחת אתרי היצרן/המפיץ)</t>
        </is>
      </c>
      <c r="AB5" s="2" t="inlineStr">
        <is>
          <t>Waters (TC) Israel Ltd. [חברה-בת; Israeli legal entity listed in Waters' 10-K subsidiaries exhibit; sales/service scope not established]</t>
        </is>
      </c>
      <c r="AC5" s="2" t="inlineStr">
        <is>
          <t>חיפוש רשת בלבד; דפי ״מפיצים״ של היצרן ואתרי המפיצים לא נפתחו (חסימת רשת). Waters' 10-K Exhibit 21.1 lists an Israeli subsidiary, Waters (TC) Israel Ltd. (seen in a search excerpt; the page itself could not be opened). Whether LC/MS instruments are sold direct or through an Israeli distributor was not established – to verify in the next round.</t>
        </is>
      </c>
      <c r="AD5" s="2" t="inlineStr">
        <is>
          <t>low</t>
        </is>
      </c>
      <c r="AE5" s="2" t="inlineStr">
        <is>
          <t>Low: identity/products from model knowledge; size figures recalled from published reports but not verified in-session; Israeli presence not researched (search budget exhausted, WebFetch/curl blocked). Needs a follow-up research run.</t>
        </is>
      </c>
      <c r="AF5" s="2" t="inlineStr"/>
    </row>
    <row r="6">
      <c r="A6" s="2" t="n">
        <v>5</v>
      </c>
      <c r="B6" s="2" t="inlineStr">
        <is>
          <t>Bruker Corporation</t>
        </is>
      </c>
      <c r="C6" s="2" t="inlineStr">
        <is>
          <t>Bruker BioSpin, Bruker Daltonics, Bruker AXS, Bruker Nano, Bruker Optics, Bruker Cellular Analysis, NanoString, ELITechGroup</t>
        </is>
      </c>
      <c r="D6" s="2" t="inlineStr">
        <is>
          <t>Billerica, Massachusetts</t>
        </is>
      </c>
      <c r="E6" s="2" t="inlineStr">
        <is>
          <t>USA</t>
        </is>
      </c>
      <c r="F6" s="2" t="inlineStr"/>
      <c r="G6" s="2" t="inlineStr">
        <is>
          <t>Public (Nasdaq: BRKR)</t>
        </is>
      </c>
      <c r="H6" s="2" t="n">
        <v>1960</v>
      </c>
      <c r="I6" s="2" t="inlineStr">
        <is>
          <t>https://www.bruker.com</t>
        </is>
      </c>
      <c r="J6" s="2" t="inlineStr">
        <is>
          <t>Diversified analytical &amp; life-science instruments</t>
        </is>
      </c>
      <c r="K6" s="3" t="n">
        <v>9900</v>
      </c>
      <c r="L6" s="2" t="n">
        <v>2024</v>
      </c>
      <c r="M6" s="2" t="inlineStr">
        <is>
          <t>company</t>
        </is>
      </c>
      <c r="N6" s="2" t="inlineStr">
        <is>
          <t>Figure from model knowledge of the company's published report; could not be re-verified against a source in this session (search budget exhausted, network blocked). Approximately 9,900 employees (2024 10-K); 2025 figure not checked.</t>
        </is>
      </c>
      <c r="O6" s="2" t="inlineStr">
        <is>
          <t>USD 3.37 billion</t>
        </is>
      </c>
      <c r="P6" s="3" t="n">
        <v>3366</v>
      </c>
      <c r="Q6" s="2" t="inlineStr">
        <is>
          <t>FY2024</t>
        </is>
      </c>
      <c r="R6" s="2" t="inlineStr">
        <is>
          <t>company</t>
        </is>
      </c>
      <c r="S6" s="2" t="inlineStr">
        <is>
          <t>Figure from model knowledge of the company's published report; could not be re-verified against a source in this session (search budget exhausted, network blocked). FY2024 revenue USD 3,366 million; FY2025 (~USD 3.4-3.5 billion) not verified.</t>
        </is>
      </c>
      <c r="T6" s="2" t="inlineStr">
        <is>
          <t>reported</t>
        </is>
      </c>
      <c r="U6" s="2" t="inlineStr">
        <is>
          <t>AVANCE NEO NMR — high-field NMR spectrometers (BioSpin)</t>
        </is>
      </c>
      <c r="V6" s="2" t="inlineStr">
        <is>
          <t>timsTOF — trapped-ion-mobility Q-TOF mass spectrometers (Daltonics)</t>
        </is>
      </c>
      <c r="W6" s="2" t="inlineStr">
        <is>
          <t>D8 ADVANCE / Dimension AFM — X-ray diffraction and atomic force microscopy systems</t>
        </is>
      </c>
      <c r="X6" s="2" t="inlineStr">
        <is>
          <t>subsidiary</t>
        </is>
      </c>
      <c r="Y6" s="2" t="inlineStr">
        <is>
          <t>חברה-בת / משרד של היצרן בישראל</t>
        </is>
      </c>
      <c r="Z6" s="2" t="inlineStr">
        <is>
          <t>verified</t>
        </is>
      </c>
      <c r="AA6" s="2" t="inlineStr">
        <is>
          <t>אומת ממקור</t>
        </is>
      </c>
      <c r="AB6" s="2" t="inlineStr">
        <is>
          <t>Lapidot Medical Import and Marketing Ltd. [מפיץ; Bruker's official Israel contact/partner (Caesarea Industrial Park); the Bruker Israel page covers the Bruker business generally - no separate NMR / AXS / Nano / microCT listings were visible] | Bruker - Israel office, Gedera (mass spectrometry) [חברה-בת; mass-spectrometry (Bruker Daltonics) enquiries are directed to Bruker's own office in Gedera, Israel; legal entity name not shown on the page]</t>
        </is>
      </c>
      <c r="AC6" s="2" t="inlineStr">
        <is>
          <t>One scope-clarification search (Bruker + Israel + NMR/MS/AXS/Lapidot). Bruker's own Israel support page (English, Japanese and Spanish versions, 2025-2026) names Lapidot Medical Import and Marketing Ltd., Caesarea Industrial Park, as the Israel contact and says mass-spectrometry questions go to Bruker's office in Gedera, Israel. No division-specific (NMR/AXS/Nano/microCT) partner listings appeared, so Lapidot appears to be the general Israeli partner while MS is handled by Bruker's own local office; the Gedera entity's legal name and the exact split of duties were not visible and Lapidot's own site was not checked.</t>
        </is>
      </c>
      <c r="AD6" s="2" t="inlineStr">
        <is>
          <t>high</t>
        </is>
      </c>
      <c r="AE6" s="2" t="inlineStr">
        <is>
          <t>Both Israeli entities come from Bruker's official support page; division-level scope and the Gedera entity name remain unconfirmed.</t>
        </is>
      </c>
      <c r="AF6" s="2" t="inlineStr">
        <is>
          <t>https://www.bruker.com/en/services/support/india-middleeast-africa/israel-caesarea.html ; https://www.bruker.com/en/services/support/office.india-middle-east-africa.israel-caesarea.html ; https://www.bruker.com/es/services/support/india-middleeast-africa/israel-caesarea.html</t>
        </is>
      </c>
    </row>
    <row r="7">
      <c r="A7" s="2" t="n">
        <v>6</v>
      </c>
      <c r="B7" s="2" t="inlineStr">
        <is>
          <t>Shimadzu Corporation</t>
        </is>
      </c>
      <c r="C7" s="2" t="inlineStr">
        <is>
          <t>Shimadzu Scientific Instruments, Shimadzu Europa, Shimadzu Analytical &amp; Measuring Instruments</t>
        </is>
      </c>
      <c r="D7" s="2" t="inlineStr">
        <is>
          <t>Kyoto</t>
        </is>
      </c>
      <c r="E7" s="2" t="inlineStr">
        <is>
          <t>Japan</t>
        </is>
      </c>
      <c r="F7" s="2" t="inlineStr"/>
      <c r="G7" s="2" t="inlineStr">
        <is>
          <t>Public (TSE: 7701)</t>
        </is>
      </c>
      <c r="H7" s="2" t="n">
        <v>1875</v>
      </c>
      <c r="I7" s="2" t="inlineStr">
        <is>
          <t>https://www.shimadzu.com</t>
        </is>
      </c>
      <c r="J7" s="2" t="inlineStr">
        <is>
          <t>Analytical instruments (chromatography / mass spectrometry / spectroscopy)</t>
        </is>
      </c>
      <c r="K7" s="3" t="n">
        <v>14600</v>
      </c>
      <c r="L7" s="2" t="n">
        <v>2025</v>
      </c>
      <c r="M7" s="2" t="inlineStr">
        <is>
          <t>company</t>
        </is>
      </c>
      <c r="N7" s="2" t="inlineStr">
        <is>
          <t>Figure from model knowledge of the company's published report; could not be re-verified against a source in this session (search budget exhausted, network blocked). Consolidated group headcount approx. 14,600 as of 31 Mar 2025 (approximate).</t>
        </is>
      </c>
      <c r="O7" s="2" t="inlineStr">
        <is>
          <t>JPY 511.9 billion</t>
        </is>
      </c>
      <c r="P7" s="3" t="n">
        <v>3430</v>
      </c>
      <c r="Q7" s="2" t="inlineStr">
        <is>
          <t>FY ending Mar-2025</t>
        </is>
      </c>
      <c r="R7" s="2" t="inlineStr">
        <is>
          <t>company</t>
        </is>
      </c>
      <c r="S7" s="2" t="inlineStr">
        <is>
          <t>Figure from model knowledge of the company's published report; could not be re-verified against a source in this session (search budget exhausted, network blocked). Consolidated net sales ~JPY 511.9 billion for FY2024 (ended 31 Mar 2025); FY ending Mar-2026 not verified. Converted at JPY 0.0067.</t>
        </is>
      </c>
      <c r="T7" s="2" t="inlineStr">
        <is>
          <t>reported</t>
        </is>
      </c>
      <c r="U7" s="2" t="inlineStr">
        <is>
          <t>Nexera UHPLC series — ultra-high-performance liquid chromatographs</t>
        </is>
      </c>
      <c r="V7" s="2" t="inlineStr">
        <is>
          <t>LCMS-8060NX / LCMS-9050 — triple-quadrupole and Q-TOF LC-MS/MS systems</t>
        </is>
      </c>
      <c r="W7" s="2" t="inlineStr">
        <is>
          <t>GCMS-QP2050 — single-quadrupole GC-MS system</t>
        </is>
      </c>
      <c r="X7" s="2" t="inlineStr">
        <is>
          <t>distributor</t>
        </is>
      </c>
      <c r="Y7" s="2" t="inlineStr">
        <is>
          <t>מפיץ / נציג ישראלי</t>
        </is>
      </c>
      <c r="Z7" s="2" t="inlineStr">
        <is>
          <t>verified</t>
        </is>
      </c>
      <c r="AA7" s="2" t="inlineStr">
        <is>
          <t>אומת ממקור</t>
        </is>
      </c>
      <c r="AB7" s="2" t="inlineStr">
        <is>
          <t>Agentek (1987) Ltd. (אגנטק) [מפיץ; analytical instruments - HPLC/UHPLC (i-Series LC-2070/LC-2080), LC-MS (LCMS-9050, LCMS-8065XE), GC (Nexis GC-2060), XRF (ALTRACE) per Agentek's product pages]</t>
        </is>
      </c>
      <c r="AC7" s="2" t="inlineStr">
        <is>
          <t>Searched 'Shimadzu' Israel distributor/representative/נציג/יבואן, then restricted to Israeli distributor domains and to shimadzu.com. Agentek's own site has a dedicated Shimadzu representative page, lists Shimadzu on its vendors page and carries current Shimadzu product pages (i-Series LC, LCMS-9050, Nexis GC-2060, ALTRACE XRF). Shimadzu's global contact-search page lists Israel among its Middle East &amp; Africa countries but the local partner's name was not visible in the snippets, so manufacturer-side confirmation and exclusivity (and any separate partner for medical/X-ray or balances) remain unverified; no Shimadzu Israeli subsidiary was found. Agentek's own vendors page (agentek.co.il/vendors) lists the brand among the manufacturers it represents in Israel (seen in a search excerpt; the manufacturer's own distributor page was not opened).</t>
        </is>
      </c>
      <c r="AD7" s="2" t="inlineStr">
        <is>
          <t>medium</t>
        </is>
      </c>
      <c r="AE7" s="2" t="inlineStr">
        <is>
          <t>Distributor's own brand page with current products; not confirmed on Shimadzu's site.</t>
        </is>
      </c>
      <c r="AF7" s="2" t="inlineStr">
        <is>
          <t>https://agentek.co.il/representative/shimadzu/ ; https://agentek.co.il/vendors/ ; https://agentek.co.il/products/shimadzu-i-series/ ; https://www.shimadzu.com/med/contactsearch/index.html ; https://www.shimadzu.com/an/contact/index.html</t>
        </is>
      </c>
    </row>
    <row r="8">
      <c r="A8" s="2" t="n">
        <v>7</v>
      </c>
      <c r="B8" s="2" t="inlineStr">
        <is>
          <t>Mettler-Toledo International</t>
        </is>
      </c>
      <c r="C8" s="2" t="inlineStr">
        <is>
          <t>Mettler Toledo, Rainin, Ohaus, Thornton, Safeline, Hi-Speed</t>
        </is>
      </c>
      <c r="D8" s="2" t="inlineStr">
        <is>
          <t>Columbus, Ohio (operational HQ Greifensee, Switzerland)</t>
        </is>
      </c>
      <c r="E8" s="2" t="inlineStr">
        <is>
          <t>USA</t>
        </is>
      </c>
      <c r="F8" s="2" t="inlineStr"/>
      <c r="G8" s="2" t="inlineStr">
        <is>
          <t>Public (NYSE: MTD)</t>
        </is>
      </c>
      <c r="H8" s="2" t="n">
        <v>1945</v>
      </c>
      <c r="I8" s="2" t="inlineStr">
        <is>
          <t>https://www.mt.com</t>
        </is>
      </c>
      <c r="J8" s="2" t="inlineStr">
        <is>
          <t>Lab balances &amp; weighing</t>
        </is>
      </c>
      <c r="K8" s="3" t="n">
        <v>17000</v>
      </c>
      <c r="L8" s="2" t="n">
        <v>2024</v>
      </c>
      <c r="M8" s="2" t="inlineStr">
        <is>
          <t>company</t>
        </is>
      </c>
      <c r="N8" s="2" t="inlineStr">
        <is>
          <t>Figure from model knowledge of the company's published report; could not be re-verified against a source in this session (search budget exhausted, network blocked). Approximately 17,000 employees (2024 10-K).</t>
        </is>
      </c>
      <c r="O8" s="2" t="inlineStr">
        <is>
          <t>USD 3.87 billion</t>
        </is>
      </c>
      <c r="P8" s="3" t="n">
        <v>3872</v>
      </c>
      <c r="Q8" s="2" t="inlineStr">
        <is>
          <t>FY2024</t>
        </is>
      </c>
      <c r="R8" s="2" t="inlineStr">
        <is>
          <t>company</t>
        </is>
      </c>
      <c r="S8" s="2" t="inlineStr">
        <is>
          <t>Figure from model knowledge of the company's published report; could not be re-verified against a source in this session (search budget exhausted, network blocked). FY2024 net sales USD 3,872 million; FY2025 (~USD 3.9-4.0 billion) not verified.</t>
        </is>
      </c>
      <c r="T8" s="2" t="inlineStr">
        <is>
          <t>reported</t>
        </is>
      </c>
      <c r="U8" s="2" t="inlineStr">
        <is>
          <t>XPR analytical &amp; micro balances — high-precision laboratory balances</t>
        </is>
      </c>
      <c r="V8" s="2" t="inlineStr">
        <is>
          <t>Rainin Pipet-Lite XLS / E4 XLS — manual and electronic pipettes</t>
        </is>
      </c>
      <c r="W8" s="2" t="inlineStr">
        <is>
          <t>Excellence Titrators &amp; SevenExcellence meters — titration and pH/ion analysis</t>
        </is>
      </c>
      <c r="X8" s="2" t="inlineStr">
        <is>
          <t>distributor</t>
        </is>
      </c>
      <c r="Y8" s="2" t="inlineStr">
        <is>
          <t>מפיץ / נציג ישראלי</t>
        </is>
      </c>
      <c r="Z8" s="2" t="inlineStr">
        <is>
          <t>verified</t>
        </is>
      </c>
      <c r="AA8" s="2" t="inlineStr">
        <is>
          <t>אומת ממקור</t>
        </is>
      </c>
      <c r="AB8" s="2" t="inlineStr">
        <is>
          <t>Agentek (1987) Ltd. (אגנטק) [מפיץ; laboratory weighing (balances) per mt.com Israel page; Agentek's own site also shows Rainin pipettes (distributing since replacing Gilson), titration/automated chemistry (reactor sampling), FreeWeigh.NET and industrial scales; Euro Park Yakum, sales +972 9 9657000, service +972 9 9657007] | Modcon Systems Ltd. [מפיץ; process analytics (Ingold sensors/transmitters); Akko, +972 4 9553955] | Dinco Ltd. [מפיץ; product inspection (Safeline X-ray etc.); Tirat Carmel, +972 4 813 15 15]</t>
        </is>
      </c>
      <c r="AC8" s="2" t="inlineStr">
        <is>
          <t>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D8" s="2" t="inlineStr">
        <is>
          <t>high</t>
        </is>
      </c>
      <c r="AE8" s="2" t="inlineStr">
        <is>
          <t>Manufacturer's own Israel page plus the distributor's own site agree.</t>
        </is>
      </c>
      <c r="AF8" s="2" t="inlineStr">
        <is>
          <t>https://www.mt.com/il/en/home.html ; https://agentek.co.il/representative/mettler-toledo/ ; https://agentek.co.il/news/agntq-mthilh-lwvvq-at-mvcri-rainin ; https://agentek.co.il/products/mettler-toledo-e4-electronic-pipette-lts-e4-10xls/ ; https://agentek.co.il/?p=104 ; https://agentek.co.il/vendors/</t>
        </is>
      </c>
    </row>
    <row r="9">
      <c r="A9" s="2" t="n">
        <v>8</v>
      </c>
      <c r="B9" s="2" t="inlineStr">
        <is>
          <t>Sartorius AG</t>
        </is>
      </c>
      <c r="C9" s="2" t="inlineStr">
        <is>
          <t>Sartorius Stedim Biotech, Sartorius Lab Instruments, Octet (ex-ForteBio), BIA Separations, Biological Industries</t>
        </is>
      </c>
      <c r="D9" s="2" t="inlineStr">
        <is>
          <t>Göttingen</t>
        </is>
      </c>
      <c r="E9" s="2" t="inlineStr">
        <is>
          <t>Germany</t>
        </is>
      </c>
      <c r="F9" s="2" t="inlineStr"/>
      <c r="G9" s="2" t="inlineStr">
        <is>
          <t>Public (FWB: SRT / SRT3)</t>
        </is>
      </c>
      <c r="H9" s="2" t="n">
        <v>1870</v>
      </c>
      <c r="I9" s="2" t="inlineStr">
        <is>
          <t>https://www.sartorius.com</t>
        </is>
      </c>
      <c r="J9" s="2" t="inlineStr">
        <is>
          <t>Bioprocess &amp; filtration</t>
        </is>
      </c>
      <c r="K9" s="3" t="n">
        <v>13500</v>
      </c>
      <c r="L9" s="2" t="n">
        <v>2024</v>
      </c>
      <c r="M9" s="2" t="inlineStr">
        <is>
          <t>company</t>
        </is>
      </c>
      <c r="N9" s="2" t="inlineStr">
        <is>
          <t>Figure from model knowledge of the company's published report; could not be re-verified against a source in this session (search budget exhausted, network blocked). Group headcount approx. 13,500 at end-2024 (approximate).</t>
        </is>
      </c>
      <c r="O9" s="2" t="inlineStr">
        <is>
          <t>EUR 3.38 billion</t>
        </is>
      </c>
      <c r="P9" s="3" t="n">
        <v>3719</v>
      </c>
      <c r="Q9" s="2" t="inlineStr">
        <is>
          <t>FY2024</t>
        </is>
      </c>
      <c r="R9" s="2" t="inlineStr">
        <is>
          <t>company</t>
        </is>
      </c>
      <c r="S9" s="2" t="inlineStr">
        <is>
          <t>Figure from model knowledge of the company's published report; could not be re-verified against a source in this session (search budget exhausted, network blocked). FY2024 sales revenue EUR 3,381 million; FY2025 (~EUR 3.5-3.6 billion) not verified. Converted at EUR 1.10.</t>
        </is>
      </c>
      <c r="T9" s="2" t="inlineStr">
        <is>
          <t>reported</t>
        </is>
      </c>
      <c r="U9" s="2" t="inlineStr">
        <is>
          <t>Octet BLI systems — label-free bio-layer interferometry analyzers</t>
        </is>
      </c>
      <c r="V9" s="2" t="inlineStr">
        <is>
          <t>Biostat STR — single-use stirred-tank bioreactors</t>
        </is>
      </c>
      <c r="W9" s="2" t="inlineStr">
        <is>
          <t>Cubis II balances — modular premium laboratory balances</t>
        </is>
      </c>
      <c r="X9" s="2" t="inlineStr">
        <is>
          <t>subsidiary</t>
        </is>
      </c>
      <c r="Y9" s="2" t="inlineStr">
        <is>
          <t>חברה-בת / משרד של היצרן בישראל</t>
        </is>
      </c>
      <c r="Z9" s="2" t="inlineStr">
        <is>
          <t>verified</t>
        </is>
      </c>
      <c r="AA9" s="2" t="inlineStr">
        <is>
          <t>אומת ממקור</t>
        </is>
      </c>
      <c r="AB9" s="2" t="inlineStr">
        <is>
          <t>Sartorius Israel Ltd. [חברה-בת; Sartorius' Israeli company at Kibbutz Beit Haemek (ex-Biological Industries; cell-culture media production and local contact, info.israel@sartorius.com, +972-4-9960595); in-country sales representative advertised] | Labotal Scientific Equipment (לבוטל) [מפיץ; self-described exclusive Sartorius representative in Israel for weighing (Cubis II balances) and lab products incl. pipettes]</t>
        </is>
      </c>
      <c r="AC9" s="2" t="inlineStr">
        <is>
          <t>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is>
      </c>
      <c r="AD9" s="2" t="inlineStr">
        <is>
          <t>high</t>
        </is>
      </c>
      <c r="AE9" s="2" t="inlineStr">
        <is>
          <t>Israeli entity confirmed on manufacturer's contact and subsidiaries pages; Labotal's exclusivity for balances is self-reported.</t>
        </is>
      </c>
      <c r="AF9" s="2" t="inlineStr">
        <is>
          <t>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t>
        </is>
      </c>
    </row>
    <row r="10">
      <c r="A10" s="2" t="n">
        <v>9</v>
      </c>
      <c r="B10" s="2" t="inlineStr">
        <is>
          <t>Revvity</t>
        </is>
      </c>
      <c r="C10" s="2" t="inlineStr">
        <is>
          <t>formerly PerkinElmer, Inc. (renamed May 2023); EUROIMMUN, BioLegend, Horizon Discovery, Nexcelom, Oxford Immunotec, Cisbio/HTRF, Dharmacon, Omni</t>
        </is>
      </c>
      <c r="D10" s="2" t="inlineStr">
        <is>
          <t>Waltham, Massachusetts</t>
        </is>
      </c>
      <c r="E10" s="2" t="inlineStr">
        <is>
          <t>USA</t>
        </is>
      </c>
      <c r="F10" s="2" t="inlineStr"/>
      <c r="G10" s="2" t="inlineStr">
        <is>
          <t>Public (NYSE: RVTY)</t>
        </is>
      </c>
      <c r="H10" s="2" t="n">
        <v>1937</v>
      </c>
      <c r="I10" s="2" t="inlineStr">
        <is>
          <t>https://www.revvity.com</t>
        </is>
      </c>
      <c r="J10" s="2" t="inlineStr">
        <is>
          <t>Life-science instruments &amp; reagents</t>
        </is>
      </c>
      <c r="K10" s="3" t="n">
        <v>11000</v>
      </c>
      <c r="L10" s="2" t="n">
        <v>2025</v>
      </c>
      <c r="M10" s="2" t="inlineStr">
        <is>
          <t>company</t>
        </is>
      </c>
      <c r="N10" s="2" t="inlineStr">
        <is>
          <t>11,000+ employees per Revvity 2025 Corporate Fact Sheet (March 2025)</t>
        </is>
      </c>
      <c r="O10" s="2" t="inlineStr">
        <is>
          <t>USD 2.76 billion</t>
        </is>
      </c>
      <c r="P10" s="3" t="n">
        <v>2755</v>
      </c>
      <c r="Q10" s="2" t="inlineStr">
        <is>
          <t>FY2024</t>
        </is>
      </c>
      <c r="R10" s="2" t="inlineStr">
        <is>
          <t>company</t>
        </is>
      </c>
      <c r="S10" s="2" t="inlineStr">
        <is>
          <t>Figure from model knowledge of the company's published report; could not be re-verified against a source in this session (search budget exhausted, network blocked). FY2024 revenue USD 2,755 million; FY2025 (~USD 2.8 billion) not verified.</t>
        </is>
      </c>
      <c r="T10" s="2" t="inlineStr">
        <is>
          <t>reported</t>
        </is>
      </c>
      <c r="U10" s="2" t="inlineStr">
        <is>
          <t>EnVision Nexus — multimode microplate reader for HTS</t>
        </is>
      </c>
      <c r="V10" s="2" t="inlineStr">
        <is>
          <t>Opera Phenix Plus — high-content screening / imaging system</t>
        </is>
      </c>
      <c r="W10" s="2" t="inlineStr">
        <is>
          <t>BioLegend antibodies &amp; reagents — research antibodies, immunoassays and proteins</t>
        </is>
      </c>
      <c r="X10" s="2" t="inlineStr">
        <is>
          <t>distributor</t>
        </is>
      </c>
      <c r="Y10" s="2" t="inlineStr">
        <is>
          <t>מפיץ / נציג ישראלי</t>
        </is>
      </c>
      <c r="Z10" s="2" t="inlineStr">
        <is>
          <t>verified</t>
        </is>
      </c>
      <c r="AA10" s="2" t="inlineStr">
        <is>
          <t>אומת ממקור</t>
        </is>
      </c>
      <c r="AB10" s="2" t="inlineStr">
        <is>
          <t>Gamidor Diagnostics (גאמידור בע"מ) [מפיץ; reproductive health / prenatal screening immunoassays (PAPP-A, free beta-hCG, AFP, hCG, uE3, inhibin, PlGF) - Gamidor states it has represented Revvity (ex-PerkinElmer/Wallac) in prenatal screening since 1984] | Enco [מפיץ; Revvity screening reagents and consumables (OptiPlate/SpectraPlate microplates, AlphaLISA SureFire Ultra kits) listed in Enco's online catalogue]</t>
        </is>
      </c>
      <c r="AC10" s="2" t="inlineStr">
        <is>
          <t>Searched Revvity Israel distributor/נציג/יבואן, Israeli distributor domains (Revvity OR PerkinElmer), revvity.com and a 'Revvity Israel' entity search. No Revvity Israeli subsidiary or office was found: revvity.com's office/distributor listing and the 2023 SEC Exhibit 21 subsidiary list show no Israel entity, and the 2013 'PerkinElmer establishes direct operations in Israel' release (now on ir.revvity.com) refers to the Ra'anana office that today is listed by PerkinElmer (the analytical company), not Revvity. Gamidor's own site says it represents Revvity for prenatal screening and Enco's catalogue sells Revvity plates/reagents; no Israeli partner was found for Revvity life-science instruments (EnVision, Opera Phenix) or for newborn-screening instruments, which may be sold directly from abroad or via an unidentified channel.</t>
        </is>
      </c>
      <c r="AD10" s="2" t="inlineStr">
        <is>
          <t>medium</t>
        </is>
      </c>
      <c r="AE10" s="2" t="inlineStr">
        <is>
          <t>Distributor-site evidence for diagnostics reagents and consumables; coverage of instruments and newborn screening unverified; no manufacturer-side confirmation.</t>
        </is>
      </c>
      <c r="AF10" s="2" t="inlineStr">
        <is>
          <t>https://gamidor.co.il/en/genetics/ ; https://www.enco.co.il/screening_reagents/optiplate384_f_hb200b/6005529/ ; https://www.revvity.com/office-locations-and-authorized-distributors ; https://www.revvity.com/contact-us/contact-distributor ; https://ir.revvity.com/news/investor-news/news-details/2013/PerkinElmer-Establishes-Direct-Operations-in-Israel-08-01-2013/default.aspx ; https://www.sec.gov/Archives/edgar/data/31791/000003179124000004/a2023exhibit21.htm ; https://s202.q4cdn.com/908952201/files/doc_downloads/2025/2025-Corporate-Fact-Sheet_March-2025.pdf</t>
        </is>
      </c>
    </row>
    <row r="11">
      <c r="A11" s="2" t="n">
        <v>10</v>
      </c>
      <c r="B11" s="2" t="inlineStr">
        <is>
          <t>PerkinElmer (New Mountain Capital)</t>
        </is>
      </c>
      <c r="C11" s="2" t="inlineStr">
        <is>
          <t>PerkinElmer analytical, enterprise &amp; food businesses carved out of the former PerkinElmer (now Revvity) in 2023; NexION, Avio, Spectrum, Lambda, Pyris, OneSource</t>
        </is>
      </c>
      <c r="D11" s="2" t="inlineStr">
        <is>
          <t>Shelton, Connecticut</t>
        </is>
      </c>
      <c r="E11" s="2" t="inlineStr">
        <is>
          <t>USA</t>
        </is>
      </c>
      <c r="F11" s="2" t="inlineStr">
        <is>
          <t>New Mountain Capital</t>
        </is>
      </c>
      <c r="G11" s="2" t="inlineStr">
        <is>
          <t>Private equity (New Mountain Capital, since March 2023)</t>
        </is>
      </c>
      <c r="H11" s="2" t="n">
        <v>1937</v>
      </c>
      <c r="I11" s="2" t="inlineStr">
        <is>
          <t>https://www.perkinelmer.com</t>
        </is>
      </c>
      <c r="J11" s="2" t="inlineStr">
        <is>
          <t>Analytical instruments (chromatography / mass spectrometry / spectroscopy)</t>
        </is>
      </c>
      <c r="K11" s="3" t="n">
        <v>6000</v>
      </c>
      <c r="L11" s="2" t="n">
        <v>2024</v>
      </c>
      <c r="M11" s="2" t="inlineStr">
        <is>
          <t>company</t>
        </is>
      </c>
      <c r="N11" s="2" t="inlineStr">
        <is>
          <t>'more than 6,000 employees' per March 2024 Chromatography Online interview with PerkinElmer's CEO and CCO (company statement, not an annual report)</t>
        </is>
      </c>
      <c r="O11" s="2" t="inlineStr">
        <is>
          <t>USD 1.3 billion (estimate)</t>
        </is>
      </c>
      <c r="P11" s="3" t="n">
        <v>1300</v>
      </c>
      <c r="Q11" s="2" t="inlineStr">
        <is>
          <t>FY2022 (at carve-out)</t>
        </is>
      </c>
      <c r="R11" s="2" t="inlineStr">
        <is>
          <t>estimate</t>
        </is>
      </c>
      <c r="S11" s="2" t="inlineStr">
        <is>
          <t>ESTIMATE: the divested PerkinElmer analytical/enterprise/food businesses were described as roughly USD 1.3 billion in annual revenue when the sale to New Mountain Capital was announced (Aug 2022, closed Mar 2023). Private company; no published current revenue; not verified in this session.</t>
        </is>
      </c>
      <c r="T11" s="2" t="inlineStr">
        <is>
          <t>estimate</t>
        </is>
      </c>
      <c r="U11" s="2" t="inlineStr">
        <is>
          <t>NexION ICP-MS — inductively coupled plasma mass spectrometers</t>
        </is>
      </c>
      <c r="V11" s="2" t="inlineStr">
        <is>
          <t>Avio ICP-OES — ICP optical emission spectrometers for elemental analysis</t>
        </is>
      </c>
      <c r="W11" s="2" t="inlineStr">
        <is>
          <t>Spectrum 3 / Lambda / Pyris — FT-IR, UV-Vis and thermal analysis instruments</t>
        </is>
      </c>
      <c r="X11" s="2" t="inlineStr">
        <is>
          <t>subsidiary</t>
        </is>
      </c>
      <c r="Y11" s="2" t="inlineStr">
        <is>
          <t>חברה-בת / משרד של היצרן בישראל</t>
        </is>
      </c>
      <c r="Z11" s="2" t="inlineStr">
        <is>
          <t>verified</t>
        </is>
      </c>
      <c r="AA11" s="2" t="inlineStr">
        <is>
          <t>אומת ממקור</t>
        </is>
      </c>
      <c r="AB11" s="2" t="inlineStr">
        <is>
          <t>PerkinElmer Israel Ltd. [חברה-בת; direct sales, service and support for analytical instruments (atomic spectroscopy/ICP-MS, chromatography, mass spectrometry, FTIR) and OneSource lab services; 4 HaSheizaf St., Ra'anana 4366411, +972 3655 8777] | ISI Israel Scientific Instruments Ltd. [מפיץ; food testing / food quality products, as listed on PerkinElmer's site; Shacham St 32, Petach Tikva, +972 3-9232202 (site given as isil.co.il)]</t>
        </is>
      </c>
      <c r="AC11" s="2" t="inlineStr">
        <is>
          <t>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D11" s="2" t="inlineStr">
        <is>
          <t>high</t>
        </is>
      </c>
      <c r="AE11" s="2" t="inlineStr">
        <is>
          <t>Manufacturer's own office-locations page names the Israeli subsidiary and partner; no recent independent confirmation.</t>
        </is>
      </c>
      <c r="AF11" s="2" t="inlineStr">
        <is>
          <t>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t>
        </is>
      </c>
    </row>
    <row r="12">
      <c r="A12" s="2" t="n">
        <v>11</v>
      </c>
      <c r="B12" s="2" t="inlineStr">
        <is>
          <t>Bio-Rad Laboratories</t>
        </is>
      </c>
      <c r="C12" s="2" t="inlineStr">
        <is>
          <t>Bio-Rad; DiaMed (immunohematology)</t>
        </is>
      </c>
      <c r="D12" s="2" t="inlineStr">
        <is>
          <t>Hercules, California</t>
        </is>
      </c>
      <c r="E12" s="2" t="inlineStr">
        <is>
          <t>USA</t>
        </is>
      </c>
      <c r="F12" s="2" t="inlineStr"/>
      <c r="G12" s="2" t="inlineStr">
        <is>
          <t>Public (NYSE: BIO)</t>
        </is>
      </c>
      <c r="H12" s="2" t="n">
        <v>1952</v>
      </c>
      <c r="I12" s="2" t="inlineStr">
        <is>
          <t>https://www.bio-rad.com</t>
        </is>
      </c>
      <c r="J12" s="2" t="inlineStr">
        <is>
          <t>Life-science instruments &amp; reagents</t>
        </is>
      </c>
      <c r="K12" s="3" t="n">
        <v>7450</v>
      </c>
      <c r="L12" s="2" t="n">
        <v>2025</v>
      </c>
      <c r="M12" s="2" t="inlineStr">
        <is>
          <t>company</t>
        </is>
      </c>
      <c r="N12" s="2" t="inlineStr">
        <is>
          <t>Third-party aggregator figure (company profiles citing FY2025 data); the FY2025 10-K could not be opened in this session (fetch tool failure) and aggregators range from ~7,450 to ~8,300. Treat as approximate.</t>
        </is>
      </c>
      <c r="O12" s="2" t="inlineStr">
        <is>
          <t>USD 2.58 billion</t>
        </is>
      </c>
      <c r="P12" s="3" t="n">
        <v>2580</v>
      </c>
      <c r="Q12" s="2" t="inlineStr">
        <is>
          <t>FY2025</t>
        </is>
      </c>
      <c r="R12" s="2" t="inlineStr">
        <is>
          <t>company</t>
        </is>
      </c>
      <c r="S12" s="2" t="inlineStr">
        <is>
          <t>EDGAR-derived aggregator figure (edgar.tools: USD 2.58B for FY ending 2025-12-31); another summary says USD 2.55B. 10-K itself not opened. Two segments: Life Science and Clinical Diagnostics.</t>
        </is>
      </c>
      <c r="T12" s="2" t="inlineStr">
        <is>
          <t>mixed</t>
        </is>
      </c>
      <c r="U12" s="2" t="inlineStr">
        <is>
          <t>QX600 Droplet Digital PCR — ddPCR absolute nucleic-acid quantification system</t>
        </is>
      </c>
      <c r="V12" s="2" t="inlineStr">
        <is>
          <t>CFX Opus Real-Time PCR — qPCR detection systems</t>
        </is>
      </c>
      <c r="W12" s="2" t="inlineStr">
        <is>
          <t>ChemiDoc MP — gel and western-blot imaging system</t>
        </is>
      </c>
      <c r="X12" s="2" t="inlineStr">
        <is>
          <t>subsidiary</t>
        </is>
      </c>
      <c r="Y12" s="2" t="inlineStr">
        <is>
          <t>חברה-בת / משרד של היצרן בישראל</t>
        </is>
      </c>
      <c r="Z12" s="2" t="inlineStr">
        <is>
          <t>verified</t>
        </is>
      </c>
      <c r="AA12" s="2" t="inlineStr">
        <is>
          <t>אומת ממקור</t>
        </is>
      </c>
      <c r="AB12" s="2" t="inlineStr">
        <is>
          <t>Bio-Rad Israel Ltd. (Bio-Rad Laboratories (Rishon)) (ביו-ראד ישראל) [חברה-בת; direct sales &amp; service of life-science and clinical-diagnostics products (Rishon LeZion; branch since 1991)] | Bio-Rad Haifa Ltd. (ביו-ראד חיפה) [חברה-בת; R&amp;D site (ex-ProteOptics, 2006); not a sales channel]</t>
        </is>
      </c>
      <c r="AC12" s="2" t="inlineStr">
        <is>
          <t>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is>
      </c>
      <c r="AD12" s="2" t="inlineStr">
        <is>
          <t>medium</t>
        </is>
      </c>
      <c r="AE12" s="2" t="inlineStr">
        <is>
          <t>Israeli subsidiary is well supported (own careers site + SEC subsidiary exhibit). Size figures come from aggregators, not the 10-K itself, because page fetching failed in this session.</t>
        </is>
      </c>
      <c r="AF12" s="2" t="inlineStr">
        <is>
          <t>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t>
        </is>
      </c>
    </row>
    <row r="13">
      <c r="A13" s="2" t="n">
        <v>12</v>
      </c>
      <c r="B13" s="2" t="inlineStr">
        <is>
          <t>Avantor (incl. VWR)</t>
        </is>
      </c>
      <c r="C13" s="2" t="inlineStr">
        <is>
          <t>VWR; J.T.Baker; Macron Fine Chemicals; NuSil; Masterflex</t>
        </is>
      </c>
      <c r="D13" s="2" t="inlineStr">
        <is>
          <t>Radnor, Pennsylvania</t>
        </is>
      </c>
      <c r="E13" s="2" t="inlineStr">
        <is>
          <t>USA</t>
        </is>
      </c>
      <c r="F13" s="2" t="inlineStr"/>
      <c r="G13" s="2" t="inlineStr">
        <is>
          <t>Public (NYSE: AVTR)</t>
        </is>
      </c>
      <c r="H13" s="2" t="n">
        <v>1904</v>
      </c>
      <c r="I13" s="2" t="inlineStr">
        <is>
          <t>https://www.avantorsciences.com</t>
        </is>
      </c>
      <c r="J13" s="2" t="inlineStr">
        <is>
          <t>Lab distribution &amp; own-brand products</t>
        </is>
      </c>
      <c r="K13" s="3" t="n">
        <v>13500</v>
      </c>
      <c r="L13" s="2" t="n">
        <v>2025</v>
      </c>
      <c r="M13" s="2" t="inlineStr">
        <is>
          <t>company</t>
        </is>
      </c>
      <c r="N13" s="2" t="inlineStr">
        <is>
          <t>Figure shown consistently by PitchBook, Tracenable and Motley Fool (likely from the FY2025 10-K human-capital section); Revelio Labs shows ~14,600. The 10-K (sec.gov avtr-20251231.htm) could not be opened (fetch failure).</t>
        </is>
      </c>
      <c r="O13" s="2" t="inlineStr">
        <is>
          <t>USD 6.55 billion</t>
        </is>
      </c>
      <c r="P13" s="3" t="n">
        <v>6552</v>
      </c>
      <c r="Q13" s="2" t="inlineStr">
        <is>
          <t>FY2025</t>
        </is>
      </c>
      <c r="R13" s="2" t="inlineStr">
        <is>
          <t>company</t>
        </is>
      </c>
      <c r="S13" s="2" t="inlineStr">
        <is>
          <t>Company Q4/FY2025 press release: net sales USD 6.55B, down 3% (organic -3%); net loss USD 530M. EDGAR-derived figure 6,552 (USD millions) vs 6,784 in FY2024.</t>
        </is>
      </c>
      <c r="T13" s="2" t="inlineStr">
        <is>
          <t>reported</t>
        </is>
      </c>
      <c r="U13" s="2" t="inlineStr">
        <is>
          <t>VWR-brand consumables and lab supplies — lab products sold through the VWR distribution channel</t>
        </is>
      </c>
      <c r="V13" s="2" t="inlineStr">
        <is>
          <t>J.T.Baker chemicals — high-purity lab chemicals and solvents</t>
        </is>
      </c>
      <c r="W13" s="2" t="inlineStr">
        <is>
          <t>NuSil silicones — medical- and implant-grade silicone materials</t>
        </is>
      </c>
      <c r="X13" s="2" t="inlineStr">
        <is>
          <t>none_found</t>
        </is>
      </c>
      <c r="Y13" s="2" t="inlineStr">
        <is>
          <t>לא נמצא ייצוג</t>
        </is>
      </c>
      <c r="Z13" s="2" t="inlineStr">
        <is>
          <t>partial</t>
        </is>
      </c>
      <c r="AA13" s="2" t="inlineStr">
        <is>
          <t>חיפוש חלקי (ללא פתיחת אתרי היצרן/המפיץ)</t>
        </is>
      </c>
      <c r="AB13" s="2" t="inlineStr"/>
      <c r="AC13" s="2" t="inlineStr">
        <is>
          <t>חיפוש רשת בלבד; דפי ״מפיצים״ של היצרן ואתרי המפיצים לא נפתחו (חסימת רשת). No Israeli subsidiary, office or distributor found. Searched 'Avantor VWR Israel distributor' (English) and 'VWR ישראל יבואן מוצרי מעבדה Avantor' (Hebrew). VWR's regional listings show a Dubai (Dubai Science Park) office for the Middle East and no Israeli entity; Avantor's '200+ facilities in 30+ countries' statement does not mention Israel. Could NOT open the vwr.com country selector / avantorsciences.com 'where to buy' page or candidate Israeli distributor sites (e.g. Bio-Lab, Tamar) because the fetch tool failed and the shared search budget ran out before domain-restricted searches. Treat as an incomplete search rather than a definitive absence; in practice Israeli labs may buy VWR/J.T.Baker lines through local chemical/lab distributors.</t>
        </is>
      </c>
      <c r="AD13" s="2" t="inlineStr">
        <is>
          <t>low</t>
        </is>
      </c>
      <c r="AE13" s="2" t="inlineStr">
        <is>
          <t>Size is from the company's FY2025 results release. Israel result is low-confidence: manufacturer's own distributor page and candidate distributor sites were not checked due to tool failures.</t>
        </is>
      </c>
      <c r="AF13" s="2" t="inlineStr">
        <is>
          <t>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t>
        </is>
      </c>
    </row>
    <row r="14">
      <c r="A14" s="2" t="n">
        <v>13</v>
      </c>
      <c r="B14" s="2" t="inlineStr">
        <is>
          <t>Eppendorf SE</t>
        </is>
      </c>
      <c r="C14" s="2" t="inlineStr">
        <is>
          <t>Eppendorf AG (until 2021); New Brunswick (brand)</t>
        </is>
      </c>
      <c r="D14" s="2" t="inlineStr">
        <is>
          <t>Hamburg</t>
        </is>
      </c>
      <c r="E14" s="2" t="inlineStr">
        <is>
          <t>Germany</t>
        </is>
      </c>
      <c r="F14" s="2" t="inlineStr"/>
      <c r="G14" s="2" t="inlineStr">
        <is>
          <t>Private (family-owned)</t>
        </is>
      </c>
      <c r="H14" s="2" t="n">
        <v>1945</v>
      </c>
      <c r="I14" s="2" t="inlineStr">
        <is>
          <t>https://www.eppendorf.com</t>
        </is>
      </c>
      <c r="J14" s="2" t="inlineStr">
        <is>
          <t>Liquid handling &amp; lab automation</t>
        </is>
      </c>
      <c r="K14" s="3" t="n">
        <v>4125</v>
      </c>
      <c r="L14" s="2" t="n">
        <v>2025</v>
      </c>
      <c r="M14" s="2" t="inlineStr">
        <is>
          <t>company</t>
        </is>
      </c>
      <c r="N14" s="2" t="inlineStr">
        <is>
          <t>Annual average full-time equivalents 2025 per Eppendorf Group Annual Report 2025 key-figures table (2024: 4,658 FTE).</t>
        </is>
      </c>
      <c r="O14" s="2" t="inlineStr">
        <is>
          <t>EUR 924 million</t>
        </is>
      </c>
      <c r="P14" s="3" t="n">
        <v>1016</v>
      </c>
      <c r="Q14" s="2" t="inlineStr">
        <is>
          <t>FY2025</t>
        </is>
      </c>
      <c r="R14" s="2" t="inlineStr">
        <is>
          <t>company</t>
        </is>
      </c>
      <c r="S14" s="2" t="inlineStr">
        <is>
          <t>Eppendorf Group consolidated revenue EUR 924.0M in FY2025 (prior year EUR 980M, -5.7%); EBIT EUR 95.6M. Converted at EUR 1.10.</t>
        </is>
      </c>
      <c r="T14" s="2" t="inlineStr">
        <is>
          <t>reported</t>
        </is>
      </c>
      <c r="U14" s="2" t="inlineStr">
        <is>
          <t>Eppendorf Research plus — manual mechanical pipettes</t>
        </is>
      </c>
      <c r="V14" s="2" t="inlineStr">
        <is>
          <t>Centrifuge 5430 / 5910 Ri — benchtop refrigerated centrifuges</t>
        </is>
      </c>
      <c r="W14" s="2" t="inlineStr">
        <is>
          <t>epMotion — automated liquid-handling workstations</t>
        </is>
      </c>
      <c r="X14" s="2" t="inlineStr">
        <is>
          <t>distributor</t>
        </is>
      </c>
      <c r="Y14" s="2" t="inlineStr">
        <is>
          <t>מפיץ / נציג ישראלי</t>
        </is>
      </c>
      <c r="Z14" s="2" t="inlineStr">
        <is>
          <t>verified</t>
        </is>
      </c>
      <c r="AA14" s="2" t="inlineStr">
        <is>
          <t>אומת ממקור</t>
        </is>
      </c>
      <c r="AB14" s="2" t="inlineStr">
        <is>
          <t>Lumitron Ltd. (Comtel Technologies &amp; Engineering group) (לומיטרון) [מפיץ; Eppendorf importer / distributor (centrifuges, pipettes, consumables)]</t>
        </is>
      </c>
      <c r="AC14" s="2" t="inlineStr">
        <is>
          <t>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is>
      </c>
      <c r="AD14" s="2" t="inlineStr">
        <is>
          <t>medium</t>
        </is>
      </c>
      <c r="AE14" s="2" t="inlineStr">
        <is>
          <t>Size figures are official (Annual Report 2025). The Israeli distributor attribution rests on a single Hebrew LinkedIn post and was not confirmed on Eppendorf's or Lumitron's own site.</t>
        </is>
      </c>
      <c r="AF14" s="2" t="inlineStr">
        <is>
          <t>https://annual-report.eppendorf.com/EN/Eppendorf_GB2025_e_editorial.pdf ; https://annual-report.eppendorf.com/EN/Eppendorf_GB2025_e_vorwort.pdf ; https://en.wikipedia.org/wiki/Eppendorf_(company) ; https://corporate.eppendorf.com ; https://il.linkedin.com/in/nili-krool</t>
        </is>
      </c>
    </row>
    <row r="15">
      <c r="A15" s="2" t="n">
        <v>14</v>
      </c>
      <c r="B15" s="2" t="inlineStr">
        <is>
          <t>QIAGEN</t>
        </is>
      </c>
      <c r="C15" s="2" t="inlineStr">
        <is>
          <t>QIAGEN; QIAstat-Dx; QuantiFERON; Genoox</t>
        </is>
      </c>
      <c r="D15" s="2" t="inlineStr">
        <is>
          <t>Venlo (statutory seat); operational HQ Hilden, Germany</t>
        </is>
      </c>
      <c r="E15" s="2" t="inlineStr">
        <is>
          <t>Netherlands</t>
        </is>
      </c>
      <c r="F15" s="2" t="inlineStr"/>
      <c r="G15" s="2" t="inlineStr">
        <is>
          <t>Public (NYSE: QGEN; Frankfurt: QIA)</t>
        </is>
      </c>
      <c r="H15" s="2" t="n">
        <v>1984</v>
      </c>
      <c r="I15" s="2" t="inlineStr">
        <is>
          <t>https://www.qiagen.com</t>
        </is>
      </c>
      <c r="J15" s="2" t="inlineStr">
        <is>
          <t>Life-science instruments &amp; reagents</t>
        </is>
      </c>
      <c r="K15" s="3" t="n">
        <v>6000</v>
      </c>
      <c r="L15" s="2" t="n">
        <v>2025</v>
      </c>
      <c r="M15" s="2" t="inlineStr">
        <is>
          <t>company</t>
        </is>
      </c>
      <c r="N15" s="2" t="inlineStr">
        <is>
          <t>Approximate: QIAGEN's corporate boilerplate states 'more than 6,000 employees'; the exact 2025 annual-report figure was not retrieved in this session (search budget exhausted). Company materials seen describe 35 subsidiaries in 25+ countries and distribution partners in 60+ countries.</t>
        </is>
      </c>
      <c r="O15" s="2" t="inlineStr">
        <is>
          <t>USD 2.09 billion</t>
        </is>
      </c>
      <c r="P15" s="3" t="n">
        <v>2090</v>
      </c>
      <c r="Q15" s="2" t="inlineStr">
        <is>
          <t>FY2025</t>
        </is>
      </c>
      <c r="R15" s="2" t="inlineStr">
        <is>
          <t>company</t>
        </is>
      </c>
      <c r="S15" s="2" t="inlineStr">
        <is>
          <t>FY2025 net sales USD 2.09B vs USD 1.98B in 2024 (~+5% CER); net income USD 424.9M (360Dx/GenomeWeb coverage of the Q4 2025 release). QIAGEN reports in USD.</t>
        </is>
      </c>
      <c r="T15" s="2" t="inlineStr">
        <is>
          <t>mixed</t>
        </is>
      </c>
      <c r="U15" s="2" t="inlineStr">
        <is>
          <t>QIAcube Connect — automated nucleic-acid extraction instrument</t>
        </is>
      </c>
      <c r="V15" s="2" t="inlineStr">
        <is>
          <t>QIAstat-Dx — syndromic molecular diagnostic panel system</t>
        </is>
      </c>
      <c r="W15" s="2" t="inlineStr">
        <is>
          <t>QuantiFERON-TB Gold Plus — interferon-gamma TB blood test</t>
        </is>
      </c>
      <c r="X15" s="2" t="inlineStr">
        <is>
          <t>distributor</t>
        </is>
      </c>
      <c r="Y15" s="2" t="inlineStr">
        <is>
          <t>מפיץ / נציג ישראלי</t>
        </is>
      </c>
      <c r="Z15" s="2" t="inlineStr">
        <is>
          <t>verified</t>
        </is>
      </c>
      <c r="AA15" s="2" t="inlineStr">
        <is>
          <t>אומת ממקור</t>
        </is>
      </c>
      <c r="AB15" s="2" t="inlineStr">
        <is>
          <t>Ilex Medical Ltd. [מפיץ; molecular diagnostics and research - QIAcuity digital PCR, Rotor-Gene Q qPCR, QIAxcel, nucleic-acid extraction, oncology and hematology assay kits (Ilex catalogue pages, c. 2024)] | Eldan Electronic Instruments (Neopharm group) [מפיץ; listed QIAGEN among the manufacturers it represents in Israel (life-science research) on a 2014 page and showed QIAGEN products at ISM/IIS meetings in 2015-2016; current status unconfirmed]</t>
        </is>
      </c>
      <c r="AC15" s="2" t="inlineStr">
        <is>
          <t>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t>
        </is>
      </c>
      <c r="AD15" s="2" t="inlineStr">
        <is>
          <t>medium</t>
        </is>
      </c>
      <c r="AE15" s="2" t="inlineStr">
        <is>
          <t>Distributor-site evidence (Ilex current, Eldan stale); no confirmation on QIAGEN's site and the research-vs-clinical split between distributors is unverified.</t>
        </is>
      </c>
      <c r="AF15" s="2" t="inlineStr">
        <is>
          <t>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t>
        </is>
      </c>
    </row>
    <row r="16">
      <c r="A16" s="2" t="n">
        <v>15</v>
      </c>
      <c r="B16" s="2" t="inlineStr">
        <is>
          <t>Illumina</t>
        </is>
      </c>
      <c r="C16" s="2" t="inlineStr">
        <is>
          <t>Solexa (legacy); Emedgene (Israeli subsidiary)</t>
        </is>
      </c>
      <c r="D16" s="2" t="inlineStr">
        <is>
          <t>San Diego, California</t>
        </is>
      </c>
      <c r="E16" s="2" t="inlineStr">
        <is>
          <t>USA</t>
        </is>
      </c>
      <c r="F16" s="2" t="inlineStr"/>
      <c r="G16" s="2" t="inlineStr">
        <is>
          <t>Public (NASDAQ: ILMN)</t>
        </is>
      </c>
      <c r="H16" s="2" t="n">
        <v>1998</v>
      </c>
      <c r="I16" s="2" t="inlineStr">
        <is>
          <t>https://www.illumina.com</t>
        </is>
      </c>
      <c r="J16" s="2" t="inlineStr">
        <is>
          <t>Genomics / sequencing</t>
        </is>
      </c>
      <c r="K16" s="3" t="n">
        <v>8600</v>
      </c>
      <c r="L16" s="2" t="n">
        <v>2025</v>
      </c>
      <c r="M16" s="2" t="inlineStr">
        <is>
          <t>company</t>
        </is>
      </c>
      <c r="N16" s="2" t="inlineStr">
        <is>
          <t>FY2025 10-K: ~8,600 full-time employees as of 28 Dec 2025 (plus ~50 part-time and ~1,430 contingent workers); 8,970 a year earlier. Regional split: ~4,740 Americas, ~1,280 Europe, ~2,350 AMEA, ~290 Greater China.</t>
        </is>
      </c>
      <c r="O16" s="2" t="inlineStr">
        <is>
          <t>USD 4.34 billion</t>
        </is>
      </c>
      <c r="P16" s="3" t="n">
        <v>4343</v>
      </c>
      <c r="Q16" s="2" t="inlineStr">
        <is>
          <t>FY2025</t>
        </is>
      </c>
      <c r="R16" s="2" t="inlineStr">
        <is>
          <t>company</t>
        </is>
      </c>
      <c r="S16" s="2" t="inlineStr">
        <is>
          <t>Third-party summary of the FY2025 10-K: revenue USD 4,343M, down 1% from USD 4,372M in FY2024 (~74% consumables, 11% instruments, 15% services). Income-statement page of the 10-K not opened directly.</t>
        </is>
      </c>
      <c r="T16" s="2" t="inlineStr">
        <is>
          <t>reported</t>
        </is>
      </c>
      <c r="U16" s="2" t="inlineStr">
        <is>
          <t>NovaSeq X Series — high-throughput production-scale sequencers</t>
        </is>
      </c>
      <c r="V16" s="2" t="inlineStr">
        <is>
          <t>NextSeq 1000/2000 — mid-throughput benchtop sequencers</t>
        </is>
      </c>
      <c r="W16" s="2" t="inlineStr">
        <is>
          <t>MiSeq i100 — compact benchtop sequencer</t>
        </is>
      </c>
      <c r="X16" s="2" t="inlineStr">
        <is>
          <t>distributor</t>
        </is>
      </c>
      <c r="Y16" s="2" t="inlineStr">
        <is>
          <t>מפיץ / נציג ישראלי</t>
        </is>
      </c>
      <c r="Z16" s="2" t="inlineStr">
        <is>
          <t>verified</t>
        </is>
      </c>
      <c r="AA16" s="2" t="inlineStr">
        <is>
          <t>אומת ממקור</t>
        </is>
      </c>
      <c r="AB16" s="2" t="inlineStr">
        <is>
          <t>Danyel Biotech Ltd. (Gamida for Life group) (דניאל ביוטק) [מפיץ; Illumina sequencers, arrays and reagents (long-standing distributor; 2020 evidence – verify current status)] | Illumina Israel (ex-Emedgene, Tel Aviv) (אילומינה ישראל) [חברה-בת; R&amp;D / AI centre of excellence (~30 staff); not a sales channel]</t>
        </is>
      </c>
      <c r="AC16" s="2" t="inlineStr">
        <is>
          <t>Distributor: Danyel Biotech (Rehovot, founded 1998, part of the Gamida for Life group) is described in a January 2020 Saphetor/VarSome press release as 'a leading distributor providing innovative solutions such as Illumina, ArcherDx etc.' in Israel. That evidence is from 2020 and could not be re-verified on danyel.co.il or illumina.com's distributor page (fetch failure; search budget exhausted). Own entity: Illumina runs an Israeli R&amp;D/AI centre of excellence in Tel Aviv (~30 employees, headed by Einat Metzer) built on Emedgene, 'an Illumina company' (acquired 2022), per Calcalist and Israeli job listings; a third-party profile dates Illumina's Israeli presence to January 2022. No evidence was found that Illumina sells instruments or consumables directly in Israel, so the commercial channel is recorded as distributor with the own entity as R&amp;D only. Searched 'Illumina Israel distributor Danyel Biotech' and 'אילומינה Illumina ישראל נציג יבואן'.</t>
        </is>
      </c>
      <c r="AD16" s="2" t="inlineStr">
        <is>
          <t>medium</t>
        </is>
      </c>
      <c r="AE16" s="2" t="inlineStr">
        <is>
          <t>Headcount is from the FY2025 10-K; revenue from a 10-K summary. Danyel distributorship rests on a 2020 third-party press release and was not re-confirmed on either company's site.</t>
        </is>
      </c>
      <c r="AF16" s="2" t="inlineStr">
        <is>
          <t>https://www.sec.gov/Archives/edgar/data/1110803/000111080326000024/ilmn-20251228.htm ; https://www.hudson-labs.com/research/illumina-stock-analysis-ilmn ; https://news.varsome.com/en/danyel-biotech-to-distribute-varsome-clinical-in-israel ; https://blog.varsome.com/danyel-biotech-to-distribute-varsome-clinical-in-israel ; https://www.cbinsights.com/company/danyel-biotech ; https://alumni.weizmann.ac.il/companies/biotech/ ; https://www.calcalist.co.il/calcalistech/article/rjxksl5e9 ; https://jobify360.co.il/jobs/3853084682-in ; https://startupim.com/company/illumina</t>
        </is>
      </c>
    </row>
    <row r="17">
      <c r="A17" s="2" t="n">
        <v>16</v>
      </c>
      <c r="B17" s="2" t="inlineStr">
        <is>
          <t>Beckman Coulter (Danaher)</t>
        </is>
      </c>
      <c r="C17" s="2" t="inlineStr">
        <is>
          <t>Beckman Coulter Life Sciences; Beckman Coulter Diagnostics; Beckman Instruments; Coulter Corporation</t>
        </is>
      </c>
      <c r="D17" s="2" t="inlineStr">
        <is>
          <t>Brea, California (Diagnostics); Indianapolis, Indiana (Life Sciences)</t>
        </is>
      </c>
      <c r="E17" s="2" t="inlineStr">
        <is>
          <t>USA</t>
        </is>
      </c>
      <c r="F17" s="2" t="inlineStr">
        <is>
          <t>Danaher Corporation</t>
        </is>
      </c>
      <c r="G17" s="2" t="inlineStr">
        <is>
          <t>Subsidiary of Danaher Corporation (public, NYSE: DHR)</t>
        </is>
      </c>
      <c r="H17" s="2" t="n">
        <v>1935</v>
      </c>
      <c r="I17" s="2" t="inlineStr">
        <is>
          <t>https://www.beckmancoulter.com</t>
        </is>
      </c>
      <c r="J17" s="2" t="inlineStr">
        <is>
          <t>Clinical / IVD laboratory analyzers</t>
        </is>
      </c>
      <c r="K17" s="3" t="n">
        <v>12000</v>
      </c>
      <c r="L17" s="2" t="n">
        <v>2025</v>
      </c>
      <c r="M17" s="2" t="inlineStr">
        <is>
          <t>estimate</t>
        </is>
      </c>
      <c r="N17" s="2" t="inlineStr">
        <is>
          <t>Approximate combined headcount of Beckman Coulter Diagnostics (~11,000 per company statements) and Beckman Coulter Life Sciences; Danaher does not disclose operating-company headcount (parent ~60,000). Figures recalled from company statements / filings and not re-verified online in this session.</t>
        </is>
      </c>
      <c r="O17" s="2" t="inlineStr">
        <is>
          <t>USD ~9.9 billion (Danaher Diagnostics segment, FY2025)</t>
        </is>
      </c>
      <c r="P17" s="3" t="n">
        <v>9900</v>
      </c>
      <c r="Q17" s="2" t="inlineStr">
        <is>
          <t>FY2025</t>
        </is>
      </c>
      <c r="R17" s="2" t="inlineStr">
        <is>
          <t>segment</t>
        </is>
      </c>
      <c r="S17" s="2" t="inlineStr">
        <is>
          <t>Danaher's Diagnostics segment (Beckman Coulter Dx, Cepheid, Leica Biosystems, Radiometer); Beckman Coulter Life Sciences sits in the Life Sciences segment (~USD 7.3B). Beckman alone is not disclosed.</t>
        </is>
      </c>
      <c r="T17" s="2" t="inlineStr">
        <is>
          <t>mixed</t>
        </is>
      </c>
      <c r="U17" s="2" t="inlineStr">
        <is>
          <t>DxH 900 — hematology analyzer (Diagnostics)</t>
        </is>
      </c>
      <c r="V17" s="2" t="inlineStr">
        <is>
          <t>DxI 9000 Access — immunoassay analyzer (Diagnostics)</t>
        </is>
      </c>
      <c r="W17" s="2" t="inlineStr">
        <is>
          <t>CytoFLEX — benchtop flow cytometers (Life Sciences)</t>
        </is>
      </c>
      <c r="X17" s="2" t="inlineStr">
        <is>
          <t>distributor</t>
        </is>
      </c>
      <c r="Y17" s="2" t="inlineStr">
        <is>
          <t>מפיץ / נציג ישראלי</t>
        </is>
      </c>
      <c r="Z17" s="2" t="inlineStr">
        <is>
          <t>verified</t>
        </is>
      </c>
      <c r="AA17" s="2" t="inlineStr">
        <is>
          <t>אומת ממקור</t>
        </is>
      </c>
      <c r="AB17" s="2" t="inlineStr">
        <is>
          <t>Rhenium Ltd. (רניום) [מפיץ; Beckman Coulter Life Sciences (official Israel contact page: Rhenium, 20 Hasatat St, Modi'in); the Diagnostics channel may be a different partner – to verify]</t>
        </is>
      </c>
      <c r="AC17" s="2" t="inlineStr">
        <is>
          <t>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is>
      </c>
      <c r="AD17" s="2" t="inlineStr">
        <is>
          <t>medium</t>
        </is>
      </c>
      <c r="AE17" s="2" t="inlineStr">
        <is>
          <t>Life Sciences distributor comes from Beckman's official contact page (high). Diagnostics channel unknown; size data are parent-level secondary figures.</t>
        </is>
      </c>
      <c r="AF17" s="2" t="inlineStr">
        <is>
          <t>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t>
        </is>
      </c>
    </row>
    <row r="18">
      <c r="A18" s="2" t="n">
        <v>17</v>
      </c>
      <c r="B18" s="2" t="inlineStr">
        <is>
          <t>Cytiva (Danaher)</t>
        </is>
      </c>
      <c r="C18" s="2" t="inlineStr">
        <is>
          <t>GE Healthcare Life Sciences (former); Amersham; Whatman; HyClone; Pall life sciences (merged 2023)</t>
        </is>
      </c>
      <c r="D18" s="2" t="inlineStr">
        <is>
          <t>Marlborough, Massachusetts</t>
        </is>
      </c>
      <c r="E18" s="2" t="inlineStr">
        <is>
          <t>USA</t>
        </is>
      </c>
      <c r="F18" s="2" t="inlineStr">
        <is>
          <t>Danaher Corporation</t>
        </is>
      </c>
      <c r="G18" s="2" t="inlineStr">
        <is>
          <t>Subsidiary of Danaher Corporation (public, NYSE: DHR)</t>
        </is>
      </c>
      <c r="H18" s="2" t="n">
        <v>2020</v>
      </c>
      <c r="I18" s="2" t="inlineStr">
        <is>
          <t>https://www.cytivalifesciences.com</t>
        </is>
      </c>
      <c r="J18" s="2" t="inlineStr">
        <is>
          <t>Bioprocess &amp; filtration</t>
        </is>
      </c>
      <c r="K18" s="3" t="n">
        <v>16000</v>
      </c>
      <c r="L18" s="2" t="n">
        <v>2025</v>
      </c>
      <c r="M18" s="2" t="inlineStr">
        <is>
          <t>estimate</t>
        </is>
      </c>
      <c r="N18" s="2" t="inlineStr">
        <is>
          <t>Cytiva states 16,000+ associates after absorbing Pall's life-science business (2023). Figures recalled from company statements / filings and not re-verified online in this session.</t>
        </is>
      </c>
      <c r="O18" s="2" t="inlineStr">
        <is>
          <t>USD 7.3 billion (Danaher Biotechnology segment)</t>
        </is>
      </c>
      <c r="P18" s="3" t="n">
        <v>7300</v>
      </c>
      <c r="Q18" s="2" t="inlineStr">
        <is>
          <t>FY2025</t>
        </is>
      </c>
      <c r="R18" s="2" t="inlineStr">
        <is>
          <t>segment</t>
        </is>
      </c>
      <c r="S18" s="2" t="inlineStr">
        <is>
          <t>Danaher Biotechnology segment (Cytiva incl. Pall life sciences) ~USD 7.3B FY2025; Cytiva alone not disclosed.</t>
        </is>
      </c>
      <c r="T18" s="2" t="inlineStr">
        <is>
          <t>mixed</t>
        </is>
      </c>
      <c r="U18" s="2" t="inlineStr">
        <is>
          <t>AKTA — protein purification chromatography systems</t>
        </is>
      </c>
      <c r="V18" s="2" t="inlineStr">
        <is>
          <t>MabSelect / Capto resins — chromatography resins for biologics manufacturing</t>
        </is>
      </c>
      <c r="W18" s="2" t="inlineStr">
        <is>
          <t>Biacore — surface plasmon resonance interaction analysis</t>
        </is>
      </c>
      <c r="X18" s="2" t="inlineStr">
        <is>
          <t>distributor</t>
        </is>
      </c>
      <c r="Y18" s="2" t="inlineStr">
        <is>
          <t>מפיץ / נציג ישראלי</t>
        </is>
      </c>
      <c r="Z18" s="2" t="inlineStr">
        <is>
          <t>verified</t>
        </is>
      </c>
      <c r="AA18" s="2" t="inlineStr">
        <is>
          <t>אומת ממקור</t>
        </is>
      </c>
      <c r="AB18" s="2" t="inlineStr">
        <is>
          <t>Danyel Biotech [מפיץ; Cytiva chromatography (ÄKTA pure) and Biacore; other Cytiva lines (Whatman, Amersham, Pall) not confirmed]</t>
        </is>
      </c>
      <c r="AC18" s="2" t="inlineStr">
        <is>
          <t>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t>
        </is>
      </c>
      <c r="AD18" s="2" t="inlineStr">
        <is>
          <t>medium</t>
        </is>
      </c>
      <c r="AE18" s="2" t="inlineStr">
        <is>
          <t>Distributor evidence is the distributor's own brand page; manufacturer-side naming of the Israeli partner was not visible and the scope across Cytiva's many brands is unclear.</t>
        </is>
      </c>
      <c r="AF18" s="2" t="inlineStr">
        <is>
          <t>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t>
        </is>
      </c>
    </row>
    <row r="19">
      <c r="A19" s="2" t="n">
        <v>18</v>
      </c>
      <c r="B19" s="2" t="inlineStr">
        <is>
          <t>Leica Microsystems (Danaher)</t>
        </is>
      </c>
      <c r="C19" s="2" t="inlineStr">
        <is>
          <t>Leica Microsystems GmbH; Leitz (heritage)</t>
        </is>
      </c>
      <c r="D19" s="2" t="inlineStr">
        <is>
          <t>Wetzlar</t>
        </is>
      </c>
      <c r="E19" s="2" t="inlineStr">
        <is>
          <t>Germany</t>
        </is>
      </c>
      <c r="F19" s="2" t="inlineStr">
        <is>
          <t>Danaher Corporation</t>
        </is>
      </c>
      <c r="G19" s="2" t="inlineStr">
        <is>
          <t>Subsidiary of Danaher Corporation (public, NYSE: DHR)</t>
        </is>
      </c>
      <c r="H19" s="2" t="n">
        <v>1849</v>
      </c>
      <c r="I19" s="2" t="inlineStr">
        <is>
          <t>https://www.leica-microsystems.com</t>
        </is>
      </c>
      <c r="J19" s="2" t="inlineStr">
        <is>
          <t>Light microscopy &amp; imaging</t>
        </is>
      </c>
      <c r="K19" s="3" t="n">
        <v>3500</v>
      </c>
      <c r="L19" s="2" t="n">
        <v>2025</v>
      </c>
      <c r="M19" s="2" t="inlineStr">
        <is>
          <t>estimate</t>
        </is>
      </c>
      <c r="N19" s="2" t="inlineStr">
        <is>
          <t>Approximate Leica Microsystems headcount (company statements cite several thousand employees); parent Danaher ~60,000. Figures recalled from company statements / filings and not re-verified online in this session.</t>
        </is>
      </c>
      <c r="O19" s="2" t="inlineStr">
        <is>
          <t>USD 7.3 billion (Danaher Life Sciences segment)</t>
        </is>
      </c>
      <c r="P19" s="3" t="n">
        <v>7300</v>
      </c>
      <c r="Q19" s="2" t="inlineStr">
        <is>
          <t>FY2025</t>
        </is>
      </c>
      <c r="R19" s="2" t="inlineStr">
        <is>
          <t>segment</t>
        </is>
      </c>
      <c r="S19" s="2" t="inlineStr">
        <is>
          <t>Danaher Life Sciences segment ~USD 7.3B FY2025 (Leica Microsystems, SCIEX, Molecular Devices, Beckman LS, Abcam, IDT, Aldevron…); Leica alone not disclosed.</t>
        </is>
      </c>
      <c r="T19" s="2" t="inlineStr">
        <is>
          <t>mixed</t>
        </is>
      </c>
      <c r="U19" s="2" t="inlineStr">
        <is>
          <t>STELLARIS — confocal microscopy platform</t>
        </is>
      </c>
      <c r="V19" s="2" t="inlineStr">
        <is>
          <t>Mica — automated widefield/confocal imaging microhub</t>
        </is>
      </c>
      <c r="W19" s="2" t="inlineStr">
        <is>
          <t>THUNDER Imagers — computational-clearing widefield imaging systems</t>
        </is>
      </c>
      <c r="X19" s="2" t="inlineStr">
        <is>
          <t>distributor</t>
        </is>
      </c>
      <c r="Y19" s="2" t="inlineStr">
        <is>
          <t>מפיץ / נציג ישראלי</t>
        </is>
      </c>
      <c r="Z19" s="2" t="inlineStr">
        <is>
          <t>verified</t>
        </is>
      </c>
      <c r="AA19" s="2" t="inlineStr">
        <is>
          <t>אומת ממקור</t>
        </is>
      </c>
      <c r="AB19" s="2" t="inlineStr">
        <is>
          <t>Lapidot Group (Ophthalmic Surgery Unit) [מפיץ; Leica surgical microscopes (ophthalmology, neurosurgery, ENT; floor- and ceiling-mounted) — Leica Microsystems medical division only] | Rhenium Ltd. [מפיץ; research microscopes — per a 2009 Israel Physical Society trade-fair listing only (exclusive representative then); NOT re-confirmed in 2026]</t>
        </is>
      </c>
      <c r="AC19" s="2" t="inlineStr">
        <is>
          <t>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is>
      </c>
      <c r="AD19" s="2" t="inlineStr">
        <is>
          <t>medium</t>
        </is>
      </c>
      <c r="AE19" s="2" t="inlineStr">
        <is>
          <t>Surgical-microscope channel verified on the distributor's own site; research-microscope channel rests on a 2009 listing and could not be re-verified.</t>
        </is>
      </c>
      <c r="AF19" s="2" t="inlineStr">
        <is>
          <t>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t>
        </is>
      </c>
    </row>
    <row r="20">
      <c r="A20" s="2" t="n">
        <v>19</v>
      </c>
      <c r="B20" s="2" t="inlineStr">
        <is>
          <t>SCIEX (Danaher)</t>
        </is>
      </c>
      <c r="C20" s="2" t="inlineStr">
        <is>
          <t>AB SCIEX; Applied Biosystems/MDS Sciex</t>
        </is>
      </c>
      <c r="D20" s="2" t="inlineStr">
        <is>
          <t>Framingham, Massachusetts</t>
        </is>
      </c>
      <c r="E20" s="2" t="inlineStr">
        <is>
          <t>USA</t>
        </is>
      </c>
      <c r="F20" s="2" t="inlineStr">
        <is>
          <t>Danaher Corporation</t>
        </is>
      </c>
      <c r="G20" s="2" t="inlineStr">
        <is>
          <t>Subsidiary of Danaher Corporation (public, NYSE: DHR)</t>
        </is>
      </c>
      <c r="H20" s="2" t="n">
        <v>1969</v>
      </c>
      <c r="I20" s="2" t="inlineStr">
        <is>
          <t>https://sciex.com</t>
        </is>
      </c>
      <c r="J20" s="2" t="inlineStr">
        <is>
          <t>Analytical instruments (chromatography / mass spectrometry / spectroscopy)</t>
        </is>
      </c>
      <c r="K20" s="3" t="n">
        <v>2000</v>
      </c>
      <c r="L20" s="2" t="n">
        <v>2025</v>
      </c>
      <c r="M20" s="2" t="inlineStr">
        <is>
          <t>estimate</t>
        </is>
      </c>
      <c r="N20" s="2" t="inlineStr">
        <is>
          <t>Approximate SCIEX headcount (~2,000); parent Danaher ~60,000. Figures recalled from company statements / filings and not re-verified online in this session.</t>
        </is>
      </c>
      <c r="O20" s="2" t="inlineStr">
        <is>
          <t>USD 7.3 billion (Danaher Life Sciences segment)</t>
        </is>
      </c>
      <c r="P20" s="3" t="n">
        <v>7300</v>
      </c>
      <c r="Q20" s="2" t="inlineStr">
        <is>
          <t>FY2025</t>
        </is>
      </c>
      <c r="R20" s="2" t="inlineStr">
        <is>
          <t>segment</t>
        </is>
      </c>
      <c r="S20" s="2" t="inlineStr">
        <is>
          <t>Danaher Life Sciences segment ~USD 7.3B FY2025; SCIEX alone not disclosed.</t>
        </is>
      </c>
      <c r="T20" s="2" t="inlineStr">
        <is>
          <t>mixed</t>
        </is>
      </c>
      <c r="U20" s="2" t="inlineStr">
        <is>
          <t>ZenoTOF 7600+ — QTOF LC-MS/MS mass spectrometer</t>
        </is>
      </c>
      <c r="V20" s="2" t="inlineStr">
        <is>
          <t>SCIEX 7500+ (Triple Quad) — triple-quadrupole LC-MS/MS system</t>
        </is>
      </c>
      <c r="W20" s="2" t="inlineStr">
        <is>
          <t>Echo MS+ — acoustic-ejection mass spectrometry system</t>
        </is>
      </c>
      <c r="X20" s="2" t="inlineStr">
        <is>
          <t>distributor</t>
        </is>
      </c>
      <c r="Y20" s="2" t="inlineStr">
        <is>
          <t>מפיץ / נציג ישראלי</t>
        </is>
      </c>
      <c r="Z20" s="2" t="inlineStr">
        <is>
          <t>verified</t>
        </is>
      </c>
      <c r="AA20" s="2" t="inlineStr">
        <is>
          <t>אומת ממקור</t>
        </is>
      </c>
      <c r="AB20" s="2" t="inlineStr">
        <is>
          <t>Rhenium Group (רניום) [מפיץ; SCIEX mass spectrometry – Israeli distributor since 1 April 2025 (took over from Agentek)]</t>
        </is>
      </c>
      <c r="AC20" s="2" t="inlineStr">
        <is>
          <t>Rhenium announced it became SCIEX's Israeli distributor effective 1 April 2025 (Rhenium site + LinkedIn posts); Agentek (1987) Ltd. was the previous distributor. Not confirmed on sciex.com (page could not be opened).</t>
        </is>
      </c>
      <c r="AD20" s="2" t="inlineStr">
        <is>
          <t>medium</t>
        </is>
      </c>
      <c r="AE20" s="2" t="inlineStr">
        <is>
          <t>Distributor change is well described by the new distributor (Rhenium) and a SCIEX-visit post, but not confirmed on sciex.com; size data are parent/segment secondary figures.</t>
        </is>
      </c>
      <c r="AF20" s="2" t="inlineStr">
        <is>
          <t>https://il.linkedin.com/in/niv-yardeny ; https://agentek.co.il/about-us/ ; https://bitscale.ai/directory/sciex ; https://www.sec.gov/Archives/edgar/data/313616/000031361626000062/dhr-20251231.htm ; https://hudson-labs.com/research/danaher-corporation-dhr-equity-initiation-report ; https://tickerleague.com/companies/DHR/employee-count</t>
        </is>
      </c>
    </row>
    <row r="21">
      <c r="A21" s="2" t="n">
        <v>20</v>
      </c>
      <c r="B21" s="2" t="inlineStr">
        <is>
          <t>Molecular Devices (Danaher)</t>
        </is>
      </c>
      <c r="C21" s="2" t="inlineStr">
        <is>
          <t>Molecular Devices, LLC; Axon Instruments (patch clamp)</t>
        </is>
      </c>
      <c r="D21" s="2" t="inlineStr">
        <is>
          <t>San Jose, California</t>
        </is>
      </c>
      <c r="E21" s="2" t="inlineStr">
        <is>
          <t>USA</t>
        </is>
      </c>
      <c r="F21" s="2" t="inlineStr">
        <is>
          <t>Danaher Corporation</t>
        </is>
      </c>
      <c r="G21" s="2" t="inlineStr">
        <is>
          <t>Subsidiary of Danaher Corporation (public, NYSE: DHR)</t>
        </is>
      </c>
      <c r="H21" s="2" t="n">
        <v>1983</v>
      </c>
      <c r="I21" s="2" t="inlineStr">
        <is>
          <t>https://www.moleculardevices.com</t>
        </is>
      </c>
      <c r="J21" s="2" t="inlineStr">
        <is>
          <t>Microplate readers &amp; detection</t>
        </is>
      </c>
      <c r="K21" s="3" t="n">
        <v>1000</v>
      </c>
      <c r="L21" s="2" t="n">
        <v>2025</v>
      </c>
      <c r="M21" s="2" t="inlineStr">
        <is>
          <t>estimate</t>
        </is>
      </c>
      <c r="N21" s="2" t="inlineStr">
        <is>
          <t>Approximate Molecular Devices headcount (~1,000); parent Danaher ~60,000. Figures recalled from company statements / filings and not re-verified online in this session.</t>
        </is>
      </c>
      <c r="O21" s="2" t="inlineStr">
        <is>
          <t>USD 7.3 billion (Danaher Life Sciences segment)</t>
        </is>
      </c>
      <c r="P21" s="3" t="n">
        <v>7300</v>
      </c>
      <c r="Q21" s="2" t="inlineStr">
        <is>
          <t>FY2025</t>
        </is>
      </c>
      <c r="R21" s="2" t="inlineStr">
        <is>
          <t>segment</t>
        </is>
      </c>
      <c r="S21" s="2" t="inlineStr">
        <is>
          <t>Danaher Life Sciences segment ~USD 7.3B FY2025; Molecular Devices alone not disclosed.</t>
        </is>
      </c>
      <c r="T21" s="2" t="inlineStr">
        <is>
          <t>mixed</t>
        </is>
      </c>
      <c r="U21" s="2" t="inlineStr">
        <is>
          <t>SpectraMax iD5 / i3x — multi-mode microplate readers</t>
        </is>
      </c>
      <c r="V21" s="2" t="inlineStr">
        <is>
          <t>ImageXpress Confocal HT.ai — high-content imaging and analysis system</t>
        </is>
      </c>
      <c r="W21" s="2" t="inlineStr">
        <is>
          <t>FLIPR Penta — kinetic cellular screening (calcium/ion channel) system</t>
        </is>
      </c>
      <c r="X21" s="2" t="inlineStr">
        <is>
          <t>none_found</t>
        </is>
      </c>
      <c r="Y21" s="2" t="inlineStr">
        <is>
          <t>לא נמצא ייצוג</t>
        </is>
      </c>
      <c r="Z21" s="2" t="inlineStr">
        <is>
          <t>partial</t>
        </is>
      </c>
      <c r="AA21" s="2" t="inlineStr">
        <is>
          <t>חיפוש חלקי (ללא פתיחת אתרי היצרן/המפיץ)</t>
        </is>
      </c>
      <c r="AB21" s="2" t="inlineStr"/>
      <c r="AC21" s="2" t="inlineStr">
        <is>
          <t>חיפוש רשת בלבד; דפי ״מפיצים״ של היצרן ואתרי המפיצים לא נפתחו (חסימת רשת). Nothing found. Searched '"Molecular Devices" Israel distributor' and '"Molecular Devices" SpectraMax ישראל נציג'; results were product/reseller listings (used SpectraMax units, VWR supplier pages) and other companies' Israeli distributors (Agentek, Zotal for Oxford Nanopore, Eisenberg Brothers for Fluidigm, Ornat for LI-COR) with no Molecular Devices link. The moleculardevices.com distributor-locator page could not be opened (fetch failure) and further searches were blocked by the search budget, so this is an incomplete search, not a confirmed absence.</t>
        </is>
      </c>
      <c r="AD21" s="2" t="inlineStr">
        <is>
          <t>low</t>
        </is>
      </c>
      <c r="AE21" s="2" t="inlineStr">
        <is>
          <t>No Israeli channel found with the two searches possible; the manufacturer's own distributor page was not checked. Size data are parent/segment secondary figures.</t>
        </is>
      </c>
      <c r="AF21" s="2" t="inlineStr">
        <is>
          <t>https://www.biotechniques.com/companies/molecular-devices-2 ; https://www.labroots.com/companies/molecular-devices/products/spectramax-abs-and-abs-plus-absorbance-elisa-microplate-readers ; https://v1.israelphysicalsociety.org/ips-conference-2009/fairs/agentek-ltd ; https://www.sec.gov/Archives/edgar/data/313616/000031361626000062/dhr-20251231.htm ; https://hudson-labs.com/research/danaher-corporation-dhr-equity-initiation-report ; https://tickerleague.com/companies/DHR/employee-count</t>
        </is>
      </c>
    </row>
    <row r="22">
      <c r="A22" s="2" t="n">
        <v>21</v>
      </c>
      <c r="B22" s="2" t="inlineStr">
        <is>
          <t>BD Biosciences &amp; BD Diagnostic Solutions (part of Waters since Feb 2026)</t>
        </is>
      </c>
      <c r="C22" s="2" t="inlineStr">
        <is>
          <t>BD Biosciences, BD Diagnostic Solutions, Becton Dickinson Life Sciences, FACS, FACSymphony, FACSDiscover, BACTEC, BD MAX, Phoenix, Kiestra; since Feb 2026: Waters Biosciences, Waters Advanced Diagnostics</t>
        </is>
      </c>
      <c r="D22" s="2" t="inlineStr">
        <is>
          <t>Milford, Massachusetts (Waters Corp.); former BD Biosciences HQ San Jose, California; BD corporate HQ Franklin Lakes, New Jersey</t>
        </is>
      </c>
      <c r="E22" s="2" t="inlineStr">
        <is>
          <t>USA</t>
        </is>
      </c>
      <c r="F22" s="2" t="inlineStr">
        <is>
          <t>Waters Corporation (since 9 Feb 2026; previously Becton Dickinson)</t>
        </is>
      </c>
      <c r="G22" s="2" t="inlineStr">
        <is>
          <t>Divisions of Waters Corporation (public, NYSE: WAT) after the Reverse Morris Trust with BD</t>
        </is>
      </c>
      <c r="H22" s="2" t="n">
        <v>1897</v>
      </c>
      <c r="I22" s="2" t="inlineStr">
        <is>
          <t>https://www.bdbiosciences.com</t>
        </is>
      </c>
      <c r="J22" s="2" t="inlineStr">
        <is>
          <t>Cell analysis (flow cytometry / cell sorting)</t>
        </is>
      </c>
      <c r="K22" s="3" t="n">
        <v>8000</v>
      </c>
      <c r="L22" s="2" t="n">
        <v>2025</v>
      </c>
      <c r="M22" s="2" t="inlineStr">
        <is>
          <t>estimate</t>
        </is>
      </c>
      <c r="N22" s="2" t="inlineStr">
        <is>
          <t>Rough share of the ~16,000 combined Waters/ex-BD headcount cited at the deal announcement; the ex-BD businesses alone were not disclosed. Figures recalled from company statements / filings and not re-verified online in this session.</t>
        </is>
      </c>
      <c r="O22" s="2" t="inlineStr">
        <is>
          <t>USD 3.4 billion</t>
        </is>
      </c>
      <c r="P22" s="3" t="n">
        <v>3400</v>
      </c>
      <c r="Q22" s="2" t="inlineStr">
        <is>
          <t>CY2025E (basis used in the Jul-2025 deal announcement)</t>
        </is>
      </c>
      <c r="R22" s="2" t="inlineStr">
        <is>
          <t>segment</t>
        </is>
      </c>
      <c r="S22" s="2" t="inlineStr">
        <is>
          <t>Approx. USD 3.4 billion annual revenue for the combined BD Biosciences &amp; Diagnostic Solutions business, as disclosed by Waters/BD at the 14 Jul 2025 announcement (recalled; not re-verified this session). Parent Waters Corporation stand-alone FY2025 revenue was roughly USD 3.1-3.2 billion (recalled). Post-combination Waters pro-forma revenue ~USD 6.5 billion (announcement figure, recalled).</t>
        </is>
      </c>
      <c r="T22" s="2" t="inlineStr">
        <is>
          <t>reported</t>
        </is>
      </c>
      <c r="U22" s="2" t="inlineStr">
        <is>
          <t>BD FACSDiscover S8 — spectral cell sorter with real-time cell imaging</t>
        </is>
      </c>
      <c r="V22" s="2" t="inlineStr">
        <is>
          <t>BD FACSymphony A5 SE / A1 — high-parameter spectral flow cytometry analyzers</t>
        </is>
      </c>
      <c r="W22" s="2" t="inlineStr">
        <is>
          <t>BD BACTEC FX, BD MAX, BD Phoenix — blood-culture, molecular IVD and ID/AST systems</t>
        </is>
      </c>
      <c r="X22" s="2" t="inlineStr">
        <is>
          <t>subsidiary</t>
        </is>
      </c>
      <c r="Y22" s="2" t="inlineStr">
        <is>
          <t>חברה-בת / משרד של היצרן בישראל</t>
        </is>
      </c>
      <c r="Z22" s="2" t="inlineStr">
        <is>
          <t>verified</t>
        </is>
      </c>
      <c r="AA22" s="2" t="inlineStr">
        <is>
          <t>אומת ממקור</t>
        </is>
      </c>
      <c r="AB22" s="2" t="inlineStr">
        <is>
          <t>Augusta Life Sciences Israel Ltd. (Waters subsidiary, ex-BD Biosciences &amp; Diagnostic Solutions) [חברה-בת; Israeli entity of the acquired BD Biosciences &amp; Diagnostic Solutions business (flow cytometry, BD MAX, BACTEC, Phoenix lines), listed by Waters among the SpinCo entities wholly owned by Waters since 9 Feb 2026; Harduf HaNehalim St 2, Caesarea 3079857] | BD Israel (Becton Dickinson) [חברה-בת; BD's own Israeli office and technical service, 14 Hashita St., Caesarea; +972-73-229-0850 (priceisrael@bd.com), technical service +972-73-229-0830 (TSBDISRAEL@bd.com); after the split this entity belongs to the remaining BD (medical) group] | Lapidot Group (Lapidot Medical) [מפיץ; lists BD as a business partner ('global medical technology company'); product scope not stated - likely BD Medical lines, not confirmed for Biosciences/Diagnostics]</t>
        </is>
      </c>
      <c r="AC22" s="2" t="inlineStr">
        <is>
          <t>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t>
        </is>
      </c>
      <c r="AD22" s="2" t="inlineStr">
        <is>
          <t>medium</t>
        </is>
      </c>
      <c r="AE22" s="2" t="inlineStr">
        <is>
          <t>Entities verified on bd.com and waters.com; the operating split between BD Israel and the Waters-owned Augusta entity after Feb 2026 is inferred, not documented.</t>
        </is>
      </c>
      <c r="AF22" s="2" t="inlineStr">
        <is>
          <t>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t>
        </is>
      </c>
    </row>
    <row r="23">
      <c r="A23" s="2" t="n">
        <v>22</v>
      </c>
      <c r="B23" s="2" t="inlineStr">
        <is>
          <t>Corning Life Sciences (Corning Inc.)</t>
        </is>
      </c>
      <c r="C23" s="2" t="inlineStr">
        <is>
          <t>Corning, Falcon, Axygen, PYREX, Costar, Corning Matrigel, Mediatech/Cellgro, Gosselin</t>
        </is>
      </c>
      <c r="D23" s="2" t="inlineStr">
        <is>
          <t>Corning, New York</t>
        </is>
      </c>
      <c r="E23" s="2" t="inlineStr">
        <is>
          <t>USA</t>
        </is>
      </c>
      <c r="F23" s="2" t="inlineStr">
        <is>
          <t>Corning Incorporated</t>
        </is>
      </c>
      <c r="G23" s="2" t="inlineStr">
        <is>
          <t>Division/segment of Corning Incorporated (public, NYSE: GLW)</t>
        </is>
      </c>
      <c r="H23" s="2" t="n">
        <v>1851</v>
      </c>
      <c r="I23" s="2" t="inlineStr">
        <is>
          <t>https://www.corning.com/worldwide/en/products/life-sciences.html</t>
        </is>
      </c>
      <c r="J23" s="2" t="inlineStr">
        <is>
          <t>Labware &amp; consumables (plastic &amp; glass)</t>
        </is>
      </c>
      <c r="K23" s="3" t="n">
        <v>55500</v>
      </c>
      <c r="L23" s="2" t="n">
        <v>2024</v>
      </c>
      <c r="M23" s="2" t="inlineStr">
        <is>
          <t>parent</t>
        </is>
      </c>
      <c r="N23" s="2" t="inlineStr">
        <is>
          <t>Corning Incorporated group headcount; the Life Sciences segment is not broken out.</t>
        </is>
      </c>
      <c r="O23" s="2" t="inlineStr">
        <is>
          <t>USD 979 million</t>
        </is>
      </c>
      <c r="P23" s="3" t="n">
        <v>979</v>
      </c>
      <c r="Q23" s="2" t="inlineStr">
        <is>
          <t>FY2024</t>
        </is>
      </c>
      <c r="R23" s="2" t="inlineStr">
        <is>
          <t>segment</t>
        </is>
      </c>
      <c r="S23" s="2" t="inlineStr">
        <is>
          <t>Corning Life Sciences segment net sales FY2024 ~USD 979 million (Corning 10-K/segment reporting; recalled, not re-verified). Parent Corning Inc. FY2024 GAAP net sales ~USD 13.1 billion (core sales ~USD 14.5 billion). FY2025 results (published Jan 2026, Life Sciences roughly USD 1.0 billion) could not be verified in this session.</t>
        </is>
      </c>
      <c r="T23" s="2" t="inlineStr">
        <is>
          <t>reported</t>
        </is>
      </c>
      <c r="U23" s="2" t="inlineStr">
        <is>
          <t>Falcon — conical tubes, cell-culture plasticware, serological pipets</t>
        </is>
      </c>
      <c r="V23" s="2" t="inlineStr">
        <is>
          <t>Corning Matrigel Matrix — basement-membrane extract for 3D cell culture</t>
        </is>
      </c>
      <c r="W23" s="2" t="inlineStr">
        <is>
          <t>Axygen — pipette tips, PCR tubes/plates, genomics consumables</t>
        </is>
      </c>
      <c r="X23" s="2" t="inlineStr">
        <is>
          <t>distributor</t>
        </is>
      </c>
      <c r="Y23" s="2" t="inlineStr">
        <is>
          <t>מפיץ / נציג ישראלי</t>
        </is>
      </c>
      <c r="Z23" s="2" t="inlineStr">
        <is>
          <t>verified</t>
        </is>
      </c>
      <c r="AA23" s="2" t="inlineStr">
        <is>
          <t>אומת ממקור</t>
        </is>
      </c>
      <c r="AB23" s="2" t="inlineStr">
        <is>
          <t>Getter Group (Getter Bio-Med) (קבוצת גטר) [מפיץ; Corning – Getter Group states it is Corning's exclusive representative (page ~2 years old; life-science vs. other Corning lines not specified)]</t>
        </is>
      </c>
      <c r="AC23" s="2" t="inlineStr">
        <is>
          <t>Getter Group's about page says it exclusively represents Corning, Olympus and Zeiss in Israel (seen in a search excerpt; ~2 years old).</t>
        </is>
      </c>
      <c r="AD23" s="2" t="inlineStr">
        <is>
          <t>medium</t>
        </is>
      </c>
      <c r="AE23" s="2" t="inlineStr"/>
      <c r="AF23" s="2" t="inlineStr">
        <is>
          <t>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t>
        </is>
      </c>
    </row>
    <row r="24">
      <c r="A24" s="2" t="n">
        <v>23</v>
      </c>
      <c r="B24" s="2" t="inlineStr">
        <is>
          <t>Promega Corporation</t>
        </is>
      </c>
      <c r="C24" s="2" t="inlineStr">
        <is>
          <t>Promega; brands Maxwell, GloMax, CellTiter-Glo, GoTaq, PowerPlex, NanoLuc, HaloTag</t>
        </is>
      </c>
      <c r="D24" s="2" t="inlineStr">
        <is>
          <t>Madison (Fitchburg), Wisconsin</t>
        </is>
      </c>
      <c r="E24" s="2" t="inlineStr">
        <is>
          <t>USA</t>
        </is>
      </c>
      <c r="F24" s="2" t="inlineStr"/>
      <c r="G24" s="2" t="inlineStr">
        <is>
          <t>Private (founder-controlled; William A. Linton)</t>
        </is>
      </c>
      <c r="H24" s="2" t="n">
        <v>1978</v>
      </c>
      <c r="I24" s="2" t="inlineStr">
        <is>
          <t>https://www.promega.com</t>
        </is>
      </c>
      <c r="J24" s="2" t="inlineStr">
        <is>
          <t>Life-science instruments &amp; reagents</t>
        </is>
      </c>
      <c r="K24" s="3" t="n">
        <v>2000</v>
      </c>
      <c r="L24" s="2" t="n">
        <v>2024</v>
      </c>
      <c r="M24" s="2" t="inlineStr">
        <is>
          <t>company</t>
        </is>
      </c>
      <c r="N24" s="2" t="inlineStr">
        <is>
          <t>Approximately 2,000 employees worldwide, with direct branches in 16 countries and 50+ distributors (branch/distributor counts seen on Promega regional sites; headcount recalled from Promega corporate communications, not re-verified).</t>
        </is>
      </c>
      <c r="O24" s="2" t="inlineStr">
        <is>
          <t>USD ~650 million (trade estimate; private)</t>
        </is>
      </c>
      <c r="P24" s="3" t="n">
        <v>650</v>
      </c>
      <c r="Q24" s="2" t="inlineStr">
        <is>
          <t>2024 (estimate)</t>
        </is>
      </c>
      <c r="R24" s="2" t="inlineStr">
        <is>
          <t>estimate</t>
        </is>
      </c>
      <c r="S24" s="2" t="inlineStr">
        <is>
          <t>Promega does not publish revenue; it has described itself as a &gt;USD 500M company and trade estimates put 2024 revenue around USD 600-700M. Figures recalled from company statements / filings and not re-verified online in this session.</t>
        </is>
      </c>
      <c r="T24" s="2" t="inlineStr">
        <is>
          <t>estimate</t>
        </is>
      </c>
      <c r="U24" s="2" t="inlineStr">
        <is>
          <t>Maxwell RSC — automated nucleic acid purification instrument</t>
        </is>
      </c>
      <c r="V24" s="2" t="inlineStr">
        <is>
          <t>GloMax — multimode microplate readers and luminometers</t>
        </is>
      </c>
      <c r="W24" s="2" t="inlineStr">
        <is>
          <t>CellTiter-Glo / Dual-Luciferase — bioluminescent cell-viability and reporter assays</t>
        </is>
      </c>
      <c r="X24" s="2" t="inlineStr">
        <is>
          <t>none_found</t>
        </is>
      </c>
      <c r="Y24" s="2" t="inlineStr">
        <is>
          <t>לא נמצא ייצוג</t>
        </is>
      </c>
      <c r="Z24" s="2" t="inlineStr">
        <is>
          <t>partial</t>
        </is>
      </c>
      <c r="AA24" s="2" t="inlineStr">
        <is>
          <t>חיפוש חלקי (ללא פתיחת אתרי היצרן/המפיץ)</t>
        </is>
      </c>
      <c r="AB24" s="2" t="inlineStr"/>
      <c r="AC24" s="2" t="inlineStr">
        <is>
          <t>חיפוש רשת בלבד; דפי ״מפיצים״ של היצרן ואתרי המפיצים לא נפתחו (חסימת רשת). Searched: '"Promega" Israel distributor', 'Promega worldwide distributors Israel', Hebrew 'פרומגה Promega ישראל נציג'. No Israeli distributor or Promega Israel office appeared in any result; results only described Promega's model (direct branches in 16 countries, 50+ distributors, ordering via promega.com or regional authorized distributors) and distributors for other countries (e.g. MyBio for Ireland, Promega GmbH for DACH/Eastern Europe). Promega's worldwide distributor locator (worldwide.promega.com) could not be opened (fetch blocked). Israel's channel therefore not 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D24" s="2" t="inlineStr">
        <is>
          <t>low</t>
        </is>
      </c>
      <c r="AE24" s="2" t="inlineStr">
        <is>
          <t>Private company with no published revenue; Israel channel not found with the searches possible in this session.</t>
        </is>
      </c>
      <c r="AF24" s="2" t="inlineStr">
        <is>
          <t>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t>
        </is>
      </c>
    </row>
    <row r="25">
      <c r="A25" s="2" t="n">
        <v>24</v>
      </c>
      <c r="B25" s="2" t="inlineStr">
        <is>
          <t>New England Biolabs</t>
        </is>
      </c>
      <c r="C25" s="2" t="inlineStr">
        <is>
          <t>NEB; brands Q5, NEBNext, Monarch, Luna, NEBuilder, NEBExpress</t>
        </is>
      </c>
      <c r="D25" s="2" t="inlineStr">
        <is>
          <t>Ipswich, Massachusetts</t>
        </is>
      </c>
      <c r="E25" s="2" t="inlineStr">
        <is>
          <t>USA</t>
        </is>
      </c>
      <c r="F25" s="2" t="inlineStr"/>
      <c r="G25" s="2" t="inlineStr">
        <is>
          <t>Private</t>
        </is>
      </c>
      <c r="H25" s="2" t="n">
        <v>1974</v>
      </c>
      <c r="I25" s="2" t="inlineStr">
        <is>
          <t>https://www.neb.com</t>
        </is>
      </c>
      <c r="J25" s="2" t="inlineStr">
        <is>
          <t>Life-science instruments &amp; reagents</t>
        </is>
      </c>
      <c r="K25" s="3" t="n">
        <v>1000</v>
      </c>
      <c r="L25" s="2" t="n">
        <v>2024</v>
      </c>
      <c r="M25" s="2" t="inlineStr">
        <is>
          <t>estimate</t>
        </is>
      </c>
      <c r="N25" s="2" t="inlineStr">
        <is>
          <t>Approximately 1,000 employees worldwide (company statements). Figures recalled from company statements / filings and not re-verified online in this session.</t>
        </is>
      </c>
      <c r="O25" s="2" t="inlineStr">
        <is>
          <t>USD ~500 million (trade estimate; private)</t>
        </is>
      </c>
      <c r="P25" s="3" t="n">
        <v>500</v>
      </c>
      <c r="Q25" s="2" t="inlineStr">
        <is>
          <t>2024 (estimate)</t>
        </is>
      </c>
      <c r="R25" s="2" t="inlineStr">
        <is>
          <t>estimate</t>
        </is>
      </c>
      <c r="S25" s="2" t="inlineStr">
        <is>
          <t>NEB is privately held and does not publish revenue; trade estimates are in the USD 400-600M range.</t>
        </is>
      </c>
      <c r="T25" s="2" t="inlineStr">
        <is>
          <t>estimate</t>
        </is>
      </c>
      <c r="U25" s="2" t="inlineStr">
        <is>
          <t>Q5 High-Fidelity DNA Polymerase — high-fidelity PCR enzyme and master mixes</t>
        </is>
      </c>
      <c r="V25" s="2" t="inlineStr">
        <is>
          <t>NEBNext — NGS library-preparation kits</t>
        </is>
      </c>
      <c r="W25" s="2" t="inlineStr">
        <is>
          <t>Monarch — nucleic acid purification kits</t>
        </is>
      </c>
      <c r="X25" s="2" t="inlineStr">
        <is>
          <t>distributor</t>
        </is>
      </c>
      <c r="Y25" s="2" t="inlineStr">
        <is>
          <t>מפיץ / נציג ישראלי</t>
        </is>
      </c>
      <c r="Z25" s="2" t="inlineStr">
        <is>
          <t>verified</t>
        </is>
      </c>
      <c r="AA25" s="2" t="inlineStr">
        <is>
          <t>אומת ממקור</t>
        </is>
      </c>
      <c r="AB25" s="2" t="inlineStr">
        <is>
          <t>Ornat BioChemicals &amp; Lab Equipment Ltd. (אורנת) [מפיץ; New England Biolabs reagents (per Ornat's brand list quoted on the FISEB vendors page)]</t>
        </is>
      </c>
      <c r="AC25" s="2" t="inlineStr">
        <is>
          <t>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D25" s="2" t="inlineStr">
        <is>
          <t>medium</t>
        </is>
      </c>
      <c r="AE25" s="2" t="inlineStr">
        <is>
          <t>Israel distributor (Ornat) is supported by one credible third-party listing quoting the distributor itself, not by NEB's own country list; size figures unavailable (private).</t>
        </is>
      </c>
      <c r="AF25" s="2" t="inlineStr">
        <is>
          <t>https://www.fiseb.org/vendors/ ; https://www.neb.com/en-us/support/international-ordering-support ; https://www.neb.com/en/about-neb/news-and-press-releases/collaborations-with-bioke-and-imperial-life-sciences ; https://www.genomeweb.com/archive/new-england-biolabs-inks-distribution-deals</t>
        </is>
      </c>
    </row>
    <row r="26">
      <c r="A26" s="2" t="n">
        <v>25</v>
      </c>
      <c r="B26" s="2" t="inlineStr">
        <is>
          <t>Bio-Techne</t>
        </is>
      </c>
      <c r="C26" s="2" t="inlineStr">
        <is>
          <t>R&amp;D Systems, Novus Biologicals, Tocris Bioscience, ProteinSimple, Advanced Cell Diagnostics (ACD / RNAscope), Asuragen, Lunaphore, ExosomeDx</t>
        </is>
      </c>
      <c r="D26" s="2" t="inlineStr">
        <is>
          <t>Minneapolis, Minnesota</t>
        </is>
      </c>
      <c r="E26" s="2" t="inlineStr">
        <is>
          <t>USA</t>
        </is>
      </c>
      <c r="F26" s="2" t="inlineStr"/>
      <c r="G26" s="2" t="inlineStr">
        <is>
          <t>Public (NASDAQ: TECH)</t>
        </is>
      </c>
      <c r="H26" s="2" t="n">
        <v>1976</v>
      </c>
      <c r="I26" s="2" t="inlineStr">
        <is>
          <t>https://www.bio-techne.com</t>
        </is>
      </c>
      <c r="J26" s="2" t="inlineStr">
        <is>
          <t>Life-science instruments &amp; reagents</t>
        </is>
      </c>
      <c r="K26" s="3" t="n">
        <v>3100</v>
      </c>
      <c r="L26" s="2" t="n">
        <v>2025</v>
      </c>
      <c r="M26" s="2" t="inlineStr">
        <is>
          <t>company</t>
        </is>
      </c>
      <c r="N26" s="2" t="inlineStr">
        <is>
          <t>Approximately 3,100 employees (Bio-Techne 10-K for FY ended 30 Jun 2025; recalled, not re-verified).</t>
        </is>
      </c>
      <c r="O26" s="2" t="inlineStr">
        <is>
          <t>USD 1.2 billion</t>
        </is>
      </c>
      <c r="P26" s="3" t="n">
        <v>1200</v>
      </c>
      <c r="Q26" s="2" t="inlineStr">
        <is>
          <t>FY2025 (ended 30 Jun 2025)</t>
        </is>
      </c>
      <c r="R26" s="2" t="inlineStr">
        <is>
          <t>company</t>
        </is>
      </c>
      <c r="S26" s="2" t="inlineStr">
        <is>
          <t>FY2025 net sales approx. USD 1.2 billion (about USD 1.21-1.22 bn; recalled from company results, not re-verified). FY2026 (ended Jun 2026) results released Aug 2026 were not accessible in this session.</t>
        </is>
      </c>
      <c r="T26" s="2" t="inlineStr">
        <is>
          <t>reported</t>
        </is>
      </c>
      <c r="U26" s="2" t="inlineStr">
        <is>
          <t>ProteinSimple Jess / Simple Western — automated capillary western-blot immunoassay systems</t>
        </is>
      </c>
      <c r="V26" s="2" t="inlineStr">
        <is>
          <t>R&amp;D Systems proteins, antibodies &amp; Quantikine ELISAs — recombinant proteins, antibodies, immunoassay kits</t>
        </is>
      </c>
      <c r="W26" s="2" t="inlineStr">
        <is>
          <t>RNAscope (ACD) — in situ hybridization assays for RNA detection</t>
        </is>
      </c>
      <c r="X26" s="2" t="inlineStr">
        <is>
          <t>none_found</t>
        </is>
      </c>
      <c r="Y26" s="2" t="inlineStr">
        <is>
          <t>לא נמצא ייצוג</t>
        </is>
      </c>
      <c r="Z26" s="2" t="inlineStr">
        <is>
          <t>partial</t>
        </is>
      </c>
      <c r="AA26" s="2" t="inlineStr">
        <is>
          <t>חיפוש חלקי (ללא פתיחת אתרי היצרן/המפיץ)</t>
        </is>
      </c>
      <c r="AB26" s="2" t="inlineStr"/>
      <c r="AC26" s="2" t="inlineStr">
        <is>
          <t>חיפוש רשת בלבד; דפי ״מפיצים״ של היצרן ואתרי המפיצים לא נפתחו (חסימת רשת). Searched: '"Bio-Techne" OR "R&amp;D Systems" Israel distributor' (the Hebrew query 'R&amp;D Systems / ProteinSimple / Bio-Techne ישראל נציג יבואן' was blocked by the exhausted search budget). Results showed Bio-Techne's distributor directory pages (rndsystems.com/distributors, bio-techne.com/distributors) with entries for other countries only; the directory could not be fetched to check an Israel entry. Bio-Techne Ltd (Abingdon, UK) states it supplies Europe, Africa and the Middle East, so Israel may be served directly from the UK and/or by an unidentified local distributor. The Dec-2024 MedSanTek agreement covers Turkey only. No Israeli entity 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D26" s="2" t="inlineStr">
        <is>
          <t>low</t>
        </is>
      </c>
      <c r="AE26" s="2" t="inlineStr">
        <is>
          <t>Israel channel could not be determined (locator not accessible, Hebrew search not run); size figures recalled from filings.</t>
        </is>
      </c>
      <c r="AF26" s="2" t="inlineStr">
        <is>
          <t>https://www.rndsystems.com/distributors ; https://bio-techne.com/distributors ; https://bio-techne.com/about/about-bio-techne ; https://investors.bio-techne.com/press-releases/detail/459/bio-techne-announces-new-distribution-agreement-with ; https://www.rndsystems.com/contact-us-cms</t>
        </is>
      </c>
    </row>
    <row r="27">
      <c r="A27" s="2" t="n">
        <v>26</v>
      </c>
      <c r="B27" s="2" t="inlineStr">
        <is>
          <t>Miltenyi Biotec</t>
        </is>
      </c>
      <c r="C27" s="2" t="inlineStr">
        <is>
          <t>Miltenyi Biotec; MACS, CliniMACS, CliniMACS Prodigy, MACSQuant, autoMACS, gentleMACS, MACSima</t>
        </is>
      </c>
      <c r="D27" s="2" t="inlineStr">
        <is>
          <t>Bergisch Gladbach</t>
        </is>
      </c>
      <c r="E27" s="2" t="inlineStr">
        <is>
          <t>Germany</t>
        </is>
      </c>
      <c r="F27" s="2" t="inlineStr"/>
      <c r="G27" s="2" t="inlineStr">
        <is>
          <t>Private (founder-owned, Stefan Miltenyi)</t>
        </is>
      </c>
      <c r="H27" s="2" t="n">
        <v>1989</v>
      </c>
      <c r="I27" s="2" t="inlineStr">
        <is>
          <t>https://www.miltenyibiotec.com</t>
        </is>
      </c>
      <c r="J27" s="2" t="inlineStr">
        <is>
          <t>Cell analysis (flow cytometry / cell sorting)</t>
        </is>
      </c>
      <c r="K27" s="3" t="n">
        <v>4700</v>
      </c>
      <c r="L27" s="2" t="n"/>
      <c r="M27" s="2" t="inlineStr">
        <is>
          <t>company</t>
        </is>
      </c>
      <c r="N27" s="2" t="inlineStr">
        <is>
          <t>'More than 4,700 employees in 23 countries' per an undated chemie.de company profile seen in search results; the company's current website states more than 5,000 employees in ~28 countries (recalled, not re-verified).</t>
        </is>
      </c>
      <c r="O27" s="2" t="inlineStr">
        <is>
          <t>EUR ~600 million (trade estimate; private)</t>
        </is>
      </c>
      <c r="P27" s="3" t="n">
        <v>660</v>
      </c>
      <c r="Q27" s="2" t="inlineStr">
        <is>
          <t>2024 (estimate)</t>
        </is>
      </c>
      <c r="R27" s="2" t="inlineStr">
        <is>
          <t>estimate</t>
        </is>
      </c>
      <c r="S27" s="2" t="inlineStr">
        <is>
          <t>Miltenyi Biotec is family-owned and publishes no revenue; trade estimates range roughly EUR 500-800M. Figures recalled from company statements / filings and not re-verified online in this session.</t>
        </is>
      </c>
      <c r="T27" s="2" t="inlineStr">
        <is>
          <t>estimate</t>
        </is>
      </c>
      <c r="U27" s="2" t="inlineStr">
        <is>
          <t>MACS MicroBeads / autoMACS / MultiMACS — magnetic cell separation reagents and instruments</t>
        </is>
      </c>
      <c r="V27" s="2" t="inlineStr">
        <is>
          <t>CliniMACS Prodigy — automated closed-system cell-therapy manufacturing platform</t>
        </is>
      </c>
      <c r="W27" s="2" t="inlineStr">
        <is>
          <t>MACSQuant Analyzer / MACSQuant Tyto — flow cytometers and cartridge-based cell sorter</t>
        </is>
      </c>
      <c r="X27" s="2" t="inlineStr">
        <is>
          <t>none_found</t>
        </is>
      </c>
      <c r="Y27" s="2" t="inlineStr">
        <is>
          <t>לא נמצא ייצוג</t>
        </is>
      </c>
      <c r="Z27" s="2" t="inlineStr">
        <is>
          <t>partial</t>
        </is>
      </c>
      <c r="AA27" s="2" t="inlineStr">
        <is>
          <t>חיפוש חלקי (ללא פתיחת אתרי היצרן/המפיץ)</t>
        </is>
      </c>
      <c r="AB27" s="2" t="inlineStr"/>
      <c r="AC27" s="2" t="inlineStr">
        <is>
          <t>חיפוש רשת בלבד; דפי ״מפיצים״ של היצרן ואתרי המפיצים לא נפתחו (חסימת רשת). Only one search could be run ('"Miltenyi Biotec" Israel distributor'); it returned no Israel-related result. A German company profile listed Miltenyi subsidiaries in the USA, UK, France, Italy, Spain, China, Australia, Japan, Netherlands and Singapore (no Israel), and the company has used third-party distributors in some regions (e.g. Fisher Scientific in the Nordics before 2012). The planned follow-ups - 'Miltenyi Biotec Israel office / MACS Israel', Hebrew 'מילטני Miltenyi ישראל נציג יבואן MACS', and the manufacturer's contact/distributor page - were blocked by the exhausted search budget and fetch failures, so this 'none_found' is weak.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D27" s="2" t="inlineStr">
        <is>
          <t>low</t>
        </is>
      </c>
      <c r="AE27" s="2" t="inlineStr">
        <is>
          <t>Israel research incomplete (single search, no Hebrew search, no manufacturer page); private company without published revenue.</t>
        </is>
      </c>
      <c r="AF27" s="2" t="inlineStr">
        <is>
          <t>https://www.chemie.de/firmen/350/miltenyi-biotec-b-v-co-kg.html ; https://www.chemie.de/lexikon/Miltenyi_Biotec.html ; https://www.mynewsdesk.com/se/miltenyibiotec/pressreleases/miltenyi-biotec-opens-its-new-nordic-subsidiary-776649</t>
        </is>
      </c>
    </row>
    <row r="28">
      <c r="A28" s="2" t="n">
        <v>27</v>
      </c>
      <c r="B28" s="2" t="inlineStr">
        <is>
          <t>10x Genomics</t>
        </is>
      </c>
      <c r="C28" s="2" t="inlineStr">
        <is>
          <t>10x; Chromium, Visium, Xenium</t>
        </is>
      </c>
      <c r="D28" s="2" t="inlineStr">
        <is>
          <t>Pleasanton, California</t>
        </is>
      </c>
      <c r="E28" s="2" t="inlineStr">
        <is>
          <t>USA</t>
        </is>
      </c>
      <c r="F28" s="2" t="inlineStr"/>
      <c r="G28" s="2" t="inlineStr">
        <is>
          <t>Public (NASDAQ: TXG)</t>
        </is>
      </c>
      <c r="H28" s="2" t="n">
        <v>2012</v>
      </c>
      <c r="I28" s="2" t="inlineStr">
        <is>
          <t>https://www.10xgenomics.com</t>
        </is>
      </c>
      <c r="J28" s="2" t="inlineStr">
        <is>
          <t>Genomics / sequencing</t>
        </is>
      </c>
      <c r="K28" s="3" t="n">
        <v>1100</v>
      </c>
      <c r="L28" s="2" t="n">
        <v>2024</v>
      </c>
      <c r="M28" s="2" t="inlineStr">
        <is>
          <t>company</t>
        </is>
      </c>
      <c r="N28" s="2" t="inlineStr">
        <is>
          <t>Approximately 1,100 employees at 31 Dec 2024 (10-K; recalled, not re-verified).</t>
        </is>
      </c>
      <c r="O28" s="2" t="inlineStr">
        <is>
          <t>USD 610.8 million</t>
        </is>
      </c>
      <c r="P28" s="3" t="n">
        <v>611</v>
      </c>
      <c r="Q28" s="2" t="inlineStr">
        <is>
          <t>FY2024</t>
        </is>
      </c>
      <c r="R28" s="2" t="inlineStr">
        <is>
          <t>company</t>
        </is>
      </c>
      <c r="S28" s="2" t="inlineStr">
        <is>
          <t>FY2024 revenue USD 610.8 million (10-K; recalled). FY2025 revenue (reported Feb 2026, roughly flat at ~USD 0.6 billion) could not be verified in this session.</t>
        </is>
      </c>
      <c r="T28" s="2" t="inlineStr">
        <is>
          <t>reported</t>
        </is>
      </c>
      <c r="U28" s="2" t="inlineStr">
        <is>
          <t>Chromium (X / Flex / GEM-X) — single-cell gene-expression and multiomic platform</t>
        </is>
      </c>
      <c r="V28" s="2" t="inlineStr">
        <is>
          <t>Visium HD — high-resolution spatial transcriptomics</t>
        </is>
      </c>
      <c r="W28" s="2" t="inlineStr">
        <is>
          <t>Xenium — in situ single-cell spatial imaging platform</t>
        </is>
      </c>
      <c r="X28" s="2" t="inlineStr">
        <is>
          <t>distributor</t>
        </is>
      </c>
      <c r="Y28" s="2" t="inlineStr">
        <is>
          <t>מפיץ / נציג ישראלי</t>
        </is>
      </c>
      <c r="Z28" s="2" t="inlineStr">
        <is>
          <t>verified</t>
        </is>
      </c>
      <c r="AA28" s="2" t="inlineStr">
        <is>
          <t>אומת ממקור</t>
        </is>
      </c>
      <c r="AB28" s="2" t="inlineStr">
        <is>
          <t>Danyel Biotech [מפיץ; 10x Genomics instruments, reagents and software (Chromium single-cell; Visium/Xenium not seen explicitly)]</t>
        </is>
      </c>
      <c r="AC28" s="2" t="inlineStr">
        <is>
          <t>Searched generic queries, 27 Israeli distributor domains and 10xgenomics.com. Danyel Biotech's own site carries a 10x Genomics brand page (Chromium Next GEM single-cell gene expression, immune profiling, ATAC) and co-hosted a 2019 Tel Aviv University seminar on the 10x portfolio, so Danyel is the Israeli distributor. 10x's distributor locator did not expose the Israel entry in search snippets, so manufacturer-side confirmation is missing; Visium/Xenium were not seen on Danyel's page.</t>
        </is>
      </c>
      <c r="AD28" s="2" t="inlineStr">
        <is>
          <t>medium</t>
        </is>
      </c>
      <c r="AE28" s="2" t="inlineStr">
        <is>
          <t>Distributor's own brand page plus a 2019 university event; no manufacturer-side listing seen.</t>
        </is>
      </c>
      <c r="AF28" s="2" t="inlineStr">
        <is>
          <t>https://en-med.tau.ac.il/node/7046 ; https://en-med.tau.ac.il/10xgenomics_seminar_2019?gid=106 ; https://www.10xgenomics.com/distributors ; https://www.technologynetworks.com/genomics/news/10x-genomics-signs-asiapacific-distribution-deals-184381 ; https://www.danyel.co.il/10x-genomics/ ; https://www.10xgenomics.com/distributors/application</t>
        </is>
      </c>
    </row>
    <row r="29">
      <c r="A29" s="2" t="n">
        <v>28</v>
      </c>
      <c r="B29" s="2" t="inlineStr">
        <is>
          <t>Oxford Nanopore Technologies</t>
        </is>
      </c>
      <c r="C29" s="2" t="inlineStr">
        <is>
          <t>ONT; MinION, GridION, PromethION, Flongle, Dorado, EPI2ME</t>
        </is>
      </c>
      <c r="D29" s="2" t="inlineStr">
        <is>
          <t>Oxford</t>
        </is>
      </c>
      <c r="E29" s="2" t="inlineStr">
        <is>
          <t>UK</t>
        </is>
      </c>
      <c r="F29" s="2" t="inlineStr"/>
      <c r="G29" s="2" t="inlineStr">
        <is>
          <t>Public (LSE: ONT)</t>
        </is>
      </c>
      <c r="H29" s="2" t="n">
        <v>2005</v>
      </c>
      <c r="I29" s="2" t="inlineStr">
        <is>
          <t>https://nanoporetech.com</t>
        </is>
      </c>
      <c r="J29" s="2" t="inlineStr">
        <is>
          <t>Genomics / sequencing</t>
        </is>
      </c>
      <c r="K29" s="3" t="n">
        <v>1100</v>
      </c>
      <c r="L29" s="2" t="n">
        <v>2024</v>
      </c>
      <c r="M29" s="2" t="inlineStr">
        <is>
          <t>company</t>
        </is>
      </c>
      <c r="N29" s="2" t="inlineStr">
        <is>
          <t>Approximately 1,100 employees (FY2024 annual report; recalled, not re-verified).</t>
        </is>
      </c>
      <c r="O29" s="2" t="inlineStr">
        <is>
          <t>GBP 183.2 million</t>
        </is>
      </c>
      <c r="P29" s="3" t="n">
        <v>238</v>
      </c>
      <c r="Q29" s="2" t="inlineStr">
        <is>
          <t>FY2024</t>
        </is>
      </c>
      <c r="R29" s="2" t="inlineStr">
        <is>
          <t>company</t>
        </is>
      </c>
      <c r="S29" s="2" t="inlineStr">
        <is>
          <t>FY2024 revenue GBP 183.2 million (annual report; recalled). FY2025 results (published Mar 2026; company had guided ~20%+ growth) could not be verified in this session. Converted at GBP 1.30.</t>
        </is>
      </c>
      <c r="T29" s="2" t="inlineStr">
        <is>
          <t>reported</t>
        </is>
      </c>
      <c r="U29" s="2" t="inlineStr">
        <is>
          <t>PromethION (2 Solo / P24 / P48) — high-throughput nanopore sequencers</t>
        </is>
      </c>
      <c r="V29" s="2" t="inlineStr">
        <is>
          <t>MinION — portable USB nanopore sequencer</t>
        </is>
      </c>
      <c r="W29" s="2" t="inlineStr">
        <is>
          <t>GridION — benchtop five-flow-cell nanopore sequencer</t>
        </is>
      </c>
      <c r="X29" s="2" t="inlineStr">
        <is>
          <t>distributor</t>
        </is>
      </c>
      <c r="Y29" s="2" t="inlineStr">
        <is>
          <t>מפיץ / נציג ישראלי</t>
        </is>
      </c>
      <c r="Z29" s="2" t="inlineStr">
        <is>
          <t>verified</t>
        </is>
      </c>
      <c r="AA29" s="2" t="inlineStr">
        <is>
          <t>אומת ממקור</t>
        </is>
      </c>
      <c r="AB29" s="2" t="inlineStr">
        <is>
          <t>Zotal Ltd. (זוטל) [מפיץ; officially licensed channel partner for Nanopore products in Israel (nanoporetech.com channel-partner page)]</t>
        </is>
      </c>
      <c r="AC29" s="2" t="inlineStr">
        <is>
          <t>Confirmed on the manufacturer's own channel-partner directory: nanoporetech.com/about/channel-partners/zotal-ltd lists Zotal Ltd (Tel Aviv, Israel 6971008) as officially licensed to sell Nanopore products in Israel, with expertise areas including biopharma, infectious disease/SARS-CoV-2, environmental, microbiome and human genomics; the page exists in several language versions of the ONT site. ONT's Gulf deal with G42 Healthcare covers GCC, Jordan, Pakistan, Egypt and Iraq - not Israel. Zotal's own website could not be fetched to cross-check its brand list, and the Hebrew search could not be run, but the official ONT listing is sufficient.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D29" s="2" t="inlineStr">
        <is>
          <t>medium</t>
        </is>
      </c>
      <c r="AE29" s="2" t="inlineStr">
        <is>
          <t>Israel distributor confirmed by the manufacturer's official channel-partner page (high); size figures recalled rather than re-verified (hence medium overall).</t>
        </is>
      </c>
      <c r="AF29" s="2" t="inlineStr">
        <is>
          <t>https://nanoporetech.com/about/channel-partners/zotal-ltd ; https://nanoporetech.com/es/about/channel-partners/zotal-ltd ; https://nanoporetech.com/news/news-g42-healthcare-signs-distribution-agreement-oxford-nanopore-technologies-sequencing</t>
        </is>
      </c>
    </row>
    <row r="30">
      <c r="A30" s="2" t="n">
        <v>29</v>
      </c>
      <c r="B30" s="2" t="inlineStr">
        <is>
          <t>Pacific Biosciences</t>
        </is>
      </c>
      <c r="C30" s="2" t="inlineStr">
        <is>
          <t>PacBio; Revio, Vega, Sequel II/IIe, HiFi, Kinnex, Onso, SMRT</t>
        </is>
      </c>
      <c r="D30" s="2" t="inlineStr">
        <is>
          <t>Menlo Park, California</t>
        </is>
      </c>
      <c r="E30" s="2" t="inlineStr">
        <is>
          <t>USA</t>
        </is>
      </c>
      <c r="F30" s="2" t="inlineStr"/>
      <c r="G30" s="2" t="inlineStr">
        <is>
          <t>Public (NASDAQ: PACB)</t>
        </is>
      </c>
      <c r="H30" s="2" t="n">
        <v>2004</v>
      </c>
      <c r="I30" s="2" t="inlineStr">
        <is>
          <t>https://www.pacb.com</t>
        </is>
      </c>
      <c r="J30" s="2" t="inlineStr">
        <is>
          <t>Genomics / sequencing</t>
        </is>
      </c>
      <c r="K30" s="3" t="n">
        <v>530</v>
      </c>
      <c r="L30" s="2" t="n">
        <v>2024</v>
      </c>
      <c r="M30" s="2" t="inlineStr">
        <is>
          <t>estimate</t>
        </is>
      </c>
      <c r="N30" s="2" t="inlineStr">
        <is>
          <t>Approximate headcount after the 2024-25 restructurings (10-K FY2024 figure recalled). Figures recalled from company statements / filings and not re-verified online in this session.</t>
        </is>
      </c>
      <c r="O30" s="2" t="inlineStr">
        <is>
          <t>USD 154.0 million</t>
        </is>
      </c>
      <c r="P30" s="3" t="n">
        <v>154</v>
      </c>
      <c r="Q30" s="2" t="inlineStr">
        <is>
          <t>FY2024</t>
        </is>
      </c>
      <c r="R30" s="2" t="inlineStr">
        <is>
          <t>company</t>
        </is>
      </c>
      <c r="S30" s="2" t="inlineStr">
        <is>
          <t>FY2024 revenue USD 154.0 million (10-K; recalled). FY2025 revenue (reported Feb 2026; guided ~USD 150-170 million) not verified in this session.</t>
        </is>
      </c>
      <c r="T30" s="2" t="inlineStr">
        <is>
          <t>reported</t>
        </is>
      </c>
      <c r="U30" s="2" t="inlineStr">
        <is>
          <t>Revio — high-throughput long-read HiFi sequencing system</t>
        </is>
      </c>
      <c r="V30" s="2" t="inlineStr">
        <is>
          <t>Vega — benchtop long-read HiFi sequencer</t>
        </is>
      </c>
      <c r="W30" s="2" t="inlineStr">
        <is>
          <t>Kinnex kits — full-length RNA/16S HiFi library kits</t>
        </is>
      </c>
      <c r="X30" s="2" t="inlineStr">
        <is>
          <t>none_found</t>
        </is>
      </c>
      <c r="Y30" s="2" t="inlineStr">
        <is>
          <t>לא נמצא ייצוג</t>
        </is>
      </c>
      <c r="Z30" s="2" t="inlineStr">
        <is>
          <t>partial</t>
        </is>
      </c>
      <c r="AA30" s="2" t="inlineStr">
        <is>
          <t>חיפוש חלקי (ללא פתיחת אתרי היצרן/המפיץ)</t>
        </is>
      </c>
      <c r="AB30" s="2" t="inlineStr"/>
      <c r="AC30" s="2" t="inlineStr">
        <is>
          <t>חיפוש רשת בלבד; דפי ״מפיצים״ של היצרן ואתרי המפיצים לא נפתחו (חסימת רשת). Search '"PacBio" OR "Pacific Biosciences" Israel distributor' returned PacBio's official 'Global distributors' page (pacb.com/global-distributors); in the excerpt visible, its Middle East &amp; North Africa list covers Algeria, Bahrain, Egypt, Iraq, Jordan, Kuwait, Lebanon, Libya, Morocco, Oman, Qatar, Saudi Arabia, Tunisia, UAE and Uzbekistan - Israel is not listed. PacBio sells through a direct sales force in North America and Europe and via distributors elsewhere (corporate backgrounder), so Israel is most likely handled directly by PacBio's European organisation, but no source confirms this. The full distributor page could not be fetched and the Hebrew search could not be run.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D30" s="2" t="inlineStr">
        <is>
          <t>low</t>
        </is>
      </c>
      <c r="AE30" s="2" t="inlineStr">
        <is>
          <t>Official distributor list excerpt omits Israel (suggesting no distributor / direct coverage) but the page could not be read in full; size figures recalled.</t>
        </is>
      </c>
      <c r="AF30" s="2" t="inlineStr">
        <is>
          <t>https://www.pacb.com/global-distributors ; https://www.pacb.com/wp-content/uploads/CorporateBackgrounder.pdf ; https://www.tipranks.com/news/the-fly/pacbio-appoints-haorui-gene-as-official-distributor-in-china</t>
        </is>
      </c>
    </row>
    <row r="31">
      <c r="A31" s="2" t="n">
        <v>30</v>
      </c>
      <c r="B31" s="2" t="inlineStr">
        <is>
          <t>Tecan Group</t>
        </is>
      </c>
      <c r="C31" s="2" t="inlineStr">
        <is>
          <t>Tecan; Fluent, Freedom EVO, Veya, Spark, Infinite, Cavro, Paramit, IBL International</t>
        </is>
      </c>
      <c r="D31" s="2" t="inlineStr">
        <is>
          <t>Maennedorf (Zurich)</t>
        </is>
      </c>
      <c r="E31" s="2" t="inlineStr">
        <is>
          <t>Switzerland</t>
        </is>
      </c>
      <c r="F31" s="2" t="inlineStr"/>
      <c r="G31" s="2" t="inlineStr">
        <is>
          <t>Public (SIX: TECN)</t>
        </is>
      </c>
      <c r="H31" s="2" t="n">
        <v>1980</v>
      </c>
      <c r="I31" s="2" t="inlineStr">
        <is>
          <t>https://www.tecan.com</t>
        </is>
      </c>
      <c r="J31" s="2" t="inlineStr">
        <is>
          <t>Liquid handling &amp; lab automation</t>
        </is>
      </c>
      <c r="K31" s="3" t="n">
        <v>3300</v>
      </c>
      <c r="L31" s="2" t="n">
        <v>2024</v>
      </c>
      <c r="M31" s="2" t="inlineStr">
        <is>
          <t>company</t>
        </is>
      </c>
      <c r="N31" s="2" t="inlineStr">
        <is>
          <t>Approximately 3,300 employees (Tecan Annual Report 2024; recalled, not re-verified).</t>
        </is>
      </c>
      <c r="O31" s="2" t="inlineStr">
        <is>
          <t>CHF 934.2 million</t>
        </is>
      </c>
      <c r="P31" s="3" t="n">
        <v>1093</v>
      </c>
      <c r="Q31" s="2" t="inlineStr">
        <is>
          <t>FY2024</t>
        </is>
      </c>
      <c r="R31" s="2" t="inlineStr">
        <is>
          <t>company</t>
        </is>
      </c>
      <c r="S31" s="2" t="inlineStr">
        <is>
          <t>FY2024 sales CHF 934.2 million (annual report; recalled). FY2025 results (published Mar 2026; Tecan had guided a sales decline) not verified in this session. Converted at CHF 1.17.</t>
        </is>
      </c>
      <c r="T31" s="2" t="inlineStr">
        <is>
          <t>reported</t>
        </is>
      </c>
      <c r="U31" s="2" t="inlineStr">
        <is>
          <t>Fluent — automated liquid-handling workstation</t>
        </is>
      </c>
      <c r="V31" s="2" t="inlineStr">
        <is>
          <t>Freedom EVO — modular liquid-handling and robotics platform</t>
        </is>
      </c>
      <c r="W31" s="2" t="inlineStr">
        <is>
          <t>Spark — multimode microplate reader</t>
        </is>
      </c>
      <c r="X31" s="2" t="inlineStr">
        <is>
          <t>distributor</t>
        </is>
      </c>
      <c r="Y31" s="2" t="inlineStr">
        <is>
          <t>מפיץ / נציג ישראלי</t>
        </is>
      </c>
      <c r="Z31" s="2" t="inlineStr">
        <is>
          <t>verified</t>
        </is>
      </c>
      <c r="AA31" s="2" t="inlineStr">
        <is>
          <t>אומת ממקור</t>
        </is>
      </c>
      <c r="AB31" s="2" t="inlineStr">
        <is>
          <t>Gamidor Diagnostics (1984) Ltd. (גמידור דיאגנוסטיקה) [מפיץ; Tecan diagnostics / LC-MS sample-prep kits (2025 LinkedIn evidence); the life-science liquid-handling channel is not established]</t>
        </is>
      </c>
      <c r="AC31" s="2" t="inlineStr">
        <is>
          <t>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D31" s="2" t="inlineStr">
        <is>
          <t>low</t>
        </is>
      </c>
      <c r="AE31" s="2" t="inlineStr">
        <is>
          <t>Israel partner based on one LinkedIn source covering only the diagnostics line; size figures recalled.</t>
        </is>
      </c>
      <c r="AF31" s="2" t="inlineStr">
        <is>
          <t>https://il.linkedin.com/in/moshe-cohen-84656279 ; https://www.labmanager.com/tecan-expands-presence-in-the-united-states-with-new-distribution-agreement-for-detection-instruments-and-consumables-23766</t>
        </is>
      </c>
    </row>
    <row r="32">
      <c r="A32" s="2" t="n">
        <v>31</v>
      </c>
      <c r="B32" s="2" t="inlineStr">
        <is>
          <t>Hamilton Company</t>
        </is>
      </c>
      <c r="C32" s="2" t="inlineStr">
        <is>
          <t>Hamilton Bonaduz AG, Hamilton Robotics, Hamilton Storage, Hamilton Process Analytics (Hamilton Medical AG is a separate sister company)</t>
        </is>
      </c>
      <c r="D32" s="2" t="inlineStr">
        <is>
          <t>Reno, Nevada (co-headquarters: Franklin, Massachusetts and Bonaduz, Graubuenden, Switzerland)</t>
        </is>
      </c>
      <c r="E32" s="2" t="inlineStr">
        <is>
          <t>USA</t>
        </is>
      </c>
      <c r="F32" s="2" t="inlineStr"/>
      <c r="G32" s="2" t="inlineStr">
        <is>
          <t>Private (family-owned, Hamilton family)</t>
        </is>
      </c>
      <c r="H32" s="2" t="n">
        <v>1947</v>
      </c>
      <c r="I32" s="2" t="inlineStr">
        <is>
          <t>https://www.hamiltoncompany.com</t>
        </is>
      </c>
      <c r="J32" s="2" t="inlineStr">
        <is>
          <t>Liquid handling &amp; lab automation</t>
        </is>
      </c>
      <c r="K32" s="3" t="n">
        <v>3000</v>
      </c>
      <c r="L32" s="2" t="n"/>
      <c r="M32" s="2" t="inlineStr">
        <is>
          <t>company</t>
        </is>
      </c>
      <c r="N32" s="2" t="inlineStr">
        <is>
          <t>Company self-description cited via the Canton Graubuenden business-location testimonial page: 'around 3000 people worldwide, more than 1200 of them in Bonaduz and Domat/Ems' (page undated, likely 2022-2024). Revelio Labs profile-based estimates are lower (Hamilton Co. ~2,045, Sep-2025; Hamilton Bonaduz AG ~640, Dec-2025) but cover individual entities only. A 2020 Blick article cited 1,450 staff in Graubuenden alone.</t>
        </is>
      </c>
      <c r="O32" s="2" t="inlineStr">
        <is>
          <t>USD ~600 million (trade estimate; private)</t>
        </is>
      </c>
      <c r="P32" s="3" t="n">
        <v>600</v>
      </c>
      <c r="Q32" s="2" t="inlineStr">
        <is>
          <t>2024 (estimate)</t>
        </is>
      </c>
      <c r="R32" s="2" t="inlineStr">
        <is>
          <t>estimate</t>
        </is>
      </c>
      <c r="S32" s="2" t="inlineStr">
        <is>
          <t>Hamilton (Reno NV / Bonaduz CH) is family-owned and publishes no revenue; trade estimates range USD 500-800M for the robotics, storage and syringe businesses combined. Figures recalled from company statements / filings and not re-verified online in this session.</t>
        </is>
      </c>
      <c r="T32" s="2" t="inlineStr">
        <is>
          <t>estimate</t>
        </is>
      </c>
      <c r="U32" s="2" t="inlineStr">
        <is>
          <t>Microlab STAR / STARlet / Vantage — automated liquid-handling workstations with CO-RE pipetting</t>
        </is>
      </c>
      <c r="V32" s="2" t="inlineStr">
        <is>
          <t>Hamilton precision syringes (Microliter / Gastight) — glass microliter syringes for GC/HPLC autosamplers</t>
        </is>
      </c>
      <c r="W32" s="2" t="inlineStr">
        <is>
          <t>Hamilton Storage BiOS / SAM — automated ultra-low-temperature sample storage systems</t>
        </is>
      </c>
      <c r="X32" s="2" t="inlineStr">
        <is>
          <t>distributor</t>
        </is>
      </c>
      <c r="Y32" s="2" t="inlineStr">
        <is>
          <t>מפיץ / נציג ישראלי</t>
        </is>
      </c>
      <c r="Z32" s="2" t="inlineStr">
        <is>
          <t>verified</t>
        </is>
      </c>
      <c r="AA32" s="2" t="inlineStr">
        <is>
          <t>אומת ממקור</t>
        </is>
      </c>
      <c r="AB32" s="2" t="inlineStr">
        <is>
          <t>Danyel Biotech Ltd. (Gamida for Life group) (דניאל ביוטק) [מפיץ; Hamilton (liquid-handling robotics) listed among the brands on Danyel Biotech's site – scope to confirm]</t>
        </is>
      </c>
      <c r="AC32" s="2" t="inlineStr">
        <is>
          <t>Danyel Biotech's home page lists Hamilton among the brands it works with (seen in a search excerpt); which Hamilton business (robotics / storage / syringes) is not stated.</t>
        </is>
      </c>
      <c r="AD32" s="2" t="inlineStr">
        <is>
          <t>medium</t>
        </is>
      </c>
      <c r="AE32" s="2" t="inlineStr"/>
      <c r="AF32" s="2" t="inlineStr">
        <is>
          <t>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t>
        </is>
      </c>
    </row>
    <row r="33">
      <c r="A33" s="2" t="n">
        <v>32</v>
      </c>
      <c r="B33" s="2" t="inlineStr">
        <is>
          <t>Cytek Biosciences</t>
        </is>
      </c>
      <c r="C33" s="2" t="inlineStr">
        <is>
          <t>Cytek; Cytek Amnis (ImageStream / Guava, acquired from Luminex 2023)</t>
        </is>
      </c>
      <c r="D33" s="2" t="inlineStr">
        <is>
          <t>Fremont, California</t>
        </is>
      </c>
      <c r="E33" s="2" t="inlineStr">
        <is>
          <t>USA</t>
        </is>
      </c>
      <c r="F33" s="2" t="inlineStr"/>
      <c r="G33" s="2" t="inlineStr">
        <is>
          <t>Public (NASDAQ: CTKB)</t>
        </is>
      </c>
      <c r="H33" s="2" t="n">
        <v>2014</v>
      </c>
      <c r="I33" s="2" t="inlineStr">
        <is>
          <t>https://www.cytekbio.com</t>
        </is>
      </c>
      <c r="J33" s="2" t="inlineStr">
        <is>
          <t>Cell analysis (flow cytometry / cell sorting)</t>
        </is>
      </c>
      <c r="K33" s="3" t="n">
        <v>680</v>
      </c>
      <c r="L33" s="2" t="n">
        <v>2024</v>
      </c>
      <c r="M33" s="2" t="inlineStr">
        <is>
          <t>estimate</t>
        </is>
      </c>
      <c r="N33" s="2" t="inlineStr">
        <is>
          <t>~680 employees per 10-K FY2024 (recalled, unverified).</t>
        </is>
      </c>
      <c r="O33" s="2" t="inlineStr">
        <is>
          <t>USD 201.5 million</t>
        </is>
      </c>
      <c r="P33" s="3" t="n">
        <v>201.5</v>
      </c>
      <c r="Q33" s="2" t="inlineStr">
        <is>
          <t>FY2025</t>
        </is>
      </c>
      <c r="R33" s="2" t="inlineStr">
        <is>
          <t>company</t>
        </is>
      </c>
      <c r="S33" s="2" t="inlineStr">
        <is>
          <t>FY2025 (year ended 31 Dec 2025) revenue USD 201.5 million, +1% vs USD 200.5 million in 2024; Q4-2025 USD 62.1 million (+8% YoY); GAAP gross margin 52% (10-K / Q4-2025 results release). Manufacturing in Fremont CA, Wuxi China and Singapore.</t>
        </is>
      </c>
      <c r="T33" s="2" t="inlineStr">
        <is>
          <t>reported</t>
        </is>
      </c>
      <c r="U33" s="2" t="inlineStr">
        <is>
          <t>Cytek Aurora — full-spectrum flow cytometer, up to 5 lasers / 64 detectors</t>
        </is>
      </c>
      <c r="V33" s="2" t="inlineStr">
        <is>
          <t>Cytek Aurora CS — full-spectrum cell sorter</t>
        </is>
      </c>
      <c r="W33" s="2" t="inlineStr">
        <is>
          <t>Cytek Northern Lights — compact 1-3 laser spectral analyzer (also clinical/CE-IVD)</t>
        </is>
      </c>
      <c r="X33" s="2" t="inlineStr">
        <is>
          <t>distributor</t>
        </is>
      </c>
      <c r="Y33" s="2" t="inlineStr">
        <is>
          <t>מפיץ / נציג ישראלי</t>
        </is>
      </c>
      <c r="Z33" s="2" t="inlineStr">
        <is>
          <t>verified</t>
        </is>
      </c>
      <c r="AA33" s="2" t="inlineStr">
        <is>
          <t>אומת ממקור</t>
        </is>
      </c>
      <c r="AB33" s="2" t="inlineStr">
        <is>
          <t>Almog Diagnostic and Medical Equipment Ltd. (אלמוג דיאגנוסטיקה) [מפיץ; Cytek Aurora / Aurora CS spectral flow cytometers (2022 press release; installs at TAU, Technion)]</t>
        </is>
      </c>
      <c r="AC33" s="2" t="inlineStr">
        <is>
          <t>Established from (1) a June-2022 Business Wire release (Slingshot Biosciences) stating Almog 'has been a major player in the Israeli flow cytometry field for over 13 years, with the automated MACSQuant (Miltenyi Biotec) and the innovative Aurora Spectral Flow Cytometer (Cytek Biosciences)'; (2) LinkedIn posts by an Almog employee (Dor Samet) announcing the Cytek Aurora Cell Sorter's arrival in Israel and an on-site Aurora CS demo with Cytek at the Technion LS&amp;E Infrastructure Center; (3) Aurora installations at Tel Aviv University (acquired 2025) and the Technion. Caveats: Cytek's own distributor page and Almog's website could not be opened (fetch blocked) and the 'site:almog.co.il Cytek' query hit the search cap, so the relationship is confirmed by third-party/social sources rather than by Cytek or Almog pages; Almog's website URL is from memory, unverified. No Cytek Israeli subsidiary was seen.</t>
        </is>
      </c>
      <c r="AD33" s="2" t="inlineStr">
        <is>
          <t>medium</t>
        </is>
      </c>
      <c r="AE33" s="2" t="inlineStr">
        <is>
          <t>Revenue from the SEC 10-K (via search result); headcount not retrieved. Israeli distributor (Almog) supported by a 2022 press release plus recent LinkedIn/installation evidence, not by a Cytek-published distributor list.</t>
        </is>
      </c>
      <c r="AF33" s="2" t="inlineStr">
        <is>
          <t>https://www.sec.gov/Archives/edgar/data/1831915/000162828026012352/ctkb-20251231.htm ; https://www.barchart.com/story/news/453201/cytek-biosciences-reports-fourth-quarter-and-full-year-2025-financial-results-and-provides-2026-outlook ; https://www.reveliolabs.com/companies/cytek-biosciences/employees/ ; https://www.businesswire.com/news/home/20220626005007/en/Slingshot-Biosciences-Inc.-Partners-With-Almog-Diagnostic-to-Distribute-Synthetic-Cells-Throughout-Israel ; https://il.linkedin.com/in/dor-samet ; https://en-lifesci.tau.ac.il/zabam/machine/Cytek_Aurora ; https://lse.technion.ac.il/?p=3696</t>
        </is>
      </c>
    </row>
    <row r="34">
      <c r="A34" s="2" t="n">
        <v>33</v>
      </c>
      <c r="B34" s="2" t="inlineStr">
        <is>
          <t>Carl Zeiss AG – Research Microscopy Solutions</t>
        </is>
      </c>
      <c r="C34" s="2" t="inlineStr">
        <is>
          <t>ZEISS; Carl Zeiss Microscopy GmbH; ZEISS Research Microscopy Solutions (RMS); Industrial Quality &amp; Research segment</t>
        </is>
      </c>
      <c r="D34" s="2" t="inlineStr">
        <is>
          <t>Oberkochen, Baden-Wuerttemberg (microscopy business unit in Jena)</t>
        </is>
      </c>
      <c r="E34" s="2" t="inlineStr">
        <is>
          <t>Germany</t>
        </is>
      </c>
      <c r="F34" s="2" t="inlineStr">
        <is>
          <t>Carl Zeiss AG (100% owned by the Carl Zeiss Foundation / Carl-Zeiss-Stiftung)</t>
        </is>
      </c>
      <c r="G34" s="2" t="inlineStr">
        <is>
          <t>Private (foundation-owned; sub-group Carl Zeiss Meditec AG is listed, XETRA: AFX)</t>
        </is>
      </c>
      <c r="H34" s="2" t="n">
        <v>1846</v>
      </c>
      <c r="I34" s="2" t="inlineStr">
        <is>
          <t>https://www.zeiss.com/microscopy</t>
        </is>
      </c>
      <c r="J34" s="2" t="inlineStr">
        <is>
          <t>Light microscopy &amp; imaging</t>
        </is>
      </c>
      <c r="K34" s="3" t="n">
        <v>46622</v>
      </c>
      <c r="L34" s="2" t="n">
        <v>2025</v>
      </c>
      <c r="M34" s="2" t="inlineStr">
        <is>
          <t>parent</t>
        </is>
      </c>
      <c r="N34" s="2" t="inlineStr">
        <is>
          <t>ZEISS Group headcount, fiscal year 2024/25 (ended 30 Sep 2025): 46,622 (prior year 46,485); &gt;7,300 in R&amp;D. Research Microscopy Solutions headcount is not disclosed separately.</t>
        </is>
      </c>
      <c r="O34" s="2" t="inlineStr">
        <is>
          <t>EUR 11.896 billion</t>
        </is>
      </c>
      <c r="P34" s="3" t="n">
        <v>13086</v>
      </c>
      <c r="Q34" s="2" t="inlineStr">
        <is>
          <t>FY2024/25 (ending Sep-2025)</t>
        </is>
      </c>
      <c r="R34" s="2" t="inlineStr">
        <is>
          <t>parent</t>
        </is>
      </c>
      <c r="S34" s="2" t="inlineStr">
        <is>
          <t>ZEISS Group revenue EUR 11.896 billion (+9%; EBIT EUR 1.552 billion, 13% margin). Segment split: Semiconductor Manufacturing Technology EUR 5.055 bn, Industrial Quality &amp; Research EUR 2.334 bn (~USD 2,567 m; this segment contains Research Microscopy Solutions together with Industrial Quality Solutions - RMS alone is not disclosed), Medical Technology EUR 2.704 bn, Consumer Markets EUR 1.569 bn. (Carl Zeiss Meditec AG separately reported EUR 2,227.6 m revenue and 5,784 employees for FY2024/25.)</t>
        </is>
      </c>
      <c r="T34" s="2" t="inlineStr">
        <is>
          <t>reported</t>
        </is>
      </c>
      <c r="U34" s="2" t="inlineStr">
        <is>
          <t>ZEISS LSM 980 / LSM 990 with Airyscan 2 — confocal laser scanning microscopes for live-cell imaging</t>
        </is>
      </c>
      <c r="V34" s="2" t="inlineStr">
        <is>
          <t>ZEISS Axio Observer / Axio Imager — inverted and upright research light microscope platforms</t>
        </is>
      </c>
      <c r="W34" s="2" t="inlineStr">
        <is>
          <t>ZEISS GeminiSEM / Crossbeam — field-emission SEM and FIB-SEM for materials and life science</t>
        </is>
      </c>
      <c r="X34" s="2" t="inlineStr">
        <is>
          <t>unclear</t>
        </is>
      </c>
      <c r="Y34" s="2" t="inlineStr">
        <is>
          <t>לא ברור</t>
        </is>
      </c>
      <c r="Z34" s="2" t="inlineStr">
        <is>
          <t>partial</t>
        </is>
      </c>
      <c r="AA34" s="2" t="inlineStr">
        <is>
          <t>חיפוש חלקי (ללא פתיחת אתרי היצרן/המפיץ)</t>
        </is>
      </c>
      <c r="AB34" s="2" t="inlineStr">
        <is>
          <t>ZEISS Israel / Carl Zeiss SMS Ltd. [חברה-בת; Legal entity (publisher) behind the official ZEISS Israel website zeiss.co.il; HaDolev 3, Bar Lev Industrial Park, D.N. Misgav 2015600. The site's contact form lists 'Research Microscopy Solutions' among the product areas it takes inquiries for, but the entity itself is ZEISS's semiconductor (SMS/SMT) unit; a local ZEISS microscopy sales/service team was NOT confirmed.] | OpteamX Ltd. [מפיץ; ZEISS industrial camera lenses only (listed on ZEISS's industrial-lens distribution-partners page; 29 Ha'Metsuda St, Azor, info@opteamx.com) - NOT microscopes] | Lapidot Group [מפיץ; 'ZEISS lenses' product page on Lapidot's site (medical/ophthalmic context) - NOT research microscopy] | Getter Group (Getter Bio-Med) (קבוצת גטר) [מפיץ; Zeiss – Getter Group states it exclusively represents Zeiss; scope (medical/surgical vs. research microscopy) to confirm]</t>
        </is>
      </c>
      <c r="AC34" s="2" t="inlineStr">
        <is>
          <t>חיפוש רשת בלבד; דפי ״מפיצים״ של היצרן ואתרי המפיצים לא נפתחו (חסימת רשת). ZEISS has an Israeli site (zeiss.co.il; legal entity Carl Zeiss SMS Ltd., Bar Lev) whose contact form lists Research Microscopy Solutions, and Getter Group says it represents Zeiss, but no confirmed microscopy sales channel was found. Searched 'Zeiss microscope Israel distributor/נציג/יבואן', Hebrew 'זייס/קרל זייס מיקרוסקופ נציג', the brand across the Israeli distributor domains, zeiss.com and zeiss.co.il, and LinkedIn. No Israeli distributor of ZEISS research/electron microscopes surfaced anywhere (none of the listed Israeli distributor sites shows ZEISS microscopes); the only ZEISS Israel presence found is the official zeiss.co.il site, published by Carl Zeiss SMS Ltd. (Bar Lev Industrial Park, Misgav), whose contact form accepts Research Microscopy Solutions inquiries, plus the semiconductor R&amp;D unit Carl Zeiss SMT Ltd. in Karmiel (not relevant). Lens-only partners (OpteamX for industrial lenses, Lapidot for ZEISS lenses) are not microscopy channels. Most likely ZEISS microscopes are sold/serviced in Israel directly by the ZEISS organization (regional EMEA team via the ZEISS Israel site), but this was not confirmed by a source naming a microscopy sales/service team. Getter Group's about page lists Zeiss among the brands it exclusively represents in Israel (~2 years old); whether this covers ZEISS research microscopes is not stated.</t>
        </is>
      </c>
      <c r="AD34" s="2" t="inlineStr">
        <is>
          <t>medium</t>
        </is>
      </c>
      <c r="AE34" s="2" t="inlineStr">
        <is>
          <t>ZEISS's own Israeli legal entity and Israeli website are verified from zeiss.co.il, but the specific microscopy sales/service channel is unconfirmed; no distributor found after exhaustive searches.</t>
        </is>
      </c>
      <c r="AF34" s="2" t="inlineStr">
        <is>
          <t>https://www.zeiss.com/corporate/en/about-zeiss/present/facts-figures.html ; https://www.zeiss.com/corporate/en/about-zeiss/present/newsroom/press-releases/2025/end-of-year.html ; https://www.presseportal.de/en/pm/69120/6182140 ; https://reports.zeiss.com/meditec-ag/2425/en/summary-management-report/financial-statements-of-carl-zeiss-meditec-ag/summary-of-business-development.html ; https://startupim.com/company/zeiss ; https://www.zeiss.co.il/corporate/legal-information/publisher.html ; https://www.zeiss.co.il/corporate/contact.html ; https://www.zeiss.co.il/corporate/home.html ; https://www.zeiss.com/photonics-and-optics/en/industrial-lenses/distribution-partners.html ; https://www.lapidot.com/en/product/zeiss-lenses/ ; https://zeiss.com/microscopy/int/about-us/locations-subsidiaries.html ; https://www.getter.co.il/about-en/</t>
        </is>
      </c>
    </row>
    <row r="35">
      <c r="A35" s="2" t="n">
        <v>34</v>
      </c>
      <c r="B35" s="2" t="inlineStr">
        <is>
          <t>Evident (ex-Olympus Scientific Solutions)</t>
        </is>
      </c>
      <c r="C35" s="2" t="inlineStr">
        <is>
          <t>EVIDENT; formerly Olympus Scientific Solutions / Olympus Corporation scientific business (Olympus microscope brand heritage since 1919)</t>
        </is>
      </c>
      <c r="D35" s="2" t="inlineStr">
        <is>
          <t>Tokyo (Shinjuku)</t>
        </is>
      </c>
      <c r="E35" s="2" t="inlineStr">
        <is>
          <t>Japan</t>
        </is>
      </c>
      <c r="F35" s="2" t="inlineStr">
        <is>
          <t>Bain Capital Private Equity (acquired from Olympus Corporation, closed April 2023, JPY 427.6 billion)</t>
        </is>
      </c>
      <c r="G35" s="2" t="inlineStr">
        <is>
          <t>Private equity (Bain Capital)</t>
        </is>
      </c>
      <c r="H35" s="2" t="n">
        <v>2022</v>
      </c>
      <c r="I35" s="2" t="inlineStr">
        <is>
          <t>https://www.evidentscientific.com</t>
        </is>
      </c>
      <c r="J35" s="2" t="inlineStr">
        <is>
          <t>Light microscopy &amp; imaging</t>
        </is>
      </c>
      <c r="K35" s="3" t="n">
        <v>4300</v>
      </c>
      <c r="L35" s="2" t="n">
        <v>2023</v>
      </c>
      <c r="M35" s="2" t="inlineStr">
        <is>
          <t>company</t>
        </is>
      </c>
      <c r="N35" s="2" t="inlineStr">
        <is>
          <t>'More than 4,300 employees in 24 countries' per Evident's April-2023 announcement of the Bain Capital acquisition; no newer headcount seen.</t>
        </is>
      </c>
      <c r="O35" s="2" t="inlineStr">
        <is>
          <t>approx. JPY 119 billion (last Olympus Scientific Solutions segment revenue, FY ending Mar-2022, pre-carve-out; recalled from Olympus reporting, unverified)</t>
        </is>
      </c>
      <c r="P35" s="3" t="n">
        <v>797</v>
      </c>
      <c r="Q35" s="2" t="inlineStr">
        <is>
          <t>FY ending Mar-2022 (pre-carve-out segment)</t>
        </is>
      </c>
      <c r="R35" s="2" t="inlineStr">
        <is>
          <t>estimate</t>
        </is>
      </c>
      <c r="S35" s="2" t="inlineStr">
        <is>
          <t>Evident has not published standalone revenue since the 2023 buyout; aggregator pages seen (Datanyze/ZoomInfo) give no reliable financials. The figure above is the magnitude of Olympus's former Scientific Solutions segment and is recalled from memory - treat as an order-of-magnitude estimate only (~USD 0.8 bn/yr).</t>
        </is>
      </c>
      <c r="T35" s="2" t="inlineStr">
        <is>
          <t>estimate</t>
        </is>
      </c>
      <c r="U35" s="2" t="inlineStr">
        <is>
          <t>FV4000 (FLUOVIEW) — confocal laser scanning microscope for life science</t>
        </is>
      </c>
      <c r="V35" s="2" t="inlineStr">
        <is>
          <t>BX53 / BX63 and IXplore (IX83) systems — upright and inverted research microscope platforms</t>
        </is>
      </c>
      <c r="W35" s="2" t="inlineStr">
        <is>
          <t>OmniScan X3 and Vanta — phased-array ultrasonic flaw detector; handheld XRF analyzers (NDT)</t>
        </is>
      </c>
      <c r="X35" s="2" t="inlineStr">
        <is>
          <t>distributor</t>
        </is>
      </c>
      <c r="Y35" s="2" t="inlineStr">
        <is>
          <t>מפיץ / נציג ישראלי</t>
        </is>
      </c>
      <c r="Z35" s="2" t="inlineStr">
        <is>
          <t>verified</t>
        </is>
      </c>
      <c r="AA35" s="2" t="inlineStr">
        <is>
          <t>אומת ממקור</t>
        </is>
      </c>
      <c r="AB35" s="2" t="inlineStr">
        <is>
          <t>Eisenberg Bros. Ltd. [מפיץ; Evident (ex-Olympus) microscopes: its 'Microscopy &amp; Imaging' catalogue lists Evident industrial/materials lines (BX53M, GX53, LEXT OLS, DSX, MX63/MX63L, SZ/SZX stereo) and OEM microscope components tagged EVIDENT (OLYMPUS); life-science confocal (FLUOVIEW FV4000/FV5000) demo events promoted by an Eisenberg applications specialist on LinkedIn. Olympus microscopes already listed in its 2009 IPS trade-fair profile.] | Getter Group (Getter Bio-Med) (קבוצת גטר) [מפיץ; Olympus (now Evident) – Getter Group states it exclusively represents Olympus; scope (microscopy vs. medical endoscopy) to confirm]</t>
        </is>
      </c>
      <c r="AC35" s="2" t="inlineStr">
        <is>
          <t>Searched 'Evident/Olympus microscope Israel distributor/נציג/יבואן', 'Eisenberg Olympus/Evident', Hebrew 'אייזנברג Olympus/Evident', the brand across the Israeli distributor domains and evidentscientific.com. Eisenberg Bros. Ltd. (eisenbros.co.il) carries the Evident range on its own site (industrial microscopes BX53M/GX53/LEXT/DSX/MX63/SZX plus Evident OEM components), consistent with its 2009 listing as Olympus microscope supplier and with a LinkedIn post by an Eisenberg applications specialist promoting Evident FV5000/FV4000 confocal demos in Israel. Evident's own locations page has no Israel office and its distributor network is not listed by country, so no manufacturer-side confirmation was seen; the 2009 Eisenberg hint is therefore still true as of the distributor's current website. Evident is owned by Bain Capital since Jan 2023. Getter Group's about page lists Olympus among the brands it exclusively represents in Israel (~2 years old); whether this covers Evident research microscopes or only Olympus medical products is not stated.</t>
        </is>
      </c>
      <c r="AD35" s="2" t="inlineStr">
        <is>
          <t>medium</t>
        </is>
      </c>
      <c r="AE35" s="2" t="inlineStr">
        <is>
          <t>Distributor's own current product pages verify the relationship; no Evident-side distributor listing for Israel was found, and the exact status (exclusive/authorized) is not stated.</t>
        </is>
      </c>
      <c r="AF35" s="2" t="inlineStr">
        <is>
          <t>https://evidentscientific.com/en/news/evident-baincapital ; https://www.medtechdive.com/news/Olympus-Bain-evident-acquisition/646656/ ; https://qualitymag.com/articles/97356-evident-acquired-by-bain-capital ; https://archive.israelphysicalsociety.org/ips-conference-2009/fairs/eisenberg-bros-ltd.html ; https://il.linkedin.com/in/avi-jacob ; https://www.flanders.bio/news/analis-now-official-benelux-distributor-evident-microscopes-formerly-olympus ; https://eisenbros.co.il/product-category/microscopy-imaging/ ; https://eisenbros.co.il/product/oem-microscope-components/ ; https://evidentscientific.com/en/locations ; https://evidentscientific.com/en/news/evident-olympus ; https://www.getter.co.il/about-en/</t>
        </is>
      </c>
    </row>
    <row r="36">
      <c r="A36" s="2" t="n">
        <v>35</v>
      </c>
      <c r="B36" s="2" t="inlineStr">
        <is>
          <t>Nikon – Healthcare Business (Nikon Instruments)</t>
        </is>
      </c>
      <c r="C36" s="2" t="inlineStr">
        <is>
          <t>Nikon Instruments Inc.; Nikon Europe B.V. Healthcare; Nikon Solutions; Optos (retinal imaging, Nikon subsidiary)</t>
        </is>
      </c>
      <c r="D36" s="2" t="inlineStr">
        <is>
          <t>Tokyo (Shinagawa)</t>
        </is>
      </c>
      <c r="E36" s="2" t="inlineStr">
        <is>
          <t>Japan</t>
        </is>
      </c>
      <c r="F36" s="2" t="inlineStr">
        <is>
          <t>Nikon Corporation</t>
        </is>
      </c>
      <c r="G36" s="2" t="inlineStr">
        <is>
          <t>Public (TSE: 7731)</t>
        </is>
      </c>
      <c r="H36" s="2" t="n">
        <v>1917</v>
      </c>
      <c r="I36" s="2" t="inlineStr">
        <is>
          <t>https://www.microscope.healthcare.nikon.com</t>
        </is>
      </c>
      <c r="J36" s="2" t="inlineStr">
        <is>
          <t>Light microscopy &amp; imaging</t>
        </is>
      </c>
      <c r="K36" s="3" t="n">
        <v>18790</v>
      </c>
      <c r="L36" s="2" t="n">
        <v>2024</v>
      </c>
      <c r="M36" s="2" t="inlineStr">
        <is>
          <t>parent</t>
        </is>
      </c>
      <c r="N36" s="2" t="inlineStr">
        <is>
          <t>Nikon group consolidated headcount (approx. 18,800 as of Mar-2024); Healthcare Business headcount not disclosed. Figures recalled from company reports, NOT verified in this session (web tools unavailable) - verify before use.</t>
        </is>
      </c>
      <c r="O36" s="2" t="inlineStr">
        <is>
          <t>JPY 715.0 billion (Nikon group)</t>
        </is>
      </c>
      <c r="P36" s="3" t="n">
        <v>4791</v>
      </c>
      <c r="Q36" s="2" t="inlineStr">
        <is>
          <t>FY ending Mar-2025</t>
        </is>
      </c>
      <c r="R36" s="2" t="inlineStr">
        <is>
          <t>parent</t>
        </is>
      </c>
      <c r="S36" s="2" t="inlineStr">
        <is>
          <t>Nikon group revenue; the Healthcare Business segment (microscopes, cell-culture observation, retinal imaging) is roughly JPY 110-120 billion (recalled, unverified).</t>
        </is>
      </c>
      <c r="T36" s="2" t="inlineStr">
        <is>
          <t>reported</t>
        </is>
      </c>
      <c r="U36" s="2" t="inlineStr">
        <is>
          <t>ECLIPSE Ti2 — inverted research microscope platform for live-cell imaging</t>
        </is>
      </c>
      <c r="V36" s="2" t="inlineStr">
        <is>
          <t>AX / AX R with NSPARC — high-resolution confocal microscope systems</t>
        </is>
      </c>
      <c r="W36" s="2" t="inlineStr">
        <is>
          <t>ECLIPSE Ji — AI-driven smart imaging/cell-analysis system</t>
        </is>
      </c>
      <c r="X36" s="2" t="inlineStr">
        <is>
          <t>distributor</t>
        </is>
      </c>
      <c r="Y36" s="2" t="inlineStr">
        <is>
          <t>מפיץ / נציג ישראלי</t>
        </is>
      </c>
      <c r="Z36" s="2" t="inlineStr">
        <is>
          <t>verified</t>
        </is>
      </c>
      <c r="AA36" s="2" t="inlineStr">
        <is>
          <t>אומת ממקור</t>
        </is>
      </c>
      <c r="AB36" s="2" t="inlineStr">
        <is>
          <t>Agentek Ltd. (אגנטק) [מפיץ; Nikon research microscopes (AX/AXR confocal, AXR MP multiphoton, ECLIPSE Ji, CFI60 objectives); listed as Nikon's Israel contact in Nikon Healthcare's microscope contact directory (Atidim Scientific Park Bldg 2, Tel Aviv, +972-3-649-3111, sales1@agentek.co.il) and has a Nikon 'representative' page on its own site.]</t>
        </is>
      </c>
      <c r="AC36" s="2" t="inlineStr">
        <is>
          <t>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is>
      </c>
      <c r="AD36" s="2" t="inlineStr">
        <is>
          <t>high</t>
        </is>
      </c>
      <c r="AE36" s="2" t="inlineStr">
        <is>
          <t>Manufacturer's contact directory and distributor's own brand page agree.</t>
        </is>
      </c>
      <c r="AF36" s="2" t="inlineStr">
        <is>
          <t>https://www.microscope.healthcare.nikon.com/pt_EU/Contact ; https://agentek.co.il/representative/nikon/ ; https://agentek.co.il/products/nikon-eclipse-ji/ ; https://www.nikon.com/network/israel.html ; https://agentek.co.il/vendors/</t>
        </is>
      </c>
    </row>
    <row r="37">
      <c r="A37" s="2" t="n">
        <v>36</v>
      </c>
      <c r="B37" s="2" t="inlineStr">
        <is>
          <t>JEOL</t>
        </is>
      </c>
      <c r="C37" s="2" t="inlineStr">
        <is>
          <t>Japan Electron Optics Laboratory; JEOL USA, JEOL (Europe), JEOL (UK)</t>
        </is>
      </c>
      <c r="D37" s="2" t="inlineStr">
        <is>
          <t>Akishima, Tokyo</t>
        </is>
      </c>
      <c r="E37" s="2" t="inlineStr">
        <is>
          <t>Japan</t>
        </is>
      </c>
      <c r="F37" s="2" t="inlineStr"/>
      <c r="G37" s="2" t="inlineStr">
        <is>
          <t>Public (TSE: 6951)</t>
        </is>
      </c>
      <c r="H37" s="2" t="n">
        <v>1949</v>
      </c>
      <c r="I37" s="2" t="inlineStr">
        <is>
          <t>https://www.jeol.com</t>
        </is>
      </c>
      <c r="J37" s="2" t="inlineStr">
        <is>
          <t>Electron microscopy &amp; X-ray / materials characterization</t>
        </is>
      </c>
      <c r="K37" s="3" t="n">
        <v>3900</v>
      </c>
      <c r="L37" s="2" t="n">
        <v>2024</v>
      </c>
      <c r="M37" s="2" t="inlineStr">
        <is>
          <t>company</t>
        </is>
      </c>
      <c r="N37" s="2" t="inlineStr">
        <is>
          <t>Consolidated headcount approx. 3,900 (as of Mar-2024). Figures recalled from company reports, NOT verified in this session (web tools unavailable) - verify before use.</t>
        </is>
      </c>
      <c r="O37" s="2" t="inlineStr">
        <is>
          <t>JPY 171.6 billion</t>
        </is>
      </c>
      <c r="P37" s="3" t="n">
        <v>1150</v>
      </c>
      <c r="Q37" s="2" t="inlineStr">
        <is>
          <t>FY ending Mar-2024</t>
        </is>
      </c>
      <c r="R37" s="2" t="inlineStr">
        <is>
          <t>company</t>
        </is>
      </c>
      <c r="S37" s="2" t="inlineStr">
        <is>
          <t>Consolidated net sales approx. JPY 171.6 billion for the year ended 31 Mar 2024 (record at the time); FY ending Mar-2025 (reportedly higher, ~JPY 180+ bn) and Mar-2026 not verified. Figures recalled from company reports, NOT verified in this session (web tools unavailable) - verify before use.</t>
        </is>
      </c>
      <c r="T37" s="2" t="inlineStr">
        <is>
          <t>reported</t>
        </is>
      </c>
      <c r="U37" s="2" t="inlineStr">
        <is>
          <t>JEM-ARM300F2 GRAND ARM2 — atomic-resolution aberration-corrected TEM/STEM</t>
        </is>
      </c>
      <c r="V37" s="2" t="inlineStr">
        <is>
          <t>JSM-IT800 / JSM-7900F — field-emission scanning electron microscopes</t>
        </is>
      </c>
      <c r="W37" s="2" t="inlineStr">
        <is>
          <t>JNM-ECZ Luminous (ECZL) — NMR spectrometer series</t>
        </is>
      </c>
      <c r="X37" s="2" t="inlineStr">
        <is>
          <t>distributor</t>
        </is>
      </c>
      <c r="Y37" s="2" t="inlineStr">
        <is>
          <t>מפיץ / נציג ישראלי</t>
        </is>
      </c>
      <c r="Z37" s="2" t="inlineStr">
        <is>
          <t>verified</t>
        </is>
      </c>
      <c r="AA37" s="2" t="inlineStr">
        <is>
          <t>אומת ממקור</t>
        </is>
      </c>
      <c r="AB37" s="2" t="inlineStr">
        <is>
          <t>Bargal Analytical Instruments Ltd. (ברגל ציוד אנליטי) [מפיץ; JEOL electron microscopes (SEM: JSM-IT200/IT510/IT710HR, benchtop JCM-7000; TEM: JEM-F200, JEM-1400Flash; cryo-EM: CRYO ARM 300/300 II) - sales and service; listed on jeol.com as the Israel office (Shaked St 10, Shoham, +972-3-9796-533; JEOL UK as alternate contact). NMR/MS lines not confirmed.]</t>
        </is>
      </c>
      <c r="AC37" s="2" t="inlineStr">
        <is>
          <t>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is>
      </c>
      <c r="AD37" s="2" t="inlineStr">
        <is>
          <t>high</t>
        </is>
      </c>
      <c r="AE37" s="2" t="inlineStr">
        <is>
          <t>Manufacturer page and distributor's own product pages agree.</t>
        </is>
      </c>
      <c r="AF37" s="2" t="inlineStr">
        <is>
          <t>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t>
        </is>
      </c>
    </row>
    <row r="38">
      <c r="A38" s="2" t="n">
        <v>37</v>
      </c>
      <c r="B38" s="2" t="inlineStr">
        <is>
          <t>Hitachi High-Tech</t>
        </is>
      </c>
      <c r="C38" s="2" t="inlineStr">
        <is>
          <t>Hitachi High-Technologies (name until 2020); Hitachi High-Tech Science; Hitachi High-Tech Analytical Science; Nissei Sangyo (original name)</t>
        </is>
      </c>
      <c r="D38" s="2" t="inlineStr">
        <is>
          <t>Tokyo (Minato, Toranomon)</t>
        </is>
      </c>
      <c r="E38" s="2" t="inlineStr">
        <is>
          <t>Japan</t>
        </is>
      </c>
      <c r="F38" s="2" t="inlineStr">
        <is>
          <t>Hitachi, Ltd. (wholly owned since the 2020 tender offer and delisting)</t>
        </is>
      </c>
      <c r="G38" s="2" t="inlineStr">
        <is>
          <t>Subsidiary of Hitachi, Ltd. (public, TSE: 6501)</t>
        </is>
      </c>
      <c r="H38" s="2" t="n">
        <v>1947</v>
      </c>
      <c r="I38" s="2" t="inlineStr">
        <is>
          <t>https://www.hitachi-hightech.com</t>
        </is>
      </c>
      <c r="J38" s="2" t="inlineStr">
        <is>
          <t>Electron microscopy &amp; X-ray / materials characterization</t>
        </is>
      </c>
      <c r="K38" s="3" t="n">
        <v>12400</v>
      </c>
      <c r="L38" s="2" t="n">
        <v>2025</v>
      </c>
      <c r="M38" s="2" t="inlineStr">
        <is>
          <t>estimate</t>
        </is>
      </c>
      <c r="N38" s="2" t="inlineStr">
        <is>
          <t>Consolidated headcount ~12,000-12,500 (recalled, unverified).</t>
        </is>
      </c>
      <c r="O38" s="2" t="inlineStr">
        <is>
          <t>JPY ~750 billion (estimate)</t>
        </is>
      </c>
      <c r="P38" s="3" t="n">
        <v>5000</v>
      </c>
      <c r="Q38" s="2" t="inlineStr">
        <is>
          <t>FY ending Mar-2025 (estimate)</t>
        </is>
      </c>
      <c r="R38" s="2" t="inlineStr">
        <is>
          <t>estimate</t>
        </is>
      </c>
      <c r="S38" s="2" t="inlineStr">
        <is>
          <t>Hitachi High-Tech has been wholly owned by Hitachi, Ltd. since 2020 and no longer publishes stand-alone results; order of magnitude from its last public filings and Hitachi segment data. Figures recalled from company statements / filings and not re-verified online in this session.</t>
        </is>
      </c>
      <c r="T38" s="2" t="inlineStr">
        <is>
          <t>estimate</t>
        </is>
      </c>
      <c r="U38" s="2" t="inlineStr">
        <is>
          <t>Regulus / SU series FE-SEM (e.g. SU8600, SU7000) — field-emission scanning electron microscopes</t>
        </is>
      </c>
      <c r="V38" s="2" t="inlineStr">
        <is>
          <t>TM4000Plus II — tabletop scanning electron microscope</t>
        </is>
      </c>
      <c r="W38" s="2" t="inlineStr">
        <is>
          <t>LABOSPECT clinical chemistry analyzers — high-throughput clinical analyzers (also OEM cobas c for Roche)</t>
        </is>
      </c>
      <c r="X38" s="2" t="inlineStr">
        <is>
          <t>unclear</t>
        </is>
      </c>
      <c r="Y38" s="2" t="inlineStr">
        <is>
          <t>לא ברור</t>
        </is>
      </c>
      <c r="Z38" s="2" t="inlineStr">
        <is>
          <t>partial</t>
        </is>
      </c>
      <c r="AA38" s="2" t="inlineStr">
        <is>
          <t>חיפוש חלקי (ללא פתיחת אתרי היצרן/המפיץ)</t>
        </is>
      </c>
      <c r="AB38" s="2" t="inlineStr">
        <is>
          <t>Hitachi High-Tech Israel, Ltd. [חברה-בת; Maintenance/service of semiconductor manufacturing and inspection equipment (Kiryat Gat office, P.O. Box 1000, MS: Hitachi LC2-3S, +972-8-666-6342); formerly H.H.T.A. Semiconductor Equipment Israel Ltd., renamed April 2020; 100% owned by Hitachi High-Tech. NOT confirmed as a sales channel for SEM/TEM/analytical instruments.]</t>
        </is>
      </c>
      <c r="AC38" s="2" t="inlineStr">
        <is>
          <t>חיפוש רשת בלבד; דפי ״מפיצים״ של היצרן ואתרי המפיצים לא נפתחו (חסימת רשת). Hitachi High-Tech Israel Ltd. (Kiryat Gat) exists but services semiconductor equipment only; no Israeli channel for SEM/TEM or analytical instruments was found. Searched 'Hitachi High-Tech Israel distributor/נציג/יבואן', 'Hitachi SEM/TM4000 Israel distributor', the brand across the Israeli distributor domains, hitachi-hightech.com, hha.hitachi-hightech.com (analytical) and Eisenberg's site. The only Israeli entity found is the subsidiary Hitachi High-Tech Israel, Ltd. in Kiryat Gat, which the company's own filings describe as a semiconductor-equipment service business. No Israeli distributor or representative for Hitachi electron microscopes or analytical instruments was found; Hitachi's analytical site only says it has 150+ distributors without naming Israel. A Quantum Design page mentioning an 'Italy and Israel' branch concerns Hitachi tabletop SEM distribution in Southern Germany only and is not evidence for Israel.</t>
        </is>
      </c>
      <c r="AD38" s="2" t="inlineStr">
        <is>
          <t>low</t>
        </is>
      </c>
      <c r="AE38" s="2" t="inlineStr">
        <is>
          <t>Subsidiary verified from Hitachi High-Tech's own network page, but the channel for lab instruments (SEM/TEM/analytical) remains unknown.</t>
        </is>
      </c>
      <c r="AF38" s="2" t="inlineStr">
        <is>
          <t>https://www.hitachi-hightech.com/global/network/israel.html ; https://www.hitachi-hightech.com/global/en/company/group/ ; https://www.hitachi-hightech.com/file/global/pdf/about/ir/ir_library/ar2011_all.pdf ; https://hha.hitachi-hightech.com/en/contact-us ; https://qd-europe.com/il/en/news/latest-updates/newsdetails/quantum-design-and-hitachi-strong-partners-for-electron-microscopy--1403/</t>
        </is>
      </c>
    </row>
    <row r="39">
      <c r="A39" s="2" t="n">
        <v>38</v>
      </c>
      <c r="B39" s="2" t="inlineStr">
        <is>
          <t>TESCAN</t>
        </is>
      </c>
      <c r="C39" s="2" t="inlineStr">
        <is>
          <t>TESCAN; TESCAN ORSAY HOLDING; TESCAN Brno; TESCAN XRE (micro-CT, Belgium)</t>
        </is>
      </c>
      <c r="D39" s="2" t="inlineStr">
        <is>
          <t>Brno</t>
        </is>
      </c>
      <c r="E39" s="2" t="inlineStr">
        <is>
          <t>Czech Republic</t>
        </is>
      </c>
      <c r="F39" s="2" t="inlineStr">
        <is>
          <t>Shimadzu Corporation (acquisition completed 10 Jul 2026)</t>
        </is>
      </c>
      <c r="G39" s="2" t="inlineStr">
        <is>
          <t>Subsidiary of Shimadzu Corporation (public, TSE: 7701) since July 2026</t>
        </is>
      </c>
      <c r="H39" s="2" t="n">
        <v>1991</v>
      </c>
      <c r="I39" s="2" t="inlineStr">
        <is>
          <t>https://www.tescan.com</t>
        </is>
      </c>
      <c r="J39" s="2" t="inlineStr">
        <is>
          <t>Electron microscopy &amp; X-ray / materials characterization</t>
        </is>
      </c>
      <c r="K39" s="3" t="n">
        <v>800</v>
      </c>
      <c r="L39" s="2" t="n">
        <v>2024</v>
      </c>
      <c r="M39" s="2" t="inlineStr">
        <is>
          <t>estimate</t>
        </is>
      </c>
      <c r="N39" s="2" t="inlineStr">
        <is>
          <t>Approximately 700-800 employees worldwide (company statements, recalled).</t>
        </is>
      </c>
      <c r="O39" s="2" t="inlineStr">
        <is>
          <t>EUR ~130 million (trade estimate; private)</t>
        </is>
      </c>
      <c r="P39" s="3" t="n">
        <v>143</v>
      </c>
      <c r="Q39" s="2" t="inlineStr">
        <is>
          <t>2024 (estimate)</t>
        </is>
      </c>
      <c r="R39" s="2" t="inlineStr">
        <is>
          <t>estimate</t>
        </is>
      </c>
      <c r="S39" s="2" t="inlineStr">
        <is>
          <t>TESCAN Group (Brno) is privately held; revenue estimate from trade press / Czech register figures. Figures recalled from company statements / filings and not re-verified online in this session.</t>
        </is>
      </c>
      <c r="T39" s="2" t="inlineStr">
        <is>
          <t>estimate</t>
        </is>
      </c>
      <c r="U39" s="2" t="inlineStr">
        <is>
          <t>TESCAN CLARA / MIRA — ultra-high-resolution field-emission SEMs</t>
        </is>
      </c>
      <c r="V39" s="2" t="inlineStr">
        <is>
          <t>TESCAN AMBER X / SOLARIS X — Xe plasma FIB-SEM for large-volume milling</t>
        </is>
      </c>
      <c r="W39" s="2" t="inlineStr">
        <is>
          <t>TESCAN TENSOR — 4D-STEM for nanoscale materials analysis</t>
        </is>
      </c>
      <c r="X39" s="2" t="inlineStr">
        <is>
          <t>distributor</t>
        </is>
      </c>
      <c r="Y39" s="2" t="inlineStr">
        <is>
          <t>מפיץ / נציג ישראלי</t>
        </is>
      </c>
      <c r="Z39" s="2" t="inlineStr">
        <is>
          <t>verified</t>
        </is>
      </c>
      <c r="AA39" s="2" t="inlineStr">
        <is>
          <t>אומת ממקור</t>
        </is>
      </c>
      <c r="AB39" s="2" t="inlineStr">
        <is>
          <t>PicoTech Ltd. [מפיץ; TESCAN SEM / FIB-SEM sales and after-sales support (PicoTech SEM division); Ha-Mefalsim St 17, Petah Tikva, +972-3-6356650, contact Nitzan Cafif per TESCAN's distributor page.]</t>
        </is>
      </c>
      <c r="AC39" s="2" t="inlineStr">
        <is>
          <t>Searched 'TESCAN Israel distributor/נציג/יבואן', the brand across the Israeli distributor domains, tescan.com and 'PicoTech TESCAN'. TESCAN's own distributor directory lists PicoTech Ltd. (Petah Tikva) for Israel, and a PicoTech SEM-division sales engineer's LinkedIn post reports the first TESCAN/WITec Raman-SEM installed in Israel. Corporate change: Shimadzu completed the acquisition of all shares of TESCAN GROUP on 10 July 2026 (TESCAN is now a wholly owned Shimadzu subsidiary), which could affect the Israeli channel; PicoTech's own website URL was not captured in search snippets.</t>
        </is>
      </c>
      <c r="AD39" s="2" t="inlineStr">
        <is>
          <t>high</t>
        </is>
      </c>
      <c r="AE39" s="2" t="inlineStr">
        <is>
          <t>Named on the manufacturer's official distributor page; corroborated by LinkedIn.</t>
        </is>
      </c>
      <c r="AF39" s="2" t="inlineStr">
        <is>
          <t>https://tescan.com/distributors/picotech-ltd ; https://dev.tescan.com/Distributors/Israel ; https://tescan.com/distributors ; https://il.linkedin.com/in/guy-barak-90a54377 ; https://shimadzu.com/news/2026/j97cvpy4m18o8cm3.html ; https://tescan.com/about-tescan/</t>
        </is>
      </c>
    </row>
    <row r="40">
      <c r="A40" s="2" t="n">
        <v>39</v>
      </c>
      <c r="B40" s="2" t="inlineStr">
        <is>
          <t>Rigaku Holdings</t>
        </is>
      </c>
      <c r="C40" s="2" t="inlineStr">
        <is>
          <t>Rigaku Corporation; Rigaku Americas; Rigaku Europe SE; Applied Rigaku Technologies</t>
        </is>
      </c>
      <c r="D40" s="2" t="inlineStr">
        <is>
          <t>Akishima, Tokyo</t>
        </is>
      </c>
      <c r="E40" s="2" t="inlineStr">
        <is>
          <t>Japan</t>
        </is>
      </c>
      <c r="F40" s="2" t="inlineStr"/>
      <c r="G40" s="2" t="inlineStr">
        <is>
          <t>Public (TSE Prime: 268A; IPO Oct 2023, previously Carlyle-controlled)</t>
        </is>
      </c>
      <c r="H40" s="2" t="n">
        <v>1951</v>
      </c>
      <c r="I40" s="2" t="inlineStr">
        <is>
          <t>https://www.rigaku.com</t>
        </is>
      </c>
      <c r="J40" s="2" t="inlineStr">
        <is>
          <t>Electron microscopy &amp; X-ray / materials characterization</t>
        </is>
      </c>
      <c r="K40" s="3" t="n">
        <v>2000</v>
      </c>
      <c r="L40" s="2" t="n">
        <v>2024</v>
      </c>
      <c r="M40" s="2" t="inlineStr">
        <is>
          <t>estimate</t>
        </is>
      </c>
      <c r="N40" s="2" t="inlineStr">
        <is>
          <t>Approximately 2,000 employees (IPO prospectus, recalled).</t>
        </is>
      </c>
      <c r="O40" s="2" t="inlineStr">
        <is>
          <t>JPY ~100 billion (estimate)</t>
        </is>
      </c>
      <c r="P40" s="3" t="n">
        <v>670</v>
      </c>
      <c r="Q40" s="2" t="inlineStr">
        <is>
          <t>FY2024 (estimate)</t>
        </is>
      </c>
      <c r="R40" s="2" t="inlineStr">
        <is>
          <t>estimate</t>
        </is>
      </c>
      <c r="S40" s="2" t="inlineStr">
        <is>
          <t>Rigaku Holdings (TSE Prime 268A, listed Oct 2023) reported revenue of roughly JPY 95-100 billion for FY2024 (recalled, unverified).</t>
        </is>
      </c>
      <c r="T40" s="2" t="inlineStr">
        <is>
          <t>estimate</t>
        </is>
      </c>
      <c r="U40" s="2" t="inlineStr">
        <is>
          <t>SmartLab — multipurpose high-resolution X-ray diffractometer</t>
        </is>
      </c>
      <c r="V40" s="2" t="inlineStr">
        <is>
          <t>MiniFlex — benchtop powder X-ray diffractometer</t>
        </is>
      </c>
      <c r="W40" s="2" t="inlineStr">
        <is>
          <t>XtaLAB Synergy — single-crystal X-ray diffraction systems</t>
        </is>
      </c>
      <c r="X40" s="2" t="inlineStr">
        <is>
          <t>unclear</t>
        </is>
      </c>
      <c r="Y40" s="2" t="inlineStr">
        <is>
          <t>לא ברור</t>
        </is>
      </c>
      <c r="Z40" s="2" t="inlineStr">
        <is>
          <t>partial</t>
        </is>
      </c>
      <c r="AA40" s="2" t="inlineStr">
        <is>
          <t>חיפוש חלקי (ללא פתיחת אתרי היצרן/המפיץ)</t>
        </is>
      </c>
      <c r="AB40" s="2" t="inlineStr">
        <is>
          <t>Rhenium Ltd. [מפיץ; Rigaku (XRD/XRF) listed among represented lines in Rhenium's 2009 Israel Physical Society trade-fair profile (Beit Nekofa); current status NOT confirmed - rhenium.co.il did not appear in any search result and Rigaku's distributor finder did not surface an Israel entry.] | Rigaku Semiconductor Instruments Ltd. (formerly XwinSys Technology Development Ltd.) [חברה-בת; Rigaku Group company doing R&amp;D and manufacturing of X-ray semiconductor metrology tools (Ramat Gabriel Industrial Zone, 6 HaMehkar St, Migdal HaEmek; rsi@rigaku.com, +972-4-9951051); joined Rigaku 2019, renamed Dec 2024. Not a sales channel for analytical XRD/XRF.]</t>
        </is>
      </c>
      <c r="AC40" s="2" t="inlineStr">
        <is>
          <t>חיפוש רשת בלבד; דפי ״מפיצים״ של היצרן ואתרי המפיצים לא נפתחו (חסימת רשת). Searched 'Rigaku Israel distributor/נציג/יבואן', the brand across the Israeli distributor domains (including rhenium.co.il), rigaku.com and extended searches for 'Rigaku Rhenium'. The only distributor evidence is the 2009 IPS listing naming Rigaku among Rhenium's lines; nothing current confirms or contradicts it (Rhenium's site is not indexed in the results). Rigaku does have its own Israeli group company, Rigaku Semiconductor Instruments Ltd. (ex-XwinSys, Migdal HaEmek), but it is a semiconductor-metrology R&amp;D/manufacturing unit, not a channel for XRD/XRF instruments. Presence therefore marked unclear: stale distributor hint plus an unrelated subsidiary.</t>
        </is>
      </c>
      <c r="AD40" s="2" t="inlineStr">
        <is>
          <t>low</t>
        </is>
      </c>
      <c r="AE40" s="2" t="inlineStr">
        <is>
          <t>Rhenium link rests on a 2009 trade-fair page only; the Israeli Rigaku subsidiary is verified but out of scope.</t>
        </is>
      </c>
      <c r="AF40" s="2" t="inlineStr">
        <is>
          <t>https://archive.israelphysicalsociety.org/ips-conference-2009/fairs/rhenium-ltd.html ; https://rigaku.com/about/rigaku-divisions/rigaku-semiconductor-instruments-ltd ; https://rigaku.com/about/rigaku-divisions ; https://businesswire.com/news/home/20241216662726/en/5762344/The-Rigaku-Group%e2%80%99s-XwinSys-Changes-its-Name-to-Rigaku-Semiconductor-Instruments ; https://rigaku.com/about/contact-us</t>
        </is>
      </c>
    </row>
    <row r="41">
      <c r="A41" s="2" t="n">
        <v>40</v>
      </c>
      <c r="B41" s="2" t="inlineStr">
        <is>
          <t>HORIBA</t>
        </is>
      </c>
      <c r="C41" s="2" t="inlineStr">
        <is>
          <t>HORIBA Scientific; HORIBA Jobin Yvon; HORIBA ABX (medical); HORIBA STEC; HORIBA Advanced Techno</t>
        </is>
      </c>
      <c r="D41" s="2" t="inlineStr">
        <is>
          <t>Kyoto</t>
        </is>
      </c>
      <c r="E41" s="2" t="inlineStr">
        <is>
          <t>Japan</t>
        </is>
      </c>
      <c r="F41" s="2" t="inlineStr"/>
      <c r="G41" s="2" t="inlineStr">
        <is>
          <t>Public (TSE: 6856)</t>
        </is>
      </c>
      <c r="H41" s="2" t="n">
        <v>1945</v>
      </c>
      <c r="I41" s="2" t="inlineStr">
        <is>
          <t>https://www.horiba.com</t>
        </is>
      </c>
      <c r="J41" s="2" t="inlineStr">
        <is>
          <t>Analytical instruments (chromatography / mass spectrometry / spectroscopy)</t>
        </is>
      </c>
      <c r="K41" s="3" t="n">
        <v>9000</v>
      </c>
      <c r="L41" s="2" t="n">
        <v>2024</v>
      </c>
      <c r="M41" s="2" t="inlineStr">
        <is>
          <t>company</t>
        </is>
      </c>
      <c r="N41" s="2" t="inlineStr">
        <is>
          <t>Consolidated group headcount approx. 9,000 (end-2024). Figures recalled from company reports, NOT verified in this session (web tools unavailable) - verify before use.</t>
        </is>
      </c>
      <c r="O41" s="2" t="inlineStr">
        <is>
          <t>JPY 306 billion</t>
        </is>
      </c>
      <c r="P41" s="3" t="n">
        <v>2050</v>
      </c>
      <c r="Q41" s="2" t="inlineStr">
        <is>
          <t>FY2024 (Dec-2024)</t>
        </is>
      </c>
      <c r="R41" s="2" t="inlineStr">
        <is>
          <t>company</t>
        </is>
      </c>
      <c r="S41" s="2" t="inlineStr">
        <is>
          <t>Consolidated net sales approx. JPY 306 billion in FY2024 (record; segments: Energy &amp; Environment/automotive, Bio &amp; Healthcare, Materials &amp; Semiconductor incl. HORIBA STEC). FY2025 (Dec-2025) results not checked. Figures recalled from company reports, NOT verified in this session (web tools unavailable) - verify before use.</t>
        </is>
      </c>
      <c r="T41" s="2" t="inlineStr">
        <is>
          <t>reported</t>
        </is>
      </c>
      <c r="U41" s="2" t="inlineStr">
        <is>
          <t>LabRAM Soleil / LabRAM Odyssey — Raman microscopes and spectrometers</t>
        </is>
      </c>
      <c r="V41" s="2" t="inlineStr">
        <is>
          <t>Partica LA-960V2 — laser-diffraction particle size analyzer</t>
        </is>
      </c>
      <c r="W41" s="2" t="inlineStr">
        <is>
          <t>Yumizen H500 / H1500 — hematology analyzers (HORIBA Medical)</t>
        </is>
      </c>
      <c r="X41" s="2" t="inlineStr">
        <is>
          <t>distributor</t>
        </is>
      </c>
      <c r="Y41" s="2" t="inlineStr">
        <is>
          <t>מפיץ / נציג ישראלי</t>
        </is>
      </c>
      <c r="Z41" s="2" t="inlineStr">
        <is>
          <t>verified</t>
        </is>
      </c>
      <c r="AA41" s="2" t="inlineStr">
        <is>
          <t>אומת ממקור</t>
        </is>
      </c>
      <c r="AB41" s="2" t="inlineStr">
        <is>
          <t>Agrolan Ltd. [מפיץ; HORIBA water-quality / LAQUA electrochemistry instruments only (Moshav Nov 45, Ramat HaGolan); listed on HORIBA's water-quality distributor page for Israel and marked 'water quality' on HORIBA's worldwide-locations page.] | New-Road Agencies Ltd. [מפיץ; HORIBA Scientific instruments (marked 'scientific' on HORIBA's worldwide-locations page; Rosh Ha'Ayin) - exact product lines (Raman, particle size, fluorescence, elemental) not itemised; own website not found.]</t>
        </is>
      </c>
      <c r="AC41" s="2" t="inlineStr">
        <is>
          <t>Searched 'HORIBA Israel distributor/נציג/יבואן', the brand across the Israeli distributor domains, horiba.com, 'HORIBA Medical/ABX/Yumizen Israel' and 'New-Road Agencies'. HORIBA's worldwide-locations page lists two Israeli partners: Agrolan Ltd (water quality only; also on the LAQUA distributor page for Israel) and New-Road Agencies Ltd (scientific); HORIBA has no Israeli office (its only Middle East base is HORIBA Middle East in the UAE, created June 2026 by acquiring distributor FANDA). No Israeli distributor for HORIBA Medical (hematology) was found. Caveat: the HORIBA pages are roughly 3-4 years old and neither distributor's own site was seen, so current status should be confirmed.</t>
        </is>
      </c>
      <c r="AD41" s="2" t="inlineStr">
        <is>
          <t>medium</t>
        </is>
      </c>
      <c r="AE41" s="2" t="inlineStr">
        <is>
          <t>Both entities named on HORIBA's own pages, but the listings are dated, no distributor-side confirmation, and the medical division channel is unknown.</t>
        </is>
      </c>
      <c r="AF41" s="2" t="inlineStr">
        <is>
          <t>https://www.horiba.com/int/contact/worldwide-locations/ ; https://www.horiba.com/int/water-quality/contact/distributors/ ; http://www-origin.horiba.com/application/material-property-characterization/water-analysis/water-quality-electrochemistry-instrumentation/distributors/israel/ ; https://www.horiba.com/esp/company/group-companies/ ; https://www.horiba.com/int/company/events/detail/news/6/2026/20260625hme/ ; https://www.horiba.com/medical/products/hematology</t>
        </is>
      </c>
    </row>
    <row r="42">
      <c r="A42" s="2" t="n">
        <v>41</v>
      </c>
      <c r="B42" s="2" t="inlineStr">
        <is>
          <t>Malvern Panalytical (Spectris)</t>
        </is>
      </c>
      <c r="C42" s="2" t="inlineStr">
        <is>
          <t>Malvern Instruments, PANalytical (Philips Analytical heritage); Spectris Scientific division</t>
        </is>
      </c>
      <c r="D42" s="2" t="inlineStr">
        <is>
          <t>Malvern, Worcestershire (second HQ: Almelo, Netherlands)</t>
        </is>
      </c>
      <c r="E42" s="2" t="inlineStr">
        <is>
          <t>UK</t>
        </is>
      </c>
      <c r="F42" s="2" t="inlineStr">
        <is>
          <t>Spectris (owned by KKR since December 2025)</t>
        </is>
      </c>
      <c r="G42" s="2" t="inlineStr">
        <is>
          <t>Subsidiary of Spectris — Private equity (KKR; GBP 4.7bn take-private completed December 2025, Spectris delisted 5 Dec 2025)</t>
        </is>
      </c>
      <c r="H42" s="2" t="n">
        <v>2017</v>
      </c>
      <c r="I42" s="2" t="inlineStr">
        <is>
          <t>https://www.malvernpanalytical.com</t>
        </is>
      </c>
      <c r="J42" s="2" t="inlineStr">
        <is>
          <t>Electron microscopy &amp; X-ray / materials characterization</t>
        </is>
      </c>
      <c r="K42" s="3" t="n">
        <v>7600</v>
      </c>
      <c r="L42" s="2" t="n">
        <v>2025</v>
      </c>
      <c r="M42" s="2" t="inlineStr">
        <is>
          <t>parent</t>
        </is>
      </c>
      <c r="N42" s="2" t="inlineStr">
        <is>
          <t>Spectris group headcount (~7,600, per 2025 take-private coverage). Malvern Panalytical's own headcount was not obtained from a source in this session (it is generally described as roughly 2,000+ staff).</t>
        </is>
      </c>
      <c r="O42" s="2" t="inlineStr">
        <is>
          <t>GBP 776.7 million</t>
        </is>
      </c>
      <c r="P42" s="3" t="n">
        <v>1010</v>
      </c>
      <c r="Q42" s="2" t="inlineStr">
        <is>
          <t>FY2024</t>
        </is>
      </c>
      <c r="R42" s="2" t="inlineStr">
        <is>
          <t>segment</t>
        </is>
      </c>
      <c r="S42" s="2" t="inlineStr">
        <is>
          <t>Spectris Scientific segment (Malvern Panalytical + Servomex etc.) FY2024; Spectris was taken private by KKR in Dec 2025 and no longer reports.</t>
        </is>
      </c>
      <c r="T42" s="2" t="inlineStr">
        <is>
          <t>reported</t>
        </is>
      </c>
      <c r="U42" s="2" t="inlineStr">
        <is>
          <t>Mastersizer 3000+ — laser-diffraction particle size analyzer</t>
        </is>
      </c>
      <c r="V42" s="2" t="inlineStr">
        <is>
          <t>Zetasizer Advance — DLS nanoparticle size &amp; zeta potential analyzer</t>
        </is>
      </c>
      <c r="W42" s="2" t="inlineStr">
        <is>
          <t>Empyrean — multipurpose X-ray diffractometer (XRD)</t>
        </is>
      </c>
      <c r="X42" s="2" t="inlineStr">
        <is>
          <t>distributor</t>
        </is>
      </c>
      <c r="Y42" s="2" t="inlineStr">
        <is>
          <t>מפיץ / נציג ישראלי</t>
        </is>
      </c>
      <c r="Z42" s="2" t="inlineStr">
        <is>
          <t>verified</t>
        </is>
      </c>
      <c r="AA42" s="2" t="inlineStr">
        <is>
          <t>אומת ממקור</t>
        </is>
      </c>
      <c r="AB42" s="2" t="inlineStr">
        <is>
          <t>Dr. Uri Golik Chemical Instrumentation (ד"ר גוליק) [מפיץ; Malvern Panalytical particle/materials characterization (Zetasizer, Mastersizer 3000+, NanoSight, Morphologi 4, Archimedes, MicroCal); XRD line not seen on its pages]</t>
        </is>
      </c>
      <c r="AC42" s="2" t="inlineStr">
        <is>
          <t>Searched generic queries, 27 Israeli distributor domains and malvernpanalytical.com. Dr. Uri Golik Chemical Instrumentation has a current 'Malvern Panalytical' manufacturer page and product pages for Zetasizer Pro, Mastersizer 3000+, NanoSight NS300, Morphologi 4, Archimedes and MicroCal PEAQ-DSC; Malvern's own 2013 Isranalytica article calls Dr Golik its distributor (best-supplier award, CEO Dorit Bilman Golik) and a 2011 Malvern contact sheet attached to an Israeli government tender lists Golik, Tel Aviv, as Israel sales/service. Caveat: the manufacturer-side confirmations pre-date the 2017 Malvern/PANalytical merger, and XRD (ex-PANalytical) products were not seen on Golik's pages.</t>
        </is>
      </c>
      <c r="AD42" s="2" t="inlineStr">
        <is>
          <t>high</t>
        </is>
      </c>
      <c r="AE42" s="2" t="inlineStr">
        <is>
          <t>Current distributor brand page corroborated by the manufacturer's own (older) article and contact sheet.</t>
        </is>
      </c>
      <c r="AF42" s="2" t="inlineStr">
        <is>
          <t>https://mr.gov.il/ilgstorefront/he/p/attachment/005056BF4DAB1EDA94D7D2CC42F7011B/נספחים לפרוטוקול ; https://www.malvernpanalytical.com/en/learn/knowledge-center/insights/isranalytica-2013-annual-meeting-of-the-israel-analytical-chemistry-society ; https://www.biospace.com/malvern-instruments-specialists-present-three-papers-at-b-isranalytica-b-2010 ; https://www.malvernpanalytical.com/en/about-us/contact-us/distributors ; https://businesscloud.co.uk/news/kkr-completes-4-7bn-acquisition-of-spectris/ ; https://en.wikipedia.org/wiki/Spectris ; https://www.malvernpanalytical.com/en/learn/knowledge-center/insights/about ; https://www.golik.co.il/manufacturers/malvern-panalytical ; https://www.golik.co.il/productsv3/Zetasizer-Pro ; https://golik.co.il/products/mastersizer-range/</t>
        </is>
      </c>
    </row>
    <row r="43">
      <c r="A43" s="2" t="n">
        <v>42</v>
      </c>
      <c r="B43" s="2" t="inlineStr">
        <is>
          <t>Oxford Instruments</t>
        </is>
      </c>
      <c r="C43" s="2" t="inlineStr">
        <is>
          <t>Andor Technology, Oxford Instruments NanoAnalysis, Asylum Research, WITec, Oxford Instruments Plasma Technology, Magnetic Resonance; NanoScience (quantum business, sale agreed 2025)</t>
        </is>
      </c>
      <c r="D43" s="2" t="inlineStr">
        <is>
          <t>Abingdon, Oxfordshire</t>
        </is>
      </c>
      <c r="E43" s="2" t="inlineStr">
        <is>
          <t>UK</t>
        </is>
      </c>
      <c r="F43" s="2" t="inlineStr"/>
      <c r="G43" s="2" t="inlineStr">
        <is>
          <t>Public (LSE: OXIG)</t>
        </is>
      </c>
      <c r="H43" s="2" t="n">
        <v>1959</v>
      </c>
      <c r="I43" s="2" t="inlineStr">
        <is>
          <t>https://www.oxinst.com</t>
        </is>
      </c>
      <c r="J43" s="2" t="inlineStr">
        <is>
          <t>Electron microscopy &amp; X-ray / materials characterization</t>
        </is>
      </c>
      <c r="K43" s="3" t="n">
        <v>2200</v>
      </c>
      <c r="L43" s="2" t="n">
        <v>2025</v>
      </c>
      <c r="M43" s="2" t="inlineStr">
        <is>
          <t>company</t>
        </is>
      </c>
      <c r="N43" s="2" t="inlineStr">
        <is>
          <t>Annual Report 2025 'at a glance' reads as '2,200+ employees' (text extraction ambiguous); operations in 23 countries, 27 base locations. Third-party aggregators show ~2,000.</t>
        </is>
      </c>
      <c r="O43" s="2" t="inlineStr">
        <is>
          <t>GBP 500.6 million</t>
        </is>
      </c>
      <c r="P43" s="3" t="n">
        <v>651</v>
      </c>
      <c r="Q43" s="2" t="inlineStr">
        <is>
          <t>FY ending Mar-2025</t>
        </is>
      </c>
      <c r="R43" s="2" t="inlineStr">
        <is>
          <t>company</t>
        </is>
      </c>
      <c r="S43" s="2" t="inlineStr">
        <is>
          <t>FY2024/25 group revenue GBP 500.6m (prior year 470.4m), adjusted operating profit GBP 82.2m. NanoScience (quantum/cryogenics) contributed ~GBP 59m revenue and ~GBP 1m adjusted operating profit in FY25. FY2025/26 results (year to Mar-2026) were not retrieved in this session.</t>
        </is>
      </c>
      <c r="T43" s="2" t="inlineStr">
        <is>
          <t>reported</t>
        </is>
      </c>
      <c r="U43" s="2" t="inlineStr">
        <is>
          <t>AZtec with Ultim Max (NanoAnalysis) — EDS/EBSD microanalysis systems for SEM/TEM</t>
        </is>
      </c>
      <c r="V43" s="2" t="inlineStr">
        <is>
          <t>Andor iXon / Sona / Dragonfly — scientific EMCCD/sCMOS cameras &amp; confocal imaging</t>
        </is>
      </c>
      <c r="W43" s="2" t="inlineStr">
        <is>
          <t>PlasmaPro 100 (Plasma Technology) — plasma etch &amp; deposition tools for semiconductors</t>
        </is>
      </c>
      <c r="X43" s="2" t="inlineStr">
        <is>
          <t>none_found</t>
        </is>
      </c>
      <c r="Y43" s="2" t="inlineStr">
        <is>
          <t>לא נמצא ייצוג</t>
        </is>
      </c>
      <c r="Z43" s="2" t="inlineStr">
        <is>
          <t>partial</t>
        </is>
      </c>
      <c r="AA43" s="2" t="inlineStr">
        <is>
          <t>חיפוש חלקי (ללא פתיחת אתרי היצרן/המפיץ)</t>
        </is>
      </c>
      <c r="AB43" s="2" t="inlineStr"/>
      <c r="AC43" s="2" t="inlineStr">
        <is>
          <t>חיפוש רשת בלבד; דפי ״מפיצים״ של היצרן ואתרי המפיצים לא נפתחו (חסימת רשת). Searched '"Oxford Instruments" Israel distributor' and '"Oxford Instruments" ישראל נציג': no Israeli distributor or office was named in any result. Note the frequent confusion with Oxford Nanopore Technologies (a different company), whose Israeli channel partner is Zotal Ltd — that is NOT Oxford Instruments. A planned search for Andor's Israeli distributor and fetches of oxinst.com / andor.oxinst.com / nano.oxinst.com distributor pages could not be run (search budget exhausted; hosts denied by egress proxy). Oxford Instruments Israel-related content found was only an ISM 2022 (Israel Society for Microscopy) event page, which names no distributor.</t>
        </is>
      </c>
      <c r="AD43" s="2" t="inlineStr">
        <is>
          <t>low</t>
        </is>
      </c>
      <c r="AE43" s="2" t="inlineStr">
        <is>
          <t>Size from official FY2025 results (high); Israeli channel search incomplete — nothing found but manufacturer distributor pages were not readable, so 'none_found' is provisional.</t>
        </is>
      </c>
      <c r="AF43" s="2" t="inlineStr">
        <is>
          <t>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t>
        </is>
      </c>
    </row>
    <row r="44">
      <c r="A44" s="2" t="n">
        <v>43</v>
      </c>
      <c r="B44" s="2" t="inlineStr">
        <is>
          <t>Anton Paar</t>
        </is>
      </c>
      <c r="C44" s="2" t="inlineStr">
        <is>
          <t>Anton Paar Group AG; Quantachrome Instruments (acquired 2018, now Anton Paar QuantaTec); Brabender (acquired 2023)</t>
        </is>
      </c>
      <c r="D44" s="2" t="inlineStr">
        <is>
          <t>Graz</t>
        </is>
      </c>
      <c r="E44" s="2" t="inlineStr">
        <is>
          <t>Austria</t>
        </is>
      </c>
      <c r="F44" s="2" t="inlineStr">
        <is>
          <t>Anton Paar Group AG (owned by the charitable Santner Foundation)</t>
        </is>
      </c>
      <c r="G44" s="2" t="inlineStr">
        <is>
          <t>Private (foundation-owned — Santner Foundation)</t>
        </is>
      </c>
      <c r="H44" s="2" t="n">
        <v>1922</v>
      </c>
      <c r="I44" s="2" t="inlineStr">
        <is>
          <t>https://www.anton-paar.com</t>
        </is>
      </c>
      <c r="J44" s="2" t="inlineStr">
        <is>
          <t>Diversified analytical &amp; life-science instruments</t>
        </is>
      </c>
      <c r="K44" s="3" t="n">
        <v>4500</v>
      </c>
      <c r="L44" s="2" t="n">
        <v>2025</v>
      </c>
      <c r="M44" s="2" t="inlineStr">
        <is>
          <t>company</t>
        </is>
      </c>
      <c r="N44" s="2" t="inlineStr">
        <is>
          <t>'4,500+ employees' per the company factsheet (dated June 2026) and Wikipedia; Revelio Labs shows 2,816 (Sept 2025) for a narrower legal-entity scope.</t>
        </is>
      </c>
      <c r="O44" s="2" t="inlineStr">
        <is>
          <t>EUR 629 million</t>
        </is>
      </c>
      <c r="P44" s="3" t="n">
        <v>692</v>
      </c>
      <c r="Q44" s="2" t="inlineStr">
        <is>
          <t>FY2025</t>
        </is>
      </c>
      <c r="R44" s="2" t="inlineStr">
        <is>
          <t>company</t>
        </is>
      </c>
      <c r="S44" s="2" t="inlineStr">
        <is>
          <t>Net sales revenue 2025 EUR 629m per Anton Paar factsheet (June 2026); 14.5% of turnover invested in R&amp;D.</t>
        </is>
      </c>
      <c r="T44" s="2" t="inlineStr">
        <is>
          <t>reported</t>
        </is>
      </c>
      <c r="U44" s="2" t="inlineStr">
        <is>
          <t>DMA density meters (e.g. DMA 5000 M) — laboratory density &amp; concentration measurement</t>
        </is>
      </c>
      <c r="V44" s="2" t="inlineStr">
        <is>
          <t>MCR rheometer series (e.g. MCR 702e) — rotational &amp; oscillatory rheometers</t>
        </is>
      </c>
      <c r="W44" s="2" t="inlineStr">
        <is>
          <t>Multiwave 5000 / 7000 — microwave sample digestion systems</t>
        </is>
      </c>
      <c r="X44" s="2" t="inlineStr">
        <is>
          <t>none_found</t>
        </is>
      </c>
      <c r="Y44" s="2" t="inlineStr">
        <is>
          <t>לא נמצא ייצוג</t>
        </is>
      </c>
      <c r="Z44" s="2" t="inlineStr">
        <is>
          <t>partial</t>
        </is>
      </c>
      <c r="AA44" s="2" t="inlineStr">
        <is>
          <t>חיפוש חלקי (ללא פתיחת אתרי היצרן/המפיץ)</t>
        </is>
      </c>
      <c r="AB44" s="2" t="inlineStr"/>
      <c r="AC44" s="2" t="inlineStr">
        <is>
          <t>חיפוש רשת בלבד; דפי ״מפיצים״ של היצרן ואתרי המפיצים לא נפתחו (חסימת רשת). Searched '"Anton Paar" Israel distributor' and '"Anton Paar" ישראל נציג': no Israeli subsidiary or distributor was named. Anton Paar operates ~37 own subsidiaries worldwide; Israel is not among those seen. One lead: an Israeli LinkedIn profile (Keren Tenenbaum) posts about 'another advanced FTIR solution joining our installed base in Israel' and an Autosorb 6200 (Anton Paar/Quantachrome) installed at Bar-Ilan University — indicating an active local channel whose company name was not visible. The manufacturer's contact/sales-partner page (anton-paar.com/corp-en/about-us/contact/) and the factsheet could not be opened (host denied by egress proxy).</t>
        </is>
      </c>
      <c r="AD44" s="2" t="inlineStr">
        <is>
          <t>medium</t>
        </is>
      </c>
      <c r="AE44" s="2" t="inlineStr">
        <is>
          <t>Size from company factsheet (high); Israeli channel not established — search incomplete because the manufacturer's partner page was unreachable.</t>
        </is>
      </c>
      <c r="AF44" s="2" t="inlineStr">
        <is>
          <t>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t>
        </is>
      </c>
    </row>
    <row r="45">
      <c r="A45" s="2" t="n">
        <v>44</v>
      </c>
      <c r="B45" s="2" t="inlineStr">
        <is>
          <t>Metrohm</t>
        </is>
      </c>
      <c r="C45" s="2" t="inlineStr">
        <is>
          <t>Metrohm Autolab, Metrohm Applikon (process analyzers), Metrohm DropSens, Metrohm Raman; Metrohm Middle East FZC (regional subsidiary)</t>
        </is>
      </c>
      <c r="D45" s="2" t="inlineStr">
        <is>
          <t>Herisau</t>
        </is>
      </c>
      <c r="E45" s="2" t="inlineStr">
        <is>
          <t>Switzerland</t>
        </is>
      </c>
      <c r="F45" s="2" t="inlineStr">
        <is>
          <t>Metrohm Foundation (Metrohm Stiftung)</t>
        </is>
      </c>
      <c r="G45" s="2" t="inlineStr">
        <is>
          <t>Private (foundation-owned — Metrohm Foundation)</t>
        </is>
      </c>
      <c r="H45" s="2" t="n">
        <v>1943</v>
      </c>
      <c r="I45" s="2" t="inlineStr">
        <is>
          <t>https://www.metrohm.com</t>
        </is>
      </c>
      <c r="J45" s="2" t="inlineStr">
        <is>
          <t>Water &amp; electrochemical analysis</t>
        </is>
      </c>
      <c r="K45" s="3" t="n">
        <v>3000</v>
      </c>
      <c r="L45" s="2" t="n">
        <v>2024</v>
      </c>
      <c r="M45" s="2" t="inlineStr">
        <is>
          <t>estimate</t>
        </is>
      </c>
      <c r="N45" s="2" t="inlineStr">
        <is>
          <t>Metrohm states around 3,000 employees worldwide (recalled, unverified).</t>
        </is>
      </c>
      <c r="O45" s="2" t="inlineStr">
        <is>
          <t>CHF ~550 million (trade estimate; foundation-owned)</t>
        </is>
      </c>
      <c r="P45" s="3" t="n">
        <v>640</v>
      </c>
      <c r="Q45" s="2" t="inlineStr">
        <is>
          <t>2024 (estimate)</t>
        </is>
      </c>
      <c r="R45" s="2" t="inlineStr">
        <is>
          <t>estimate</t>
        </is>
      </c>
      <c r="S45" s="2" t="inlineStr">
        <is>
          <t>Metrohm is owned by the Metrohm Foundation and publishes no revenue; trade estimates range CHF 500-600M. Figures recalled from company statements / filings and not re-verified online in this session.</t>
        </is>
      </c>
      <c r="T45" s="2" t="inlineStr">
        <is>
          <t>estimate</t>
        </is>
      </c>
      <c r="U45" s="2" t="inlineStr">
        <is>
          <t>OMNIS — modular automated titration platform</t>
        </is>
      </c>
      <c r="V45" s="2" t="inlineStr">
        <is>
          <t>940 Professional IC Vario / Eco IC — ion chromatography systems</t>
        </is>
      </c>
      <c r="W45" s="2" t="inlineStr">
        <is>
          <t>Autolab PGSTAT204 / PGSTAT302N — potentiostat/galvanostat electrochemistry workstations</t>
        </is>
      </c>
      <c r="X45" s="2" t="inlineStr">
        <is>
          <t>distributor</t>
        </is>
      </c>
      <c r="Y45" s="2" t="inlineStr">
        <is>
          <t>מפיץ / נציג ישראלי</t>
        </is>
      </c>
      <c r="Z45" s="2" t="inlineStr">
        <is>
          <t>verified</t>
        </is>
      </c>
      <c r="AA45" s="2" t="inlineStr">
        <is>
          <t>אומת ממקור</t>
        </is>
      </c>
      <c r="AB45" s="2" t="inlineStr">
        <is>
          <t>Israel Scientific Instruments Ltd. (ISI) (ISI – ישראל מכשור מדעי) [מפיץ; official distributor of all Metrohm products and services in Israel from 17 July 2025 (Metrohm news page)]</t>
        </is>
      </c>
      <c r="AC45" s="2" t="inlineStr">
        <is>
          <t>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is>
      </c>
      <c r="AD45" s="2" t="inlineStr">
        <is>
          <t>medium</t>
        </is>
      </c>
      <c r="AE45" s="2" t="inlineStr">
        <is>
          <t>Israeli distributor comes from the manufacturer's own 2025 announcement (strong); size figures could not be sourced.</t>
        </is>
      </c>
      <c r="AF45" s="2" t="inlineStr">
        <is>
          <t>https://www.metrohm.com/en/discover/news/2025/new-metrohm-distributor-in-israel.html ; https://en.wikipedia.org/wiki/Metrohm ; https://www.terrapinn.com/exhibition/arablab-live/exhibitor-metrohm-middle-east-fzc.stm</t>
        </is>
      </c>
    </row>
    <row r="46">
      <c r="A46" s="2" t="n">
        <v>45</v>
      </c>
      <c r="B46" s="2" t="inlineStr">
        <is>
          <t>LECO Corporation</t>
        </is>
      </c>
      <c r="C46" s="2" t="inlineStr">
        <is>
          <t>LECO (Laboratory Equipment Corporation); Pegasus, TruSpec, ChromaTOF, LECO Europe (Mönchengladbach)</t>
        </is>
      </c>
      <c r="D46" s="2" t="inlineStr">
        <is>
          <t>St. Joseph, Michigan</t>
        </is>
      </c>
      <c r="E46" s="2" t="inlineStr">
        <is>
          <t>USA</t>
        </is>
      </c>
      <c r="F46" s="2" t="inlineStr"/>
      <c r="G46" s="2" t="inlineStr">
        <is>
          <t>Private (family-owned — Warren family)</t>
        </is>
      </c>
      <c r="H46" s="2" t="n">
        <v>1936</v>
      </c>
      <c r="I46" s="2" t="inlineStr">
        <is>
          <t>https://www.leco.com</t>
        </is>
      </c>
      <c r="J46" s="2" t="inlineStr">
        <is>
          <t>Elemental &amp; materials analysis</t>
        </is>
      </c>
      <c r="K46" s="3" t="n">
        <v>1000</v>
      </c>
      <c r="L46" s="2" t="n">
        <v>2024</v>
      </c>
      <c r="M46" s="2" t="inlineStr">
        <is>
          <t>estimate</t>
        </is>
      </c>
      <c r="N46" s="2" t="inlineStr">
        <is>
          <t>Roughly 1,000 employees worldwide (recalled, unverified).</t>
        </is>
      </c>
      <c r="O46" s="2" t="inlineStr">
        <is>
          <t>USD ~250 million (trade estimate; private)</t>
        </is>
      </c>
      <c r="P46" s="3" t="n">
        <v>250</v>
      </c>
      <c r="Q46" s="2" t="inlineStr">
        <is>
          <t>2024 (estimate)</t>
        </is>
      </c>
      <c r="R46" s="2" t="inlineStr">
        <is>
          <t>estimate</t>
        </is>
      </c>
      <c r="S46" s="2" t="inlineStr">
        <is>
          <t>LECO (St. Joseph, MI) is family-owned; trade estimates USD 200-300M. Figures recalled from company statements / filings and not re-verified online in this session.</t>
        </is>
      </c>
      <c r="T46" s="2" t="inlineStr">
        <is>
          <t>estimate</t>
        </is>
      </c>
      <c r="U46" s="2" t="inlineStr">
        <is>
          <t>828 / 928 Series — combustion CHN/CHNS/O macro elemental analyzers</t>
        </is>
      </c>
      <c r="V46" s="2" t="inlineStr">
        <is>
          <t>Pegasus BT 4D — GCxGC time-of-flight mass spectrometer</t>
        </is>
      </c>
      <c r="W46" s="2" t="inlineStr">
        <is>
          <t>836 Series (ONH836) — oxygen/nitrogen/hydrogen inert-gas-fusion analyzer</t>
        </is>
      </c>
      <c r="X46" s="2" t="inlineStr">
        <is>
          <t>distributor</t>
        </is>
      </c>
      <c r="Y46" s="2" t="inlineStr">
        <is>
          <t>מפיץ / נציג ישראלי</t>
        </is>
      </c>
      <c r="Z46" s="2" t="inlineStr">
        <is>
          <t>verified</t>
        </is>
      </c>
      <c r="AA46" s="2" t="inlineStr">
        <is>
          <t>אומת ממקור</t>
        </is>
      </c>
      <c r="AB46" s="2" t="inlineStr">
        <is>
          <t>Agentek (1987) Ltd. (אגנטק) [מפיץ; LECO analytical instruments, mass spectrometers and metallography (Agentek LECO representative page)]</t>
        </is>
      </c>
      <c r="AC46" s="2" t="inlineStr">
        <is>
          <t>Agentek's own vendors page (agentek.co.il/vendors) lists the brand among the manufacturers it represents in Israel (seen in a search excerpt; the manufacturer's own distributor page was not opened).</t>
        </is>
      </c>
      <c r="AD46" s="2" t="inlineStr">
        <is>
          <t>medium</t>
        </is>
      </c>
      <c r="AE46" s="2" t="inlineStr"/>
      <c r="AF46" s="2" t="inlineStr">
        <is>
          <t>https://eu.leco.com/contact/authorised-distributors ; https://en.wikipedia.org/wiki/LECO_Corporation ; https://leco.com/contact/usa ; https://www.leco.com/?p=3266 ; https://agentek.co.il/representative/leco/</t>
        </is>
      </c>
    </row>
    <row r="47">
      <c r="A47" s="2" t="n">
        <v>46</v>
      </c>
      <c r="B47" s="2" t="inlineStr">
        <is>
          <t>JASCO Corporation</t>
        </is>
      </c>
      <c r="C47" s="2" t="inlineStr">
        <is>
          <t>Japan Spectroscopic Co.; JASCO International, JASCO Inc. (Easton, MD, USA), JASCO Europe, JASCO Deutschland</t>
        </is>
      </c>
      <c r="D47" s="2" t="inlineStr">
        <is>
          <t>Hachioji, Tokyo</t>
        </is>
      </c>
      <c r="E47" s="2" t="inlineStr">
        <is>
          <t>Japan</t>
        </is>
      </c>
      <c r="F47" s="2" t="inlineStr"/>
      <c r="G47" s="2" t="inlineStr">
        <is>
          <t>Private</t>
        </is>
      </c>
      <c r="H47" s="2" t="n">
        <v>1958</v>
      </c>
      <c r="I47" s="2" t="inlineStr">
        <is>
          <t>https://www.jasco-global.com</t>
        </is>
      </c>
      <c r="J47" s="2" t="inlineStr">
        <is>
          <t>Analytical instruments (chromatography / mass spectrometry / spectroscopy)</t>
        </is>
      </c>
      <c r="K47" s="3" t="n">
        <v>400</v>
      </c>
      <c r="L47" s="2" t="n">
        <v>2024</v>
      </c>
      <c r="M47" s="2" t="inlineStr">
        <is>
          <t>estimate</t>
        </is>
      </c>
      <c r="N47" s="2" t="inlineStr">
        <is>
          <t>Roughly 400 employees in Japan plus overseas subsidiaries (recalled, unverified).</t>
        </is>
      </c>
      <c r="O47" s="2" t="inlineStr">
        <is>
          <t>JPY ~12 billion (trade estimate; private)</t>
        </is>
      </c>
      <c r="P47" s="3" t="n">
        <v>80</v>
      </c>
      <c r="Q47" s="2" t="inlineStr">
        <is>
          <t>FY2024 (estimate)</t>
        </is>
      </c>
      <c r="R47" s="2" t="inlineStr">
        <is>
          <t>estimate</t>
        </is>
      </c>
      <c r="S47" s="2" t="inlineStr">
        <is>
          <t>JASCO (Hachioji, Tokyo) is privately held; order-of-magnitude estimate. Figures recalled from company statements / filings and not re-verified online in this session.</t>
        </is>
      </c>
      <c r="T47" s="2" t="inlineStr">
        <is>
          <t>estimate</t>
        </is>
      </c>
      <c r="U47" s="2" t="inlineStr">
        <is>
          <t>J-1500 — circular dichroism (CD) spectrometer</t>
        </is>
      </c>
      <c r="V47" s="2" t="inlineStr">
        <is>
          <t>FT/IR-4X / FT/IR-6X — FTIR spectrometers</t>
        </is>
      </c>
      <c r="W47" s="2" t="inlineStr">
        <is>
          <t>V-700 series (V-780) — UV-Vis/NIR spectrophotometers</t>
        </is>
      </c>
      <c r="X47" s="2" t="inlineStr">
        <is>
          <t>none_found</t>
        </is>
      </c>
      <c r="Y47" s="2" t="inlineStr">
        <is>
          <t>לא נמצא ייצוג</t>
        </is>
      </c>
      <c r="Z47" s="2" t="inlineStr">
        <is>
          <t>partial</t>
        </is>
      </c>
      <c r="AA47" s="2" t="inlineStr">
        <is>
          <t>חיפוש חלקי (ללא פתיחת אתרי היצרן/המפיץ)</t>
        </is>
      </c>
      <c r="AB47" s="2" t="inlineStr"/>
      <c r="AC47" s="2" t="inlineStr">
        <is>
          <t>חיפוש רשת בלבד; דפי ״מפיצים״ של היצרן ואתרי המפיצים לא נפתחו (חסימת רשת). Searched '"JASCO" Israel distributor spectroscopy': results were JASCO's own global/US pages plus an eBay listing of a used JASCO FP-6200 by a private seller in Ashdod (not evidence of a distributor). JASCO's worldwide distributor directory (jasco-global.com) could not be opened (host denied by egress proxy) and Hebrew searches were not run (search budget exhausted).</t>
        </is>
      </c>
      <c r="AD47" s="2" t="inlineStr">
        <is>
          <t>low</t>
        </is>
      </c>
      <c r="AE47" s="2" t="inlineStr">
        <is>
          <t>No size figures sourced; Israel check incomplete.</t>
        </is>
      </c>
      <c r="AF47" s="2" t="inlineStr">
        <is>
          <t>https://jascoinc.com/?p=1712 ; https://photonics.com/Buyers_Guide/JASCO_Inc/c7300 ; https://www.ebay.de/itm/293667324097</t>
        </is>
      </c>
    </row>
    <row r="48">
      <c r="A48" s="2" t="n">
        <v>47</v>
      </c>
      <c r="B48" s="2" t="inlineStr">
        <is>
          <t>SPECTRO Analytical Instruments (AMETEK)</t>
        </is>
      </c>
      <c r="C48" s="2" t="inlineStr">
        <is>
          <t>SPECTRO (AMETEK Materials Analysis Division); SPECTRO ARCOS, SPECTROBLUE, SPECTROGREEN, SPECTRO XEPOS, SPECTROMAXx, SPECTRO MS</t>
        </is>
      </c>
      <c r="D48" s="2" t="inlineStr">
        <is>
          <t>Kleve</t>
        </is>
      </c>
      <c r="E48" s="2" t="inlineStr">
        <is>
          <t>Germany</t>
        </is>
      </c>
      <c r="F48" s="2" t="inlineStr">
        <is>
          <t>AMETEK, Inc.</t>
        </is>
      </c>
      <c r="G48" s="2" t="inlineStr">
        <is>
          <t>Subsidiary of AMETEK (public, NYSE: AME) — acquired 2005</t>
        </is>
      </c>
      <c r="H48" s="2" t="n">
        <v>1979</v>
      </c>
      <c r="I48" s="2" t="inlineStr">
        <is>
          <t>https://www.spectro.com</t>
        </is>
      </c>
      <c r="J48" s="2" t="inlineStr">
        <is>
          <t>Elemental &amp; materials analysis</t>
        </is>
      </c>
      <c r="K48" s="3" t="n">
        <v>500</v>
      </c>
      <c r="L48" s="2" t="n">
        <v>2024</v>
      </c>
      <c r="M48" s="2" t="inlineStr">
        <is>
          <t>estimate</t>
        </is>
      </c>
      <c r="N48" s="2" t="inlineStr">
        <is>
          <t>SPECTRO (Kleve) employs roughly 400-500; parent AMETEK ~21,500 (recalled, unverified).</t>
        </is>
      </c>
      <c r="O48" s="2" t="inlineStr">
        <is>
          <t>USD 6.94 billion</t>
        </is>
      </c>
      <c r="P48" s="3" t="n">
        <v>6940</v>
      </c>
      <c r="Q48" s="2" t="inlineStr">
        <is>
          <t>FY2024</t>
        </is>
      </c>
      <c r="R48" s="2" t="inlineStr">
        <is>
          <t>parent</t>
        </is>
      </c>
      <c r="S48" s="2" t="inlineStr">
        <is>
          <t>AMETEK group revenue (parent); SPECTRO alone is not disclosed (order of EUR 100-150M, trade estimate).</t>
        </is>
      </c>
      <c r="T48" s="2" t="inlineStr">
        <is>
          <t>mixed</t>
        </is>
      </c>
      <c r="U48" s="2" t="inlineStr">
        <is>
          <t>SPECTRO ARCOS — high-resolution ICP-OES spectrometer</t>
        </is>
      </c>
      <c r="V48" s="2" t="inlineStr">
        <is>
          <t>SPECTRO XEPOS — energy-dispersive XRF spectrometer</t>
        </is>
      </c>
      <c r="W48" s="2" t="inlineStr">
        <is>
          <t>SPECTROMAXx — arc/spark OES metals analyzer</t>
        </is>
      </c>
      <c r="X48" s="2" t="inlineStr">
        <is>
          <t>none_found</t>
        </is>
      </c>
      <c r="Y48" s="2" t="inlineStr">
        <is>
          <t>לא נמצא ייצוג</t>
        </is>
      </c>
      <c r="Z48" s="2" t="inlineStr">
        <is>
          <t>partial</t>
        </is>
      </c>
      <c r="AA48" s="2" t="inlineStr">
        <is>
          <t>חיפוש חלקי (ללא פתיחת אתרי היצרן/המפיץ)</t>
        </is>
      </c>
      <c r="AB48" s="2" t="inlineStr"/>
      <c r="AC48" s="2" t="inlineStr">
        <is>
          <t>חיפוש רשת בלבד; דפי ״מפיצים״ של היצרן ואתרי המפיצים לא נפתחו (חסימת רשת). Searched generic English/Hebrew queries, 27 Israeli distributor domains, spectro.com/ametek.com and agentek.co.il with SPECTRO product names (ARCOS, SPECTROBLUE, SPECTROGREEN, XEPOS, SPECTROMAXx). Nothing names an Israeli SPECTRO representative: Agentek's catalog lists ICP/ICP-MS/XRF and metal-analysis spectrometer categories but its vendor pages (Shimadzu, Konica Minolta, etc.) never mention SPECTRO or AMETEK, so the Agentek hint is unconfirmed; SPECTRO's 'worldwide' locator and AMETEK's global locations (Middle East office in Dubai) did not surface Israel in snippets. Result: no Israeli channel identified.</t>
        </is>
      </c>
      <c r="AD48" s="2" t="inlineStr">
        <is>
          <t>low</t>
        </is>
      </c>
      <c r="AE48" s="2" t="inlineStr">
        <is>
          <t>Four searches found neither a distributor nor manufacturer-side Israel contact; the Agentek lead is neither confirmed nor excluded.</t>
        </is>
      </c>
      <c r="AF48" s="2" t="inlineStr">
        <is>
          <t>https://agentek.co.il/?p=2540 ; https://agentek.co.il/about-us/ ; https://2019.isranalytica.com/320-agentek ; https://v1.israelphysicalsociety.org/ips-conference-2009/fairs/agentek-ltd ; https://photonics.com/Buyers_Guide/SPECTRO_Analytical_Instruments/c14004 ; https://agentek.co.il/catalog/ ; https://agentek.co.il/vendors/?___from_store=he&amp;___store=en ; https://agentek.co.il/representative/shimadzu/ ; https://www.spectro.com/about-us/spectro-worldwide ; https://www.ametek.com/contact-us/global-locations</t>
        </is>
      </c>
    </row>
    <row r="49">
      <c r="A49" s="2" t="n">
        <v>48</v>
      </c>
      <c r="B49" s="2" t="inlineStr">
        <is>
          <t>Analytik Jena (Endress+Hauser)</t>
        </is>
      </c>
      <c r="C49" s="2" t="inlineStr">
        <is>
          <t>Analytik Jena AG (former listed name); Biometra, CyBio; part of the Endress+Hauser Group</t>
        </is>
      </c>
      <c r="D49" s="2" t="inlineStr">
        <is>
          <t>Jena</t>
        </is>
      </c>
      <c r="E49" s="2" t="inlineStr">
        <is>
          <t>Germany</t>
        </is>
      </c>
      <c r="F49" s="2" t="inlineStr">
        <is>
          <t>Endress+Hauser Group</t>
        </is>
      </c>
      <c r="G49" s="2" t="inlineStr">
        <is>
          <t>Subsidiary of Endress+Hauser Group (private, family-owned, Switzerland)</t>
        </is>
      </c>
      <c r="H49" s="2" t="n">
        <v>1990</v>
      </c>
      <c r="I49" s="2" t="inlineStr">
        <is>
          <t>https://www.analytik-jena.com</t>
        </is>
      </c>
      <c r="J49" s="2" t="inlineStr">
        <is>
          <t>Analytical instruments (chromatography / mass spectrometry / spectroscopy)</t>
        </is>
      </c>
      <c r="K49" s="3" t="n">
        <v>1000</v>
      </c>
      <c r="L49" s="2" t="n">
        <v>2024</v>
      </c>
      <c r="M49" s="2" t="inlineStr">
        <is>
          <t>estimate</t>
        </is>
      </c>
      <c r="N49" s="2" t="inlineStr">
        <is>
          <t>Roughly 1,000 employees (recalled, unverified).</t>
        </is>
      </c>
      <c r="O49" s="2" t="inlineStr">
        <is>
          <t>EUR ~180 million (trade estimate)</t>
        </is>
      </c>
      <c r="P49" s="3" t="n">
        <v>200</v>
      </c>
      <c r="Q49" s="2" t="inlineStr">
        <is>
          <t>2024 (estimate)</t>
        </is>
      </c>
      <c r="R49" s="2" t="inlineStr">
        <is>
          <t>estimate</t>
        </is>
      </c>
      <c r="S49" s="2" t="inlineStr">
        <is>
          <t>Part of the privately held Endress+Hauser Group (~EUR 3.9B group revenue); Analytik Jena alone is not disclosed. Figures recalled from company statements / filings and not re-verified online in this session.</t>
        </is>
      </c>
      <c r="T49" s="2" t="inlineStr">
        <is>
          <t>estimate</t>
        </is>
      </c>
      <c r="U49" s="2" t="inlineStr">
        <is>
          <t>PlasmaQuant 9100 / PlasmaQuant MS — ICP-OES and ICP-MS spectrometers</t>
        </is>
      </c>
      <c r="V49" s="2" t="inlineStr">
        <is>
          <t>contrAA 800 — high-resolution continuum-source AAS</t>
        </is>
      </c>
      <c r="W49" s="2" t="inlineStr">
        <is>
          <t>multi N/C series — TOC/TNb analyzers</t>
        </is>
      </c>
      <c r="X49" s="2" t="inlineStr">
        <is>
          <t>none_found</t>
        </is>
      </c>
      <c r="Y49" s="2" t="inlineStr">
        <is>
          <t>לא נמצא ייצוג</t>
        </is>
      </c>
      <c r="Z49" s="2" t="inlineStr">
        <is>
          <t>partial</t>
        </is>
      </c>
      <c r="AA49" s="2" t="inlineStr">
        <is>
          <t>חיפוש חלקי (ללא פתיחת אתרי היצרן/המפיץ)</t>
        </is>
      </c>
      <c r="AB49" s="2" t="inlineStr"/>
      <c r="AC49" s="2" t="inlineStr">
        <is>
          <t>חיפוש רשת בלבד; דפי ״מפיצים״ של היצרן ואתרי המפיצים לא נפתחו (חסימת רשת). Searched '"Analytik Jena" Israel distributor': no Israeli distributor named; the only Israeli hit was a generic Israel Physical Society trade-fair listing for Agentek (1987) Ltd. that does not mention Analytik Jena (not evidence). analytik-jena.com/contact (distributor finder) could not be opened (host denied by egress proxy) and the Hebrew search was not run (search budget exhausted).</t>
        </is>
      </c>
      <c r="AD49" s="2" t="inlineStr">
        <is>
          <t>low</t>
        </is>
      </c>
      <c r="AE49" s="2" t="inlineStr">
        <is>
          <t>No size figures sourced; Israel check incomplete.</t>
        </is>
      </c>
      <c r="AF49" s="2" t="inlineStr">
        <is>
          <t>https://www.labroots.com/companies/analytik-jena ; https://v1.israelphysicalsociety.org/ips-conference-2009/fairs/agentek-ltd ; https://www.analytik-jena.com/contact/</t>
        </is>
      </c>
    </row>
    <row r="50">
      <c r="A50" s="2" t="n">
        <v>49</v>
      </c>
      <c r="B50" s="2" t="inlineStr">
        <is>
          <t>Elementar Analysensysteme</t>
        </is>
      </c>
      <c r="C50" s="2" t="inlineStr">
        <is>
          <t>Elementar; Isoprime (IRMS, acquired 2016); elemental-analysis heritage of Heraeus</t>
        </is>
      </c>
      <c r="D50" s="2" t="inlineStr">
        <is>
          <t>Langenselbold (near Frankfurt)</t>
        </is>
      </c>
      <c r="E50" s="2" t="inlineStr">
        <is>
          <t>Germany</t>
        </is>
      </c>
      <c r="F50" s="2" t="inlineStr"/>
      <c r="G50" s="2" t="inlineStr">
        <is>
          <t>Private (family/management-owned; spun out of Heraeus in 1990)</t>
        </is>
      </c>
      <c r="H50" s="2" t="n">
        <v>1990</v>
      </c>
      <c r="I50" s="2" t="inlineStr">
        <is>
          <t>https://www.elementar.com</t>
        </is>
      </c>
      <c r="J50" s="2" t="inlineStr">
        <is>
          <t>Elemental &amp; materials analysis</t>
        </is>
      </c>
      <c r="K50" s="3" t="n">
        <v>400</v>
      </c>
      <c r="L50" s="2" t="n">
        <v>2024</v>
      </c>
      <c r="M50" s="2" t="inlineStr">
        <is>
          <t>estimate</t>
        </is>
      </c>
      <c r="N50" s="2" t="inlineStr">
        <is>
          <t>Roughly 400 employees (recalled, unverified).</t>
        </is>
      </c>
      <c r="O50" s="2" t="inlineStr">
        <is>
          <t>EUR ~70 million (trade estimate; private)</t>
        </is>
      </c>
      <c r="P50" s="3" t="n">
        <v>77</v>
      </c>
      <c r="Q50" s="2" t="inlineStr">
        <is>
          <t>2024 (estimate)</t>
        </is>
      </c>
      <c r="R50" s="2" t="inlineStr">
        <is>
          <t>estimate</t>
        </is>
      </c>
      <c r="S50" s="2" t="inlineStr">
        <is>
          <t>Family-owned (Langenselbold); order-of-magnitude estimate. Figures recalled from company statements / filings and not re-verified online in this session.</t>
        </is>
      </c>
      <c r="T50" s="2" t="inlineStr">
        <is>
          <t>estimate</t>
        </is>
      </c>
      <c r="U50" s="2" t="inlineStr">
        <is>
          <t>UNICUBE / vario EL cube — CHNS/O combustion elemental analyzers</t>
        </is>
      </c>
      <c r="V50" s="2" t="inlineStr">
        <is>
          <t>isoprime precisION — isotope ratio mass spectrometer (IRMS)</t>
        </is>
      </c>
      <c r="W50" s="2" t="inlineStr">
        <is>
          <t>vario TOC cube — total organic carbon analyzer</t>
        </is>
      </c>
      <c r="X50" s="2" t="inlineStr">
        <is>
          <t>none_found</t>
        </is>
      </c>
      <c r="Y50" s="2" t="inlineStr">
        <is>
          <t>לא נמצא ייצוג</t>
        </is>
      </c>
      <c r="Z50" s="2" t="inlineStr">
        <is>
          <t>partial</t>
        </is>
      </c>
      <c r="AA50" s="2" t="inlineStr">
        <is>
          <t>חיפוש חלקי (ללא פתיחת אתרי היצרן/המפיץ)</t>
        </is>
      </c>
      <c r="AB50" s="2" t="inlineStr"/>
      <c r="AC50" s="2" t="inlineStr">
        <is>
          <t>חיפוש רשת בלבד; דפי ״מפיצים״ של היצרן ואתרי המפיצים לא נפתחו (חסימת רשת). Searched '"Elementar" Israel distributor elemental analyzer': only manufacturer/directory pages returned; no Israeli distributor named. elementar.com's contact/sales-partner page could not be opened (host denied by egress proxy) and Hebrew searches were not run (search budget exhausted).</t>
        </is>
      </c>
      <c r="AD50" s="2" t="inlineStr">
        <is>
          <t>low</t>
        </is>
      </c>
      <c r="AE50" s="2" t="inlineStr">
        <is>
          <t>No size figures sourced; Israel check incomplete.</t>
        </is>
      </c>
      <c r="AF50" s="2" t="inlineStr">
        <is>
          <t>https://en.wikipedia.org/wiki/Elementar ; https://www.spectaris.de/en/verband/members/address/elementar-analysensysteme-gmbh ; https://www.elementar.com/en/contact</t>
        </is>
      </c>
    </row>
    <row r="51">
      <c r="A51" s="2" t="n">
        <v>50</v>
      </c>
      <c r="B51" s="2" t="inlineStr">
        <is>
          <t>NETZSCH Analyzing &amp; Testing</t>
        </is>
      </c>
      <c r="C51" s="2" t="inlineStr">
        <is>
          <t>NETZSCH-Gerätebau GmbH; NETZSCH Group business unit; brands DSC Caliris, STA Jupiter, TG Libra, LFA HyperFlash, DMA Eplexor, Kinexus rheometers</t>
        </is>
      </c>
      <c r="D51" s="2" t="inlineStr">
        <is>
          <t>Selb, Bavaria</t>
        </is>
      </c>
      <c r="E51" s="2" t="inlineStr">
        <is>
          <t>Germany</t>
        </is>
      </c>
      <c r="F51" s="2" t="inlineStr">
        <is>
          <t>NETZSCH Group (Erich NETZSCH GmbH &amp; Co. Holding KG)</t>
        </is>
      </c>
      <c r="G51" s="2" t="inlineStr">
        <is>
          <t>Subsidiary of NETZSCH Group (private, family-owned, owner-managed)</t>
        </is>
      </c>
      <c r="H51" s="2" t="n">
        <v>1962</v>
      </c>
      <c r="I51" s="2" t="inlineStr">
        <is>
          <t>https://analyzing-testing.netzsch.com</t>
        </is>
      </c>
      <c r="J51" s="2" t="inlineStr">
        <is>
          <t>Thermal analysis &amp; materials testing</t>
        </is>
      </c>
      <c r="K51" s="3" t="n">
        <v>700</v>
      </c>
      <c r="L51" s="2" t="n">
        <v>2024</v>
      </c>
      <c r="M51" s="2" t="inlineStr">
        <is>
          <t>estimate</t>
        </is>
      </c>
      <c r="N51" s="2" t="inlineStr">
        <is>
          <t>Analyzing &amp; Testing business unit only (~700); NETZSCH Group ~4,000 employees (recalled, unverified).</t>
        </is>
      </c>
      <c r="O51" s="2" t="inlineStr">
        <is>
          <t>EUR ~150 million (A&amp;T business unit; trade estimate)</t>
        </is>
      </c>
      <c r="P51" s="3" t="n">
        <v>165</v>
      </c>
      <c r="Q51" s="2" t="inlineStr">
        <is>
          <t>2024 (estimate)</t>
        </is>
      </c>
      <c r="R51" s="2" t="inlineStr">
        <is>
          <t>estimate</t>
        </is>
      </c>
      <c r="S51" s="2" t="inlineStr">
        <is>
          <t>NETZSCH Group (Selb) is family-owned with ~EUR 800M group revenue; the Analyzing &amp; Testing unit alone is an estimate. Figures recalled from company statements / filings and not re-verified online in this session.</t>
        </is>
      </c>
      <c r="T51" s="2" t="inlineStr">
        <is>
          <t>estimate</t>
        </is>
      </c>
      <c r="U51" s="2" t="inlineStr">
        <is>
          <t>DSC 300 Caliris — differential scanning calorimeter</t>
        </is>
      </c>
      <c r="V51" s="2" t="inlineStr">
        <is>
          <t>STA 509 Jupiter — simultaneous TGA-DSC thermal analyzer</t>
        </is>
      </c>
      <c r="W51" s="2" t="inlineStr">
        <is>
          <t>LFA 467 HyperFlash — laser-flash thermal diffusivity/conductivity analyzer</t>
        </is>
      </c>
      <c r="X51" s="2" t="inlineStr">
        <is>
          <t>none_found</t>
        </is>
      </c>
      <c r="Y51" s="2" t="inlineStr">
        <is>
          <t>לא נמצא ייצוג</t>
        </is>
      </c>
      <c r="Z51" s="2" t="inlineStr">
        <is>
          <t>partial</t>
        </is>
      </c>
      <c r="AA51" s="2" t="inlineStr">
        <is>
          <t>חיפוש חלקי (ללא פתיחת אתרי היצרן/המפיץ)</t>
        </is>
      </c>
      <c r="AB51" s="2" t="inlineStr"/>
      <c r="AC51" s="2" t="inlineStr">
        <is>
          <t>חיפוש רשת בלבד; דפי ״מפיצים״ של היצרן ואתרי המפיצים לא נפתחו (חסימת רשת). Searched '"NETZSCH" Israel distributor thermal analysis': no Israeli representative named. Dutco Tennant LLC (Dubai) is described as the exclusive Middle East distributor for NETZSCH Analyzing &amp; Testing, with no mention of Israel. analyzing-testing.netzsch.com/en/contact (worldwide representatives) could not be opened (host denied by egress proxy) and the Hebrew search was not run (search budget exhausted).</t>
        </is>
      </c>
      <c r="AD51" s="2" t="inlineStr">
        <is>
          <t>low</t>
        </is>
      </c>
      <c r="AE51" s="2" t="inlineStr">
        <is>
          <t>No size figures sourced; Israel check incomplete.</t>
        </is>
      </c>
      <c r="AF51" s="2" t="inlineStr">
        <is>
          <t>https://www.dutcotennant.com/blog/check-out-netzschs-futuristic-range-of-thermal-analysis-products-at-arablab ; https://www.bayern-international.de/en/company-database/company-details/netzsch-geraetebau-gmbh-5371 ; https://analyzing-testing.netzsch.com/en/contact</t>
        </is>
      </c>
    </row>
    <row r="52">
      <c r="A52" s="2" t="n">
        <v>51</v>
      </c>
      <c r="B52" s="2" t="inlineStr">
        <is>
          <t>Biotage</t>
        </is>
      </c>
      <c r="C52" s="2" t="inlineStr">
        <is>
          <t>Biotage; Astrea Bioseparations; formerly Pyrosequencing AB (Biotage brand founded 1989 in the USA); Selekt, Sfär, Isolera, Extrahera, Initiator, Alstra</t>
        </is>
      </c>
      <c r="D52" s="2" t="inlineStr">
        <is>
          <t>Uppsala</t>
        </is>
      </c>
      <c r="E52" s="2" t="inlineStr">
        <is>
          <t>Sweden</t>
        </is>
      </c>
      <c r="F52" s="2" t="inlineStr">
        <is>
          <t>KKR (via RWK BidCo AB)</t>
        </is>
      </c>
      <c r="G52" s="2" t="inlineStr">
        <is>
          <t>Private equity (KKR) — public cash offer of SEK 145/share (SEK 11.6 bn / ~USD 1.2 bn) announced April 2025, completion reported June 2025; previously public (Nasdaq Stockholm: BIOT), now delisted</t>
        </is>
      </c>
      <c r="H52" s="2" t="n">
        <v>1997</v>
      </c>
      <c r="I52" s="2" t="inlineStr">
        <is>
          <t>https://www.biotage.com</t>
        </is>
      </c>
      <c r="J52" s="2" t="inlineStr">
        <is>
          <t>Analytical instruments (chromatography / mass spectrometry / spectroscopy)</t>
        </is>
      </c>
      <c r="K52" s="3" t="n">
        <v>700</v>
      </c>
      <c r="L52" s="2" t="n">
        <v>2025</v>
      </c>
      <c r="M52" s="2" t="inlineStr">
        <is>
          <t>company</t>
        </is>
      </c>
      <c r="N52" s="2" t="inlineStr">
        <is>
          <t>Approx. 700 employees per Biotage's own company description (April 2025 release: 'operates globally with 700 employees and serves customers in 80 countries'); third-party trackers show ~620-680. Founding year caveat: Swedish listed entity (Pyrosequencing AB) 1997; some databases (Yahoo profile) show 1969; the Biotage brand/US company dates to 1989.</t>
        </is>
      </c>
      <c r="O52" s="2" t="inlineStr">
        <is>
          <t>SEK 2,056 million</t>
        </is>
      </c>
      <c r="P52" s="3" t="n">
        <v>201</v>
      </c>
      <c r="Q52" s="2" t="inlineStr">
        <is>
          <t>FY2024</t>
        </is>
      </c>
      <c r="R52" s="2" t="inlineStr">
        <is>
          <t>company</t>
        </is>
      </c>
      <c r="S52" s="2" t="inlineStr">
        <is>
          <t>Year-end report Jan-Dec 2024: net sales SEK 2,056 m (SEK 1,862 m in 2023), +10.5% reported / +1.0% organic. No FY2025 public report expected after the KKR take-private.</t>
        </is>
      </c>
      <c r="T52" s="2" t="inlineStr">
        <is>
          <t>reported</t>
        </is>
      </c>
      <c r="U52" s="2" t="inlineStr">
        <is>
          <t>Biotage Selekt (with Sfär columns) — flash chromatography purification system and columns</t>
        </is>
      </c>
      <c r="V52" s="2" t="inlineStr">
        <is>
          <t>Biotage Extrahera — automated SPE/SLE sample-preparation workstation</t>
        </is>
      </c>
      <c r="W52" s="2" t="inlineStr">
        <is>
          <t>Biotage Initiator+ / Alstra+ — microwave organic and peptide synthesizers</t>
        </is>
      </c>
      <c r="X52" s="2" t="inlineStr">
        <is>
          <t>distributor</t>
        </is>
      </c>
      <c r="Y52" s="2" t="inlineStr">
        <is>
          <t>מפיץ / נציג ישראלי</t>
        </is>
      </c>
      <c r="Z52" s="2" t="inlineStr">
        <is>
          <t>verified</t>
        </is>
      </c>
      <c r="AA52" s="2" t="inlineStr">
        <is>
          <t>אומת ממקור</t>
        </is>
      </c>
      <c r="AB52" s="2" t="inlineStr">
        <is>
          <t>Bargal Analytical Instruments Ltd. (ברגל) [מפיץ; Biotage distributor for Israel (listed on Biotage's contact page)]</t>
        </is>
      </c>
      <c r="AC52" s="2" t="inlineStr">
        <is>
          <t>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is>
      </c>
      <c r="AD52" s="2" t="inlineStr">
        <is>
          <t>medium</t>
        </is>
      </c>
      <c r="AE52" s="2" t="inlineStr">
        <is>
          <t>Size figures from the 2024 year-end report and company description (seen via search extracts). Israeli distributor rests on a search-engine extract of Biotage's own contact page, not confirmed on Bargal's site. KKR completion seen only in a secondary M&amp;A roundup (27 June 2025), not in a Biotage/KKR release.</t>
        </is>
      </c>
      <c r="AF52" s="2" t="inlineStr">
        <is>
          <t>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t>
        </is>
      </c>
    </row>
    <row r="53">
      <c r="A53" s="2" t="n">
        <v>52</v>
      </c>
      <c r="B53" s="2" t="inlineStr">
        <is>
          <t>Hach (Veralto)</t>
        </is>
      </c>
      <c r="C53" s="2" t="inlineStr">
        <is>
          <t>Hach; Hach Lange / HACH LANGE GmbH (Europe); formerly a Danaher Water Quality operating company</t>
        </is>
      </c>
      <c r="D53" s="2" t="inlineStr">
        <is>
          <t>Loveland, Colorado</t>
        </is>
      </c>
      <c r="E53" s="2" t="inlineStr">
        <is>
          <t>USA</t>
        </is>
      </c>
      <c r="F53" s="2" t="inlineStr">
        <is>
          <t>Veralto Corporation</t>
        </is>
      </c>
      <c r="G53" s="2" t="inlineStr">
        <is>
          <t>Subsidiary of Veralto Corporation (public, NYSE: VLTO; Veralto was spun off from Danaher in October 2023)</t>
        </is>
      </c>
      <c r="H53" s="2" t="n">
        <v>1947</v>
      </c>
      <c r="I53" s="2" t="inlineStr">
        <is>
          <t>https://www.hach.com</t>
        </is>
      </c>
      <c r="J53" s="2" t="inlineStr">
        <is>
          <t>Water &amp; electrochemical analysis</t>
        </is>
      </c>
      <c r="K53" s="3" t="n">
        <v>17000</v>
      </c>
      <c r="L53" s="2" t="n">
        <v>2024</v>
      </c>
      <c r="M53" s="2" t="inlineStr">
        <is>
          <t>company</t>
        </is>
      </c>
      <c r="N53" s="2" t="inlineStr">
        <is>
          <t>Parent Veralto headcount, approx. (Veralto reports roughly 16,000-17,000 associates in its recent 10-Ks; figure from memory, not verified this session). Hach's own headcount is not disclosed separately.</t>
        </is>
      </c>
      <c r="O53" s="2" t="inlineStr">
        <is>
          <t>USD 3.16 billion (Veralto Water Quality segment, approx.)</t>
        </is>
      </c>
      <c r="P53" s="3" t="n">
        <v>3160</v>
      </c>
      <c r="Q53" s="2" t="inlineStr">
        <is>
          <t>FY2024</t>
        </is>
      </c>
      <c r="R53" s="2" t="inlineStr">
        <is>
          <t>segment</t>
        </is>
      </c>
      <c r="S53" s="2" t="inlineStr">
        <is>
          <t>Hach is the largest business in Veralto's Water Quality segment (which also includes Trojan Technologies, ChemTreat, OTT HydroMet, Sea-Bird, McCrometer); Hach-only revenue is not disclosed. Segment figure (~USD 3.16 bn of Veralto's ~USD 5.23 bn FY2024 sales) is from memory of Veralto's FY2024 10-K and could not be verified this session (search budget exhausted, fetch failures) — verify before use.</t>
        </is>
      </c>
      <c r="T53" s="2" t="inlineStr">
        <is>
          <t>mixed</t>
        </is>
      </c>
      <c r="U53" s="2" t="inlineStr">
        <is>
          <t>DR3900 / DR6000 — benchtop VIS / UV-VIS spectrophotometers for water analysis</t>
        </is>
      </c>
      <c r="V53" s="2" t="inlineStr">
        <is>
          <t>TNTplus — barcoded reagent-vial test chemistries</t>
        </is>
      </c>
      <c r="W53" s="2" t="inlineStr">
        <is>
          <t>HQ series (HQ1100/HQ4300) with Intellical probes — portable and benchtop pH / DO / conductivity meters</t>
        </is>
      </c>
      <c r="X53" s="2" t="inlineStr">
        <is>
          <t>none_found</t>
        </is>
      </c>
      <c r="Y53" s="2" t="inlineStr">
        <is>
          <t>לא נמצא ייצוג</t>
        </is>
      </c>
      <c r="Z53" s="2" t="inlineStr">
        <is>
          <t>partial</t>
        </is>
      </c>
      <c r="AA53" s="2" t="inlineStr">
        <is>
          <t>חיפוש חלקי (ללא פתיחת אתרי היצרן/המפיץ)</t>
        </is>
      </c>
      <c r="AB53" s="2" t="inlineStr"/>
      <c r="AC53" s="2" t="inlineStr">
        <is>
          <t>חיפוש רשת בלבד; דפי ״מפיצים״ של היצרן ואתרי המפיצים לא נפתחו (חסימת רשת). Nothing credible found. Searches run: 'Hach Israel distributor water analysis', 'Hach ישראל יבואן', 'Hach site:co.il', 'Hach Israel representative OR office OR Hach Israel' — none returned an Israeli distributor, importer or Hach office (results were generic Hach pages or unrelated Israeli content). Hach's own contact / find-a-distributor pages (hach.com/contact and regional sites) and Veralto's site could not be opened (WebFetch DNS failure; direct HTTPS blocked by the session proxy), so a Hach-listed Israeli partner may exist but could not be confirmed. The brief's hint of a possible Hach-owned Israeli entity was not verified either way.</t>
        </is>
      </c>
      <c r="AD53" s="2" t="inlineStr">
        <is>
          <t>low</t>
        </is>
      </c>
      <c r="AE53" s="2" t="inlineStr">
        <is>
          <t>Identity/ownership from Wikipedia and Veralto page extracts; size figures from memory (unverified); Israel result is a negative after limited searching with no access to Hach's distributor locator.</t>
        </is>
      </c>
      <c r="AF53" s="2" t="inlineStr">
        <is>
          <t>https://en.wikipedia.org/wiki/Hach_Company ; https://veralto.com/company/hach</t>
        </is>
      </c>
    </row>
    <row r="54">
      <c r="A54" s="2" t="n">
        <v>53</v>
      </c>
      <c r="B54" s="2" t="inlineStr">
        <is>
          <t>Hanna Instruments</t>
        </is>
      </c>
      <c r="C54" s="2" t="inlineStr">
        <is>
          <t>HANNA; Hanna Instruments Italia (Villafranca Padovana); edge, Checker, HALO, HI-series</t>
        </is>
      </c>
      <c r="D54" s="2" t="inlineStr">
        <is>
          <t>Woonsocket, Rhode Island</t>
        </is>
      </c>
      <c r="E54" s="2" t="inlineStr">
        <is>
          <t>USA</t>
        </is>
      </c>
      <c r="F54" s="2" t="inlineStr"/>
      <c r="G54" s="2" t="inlineStr">
        <is>
          <t>Private (family-owned — founded in Italy by Oscar and Anna Nardo; led by Martino and Pamela Nardo)</t>
        </is>
      </c>
      <c r="H54" s="2" t="n">
        <v>1978</v>
      </c>
      <c r="I54" s="2" t="inlineStr">
        <is>
          <t>https://www.hannainst.com</t>
        </is>
      </c>
      <c r="J54" s="2" t="inlineStr">
        <is>
          <t>Water &amp; electrochemical analysis</t>
        </is>
      </c>
      <c r="K54" s="3" t="n">
        <v>1500</v>
      </c>
      <c r="L54" s="2" t="n">
        <v>2024</v>
      </c>
      <c r="M54" s="2" t="inlineStr">
        <is>
          <t>estimate</t>
        </is>
      </c>
      <c r="N54" s="2" t="inlineStr">
        <is>
          <t>Roughly 1,500 employees worldwide (recalled, unverified).</t>
        </is>
      </c>
      <c r="O54" s="2" t="inlineStr">
        <is>
          <t>USD ~150 million (trade estimate; private)</t>
        </is>
      </c>
      <c r="P54" s="3" t="n">
        <v>150</v>
      </c>
      <c r="Q54" s="2" t="inlineStr">
        <is>
          <t>2024 (estimate)</t>
        </is>
      </c>
      <c r="R54" s="2" t="inlineStr">
        <is>
          <t>estimate</t>
        </is>
      </c>
      <c r="S54" s="2" t="inlineStr">
        <is>
          <t>Hanna (Woonsocket RI / Italy) is family-owned; order-of-magnitude estimate. Figures recalled from company statements / filings and not re-verified online in this session.</t>
        </is>
      </c>
      <c r="T54" s="2" t="inlineStr">
        <is>
          <t>estimate</t>
        </is>
      </c>
      <c r="U54" s="2" t="inlineStr">
        <is>
          <t>HI931 / HI932 — automatic potentiometric titrators</t>
        </is>
      </c>
      <c r="V54" s="2" t="inlineStr">
        <is>
          <t>edge (HI2020) — benchtop/portable pH, EC and DO meter</t>
        </is>
      </c>
      <c r="W54" s="2" t="inlineStr">
        <is>
          <t>HI83300 series &amp; Checker HC — multiparameter photometers and handheld colorimeters</t>
        </is>
      </c>
      <c r="X54" s="2" t="inlineStr">
        <is>
          <t>none_found</t>
        </is>
      </c>
      <c r="Y54" s="2" t="inlineStr">
        <is>
          <t>לא נמצא ייצוג</t>
        </is>
      </c>
      <c r="Z54" s="2" t="inlineStr">
        <is>
          <t>partial</t>
        </is>
      </c>
      <c r="AA54" s="2" t="inlineStr">
        <is>
          <t>חיפוש חלקי (ללא פתיחת אתרי היצרן/המפיץ)</t>
        </is>
      </c>
      <c r="AB54" s="2" t="inlineStr"/>
      <c r="AC54" s="2" t="inlineStr">
        <is>
          <t>חיפוש רשת בלבד; דפי ״מפיצים״ של היצרן ואתרי המפיצים לא נפתחו (חסימת רשת). Nothing found. Searches run: 'Hanna Instruments Israel distributor', 'Hanna Instruments ישראל', 'Hanna Instruments site:co.il' — results only covered other markets (Qatar: Orbit Trading; UAE/Oman: Laboratory Scientific Supplies; Australia/NZ: John Morris Group) and generic profiles. Hanna's worldwide/contact page (hannainst.com/worldwide) could not be opened (WebFetch DNS failure; direct HTTPS blocked), so whether Hanna lists an Israeli subsidiary or distributor remains unverified.</t>
        </is>
      </c>
      <c r="AD54" s="2" t="inlineStr">
        <is>
          <t>low</t>
        </is>
      </c>
      <c r="AE54" s="2" t="inlineStr">
        <is>
          <t>Identity from company-profile extracts; no size figures; Israel result is a negative after limited searching with no access to Hanna's worldwide locator.</t>
        </is>
      </c>
      <c r="AF54" s="2" t="inlineStr">
        <is>
          <t>https://healthmanagement.org/site/p/hanna-instruments-inc ; https://hannaservice.eu/about-us ; https://www.tradearabia.com/news/IND_214894.html</t>
        </is>
      </c>
    </row>
    <row r="55">
      <c r="A55" s="2" t="n">
        <v>54</v>
      </c>
      <c r="B55" s="2" t="inlineStr">
        <is>
          <t>VELP Scientifica</t>
        </is>
      </c>
      <c r="C55" s="2" t="inlineStr">
        <is>
          <t>VELP</t>
        </is>
      </c>
      <c r="D55" s="2" t="inlineStr">
        <is>
          <t>Usmate Velate (Monza e Brianza)</t>
        </is>
      </c>
      <c r="E55" s="2" t="inlineStr">
        <is>
          <t>Italy</t>
        </is>
      </c>
      <c r="F55" s="2" t="inlineStr"/>
      <c r="G55" s="2" t="inlineStr">
        <is>
          <t>Private</t>
        </is>
      </c>
      <c r="H55" s="2" t="n">
        <v>1983</v>
      </c>
      <c r="I55" s="2" t="inlineStr">
        <is>
          <t>https://www.velp.com</t>
        </is>
      </c>
      <c r="J55" s="2" t="inlineStr">
        <is>
          <t>General lab equipment (incubators, ovens, baths, shakers, stirrers)</t>
        </is>
      </c>
      <c r="K55" s="3" t="n">
        <v>200</v>
      </c>
      <c r="L55" s="2" t="n">
        <v>2024</v>
      </c>
      <c r="M55" s="2" t="inlineStr">
        <is>
          <t>estimate</t>
        </is>
      </c>
      <c r="N55" s="2" t="inlineStr">
        <is>
          <t>Roughly 200 employees (recalled, unverified).</t>
        </is>
      </c>
      <c r="O55" s="2" t="inlineStr">
        <is>
          <t>EUR ~40 million (trade estimate; private)</t>
        </is>
      </c>
      <c r="P55" s="3" t="n">
        <v>44</v>
      </c>
      <c r="Q55" s="2" t="inlineStr">
        <is>
          <t>2024 (estimate)</t>
        </is>
      </c>
      <c r="R55" s="2" t="inlineStr">
        <is>
          <t>estimate</t>
        </is>
      </c>
      <c r="S55" s="2" t="inlineStr">
        <is>
          <t>VELP (Usmate Velate, Italy) is family-owned; order-of-magnitude estimate. Figures recalled from company statements / filings and not re-verified online in this session.</t>
        </is>
      </c>
      <c r="T55" s="2" t="inlineStr">
        <is>
          <t>estimate</t>
        </is>
      </c>
      <c r="U55" s="2" t="inlineStr">
        <is>
          <t>UDK 169 / UDK 139 — automatic Kjeldahl distillation and titration units</t>
        </is>
      </c>
      <c r="V55" s="2" t="inlineStr">
        <is>
          <t>NDA 702 Dumas analyzer — nitrogen/protein determination by combustion</t>
        </is>
      </c>
      <c r="W55" s="2" t="inlineStr">
        <is>
          <t>AREX-6 / ARE hotplate stirrers and DKL digesters — magnetic stirrers, hotplates and Kjeldahl digestion units</t>
        </is>
      </c>
      <c r="X55" s="2" t="inlineStr">
        <is>
          <t>none_found</t>
        </is>
      </c>
      <c r="Y55" s="2" t="inlineStr">
        <is>
          <t>לא נמצא ייצוג</t>
        </is>
      </c>
      <c r="Z55" s="2" t="inlineStr">
        <is>
          <t>partial</t>
        </is>
      </c>
      <c r="AA55" s="2" t="inlineStr">
        <is>
          <t>חיפוש חלקי (ללא פתיחת אתרי היצרן/המפיץ)</t>
        </is>
      </c>
      <c r="AB55" s="2" t="inlineStr"/>
      <c r="AC55" s="2" t="inlineStr">
        <is>
          <t>חיפוש רשת בלבד; דפי ״מפיצים״ של היצרן ואתרי המפיצים לא נפתחו (חסימת רשת). Nothing found. Searches run: 'VELP Scientifica Israel distributor', 'VELP site:co.il' — no Israeli distributor surfaced; the only Israel hit was an unrelated UK company (Scientifica Ltd, electrophysiology). VELP's distributor locator (velp.com/en-ww/distributors.aspx) could not be opened (WebFetch DNS failure; direct HTTPS blocked), so an Israeli distributor may be listed there but is unconfirmed. Hebrew-form search could not be run (budget exhausted).</t>
        </is>
      </c>
      <c r="AD55" s="2" t="inlineStr">
        <is>
          <t>low</t>
        </is>
      </c>
      <c r="AE55" s="2" t="inlineStr">
        <is>
          <t>Identity from VELP 'who we are' extract; no size figures; Israel negative after limited searching.</t>
        </is>
      </c>
      <c r="AF55" s="2" t="inlineStr">
        <is>
          <t>https://www.velp.com/en-ww/who-we-are.aspx ; https://www.directindustry.com/pt/soc/velp-15378.html</t>
        </is>
      </c>
    </row>
    <row r="56">
      <c r="A56" s="2" t="n">
        <v>55</v>
      </c>
      <c r="B56" s="2" t="inlineStr">
        <is>
          <t>Roche Diagnostics</t>
        </is>
      </c>
      <c r="C56" s="2" t="inlineStr">
        <is>
          <t>Roche Diagnostics International Ltd; cobas; Elecsys; LightCycler; Ventana; Foundation Medicine; Accu-Chek</t>
        </is>
      </c>
      <c r="D56" s="2" t="inlineStr">
        <is>
          <t>Rotkreuz (division HQ) / Basel (group HQ)</t>
        </is>
      </c>
      <c r="E56" s="2" t="inlineStr">
        <is>
          <t>Switzerland</t>
        </is>
      </c>
      <c r="F56" s="2" t="inlineStr">
        <is>
          <t>Roche Holding AG</t>
        </is>
      </c>
      <c r="G56" s="2" t="inlineStr">
        <is>
          <t>Division of Roche Holding AG (public, SIX: ROG / RO; OTCQX: RHHBY)</t>
        </is>
      </c>
      <c r="H56" s="2" t="n">
        <v>1968</v>
      </c>
      <c r="I56" s="2" t="inlineStr">
        <is>
          <t>https://diagnostics.roche.com</t>
        </is>
      </c>
      <c r="J56" s="2" t="inlineStr">
        <is>
          <t>Clinical / IVD laboratory analyzers</t>
        </is>
      </c>
      <c r="K56" s="3" t="n">
        <v>103600</v>
      </c>
      <c r="L56" s="2" t="n">
        <v>2024</v>
      </c>
      <c r="M56" s="2" t="inlineStr">
        <is>
          <t>company</t>
        </is>
      </c>
      <c r="N56" s="2" t="inlineStr">
        <is>
          <t>Roche Group headcount (~103,600 at end-2024, Roche Annual Report 2024) — from memory, not verified this session; Diagnostics Division headcount not separately recorded. Founded: Roche 1896; diagnostics activities since 1968 (Boehringer Mannheim acquired 1998).</t>
        </is>
      </c>
      <c r="O56" s="2" t="inlineStr">
        <is>
          <t>CHF 14.3 billion (Diagnostics Division, approx.)</t>
        </is>
      </c>
      <c r="P56" s="3" t="n">
        <v>16731</v>
      </c>
      <c r="Q56" s="2" t="inlineStr">
        <is>
          <t>FY2024</t>
        </is>
      </c>
      <c r="R56" s="2" t="inlineStr">
        <is>
          <t>segment</t>
        </is>
      </c>
      <c r="S56" s="2" t="inlineStr">
        <is>
          <t>Roche Diagnostics Division sales FY2024 ≈ CHF 14.3 bn (Roche Group ≈ CHF 60.5 bn). FY2025 (reported Jan 2026) was broadly similar in CHF (low-single-digit CER growth, strong-franc headwind) — exact FY2025 figure not verified this session. All figures from memory of Roche results releases; no source could be opened (search budget exhausted, fetch failures) — verify.</t>
        </is>
      </c>
      <c r="T56" s="2" t="inlineStr">
        <is>
          <t>reported</t>
        </is>
      </c>
      <c r="U56" s="2" t="inlineStr">
        <is>
          <t>cobas pro integrated solutions (c 503 / e 801) — high-throughput clinical chemistry and immunoassay analyzers</t>
        </is>
      </c>
      <c r="V56" s="2" t="inlineStr">
        <is>
          <t>cobas 6800 / 8800 and cobas 5800 Systems — automated PCR molecular diagnostics platforms</t>
        </is>
      </c>
      <c r="W56" s="2" t="inlineStr">
        <is>
          <t>LightCycler 480 / LightCycler PRO — real-time PCR instruments</t>
        </is>
      </c>
      <c r="X56" s="2" t="inlineStr">
        <is>
          <t>parent_subsidiary</t>
        </is>
      </c>
      <c r="Y56" s="2" t="inlineStr">
        <is>
          <t>נמכר דרך החברה-האם בישראל</t>
        </is>
      </c>
      <c r="Z56" s="2" t="inlineStr">
        <is>
          <t>verified</t>
        </is>
      </c>
      <c r="AA56" s="2" t="inlineStr">
        <is>
          <t>אומת ממקור</t>
        </is>
      </c>
      <c r="AB56" s="2" t="inlineStr">
        <is>
          <t>Roche Pharmaceuticals (Israel) Ltd. - Diagnostics division ("Roche Diagnostics Israel") [חברה-בת; Roche Diagnostics business in Israel (cobas core-lab/molecular, point-of-care IVD instruments and reagents); diagnostics division of the Roche group's Israeli affiliate, 6 Hacharash St., Hod Hasharon 4524079] | Gamidor Diagnostics (גאמידור) [מפיץ; Roche Tissue Diagnostics only (VENTANA automated IHC/ISH slide stainers) - not cobas/LightCycler] | Dyn Diagnostics [מפיץ; Roche Diabetes Care only (Accu-Chek home-care line) - not laboratory analyzers]</t>
        </is>
      </c>
      <c r="AC56" s="2" t="inlineStr">
        <is>
          <t>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D56" s="2" t="inlineStr">
        <is>
          <t>high</t>
        </is>
      </c>
      <c r="AE56" s="2" t="inlineStr">
        <is>
          <t>Israel finding only: entity named on two official Roche pages; the direct-sales channel for cobas/LightCycler is inferred from the affiliate's IVD sales roles and the absence of any distributor, not from an explicit statement.</t>
        </is>
      </c>
      <c r="AF56" s="2" t="inlineStr">
        <is>
          <t>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t>
        </is>
      </c>
    </row>
    <row r="57">
      <c r="A57" s="2" t="n">
        <v>56</v>
      </c>
      <c r="B57" s="2" t="inlineStr">
        <is>
          <t>Abbott Diagnostics</t>
        </is>
      </c>
      <c r="C57" s="2" t="inlineStr">
        <is>
          <t>Abbott Core Laboratory Diagnostics; Abbott Rapid Diagnostics; Alinity; ARCHITECT; i-STAT; ID NOW; BinaxNOW; Panbio; Cell-Dyn</t>
        </is>
      </c>
      <c r="D57" s="2" t="inlineStr">
        <is>
          <t>Abbott Park, Illinois</t>
        </is>
      </c>
      <c r="E57" s="2" t="inlineStr">
        <is>
          <t>USA</t>
        </is>
      </c>
      <c r="F57" s="2" t="inlineStr">
        <is>
          <t>Abbott Laboratories</t>
        </is>
      </c>
      <c r="G57" s="2" t="inlineStr">
        <is>
          <t>Division of Abbott Laboratories (public, NYSE: ABT)</t>
        </is>
      </c>
      <c r="H57" s="2" t="n">
        <v>1972</v>
      </c>
      <c r="I57" s="2" t="inlineStr">
        <is>
          <t>https://www.corelaboratory.abbott</t>
        </is>
      </c>
      <c r="J57" s="2" t="inlineStr">
        <is>
          <t>Clinical / IVD laboratory analyzers</t>
        </is>
      </c>
      <c r="K57" s="3" t="n">
        <v>114000</v>
      </c>
      <c r="L57" s="2" t="n">
        <v>2024</v>
      </c>
      <c r="M57" s="2" t="inlineStr">
        <is>
          <t>company</t>
        </is>
      </c>
      <c r="N57" s="2" t="inlineStr">
        <is>
          <t>Abbott Laboratories total headcount (~114,000, Abbott 10-K for FY2024) — from memory, not verified this session; Diagnostics division headcount not disclosed. Founded: Abbott 1888; Diagnostics Division established 1972.</t>
        </is>
      </c>
      <c r="O57" s="2" t="inlineStr">
        <is>
          <t>USD 9.3 billion (Diagnostic Products segment, approx.)</t>
        </is>
      </c>
      <c r="P57" s="3" t="n">
        <v>9300</v>
      </c>
      <c r="Q57" s="2" t="inlineStr">
        <is>
          <t>FY2024</t>
        </is>
      </c>
      <c r="R57" s="2" t="inlineStr">
        <is>
          <t>segment</t>
        </is>
      </c>
      <c r="S57" s="2" t="inlineStr">
        <is>
          <t>Abbott Diagnostic Products segment sales FY2024 ≈ USD 9.3 bn (Abbott total ≈ USD 42.0 bn); FY2025 Diagnostics ≈ USD 9 bn (lower COVID testing; approx., reported Jan 2026). From memory of Abbott 10-K / earnings releases; could not be verified this session (search budget exhausted, fetch failures) — verify.</t>
        </is>
      </c>
      <c r="T57" s="2" t="inlineStr">
        <is>
          <t>reported</t>
        </is>
      </c>
      <c r="U57" s="2" t="inlineStr">
        <is>
          <t>Alinity ci-series — integrated clinical chemistry and immunoassay analyzers</t>
        </is>
      </c>
      <c r="V57" s="2" t="inlineStr">
        <is>
          <t>Alinity m — automated molecular (PCR) diagnostics system</t>
        </is>
      </c>
      <c r="W57" s="2" t="inlineStr">
        <is>
          <t>ARCHITECT i2000SR / c8000 — legacy immunoassay and chemistry analyzers</t>
        </is>
      </c>
      <c r="X57" s="2" t="inlineStr">
        <is>
          <t>parent_subsidiary</t>
        </is>
      </c>
      <c r="Y57" s="2" t="inlineStr">
        <is>
          <t>נמכר דרך החברה-האם בישראל</t>
        </is>
      </c>
      <c r="Z57" s="2" t="inlineStr">
        <is>
          <t>verified</t>
        </is>
      </c>
      <c r="AA57" s="2" t="inlineStr">
        <is>
          <t>אומת ממקור</t>
        </is>
      </c>
      <c r="AB57" s="2" t="inlineStr">
        <is>
          <t>Abbott Medical Laboratories Ltd. (אבוט מעבדות רפואיות בע"מ) [חברה-בת; Abbott's Israeli affiliate for nutrition, pharmaceuticals and diagnostics (core laboratory, molecular and point-of-care), Atidim Science Park Bldg. 4, Tel Aviv; about 160 employees incl. the Haifa (STARLIMS/Abbott Informatics) development center]</t>
        </is>
      </c>
      <c r="AC57" s="2" t="inlineStr">
        <is>
          <t>Searched '"Abbott" Israel Alinity/Architect distributor/יבואן', Hebrew 'אבוט מעבדות רפואיות', the 29 Israeli distributor domains, mr.gov.il and Abbott's own domains. Abbott's global-locations page lists Abbott Medical Laboratories Ltd. in Tel Aviv under 'Nutrition, Pharmaceuticals and Diagnostics', and the Hebrew 'Abbott in Israel' page (il.abbott) says the affiliate has ~160 employees and that its diagnostics work in Israel covers molecular and laboratory tests; Globes reported the representative office opened in 2004 and Abbott's later expansion in Israel. No Israeli distributor for Alinity/Architect appeared on any distributor site. Caveat: no source states explicitly that the analyzers are sold and serviced by the affiliate itself, and the only tender hits concern Abbott Informatics (STARLIMS), not analyzers.</t>
        </is>
      </c>
      <c r="AD57" s="2" t="inlineStr">
        <is>
          <t>high</t>
        </is>
      </c>
      <c r="AE57" s="2" t="inlineStr">
        <is>
          <t>Israel finding only: entity named on Abbott's own pages; direct channel for Alinity/Architect inferred from the affiliate's diagnostics scope and absence of a distributor.</t>
        </is>
      </c>
      <c r="AF57" s="2" t="inlineStr">
        <is>
          <t>https://en.globes.co.il/en/article-1000531243 ; https://www.sec.gov/Archives/edgar/data/1800/000110465922025141/abt-20211231x10k.htm ; https://www.abbott.com/en-us/global-locations-contacts/israel ; https://www.il.abbott/about-us/abbott-in-israel.html ; https://en.globes.co.il/en/article-1000722459 ; https://mr.gov.il/ilgstorefront/he/p/attachment/005056BF19AF1EDC94819F5224C14143/%D7%A4%D7%A8%D7%95%D7%98%D7%95%D7%A7%D7%95%D7%9C%20%D7%95%D7%A2%D7%93%D7%94</t>
        </is>
      </c>
    </row>
    <row r="58">
      <c r="A58" s="2" t="n">
        <v>57</v>
      </c>
      <c r="B58" s="2" t="inlineStr">
        <is>
          <t>Siemens Healthineers – Diagnostics</t>
        </is>
      </c>
      <c r="C58" s="2" t="inlineStr">
        <is>
          <t>Siemens Healthcare Diagnostics Inc. (Tarrytown, NY); formerly Bayer Diagnostics, Dade Behring, DPC; Atellica, ADVIA, Dimension, RAPIDPoint, epoc, Aptio</t>
        </is>
      </c>
      <c r="D58" s="2" t="inlineStr">
        <is>
          <t>Erlangen (group HQ); Tarrytown, New York (Diagnostics segment HQ)</t>
        </is>
      </c>
      <c r="E58" s="2" t="inlineStr">
        <is>
          <t>Germany</t>
        </is>
      </c>
      <c r="F58" s="2" t="inlineStr">
        <is>
          <t>Siemens AG</t>
        </is>
      </c>
      <c r="G58" s="2" t="inlineStr">
        <is>
          <t>Public (Xetra/FWB: SHL), majority-owned by Siemens AG (~75%); Siemens announced in Nov 2025 a plan to spin off ~30% of SHL shares to Siemens shareholders and deconsolidate Healthineers — completion status as of Oct 2026 not verified this session</t>
        </is>
      </c>
      <c r="H58" s="2" t="n">
        <v>2015</v>
      </c>
      <c r="I58" s="2" t="inlineStr">
        <is>
          <t>https://www.siemens-healthineers.com</t>
        </is>
      </c>
      <c r="J58" s="2" t="inlineStr">
        <is>
          <t>Clinical / IVD laboratory analyzers</t>
        </is>
      </c>
      <c r="K58" s="3" t="n">
        <v>73000</v>
      </c>
      <c r="L58" s="2" t="n">
        <v>2025</v>
      </c>
      <c r="M58" s="2" t="inlineStr">
        <is>
          <t>company</t>
        </is>
      </c>
      <c r="N58" s="2" t="inlineStr">
        <is>
          <t>Siemens Healthineers group headcount (~73,000 at end of FY2025, approx.; from memory of the FY2025 annual report) — Diagnostics segment headcount not separately disclosed. Founded: Siemens Healthcare GmbH established as separately managed company in 2015 (Healthineers brand 2016, IPO 2018); medical-technology roots date to 1896 (Siemens-Reiniger).</t>
        </is>
      </c>
      <c r="O58" s="2" t="inlineStr">
        <is>
          <t>EUR 4.4 billion (Diagnostics segment, approx.)</t>
        </is>
      </c>
      <c r="P58" s="3" t="n">
        <v>4840</v>
      </c>
      <c r="Q58" s="2" t="inlineStr">
        <is>
          <t>FY2025 (Oct-2024 to Sep-2025)</t>
        </is>
      </c>
      <c r="R58" s="2" t="inlineStr">
        <is>
          <t>segment</t>
        </is>
      </c>
      <c r="S58" s="2" t="inlineStr">
        <is>
          <t>Diagnostics segment revenue ≈ EUR 4.4 bn in both FY2024 and FY2025 (group revenue ≈ EUR 22.4 bn FY2024, ≈ EUR 23-24 bn FY2025). From memory of Siemens Healthineers annual reports; not verified this session — verify.</t>
        </is>
      </c>
      <c r="T58" s="2" t="inlineStr">
        <is>
          <t>reported</t>
        </is>
      </c>
      <c r="U58" s="2" t="inlineStr">
        <is>
          <t>Atellica Solution (CH 930 / IM 1300-1600) — integrated chemistry &amp; immunoassay analyzers with sample automation</t>
        </is>
      </c>
      <c r="V58" s="2" t="inlineStr">
        <is>
          <t>Atellica CI 1900 — compact integrated chemistry/immunoassay analyzer</t>
        </is>
      </c>
      <c r="W58" s="2" t="inlineStr">
        <is>
          <t>Aptio Automation — track-based total laboratory automation</t>
        </is>
      </c>
      <c r="X58" s="2" t="inlineStr">
        <is>
          <t>subsidiary</t>
        </is>
      </c>
      <c r="Y58" s="2" t="inlineStr">
        <is>
          <t>חברה-בת / משרד של היצרן בישראל</t>
        </is>
      </c>
      <c r="Z58" s="2" t="inlineStr">
        <is>
          <t>verified</t>
        </is>
      </c>
      <c r="AA58" s="2" t="inlineStr">
        <is>
          <t>אומת ממקור</t>
        </is>
      </c>
      <c r="AB58" s="2" t="inlineStr">
        <is>
          <t>Siemens Healthineers Israel (legal entity name believed to be Siemens Healthcare Ltd., Israel — not verified) [חברה-בת; all Siemens Healthineers businesses in Israel, including a dedicated Diagnostics unit (a 'Head of Diagnostics, Siemens Healthineers Israel' is named on the company's Israeli site)]</t>
        </is>
      </c>
      <c r="AC58" s="2" t="inlineStr">
        <is>
          <t>Siemens Healthineers sells its diagnostics in Israel through its own local organisation. The company's Israeli site (siemens-healthineers.com/il) documents a September-2019 Atellica Solution customer event in Israel hosted by 'Mr. Haim Regev, General Manager, Siemens Healthineers Israel' and 'Mrs. Inbal Kinamon, Head of Diagnostics, Siemens Healthineers Israel' (seen via a search-engine extract of that page; the page itself could not be opened this session). A GlobalData note on Atellica selling prices in Israel (2022) also indicates ongoing local sales. Legal entity name, address and current management were not verified; evidence dates from 2019 but there is no indication of a change. Searches run: 'Siemens Healthineers Israel diagnostics Atellica'; contact page fetch failed.</t>
        </is>
      </c>
      <c r="AD58" s="2" t="inlineStr">
        <is>
          <t>medium</t>
        </is>
      </c>
      <c r="AE58" s="2" t="inlineStr">
        <is>
          <t>Israeli subsidiary evidenced by the company's own Israeli web pages (via search extract, 2019); size figures from memory of annual reports, unverified this session.</t>
        </is>
      </c>
      <c r="AF58" s="2" t="inlineStr">
        <is>
          <t>https://www.siemens-healthineers.com/il/news-and-events/conferences-events-new/israel-local-events/atellica-solution-event-2019 ; https://www.medicaldevice-network.com/?p=133652</t>
        </is>
      </c>
    </row>
    <row r="59">
      <c r="A59" s="2" t="n">
        <v>58</v>
      </c>
      <c r="B59" s="2" t="inlineStr">
        <is>
          <t>bioMérieux</t>
        </is>
      </c>
      <c r="C59" s="2" t="inlineStr">
        <is>
          <t>BioFire Diagnostics; VITEK; BACT/ALERT; VIDAS; BIOFIRE FILMARRAY; SPOTFIRE; Specific Diagnostics</t>
        </is>
      </c>
      <c r="D59" s="2" t="inlineStr">
        <is>
          <t>Marcy-l'Étoile (Lyon)</t>
        </is>
      </c>
      <c r="E59" s="2" t="inlineStr">
        <is>
          <t>France</t>
        </is>
      </c>
      <c r="F59" s="2" t="inlineStr">
        <is>
          <t>Institut Mérieux (controlling shareholder)</t>
        </is>
      </c>
      <c r="G59" s="2" t="inlineStr">
        <is>
          <t>Public (Euronext Paris: BIM); majority-controlled by Institut Mérieux (Mérieux family)</t>
        </is>
      </c>
      <c r="H59" s="2" t="n">
        <v>1963</v>
      </c>
      <c r="I59" s="2" t="inlineStr">
        <is>
          <t>https://www.biomerieux.com</t>
        </is>
      </c>
      <c r="J59" s="2" t="inlineStr">
        <is>
          <t>Clinical / IVD laboratory analyzers</t>
        </is>
      </c>
      <c r="K59" s="3" t="n">
        <v>14000</v>
      </c>
      <c r="L59" s="2" t="n">
        <v>2024</v>
      </c>
      <c r="M59" s="2" t="inlineStr">
        <is>
          <t>company</t>
        </is>
      </c>
      <c r="N59" s="2" t="inlineStr">
        <is>
          <t>Approx. 14,000 employees in ~45 countries (bioMérieux 2024 reporting) — from memory, not verified this session.</t>
        </is>
      </c>
      <c r="O59" s="2" t="inlineStr">
        <is>
          <t>EUR 3.98 billion (approx.)</t>
        </is>
      </c>
      <c r="P59" s="3" t="n">
        <v>4378</v>
      </c>
      <c r="Q59" s="2" t="inlineStr">
        <is>
          <t>FY2024</t>
        </is>
      </c>
      <c r="R59" s="2" t="inlineStr">
        <is>
          <t>company</t>
        </is>
      </c>
      <c r="S59" s="2" t="inlineStr">
        <is>
          <t>FY2024 sales ≈ EUR 3.98 bn (double-digit organic growth driven by BIOFIRE); FY2025 ≈ EUR 4.1-4.2 bn (approx., reported early 2026). From memory of bioMérieux results releases; not verified this session — verify.</t>
        </is>
      </c>
      <c r="T59" s="2" t="inlineStr">
        <is>
          <t>reported</t>
        </is>
      </c>
      <c r="U59" s="2" t="inlineStr">
        <is>
          <t>VITEK 2 / VITEK MS PRIME — automated microbial ID/AST and MALDI-TOF identification</t>
        </is>
      </c>
      <c r="V59" s="2" t="inlineStr">
        <is>
          <t>BACT/ALERT VIRTUO — automated blood-culture system</t>
        </is>
      </c>
      <c r="W59" s="2" t="inlineStr">
        <is>
          <t>BIOFIRE FILMARRAY TORCH / SPOTFIRE — syndromic multiplex PCR panels</t>
        </is>
      </c>
      <c r="X59" s="2" t="inlineStr">
        <is>
          <t>unclear</t>
        </is>
      </c>
      <c r="Y59" s="2" t="inlineStr">
        <is>
          <t>לא ברור</t>
        </is>
      </c>
      <c r="Z59" s="2" t="inlineStr">
        <is>
          <t>partial</t>
        </is>
      </c>
      <c r="AA59" s="2" t="inlineStr">
        <is>
          <t>חיפוש חלקי (ללא פתיחת אתרי היצרן/המפיץ)</t>
        </is>
      </c>
      <c r="AB59" s="2" t="inlineStr">
        <is>
          <t>Accellix (bioMérieux company), Jerusalem [חברה-בת; R&amp;D/manufacturing site of Accellix (automated flow-cytometry QC for pharma), acquired by bioMérieux in 2025 - not a sales office for VITEK/BACT/ALERT/BIOFIRE]</t>
        </is>
      </c>
      <c r="AC59" s="2" t="inlineStr">
        <is>
          <t>חיפוש רשת בלבד; דפי ״מפיצים״ של היצרן ואתרי המפיצים לא נפתחו (חסימת רשת). Searched '"bioMérieux" Israel distributor/Gamidor/יבואן', Hebrew 'ביומרייה/VITEK/FilmArray יבואן', the 29 Israeli distributor domains, a Gamidor/Hylabs/Ilex/Rhenium-only search and biomerieux.com. No source names an Israeli distributor or sales subsidiary for the clinical lines: Gamidor's pages (microbiology, central laboratory) do not mention bioMérieux in any snippet, so the earlier Gamidor lead remains unconfirmed, and bioMérieux's site only says it serves 160+ countries through its distributor network and to 'consult your local bioMérieux representative'. The only bioMérieux-owned Israeli entity found is Accellix in Jerusalem (acquired 2025), which is an R&amp;D/manufacturing site. Marked 'unclear' because distributors clearly exist (earlier FDA records, bioMérieux's own wording) but none could be identified.</t>
        </is>
      </c>
      <c r="AD59" s="2" t="inlineStr">
        <is>
          <t>low</t>
        </is>
      </c>
      <c r="AE59" s="2" t="inlineStr">
        <is>
          <t>No Israeli sales entity identified for VITEK/BACT/ALERT/BIOFIRE; Gamidor hint neither confirmed nor refuted.</t>
        </is>
      </c>
      <c r="AF59" s="2" t="inlineStr">
        <is>
          <t>https://es.medicaldevices.icij.org/devices/usa-immunology-and-microbiology-devices-vitek-2-gram-negative-susceptibility-card-astgn23 ; https://es.medicaldevices.icij.org/devices/usa-immunology-and-microbiology-devices-vitek-2-gram-negative-susceptibility-card-astgn36 ; https://www.biomerieux.com/corp/en/who-we-are/biomerieux-worldwide.html ; https://biomerieux.com/en/supply-and-distribution ; https://www.biomerieux.com/corp/en/our-offer/clinical-products/bact-alert-virtuo.html ; https://www.biomerieux.com/us/en/journalists/press-releases/acquisition-accellix-pharma-quality-control.html ; https://gamidor.co.il/en ; https://gamidor.co.il/en/central-laboratory/</t>
        </is>
      </c>
    </row>
    <row r="60">
      <c r="A60" s="2" t="n">
        <v>59</v>
      </c>
      <c r="B60" s="2" t="inlineStr">
        <is>
          <t>Sysmex</t>
        </is>
      </c>
      <c r="C60" s="2" t="inlineStr">
        <is>
          <t>Sysmex; formerly TOA Medical Electronics (renamed 1998); XN-Series, XR-Series, UN-Series, CN-Series</t>
        </is>
      </c>
      <c r="D60" s="2" t="inlineStr">
        <is>
          <t>Kobe (Hyogo)</t>
        </is>
      </c>
      <c r="E60" s="2" t="inlineStr">
        <is>
          <t>Japan</t>
        </is>
      </c>
      <c r="F60" s="2" t="inlineStr"/>
      <c r="G60" s="2" t="inlineStr">
        <is>
          <t>Public (TSE Prime: 6869)</t>
        </is>
      </c>
      <c r="H60" s="2" t="n">
        <v>1968</v>
      </c>
      <c r="I60" s="2" t="inlineStr">
        <is>
          <t>https://www.sysmex.co.jp/en/</t>
        </is>
      </c>
      <c r="J60" s="2" t="inlineStr">
        <is>
          <t>Clinical / IVD laboratory analyzers</t>
        </is>
      </c>
      <c r="K60" s="3" t="n">
        <v>11000</v>
      </c>
      <c r="L60" s="2" t="n">
        <v>2025</v>
      </c>
      <c r="M60" s="2" t="inlineStr">
        <is>
          <t>company</t>
        </is>
      </c>
      <c r="N60" s="2" t="inlineStr">
        <is>
          <t>Consolidated headcount ≈ 11,000 as of March 2025 (approx.; from memory of Sysmex's integrated report, not verified this session).</t>
        </is>
      </c>
      <c r="O60" s="2" t="inlineStr">
        <is>
          <t>JPY 511.4 billion</t>
        </is>
      </c>
      <c r="P60" s="3" t="n">
        <v>3426</v>
      </c>
      <c r="Q60" s="2" t="inlineStr">
        <is>
          <t>FY ending Mar-2025</t>
        </is>
      </c>
      <c r="R60" s="2" t="inlineStr">
        <is>
          <t>company</t>
        </is>
      </c>
      <c r="S60" s="2" t="inlineStr">
        <is>
          <t>Net sales for the fiscal year ended 31 March 2025 ≈ JPY 511 bn (from memory of Sysmex's results; not verified this session). Results for FY ending Mar-2026 (published May 2026) were not verified.</t>
        </is>
      </c>
      <c r="T60" s="2" t="inlineStr">
        <is>
          <t>reported</t>
        </is>
      </c>
      <c r="U60" s="2" t="inlineStr">
        <is>
          <t>XN-Series (XN-1000 to XN-9100) — automated hematology analyzers and lines</t>
        </is>
      </c>
      <c r="V60" s="2" t="inlineStr">
        <is>
          <t>XR-Series — next-generation automated hematology analyzers</t>
        </is>
      </c>
      <c r="W60" s="2" t="inlineStr">
        <is>
          <t>UN-Series (UF-5000 / UD-10) — automated urinalysis systems</t>
        </is>
      </c>
      <c r="X60" s="2" t="inlineStr">
        <is>
          <t>distributor</t>
        </is>
      </c>
      <c r="Y60" s="2" t="inlineStr">
        <is>
          <t>מפיץ / נציג ישראלי</t>
        </is>
      </c>
      <c r="Z60" s="2" t="inlineStr">
        <is>
          <t>verified</t>
        </is>
      </c>
      <c r="AA60" s="2" t="inlineStr">
        <is>
          <t>אומת ממקור</t>
        </is>
      </c>
      <c r="AB60" s="2" t="inlineStr">
        <is>
          <t>Dover Medical &amp; Scientific Equipment [מפיץ; Sysmex distributor for Israel as listed in Sysmex Europe's official distributor directory (product-line scope not stated; presumably hematology/urinalysis in-vitro diagnostics)]</t>
        </is>
      </c>
      <c r="AC60" s="2" t="inlineStr">
        <is>
          <t>Searched '"Sysmex" Israel distributor/נציג/יבואן', Hebrew 'סיסמקס', the 29 Israeli distributor domains, mr.gov.il/gov.il and sysmex-europe.com. Sysmex Europe SE's distributor directory lists 'DOVER MEDICAL &amp; SCIENTIFIC EQUIPMENT' under Israel (Sysmex EMEA works through affiliates and local partners, with Sysmex Middle East FZ-LLC in Dubai as the regional hub). GlobalData names Sysmex the leading hematology-analyzer vendor in Israel (2023), and an ISRAC accreditation document lists Siemens/Sysmex CS coagulation analyzers, which Siemens Healthineers distributes under its own brand. Caveats: the Dover entry was seen only as a directory snippet and was not cross-checked on Dover's own site; Dover is not among the 29 hinted distributors; Jobify posts list 'Sysmex America, Inc.' roles in Tel Aviv, which could not be explained.</t>
        </is>
      </c>
      <c r="AD60" s="2" t="inlineStr">
        <is>
          <t>medium</t>
        </is>
      </c>
      <c r="AE60" s="2" t="inlineStr">
        <is>
          <t>Single official Sysmex source (distributor directory), not corroborated by the distributor's site or a tender document.</t>
        </is>
      </c>
      <c r="AF60" s="2" t="inlineStr">
        <is>
          <t>https://www.medicaldevice-network.com/data-insights/market-share-analysis-hematology-analyzers-israel/ ; https://mobile.labmedica.com/industry-news/articles/294740233/sysmex-and-roche-extend-hematology-alliance.html ; https://www.sysmex-europe.com/company/contacts/distributors/ ; https://www.sysmex-europe.com/company/sysmex-in-emea/ ; https://connections.medlabme.com/event/medlab-middle-east-2025/exhibitor/RXhoaWJpdG9yXzIwNDE3NTU= ; https://www.israc.gov.il/_Uploads/dbsLabs/AK0115-27.pdf ; https://jobify360.co.il/jobs/4220936142-in</t>
        </is>
      </c>
    </row>
    <row r="61">
      <c r="A61" s="2" t="n">
        <v>60</v>
      </c>
      <c r="B61" s="2" t="inlineStr">
        <is>
          <t>Mindray</t>
        </is>
      </c>
      <c r="C61" s="2" t="inlineStr">
        <is>
          <t>Mindray; DiaSys Diagnostic Systems (75% owned since 2024); HyTest</t>
        </is>
      </c>
      <c r="D61" s="2" t="inlineStr">
        <is>
          <t>Shenzhen</t>
        </is>
      </c>
      <c r="E61" s="2" t="inlineStr">
        <is>
          <t>China</t>
        </is>
      </c>
      <c r="F61" s="2" t="inlineStr"/>
      <c r="G61" s="2" t="inlineStr">
        <is>
          <t>Public (SZSE ChiNext: 300760)</t>
        </is>
      </c>
      <c r="H61" s="2" t="n">
        <v>1991</v>
      </c>
      <c r="I61" s="2" t="inlineStr">
        <is>
          <t>https://www.mindray.com</t>
        </is>
      </c>
      <c r="J61" s="2" t="inlineStr">
        <is>
          <t>Clinical / IVD laboratory analyzers</t>
        </is>
      </c>
      <c r="K61" s="3" t="n">
        <v>20000</v>
      </c>
      <c r="L61" s="2" t="n">
        <v>2024</v>
      </c>
      <c r="M61" s="2" t="inlineStr">
        <is>
          <t>company</t>
        </is>
      </c>
      <c r="N61" s="2" t="inlineStr">
        <is>
          <t>Approx. 20,000 employees (Mindray 2024 annual report; from memory, not verified this session). Company states subsidiaries in 31 countries.</t>
        </is>
      </c>
      <c r="O61" s="2" t="inlineStr">
        <is>
          <t>CNY 36.73 billion</t>
        </is>
      </c>
      <c r="P61" s="3" t="n">
        <v>5105</v>
      </c>
      <c r="Q61" s="2" t="inlineStr">
        <is>
          <t>FY2024</t>
        </is>
      </c>
      <c r="R61" s="2" t="inlineStr">
        <is>
          <t>company</t>
        </is>
      </c>
      <c r="S61" s="2" t="inlineStr">
        <is>
          <t>FY2024 revenue ≈ CNY 36.7 bn (+5%); FY2025 (reported April 2026) was lower after an ~18% H1-2025 decline in domestic sales — exact FY2025 figure not verified this session. Figures from memory of Mindray's annual reports — verify.</t>
        </is>
      </c>
      <c r="T61" s="2" t="inlineStr">
        <is>
          <t>reported</t>
        </is>
      </c>
      <c r="U61" s="2" t="inlineStr">
        <is>
          <t>BC-6800Plus / BC-7500 CRP — automated hematology analyzers</t>
        </is>
      </c>
      <c r="V61" s="2" t="inlineStr">
        <is>
          <t>CL-8000i — chemiluminescence immunoassay analyzer</t>
        </is>
      </c>
      <c r="W61" s="2" t="inlineStr">
        <is>
          <t>BS-2000M / M9000 — modular clinical chemistry analyzer and integrated lab automation</t>
        </is>
      </c>
      <c r="X61" s="2" t="inlineStr">
        <is>
          <t>distributor</t>
        </is>
      </c>
      <c r="Y61" s="2" t="inlineStr">
        <is>
          <t>מפיץ / נציג ישראלי</t>
        </is>
      </c>
      <c r="Z61" s="2" t="inlineStr">
        <is>
          <t>verified</t>
        </is>
      </c>
      <c r="AA61" s="2" t="inlineStr">
        <is>
          <t>אומת ממקור</t>
        </is>
      </c>
      <c r="AB61" s="2" t="inlineStr">
        <is>
          <t>Eldan Electronic Instruments (אלדן) [מפיץ; Mindray IVD line - hematology analyzers and reagents (clinical diagnostics division)] | Bepex [מפיץ; Mindray hospital beds and clinical lighting only (per LinkedIn post; unverified)]</t>
        </is>
      </c>
      <c r="AC61" s="2" t="inlineStr">
        <is>
          <t>Searched '"Mindray" Israel distributor/נציג/יבואן', Hebrew 'מיינדריי', the 29 Israeli distributor domains and eldan.biz alone. Eldan's own site returned pages offering Mindray hematology analyzers and reagents, which is the only distributor-site evidence; a LinkedIn post says Bepex holds Mindray distribution rights for hospital beds and clinical lighting, and another LinkedIn post reports Mindray monitors in all Sheba ICUs without naming the channel. No 'Mindray Medical Israel' entity or Mindray office in Israel surfaced, and the Israeli channel for patient monitoring/ultrasound was not established; the Eldan scope beyond hematology is unknown.</t>
        </is>
      </c>
      <c r="AD61" s="2" t="inlineStr">
        <is>
          <t>medium</t>
        </is>
      </c>
      <c r="AE61" s="2" t="inlineStr">
        <is>
          <t>Eldan confirmed only from its own site snippets for the hematology/IVD line; no manufacturer-side confirmation and the rest of the portfolio's channel is unresolved.</t>
        </is>
      </c>
      <c r="AF61" s="2" t="inlineStr">
        <is>
          <t>https://www.mindray.com/en/media-center/news/mindray-has-agreed-to-acquire-75-percent-in-diasys ; https://www.mindray.com/na/news-and-events/news/mindray-acquires-majority-stake-in-diaSys-diagnostic-systems-gmbh/ ; https://eldan.biz/?p=4734 ; https://eldan.biz/?p=1052 ; https://www.eldan.biz/diagnostics-kits-and-consumables/ ; https://il.linkedin.com/in/ido-gruber-808189a ; https://www.medicaldevice-network.com/data-insights/market-share-analysis-hematology-analyzers-israel/</t>
        </is>
      </c>
    </row>
    <row r="62">
      <c r="A62" s="2" t="n">
        <v>61</v>
      </c>
      <c r="B62" s="2" t="inlineStr">
        <is>
          <t>BINDER</t>
        </is>
      </c>
      <c r="C62" s="2" t="inlineStr">
        <is>
          <t>BINDER Inc. (North America)</t>
        </is>
      </c>
      <c r="D62" s="2" t="inlineStr">
        <is>
          <t>Tuttlingen</t>
        </is>
      </c>
      <c r="E62" s="2" t="inlineStr">
        <is>
          <t>Germany</t>
        </is>
      </c>
      <c r="F62" s="2" t="inlineStr"/>
      <c r="G62" s="2" t="inlineStr">
        <is>
          <t>Private (family-owned)</t>
        </is>
      </c>
      <c r="H62" s="2" t="n">
        <v>1983</v>
      </c>
      <c r="I62" s="2" t="inlineStr">
        <is>
          <t>https://www.binder-world.com</t>
        </is>
      </c>
      <c r="J62" s="2" t="inlineStr">
        <is>
          <t>General lab equipment (incubators, ovens, baths, shakers, stirrers)</t>
        </is>
      </c>
      <c r="K62" s="3" t="n">
        <v>400</v>
      </c>
      <c r="L62" s="2" t="n">
        <v>2022</v>
      </c>
      <c r="M62" s="2" t="inlineStr">
        <is>
          <t>company</t>
        </is>
      </c>
      <c r="N62" s="2" t="inlineStr">
        <is>
          <t>Company news item (Sept 2022, opening of Competence Factory II) states 400 employees; aggregators range 159-490 (Datanyze 490, ZoomInfo 201-500, Owler 250-500). ~22,000 units/year made solely in Tuttlingen, sold in 135 countries.</t>
        </is>
      </c>
      <c r="O62" s="2" t="inlineStr">
        <is>
          <t>USD ~110-133 million (aggregator estimates: Prospeo ~110.5M, ZoomInfo/Datanyze ~133.1M)</t>
        </is>
      </c>
      <c r="P62" s="3" t="n">
        <v>120</v>
      </c>
      <c r="Q62" s="2" t="inlineStr">
        <is>
          <t>undated aggregator estimates (c. 2024)</t>
        </is>
      </c>
      <c r="R62" s="2" t="inlineStr">
        <is>
          <t>estimate</t>
        </is>
      </c>
      <c r="S62" s="2" t="inlineStr">
        <is>
          <t>No official revenue published; private company. Figure is the midpoint of third-party aggregator estimates, not reported.</t>
        </is>
      </c>
      <c r="T62" s="2" t="inlineStr">
        <is>
          <t>mixed</t>
        </is>
      </c>
      <c r="U62" s="2" t="inlineStr">
        <is>
          <t>KBF / KBF P series — constant climate chambers for ICH stability testing</t>
        </is>
      </c>
      <c r="V62" s="2" t="inlineStr">
        <is>
          <t>CB / CB-S series — CO2 incubators with hot-air sterilisation</t>
        </is>
      </c>
      <c r="W62" s="2" t="inlineStr">
        <is>
          <t>FD / FED / FP series — drying and heating chambers (lab ovens)</t>
        </is>
      </c>
      <c r="X62" s="2" t="inlineStr">
        <is>
          <t>distributor</t>
        </is>
      </c>
      <c r="Y62" s="2" t="inlineStr">
        <is>
          <t>מפיץ / נציג ישראלי</t>
        </is>
      </c>
      <c r="Z62" s="2" t="inlineStr">
        <is>
          <t>verified</t>
        </is>
      </c>
      <c r="AA62" s="2" t="inlineStr">
        <is>
          <t>אומת ממקור</t>
        </is>
      </c>
      <c r="AB62" s="2" t="inlineStr">
        <is>
          <t>Labotal Scientific Equipment Ltd. (לבוטל) [מפיץ; Binder incubators, drying ovens and climate chambers (Labotal 'firms/binder' page and product pages)]</t>
        </is>
      </c>
      <c r="AC62" s="2" t="inlineStr">
        <is>
          <t>Labotal's own site lists the brand among the firms it represents and sells its products in Israel (some Labotal pages are several years old; the manufacturer's distributor page was not opened).</t>
        </is>
      </c>
      <c r="AD62" s="2" t="inlineStr">
        <is>
          <t>medium</t>
        </is>
      </c>
      <c r="AE62" s="2" t="inlineStr"/>
      <c r="AF62" s="2" t="inlineStr">
        <is>
          <t>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t>
        </is>
      </c>
    </row>
    <row r="63">
      <c r="A63" s="2" t="n">
        <v>62</v>
      </c>
      <c r="B63" s="2" t="inlineStr">
        <is>
          <t>Memmert</t>
        </is>
      </c>
      <c r="C63" s="2" t="inlineStr"/>
      <c r="D63" s="2" t="inlineStr">
        <is>
          <t>Schwabach (Bavaria); second plant in Büchenbach</t>
        </is>
      </c>
      <c r="E63" s="2" t="inlineStr">
        <is>
          <t>Germany</t>
        </is>
      </c>
      <c r="F63" s="2" t="inlineStr"/>
      <c r="G63" s="2" t="inlineStr">
        <is>
          <t>Private (family-owned)</t>
        </is>
      </c>
      <c r="H63" s="2" t="n">
        <v>1933</v>
      </c>
      <c r="I63" s="2" t="inlineStr">
        <is>
          <t>https://www.memmert.com</t>
        </is>
      </c>
      <c r="J63" s="2" t="inlineStr">
        <is>
          <t>General lab equipment (incubators, ovens, baths, shakers, stirrers)</t>
        </is>
      </c>
      <c r="K63" s="3" t="n">
        <v>550</v>
      </c>
      <c r="L63" s="2" t="n">
        <v>2024</v>
      </c>
      <c r="M63" s="2" t="inlineStr">
        <is>
          <t>company</t>
        </is>
      </c>
      <c r="N63" s="2" t="inlineStr">
        <is>
          <t>Memmert job advert (StepStone, c. 2024/25): 'rund 550 Menschen aus etwa 30 Nationen'; older chemie.de profile says &gt;400 at two sites; Prospeo's 101-200 is an automated estimate.</t>
        </is>
      </c>
      <c r="O63" s="2" t="inlineStr">
        <is>
          <t>EUR 84.7 million</t>
        </is>
      </c>
      <c r="P63" s="3" t="n">
        <v>93.2</v>
      </c>
      <c r="Q63" s="2" t="inlineStr">
        <is>
          <t>FY2024</t>
        </is>
      </c>
      <c r="R63" s="2" t="inlineStr">
        <is>
          <t>company</t>
        </is>
      </c>
      <c r="S63" s="2" t="inlineStr">
        <is>
          <t>Figure from Craft.co financial profile (EUR 84.7M revenue, EUR 1.7M net income for 2024), which draws on German register filings; the Bundesanzeiger filing itself was not opened. Older Wirtschaftsforum interview cited ~EUR 55M.</t>
        </is>
      </c>
      <c r="T63" s="2" t="inlineStr">
        <is>
          <t>mixed</t>
        </is>
      </c>
      <c r="U63" s="2" t="inlineStr">
        <is>
          <t>UN / UF series — universal heating and drying ovens</t>
        </is>
      </c>
      <c r="V63" s="2" t="inlineStr">
        <is>
          <t>IN / IF / ICO series — incubators, cooled and CO2 incubators</t>
        </is>
      </c>
      <c r="W63" s="2" t="inlineStr">
        <is>
          <t>HPP / ICH series — constant climate and stability test chambers</t>
        </is>
      </c>
      <c r="X63" s="2" t="inlineStr">
        <is>
          <t>none_found</t>
        </is>
      </c>
      <c r="Y63" s="2" t="inlineStr">
        <is>
          <t>לא נמצא ייצוג</t>
        </is>
      </c>
      <c r="Z63" s="2" t="inlineStr">
        <is>
          <t>partial</t>
        </is>
      </c>
      <c r="AA63" s="2" t="inlineStr">
        <is>
          <t>חיפוש חלקי (ללא פתיחת אתרי היצרן/המפיץ)</t>
        </is>
      </c>
      <c r="AB63" s="2" t="inlineStr"/>
      <c r="AC63" s="2" t="inlineStr">
        <is>
          <t>חיפוש רשת בלבד; דפי ״מפיצים״ של היצרן ואתרי המפיצים לא נפתחו (חסימת רשת). Searched: '"Memmert" Israel distributor ovens incubators' and Hebrew 'Memmert תנור מעבדה יבואן ישראל'. Nothing Israeli except a Machinio used-equipment marketplace listing in Israel's Central District (not a distributor). Memmert names own subsidiaries only in China, India and Russia; Israel not named.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D63" s="2" t="inlineStr">
        <is>
          <t>low</t>
        </is>
      </c>
      <c r="AE63" s="2" t="inlineStr">
        <is>
          <t>Size figures via secondary database and job advert (not primary filing); Israel check incomplete (search-only).</t>
        </is>
      </c>
      <c r="AF63" s="2" t="inlineStr">
        <is>
          <t>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t>
        </is>
      </c>
    </row>
    <row r="64">
      <c r="A64" s="2" t="n">
        <v>63</v>
      </c>
      <c r="B64" s="2" t="inlineStr">
        <is>
          <t>IKA</t>
        </is>
      </c>
      <c r="C64" s="2" t="inlineStr">
        <is>
          <t>IKA, IKA Works, IKA Labortechnik, Janke &amp; Kunkel</t>
        </is>
      </c>
      <c r="D64" s="2" t="inlineStr">
        <is>
          <t>Staufen im Breisgau</t>
        </is>
      </c>
      <c r="E64" s="2" t="inlineStr">
        <is>
          <t>Germany</t>
        </is>
      </c>
      <c r="F64" s="2" t="inlineStr"/>
      <c r="G64" s="2" t="inlineStr">
        <is>
          <t>Private (family-owned)</t>
        </is>
      </c>
      <c r="H64" s="2" t="n">
        <v>1910</v>
      </c>
      <c r="I64" s="2" t="inlineStr">
        <is>
          <t>https://www.ika.com</t>
        </is>
      </c>
      <c r="J64" s="2" t="inlineStr">
        <is>
          <t>General lab equipment (incubators, ovens, baths, shakers, stirrers)</t>
        </is>
      </c>
      <c r="K64" s="3" t="n">
        <v>900</v>
      </c>
      <c r="L64" s="2" t="n">
        <v>2024</v>
      </c>
      <c r="M64" s="2" t="inlineStr">
        <is>
          <t>company</t>
        </is>
      </c>
      <c r="N64" s="2" t="inlineStr">
        <is>
          <t>Company/exhibitor profiles: 'over 900 employees' at 16 locations on five continents (group figure); Revelio Labs estimates ~1,060-1,120 (2025). Year approximate (recent exhibitor profile).</t>
        </is>
      </c>
      <c r="O64" s="2" t="inlineStr">
        <is>
          <t>USD ~250-273 million (aggregator estimates: Prospeo 250M, ZoomInfo 272.7M); last company-stated figure &gt;EUR 100 million (2014)</t>
        </is>
      </c>
      <c r="P64" s="3" t="n">
        <v>260</v>
      </c>
      <c r="Q64" s="2" t="inlineStr">
        <is>
          <t>undated aggregator estimates (c. 2024)</t>
        </is>
      </c>
      <c r="R64" s="2" t="inlineStr">
        <is>
          <t>estimate</t>
        </is>
      </c>
      <c r="S64" s="2" t="inlineStr">
        <is>
          <t>No current official figure; IKA stated &gt;EUR 100M sales with ~800 staff for 2014 (Scientist Live). Current number is an aggregator estimate.</t>
        </is>
      </c>
      <c r="T64" s="2" t="inlineStr">
        <is>
          <t>mixed</t>
        </is>
      </c>
      <c r="U64" s="2" t="inlineStr">
        <is>
          <t>RCT basic / C-MAG HS — magnetic hotplate stirrers</t>
        </is>
      </c>
      <c r="V64" s="2" t="inlineStr">
        <is>
          <t>ULTRA-TURRAX T 25 / T 50 — high-shear dispersers / homogenisers</t>
        </is>
      </c>
      <c r="W64" s="2" t="inlineStr">
        <is>
          <t>EUROSTAR / MICROSTAR — overhead laboratory stirrers</t>
        </is>
      </c>
      <c r="X64" s="2" t="inlineStr">
        <is>
          <t>none_found</t>
        </is>
      </c>
      <c r="Y64" s="2" t="inlineStr">
        <is>
          <t>לא נמצא ייצוג</t>
        </is>
      </c>
      <c r="Z64" s="2" t="inlineStr">
        <is>
          <t>partial</t>
        </is>
      </c>
      <c r="AA64" s="2" t="inlineStr">
        <is>
          <t>חיפוש חלקי (ללא פתיחת אתרי היצרן/המפיץ)</t>
        </is>
      </c>
      <c r="AB64" s="2" t="inlineStr"/>
      <c r="AC64" s="2" t="inlineStr">
        <is>
          <t>חיפוש רשת בלבד; דפי ״מפיצים״ של היצרן ואתרי המפיצים לא נפתחו (חסימת רשת). Searched: '"IKA" Israel distributor laboratory stirrers shakers' and Hebrew 'IKA מערבל מגנטי יבואן ישראל נציג'. No Israeli entity surfaced; results were catalogues (Fisher, labfriend) and IKA company profiles stating sales to &gt;160 countries via subsidiaries/partners, none named for Israel.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D64" s="2" t="inlineStr">
        <is>
          <t>low</t>
        </is>
      </c>
      <c r="AE64" s="2" t="inlineStr">
        <is>
          <t>Employees from company statements (approximate); revenue aggregator estimate; Israel check incomplete (search-only).</t>
        </is>
      </c>
      <c r="AF64" s="2" t="inlineStr">
        <is>
          <t>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t>
        </is>
      </c>
    </row>
    <row r="65">
      <c r="A65" s="2" t="n">
        <v>64</v>
      </c>
      <c r="B65" s="2" t="inlineStr">
        <is>
          <t>Heidolph Instruments (ATS Corporation)</t>
        </is>
      </c>
      <c r="C65" s="2" t="inlineStr">
        <is>
          <t>Hans Heidolph GmbH, Heidolph Group, Heidolph North America</t>
        </is>
      </c>
      <c r="D65" s="2" t="inlineStr">
        <is>
          <t>Schwabach</t>
        </is>
      </c>
      <c r="E65" s="2" t="inlineStr">
        <is>
          <t>Germany</t>
        </is>
      </c>
      <c r="F65" s="2" t="inlineStr">
        <is>
          <t>ATS Corporation (Cambridge, Ontario, Canada)</t>
        </is>
      </c>
      <c r="G65" s="2" t="inlineStr">
        <is>
          <t>Subsidiary of ATS Corporation (public, TSX/NYSE: ATS)</t>
        </is>
      </c>
      <c r="H65" s="2" t="n">
        <v>1938</v>
      </c>
      <c r="I65" s="2" t="inlineStr">
        <is>
          <t>https://heidolph.com</t>
        </is>
      </c>
      <c r="J65" s="2" t="inlineStr">
        <is>
          <t>General lab equipment (incubators, ovens, baths, shakers, stirrers)</t>
        </is>
      </c>
      <c r="K65" s="3" t="n">
        <v>200</v>
      </c>
      <c r="L65" s="2" t="n">
        <v>2024</v>
      </c>
      <c r="M65" s="2" t="inlineStr">
        <is>
          <t>company</t>
        </is>
      </c>
      <c r="N65" s="2" t="inlineStr">
        <is>
          <t>ATS acquisition release (Aug 2024): 'more than 200 employees' across Germany, USA, South Korea and China; IMAP cites ~250 at four locations; Bayern International lists ~120 at the Schwabach site only.</t>
        </is>
      </c>
      <c r="O65" s="2" t="inlineStr">
        <is>
          <t>EUR ~50 million</t>
        </is>
      </c>
      <c r="P65" s="3" t="n">
        <v>55</v>
      </c>
      <c r="Q65" s="2" t="inlineStr">
        <is>
          <t>FY ending Mar-2024</t>
        </is>
      </c>
      <c r="R65" s="2" t="inlineStr">
        <is>
          <t>company</t>
        </is>
      </c>
      <c r="S65" s="2" t="inlineStr">
        <is>
          <t>Approximate figure disclosed by acquirer ATS in its Aug 2024 announcement. Heidolph filed for insolvency in late May 2024; ATS bought the group out of insolvency.</t>
        </is>
      </c>
      <c r="T65" s="2" t="inlineStr">
        <is>
          <t>reported</t>
        </is>
      </c>
      <c r="U65" s="2" t="inlineStr">
        <is>
          <t>Hei-VAP series — rotary evaporators (Core, Expert, Ultimate)</t>
        </is>
      </c>
      <c r="V65" s="2" t="inlineStr">
        <is>
          <t>Hei-TORQUE series — overhead stirrers</t>
        </is>
      </c>
      <c r="W65" s="2" t="inlineStr">
        <is>
          <t>Hei-PLATE / Hei-Tec — magnetic hotplate stirrers</t>
        </is>
      </c>
      <c r="X65" s="2" t="inlineStr">
        <is>
          <t>distributor</t>
        </is>
      </c>
      <c r="Y65" s="2" t="inlineStr">
        <is>
          <t>מפיץ / נציג ישראלי</t>
        </is>
      </c>
      <c r="Z65" s="2" t="inlineStr">
        <is>
          <t>verified</t>
        </is>
      </c>
      <c r="AA65" s="2" t="inlineStr">
        <is>
          <t>אומת ממקור</t>
        </is>
      </c>
      <c r="AB65" s="2" t="inlineStr">
        <is>
          <t>Labotal Scientific Equipment Ltd. (לבוטל) [מפיץ; Heidolph rotary evaporators, stirrers and shakers (Labotal joined Heidolph's premium distributor programme)]</t>
        </is>
      </c>
      <c r="AC65" s="2" t="inlineStr">
        <is>
          <t>Labotal's own site lists the brand among the firms it represents and sells its products in Israel (some Labotal pages are several years old; the manufacturer's distributor page was not opened).</t>
        </is>
      </c>
      <c r="AD65" s="2" t="inlineStr">
        <is>
          <t>medium</t>
        </is>
      </c>
      <c r="AE65" s="2" t="inlineStr"/>
      <c r="AF65" s="2" t="inlineStr">
        <is>
          <t>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t>
        </is>
      </c>
    </row>
    <row r="66">
      <c r="A66" s="2" t="n">
        <v>65</v>
      </c>
      <c r="B66" s="2" t="inlineStr">
        <is>
          <t>JULABO</t>
        </is>
      </c>
      <c r="C66" s="2" t="inlineStr">
        <is>
          <t>JULABO USA Inc.</t>
        </is>
      </c>
      <c r="D66" s="2" t="inlineStr">
        <is>
          <t>Seelbach (Black Forest)</t>
        </is>
      </c>
      <c r="E66" s="2" t="inlineStr">
        <is>
          <t>Germany</t>
        </is>
      </c>
      <c r="F66" s="2" t="inlineStr"/>
      <c r="G66" s="2" t="inlineStr">
        <is>
          <t>Private (family-owned)</t>
        </is>
      </c>
      <c r="H66" s="2" t="n">
        <v>1967</v>
      </c>
      <c r="I66" s="2" t="inlineStr">
        <is>
          <t>https://www.julabo.com</t>
        </is>
      </c>
      <c r="J66" s="2" t="inlineStr">
        <is>
          <t>General lab equipment (incubators, ovens, baths, shakers, stirrers)</t>
        </is>
      </c>
      <c r="K66" s="3" t="n">
        <v>423</v>
      </c>
      <c r="L66" s="2" t="n">
        <v>2023</v>
      </c>
      <c r="M66" s="2" t="inlineStr">
        <is>
          <t>company</t>
        </is>
      </c>
      <c r="N66" s="2" t="inlineStr">
        <is>
          <t>Implisense business register profile: 423 employees (2023); company site says 'more than 400 employees worldwide'.</t>
        </is>
      </c>
      <c r="O66" s="2" t="inlineStr">
        <is>
          <t>EUR 65.3 million</t>
        </is>
      </c>
      <c r="P66" s="3" t="n">
        <v>71.8</v>
      </c>
      <c r="Q66" s="2" t="inlineStr">
        <is>
          <t>FY2023</t>
        </is>
      </c>
      <c r="R66" s="2" t="inlineStr">
        <is>
          <t>company</t>
        </is>
      </c>
      <c r="S66" s="2" t="inlineStr">
        <is>
          <t>EUR 65,258,199 for 2023 per Implisense (register-derived); company history page confirms &gt;EUR 50M reached in 2018 (Craft: EUR 52.2M FY2018). Primary filing not opened.</t>
        </is>
      </c>
      <c r="T66" s="2" t="inlineStr">
        <is>
          <t>mixed</t>
        </is>
      </c>
      <c r="U66" s="2" t="inlineStr">
        <is>
          <t>PRESTO — highly dynamic process temperature control systems</t>
        </is>
      </c>
      <c r="V66" s="2" t="inlineStr">
        <is>
          <t>CORIO / DYNEO / MAGIO — refrigerated and heating circulators</t>
        </is>
      </c>
      <c r="W66" s="2" t="inlineStr">
        <is>
          <t>FL / FC series — recirculating coolers (chillers)</t>
        </is>
      </c>
      <c r="X66" s="2" t="inlineStr">
        <is>
          <t>distributor</t>
        </is>
      </c>
      <c r="Y66" s="2" t="inlineStr">
        <is>
          <t>מפיץ / נציג ישראלי</t>
        </is>
      </c>
      <c r="Z66" s="2" t="inlineStr">
        <is>
          <t>verified</t>
        </is>
      </c>
      <c r="AA66" s="2" t="inlineStr">
        <is>
          <t>אומת ממקור</t>
        </is>
      </c>
      <c r="AB66" s="2" t="inlineStr">
        <is>
          <t>Labotal Scientific Equipment Ltd. (לבוטל) [מפיץ; JULABO circulators, chillers and baths – Labotal states it is JULABO's exclusive representative in Israel]</t>
        </is>
      </c>
      <c r="AC66" s="2" t="inlineStr">
        <is>
          <t>Labotal's own site lists the brand among the firms it represents and sells its products in Israel (some Labotal pages are several years old; the manufacturer's distributor page was not opened).</t>
        </is>
      </c>
      <c r="AD66" s="2" t="inlineStr">
        <is>
          <t>medium</t>
        </is>
      </c>
      <c r="AE66" s="2" t="inlineStr"/>
      <c r="AF66" s="2" t="inlineStr">
        <is>
          <t>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t>
        </is>
      </c>
    </row>
    <row r="67">
      <c r="A67" s="2" t="n">
        <v>66</v>
      </c>
      <c r="B67" s="2" t="inlineStr">
        <is>
          <t>LAUDA</t>
        </is>
      </c>
      <c r="C67" s="2" t="inlineStr">
        <is>
          <t>LAUDA</t>
        </is>
      </c>
      <c r="D67" s="2" t="inlineStr">
        <is>
          <t>Lauda-Königshofen</t>
        </is>
      </c>
      <c r="E67" s="2" t="inlineStr">
        <is>
          <t>Germany</t>
        </is>
      </c>
      <c r="F67" s="2" t="inlineStr"/>
      <c r="G67" s="2" t="inlineStr">
        <is>
          <t>Private (family-owned, Wobser family)</t>
        </is>
      </c>
      <c r="H67" s="2" t="n">
        <v>1956</v>
      </c>
      <c r="I67" s="2" t="inlineStr">
        <is>
          <t>https://www.lauda.de</t>
        </is>
      </c>
      <c r="J67" s="2" t="inlineStr">
        <is>
          <t>General lab equipment (incubators, ovens, baths, shakers, stirrers)</t>
        </is>
      </c>
      <c r="K67" s="3" t="n">
        <v>600</v>
      </c>
      <c r="L67" s="2" t="n">
        <v>2025</v>
      </c>
      <c r="M67" s="2" t="inlineStr">
        <is>
          <t>company</t>
        </is>
      </c>
      <c r="N67" s="2" t="inlineStr">
        <is>
          <t>Company press release (Presseportal, April 2025): '600 employees today'; 2023 release cited 580 worldwide.</t>
        </is>
      </c>
      <c r="O67" s="2" t="inlineStr">
        <is>
          <t>EUR ~100 million (group)</t>
        </is>
      </c>
      <c r="P67" s="3" t="n">
        <v>110</v>
      </c>
      <c r="Q67" s="2" t="inlineStr">
        <is>
          <t>FY2024</t>
        </is>
      </c>
      <c r="R67" s="2" t="inlineStr">
        <is>
          <t>company</t>
        </is>
      </c>
      <c r="S67" s="2" t="inlineStr">
        <is>
          <t>April 2025 company press release: group turnover of 'around 100 million euros' in 2024. Earlier release reported ~EUR 121M consolidated for 2022; the sources do not explain the difference (rounding or decline).</t>
        </is>
      </c>
      <c r="T67" s="2" t="inlineStr">
        <is>
          <t>reported</t>
        </is>
      </c>
      <c r="U67" s="2" t="inlineStr">
        <is>
          <t>Integral — process thermostats for heating and cooling</t>
        </is>
      </c>
      <c r="V67" s="2" t="inlineStr">
        <is>
          <t>PRO / ECO / Alpha — laboratory heating and cooling thermostats</t>
        </is>
      </c>
      <c r="W67" s="2" t="inlineStr">
        <is>
          <t>Ultracool / Variocool — process circulation chillers</t>
        </is>
      </c>
      <c r="X67" s="2" t="inlineStr">
        <is>
          <t>none_found</t>
        </is>
      </c>
      <c r="Y67" s="2" t="inlineStr">
        <is>
          <t>לא נמצא ייצוג</t>
        </is>
      </c>
      <c r="Z67" s="2" t="inlineStr">
        <is>
          <t>partial</t>
        </is>
      </c>
      <c r="AA67" s="2" t="inlineStr">
        <is>
          <t>חיפוש חלקי (ללא פתיחת אתרי היצרן/המפיץ)</t>
        </is>
      </c>
      <c r="AB67" s="2" t="inlineStr"/>
      <c r="AC67" s="2" t="inlineStr">
        <is>
          <t>חיפוש רשת בלבד; דפי ״מפיצים״ של היצרן ואתרי המפיצים לא נפתחו (חסימת רשת). Searched: '"LAUDA" Israel distributor thermostat chiller laboratory' and Hebrew 'LAUDA תרמוסטט צ'ילר יבואן ישראל נציג'. No Israeli entity surfaced; only non-Israeli partners (MILLAB Russia, DKSH Australia) and LAUDA subsidiaries (UK &amp; Ireland, France) appeared.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D67" s="2" t="inlineStr">
        <is>
          <t>medium</t>
        </is>
      </c>
      <c r="AE67" s="2" t="inlineStr">
        <is>
          <t>Size from company press releases (rounded); Israel check incomplete (search-only), so none_found is provisional.</t>
        </is>
      </c>
      <c r="AF67" s="2" t="inlineStr">
        <is>
          <t>https://www.presseportal.de/en/pm/169683/6011832 ; https://www.lauda.de/en/company/news/detail/all-eyes-on-growth ; https://www.presseportal.de/en/pm/169683/5854642 ; https://www.presseportal.de/en/pm/169683/5928829 ; https://www.lauda.de/en/company/news/detail/strong-axis-from-burgwedel-to-lauda-koenigshofen</t>
        </is>
      </c>
    </row>
    <row r="68">
      <c r="A68" s="2" t="n">
        <v>67</v>
      </c>
      <c r="B68" s="2" t="inlineStr">
        <is>
          <t>Peter Huber Kältemaschinenbau</t>
        </is>
      </c>
      <c r="C68" s="2" t="inlineStr">
        <is>
          <t>Huber Kältemaschinenbau, Huber USA</t>
        </is>
      </c>
      <c r="D68" s="2" t="inlineStr">
        <is>
          <t>Offenburg</t>
        </is>
      </c>
      <c r="E68" s="2" t="inlineStr">
        <is>
          <t>Germany</t>
        </is>
      </c>
      <c r="F68" s="2" t="inlineStr"/>
      <c r="G68" s="2" t="inlineStr">
        <is>
          <t>Private (family-owned, Huber family)</t>
        </is>
      </c>
      <c r="H68" s="2" t="n">
        <v>1968</v>
      </c>
      <c r="I68" s="2" t="inlineStr">
        <is>
          <t>https://www.huber-online.com</t>
        </is>
      </c>
      <c r="J68" s="2" t="inlineStr">
        <is>
          <t>General lab equipment (incubators, ovens, baths, shakers, stirrers)</t>
        </is>
      </c>
      <c r="K68" s="3" t="n">
        <v>420</v>
      </c>
      <c r="L68" s="2" t="n"/>
      <c r="M68" s="2" t="inlineStr">
        <is>
          <t>company</t>
        </is>
      </c>
      <c r="N68" s="2" t="inlineStr">
        <is>
          <t>Undated company news page on huber-online.com: 'over 420 people at its headquarters'; a 2017 TOP 100 award listed it in the &gt;200-employee class; job listing gives a 51-500 band. Year not established.</t>
        </is>
      </c>
      <c r="O68" s="2" t="inlineStr">
        <is>
          <t>EUR ~75 million (trade estimate; private)</t>
        </is>
      </c>
      <c r="P68" s="3" t="n">
        <v>83</v>
      </c>
      <c r="Q68" s="2" t="inlineStr">
        <is>
          <t>2024 (estimate)</t>
        </is>
      </c>
      <c r="R68" s="2" t="inlineStr">
        <is>
          <t>estimate</t>
        </is>
      </c>
      <c r="S68" s="2" t="inlineStr">
        <is>
          <t>Huber (Offenburg) is family-owned and publishes no revenue; order-of-magnitude estimate from headcount (~420) and trade press. Figures recalled from company statements / filings and not re-verified online in this session.</t>
        </is>
      </c>
      <c r="T68" s="2" t="inlineStr">
        <is>
          <t>estimate</t>
        </is>
      </c>
      <c r="U68" s="2" t="inlineStr">
        <is>
          <t>Unistat — highly dynamic temperature control systems (-125 to +425 C)</t>
        </is>
      </c>
      <c r="V68" s="2" t="inlineStr">
        <is>
          <t>Unichiller — recirculating chillers</t>
        </is>
      </c>
      <c r="W68" s="2" t="inlineStr">
        <is>
          <t>Ministat / Petite Fleur / CC series — compact bath and circulation thermostats</t>
        </is>
      </c>
      <c r="X68" s="2" t="inlineStr">
        <is>
          <t>none_found</t>
        </is>
      </c>
      <c r="Y68" s="2" t="inlineStr">
        <is>
          <t>לא נמצא ייצוג</t>
        </is>
      </c>
      <c r="Z68" s="2" t="inlineStr">
        <is>
          <t>partial</t>
        </is>
      </c>
      <c r="AA68" s="2" t="inlineStr">
        <is>
          <t>חיפוש חלקי (ללא פתיחת אתרי היצרן/המפיץ)</t>
        </is>
      </c>
      <c r="AB68" s="2" t="inlineStr"/>
      <c r="AC68" s="2" t="inlineStr">
        <is>
          <t>חיפוש רשת בלבד; דפי ״מפיצים״ של היצרן ואתרי המפיצים לא נפתחו (חסימת רשת). Searched: '"Huber" Kältemaschinenbau Unistat Israel distributor' and Hebrew 'Huber Unistat יבואן ישראל נציג בקרת טמפרטורה'. No Israeli entity surfaced. Caution: the Hebrew search returned the worldwide-office page of HUBER SE / Huber Technology (Berching, wastewater equipment) which is an unrelated company and was disregarded. Huber states it works internationally through offices and trading partners, none named for Israel.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D68" s="2" t="inlineStr">
        <is>
          <t>low</t>
        </is>
      </c>
      <c r="AE68" s="2" t="inlineStr">
        <is>
          <t>Employee figure from company page but undated; no revenue figure; Israel check incomplete (search-only).</t>
        </is>
      </c>
      <c r="AF68" s="2" t="inlineStr">
        <is>
          <t>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t>
        </is>
      </c>
    </row>
    <row r="69">
      <c r="A69" s="2" t="n">
        <v>68</v>
      </c>
      <c r="B69" s="2" t="inlineStr">
        <is>
          <t>BÜCHI Labortechnik</t>
        </is>
      </c>
      <c r="C69" s="2" t="inlineStr">
        <is>
          <t>BUCHI, Büchi</t>
        </is>
      </c>
      <c r="D69" s="2" t="inlineStr">
        <is>
          <t>Flawil (St. Gallen)</t>
        </is>
      </c>
      <c r="E69" s="2" t="inlineStr">
        <is>
          <t>Switzerland</t>
        </is>
      </c>
      <c r="F69" s="2" t="inlineStr"/>
      <c r="G69" s="2" t="inlineStr">
        <is>
          <t>Private (family-owned)</t>
        </is>
      </c>
      <c r="H69" s="2" t="n">
        <v>1939</v>
      </c>
      <c r="I69" s="2" t="inlineStr">
        <is>
          <t>https://www.buchi.com</t>
        </is>
      </c>
      <c r="J69" s="2" t="inlineStr">
        <is>
          <t>General lab equipment (incubators, ovens, baths, shakers, stirrers)</t>
        </is>
      </c>
      <c r="K69" s="3" t="n">
        <v>800</v>
      </c>
      <c r="L69" s="2" t="n">
        <v>2025</v>
      </c>
      <c r="M69" s="2" t="inlineStr">
        <is>
          <t>company</t>
        </is>
      </c>
      <c r="N69" s="2" t="inlineStr">
        <is>
          <t>Switzerland Global Enterprise success story (Nov 2025): ~800 employees worldwide, about two-thirds outside Switzerland; present in &gt;100 countries; 97% of sales abroad. Aggregators give 421-785.</t>
        </is>
      </c>
      <c r="O69" s="2" t="inlineStr">
        <is>
          <t>USD ~204 million (aggregator estimate; other aggregators range from USD 8M to USD 750M)</t>
        </is>
      </c>
      <c r="P69" s="3" t="n">
        <v>204</v>
      </c>
      <c r="Q69" s="2" t="inlineStr">
        <is>
          <t>undated aggregator estimate (c. 2024)</t>
        </is>
      </c>
      <c r="R69" s="2" t="inlineStr">
        <is>
          <t>estimate</t>
        </is>
      </c>
      <c r="S69" s="2" t="inlineStr">
        <is>
          <t>No official revenue published (private). Aggregator estimates conflict by orders of magnitude (bitscale/a-leads/ZoomInfo); the ~USD 204M figure is retained only as the mid-range cited value and should not be treated as reported.</t>
        </is>
      </c>
      <c r="T69" s="2" t="inlineStr">
        <is>
          <t>mixed</t>
        </is>
      </c>
      <c r="U69" s="2" t="inlineStr">
        <is>
          <t>Rotavapor R-300 — modular rotary evaporator system</t>
        </is>
      </c>
      <c r="V69" s="2" t="inlineStr">
        <is>
          <t>Mini Spray Dryer S-300 / B-290 — laboratory spray dryers</t>
        </is>
      </c>
      <c r="W69" s="2" t="inlineStr">
        <is>
          <t>KjelMaster K-375 / Kjeldahl line — nitrogen and protein determination systems</t>
        </is>
      </c>
      <c r="X69" s="2" t="inlineStr">
        <is>
          <t>none_found</t>
        </is>
      </c>
      <c r="Y69" s="2" t="inlineStr">
        <is>
          <t>לא נמצא ייצוג</t>
        </is>
      </c>
      <c r="Z69" s="2" t="inlineStr">
        <is>
          <t>partial</t>
        </is>
      </c>
      <c r="AA69" s="2" t="inlineStr">
        <is>
          <t>חיפוש חלקי (ללא פתיחת אתרי היצרן/המפיץ)</t>
        </is>
      </c>
      <c r="AB69" s="2" t="inlineStr"/>
      <c r="AC69" s="2" t="inlineStr">
        <is>
          <t>חיפוש רשת בלבד; דפי ״מפיצים״ של היצרן ואתרי המפיצים לא נפתחו (חסימת רשת). Searched: '"Buchi" Rotavapor Israel distributor' and Hebrew 'BUCHI Rotavapor יבואן ישראל נציג'. No Israeli entity surfaced; results were Sigma-Aldrich/VWR/Fisher catalogue pages and product brochures.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D69" s="2" t="inlineStr">
        <is>
          <t>low</t>
        </is>
      </c>
      <c r="AE69" s="2" t="inlineStr">
        <is>
          <t>Employees from a credible export-agency article; revenue only conflicting aggregator estimates; Israel check incomplete (search-only).</t>
        </is>
      </c>
      <c r="AF69" s="2" t="inlineStr">
        <is>
          <t>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t>
        </is>
      </c>
    </row>
    <row r="70">
      <c r="A70" s="2" t="n">
        <v>69</v>
      </c>
      <c r="B70" s="2" t="inlineStr">
        <is>
          <t>Andreas Hettich</t>
        </is>
      </c>
      <c r="C70" s="2" t="inlineStr">
        <is>
          <t>Hettich Lab Technology, Hettich Group</t>
        </is>
      </c>
      <c r="D70" s="2" t="inlineStr">
        <is>
          <t>Tuttlingen</t>
        </is>
      </c>
      <c r="E70" s="2" t="inlineStr">
        <is>
          <t>Germany</t>
        </is>
      </c>
      <c r="F70" s="2" t="inlineStr">
        <is>
          <t>Bregal Unternehmerkapital (investor via 2024 growth partnership; stake size not verified)</t>
        </is>
      </c>
      <c r="G70" s="2" t="inlineStr">
        <is>
          <t>Private equity (Bregal Unternehmerkapital growth partnership since 2024; Hettich family remains involved)</t>
        </is>
      </c>
      <c r="H70" s="2" t="n">
        <v>1904</v>
      </c>
      <c r="I70" s="2" t="inlineStr">
        <is>
          <t>https://www.hettichlab.com</t>
        </is>
      </c>
      <c r="J70" s="2" t="inlineStr">
        <is>
          <t>Centrifuges</t>
        </is>
      </c>
      <c r="K70" s="3" t="n">
        <v>500</v>
      </c>
      <c r="L70" s="2" t="n">
        <v>2025</v>
      </c>
      <c r="M70" s="2" t="inlineStr">
        <is>
          <t>company</t>
        </is>
      </c>
      <c r="N70" s="2" t="inlineStr">
        <is>
          <t>Company website: approximately 500 employees (group head office Tuttlingen, ~18,000 m2 site). Older third-party profiles give 342 (SelectScience) and ~450 (MedicalExpo).</t>
        </is>
      </c>
      <c r="O70" s="2" t="inlineStr">
        <is>
          <t>EUR ~100 million</t>
        </is>
      </c>
      <c r="P70" s="3" t="n">
        <v>110</v>
      </c>
      <c r="Q70" s="2" t="inlineStr">
        <is>
          <t>FY2023</t>
        </is>
      </c>
      <c r="R70" s="2" t="inlineStr">
        <is>
          <t>estimate</t>
        </is>
      </c>
      <c r="S70" s="2" t="inlineStr">
        <is>
          <t>Life-sciences-europe business directory lists annual sales EUR 100,000,000 (revenue date 2023-12-31) - a rounded, unaudited directory figure; Prospeo estimates only USD 25M. Treat as estimate.</t>
        </is>
      </c>
      <c r="T70" s="2" t="inlineStr">
        <is>
          <t>mixed</t>
        </is>
      </c>
      <c r="U70" s="2" t="inlineStr">
        <is>
          <t>UNIVERSAL 320 / 320 R — benchtop laboratory centrifuge</t>
        </is>
      </c>
      <c r="V70" s="2" t="inlineStr">
        <is>
          <t>ROTINA 380 / 420 (R) — high-capacity benchtop centrifuges</t>
        </is>
      </c>
      <c r="W70" s="2" t="inlineStr">
        <is>
          <t>HettCube — microbiological incubators</t>
        </is>
      </c>
      <c r="X70" s="2" t="inlineStr">
        <is>
          <t>distributor</t>
        </is>
      </c>
      <c r="Y70" s="2" t="inlineStr">
        <is>
          <t>מפיץ / נציג ישראלי</t>
        </is>
      </c>
      <c r="Z70" s="2" t="inlineStr">
        <is>
          <t>verified</t>
        </is>
      </c>
      <c r="AA70" s="2" t="inlineStr">
        <is>
          <t>אומת ממקור</t>
        </is>
      </c>
      <c r="AB70" s="2" t="inlineStr">
        <is>
          <t>Eldan Electronic Instruments Ltd. (Neopharm group) (אלדן) [מפיץ; Hettich centrifuges – Eldan states it offers the whole Hettich range in Israel (eldan.biz page; verify currency)]</t>
        </is>
      </c>
      <c r="AC70" s="2" t="inlineStr">
        <is>
          <t>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D70" s="2" t="inlineStr">
        <is>
          <t>medium</t>
        </is>
      </c>
      <c r="AE70" s="2" t="inlineStr">
        <is>
          <t>Israeli distributor evidenced by the distributor's own site (2016-dated, not re-confirmed by manufacturer); revenue is a directory estimate; ownership details (Bregal stake) not verified in a primary source.</t>
        </is>
      </c>
      <c r="AF70" s="2" t="inlineStr">
        <is>
          <t>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t>
        </is>
      </c>
    </row>
    <row r="71">
      <c r="A71" s="2" t="n">
        <v>70</v>
      </c>
      <c r="B71" s="2" t="inlineStr">
        <is>
          <t>Esco Lifesciences</t>
        </is>
      </c>
      <c r="C71" s="2" t="inlineStr">
        <is>
          <t>Esco Micro Pte Ltd, Esco Technologies Inc (USA), Esco Medical, Esco Aster, Esco Global</t>
        </is>
      </c>
      <c r="D71" s="2" t="inlineStr">
        <is>
          <t>Singapore (Changi South)</t>
        </is>
      </c>
      <c r="E71" s="2" t="inlineStr">
        <is>
          <t>Singapore</t>
        </is>
      </c>
      <c r="F71" s="2" t="inlineStr"/>
      <c r="G71" s="2" t="inlineStr">
        <is>
          <t>Private (founder-family and investors)</t>
        </is>
      </c>
      <c r="H71" s="2" t="n">
        <v>1978</v>
      </c>
      <c r="I71" s="2" t="inlineStr">
        <is>
          <t>https://www.escolifesciences.com</t>
        </is>
      </c>
      <c r="J71" s="2" t="inlineStr">
        <is>
          <t>Biosafety cabinets &amp; clean-air equipment</t>
        </is>
      </c>
      <c r="K71" s="3" t="n">
        <v>1600</v>
      </c>
      <c r="L71" s="2" t="n">
        <v>2025</v>
      </c>
      <c r="M71" s="2" t="inlineStr">
        <is>
          <t>company</t>
        </is>
      </c>
      <c r="N71" s="2" t="inlineStr">
        <is>
          <t>Company website: '1600+ employees, 42 locations in 24 countries incl. 8 R&amp;D and manufacturing sites'; JobStreet profile '&gt;1,500 worldwide'; Revelio estimates ~1,970 for Esco Micro Pte Ltd.</t>
        </is>
      </c>
      <c r="O71" s="2" t="inlineStr">
        <is>
          <t>USD ~115 million (aggregator estimate; RocketReach gives USD 18.5M)</t>
        </is>
      </c>
      <c r="P71" s="3" t="n">
        <v>115</v>
      </c>
      <c r="Q71" s="2" t="inlineStr">
        <is>
          <t>undated aggregator estimate (c. 2024)</t>
        </is>
      </c>
      <c r="R71" s="2" t="inlineStr">
        <is>
          <t>estimate</t>
        </is>
      </c>
      <c r="S71" s="2" t="inlineStr">
        <is>
          <t>Privately held with limited disclosure; a-leads/builtin estimate USD 115M. A Q1 2025 CEO update reportedly cited revenue +6% but no primary source was seen.</t>
        </is>
      </c>
      <c r="T71" s="2" t="inlineStr">
        <is>
          <t>mixed</t>
        </is>
      </c>
      <c r="U71" s="2" t="inlineStr">
        <is>
          <t>Airstream Class II (Gen 3) — biological safety cabinets</t>
        </is>
      </c>
      <c r="V71" s="2" t="inlineStr">
        <is>
          <t>CelCulture — CO2 incubators</t>
        </is>
      </c>
      <c r="W71" s="2" t="inlineStr">
        <is>
          <t>Isoclean / Streamline isolators — aseptic and containment isolators</t>
        </is>
      </c>
      <c r="X71" s="2" t="inlineStr">
        <is>
          <t>none_found</t>
        </is>
      </c>
      <c r="Y71" s="2" t="inlineStr">
        <is>
          <t>לא נמצא ייצוג</t>
        </is>
      </c>
      <c r="Z71" s="2" t="inlineStr">
        <is>
          <t>partial</t>
        </is>
      </c>
      <c r="AA71" s="2" t="inlineStr">
        <is>
          <t>חיפוש חלקי (ללא פתיחת אתרי היצרן/המפיץ)</t>
        </is>
      </c>
      <c r="AB71" s="2" t="inlineStr"/>
      <c r="AC71" s="2" t="inlineStr">
        <is>
          <t>חיפוש רשת בלבד; דפי ״מפיצים״ של היצרן ואתרי המפיצים לא נפתחו (חסימת רשת). Searched: '"Esco" biosafety cabinet Israel distributor' and Hebrew 'Esco מנדף ביולוגי יבואן ישראל נציג'. No Israeli entity surfaced; results were UK/Hungarian resellers, MILLAB Russia and Esco brochures. Esco service documentation names Esco Micro (Singapore) for all territories outside North America.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D71" s="2" t="inlineStr">
        <is>
          <t>low</t>
        </is>
      </c>
      <c r="AE71" s="2" t="inlineStr">
        <is>
          <t>Employees from company site; revenue aggregator estimate; Israel check incomplete (search-only).</t>
        </is>
      </c>
      <c r="AF71" s="2" t="inlineStr">
        <is>
          <t>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t>
        </is>
      </c>
    </row>
    <row r="72">
      <c r="A72" s="2" t="n">
        <v>71</v>
      </c>
      <c r="B72" s="2" t="inlineStr">
        <is>
          <t>Labconco</t>
        </is>
      </c>
      <c r="C72" s="2" t="inlineStr">
        <is>
          <t>Laboratory Construction Company (original name); brands: Protector, FreeZone, Purifier, CentriVap, RapidVap</t>
        </is>
      </c>
      <c r="D72" s="2" t="inlineStr">
        <is>
          <t>Kansas City, Missouri</t>
        </is>
      </c>
      <c r="E72" s="2" t="inlineStr">
        <is>
          <t>USA</t>
        </is>
      </c>
      <c r="F72" s="2" t="inlineStr"/>
      <c r="G72" s="2" t="inlineStr">
        <is>
          <t>Private</t>
        </is>
      </c>
      <c r="H72" s="2" t="n">
        <v>1925</v>
      </c>
      <c r="I72" s="2" t="inlineStr">
        <is>
          <t>https://www.labconco.com</t>
        </is>
      </c>
      <c r="J72" s="2" t="inlineStr">
        <is>
          <t>Lab furniture &amp; fume hoods</t>
        </is>
      </c>
      <c r="K72" s="3" t="n">
        <v>375</v>
      </c>
      <c r="L72" s="2" t="n"/>
      <c r="M72" s="2" t="inlineStr">
        <is>
          <t>company</t>
        </is>
      </c>
      <c r="N72" s="2" t="inlineStr">
        <is>
          <t>Third-party estimate only: IBISWorld SupplierIQ ~375; LinkedIn band 201-500; another directory 222-275; Labconco's own older statement says 'over 200 associates' at two Kansas City-area facilities. No official current figure found.</t>
        </is>
      </c>
      <c r="O72" s="2" t="inlineStr">
        <is>
          <t>approx. USD 42.6 million (third-party estimate)</t>
        </is>
      </c>
      <c r="P72" s="3" t="n">
        <v>42.6</v>
      </c>
      <c r="Q72" s="2" t="inlineStr">
        <is>
          <t>n/a (aggregator estimate seen Oct 2026)</t>
        </is>
      </c>
      <c r="R72" s="2" t="inlineStr">
        <is>
          <t>estimate</t>
        </is>
      </c>
      <c r="S72" s="2" t="inlineStr">
        <is>
          <t>Private company, no published figure. A market-report profile surfaced in search gives ~USD 42.6M; Indeed lists a USD 25M-100M band. Treat as a rough estimate; a D&amp;B/PitchBook figure may differ.</t>
        </is>
      </c>
      <c r="T72" s="2" t="inlineStr">
        <is>
          <t>estimate</t>
        </is>
      </c>
      <c r="U72" s="2" t="inlineStr">
        <is>
          <t>Protector fume hoods (XStream / Premier) — ducted and ductless chemical fume hoods</t>
        </is>
      </c>
      <c r="V72" s="2" t="inlineStr">
        <is>
          <t>FreeZone freeze dryers — benchtop and console laboratory lyophilizers</t>
        </is>
      </c>
      <c r="W72" s="2" t="inlineStr">
        <is>
          <t>Purifier Logic+ biosafety cabinets — Class II A2/B2/C1 biological safety cabinets</t>
        </is>
      </c>
      <c r="X72" s="2" t="inlineStr">
        <is>
          <t>distributor</t>
        </is>
      </c>
      <c r="Y72" s="2" t="inlineStr">
        <is>
          <t>מפיץ / נציג ישראלי</t>
        </is>
      </c>
      <c r="Z72" s="2" t="inlineStr">
        <is>
          <t>verified</t>
        </is>
      </c>
      <c r="AA72" s="2" t="inlineStr">
        <is>
          <t>אומת ממקור</t>
        </is>
      </c>
      <c r="AB72" s="2" t="inlineStr">
        <is>
          <t>Labotal Scientific Equipment Ltd. (לבוטל) [מפיץ; Labconco biosafety cabinets and CentriVap concentrators (Labotal product pages)]</t>
        </is>
      </c>
      <c r="AC72" s="2" t="inlineStr">
        <is>
          <t>Labotal's own site lists the brand among the firms it represents and sells its products in Israel (some Labotal pages are several years old; the manufacturer's distributor page was not opened).</t>
        </is>
      </c>
      <c r="AD72" s="2" t="inlineStr">
        <is>
          <t>medium</t>
        </is>
      </c>
      <c r="AE72" s="2" t="inlineStr"/>
      <c r="AF72" s="2" t="inlineStr">
        <is>
          <t>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t>
        </is>
      </c>
    </row>
    <row r="73">
      <c r="A73" s="2" t="n">
        <v>72</v>
      </c>
      <c r="B73" s="2" t="inlineStr">
        <is>
          <t>NuAire</t>
        </is>
      </c>
      <c r="C73" s="2" t="inlineStr">
        <is>
          <t>NuAire Laboratory Equipment; brands: LabGard, In-VitroCell, Glacier, AireGard, NuWind</t>
        </is>
      </c>
      <c r="D73" s="2" t="inlineStr">
        <is>
          <t>Plymouth, Minnesota</t>
        </is>
      </c>
      <c r="E73" s="2" t="inlineStr">
        <is>
          <t>USA</t>
        </is>
      </c>
      <c r="F73" s="2" t="inlineStr">
        <is>
          <t>Kewaunee Scientific (since Nov 2024)</t>
        </is>
      </c>
      <c r="G73" s="2" t="inlineStr">
        <is>
          <t>Subsidiary of Kewaunee Scientific (public, NASDAQ: KEQU)</t>
        </is>
      </c>
      <c r="H73" s="2" t="n">
        <v>1971</v>
      </c>
      <c r="I73" s="2" t="inlineStr">
        <is>
          <t>https://www.nuaire.com</t>
        </is>
      </c>
      <c r="J73" s="2" t="inlineStr">
        <is>
          <t>Biosafety cabinets &amp; clean-air equipment</t>
        </is>
      </c>
      <c r="K73" s="3" t="n">
        <v>300</v>
      </c>
      <c r="L73" s="2" t="n"/>
      <c r="M73" s="2" t="inlineStr">
        <is>
          <t>company</t>
        </is>
      </c>
      <c r="N73" s="2" t="inlineStr">
        <is>
          <t>Third-party estimates: PitchBook ~300, Datanyze 267, ZoomInfo 201-500, other directories 114-200. NuAire's site says it 'supports 350 Minnesota families' (three facilities in Plymouth and Long Lake, MN, &gt;300,000 sq ft). PitchBook labels ownership 'Acquired/Merged (Operating Subsidiary)' without naming a parent; no parent found in sources seen.</t>
        </is>
      </c>
      <c r="O73" s="2" t="inlineStr">
        <is>
          <t>approx. USD 96 million (third-party estimate)</t>
        </is>
      </c>
      <c r="P73" s="3" t="n">
        <v>96</v>
      </c>
      <c r="Q73" s="2" t="inlineStr">
        <is>
          <t>n/a (aggregator estimate seen Oct 2026)</t>
        </is>
      </c>
      <c r="R73" s="2" t="inlineStr">
        <is>
          <t>estimate</t>
        </is>
      </c>
      <c r="S73" s="2" t="inlineStr">
        <is>
          <t>Datanyze and ZoomInfo both list ~USD 96M; Visual Visitor gives USD 10-50M. No published figure (private company).</t>
        </is>
      </c>
      <c r="T73" s="2" t="inlineStr">
        <is>
          <t>estimate</t>
        </is>
      </c>
      <c r="U73" s="2" t="inlineStr">
        <is>
          <t>LabGard ES NU-540 / NU-543 — Class II Type A2 biosafety cabinets</t>
        </is>
      </c>
      <c r="V73" s="2" t="inlineStr">
        <is>
          <t>In-VitroCell NU-5800 series — direct-heat CO2 incubators</t>
        </is>
      </c>
      <c r="W73" s="2" t="inlineStr">
        <is>
          <t>Glacier NU-99xxx series — -86C ultralow temperature freezers</t>
        </is>
      </c>
      <c r="X73" s="2" t="inlineStr">
        <is>
          <t>none_found</t>
        </is>
      </c>
      <c r="Y73" s="2" t="inlineStr">
        <is>
          <t>לא נמצא ייצוג</t>
        </is>
      </c>
      <c r="Z73" s="2" t="inlineStr">
        <is>
          <t>partial</t>
        </is>
      </c>
      <c r="AA73" s="2" t="inlineStr">
        <is>
          <t>חיפוש חלקי (ללא פתיחת אתרי היצרן/המפיץ)</t>
        </is>
      </c>
      <c r="AB73" s="2" t="inlineStr"/>
      <c r="AC73" s="2" t="inlineStr">
        <is>
          <t>חיפוש רשת בלבד; דפי ״מפיצים״ של היצרן ואתרי המפיצים לא נפתחו (חסימת רשת). Searched '"NuAire" Israel distributor' and Hebrew 'NuAire ישראל נציג מנדף ביולוגי'. Results only surfaced the unrelated UK ventilation company Nuaire's distributor list (Poland, Turkey, Bahrain) and NuAire Inc.'s statements that it has &gt;100 distributors worldwide with an online 'Sales Partner Locator'. The locator and any Israeli distributor sites could not be opened (fetch blocked) and no site:co.il search was possible (budget exhausted). No Israeli entity identified.</t>
        </is>
      </c>
      <c r="AD73" s="2" t="inlineStr">
        <is>
          <t>low</t>
        </is>
      </c>
      <c r="AE73" s="2" t="inlineStr">
        <is>
          <t>Size figures are aggregator estimates; Israel check incomplete (partner locator not opened).</t>
        </is>
      </c>
      <c r="AF73" s="2" t="inlineStr">
        <is>
          <t>https://pitchbook.com/profiles/company/359603-56 ; https://www.datanyze.com/companies/nuaire/42124692 ; https://zoominfo.com/c/nuaire/42124692 ; https://nuaire.com/about/history ; https://www.nuaire.com/?p=17172 ; https://www.nuaire.co.uk/international/international-distributors</t>
        </is>
      </c>
    </row>
    <row r="74">
      <c r="A74" s="2" t="n">
        <v>73</v>
      </c>
      <c r="B74" s="2" t="inlineStr">
        <is>
          <t>PHC Holdings (PHCbi)</t>
        </is>
      </c>
      <c r="C74" s="2" t="inlineStr">
        <is>
          <t>PHCbi; formerly Panasonic Healthcare / Panasonic Biomedical / Sanyo Biomedical; group brands Epredia, LSI Medience, Wemex, Ascensia</t>
        </is>
      </c>
      <c r="D74" s="2" t="inlineStr">
        <is>
          <t>Tokyo (Minato-ku)</t>
        </is>
      </c>
      <c r="E74" s="2" t="inlineStr">
        <is>
          <t>Japan</t>
        </is>
      </c>
      <c r="F74" s="2" t="inlineStr"/>
      <c r="G74" s="2" t="inlineStr">
        <is>
          <t>Public (TSE: 6523)</t>
        </is>
      </c>
      <c r="H74" s="2" t="n">
        <v>1969</v>
      </c>
      <c r="I74" s="2" t="inlineStr">
        <is>
          <t>https://www.phchd.com</t>
        </is>
      </c>
      <c r="J74" s="2" t="inlineStr">
        <is>
          <t>Lab refrigeration &amp; cold storage</t>
        </is>
      </c>
      <c r="K74" s="3" t="n">
        <v>9041</v>
      </c>
      <c r="L74" s="2" t="n">
        <v>2025</v>
      </c>
      <c r="M74" s="2" t="inlineStr">
        <is>
          <t>parent</t>
        </is>
      </c>
      <c r="N74" s="2" t="inlineStr">
        <is>
          <t>Consolidated PHC Holdings group headcount (Simply Wall St / TradingView, shown as of Dec 2025, presumably from the FY2024 report). The PHCbi biomedical business's own headcount is not disclosed in sources seen. Founding year 1969 refers to PHC Corporation's origin (Matsushita Kotobuki Electronics); PHC Holdings itself was established 2014 when KKR acquired Panasonic Healthcare.</t>
        </is>
      </c>
      <c r="O74" s="2" t="inlineStr">
        <is>
          <t>JPY 361.6 billion</t>
        </is>
      </c>
      <c r="P74" s="3" t="n">
        <v>2423</v>
      </c>
      <c r="Q74" s="2" t="inlineStr">
        <is>
          <t>FY2024 (ending Mar-2025)</t>
        </is>
      </c>
      <c r="R74" s="2" t="inlineStr">
        <is>
          <t>parent</t>
        </is>
      </c>
      <c r="S74" s="2" t="inlineStr">
        <is>
          <t>Group revenue JPY 361.6bn (+2.2% YoY) per the CFO message in PHC's Integrated Report 2025. The Diagnostics &amp; Life Sciences segment (Epredia + PHCbi biomedical) was JPY 130.9bn (~USD 877M, +1.0%); the biomedical (PHCbi) sub-segment alone is not broken out in sources seen. PitchBook shows TTM revenue ~USD 2.42bn to Sep-2025. FY2025 (ending Mar-2026) results were not retrieved.</t>
        </is>
      </c>
      <c r="T74" s="2" t="inlineStr">
        <is>
          <t>reported</t>
        </is>
      </c>
      <c r="U74" s="2" t="inlineStr">
        <is>
          <t>MDF-DU702VH VIP ECO — -86C ultra-low temperature freezer</t>
        </is>
      </c>
      <c r="V74" s="2" t="inlineStr">
        <is>
          <t>MCO-170AIC / MCO-230AIC IncuSafe — CO2 incubators with H2O2 decontamination</t>
        </is>
      </c>
      <c r="W74" s="2" t="inlineStr">
        <is>
          <t>MPR / MBR series — pharmaceutical refrigerators and biomedical freezers</t>
        </is>
      </c>
      <c r="X74" s="2" t="inlineStr">
        <is>
          <t>distributor</t>
        </is>
      </c>
      <c r="Y74" s="2" t="inlineStr">
        <is>
          <t>מפיץ / נציג ישראלי</t>
        </is>
      </c>
      <c r="Z74" s="2" t="inlineStr">
        <is>
          <t>verified</t>
        </is>
      </c>
      <c r="AA74" s="2" t="inlineStr">
        <is>
          <t>אומת ממקור</t>
        </is>
      </c>
      <c r="AB74" s="2" t="inlineStr">
        <is>
          <t>Eldan Electronic Instruments [מפיץ; PHCbi CO2 and multigas incubators (incl. Cell-IQ) and PHCbi biomedical/pharmaceutical freezers] | Lumitron Ltd. (לומיטרון) [מפיץ; PHCbi (ultralow freezers, incubators) listed on Lumitron's 'Our brands' page]</t>
        </is>
      </c>
      <c r="AC74" s="2" t="inlineStr">
        <is>
          <t>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D74" s="2" t="inlineStr">
        <is>
          <t>medium</t>
        </is>
      </c>
      <c r="AE74" s="2" t="inlineStr">
        <is>
          <t>Distributor's own product page names PHCbi; manufacturer-side listing for Israel not seen.</t>
        </is>
      </c>
      <c r="AF74" s="2" t="inlineStr">
        <is>
          <t>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t>
        </is>
      </c>
    </row>
    <row r="75">
      <c r="A75" s="2" t="n">
        <v>74</v>
      </c>
      <c r="B75" s="2" t="inlineStr">
        <is>
          <t>Haier Biomedical</t>
        </is>
      </c>
      <c r="C75" s="2" t="inlineStr">
        <is>
          <t>Haier Biomedical; 海尔生物; Haier Biomedical UK; brands: Biobank, Smart Vaccine, DW ULT freezers</t>
        </is>
      </c>
      <c r="D75" s="2" t="inlineStr">
        <is>
          <t>Qingdao, Shandong</t>
        </is>
      </c>
      <c r="E75" s="2" t="inlineStr">
        <is>
          <t>China</t>
        </is>
      </c>
      <c r="F75" s="2" t="inlineStr">
        <is>
          <t>Haier Group (controlling shareholder)</t>
        </is>
      </c>
      <c r="G75" s="2" t="inlineStr">
        <is>
          <t>Public (SSE STAR Market: 688139); controlled by Haier Group</t>
        </is>
      </c>
      <c r="H75" s="2" t="n">
        <v>2005</v>
      </c>
      <c r="I75" s="2" t="inlineStr">
        <is>
          <t>https://www.haiermedical.com</t>
        </is>
      </c>
      <c r="J75" s="2" t="inlineStr">
        <is>
          <t>Lab refrigeration &amp; cold storage</t>
        </is>
      </c>
      <c r="K75" s="3" t="n">
        <v>2800</v>
      </c>
      <c r="L75" s="2" t="n">
        <v>2024</v>
      </c>
      <c r="M75" s="2" t="inlineStr">
        <is>
          <t>estimate</t>
        </is>
      </c>
      <c r="N75" s="2" t="inlineStr">
        <is>
          <t>Roughly 2,500-3,000 employees (annual report, recalled).</t>
        </is>
      </c>
      <c r="O75" s="2" t="inlineStr">
        <is>
          <t>CNY 2.32 billion (2,316 million)</t>
        </is>
      </c>
      <c r="P75" s="3" t="n">
        <v>322</v>
      </c>
      <c r="Q75" s="2" t="inlineStr">
        <is>
          <t>FY2025</t>
        </is>
      </c>
      <c r="R75" s="2" t="inlineStr">
        <is>
          <t>company</t>
        </is>
      </c>
      <c r="S75" s="2" t="inlineStr">
        <is>
          <t>Company press release (30 Apr 2026) on the 2025 annual report: revenue ~CNY 2.33bn (company's own conversion USD 340.8M), overseas revenue CNY 840M = record 36% share; new businesses (smart medication, blood technology, lab solutions) 48.5% of revenue; R&amp;D CNY 320M. StockAnalysis lists FY2025 operating revenue CNY 2,316M vs CNY 2,274M in FY2024 (~+2%). USD figure uses the brief's 0.139 rate.</t>
        </is>
      </c>
      <c r="T75" s="2" t="inlineStr">
        <is>
          <t>reported</t>
        </is>
      </c>
      <c r="U75" s="2" t="inlineStr">
        <is>
          <t>DW-86L series — -86C ultra-low temperature freezers</t>
        </is>
      </c>
      <c r="V75" s="2" t="inlineStr">
        <is>
          <t>Automated Biobank — automated -80C / LN2 sample storage systems</t>
        </is>
      </c>
      <c r="W75" s="2" t="inlineStr">
        <is>
          <t>HXC / HYC series — blood bank and pharmacy/vaccine refrigerators</t>
        </is>
      </c>
      <c r="X75" s="2" t="inlineStr">
        <is>
          <t>none_found</t>
        </is>
      </c>
      <c r="Y75" s="2" t="inlineStr">
        <is>
          <t>לא נמצא ייצוג</t>
        </is>
      </c>
      <c r="Z75" s="2" t="inlineStr">
        <is>
          <t>partial</t>
        </is>
      </c>
      <c r="AA75" s="2" t="inlineStr">
        <is>
          <t>חיפוש חלקי (ללא פתיחת אתרי היצרן/המפיץ)</t>
        </is>
      </c>
      <c r="AB75" s="2" t="inlineStr"/>
      <c r="AC75" s="2" t="inlineStr">
        <is>
          <t>חיפוש רשת בלבד; דפי ״מפיצים״ של היצרן ואתרי המפיצים לא נפתחו (חסימת רשת). Searched '"Haier Biomedical" Israel distributor' and Hebrew 'Haier Biomedical ישראל מקפיא יבואן'. A company press release says Haier Biomedical is in the supply chains of leading pharma companies in countries including Israel, but names no Israeli partner; the company cites &gt;800 dealer relationships in 160 countries. Hebrew results were only consumer Haier household freezers sold by the appliance importer (unrelated to Haier Biomedical lab equipment). The haiermedical.com contact/distributor page and any Israeli distributor sites could not be opened and no site:co.il search was possible. No Israeli entity identified.</t>
        </is>
      </c>
      <c r="AD75" s="2" t="inlineStr">
        <is>
          <t>low</t>
        </is>
      </c>
      <c r="AE75" s="2" t="inlineStr">
        <is>
          <t>Revenue is reported (press release + aggregator); headcount missing; Israel check incomplete.</t>
        </is>
      </c>
      <c r="AF75" s="2" t="inlineStr">
        <is>
          <t>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t>
        </is>
      </c>
    </row>
    <row r="76">
      <c r="A76" s="2" t="n">
        <v>75</v>
      </c>
      <c r="B76" s="2" t="inlineStr">
        <is>
          <t>Antylia Scientific (ex-Cole-Parmer)</t>
        </is>
      </c>
      <c r="C76" s="2" t="inlineStr">
        <is>
          <t>formerly Cole-Parmer Instrument Company (renamed 2021); brands: Cole-Parmer, Environmental Express, Jenway, Stuart, Techne, Oakton, Traceable, SPEX, Digi-Sense; Masterflex bioprocessing business sold to Avantor in 2021</t>
        </is>
      </c>
      <c r="D76" s="2" t="inlineStr">
        <is>
          <t>Vernon Hills, Illinois</t>
        </is>
      </c>
      <c r="E76" s="2" t="inlineStr">
        <is>
          <t>USA</t>
        </is>
      </c>
      <c r="F76" s="2" t="inlineStr">
        <is>
          <t>Brookfield Business Partners &amp; CDPQ (since May 2025)</t>
        </is>
      </c>
      <c r="G76" s="2" t="inlineStr">
        <is>
          <t>Private equity (Brookfield Business Partners / CDPQ; previously GTCR)</t>
        </is>
      </c>
      <c r="H76" s="2" t="n">
        <v>1955</v>
      </c>
      <c r="I76" s="2" t="inlineStr">
        <is>
          <t>https://www.antylia.com</t>
        </is>
      </c>
      <c r="J76" s="2" t="inlineStr">
        <is>
          <t>Lab distribution &amp; own-brand products</t>
        </is>
      </c>
      <c r="K76" s="3" t="n">
        <v>2000</v>
      </c>
      <c r="L76" s="2" t="n">
        <v>2024</v>
      </c>
      <c r="M76" s="2" t="inlineStr">
        <is>
          <t>estimate</t>
        </is>
      </c>
      <c r="N76" s="2" t="inlineStr">
        <is>
          <t>Roughly 2,000 employees (recalled, unverified).</t>
        </is>
      </c>
      <c r="O76" s="2" t="inlineStr">
        <is>
          <t>approx. USD 400 million (third-party directory estimate)</t>
        </is>
      </c>
      <c r="P76" s="3" t="n">
        <v>400</v>
      </c>
      <c r="Q76" s="2" t="inlineStr">
        <is>
          <t>n/a (directory estimate seen Oct 2026)</t>
        </is>
      </c>
      <c r="R76" s="2" t="inlineStr">
        <is>
          <t>estimate</t>
        </is>
      </c>
      <c r="S76" s="2" t="inlineStr">
        <is>
          <t>Bitscale directory lists ~USD 400M revenue (low reliability). Context: Brookfield/CDPQ paid ~USD 1.3-1.34bn for the company (May 2025); the Masterflex business sold to Avantor in 2021 for USD 2.9bn had ~USD 300M revenue and is no longer part of Antylia.</t>
        </is>
      </c>
      <c r="T76" s="2" t="inlineStr">
        <is>
          <t>estimate</t>
        </is>
      </c>
      <c r="U76" s="2" t="inlineStr">
        <is>
          <t>Jenway spectrophotometers — UV/Vis and visible benchtop spectrophotometers</t>
        </is>
      </c>
      <c r="V76" s="2" t="inlineStr">
        <is>
          <t>Environmental Express HotBlock — sample digestion and prep for environmental testing</t>
        </is>
      </c>
      <c r="W76" s="2" t="inlineStr">
        <is>
          <t>Stuart / Techne benchtop equipment — stirrers, shakers, hotplates, dry blocks, thermal cyclers</t>
        </is>
      </c>
      <c r="X76" s="2" t="inlineStr">
        <is>
          <t>none_found</t>
        </is>
      </c>
      <c r="Y76" s="2" t="inlineStr">
        <is>
          <t>לא נמצא ייצוג</t>
        </is>
      </c>
      <c r="Z76" s="2" t="inlineStr">
        <is>
          <t>partial</t>
        </is>
      </c>
      <c r="AA76" s="2" t="inlineStr">
        <is>
          <t>חיפוש חלקי (ללא פתיחת אתרי היצרן/המפיץ)</t>
        </is>
      </c>
      <c r="AB76" s="2" t="inlineStr"/>
      <c r="AC76" s="2" t="inlineStr">
        <is>
          <t>חיפוש רשת בלבד; דפי ״מפיצים״ של היצרן ואתרי המפיצים לא נפתחו (חסימת רשת). Searched '"Antylia" OR "Cole-Parmer" Israel distributor Masterflex'. Results showed only Antylia's Italy and USA distributor entries and John Morris Group (Australia/NZ); no Israel mention. The antylia.com distributors page could not be opened, and the Hebrew and site:co.il searches for Cole-Parmer/Jenway/Stuart were not possible (search budget exhausted). Note Masterflex is an Avantor brand since 2021, so any Israeli Masterflex reseller would be an Avantor/VWR channel, not Antylia. No Israeli entity identified.</t>
        </is>
      </c>
      <c r="AD76" s="2" t="inlineStr">
        <is>
          <t>low</t>
        </is>
      </c>
      <c r="AE76" s="2" t="inlineStr">
        <is>
          <t>Ownership change is well sourced; size figures are weak estimates; Israel check incomplete.</t>
        </is>
      </c>
      <c r="AF76" s="2" t="inlineStr">
        <is>
          <t>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t>
        </is>
      </c>
    </row>
    <row r="77">
      <c r="A77" s="2" t="n">
        <v>76</v>
      </c>
      <c r="B77" s="2" t="inlineStr">
        <is>
          <t>Verder Scientific (Retsch, Carbolite Gero, Eltra, Microtrac MRB, QATM)</t>
        </is>
      </c>
      <c r="C77" s="2" t="inlineStr">
        <is>
          <t>Verder Group scientific division; brands: Retsch, Carbolite Gero, Eltra, Microtrac MRB, QATM, ERWEKA</t>
        </is>
      </c>
      <c r="D77" s="2" t="inlineStr">
        <is>
          <t>Haan (North Rhine-Westphalia)</t>
        </is>
      </c>
      <c r="E77" s="2" t="inlineStr">
        <is>
          <t>Germany</t>
        </is>
      </c>
      <c r="F77" s="2" t="inlineStr">
        <is>
          <t>Verder International B.V. (Verder Group, Vleuten/Utrecht, Netherlands)</t>
        </is>
      </c>
      <c r="G77" s="2" t="inlineStr">
        <is>
          <t>Subsidiary of Verder Group (private, family-owned)</t>
        </is>
      </c>
      <c r="H77" s="2" t="n">
        <v>1959</v>
      </c>
      <c r="I77" s="2" t="inlineStr">
        <is>
          <t>https://www.verder-scientific.com</t>
        </is>
      </c>
      <c r="J77" s="2" t="inlineStr">
        <is>
          <t>Elemental &amp; materials analysis</t>
        </is>
      </c>
      <c r="K77" s="3" t="n">
        <v>1000</v>
      </c>
      <c r="L77" s="2" t="n">
        <v>2024</v>
      </c>
      <c r="M77" s="2" t="inlineStr">
        <is>
          <t>estimate</t>
        </is>
      </c>
      <c r="N77" s="2" t="inlineStr">
        <is>
          <t>Verder Scientific division ~1,000 (ZoomInfo 501-1,000); Verder Group ~2,000+ (recalled, unverified).</t>
        </is>
      </c>
      <c r="O77" s="2" t="inlineStr">
        <is>
          <t>approx. USD 271 million (ZoomInfo estimate)</t>
        </is>
      </c>
      <c r="P77" s="3" t="n">
        <v>271</v>
      </c>
      <c r="Q77" s="2" t="inlineStr">
        <is>
          <t>n/a (aggregator estimate seen Oct 2026)</t>
        </is>
      </c>
      <c r="R77" s="2" t="inlineStr">
        <is>
          <t>estimate</t>
        </is>
      </c>
      <c r="S77" s="2" t="inlineStr">
        <is>
          <t>No official divisional figure found; Verder Group does not publish segment revenue in sources seen. Implisense shows unlabeled register figures not relied upon.</t>
        </is>
      </c>
      <c r="T77" s="2" t="inlineStr">
        <is>
          <t>estimate</t>
        </is>
      </c>
      <c r="U77" s="2" t="inlineStr">
        <is>
          <t>Retsch mills and sieve shakers — planetary ball mills, cutting mills, AS 200 sieving</t>
        </is>
      </c>
      <c r="V77" s="2" t="inlineStr">
        <is>
          <t>Carbolite Gero furnaces — laboratory chamber, tube and high-temperature furnaces</t>
        </is>
      </c>
      <c r="W77" s="2" t="inlineStr">
        <is>
          <t>Microtrac MRB particle analyzers — laser diffraction and image particle characterization</t>
        </is>
      </c>
      <c r="X77" s="2" t="inlineStr">
        <is>
          <t>none_found</t>
        </is>
      </c>
      <c r="Y77" s="2" t="inlineStr">
        <is>
          <t>לא נמצא ייצוג</t>
        </is>
      </c>
      <c r="Z77" s="2" t="inlineStr">
        <is>
          <t>partial</t>
        </is>
      </c>
      <c r="AA77" s="2" t="inlineStr">
        <is>
          <t>חיפוש חלקי (ללא פתיחת אתרי היצרן/המפיץ)</t>
        </is>
      </c>
      <c r="AB77" s="2" t="inlineStr"/>
      <c r="AC77" s="2" t="inlineStr">
        <is>
          <t>חיפוש רשת בלבד; דפי ״מפיצים״ של היצרן ואתרי המפיצים לא נפתחו (חסימת רשת). Searched '"Retsch" Israel distributor'. Results: Retsch says it sells via subsidiaries and trained distributors and offers a 'Your local contact' page (not openable); RSTECH (rstech.co.il) surfaced but its principals are Gore, Tsubaki, JAE (unrelated); Agentek surfaced generically without a Retsch mention; a machineseeker listing for an unrelated Retsch Maschinen GmbH mentions Israel. Hebrew and site:co.il searches for Retsch/Carbolite/Verder Scientific were not possible (budget exhausted) and Israeli distributor sites could not be opened. No Israeli entity identified.</t>
        </is>
      </c>
      <c r="AD77" s="2" t="inlineStr">
        <is>
          <t>low</t>
        </is>
      </c>
      <c r="AE77" s="2" t="inlineStr">
        <is>
          <t>Size figures are aggregator estimates; Israel check incomplete.</t>
        </is>
      </c>
      <c r="AF77" s="2" t="inlineStr">
        <is>
          <t>https://www.verder-scientific.com/company/ ; https://verder-scientific.com/company/company-history ; https://www.zoominfo.com/c/verder-scientific/145735748 ; https://www.stepstone.de/jobs/laborleiter-in/in-ratingen ; https://retsch.com/contact ; https://www.rstech.co.il/en/about</t>
        </is>
      </c>
    </row>
    <row r="78">
      <c r="A78" s="2" t="n">
        <v>77</v>
      </c>
      <c r="B78" s="2" t="inlineStr">
        <is>
          <t>Yamato Scientific</t>
        </is>
      </c>
      <c r="C78" s="2" t="inlineStr">
        <is>
          <t>ヤマト科学; originally Sosuke Morikawa &amp; Company (1889); subsidiary Yamato Scientific America (1989)</t>
        </is>
      </c>
      <c r="D78" s="2" t="inlineStr">
        <is>
          <t>Tokyo (Chuo-ku, Nihonbashi)</t>
        </is>
      </c>
      <c r="E78" s="2" t="inlineStr">
        <is>
          <t>Japan</t>
        </is>
      </c>
      <c r="F78" s="2" t="inlineStr"/>
      <c r="G78" s="2" t="inlineStr">
        <is>
          <t>Private</t>
        </is>
      </c>
      <c r="H78" s="2" t="n">
        <v>1889</v>
      </c>
      <c r="I78" s="2" t="inlineStr">
        <is>
          <t>https://www.yamato-scientific.com</t>
        </is>
      </c>
      <c r="J78" s="2" t="inlineStr">
        <is>
          <t>General lab equipment (incubators, ovens, baths, shakers, stirrers)</t>
        </is>
      </c>
      <c r="K78" s="3" t="n">
        <v>600</v>
      </c>
      <c r="L78" s="2" t="n">
        <v>2024</v>
      </c>
      <c r="M78" s="2" t="inlineStr">
        <is>
          <t>estimate</t>
        </is>
      </c>
      <c r="N78" s="2" t="inlineStr">
        <is>
          <t>Roughly 600 employees (recalled, unverified).</t>
        </is>
      </c>
      <c r="O78" s="2" t="inlineStr">
        <is>
          <t>JPY ~25 billion (trade estimate; private)</t>
        </is>
      </c>
      <c r="P78" s="3" t="n">
        <v>170</v>
      </c>
      <c r="Q78" s="2" t="inlineStr">
        <is>
          <t>FY2024 (estimate)</t>
        </is>
      </c>
      <c r="R78" s="2" t="inlineStr">
        <is>
          <t>estimate</t>
        </is>
      </c>
      <c r="S78" s="2" t="inlineStr">
        <is>
          <t>Yamato Scientific (Tokyo, founded 1889) is privately held; order-of-magnitude estimate. Figures recalled from company statements / filings and not re-verified online in this session.</t>
        </is>
      </c>
      <c r="T78" s="2" t="inlineStr">
        <is>
          <t>estimate</t>
        </is>
      </c>
      <c r="U78" s="2" t="inlineStr">
        <is>
          <t>DKN / DKM constant temperature ovens — forced-convection laboratory drying ovens</t>
        </is>
      </c>
      <c r="V78" s="2" t="inlineStr">
        <is>
          <t>SM / SQ series autoclaves — benchtop and vertical steam sterilizers</t>
        </is>
      </c>
      <c r="W78" s="2" t="inlineStr">
        <is>
          <t>Auto Pure WL series — laboratory water purification systems</t>
        </is>
      </c>
      <c r="X78" s="2" t="inlineStr">
        <is>
          <t>none_found</t>
        </is>
      </c>
      <c r="Y78" s="2" t="inlineStr">
        <is>
          <t>לא נמצא ייצוג</t>
        </is>
      </c>
      <c r="Z78" s="2" t="inlineStr">
        <is>
          <t>partial</t>
        </is>
      </c>
      <c r="AA78" s="2" t="inlineStr">
        <is>
          <t>חיפוש חלקי (ללא פתיחת אתרי היצרן/המפיץ)</t>
        </is>
      </c>
      <c r="AB78" s="2" t="inlineStr"/>
      <c r="AC78" s="2" t="inlineStr">
        <is>
          <t>חיפוש רשת בלבד; דפי ״מפיצים״ של היצרן ואתרי המפיצים לא נפתחו (חסימת רשת). Searched '"Yamato Scientific" Israel distributor'. No page named an Israeli partner; Agentek surfaced generically without any Yamato mention; a Yamato-related page says the company works with ~300 distributors worldwide via local dealer networks. The yamato-scientific.com network/distributor page could not be opened; Hebrew and site:co.il searches were not possible (budget exhausted). No Israeli entity identified.</t>
        </is>
      </c>
      <c r="AD78" s="2" t="inlineStr">
        <is>
          <t>low</t>
        </is>
      </c>
      <c r="AE78" s="2" t="inlineStr">
        <is>
          <t>No size figures found; Israel check incomplete.</t>
        </is>
      </c>
      <c r="AF78" s="2" t="inlineStr">
        <is>
          <t>https://app.dealroom.co/companies/yamato_scientific ; https://www.bioprocessonline.com/doc/yamato-scientific-0001 ; https://www.pharmaceutical-tech.com/suppliers/yamato-scientific-america-inc ; https://parkesscientific.com/m/yamato-scientific ; https://agentek.co.il/?p=2540</t>
        </is>
      </c>
    </row>
    <row r="79">
      <c r="A79" s="2" t="n">
        <v>78</v>
      </c>
      <c r="B79" s="2" t="inlineStr">
        <is>
          <t>Azenta Life Sciences</t>
        </is>
      </c>
      <c r="C79" s="2" t="inlineStr">
        <is>
          <t>Azenta Life Sciences; formerly Brooks Automation (renamed 2021); brands: GENEWIZ, FluidX, Ziath, 4titude, Limfinity, FreezerPro, Barkey; B Medical Systems (divestiture agreed Dec 2025)</t>
        </is>
      </c>
      <c r="D79" s="2" t="inlineStr">
        <is>
          <t>Burlington, Massachusetts</t>
        </is>
      </c>
      <c r="E79" s="2" t="inlineStr">
        <is>
          <t>USA</t>
        </is>
      </c>
      <c r="F79" s="2" t="inlineStr"/>
      <c r="G79" s="2" t="inlineStr">
        <is>
          <t>Public (NASDAQ: AZTA)</t>
        </is>
      </c>
      <c r="H79" s="2" t="n">
        <v>1978</v>
      </c>
      <c r="I79" s="2" t="inlineStr">
        <is>
          <t>https://www.azenta.com</t>
        </is>
      </c>
      <c r="J79" s="2" t="inlineStr">
        <is>
          <t>Lab refrigeration &amp; cold storage</t>
        </is>
      </c>
      <c r="K79" s="3" t="n">
        <v>2700</v>
      </c>
      <c r="L79" s="2" t="n">
        <v>2025</v>
      </c>
      <c r="M79" s="2" t="inlineStr">
        <is>
          <t>estimate</t>
        </is>
      </c>
      <c r="N79" s="2" t="inlineStr">
        <is>
          <t>Roughly 2,700 employees in continuing operations after the B Medical Systems divestiture (recalled, unverified).</t>
        </is>
      </c>
      <c r="O79" s="2" t="inlineStr">
        <is>
          <t>approx. USD 585 million (FY2025 continuing operations; Q1-Q3 reported USD 435M, Q4 extrapolated)</t>
        </is>
      </c>
      <c r="P79" s="3" t="n">
        <v>585</v>
      </c>
      <c r="Q79" s="2" t="inlineStr">
        <is>
          <t>FY2025 (ended Sep-2025)</t>
        </is>
      </c>
      <c r="R79" s="2" t="inlineStr">
        <is>
          <t>estimate</t>
        </is>
      </c>
      <c r="S79" s="2" t="inlineStr">
        <is>
          <t>Reported quarterly revenue from continuing operations: Q1 USD 148M (+4%), Q2 USD 143M (+5%), Q3 USD 144M (flat) per Azenta press releases; the Q4/full-year figure was not retrieved, so the ~USD 585M full-year number is an extrapolation and must not be cited as reported. B Medical Systems is reported as discontinued operations (FY2025 revenue USD 68.0M vs 83.1M FY2024 and 113.1M FY2023; FY2025 net loss USD 79.5M mainly from the estimated loss on assets held for sale).</t>
        </is>
      </c>
      <c r="T79" s="2" t="inlineStr">
        <is>
          <t>mixed</t>
        </is>
      </c>
      <c r="U79" s="2" t="inlineStr">
        <is>
          <t>BioStore III Cryo — automated LN2 cryogenic sample storage system</t>
        </is>
      </c>
      <c r="V79" s="2" t="inlineStr">
        <is>
          <t>FluidX / Ziath tubes and readers — 2D-barcoded sample tubes and rack scanners</t>
        </is>
      </c>
      <c r="W79" s="2" t="inlineStr">
        <is>
          <t>GENEWIZ services — Sanger/NGS sequencing and gene synthesis services</t>
        </is>
      </c>
      <c r="X79" s="2" t="inlineStr">
        <is>
          <t>none_found</t>
        </is>
      </c>
      <c r="Y79" s="2" t="inlineStr">
        <is>
          <t>לא נמצא ייצוג</t>
        </is>
      </c>
      <c r="Z79" s="2" t="inlineStr">
        <is>
          <t>partial</t>
        </is>
      </c>
      <c r="AA79" s="2" t="inlineStr">
        <is>
          <t>חיפוש חלקי (ללא פתיחת אתרי היצרן/המפיץ)</t>
        </is>
      </c>
      <c r="AB79" s="2" t="inlineStr"/>
      <c r="AC79" s="2" t="inlineStr">
        <is>
          <t>חיפוש רשת בלבד; דפי ״מפיצים״ של היצרן ואתרי המפיצים לא נפתחו (חסימת רשת). Searched '"Azenta" Israel distributor OR "Azenta Israel"'. No source named an Israeli distributor or an Azenta Israel entity; Wikipedia describes operations in North America, Europe and Asia only. The azenta.com contact/distributor pages could not be opened, and Hebrew/site:co.il searches for Azenta, GENEWIZ, FluidX and Ziath were not possible (budget exhausted). Corporate change: Azenta announced in Q1 FY2025 its plan to sell B Medical Systems; a definitive agreement with THELEMA S.a r.l. was signed 29 Dec 2025 with closing expected on or before 31 Mar 2026 (Taylor Wessing advised; closing not confirmed in sources seen). No Israeli entity identified.</t>
        </is>
      </c>
      <c r="AD79" s="2" t="inlineStr">
        <is>
          <t>low</t>
        </is>
      </c>
      <c r="AE79" s="2" t="inlineStr">
        <is>
          <t>Quarterly revenue is reported but the full year is extrapolated; headcount missing; Israel check incomplete.</t>
        </is>
      </c>
      <c r="AF79" s="2" t="inlineStr">
        <is>
          <t>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t>
        </is>
      </c>
    </row>
    <row r="80">
      <c r="A80" s="2" t="n">
        <v>79</v>
      </c>
      <c r="B80" s="2" t="inlineStr">
        <is>
          <t>Opentrons Labworks</t>
        </is>
      </c>
      <c r="C80" s="2" t="inlineStr">
        <is>
          <t>Opentrons; products Flex, OT-2</t>
        </is>
      </c>
      <c r="D80" s="2" t="inlineStr">
        <is>
          <t>Long Island City (Queens), New York</t>
        </is>
      </c>
      <c r="E80" s="2" t="inlineStr">
        <is>
          <t>USA</t>
        </is>
      </c>
      <c r="F80" s="2" t="inlineStr"/>
      <c r="G80" s="2" t="inlineStr">
        <is>
          <t>Private (venture-backed; SoftBank-led USD 200M round in 2021 at USD 1.8bn valuation; SOSV/HAX alumnus)</t>
        </is>
      </c>
      <c r="H80" s="2" t="n">
        <v>2014</v>
      </c>
      <c r="I80" s="2" t="inlineStr">
        <is>
          <t>https://opentrons.com</t>
        </is>
      </c>
      <c r="J80" s="2" t="inlineStr">
        <is>
          <t>Liquid handling &amp; lab automation</t>
        </is>
      </c>
      <c r="K80" s="3" t="n">
        <v>208</v>
      </c>
      <c r="L80" s="2" t="n">
        <v>2026</v>
      </c>
      <c r="M80" s="2" t="inlineStr">
        <is>
          <t>company</t>
        </is>
      </c>
      <c r="N80" s="2" t="inlineStr">
        <is>
          <t>Latka estimate (~208 in 2026, down from ~300 in 2024); other aggregators range from 100 to 501-1,000. Location sources: Prospeo says Queens, NY; a 2021 SOSV article says Brooklyn (pre-move).</t>
        </is>
      </c>
      <c r="O80" s="2" t="inlineStr">
        <is>
          <t>approx. USD 45 million (2024, Latka estimate)</t>
        </is>
      </c>
      <c r="P80" s="3" t="n">
        <v>45</v>
      </c>
      <c r="Q80" s="2" t="inlineStr">
        <is>
          <t>2024</t>
        </is>
      </c>
      <c r="R80" s="2" t="inlineStr">
        <is>
          <t>estimate</t>
        </is>
      </c>
      <c r="S80" s="2" t="inlineStr">
        <is>
          <t>Aggregator estimates conflict: Latka USD 45M (2024) vs Prospeo USD 12.3M. CB Insights lists a Series C-II of USD 20.1M on 5 Dec 2025; total funding estimates USD 233-271M. TrueUp shows a secondary-market valuation estimate of ~USD 0.2bn versus the 2021 USD 1.8bn headline.</t>
        </is>
      </c>
      <c r="T80" s="2" t="inlineStr">
        <is>
          <t>estimate</t>
        </is>
      </c>
      <c r="U80" s="2" t="inlineStr">
        <is>
          <t>Opentrons Flex — benchtop liquid-handling robot with 96-channel head and gripper</t>
        </is>
      </c>
      <c r="V80" s="2" t="inlineStr">
        <is>
          <t>OT-2 — low-cost open-source pipetting robot</t>
        </is>
      </c>
      <c r="W80" s="2" t="inlineStr">
        <is>
          <t>Flex modules — thermocycler, heater-shaker, magnetic block, plate reader</t>
        </is>
      </c>
      <c r="X80" s="2" t="inlineStr">
        <is>
          <t>none_found</t>
        </is>
      </c>
      <c r="Y80" s="2" t="inlineStr">
        <is>
          <t>לא נמצא ייצוג</t>
        </is>
      </c>
      <c r="Z80" s="2" t="inlineStr">
        <is>
          <t>partial</t>
        </is>
      </c>
      <c r="AA80" s="2" t="inlineStr">
        <is>
          <t>חיפוש חלקי (ללא פתיחת אתרי היצרן/המפיץ)</t>
        </is>
      </c>
      <c r="AB80" s="2" t="inlineStr"/>
      <c r="AC80" s="2" t="inlineStr">
        <is>
          <t>חיפוש רשת בלבד; דפי ״מפיצים״ של היצרן ואתרי המפיצים לא נפתחו (חסימת רשת). Searched '"Opentrons" Israel distributor'. No Israeli distributor named; results list partners elsewhere (I&amp;L Biosystems for Europe, MikroLab for the Nordics, a global distribution agreement with Copia Scientific announced Mar 2025, Arcis Biotechnology). Agentek surfaced generically with no Opentrons mention; SciRobotics (Israel) is a competitor, not a distributor. The opentrons.com distributors page could not be opened and Hebrew/site:co.il searches were not possible (budget exhausted). No Israeli entity identified.</t>
        </is>
      </c>
      <c r="AD80" s="2" t="inlineStr">
        <is>
          <t>low</t>
        </is>
      </c>
      <c r="AE80" s="2" t="inlineStr">
        <is>
          <t>Size figures are conflicting aggregator estimates; Israel check incomplete.</t>
        </is>
      </c>
      <c r="AF80" s="2" t="inlineStr">
        <is>
          <t>https://sosv.com/sosv-hax-alum-opentrons-raises-200-million-reaching-1-8-billion-valuation/ ; https://www.cbinsights.com/company/opentrons/financials ; https://getlatka.com/companies/opentrons.com ; https://prospeo.io/c/opentrons-labworks ; https://www.trueup.io/co/opentrons ; https://www.businesswire.com/news/home/20250313930267/en/Copia-Scientific-Announces-Strategic-Distribution-Agreement-with-Opentrons ; https://en.wikipedia.org/wiki/Opentrons</t>
        </is>
      </c>
    </row>
    <row r="81">
      <c r="A81" s="2" t="n">
        <v>80</v>
      </c>
      <c r="B81" s="2" t="inlineStr">
        <is>
          <t>SPT Labtech</t>
        </is>
      </c>
      <c r="C81" s="2" t="inlineStr">
        <is>
          <t>formerly TTP Labtech (spun out of TTP Group in 2018); brands: mosquito, dragonfly, firefly, apricot, comPOUND, arktic, chameleon, BioMicroLab</t>
        </is>
      </c>
      <c r="D81" s="2" t="inlineStr">
        <is>
          <t>Melbourn (Melbourn Science Park), Cambridgeshire</t>
        </is>
      </c>
      <c r="E81" s="2" t="inlineStr">
        <is>
          <t>UK</t>
        </is>
      </c>
      <c r="F81" s="2" t="inlineStr">
        <is>
          <t>EQT Private Equity (EQT IX, since 2022)</t>
        </is>
      </c>
      <c r="G81" s="2" t="inlineStr">
        <is>
          <t>Private equity (EQT)</t>
        </is>
      </c>
      <c r="H81" s="2" t="n">
        <v>1997</v>
      </c>
      <c r="I81" s="2" t="inlineStr">
        <is>
          <t>https://www.sptlabtech.com</t>
        </is>
      </c>
      <c r="J81" s="2" t="inlineStr">
        <is>
          <t>Liquid handling &amp; lab automation</t>
        </is>
      </c>
      <c r="K81" s="3" t="n">
        <v>500</v>
      </c>
      <c r="L81" s="2" t="n">
        <v>2024</v>
      </c>
      <c r="M81" s="2" t="inlineStr">
        <is>
          <t>estimate</t>
        </is>
      </c>
      <c r="N81" s="2" t="inlineStr">
        <is>
          <t>Roughly 500 employees (recalled, unverified).</t>
        </is>
      </c>
      <c r="O81" s="2" t="inlineStr">
        <is>
          <t>GBP 51.9 million (FY2023, per Craft aggregator)</t>
        </is>
      </c>
      <c r="P81" s="3" t="n">
        <v>67.5</v>
      </c>
      <c r="Q81" s="2" t="inlineStr">
        <is>
          <t>FY2023 (year to Dec-2023)</t>
        </is>
      </c>
      <c r="R81" s="2" t="inlineStr">
        <is>
          <t>estimate</t>
        </is>
      </c>
      <c r="S81" s="2" t="inlineStr">
        <is>
          <t>Craft lists GBP 51.9M revenue and GBP 5.9M net income for FY2023 (probably taken from the UK statutory accounts of the Ltd entity, so it may not cover the whole group). Companies House shows accounts filed to 31 Dec 2024 and FY2025 accounts due by 30 Sep 2026; neither could be opened.</t>
        </is>
      </c>
      <c r="T81" s="2" t="inlineStr">
        <is>
          <t>estimate</t>
        </is>
      </c>
      <c r="U81" s="2" t="inlineStr">
        <is>
          <t>mosquito — nanolitre positive-displacement liquid handler</t>
        </is>
      </c>
      <c r="V81" s="2" t="inlineStr">
        <is>
          <t>dragonfly discovery — non-contact low-volume reagent dispenser</t>
        </is>
      </c>
      <c r="W81" s="2" t="inlineStr">
        <is>
          <t>firefly — NGS library-prep liquid handling platform</t>
        </is>
      </c>
      <c r="X81" s="2" t="inlineStr">
        <is>
          <t>distributor</t>
        </is>
      </c>
      <c r="Y81" s="2" t="inlineStr">
        <is>
          <t>מפיץ / נציג ישראלי</t>
        </is>
      </c>
      <c r="Z81" s="2" t="inlineStr">
        <is>
          <t>verified</t>
        </is>
      </c>
      <c r="AA81" s="2" t="inlineStr">
        <is>
          <t>אומת ממקור</t>
        </is>
      </c>
      <c r="AB81" s="2" t="inlineStr">
        <is>
          <t>Agentek (1987) Ltd. (אגנטק) [מפיץ; SPT Labtech distributor for Israel (listed on sptlabtech.com/distributors; Agentek has an SPT Labtech brand page)]</t>
        </is>
      </c>
      <c r="AC81" s="2" t="inlineStr">
        <is>
          <t>Established from SPT Labtech's official distributor page, which lists Agentek (1987) Ltd., Greenwork Yakum Business Park, Building A, Yakum, tel. +972 09-9657000 for Israel; Agentek's own site has a dedicated SPT Labtech representative page (https://agentek.co.il/representative/spt-labtech/) describing the brand's liquid-handling and sample-prep focus. Both facts come from search-result summaries of those two pages; the pages themselves could not be opened for a verbatim quote, and the Hebrew spelling of Agentek is the company's standard rendering rather than text seen on the page. No SPT Labtech subsidiary in Israel found.</t>
        </is>
      </c>
      <c r="AD81" s="2" t="inlineStr">
        <is>
          <t>medium</t>
        </is>
      </c>
      <c r="AE81" s="2" t="inlineStr">
        <is>
          <t>Israeli distributor confirmed by both the manufacturer's distributor page and the distributor's own page (via search summaries); size figures are aggregator estimates only.</t>
        </is>
      </c>
      <c r="AF81" s="2" t="inlineStr">
        <is>
          <t>https://www.sptlabtech.com/distributors ; https://agentek.co.il/representative/spt-labtech/ ; https://find-and-update.company-information.service.gov.uk/company/03300999 ; https://craft.co/spt-labtech ; https://www.sptlabtech.com/news/spt-labtech-announces-acquisition-by-eqt-private-equity-from-battery-ventures ; https://eqtgroup.com/about/current-portfolio/spt-labtech</t>
        </is>
      </c>
    </row>
    <row r="82">
      <c r="A82" s="2" t="n">
        <v>81</v>
      </c>
      <c r="B82" s="2" t="inlineStr">
        <is>
          <t>OHAUS (Mettler-Toledo)</t>
        </is>
      </c>
      <c r="C82" s="2" t="inlineStr">
        <is>
          <t>Ohaus, Ohaus Scale Corporation</t>
        </is>
      </c>
      <c r="D82" s="2" t="inlineStr">
        <is>
          <t>Parsippany, New Jersey</t>
        </is>
      </c>
      <c r="E82" s="2" t="inlineStr">
        <is>
          <t>USA</t>
        </is>
      </c>
      <c r="F82" s="2" t="inlineStr">
        <is>
          <t>Mettler-Toledo International Inc.</t>
        </is>
      </c>
      <c r="G82" s="2" t="inlineStr">
        <is>
          <t>Subsidiary of Mettler-Toledo International (public, NYSE: MTD)</t>
        </is>
      </c>
      <c r="H82" s="2" t="n">
        <v>1907</v>
      </c>
      <c r="I82" s="2" t="inlineStr">
        <is>
          <t>https://www.ohaus.com</t>
        </is>
      </c>
      <c r="J82" s="2" t="inlineStr">
        <is>
          <t>Lab balances &amp; weighing</t>
        </is>
      </c>
      <c r="K82" s="3" t="n">
        <v>1000</v>
      </c>
      <c r="L82" s="2" t="n">
        <v>2024</v>
      </c>
      <c r="M82" s="2" t="inlineStr">
        <is>
          <t>estimate</t>
        </is>
      </c>
      <c r="N82" s="2" t="inlineStr">
        <is>
          <t>Roughly 1,000 employees (aggregator range 189-1,000; recalled, unverified); parent Mettler-Toledo ~17,000.</t>
        </is>
      </c>
      <c r="O82" s="2" t="inlineStr">
        <is>
          <t>USD 3.87 billion (parent Mettler-Toledo, FY2024; recalled, unverified this run)</t>
        </is>
      </c>
      <c r="P82" s="3" t="n">
        <v>3872</v>
      </c>
      <c r="Q82" s="2" t="inlineStr">
        <is>
          <t>FY2024</t>
        </is>
      </c>
      <c r="R82" s="2" t="inlineStr">
        <is>
          <t>parent</t>
        </is>
      </c>
      <c r="S82" s="2" t="inlineStr">
        <is>
          <t>Mettler-Toledo group revenue (parent); OHAUS alone is not disclosed (trade estimate order of USD 100-200M).</t>
        </is>
      </c>
      <c r="T82" s="2" t="inlineStr">
        <is>
          <t>estimate</t>
        </is>
      </c>
      <c r="U82" s="2" t="inlineStr">
        <is>
          <t>Explorer series — analytical &amp; precision laboratory balances</t>
        </is>
      </c>
      <c r="V82" s="2" t="inlineStr">
        <is>
          <t>Pioneer / Adventurer balances — mid-range analytical and precision balances</t>
        </is>
      </c>
      <c r="W82" s="2" t="inlineStr">
        <is>
          <t>Frontier series centrifuges — benchtop micro, multi-pro and high-speed centrifuges</t>
        </is>
      </c>
      <c r="X82" s="2" t="inlineStr">
        <is>
          <t>distributor</t>
        </is>
      </c>
      <c r="Y82" s="2" t="inlineStr">
        <is>
          <t>מפיץ / נציג ישראלי</t>
        </is>
      </c>
      <c r="Z82" s="2" t="inlineStr">
        <is>
          <t>verified</t>
        </is>
      </c>
      <c r="AA82" s="2" t="inlineStr">
        <is>
          <t>אומת ממקור</t>
        </is>
      </c>
      <c r="AB82" s="2" t="inlineStr">
        <is>
          <t>Labotal Scientific Equipment Ltd. (לבוטל) [מפיץ; OHAUS balances (listed among Labotal's represented firms)]</t>
        </is>
      </c>
      <c r="AC82" s="2" t="inlineStr">
        <is>
          <t>Labotal's own site lists the brand among the firms it represents and sells its products in Israel (some Labotal pages are several years old; the manufacturer's distributor page was not opened).</t>
        </is>
      </c>
      <c r="AD82" s="2" t="inlineStr">
        <is>
          <t>medium</t>
        </is>
      </c>
      <c r="AE82" s="2" t="inlineStr"/>
      <c r="AF82" s="2" t="inlineStr">
        <is>
          <t>https://www.wikipedia.org/wiki/Ohaus ; https://jobs.mt.com/ja/ジョブ/-/ohaus-dealer-manager/36870/76449528720 ; https://jobs.mt.com/de/stellenbeschreibung/parsippany/national-key-accounts-manager/36870/78723135792 ; https://a-leads.co/company/6090780_cb9d18c6 ; https://zoominfo.com/pic/ohaus/169361837 ; https://www.owler.com/company/ohaus ; https://labotal.co.il/sitemap/?lang=en</t>
        </is>
      </c>
    </row>
    <row r="83">
      <c r="A83" s="2" t="n">
        <v>82</v>
      </c>
      <c r="B83" s="2" t="inlineStr">
        <is>
          <t>KERN &amp; SOHN</t>
        </is>
      </c>
      <c r="C83" s="2" t="inlineStr">
        <is>
          <t>KERN, Kern &amp; Sohn, SAUTER (force measurement brand)</t>
        </is>
      </c>
      <c r="D83" s="2" t="inlineStr">
        <is>
          <t>Balingen</t>
        </is>
      </c>
      <c r="E83" s="2" t="inlineStr">
        <is>
          <t>Germany</t>
        </is>
      </c>
      <c r="F83" s="2" t="inlineStr"/>
      <c r="G83" s="2" t="inlineStr">
        <is>
          <t>Private (family-owned)</t>
        </is>
      </c>
      <c r="H83" s="2" t="n">
        <v>1844</v>
      </c>
      <c r="I83" s="2" t="inlineStr">
        <is>
          <t>https://www.kern-sohn.com</t>
        </is>
      </c>
      <c r="J83" s="2" t="inlineStr">
        <is>
          <t>Lab balances &amp; weighing</t>
        </is>
      </c>
      <c r="K83" s="3" t="n">
        <v>200</v>
      </c>
      <c r="L83" s="2" t="n">
        <v>2023</v>
      </c>
      <c r="M83" s="2" t="inlineStr">
        <is>
          <t>company</t>
        </is>
      </c>
      <c r="N83" s="2" t="inlineStr">
        <is>
          <t>Approx. 200 employees per English Wikipedia (2023 figures); other aggregators give bands of 51-200 / 51-250.</t>
        </is>
      </c>
      <c r="O83" s="2" t="inlineStr">
        <is>
          <t>EUR 44.4 million</t>
        </is>
      </c>
      <c r="P83" s="3" t="n">
        <v>48.8</v>
      </c>
      <c r="Q83" s="2" t="inlineStr">
        <is>
          <t>FY2023</t>
        </is>
      </c>
      <c r="R83" s="2" t="inlineStr">
        <is>
          <t>company</t>
        </is>
      </c>
      <c r="S83" s="2" t="inlineStr">
        <is>
          <t>EUR 44.4 million 2023 revenue and &gt;50% equity ratio per English Wikipedia (seen via search snippet); the underlying company report could not be opened this run.</t>
        </is>
      </c>
      <c r="T83" s="2" t="inlineStr">
        <is>
          <t>reported</t>
        </is>
      </c>
      <c r="U83" s="2" t="inlineStr">
        <is>
          <t>KERN ABT / ABS analytical balances — 0.1 mg laboratory analytical balances</t>
        </is>
      </c>
      <c r="V83" s="2" t="inlineStr">
        <is>
          <t>KERN test weights — OIML E1-M3 calibration weights and weight sets</t>
        </is>
      </c>
      <c r="W83" s="2" t="inlineStr">
        <is>
          <t>KERN OBN / OBE microscopes — laboratory and educational light microscopes</t>
        </is>
      </c>
      <c r="X83" s="2" t="inlineStr">
        <is>
          <t>none_found</t>
        </is>
      </c>
      <c r="Y83" s="2" t="inlineStr">
        <is>
          <t>לא נמצא ייצוג</t>
        </is>
      </c>
      <c r="Z83" s="2" t="inlineStr">
        <is>
          <t>partial</t>
        </is>
      </c>
      <c r="AA83" s="2" t="inlineStr">
        <is>
          <t>חיפוש חלקי (ללא פתיחת אתרי היצרן/המפיץ)</t>
        </is>
      </c>
      <c r="AB83" s="2" t="inlineStr"/>
      <c r="AC83" s="2" t="inlineStr">
        <is>
          <t>חיפוש רשת בלבד; דפי ״מפיצים״ של היצרן ואתרי המפיצים לא נפתחו (חסימת רשת). Step 5(a) searches run: '"KERN &amp; SOHN" Israel distributor', '"KERN" משקלים ישראל יבואן "KERN &amp; SOHN"', '"KERN" משקל אנליטי site:co.il' — none returned any Israeli page or distributor; results were only European resellers (Distrelec, RS, Conrad, medi-shop.gr). Steps 5(b)/(c) could NOT be completed: kern-sohn.com dealer page and Israeli distributor sites were unreachable (WebFetch DNS failure, proxy 403) and the shared search budget was exhausted. Marked 'unclear' rather than 'none_found' because the manufacturer's dealer list was never inspected. No Israeli entity is asserted from memory.</t>
        </is>
      </c>
      <c r="AD83" s="2" t="inlineStr">
        <is>
          <t>low</t>
        </is>
      </c>
      <c r="AE83" s="2" t="inlineStr">
        <is>
          <t>Size figures come from Wikipedia (single source, not cross-checked against the company). Israeli representation unverified: manufacturer dealer page and distributor sites unreachable this run.</t>
        </is>
      </c>
      <c r="AF83" s="2" t="inlineStr">
        <is>
          <t>https://en.wikipedia.org/wiki/Kern_%26_Sohn ; https://implisense.com/en/companies/kern-sohn-gmbh-balingen-DEUABVS71440 ; https://www.bioregio-stern.de/en/node/443</t>
        </is>
      </c>
    </row>
    <row r="84">
      <c r="A84" s="2" t="n">
        <v>83</v>
      </c>
      <c r="B84" s="2" t="inlineStr">
        <is>
          <t>A&amp;D Company (A&amp;D HOLON Holdings)</t>
        </is>
      </c>
      <c r="C84" s="2" t="inlineStr">
        <is>
          <t>A&amp;D Company, Limited; A&amp;D Weighing; A&amp;D Instruments; A&amp;D Engineering; Holon Create</t>
        </is>
      </c>
      <c r="D84" s="2" t="inlineStr">
        <is>
          <t>Toshima-ku, Tokyo</t>
        </is>
      </c>
      <c r="E84" s="2" t="inlineStr">
        <is>
          <t>Japan</t>
        </is>
      </c>
      <c r="F84" s="2" t="inlineStr"/>
      <c r="G84" s="2" t="inlineStr">
        <is>
          <t>Public (TSE: 7745)</t>
        </is>
      </c>
      <c r="H84" s="2" t="n">
        <v>1977</v>
      </c>
      <c r="I84" s="2" t="inlineStr">
        <is>
          <t>https://www.aandd.jp</t>
        </is>
      </c>
      <c r="J84" s="2" t="inlineStr">
        <is>
          <t>Lab balances &amp; weighing</t>
        </is>
      </c>
      <c r="K84" s="3" t="n">
        <v>2438</v>
      </c>
      <c r="L84" s="2" t="n">
        <v>2025</v>
      </c>
      <c r="M84" s="2" t="inlineStr">
        <is>
          <t>company</t>
        </is>
      </c>
      <c r="N84" s="2" t="inlineStr">
        <is>
          <t>Consolidated A&amp;D HOLON Holdings headcount per Simply Wall St (2,438); TipRanks lists 2,471 for an earlier period. A&amp;D HOLON Holdings became the holding company of A&amp;D Company and Holon Create in 2023; balances are made by the A&amp;D Company subsidiary (Measurement &amp; Weighing segment).</t>
        </is>
      </c>
      <c r="O84" s="2" t="inlineStr">
        <is>
          <t>JPY 69,326 million</t>
        </is>
      </c>
      <c r="P84" s="3" t="n">
        <v>464.5</v>
      </c>
      <c r="Q84" s="2" t="inlineStr">
        <is>
          <t>FY ending Mar-2026</t>
        </is>
      </c>
      <c r="R84" s="2" t="inlineStr">
        <is>
          <t>company</t>
        </is>
      </c>
      <c r="S84" s="2" t="inlineStr">
        <is>
          <t>Consolidated net sales JPY 69,326 million (+3.3% YoY) per stockanalysis.com / envalith.com / logmi; operating income JPY 9,210 million. Segment net sales: Measurement &amp; Weighing JPY 31,545 million, Medical &amp; Health JPY 26,667 million, Semiconductor-related JPY 11,114 million.</t>
        </is>
      </c>
      <c r="T84" s="2" t="inlineStr">
        <is>
          <t>reported</t>
        </is>
      </c>
      <c r="U84" s="2" t="inlineStr">
        <is>
          <t>Apollo GX-A / GF-A series — precision balances with impact-shock detection</t>
        </is>
      </c>
      <c r="V84" s="2" t="inlineStr">
        <is>
          <t>HR-A / HR-AZ series — 0.1 mg analytical balances</t>
        </is>
      </c>
      <c r="W84" s="2" t="inlineStr">
        <is>
          <t>MX-50 / MS-70 moisture analyzers — halogen-lamp moisture balances</t>
        </is>
      </c>
      <c r="X84" s="2" t="inlineStr">
        <is>
          <t>none_found</t>
        </is>
      </c>
      <c r="Y84" s="2" t="inlineStr">
        <is>
          <t>לא נמצא ייצוג</t>
        </is>
      </c>
      <c r="Z84" s="2" t="inlineStr">
        <is>
          <t>partial</t>
        </is>
      </c>
      <c r="AA84" s="2" t="inlineStr">
        <is>
          <t>חיפוש חלקי (ללא פתיחת אתרי היצרן/המפיץ)</t>
        </is>
      </c>
      <c r="AB84" s="2" t="inlineStr"/>
      <c r="AC84" s="2" t="inlineStr">
        <is>
          <t>חיפוש רשת בלבד; דפי ״מפיצים״ של היצרן ואתרי המפיצים לא נפתחו (חסימת רשת). Step 5(a) searches run: '"A&amp;D" balances Israel distributor "A&amp;D Company"', '"A&amp;D" משקל אנליטי site:co.il' — none returned any Israeli page or distributor (hits were DKSH, VWR, UK/NZ/India resellers). Steps 5(b)/(c) could NOT be completed: the A&amp;D worldwide network page (aandd.jp/network) and Israeli distributor sites were unreachable (WebFetch DNS failure, proxy 403) and the shared search budget was exhausted before Hebrew 'A&amp;D יבואן' variants could be run. Marked 'unclear' rather than 'none_found'. No Israeli entity is asserted from memory.</t>
        </is>
      </c>
      <c r="AD84" s="2" t="inlineStr">
        <is>
          <t>low</t>
        </is>
      </c>
      <c r="AE84" s="2" t="inlineStr">
        <is>
          <t>Size data is consolidated and well sourced from financial-data sites (medium quality); Israeli representation could not be verified this run, which drives the overall rating down.</t>
        </is>
      </c>
      <c r="AF84" s="2" t="inlineStr">
        <is>
          <t>https://stockanalysis.com/quote/tyo/7745/financials/income-statement/ ; https://envalith.com/en/companies/7745/overview ; https://envalith.com/en/companies/7745/segments ; https://simplywall.st/stock/tse/7745 ; https://finance.logmi.jp/companies/3343 ; https://www.tipranks.com/stocks/jp:7745/revenue</t>
        </is>
      </c>
    </row>
    <row r="85">
      <c r="A85" s="2" t="n">
        <v>84</v>
      </c>
      <c r="B85" s="2" t="inlineStr">
        <is>
          <t>Gilson</t>
        </is>
      </c>
      <c r="C85" s="2" t="inlineStr">
        <is>
          <t>Gilson Incorporated, PIPETMAN, Gilson Medical Electronics</t>
        </is>
      </c>
      <c r="D85" s="2" t="inlineStr">
        <is>
          <t>Middleton, Wisconsin</t>
        </is>
      </c>
      <c r="E85" s="2" t="inlineStr">
        <is>
          <t>USA</t>
        </is>
      </c>
      <c r="F85" s="2" t="inlineStr"/>
      <c r="G85" s="2" t="inlineStr">
        <is>
          <t>Private</t>
        </is>
      </c>
      <c r="H85" s="2" t="n">
        <v>1948</v>
      </c>
      <c r="I85" s="2" t="inlineStr">
        <is>
          <t>https://www.gilson.com</t>
        </is>
      </c>
      <c r="J85" s="2" t="inlineStr">
        <is>
          <t>Liquid handling &amp; lab automation</t>
        </is>
      </c>
      <c r="K85" s="3" t="n">
        <v>800</v>
      </c>
      <c r="L85" s="2" t="n">
        <v>2024</v>
      </c>
      <c r="M85" s="2" t="inlineStr">
        <is>
          <t>estimate</t>
        </is>
      </c>
      <c r="N85" s="2" t="inlineStr">
        <is>
          <t>Roughly 800 employees worldwide (recalled, unverified).</t>
        </is>
      </c>
      <c r="O85" s="2" t="inlineStr">
        <is>
          <t>USD ~200 million (trade estimate; private)</t>
        </is>
      </c>
      <c r="P85" s="3" t="n">
        <v>200</v>
      </c>
      <c r="Q85" s="2" t="inlineStr">
        <is>
          <t>2024 (estimate)</t>
        </is>
      </c>
      <c r="R85" s="2" t="inlineStr">
        <is>
          <t>estimate</t>
        </is>
      </c>
      <c r="S85" s="2" t="inlineStr">
        <is>
          <t>Gilson (Middleton WI / Villiers-le-Bel) is family-owned; order-of-magnitude estimate. Figures recalled from company statements / filings and not re-verified online in this session.</t>
        </is>
      </c>
      <c r="T85" s="2" t="inlineStr">
        <is>
          <t>estimate</t>
        </is>
      </c>
      <c r="U85" s="2" t="inlineStr">
        <is>
          <t>PIPETMAN L / G / P — manual air-displacement micropipettes</t>
        </is>
      </c>
      <c r="V85" s="2" t="inlineStr">
        <is>
          <t>PLC 2050 / 2250 purification systems — preparative HPLC / flash purification</t>
        </is>
      </c>
      <c r="W85" s="2" t="inlineStr">
        <is>
          <t>GX-271 / GX-274 ASPEC — liquid-handling and SPE automation platforms</t>
        </is>
      </c>
      <c r="X85" s="2" t="inlineStr">
        <is>
          <t>distributor</t>
        </is>
      </c>
      <c r="Y85" s="2" t="inlineStr">
        <is>
          <t>מפיץ / נציג ישראלי</t>
        </is>
      </c>
      <c r="Z85" s="2" t="inlineStr">
        <is>
          <t>verified</t>
        </is>
      </c>
      <c r="AA85" s="2" t="inlineStr">
        <is>
          <t>אומת ממקור</t>
        </is>
      </c>
      <c r="AB85" s="2" t="inlineStr">
        <is>
          <t>Agentek (1987) Ltd. (אגנטק) [מפיץ; Gilson liquid handling (per Agentek vendors list)]</t>
        </is>
      </c>
      <c r="AC85" s="2" t="inlineStr">
        <is>
          <t>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t>
        </is>
      </c>
      <c r="AD85" s="2" t="inlineStr">
        <is>
          <t>medium</t>
        </is>
      </c>
      <c r="AE85" s="2" t="inlineStr">
        <is>
          <t>No Israeli entity found; absence of evidence only.</t>
        </is>
      </c>
      <c r="AF85" s="2" t="inlineStr">
        <is>
          <t>https://www.gilson.com/worldwide-distributors ; https://www.gilson.com/default/about/our-company.html ; https://ornat.co.il/category/instruments/pipettes/ ; http://www.tamar.co.il/plasticware-gloves/tubes-tips/gel-loading-tips/ ; https://www.thomassci.com/scientific-supplies/Pipetman ; https://agentek.co.il/vendors/</t>
        </is>
      </c>
    </row>
    <row r="86">
      <c r="A86" s="2" t="n">
        <v>85</v>
      </c>
      <c r="B86" s="2" t="inlineStr">
        <is>
          <t>INTEGRA Biosciences</t>
        </is>
      </c>
      <c r="C86" s="2" t="inlineStr">
        <is>
          <t>INTEGRA, VIAFLO, VOYAGER, ASSIST PLUS, VACUSAFE, MEDIACLAVE</t>
        </is>
      </c>
      <c r="D86" s="2" t="inlineStr">
        <is>
          <t>Zizers</t>
        </is>
      </c>
      <c r="E86" s="2" t="inlineStr">
        <is>
          <t>Switzerland</t>
        </is>
      </c>
      <c r="F86" s="2" t="inlineStr"/>
      <c r="G86" s="2" t="inlineStr">
        <is>
          <t>Private</t>
        </is>
      </c>
      <c r="H86" s="2" t="n">
        <v>1965</v>
      </c>
      <c r="I86" s="2" t="inlineStr">
        <is>
          <t>https://www.integra-biosciences.com</t>
        </is>
      </c>
      <c r="J86" s="2" t="inlineStr">
        <is>
          <t>Liquid handling &amp; lab automation</t>
        </is>
      </c>
      <c r="K86" s="3" t="n">
        <v>1000</v>
      </c>
      <c r="L86" s="2" t="n">
        <v>2024</v>
      </c>
      <c r="M86" s="2" t="inlineStr">
        <is>
          <t>estimate</t>
        </is>
      </c>
      <c r="N86" s="2" t="inlineStr">
        <is>
          <t>INTEGRA states roughly 1,000 employees (recalled, unverified).</t>
        </is>
      </c>
      <c r="O86" s="2" t="inlineStr">
        <is>
          <t>CHF ~250 million (trade estimate; private)</t>
        </is>
      </c>
      <c r="P86" s="3" t="n">
        <v>290</v>
      </c>
      <c r="Q86" s="2" t="inlineStr">
        <is>
          <t>2024 (estimate)</t>
        </is>
      </c>
      <c r="R86" s="2" t="inlineStr">
        <is>
          <t>estimate</t>
        </is>
      </c>
      <c r="S86" s="2" t="inlineStr">
        <is>
          <t>INTEGRA (Zizers) is privately held; order-of-magnitude estimate. Figures recalled from company statements / filings and not re-verified online in this session.</t>
        </is>
      </c>
      <c r="T86" s="2" t="inlineStr">
        <is>
          <t>estimate</t>
        </is>
      </c>
      <c r="U86" s="2" t="inlineStr">
        <is>
          <t>VIAFLO / VOYAGER — electronic single- and multichannel pipettes</t>
        </is>
      </c>
      <c r="V86" s="2" t="inlineStr">
        <is>
          <t>ASSIST PLUS — benchtop pipetting robot for electronic pipettes</t>
        </is>
      </c>
      <c r="W86" s="2" t="inlineStr">
        <is>
          <t>VACUSAFE / MEDIACLAVE — aspiration system and media sterilizer/preparator</t>
        </is>
      </c>
      <c r="X86" s="2" t="inlineStr">
        <is>
          <t>distributor</t>
        </is>
      </c>
      <c r="Y86" s="2" t="inlineStr">
        <is>
          <t>מפיץ / נציג ישראלי</t>
        </is>
      </c>
      <c r="Z86" s="2" t="inlineStr">
        <is>
          <t>verified</t>
        </is>
      </c>
      <c r="AA86" s="2" t="inlineStr">
        <is>
          <t>אומת ממקור</t>
        </is>
      </c>
      <c r="AB86" s="2" t="inlineStr">
        <is>
          <t>Medent - Scientific Equipment Ltd. [מפיץ; INTEGRA liquid-handling products (VIAFLO, ASSIST PLUS, VACUSAFE etc.) - listed as INTEGRA's distributor for Israel, Beer Sheva 84206]</t>
        </is>
      </c>
      <c r="AC86" s="2" t="inlineStr">
        <is>
          <t>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D86" s="2" t="inlineStr">
        <is>
          <t>high</t>
        </is>
      </c>
      <c r="AE86" s="2" t="inlineStr">
        <is>
          <t>Israel finding only: named on the manufacturer's official distributor page.</t>
        </is>
      </c>
      <c r="AF86" s="2" t="inlineStr">
        <is>
          <t>https://www.integra-biosciences.com/global/en/where-buy ; https://www.integra-biosciences.com/united-kingdom/en/where-buy?field_distributor_country_target_id=All&amp;page=7 ; https://www.integra-biosciences.com/global/en/support/contacts</t>
        </is>
      </c>
    </row>
    <row r="87">
      <c r="A87" s="2" t="n">
        <v>86</v>
      </c>
      <c r="B87" s="2" t="inlineStr">
        <is>
          <t>BMG LABTECH</t>
        </is>
      </c>
      <c r="C87" s="2" t="inlineStr">
        <is>
          <t>BMG Labtech, CLARIOstar, PHERAstar, FLUOstar Omega</t>
        </is>
      </c>
      <c r="D87" s="2" t="inlineStr">
        <is>
          <t>Ortenberg</t>
        </is>
      </c>
      <c r="E87" s="2" t="inlineStr">
        <is>
          <t>Germany</t>
        </is>
      </c>
      <c r="F87" s="2" t="inlineStr"/>
      <c r="G87" s="2" t="inlineStr">
        <is>
          <t>Private</t>
        </is>
      </c>
      <c r="H87" s="2" t="n">
        <v>1989</v>
      </c>
      <c r="I87" s="2" t="inlineStr">
        <is>
          <t>https://www.bmglabtech.com</t>
        </is>
      </c>
      <c r="J87" s="2" t="inlineStr">
        <is>
          <t>Microplate readers &amp; detection</t>
        </is>
      </c>
      <c r="K87" s="3" t="n">
        <v>300</v>
      </c>
      <c r="L87" s="2" t="n">
        <v>2024</v>
      </c>
      <c r="M87" s="2" t="inlineStr">
        <is>
          <t>estimate</t>
        </is>
      </c>
      <c r="N87" s="2" t="inlineStr">
        <is>
          <t>Roughly 300 employees worldwide (recalled, unverified).</t>
        </is>
      </c>
      <c r="O87" s="2" t="inlineStr">
        <is>
          <t>EUR ~70 million (trade estimate; private)</t>
        </is>
      </c>
      <c r="P87" s="3" t="n">
        <v>77</v>
      </c>
      <c r="Q87" s="2" t="inlineStr">
        <is>
          <t>2024 (estimate)</t>
        </is>
      </c>
      <c r="R87" s="2" t="inlineStr">
        <is>
          <t>estimate</t>
        </is>
      </c>
      <c r="S87" s="2" t="inlineStr">
        <is>
          <t>BMG LABTECH (Ortenberg) is family-owned; order-of-magnitude estimate. Figures recalled from company statements / filings and not re-verified online in this session.</t>
        </is>
      </c>
      <c r="T87" s="2" t="inlineStr">
        <is>
          <t>estimate</t>
        </is>
      </c>
      <c r="U87" s="2" t="inlineStr">
        <is>
          <t>CLARIOstar Plus — monochromator-based multi-mode microplate reader</t>
        </is>
      </c>
      <c r="V87" s="2" t="inlineStr">
        <is>
          <t>PHERAstar FSX — high-throughput screening multi-mode plate reader</t>
        </is>
      </c>
      <c r="W87" s="2" t="inlineStr">
        <is>
          <t>Omega series (FLUOstar / POLARstar / SPECTROstar Nano) — filter-based and absorbance microplate readers</t>
        </is>
      </c>
      <c r="X87" s="2" t="inlineStr">
        <is>
          <t>distributor</t>
        </is>
      </c>
      <c r="Y87" s="2" t="inlineStr">
        <is>
          <t>מפיץ / נציג ישראלי</t>
        </is>
      </c>
      <c r="Z87" s="2" t="inlineStr">
        <is>
          <t>verified</t>
        </is>
      </c>
      <c r="AA87" s="2" t="inlineStr">
        <is>
          <t>אומת ממקור</t>
        </is>
      </c>
      <c r="AB87" s="2" t="inlineStr">
        <is>
          <t>Zotal Ltd. [מפיץ; BMG LABTECH microplate readers (CLARIOstar, PHERAstar etc.) - listed as BMG's Israel sales &amp; support contact, 4 Habarzel St., Tel Aviv 69710, sales@zotal.co.il]</t>
        </is>
      </c>
      <c r="AC87" s="2" t="inlineStr">
        <is>
          <t>Searched '"BMG LABTECH" Israel distributor/נציג/יבואן', the 29 Israeli distributor domains and bmglabtech.com. BMG LABTECH's 'Sales &amp; Support Offices' page lists Zotal Ltd. (Tel Aviv) as the Israel contact, and Zotal's own site has a BMG LABTECH brand page plus microplate-reader product pages (luminescence, fluorescence polarization, TR-FRET, AlphaScreen, LVF monochromator). BMG has no Israeli subsidiary; its own offices are in Germany, USA, UK, Australia, Japan and France. No caveats beyond BMG's page not labelling Zotal explicitly as 'distributor' versus office.</t>
        </is>
      </c>
      <c r="AD87" s="2" t="inlineStr">
        <is>
          <t>high</t>
        </is>
      </c>
      <c r="AE87" s="2" t="inlineStr">
        <is>
          <t>Israel finding only: confirmed on both the manufacturer's and the distributor's sites.</t>
        </is>
      </c>
      <c r="AF87" s="2" t="inlineStr">
        <is>
          <t>https://www.bmglabtech.com/en/sales-and-support-offices/ ; https://www.zotal.co.il/product_brands/bmg-labtech/ ; http://www.zotal.co.il/products/life-sciences/cell-biology-instrumentation/microplate-readers/luminometers-0 ; https://www.bmglabtech.com/en/sales-and-support/</t>
        </is>
      </c>
    </row>
    <row r="88">
      <c r="A88" s="2" t="n">
        <v>87</v>
      </c>
      <c r="B88" s="2" t="inlineStr">
        <is>
          <t>Repligen</t>
        </is>
      </c>
      <c r="C88" s="2" t="inlineStr">
        <is>
          <t>TangenX, Spectrum Labs (KrosFlo), CTech / C Technologies, ARTeSYN, Avitide, Metenova, Tantti, OPUS</t>
        </is>
      </c>
      <c r="D88" s="2" t="inlineStr">
        <is>
          <t>Waltham, Massachusetts</t>
        </is>
      </c>
      <c r="E88" s="2" t="inlineStr">
        <is>
          <t>USA</t>
        </is>
      </c>
      <c r="F88" s="2" t="inlineStr"/>
      <c r="G88" s="2" t="inlineStr">
        <is>
          <t>Public (NASDAQ: RGEN)</t>
        </is>
      </c>
      <c r="H88" s="2" t="n">
        <v>1981</v>
      </c>
      <c r="I88" s="2" t="inlineStr">
        <is>
          <t>https://www.repligen.com</t>
        </is>
      </c>
      <c r="J88" s="2" t="inlineStr">
        <is>
          <t>Bioprocess &amp; filtration</t>
        </is>
      </c>
      <c r="K88" s="3" t="n">
        <v>1900</v>
      </c>
      <c r="L88" s="2" t="n">
        <v>2024</v>
      </c>
      <c r="M88" s="2" t="inlineStr">
        <is>
          <t>company</t>
        </is>
      </c>
      <c r="N88" s="2" t="inlineStr">
        <is>
          <t>Approx. 1,900 employees as recalled from Repligen's FY2024 Form 10-K; could not be re-verified this run (WebFetch/proxy unavailable), so treat as approximate.</t>
        </is>
      </c>
      <c r="O88" s="2" t="inlineStr">
        <is>
          <t>USD 634.5 million (recalled, unverified this run)</t>
        </is>
      </c>
      <c r="P88" s="3" t="n">
        <v>634.5</v>
      </c>
      <c r="Q88" s="2" t="inlineStr">
        <is>
          <t>FY2024</t>
        </is>
      </c>
      <c r="R88" s="2" t="inlineStr">
        <is>
          <t>company</t>
        </is>
      </c>
      <c r="S88" s="2" t="inlineStr">
        <is>
          <t>FY2024 10-K figure (recalled; FY2025 revenue was guided at roughly USD 700M). Figures recalled from company statements / filings and not re-verified online in this session.</t>
        </is>
      </c>
      <c r="T88" s="2" t="inlineStr">
        <is>
          <t>reported</t>
        </is>
      </c>
      <c r="U88" s="2" t="inlineStr">
        <is>
          <t>XCell ATF — alternating tangential flow cell-retention systems</t>
        </is>
      </c>
      <c r="V88" s="2" t="inlineStr">
        <is>
          <t>OPUS pre-packed columns — ready-to-use chromatography columns</t>
        </is>
      </c>
      <c r="W88" s="2" t="inlineStr">
        <is>
          <t>CTech FlowVPX / SoloVPE — variable-pathlength UV concentration analytics</t>
        </is>
      </c>
      <c r="X88" s="2" t="inlineStr">
        <is>
          <t>none_found</t>
        </is>
      </c>
      <c r="Y88" s="2" t="inlineStr">
        <is>
          <t>לא נמצא ייצוג</t>
        </is>
      </c>
      <c r="Z88" s="2" t="inlineStr">
        <is>
          <t>partial</t>
        </is>
      </c>
      <c r="AA88" s="2" t="inlineStr">
        <is>
          <t>חיפוש חלקי (ללא פתיחת אתרי היצרן/המפיץ)</t>
        </is>
      </c>
      <c r="AB88" s="2" t="inlineStr"/>
      <c r="AC88" s="2" t="inlineStr">
        <is>
          <t>חיפוש רשת בלבד; דפי ״מפיצים״ של היצרן ואתרי המפיצים לא נפתחו (חסימת רשת). Searched '"Repligen" Israel distributor/נציג/יבואן', the 29 Israeli distributor domains, repligen.com and an extended 'Repligen Israel distributor XCell ATF/OPUS/TangenX' query. Repligen states it sells through a direct commercial organization in the US, Europe and Asia plus strategic partners and distributors in select markets, and its distributor page gives no readable country list; no Israeli distributor site mentions Repligen or its product lines, and its FY2023 annual report mentions distribution agreements only for the ligands business (Cytiva, MilliporeSigma, Purolite). Result: no Israeli entity identified; Israel is most likely served directly from Repligen Europe B.V. or an unnamed partner, which could not be confirmed.</t>
        </is>
      </c>
      <c r="AD88" s="2" t="inlineStr">
        <is>
          <t>low</t>
        </is>
      </c>
      <c r="AE88" s="2" t="inlineStr">
        <is>
          <t>No Israeli entity found; absence of evidence only.</t>
        </is>
      </c>
      <c r="AF88" s="2" t="inlineStr">
        <is>
          <t>https://repligen.com/company/distributors ; https://www.repligen.com/support/contact-overview ; https://store.repligen.com/ ; https://www.sec.gov/Archives/edgar/data/730272/000119312524083464/d803642dars.pdf</t>
        </is>
      </c>
    </row>
    <row r="89">
      <c r="A89" s="2" t="n">
        <v>88</v>
      </c>
      <c r="B89" s="2" t="inlineStr">
        <is>
          <t>ZwickRoell</t>
        </is>
      </c>
      <c r="C89" s="2" t="inlineStr">
        <is>
          <t>Zwick, Roell, Zwick Roell, Indentec, ZwickRoell Group</t>
        </is>
      </c>
      <c r="D89" s="2" t="inlineStr">
        <is>
          <t>Ulm</t>
        </is>
      </c>
      <c r="E89" s="2" t="inlineStr">
        <is>
          <t>Germany</t>
        </is>
      </c>
      <c r="F89" s="2" t="inlineStr"/>
      <c r="G89" s="2" t="inlineStr">
        <is>
          <t>Private (family-owned)</t>
        </is>
      </c>
      <c r="H89" s="2" t="n">
        <v>1854</v>
      </c>
      <c r="I89" s="2" t="inlineStr">
        <is>
          <t>https://www.zwickroell.com</t>
        </is>
      </c>
      <c r="J89" s="2" t="inlineStr">
        <is>
          <t>Thermal analysis &amp; materials testing</t>
        </is>
      </c>
      <c r="K89" s="3" t="n">
        <v>1900</v>
      </c>
      <c r="L89" s="2" t="n">
        <v>2024</v>
      </c>
      <c r="M89" s="2" t="inlineStr">
        <is>
          <t>estimate</t>
        </is>
      </c>
      <c r="N89" s="2" t="inlineStr">
        <is>
          <t>ZwickRoell group cites ~1,900-2,000 employees (recalled, unverified).</t>
        </is>
      </c>
      <c r="O89" s="2" t="inlineStr">
        <is>
          <t>EUR ~300 million (group, trade estimate; private)</t>
        </is>
      </c>
      <c r="P89" s="3" t="n">
        <v>330</v>
      </c>
      <c r="Q89" s="2" t="inlineStr">
        <is>
          <t>2024 (estimate)</t>
        </is>
      </c>
      <c r="R89" s="2" t="inlineStr">
        <is>
          <t>estimate</t>
        </is>
      </c>
      <c r="S89" s="2" t="inlineStr">
        <is>
          <t>ZwickRoell (Ulm) is family-owned; group revenue around EUR 300M per its own press material. Figures recalled from company statements / filings and not re-verified online in this session.</t>
        </is>
      </c>
      <c r="T89" s="2" t="inlineStr">
        <is>
          <t>estimate</t>
        </is>
      </c>
      <c r="U89" s="2" t="inlineStr">
        <is>
          <t>AllroundLine / ProLine (Z-series) — universal static materials testing machines</t>
        </is>
      </c>
      <c r="V89" s="2" t="inlineStr">
        <is>
          <t>testXpert III — materials testing software platform</t>
        </is>
      </c>
      <c r="W89" s="2" t="inlineStr">
        <is>
          <t>HIT pendulum impact testers &amp; ZHU/DuraScan hardness testers — impact and hardness testing instruments</t>
        </is>
      </c>
      <c r="X89" s="2" t="inlineStr">
        <is>
          <t>distributor</t>
        </is>
      </c>
      <c r="Y89" s="2" t="inlineStr">
        <is>
          <t>מפיץ / נציג ישראלי</t>
        </is>
      </c>
      <c r="Z89" s="2" t="inlineStr">
        <is>
          <t>verified</t>
        </is>
      </c>
      <c r="AA89" s="2" t="inlineStr">
        <is>
          <t>אומת ממקור</t>
        </is>
      </c>
      <c r="AB89" s="2" t="inlineStr">
        <is>
          <t>GLOBUS Technical Equipment Ltd. [מפיץ; ZwickRoell sales partner for Israel (materials testing machines); Kadima Industrial Zone]</t>
        </is>
      </c>
      <c r="AC89" s="2" t="inlineStr">
        <is>
          <t>Searched the brand generically (English/Hebrew), across 27 Israeli lab-distributor domains, on zwickroell.com and for the partner's own name. ZwickRoell's own 'Locations around the world' page names GLOBUS Technical Equipment Ltd. in the Kadima Industrial Zone as its Israeli partner (phone number and contact form). No website for Globus was found and it does not appear on any of the usual Israeli lab-distributor sites, so it is an industrial/technical-equipment agent rather than a lab-supply house.</t>
        </is>
      </c>
      <c r="AD89" s="2" t="inlineStr">
        <is>
          <t>high</t>
        </is>
      </c>
      <c r="AE89" s="2" t="inlineStr">
        <is>
          <t>Israeli partner named on the manufacturer's official locations page; only the partner's website could not be located.</t>
        </is>
      </c>
      <c r="AF89" s="2" t="inlineStr">
        <is>
          <t>https://www.zwickroell.com/company/locations-around-the-world/ ; https://www.zwickroell.com/contact/ ; https://www.zwickroell.com/fr-fr/about-us</t>
        </is>
      </c>
    </row>
    <row r="90">
      <c r="A90" s="2" t="n">
        <v>89</v>
      </c>
      <c r="B90" s="2" t="inlineStr">
        <is>
          <t>Kewaunee Scientific</t>
        </is>
      </c>
      <c r="C90" s="2" t="inlineStr">
        <is>
          <t>Kewaunee, Nu Aire / NuAire (subsidiary since Nov 2024), Kewaunee Labway India</t>
        </is>
      </c>
      <c r="D90" s="2" t="inlineStr">
        <is>
          <t>Statesville, North Carolina</t>
        </is>
      </c>
      <c r="E90" s="2" t="inlineStr">
        <is>
          <t>USA</t>
        </is>
      </c>
      <c r="F90" s="2" t="inlineStr"/>
      <c r="G90" s="2" t="inlineStr">
        <is>
          <t>Public (NASDAQ: KEQU)</t>
        </is>
      </c>
      <c r="H90" s="2" t="n">
        <v>1906</v>
      </c>
      <c r="I90" s="2" t="inlineStr">
        <is>
          <t>https://www.kewaunee.com</t>
        </is>
      </c>
      <c r="J90" s="2" t="inlineStr">
        <is>
          <t>Lab furniture &amp; fume hoods</t>
        </is>
      </c>
      <c r="K90" s="3" t="n">
        <v>2800</v>
      </c>
      <c r="L90" s="2" t="n">
        <v>2025</v>
      </c>
      <c r="M90" s="2" t="inlineStr">
        <is>
          <t>estimate</t>
        </is>
      </c>
      <c r="N90" s="2" t="inlineStr">
        <is>
          <t>Roughly 2,800 employees incl. India operations and Nu Aire (acquired Nov 2024); recalled, unverified.</t>
        </is>
      </c>
      <c r="O90" s="2" t="inlineStr">
        <is>
          <t>USD ~246 million</t>
        </is>
      </c>
      <c r="P90" s="3" t="n">
        <v>246</v>
      </c>
      <c r="Q90" s="2" t="inlineStr">
        <is>
          <t>FY2025 (ended Apr-2025)</t>
        </is>
      </c>
      <c r="R90" s="2" t="inlineStr">
        <is>
          <t>company</t>
        </is>
      </c>
      <c r="S90" s="2" t="inlineStr">
        <is>
          <t>FY2025 (fiscal year ended April 30, 2025) net sales of roughly USD 246 million as recalled from Kewaunee's FY2025 10-K/earnings release (includes Nu Aire from Nov 2024); FY2026 results (reported mid-2026) could not be retrieved. Flagged 'estimate' because it could not be re-verified against a source this run.</t>
        </is>
      </c>
      <c r="T90" s="2" t="inlineStr">
        <is>
          <t>mixed</t>
        </is>
      </c>
      <c r="U90" s="2" t="inlineStr">
        <is>
          <t>Supreme Air fume hoods — low-velocity / high-performance laboratory fume hoods</t>
        </is>
      </c>
      <c r="V90" s="2" t="inlineStr">
        <is>
          <t>Evolution / Research Collection casework — adaptable steel and wood laboratory furniture</t>
        </is>
      </c>
      <c r="W90" s="2" t="inlineStr">
        <is>
          <t>NuAire biosafety cabinets (LabGard) — Class II biological safety cabinets (NuAire subsidiary)</t>
        </is>
      </c>
      <c r="X90" s="2" t="inlineStr">
        <is>
          <t>none_found</t>
        </is>
      </c>
      <c r="Y90" s="2" t="inlineStr">
        <is>
          <t>לא נמצא ייצוג</t>
        </is>
      </c>
      <c r="Z90" s="2" t="inlineStr">
        <is>
          <t>partial</t>
        </is>
      </c>
      <c r="AA90" s="2" t="inlineStr">
        <is>
          <t>חיפוש חלקי (ללא פתיחת אתרי היצרן/המפיץ)</t>
        </is>
      </c>
      <c r="AB90" s="2" t="inlineStr"/>
      <c r="AC90" s="2" t="inlineStr">
        <is>
          <t>חיפוש רשת בלבד; דפי ״מפיצים״ של היצרן ואתרי המפיצים לא נפתחו (חסימת רשת). Searched generic English/Hebrew queries, 27 Israeli distributor domains, kewaunee.com and nuaire.com, a NuAire-Israel query and Israeli lab-furniture tender documents. Nothing names an Israeli dealer: Kewaunee lists sales offices only in the USA, India, Saudi Arabia and Singapore; its FY2026 annual report says 28% of revenue comes from outside the USA and that Nu Aire added distribution partners in new regions without naming them; a D&amp;B profile says the Singapore/India subsidiaries cover Asia and the Middle East. NuAire's site shows only an 'Israel outlet (Type H)' plug option. Israel is therefore most likely served, if at all, from the Singapore/India/Saudi offices; no Israeli dealer could be identified.</t>
        </is>
      </c>
      <c r="AD90" s="2" t="inlineStr">
        <is>
          <t>medium</t>
        </is>
      </c>
      <c r="AE90" s="2" t="inlineStr">
        <is>
          <t>Five searches including the manufacturer's own site and the Nu Aire subsidiary found no Israeli entity; absence is well supported but a small dealer could still exist offline.</t>
        </is>
      </c>
      <c r="AF90" s="2" t="inlineStr">
        <is>
          <t>https://kewaunee.com/about/ ; https://kewaunee.com/wp-content/uploads/2026/07/FY26-Annual-Report-R062026-Web-FINAL.pdf ; https://www.dnb.com/business-directory/company-profiles.kewaunee_scientific_corporation.a3375a4cdcfa0bc54d035b8604567ee1.html ; https://www.nuaire.com/ ; https://nuaire.com/products/biosafety-cabinets/labgard-nu-560-class-ii-type-b2-biosafety-cabinet</t>
        </is>
      </c>
    </row>
    <row r="91">
      <c r="A91" s="2" t="n">
        <v>90</v>
      </c>
      <c r="B91" s="2" t="inlineStr">
        <is>
          <t>WALDNER Laboreinrichtungen</t>
        </is>
      </c>
      <c r="C91" s="2" t="inlineStr">
        <is>
          <t>WALDNER, Waldner Group (Hermann WALDNER GmbH &amp; Co. KG, WALDNER Dosomat, Hohenloher Spezialmöbelwerk)</t>
        </is>
      </c>
      <c r="D91" s="2" t="inlineStr">
        <is>
          <t>Wangen im Allgäu</t>
        </is>
      </c>
      <c r="E91" s="2" t="inlineStr">
        <is>
          <t>Germany</t>
        </is>
      </c>
      <c r="F91" s="2" t="inlineStr">
        <is>
          <t>WALDNER Group (Hermann WALDNER GmbH &amp; Co. KG)</t>
        </is>
      </c>
      <c r="G91" s="2" t="inlineStr">
        <is>
          <t>Private (family-owned)</t>
        </is>
      </c>
      <c r="H91" s="2" t="n">
        <v>1908</v>
      </c>
      <c r="I91" s="2" t="inlineStr">
        <is>
          <t>https://www.waldner.de</t>
        </is>
      </c>
      <c r="J91" s="2" t="inlineStr">
        <is>
          <t>Lab furniture &amp; fume hoods</t>
        </is>
      </c>
      <c r="K91" s="3" t="n">
        <v>1300</v>
      </c>
      <c r="L91" s="2" t="n">
        <v>2024</v>
      </c>
      <c r="M91" s="2" t="inlineStr">
        <is>
          <t>estimate</t>
        </is>
      </c>
      <c r="N91" s="2" t="inlineStr">
        <is>
          <t>WALDNER group ~1,300 employees (recalled, unverified).</t>
        </is>
      </c>
      <c r="O91" s="2" t="inlineStr">
        <is>
          <t>EUR ~200 million (group, trade estimate; private)</t>
        </is>
      </c>
      <c r="P91" s="3" t="n">
        <v>220</v>
      </c>
      <c r="Q91" s="2" t="inlineStr">
        <is>
          <t>2024 (estimate)</t>
        </is>
      </c>
      <c r="R91" s="2" t="inlineStr">
        <is>
          <t>estimate</t>
        </is>
      </c>
      <c r="S91" s="2" t="inlineStr">
        <is>
          <t>WALDNER (Wangen im Allgäu) is family-owned; order-of-magnitude estimate. Figures recalled from company statements / filings and not re-verified online in this session.</t>
        </is>
      </c>
      <c r="T91" s="2" t="inlineStr">
        <is>
          <t>estimate</t>
        </is>
      </c>
      <c r="U91" s="2" t="inlineStr">
        <is>
          <t>SCALA — modular laboratory furniture system</t>
        </is>
      </c>
      <c r="V91" s="2" t="inlineStr">
        <is>
          <t>SECUFLOW — energy-saving laboratory fume hoods</t>
        </is>
      </c>
      <c r="W91" s="2" t="inlineStr">
        <is>
          <t>Media ceilings &amp; service modules — ceiling-mounted lab utility supply systems</t>
        </is>
      </c>
      <c r="X91" s="2" t="inlineStr">
        <is>
          <t>none_found</t>
        </is>
      </c>
      <c r="Y91" s="2" t="inlineStr">
        <is>
          <t>לא נמצא ייצוג</t>
        </is>
      </c>
      <c r="Z91" s="2" t="inlineStr">
        <is>
          <t>partial</t>
        </is>
      </c>
      <c r="AA91" s="2" t="inlineStr">
        <is>
          <t>חיפוש חלקי (ללא פתיחת אתרי היצרן/המפיץ)</t>
        </is>
      </c>
      <c r="AB91" s="2" t="inlineStr"/>
      <c r="AC91" s="2" t="inlineStr">
        <is>
          <t>חיפוש רשת בלבד; דפי ״מפיצים״ של היצרן ואתרי המפיצים לא נפתחו (חסימת רשת). Searched generic English/Hebrew queries, 27 Israeli distributor domains, waldner.de (worldwide/company pages), a Hebrew lab-furniture query and Israeli tender documents (HUJI 2026 lab-furniture framework tender, TAU). Waldner's 'Worldwide' page describes 13 subsidiaries and more than 100 branches and partners (Singapore and USA offices appear in snippets) but no Israeli partner surfaced, and no Israeli distributor site lists the brand (Labotal and Lumitron sell Labconco/Faster hoods instead). Caveat: only search snippets of the Waldner worldwide page were visible, so an Israel entry on the full partner list cannot be excluded.</t>
        </is>
      </c>
      <c r="AD91" s="2" t="inlineStr">
        <is>
          <t>medium</t>
        </is>
      </c>
      <c r="AE91" s="2" t="inlineStr">
        <is>
          <t>No Israeli entity in five searches including the manufacturer's worldwide page; the full partner list itself was not readable.</t>
        </is>
      </c>
      <c r="AF91" s="2" t="inlineStr">
        <is>
          <t>https://www.waldner.de/en/about-us/company/worldwide/ ; https://www.waldner.de/en/about-us/company/ ; https://2024.minexasia.com/exhibitors/waldner/ ; https://tenders.huji.ac.il/wp-content/uploads/2026/07/מכרז-מסגרת-ריהוט-מעבדתי-מסמכי-מכרז.pdf</t>
        </is>
      </c>
    </row>
    <row r="92">
      <c r="A92" s="2" t="n">
        <v>91</v>
      </c>
      <c r="B92" s="2" t="inlineStr">
        <is>
          <t>DWK Life Sciences</t>
        </is>
      </c>
      <c r="C92" s="2" t="inlineStr">
        <is>
          <t>DURAN, WHEATON, KIMBLE, KIMAX; formed from Duran Group, Wheaton Industries and Kimble Chase</t>
        </is>
      </c>
      <c r="D92" s="2" t="inlineStr">
        <is>
          <t>Mainz (sources also cite Wertheim; US headquarters Millville, New Jersey)</t>
        </is>
      </c>
      <c r="E92" s="2" t="inlineStr">
        <is>
          <t>Germany</t>
        </is>
      </c>
      <c r="F92" s="2" t="inlineStr">
        <is>
          <t>One Equity Partners (portfolio company)</t>
        </is>
      </c>
      <c r="G92" s="2" t="inlineStr">
        <is>
          <t>Private equity (One Equity Partners)</t>
        </is>
      </c>
      <c r="H92" s="2" t="n">
        <v>2017</v>
      </c>
      <c r="I92" s="2" t="inlineStr">
        <is>
          <t>https://www.dwk.com</t>
        </is>
      </c>
      <c r="J92" s="2" t="inlineStr">
        <is>
          <t>Labware &amp; consumables (plastic &amp; glass)</t>
        </is>
      </c>
      <c r="K92" s="3" t="n">
        <v>1800</v>
      </c>
      <c r="L92" s="2" t="n">
        <v>2025</v>
      </c>
      <c r="M92" s="2" t="inlineStr">
        <is>
          <t>company</t>
        </is>
      </c>
      <c r="N92" s="2" t="inlineStr">
        <is>
          <t>'Over 1,800 employees worldwide' per DWK's own careers page (current); 12 manufacturing sites, presence in 50+ countries (ChromatographyToday profile). Third-party directories give 470-1,900.</t>
        </is>
      </c>
      <c r="O92" s="2" t="inlineStr">
        <is>
          <t>USD 105.7 million</t>
        </is>
      </c>
      <c r="P92" s="3" t="n">
        <v>106</v>
      </c>
      <c r="Q92" s="2" t="inlineStr">
        <is>
          <t>FY2023</t>
        </is>
      </c>
      <c r="R92" s="2" t="inlineStr">
        <is>
          <t>estimate</t>
        </is>
      </c>
      <c r="S92" s="2" t="inlineStr">
        <is>
          <t>Preqin database figure (revenue c. USD 105.72M, EBITDA c. USD 11.51M, 2023); scope unclear and probably a single legal entity rather than the whole group. Other third-party estimates range from USD 50-100M (Seamless.AI), USD 101.8M (RocketReach) to USD 350M (Prospeo). No company-published revenue found.</t>
        </is>
      </c>
      <c r="T92" s="2" t="inlineStr">
        <is>
          <t>mixed</t>
        </is>
      </c>
      <c r="U92" s="2" t="inlineStr">
        <is>
          <t>DURAN laboratory glass bottles — GL 45 borosilicate 3.3 bottles &amp; lab glassware</t>
        </is>
      </c>
      <c r="V92" s="2" t="inlineStr">
        <is>
          <t>WHEATON vials &amp; serum bottles — glass vials, serum bottles, packaging</t>
        </is>
      </c>
      <c r="W92" s="2" t="inlineStr">
        <is>
          <t>KIMBLE KIMAX glassware — volumetric &amp; general laboratory glassware</t>
        </is>
      </c>
      <c r="X92" s="2" t="inlineStr">
        <is>
          <t>none_found</t>
        </is>
      </c>
      <c r="Y92" s="2" t="inlineStr">
        <is>
          <t>לא נמצא ייצוג</t>
        </is>
      </c>
      <c r="Z92" s="2" t="inlineStr">
        <is>
          <t>partial</t>
        </is>
      </c>
      <c r="AA92" s="2" t="inlineStr">
        <is>
          <t>חיפוש חלקי (ללא פתיחת אתרי היצרן/המפיץ)</t>
        </is>
      </c>
      <c r="AB92" s="2" t="inlineStr"/>
      <c r="AC92" s="2" t="inlineStr">
        <is>
          <t>חיפוש רשת בלבד; דפי ״מפיצים״ של היצרן ואתרי המפיצים לא נפתחו (חסימת רשת). Searched: '"DWK Life Sciences" Israel distributor' and Hebrew 'DWK DURAN WHEATON KIMBLE יבואן ישראל'. No Israeli distributor, representative or office was named in any result; an undated Israeli Chamber of Commerce listing (2018) of a medical-device distributor appeared but was not tied to DWK. DWK sells through regional distributors (e.g. REATORG in Russia).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is>
      </c>
      <c r="AD92" s="2" t="inlineStr">
        <is>
          <t>low</t>
        </is>
      </c>
      <c r="AE92" s="2" t="inlineStr">
        <is>
          <t>Headcount from company page; revenue only from conflicting third-party databases; Israeli channel not established (manufacturer page could not be opened).</t>
        </is>
      </c>
      <c r="AF92" s="2" t="inlineStr">
        <is>
          <t>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t>
        </is>
      </c>
    </row>
    <row r="93">
      <c r="A93" s="2" t="n">
        <v>92</v>
      </c>
      <c r="B93" s="2" t="inlineStr">
        <is>
          <t>Greiner Bio-One</t>
        </is>
      </c>
      <c r="C93" s="2" t="inlineStr">
        <is>
          <t>Greiner Bio-One International GmbH; VACUETTE, CELLSTAR, Sapphire, µClear; formerly Greiner Labortechnik</t>
        </is>
      </c>
      <c r="D93" s="2" t="inlineStr">
        <is>
          <t>Kremsmünster</t>
        </is>
      </c>
      <c r="E93" s="2" t="inlineStr">
        <is>
          <t>Austria</t>
        </is>
      </c>
      <c r="F93" s="2" t="inlineStr">
        <is>
          <t>Greiner AG</t>
        </is>
      </c>
      <c r="G93" s="2" t="inlineStr">
        <is>
          <t>Subsidiary of Greiner AG (private, family-owned)</t>
        </is>
      </c>
      <c r="H93" s="2" t="n">
        <v>1963</v>
      </c>
      <c r="I93" s="2" t="inlineStr">
        <is>
          <t>https://www.gbo.com</t>
        </is>
      </c>
      <c r="J93" s="2" t="inlineStr">
        <is>
          <t>Labware &amp; consumables (plastic &amp; glass)</t>
        </is>
      </c>
      <c r="K93" s="3" t="n">
        <v>2624</v>
      </c>
      <c r="L93" s="2" t="n">
        <v>2024</v>
      </c>
      <c r="M93" s="2" t="inlineStr">
        <is>
          <t>company</t>
        </is>
      </c>
      <c r="N93" s="2" t="inlineStr">
        <is>
          <t>Greiner Bio-One division: 29 locations and 2,624 employees in 2024 (Greiner AG 2024 results release). Greiner AG group: 10,242 employees in 2025 (10,318 in 2024). Division headcount for 2025 not found.</t>
        </is>
      </c>
      <c r="O93" s="2" t="inlineStr">
        <is>
          <t>EUR 637 million</t>
        </is>
      </c>
      <c r="P93" s="3" t="n">
        <v>701</v>
      </c>
      <c r="Q93" s="2" t="inlineStr">
        <is>
          <t>FY2025</t>
        </is>
      </c>
      <c r="R93" s="2" t="inlineStr">
        <is>
          <t>segment</t>
        </is>
      </c>
      <c r="S93" s="2" t="inlineStr">
        <is>
          <t>Greiner Bio-One division sales c. EUR 637M in 2025, down from EUR 666M in 2024 (+4.5% that year), per Greiner AG financial-year 2025 release; cites regulatory requirements and slower growth in core markets, especially the USA. Greiner Mediscan to be run as an independent division from 2026.</t>
        </is>
      </c>
      <c r="T93" s="2" t="inlineStr">
        <is>
          <t>reported</t>
        </is>
      </c>
      <c r="U93" s="2" t="inlineStr">
        <is>
          <t>VACUETTE — evacuated blood collection tubes &amp; safety needles</t>
        </is>
      </c>
      <c r="V93" s="2" t="inlineStr">
        <is>
          <t>CELLSTAR — cell culture flasks, dishes &amp; plates</t>
        </is>
      </c>
      <c r="W93" s="2" t="inlineStr">
        <is>
          <t>Sapphire tips &amp; µClear microplates — pipette tips, PCR &amp; assay microplates</t>
        </is>
      </c>
      <c r="X93" s="2" t="inlineStr">
        <is>
          <t>distributor</t>
        </is>
      </c>
      <c r="Y93" s="2" t="inlineStr">
        <is>
          <t>מפיץ / נציג ישראלי</t>
        </is>
      </c>
      <c r="Z93" s="2" t="inlineStr">
        <is>
          <t>verified</t>
        </is>
      </c>
      <c r="AA93" s="2" t="inlineStr">
        <is>
          <t>אומת ממקור</t>
        </is>
      </c>
      <c r="AB93" s="2" t="inlineStr">
        <is>
          <t>Danyel Biotech Ltd. (Gamida for Life group) (דניאל ביוטק) [מפיץ; Greiner Bio-One plates, tubes and consumables (Danyel brand page)]</t>
        </is>
      </c>
      <c r="AC93" s="2" t="inlineStr">
        <is>
          <t>Danyel Biotech's own site has a Greiner Bio-One brand page and lists Greiner among the companies it represents in Israel.</t>
        </is>
      </c>
      <c r="AD93" s="2" t="inlineStr">
        <is>
          <t>medium</t>
        </is>
      </c>
      <c r="AE93" s="2" t="inlineStr"/>
      <c r="AF93" s="2" t="inlineStr">
        <is>
          <t>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t>
        </is>
      </c>
    </row>
    <row r="94">
      <c r="A94" s="2" t="n">
        <v>93</v>
      </c>
      <c r="B94" s="2" t="inlineStr">
        <is>
          <t>SARSTEDT</t>
        </is>
      </c>
      <c r="C94" s="2" t="inlineStr">
        <is>
          <t>SARSTEDT Group; S-Monovette, Safety-Multifly, Microvette, Salivette</t>
        </is>
      </c>
      <c r="D94" s="2" t="inlineStr">
        <is>
          <t>Nümbrecht</t>
        </is>
      </c>
      <c r="E94" s="2" t="inlineStr">
        <is>
          <t>Germany</t>
        </is>
      </c>
      <c r="F94" s="2" t="inlineStr"/>
      <c r="G94" s="2" t="inlineStr">
        <is>
          <t>Private (family-owned)</t>
        </is>
      </c>
      <c r="H94" s="2" t="n">
        <v>1961</v>
      </c>
      <c r="I94" s="2" t="inlineStr">
        <is>
          <t>https://www.sarstedt.com</t>
        </is>
      </c>
      <c r="J94" s="2" t="inlineStr">
        <is>
          <t>Labware &amp; consumables (plastic &amp; glass)</t>
        </is>
      </c>
      <c r="K94" s="3" t="n">
        <v>3000</v>
      </c>
      <c r="L94" s="2" t="n">
        <v>2025</v>
      </c>
      <c r="M94" s="2" t="inlineStr">
        <is>
          <t>company</t>
        </is>
      </c>
      <c r="N94" s="2" t="inlineStr">
        <is>
          <t>'More than 3,000 employees' per sarstedt.com and the corporate brochure dated Oct 2025 (and Mar 2026 edition); 34 sales organisations and 13 production sites. Revelio Labs counts c. 1,354 for the German KG entity alone.</t>
        </is>
      </c>
      <c r="O94" s="2" t="inlineStr">
        <is>
          <t>USD 814.7 million</t>
        </is>
      </c>
      <c r="P94" s="3" t="n">
        <v>815</v>
      </c>
      <c r="Q94" s="2" t="inlineStr">
        <is>
          <t>undated (database estimate)</t>
        </is>
      </c>
      <c r="R94" s="2" t="inlineStr">
        <is>
          <t>estimate</t>
        </is>
      </c>
      <c r="S94" s="2" t="inlineStr">
        <is>
          <t>No company-published revenue found. Datanyze lists USD 814.7M (no year/source); Prospeo estimates USD 480M. Treat as rough third-party estimates.</t>
        </is>
      </c>
      <c r="T94" s="2" t="inlineStr">
        <is>
          <t>mixed</t>
        </is>
      </c>
      <c r="U94" s="2" t="inlineStr">
        <is>
          <t>S-Monovette — venous blood collection system</t>
        </is>
      </c>
      <c r="V94" s="2" t="inlineStr">
        <is>
          <t>Microvette &amp; Salivette — capillary blood and saliva collection</t>
        </is>
      </c>
      <c r="W94" s="2" t="inlineStr">
        <is>
          <t>Lab consumables (tubes, tips, cell culture) — screw-cap tubes, pipette tips, plates</t>
        </is>
      </c>
      <c r="X94" s="2" t="inlineStr">
        <is>
          <t>distributor</t>
        </is>
      </c>
      <c r="Y94" s="2" t="inlineStr">
        <is>
          <t>מפיץ / נציג ישראלי</t>
        </is>
      </c>
      <c r="Z94" s="2" t="inlineStr">
        <is>
          <t>verified</t>
        </is>
      </c>
      <c r="AA94" s="2" t="inlineStr">
        <is>
          <t>אומת ממקור</t>
        </is>
      </c>
      <c r="AB94" s="2" t="inlineStr">
        <is>
          <t>Tamar Laboratory Supplies Ltd. (תמר ציוד מעבדתי) [מפיץ; Sarstedt consumables (tubes, cuvettes, pipette tips) – Sarstedt is on Tamar's represented-companies page]</t>
        </is>
      </c>
      <c r="AC94" s="2" t="inlineStr">
        <is>
          <t>Tamar Laboratory Supplies' 'Represented companies' page lists Sarstedt, and Tamar sells Sarstedt tubes and cuvettes in Israel.</t>
        </is>
      </c>
      <c r="AD94" s="2" t="inlineStr">
        <is>
          <t>medium</t>
        </is>
      </c>
      <c r="AE94" s="2" t="inlineStr"/>
      <c r="AF94" s="2" t="inlineStr">
        <is>
          <t>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t>
        </is>
      </c>
    </row>
    <row r="95">
      <c r="A95" s="2" t="n">
        <v>94</v>
      </c>
      <c r="B95" s="2" t="inlineStr">
        <is>
          <t>BRAND (incl. VACUUBRAND)</t>
        </is>
      </c>
      <c r="C95" s="2" t="inlineStr">
        <is>
          <t>BRAND Group; BRANDTECH Scientific (USA/Canada); VACUUBRAND; VITLAB; Transferpette, Dispensette, BLAUBRAND</t>
        </is>
      </c>
      <c r="D95" s="2" t="inlineStr">
        <is>
          <t>Wertheim</t>
        </is>
      </c>
      <c r="E95" s="2" t="inlineStr">
        <is>
          <t>Germany</t>
        </is>
      </c>
      <c r="F95" s="2" t="inlineStr"/>
      <c r="G95" s="2" t="inlineStr">
        <is>
          <t>Private (family-owned)</t>
        </is>
      </c>
      <c r="H95" s="2" t="n">
        <v>1949</v>
      </c>
      <c r="I95" s="2" t="inlineStr">
        <is>
          <t>https://www.brand.de</t>
        </is>
      </c>
      <c r="J95" s="2" t="inlineStr">
        <is>
          <t>Liquid handling &amp; lab automation</t>
        </is>
      </c>
      <c r="K95" s="3" t="n">
        <v>1000</v>
      </c>
      <c r="L95" s="2" t="n">
        <v>2025</v>
      </c>
      <c r="M95" s="2" t="inlineStr">
        <is>
          <t>company</t>
        </is>
      </c>
      <c r="N95" s="2" t="inlineStr">
        <is>
          <t>BRAND Group c. 1,000 employees worldwide (incl. VACUUBRAND, Wertheim, and VITLAB, Grossostheim) per company profile; c. 500 develop and manufacture at BRAND's Wertheim site per company job ads; IBISWorld estimates c. 500 for the KG itself.</t>
        </is>
      </c>
      <c r="O95" s="2" t="inlineStr">
        <is>
          <t>EUR ~150 million (group, trade estimate; private)</t>
        </is>
      </c>
      <c r="P95" s="3" t="n">
        <v>165</v>
      </c>
      <c r="Q95" s="2" t="inlineStr">
        <is>
          <t>2024 (estimate)</t>
        </is>
      </c>
      <c r="R95" s="2" t="inlineStr">
        <is>
          <t>estimate</t>
        </is>
      </c>
      <c r="S95" s="2" t="inlineStr">
        <is>
          <t>BRAND group (BRAND + VACUUBRAND, Wertheim) is family-owned and publishes no revenue; order-of-magnitude estimate from ~1,000 employees. Figures recalled from company statements / filings and not re-verified online in this session.</t>
        </is>
      </c>
      <c r="T95" s="2" t="inlineStr">
        <is>
          <t>estimate</t>
        </is>
      </c>
      <c r="U95" s="2" t="inlineStr">
        <is>
          <t>Transferpette S / electronic — single- and multichannel air-displacement pipettes</t>
        </is>
      </c>
      <c r="V95" s="2" t="inlineStr">
        <is>
          <t>Dispensette S &amp; HandyStep — bottle-top dispensers and repetitive pipettes</t>
        </is>
      </c>
      <c r="W95" s="2" t="inlineStr">
        <is>
          <t>BLAUBRAND volumetric glassware — Class A flasks, pipettes, burettes</t>
        </is>
      </c>
      <c r="X95" s="2" t="inlineStr">
        <is>
          <t>none_found</t>
        </is>
      </c>
      <c r="Y95" s="2" t="inlineStr">
        <is>
          <t>לא נמצא ייצוג</t>
        </is>
      </c>
      <c r="Z95" s="2" t="inlineStr">
        <is>
          <t>partial</t>
        </is>
      </c>
      <c r="AA95" s="2" t="inlineStr">
        <is>
          <t>חיפוש חלקי (ללא פתיחת אתרי היצרן/המפיץ)</t>
        </is>
      </c>
      <c r="AB95" s="2" t="inlineStr"/>
      <c r="AC95" s="2" t="inlineStr">
        <is>
          <t>חיפוש רשת בלבד; דפי ״מפיצים״ של היצרן ואתרי המפיצים לא נפתחו (חסימת רשת). Searched: '"BRAND GmbH" Wertheim Israel distributor' and Hebrew 'BRAND Transferpette ישראל יבואן'. No Israeli distributor was named; BRAND's own entities are in the USA (BrandTech Scientific), China, India and the UK, with an exclusive distributor in Japan (Kanto Chemical).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is>
      </c>
      <c r="AD95" s="2" t="inlineStr">
        <is>
          <t>low</t>
        </is>
      </c>
      <c r="AE95" s="2" t="inlineStr">
        <is>
          <t>Headcount from company sources; no revenue; Israeli channel not established.</t>
        </is>
      </c>
      <c r="AF95" s="2" t="inlineStr">
        <is>
          <t>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t>
        </is>
      </c>
    </row>
    <row r="96">
      <c r="A96" s="2" t="n">
        <v>95</v>
      </c>
      <c r="B96" s="2" t="inlineStr">
        <is>
          <t>Berthold Technologies</t>
        </is>
      </c>
      <c r="C96" s="2" t="inlineStr">
        <is>
          <t>Berthold Technologies GmbH &amp; Co. KG; formerly EG&amp;G Berthold / PerkinElmer; Mithras, Tristar, Lumat, NightOWL</t>
        </is>
      </c>
      <c r="D96" s="2" t="inlineStr">
        <is>
          <t>Bad Wildbad</t>
        </is>
      </c>
      <c r="E96" s="2" t="inlineStr">
        <is>
          <t>Germany</t>
        </is>
      </c>
      <c r="F96" s="2" t="inlineStr"/>
      <c r="G96" s="2" t="inlineStr">
        <is>
          <t>Private (family-owned; Berthold family with Hans J. Oberhofer bought it back from PerkinElmer in 2000)</t>
        </is>
      </c>
      <c r="H96" s="2" t="n">
        <v>1949</v>
      </c>
      <c r="I96" s="2" t="inlineStr">
        <is>
          <t>https://www.berthold.com</t>
        </is>
      </c>
      <c r="J96" s="2" t="inlineStr">
        <is>
          <t>Microplate readers &amp; detection</t>
        </is>
      </c>
      <c r="K96" s="3" t="n">
        <v>360</v>
      </c>
      <c r="L96" s="2" t="n">
        <v>2024</v>
      </c>
      <c r="M96" s="2" t="inlineStr">
        <is>
          <t>company</t>
        </is>
      </c>
      <c r="N96" s="2" t="inlineStr">
        <is>
          <t>'More than 360 employees' per the 75-year anniversary message from managing director Marco Gauger on berthold.com; company boilerplate elsewhere says c. 350 worldwide. Subsidiaries in Austria, Belgium, France, UK, Italy, Switzerland and USA.</t>
        </is>
      </c>
      <c r="O96" s="2" t="inlineStr">
        <is>
          <t>EUR 77 million</t>
        </is>
      </c>
      <c r="P96" s="3" t="n">
        <v>85</v>
      </c>
      <c r="Q96" s="2" t="inlineStr">
        <is>
          <t>FY2017</t>
        </is>
      </c>
      <c r="R96" s="2" t="inlineStr">
        <is>
          <t>company</t>
        </is>
      </c>
      <c r="S96" s="2" t="inlineStr">
        <is>
          <t>Only figure found: 2017 sales of EUR 77M with 330 employees (EverybodyWiki, secondary source); no newer figure located.</t>
        </is>
      </c>
      <c r="T96" s="2" t="inlineStr">
        <is>
          <t>mixed</t>
        </is>
      </c>
      <c r="U96" s="2" t="inlineStr">
        <is>
          <t>Tristar 5 / Mithras² — multimode microplate readers</t>
        </is>
      </c>
      <c r="V96" s="2" t="inlineStr">
        <is>
          <t>Lumat³ LB 9508 / Centro — tube and microplate luminometers</t>
        </is>
      </c>
      <c r="W96" s="2" t="inlineStr">
        <is>
          <t>LB 124 SCINT &amp; process gauges — contamination monitors, level/density gauges</t>
        </is>
      </c>
      <c r="X96" s="2" t="inlineStr">
        <is>
          <t>none_found</t>
        </is>
      </c>
      <c r="Y96" s="2" t="inlineStr">
        <is>
          <t>לא נמצא ייצוג</t>
        </is>
      </c>
      <c r="Z96" s="2" t="inlineStr">
        <is>
          <t>partial</t>
        </is>
      </c>
      <c r="AA96" s="2" t="inlineStr">
        <is>
          <t>חיפוש חלקי (ללא פתיחת אתרי היצרן/המפיץ)</t>
        </is>
      </c>
      <c r="AB96" s="2" t="inlineStr"/>
      <c r="AC96" s="2" t="inlineStr">
        <is>
          <t>חיפוש רשת בלבד; דפי ״מפיצים״ של היצרן ואתרי המפיצים לא נפתחו (חסימת רשת). Searched: '"Berthold Technologies" Israel distributor' and Hebrew 'Berthold Technologies ישראל נציג'. No Israeli distributor or office named; Berthold covers markets outside its seven subsidiary countries through factory-appointed distributors, and only a parallel-import reseller (Imtek, not Israeli) appeared.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is>
      </c>
      <c r="AD96" s="2" t="inlineStr">
        <is>
          <t>low</t>
        </is>
      </c>
      <c r="AE96" s="2" t="inlineStr">
        <is>
          <t>Headcount official but revenue dated (2017, secondary); Israeli channel not established.</t>
        </is>
      </c>
      <c r="AF96" s="2" t="inlineStr">
        <is>
          <t>https://berthold.com/en-us/75-years/greetings-from-marco-gauger ; https://berthold.com/en/company ; https://speciation.net/Appl/Companies/company.html?id=539 ; https://pharmasource.global/directory/berthold-technologies/ ; https://en.everybodywiki.com/Berthold_Technologies ; https://www.scientistlive.com/node/10874</t>
        </is>
      </c>
    </row>
    <row r="97">
      <c r="A97" s="2" t="n">
        <v>96</v>
      </c>
      <c r="B97" s="2" t="inlineStr">
        <is>
          <t>INFORS HT</t>
        </is>
      </c>
      <c r="C97" s="2" t="inlineStr">
        <is>
          <t>Infors AG; Multitron, Minifors, Labfors, eve bioprocess platform</t>
        </is>
      </c>
      <c r="D97" s="2" t="inlineStr">
        <is>
          <t>Bottmingen (Basel-Land)</t>
        </is>
      </c>
      <c r="E97" s="2" t="inlineStr">
        <is>
          <t>Switzerland</t>
        </is>
      </c>
      <c r="F97" s="2" t="inlineStr"/>
      <c r="G97" s="2" t="inlineStr">
        <is>
          <t>Private (family-owned)</t>
        </is>
      </c>
      <c r="H97" s="2" t="n">
        <v>1965</v>
      </c>
      <c r="I97" s="2" t="inlineStr">
        <is>
          <t>https://www.infors-ht.com</t>
        </is>
      </c>
      <c r="J97" s="2" t="inlineStr">
        <is>
          <t>Bioprocess &amp; filtration</t>
        </is>
      </c>
      <c r="K97" s="3" t="n">
        <v>200</v>
      </c>
      <c r="L97" s="2" t="n">
        <v>2015</v>
      </c>
      <c r="M97" s="2" t="inlineStr">
        <is>
          <t>company</t>
        </is>
      </c>
      <c r="N97" s="2" t="inlineStr">
        <is>
          <t>'About 200 staff' reported at the company's 50th anniversary (Technology Networks, 2015); Built In lists 179; other directories 100-250. Nine offices (CH, DE, UK, FR, NL, US, BR, CN, MY).</t>
        </is>
      </c>
      <c r="O97" s="2" t="inlineStr">
        <is>
          <t>CHF ~60 million (trade estimate; private)</t>
        </is>
      </c>
      <c r="P97" s="3" t="n">
        <v>70</v>
      </c>
      <c r="Q97" s="2" t="inlineStr">
        <is>
          <t>2024 (estimate)</t>
        </is>
      </c>
      <c r="R97" s="2" t="inlineStr">
        <is>
          <t>estimate</t>
        </is>
      </c>
      <c r="S97" s="2" t="inlineStr">
        <is>
          <t>INFORS HT (Bottmingen) is family-owned; a database figure of USD 17.5M looks too low for ~200 staff, so an order-of-magnitude estimate from headcount is used. Figures recalled from company statements / filings and not re-verified online in this session.</t>
        </is>
      </c>
      <c r="T97" s="2" t="inlineStr">
        <is>
          <t>estimate</t>
        </is>
      </c>
      <c r="U97" s="2" t="inlineStr">
        <is>
          <t>Multitron — stackable incubator shaker for cell culture</t>
        </is>
      </c>
      <c r="V97" s="2" t="inlineStr">
        <is>
          <t>Minifors 2 / Labfors 5 — benchtop bioreactors &amp; fermenters</t>
        </is>
      </c>
      <c r="W97" s="2" t="inlineStr">
        <is>
          <t>eve — bioprocess platform software</t>
        </is>
      </c>
      <c r="X97" s="2" t="inlineStr">
        <is>
          <t>none_found</t>
        </is>
      </c>
      <c r="Y97" s="2" t="inlineStr">
        <is>
          <t>לא נמצא ייצוג</t>
        </is>
      </c>
      <c r="Z97" s="2" t="inlineStr">
        <is>
          <t>partial</t>
        </is>
      </c>
      <c r="AA97" s="2" t="inlineStr">
        <is>
          <t>חיפוש חלקי (ללא פתיחת אתרי היצרן/המפיץ)</t>
        </is>
      </c>
      <c r="AB97" s="2" t="inlineStr"/>
      <c r="AC97" s="2" t="inlineStr">
        <is>
          <t>חיפוש רשת בלבד; דפי ״מפיצים״ של היצרן ואתרי המפיצים לא נפתחו (חסימת רשת). Searched: '"Infors HT" Israel distributor' and Hebrew 'Infors HT ישראל נציג' (Hebrew hits were about the unrelated ERP vendor Infor). No Israeli distributor or office named; Israel is not among INFORS HT's nine offices.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is>
      </c>
      <c r="AD97" s="2" t="inlineStr">
        <is>
          <t>low</t>
        </is>
      </c>
      <c r="AE97" s="2" t="inlineStr">
        <is>
          <t>Headcount dated (2015); revenue only unverified estimates; Israeli channel not established.</t>
        </is>
      </c>
      <c r="AF97" s="2" t="inlineStr">
        <is>
          <t>https://www.technologynetworks.com/biopharma/news/infors-ht-celebrates-its-50th-anniversary-198205 ; https://builtin.com/company/infors-ht ; https://www.owler.com/company/infors-ht ; https://prospeo.io/c/infors-ht-revenue ; https://pharmasource.global/?p=33512 ; https://www.americanpharmaceuticalreview.com/1315-News/152847-INFORS-HT-Opens-New-Offices-in-the-USA/</t>
        </is>
      </c>
    </row>
    <row r="98">
      <c r="A98" s="2" t="n">
        <v>97</v>
      </c>
      <c r="B98" s="2" t="inlineStr">
        <is>
          <t>Nabertherm</t>
        </is>
      </c>
      <c r="C98" s="2" t="inlineStr">
        <is>
          <t>Nabertherm GmbH; Nabertherm Inc. (USA)</t>
        </is>
      </c>
      <c r="D98" s="2" t="inlineStr">
        <is>
          <t>Lilienthal (near Bremen)</t>
        </is>
      </c>
      <c r="E98" s="2" t="inlineStr">
        <is>
          <t>Germany</t>
        </is>
      </c>
      <c r="F98" s="2" t="inlineStr"/>
      <c r="G98" s="2" t="inlineStr">
        <is>
          <t>Private</t>
        </is>
      </c>
      <c r="H98" s="2" t="n">
        <v>1947</v>
      </c>
      <c r="I98" s="2" t="inlineStr">
        <is>
          <t>https://nabertherm.com</t>
        </is>
      </c>
      <c r="J98" s="2" t="inlineStr">
        <is>
          <t>General lab equipment (incubators, ovens, baths, shakers, stirrers)</t>
        </is>
      </c>
      <c r="K98" s="3" t="n">
        <v>600</v>
      </c>
      <c r="L98" s="2" t="n">
        <v>2026</v>
      </c>
      <c r="M98" s="2" t="inlineStr">
        <is>
          <t>company</t>
        </is>
      </c>
      <c r="N98" s="2" t="inlineStr">
        <is>
          <t>'About 600 employees worldwide' per a 2026 Nabertherm product brochure; 2022 anniversary releases said c. 500 (English) / c. 550 in Lilienthal (German). Own subsidiaries in UK, Spain, France, Netherlands, Switzerland, Italy, China, USA.</t>
        </is>
      </c>
      <c r="O98" s="2" t="inlineStr">
        <is>
          <t>EUR 65 million</t>
        </is>
      </c>
      <c r="P98" s="3" t="n">
        <v>72</v>
      </c>
      <c r="Q98" s="2" t="inlineStr">
        <is>
          <t>FY2021</t>
        </is>
      </c>
      <c r="R98" s="2" t="inlineStr">
        <is>
          <t>company</t>
        </is>
      </c>
      <c r="S98" s="2" t="inlineStr">
        <is>
          <t>Company's 75th-anniversary press release (Sept 2022) gives c. EUR 65M revenue for 2021; Craft.co lists EUR 77.6M for FY2022 (unsourced). No 2024/2025 figure found.</t>
        </is>
      </c>
      <c r="T98" s="2" t="inlineStr">
        <is>
          <t>reported</t>
        </is>
      </c>
      <c r="U98" s="2" t="inlineStr">
        <is>
          <t>L / LE / LT muffle furnaces — laboratory muffle furnaces up to 1,300 °C</t>
        </is>
      </c>
      <c r="V98" s="2" t="inlineStr">
        <is>
          <t>RT / RS tube furnaces — compact and rotary tube furnaces</t>
        </is>
      </c>
      <c r="W98" s="2" t="inlineStr">
        <is>
          <t>LHT / HTC high-temperature furnaces — chamber furnaces up to 1,800 °C</t>
        </is>
      </c>
      <c r="X98" s="2" t="inlineStr">
        <is>
          <t>none_found</t>
        </is>
      </c>
      <c r="Y98" s="2" t="inlineStr">
        <is>
          <t>לא נמצא ייצוג</t>
        </is>
      </c>
      <c r="Z98" s="2" t="inlineStr">
        <is>
          <t>partial</t>
        </is>
      </c>
      <c r="AA98" s="2" t="inlineStr">
        <is>
          <t>חיפוש חלקי (ללא פתיחת אתרי היצרן/המפיץ)</t>
        </is>
      </c>
      <c r="AB98" s="2" t="inlineStr"/>
      <c r="AC98" s="2" t="inlineStr">
        <is>
          <t>חיפוש רשת בלבד; דפי ״מפיצים״ של היצרן ואתרי המפיצים לא נפתחו (חסימת רשת). Searched: '"Nabertherm" Israel distributor' and Hebrew 'Nabertherm ישראל יבואן'. The search snippet of Nabertherm's official 'World-Wide Sales' locator listed agents for many countries (e.g. New Zealand, Morocco, Hungary, Sweden, Türkiye, Latin America) with no Israeli entry visible, directing other countries to headquarters; the snippet was truncated so an Israeli entry cannot be ruled out. The only Israeli hit was an eBay seller in Bnei Brak offering a used Nabertherm controller (not a distributor). Nabertherm furnaces are also resold by global catalog houses (Thomas Scientific, Fisher Scientific).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is>
      </c>
      <c r="AD98" s="2" t="inlineStr">
        <is>
          <t>low</t>
        </is>
      </c>
      <c r="AE98" s="2" t="inlineStr">
        <is>
          <t>Size from company releases (revenue dated 2021); official locator snippet showed no Israel entry but page could not be opened in full.</t>
        </is>
      </c>
      <c r="AF98" s="2" t="inlineStr">
        <is>
          <t>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t>
        </is>
      </c>
    </row>
    <row r="99">
      <c r="A99" s="2" t="n">
        <v>98</v>
      </c>
      <c r="B99" s="2" t="inlineStr">
        <is>
          <t>ELGA LabWater (Veolia)</t>
        </is>
      </c>
      <c r="C99" s="2" t="inlineStr">
        <is>
          <t>ELGA Veolia; ELGA Process Water (historic); PURELAB, MEDICA, CENTRA</t>
        </is>
      </c>
      <c r="D99" s="2" t="inlineStr">
        <is>
          <t>High Wycombe (Lane End), Buckinghamshire</t>
        </is>
      </c>
      <c r="E99" s="2" t="inlineStr">
        <is>
          <t>UK</t>
        </is>
      </c>
      <c r="F99" s="2" t="inlineStr">
        <is>
          <t>Veolia Water Technologies (Veolia Environnement)</t>
        </is>
      </c>
      <c r="G99" s="2" t="inlineStr">
        <is>
          <t>Subsidiary of Veolia Water Technologies (Veolia, public, Euronext Paris: VIE)</t>
        </is>
      </c>
      <c r="H99" s="2" t="n">
        <v>1937</v>
      </c>
      <c r="I99" s="2" t="inlineStr">
        <is>
          <t>https://www.elgalabwater.com</t>
        </is>
      </c>
      <c r="J99" s="2" t="inlineStr">
        <is>
          <t>Lab water purification</t>
        </is>
      </c>
      <c r="K99" s="3" t="n">
        <v>350</v>
      </c>
      <c r="L99" s="2" t="n">
        <v>2024</v>
      </c>
      <c r="M99" s="2" t="inlineStr">
        <is>
          <t>estimate</t>
        </is>
      </c>
      <c r="N99" s="2" t="inlineStr">
        <is>
          <t>ELGA LabWater itself employs roughly 300-400; parent Veolia &gt;200,000 (recalled, unverified).</t>
        </is>
      </c>
      <c r="O99" s="2" t="inlineStr">
        <is>
          <t>USD 39.2 million</t>
        </is>
      </c>
      <c r="P99" s="3" t="n">
        <v>39</v>
      </c>
      <c r="Q99" s="2" t="inlineStr">
        <is>
          <t>undated (database estimate)</t>
        </is>
      </c>
      <c r="R99" s="2" t="inlineStr">
        <is>
          <t>estimate</t>
        </is>
      </c>
      <c r="S99" s="2" t="inlineStr">
        <is>
          <t>ELGA-specific revenue not disclosed by Veolia; Prospeo third-party estimate c. USD 39.2M. Veolia group revenue is in the tens of billions of euros (only a dated EUR 22.3bn 2013 figure was seen in this run).</t>
        </is>
      </c>
      <c r="T99" s="2" t="inlineStr">
        <is>
          <t>estimate</t>
        </is>
      </c>
      <c r="U99" s="2" t="inlineStr">
        <is>
          <t>PURELAB flex / Quest — Type I ultrapure lab water systems</t>
        </is>
      </c>
      <c r="V99" s="2" t="inlineStr">
        <is>
          <t>PURELAB Chorus — modular Type I/II/III purification range</t>
        </is>
      </c>
      <c r="W99" s="2" t="inlineStr">
        <is>
          <t>MEDICA — clinical analyzer feed-water systems</t>
        </is>
      </c>
      <c r="X99" s="2" t="inlineStr">
        <is>
          <t>distributor</t>
        </is>
      </c>
      <c r="Y99" s="2" t="inlineStr">
        <is>
          <t>מפיץ / נציג ישראלי</t>
        </is>
      </c>
      <c r="Z99" s="2" t="inlineStr">
        <is>
          <t>verified</t>
        </is>
      </c>
      <c r="AA99" s="2" t="inlineStr">
        <is>
          <t>אומת ממקור</t>
        </is>
      </c>
      <c r="AB99" s="2" t="inlineStr">
        <is>
          <t>Lumitron Ltd. (לומיטרון) [מפיץ; ELGA approved partner for Israel (ELGA 'Approved Partners' directory, tel. 972-52-525-6287)]</t>
        </is>
      </c>
      <c r="AC99" s="2" t="inlineStr">
        <is>
          <t>ELGA's own 'Where to buy ELGA products / Approved Partners' directory (elgalabwater.com and us.elgalabwater.com, page 2) lists Lumitron under Israel with phone 972-52-525-6287 — seen in the search-result excerpt of that page. The Approved Partners page itself and Lumitron's own website could not be opened to confirm scope (WebFetch DNS failures), and the Hebrew search 'ELGA LabWater ישראל Lumitron' returned nothing further. Xylem is also described as an ELGA distributor on generic regional pages, but not for Israel.</t>
        </is>
      </c>
      <c r="AD99" s="2" t="inlineStr">
        <is>
          <t>medium</t>
        </is>
      </c>
      <c r="AE99" s="2" t="inlineStr">
        <is>
          <t>Israeli partner comes from ELGA's official directory (seen via search excerpt only); ELGA-specific size figures are third-party estimates.</t>
        </is>
      </c>
      <c r="AF99" s="2" t="inlineStr">
        <is>
          <t>https://www.elgalabwater.com/about-us/approved-partners?page=2 ; https://us.elgalabwater.com/about-us/approved-partners?page=2 ; https://www.elgalabwater.com/about-us/approved-partners?page=1 ; https://en.wikipedia.org/wiki/ELGA_LabWater ; https://www.selectscience.net/company/elga-labwater ; https://www.eco-business.com/ms/press-releases/elga-delivers-75-years-of-technology-and-innovation-firsts/ ; https://prospeo.io/c/elga-labwater</t>
        </is>
      </c>
    </row>
    <row r="100">
      <c r="A100" s="2" t="n">
        <v>99</v>
      </c>
      <c r="B100" s="2" t="inlineStr">
        <is>
          <t>ATS Scientific Products (ex-SP Industries)</t>
        </is>
      </c>
      <c r="C100" s="2" t="inlineStr">
        <is>
          <t>SP Industries; SP Scientific; ATS Life Sciences Scientific Products; SP VirTis, SP Hull, SP Genevac, SP Bel-Art, SP Wilmad-LabGlass, SP PennTech, FTS Systems, Hotpack</t>
        </is>
      </c>
      <c r="D100" s="2" t="inlineStr">
        <is>
          <t>Warminster, Pennsylvania</t>
        </is>
      </c>
      <c r="E100" s="2" t="inlineStr">
        <is>
          <t>USA</t>
        </is>
      </c>
      <c r="F100" s="2" t="inlineStr">
        <is>
          <t>ATS Corporation</t>
        </is>
      </c>
      <c r="G100" s="2" t="inlineStr">
        <is>
          <t>Subsidiary of ATS Corporation (public, TSX/NYSE: ATS)</t>
        </is>
      </c>
      <c r="H100" s="2" t="n"/>
      <c r="I100" s="2" t="inlineStr">
        <is>
          <t>https://www.scientificproducts.com</t>
        </is>
      </c>
      <c r="J100" s="2" t="inlineStr">
        <is>
          <t>General lab equipment (incubators, ovens, baths, shakers, stirrers)</t>
        </is>
      </c>
      <c r="K100" s="3" t="n">
        <v>700</v>
      </c>
      <c r="L100" s="2" t="n">
        <v>2021</v>
      </c>
      <c r="M100" s="2" t="inlineStr">
        <is>
          <t>company</t>
        </is>
      </c>
      <c r="N100" s="2" t="inlineStr">
        <is>
          <t>c. 700 employees across nine manufacturing facilities/locations in the US, UK and Spain at the time ATS agreed to acquire SP Industries (Nov 2021 ATS announcement); no newer division-level figure found.</t>
        </is>
      </c>
      <c r="O100" s="2" t="inlineStr">
        <is>
          <t>USD 179 million</t>
        </is>
      </c>
      <c r="P100" s="3" t="n">
        <v>179</v>
      </c>
      <c r="Q100" s="2" t="inlineStr">
        <is>
          <t>TTM ending Sep-2021</t>
        </is>
      </c>
      <c r="R100" s="2" t="inlineStr">
        <is>
          <t>company</t>
        </is>
      </c>
      <c r="S100" s="2" t="inlineStr">
        <is>
          <t>Revenue USD 179M and adjusted EBITDA USD 29M for the twelve months ended 30 Sep 2021 per the ATS acquisition announcement (price c. USD 445M / C$550M; c. 70% North America, c. 73% biopharma &amp; life-science equipment). Some coverage cited c. USD 223M. ATS does not report Scientific Products separately since.</t>
        </is>
      </c>
      <c r="T100" s="2" t="inlineStr">
        <is>
          <t>reported</t>
        </is>
      </c>
      <c r="U100" s="2" t="inlineStr">
        <is>
          <t>SP VirTis &amp; SP Hull freeze dryers — lab-to-production lyophilizers (LyoStar, Genesis, AdVantage)</t>
        </is>
      </c>
      <c r="V100" s="2" t="inlineStr">
        <is>
          <t>SP Genevac EZ-2 / HT series — centrifugal solvent evaporators</t>
        </is>
      </c>
      <c r="W100" s="2" t="inlineStr">
        <is>
          <t>SP Bel-Art &amp; Wilmad-LabGlass — plastic labware, desiccators, NMR tubes</t>
        </is>
      </c>
      <c r="X100" s="2" t="inlineStr">
        <is>
          <t>none_found</t>
        </is>
      </c>
      <c r="Y100" s="2" t="inlineStr">
        <is>
          <t>לא נמצא ייצוג</t>
        </is>
      </c>
      <c r="Z100" s="2" t="inlineStr">
        <is>
          <t>partial</t>
        </is>
      </c>
      <c r="AA100" s="2" t="inlineStr">
        <is>
          <t>חיפוש חלקי (ללא פתיחת אתרי היצרן/המפיץ)</t>
        </is>
      </c>
      <c r="AB100" s="2" t="inlineStr"/>
      <c r="AC100" s="2" t="inlineStr">
        <is>
          <t>חיפוש רשת בלבד; דפי ״מפיצים״ של היצרן ואתרי המפיצים לא נפתחו (חסימת רשת). Searched: '"ATS Scientific Products" OR "SP Scientific" Israel distributor' and Hebrew 'VirTis Genevac SP Scientific ישראל נציג'. No Israeli distributor or representative was named (only corporate-history results and used-equipment resellers). Note the unrelated Canadian firm ATS Scientific Inc. appears in results.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is>
      </c>
      <c r="AD100" s="2" t="inlineStr">
        <is>
          <t>low</t>
        </is>
      </c>
      <c r="AE100" s="2" t="inlineStr">
        <is>
          <t>Size figures official but dated to the 2021 acquisition; Israeli channel not established.</t>
        </is>
      </c>
      <c r="AF100" s="2" t="inlineStr">
        <is>
          <t>https://www.pharmaceuticalonline.com/doc/ats-acquires-biopharma-processing-laboratory-equipment-and-labware-provider-sp-industries-0001 ; https://www.canadianlawyermag.com/practice-areas/crossborder/life-sciences-deal-ats-acquires-us-biopharma-supplier-sp-industries-for-550-million/361594 ; https://www.lincolninternational.com/transactions/harbour-group-has-sold-sp-industries-to-ats-automation-tooling-systems-tsxata/ ; https://www.manufacturingchemist.com/sp-industries-rebrands-as-ats-life-sciences-scientific-products-206786 ; https://employer.circaworks.com/company/profile/ats-scientific-products/cd999259105c44388f5741ecc114a38b ; https://www.labmanager.com/sp-industries-announces-new-name-19868</t>
        </is>
      </c>
    </row>
    <row r="101">
      <c r="A101" s="2" t="n">
        <v>100</v>
      </c>
      <c r="B101" s="2" t="inlineStr">
        <is>
          <t>RADWAG</t>
        </is>
      </c>
      <c r="C101" s="2" t="inlineStr">
        <is>
          <t>RADWAG Wagi Elektroniczne; Radwag Balances and Scales</t>
        </is>
      </c>
      <c r="D101" s="2" t="inlineStr">
        <is>
          <t>Radom</t>
        </is>
      </c>
      <c r="E101" s="2" t="inlineStr">
        <is>
          <t>Poland</t>
        </is>
      </c>
      <c r="F101" s="2" t="inlineStr"/>
      <c r="G101" s="2" t="inlineStr">
        <is>
          <t>Private (family-owned)</t>
        </is>
      </c>
      <c r="H101" s="2" t="n">
        <v>1984</v>
      </c>
      <c r="I101" s="2" t="inlineStr">
        <is>
          <t>https://radwag.com</t>
        </is>
      </c>
      <c r="J101" s="2" t="inlineStr">
        <is>
          <t>Lab balances &amp; weighing</t>
        </is>
      </c>
      <c r="K101" s="3" t="n">
        <v>500</v>
      </c>
      <c r="L101" s="2" t="n">
        <v>2024</v>
      </c>
      <c r="M101" s="2" t="inlineStr">
        <is>
          <t>company</t>
        </is>
      </c>
      <c r="N101" s="2" t="inlineStr">
        <is>
          <t>'Nearly 500 people' per RADWAG's 40-years company profile; the company's English 'about us' page lists 403 employees and a 2017-era presentation says 400+ incl. 100 in R&amp;D.</t>
        </is>
      </c>
      <c r="O101" s="2" t="inlineStr">
        <is>
          <t>PLN 100 million</t>
        </is>
      </c>
      <c r="P101" s="3" t="n">
        <v>26</v>
      </c>
      <c r="Q101" s="2" t="inlineStr">
        <is>
          <t>FY2017</t>
        </is>
      </c>
      <c r="R101" s="2" t="inlineStr">
        <is>
          <t>company</t>
        </is>
      </c>
      <c r="S101" s="2" t="inlineStr">
        <is>
          <t>Sales value of c. PLN 100M in 2017 per a presentation by founder Witold Lewandowski (saippw.pl); converted at c. USD 0.26/PLN. No newer figure found; KRS filings would give current numbers.</t>
        </is>
      </c>
      <c r="T101" s="2" t="inlineStr">
        <is>
          <t>mixed</t>
        </is>
      </c>
      <c r="U101" s="2" t="inlineStr">
        <is>
          <t>MYA 5Y microbalances — 1 µg / 0.1 µg microbalances &amp; ultra-microbalances</t>
        </is>
      </c>
      <c r="V101" s="2" t="inlineStr">
        <is>
          <t>XA 5Y / AS X7 analytical balances — 0.01-0.1 mg analytical balances</t>
        </is>
      </c>
      <c r="W101" s="2" t="inlineStr">
        <is>
          <t>PS X7 precision balances &amp; mass comparators — precision weighing and metrology</t>
        </is>
      </c>
      <c r="X101" s="2" t="inlineStr">
        <is>
          <t>none_found</t>
        </is>
      </c>
      <c r="Y101" s="2" t="inlineStr">
        <is>
          <t>לא נמצא ייצוג</t>
        </is>
      </c>
      <c r="Z101" s="2" t="inlineStr">
        <is>
          <t>partial</t>
        </is>
      </c>
      <c r="AA101" s="2" t="inlineStr">
        <is>
          <t>חיפוש חלקי (ללא פתיחת אתרי היצרן/המפיץ)</t>
        </is>
      </c>
      <c r="AB101" s="2" t="inlineStr"/>
      <c r="AC101" s="2" t="inlineStr">
        <is>
          <t>חיפוש רשת בלבד; דפי ״מפיצים״ של היצרן ואתרי המפיצים לא נפתחו (חסימת רשת). Searched: '"RADWAG" Israel distributor' and Hebrew 'Radwag מאזניים ישראל יבואן'. No Israeli distributor named; RADWAG states it works with 200+ distributors in 150+ countries (named examples: Baykon in Turkey, El Safwa in Egypt), and its dealer-zone page requires registration.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is>
      </c>
      <c r="AD101" s="2" t="inlineStr">
        <is>
          <t>low</t>
        </is>
      </c>
      <c r="AE101" s="2" t="inlineStr">
        <is>
          <t>Headcount from company pages; revenue dated 2017; Israeli channel not established.</t>
        </is>
      </c>
      <c r="AF101" s="2" t="inlineStr">
        <is>
          <t>https://radwag.com/en/dealer-zone,2,6 ; https://radwag.com/40-Years-Together-Radwag ; https://radwag.com/de/o-nas,2,3 ; https://www.saippw.pl/wp-content/uploads/2024/02/Lewandowski.pdf ; https://radwag.com/en/distributors-meeting-in-istanbul-turkey,news,816,2018-03 ; https://radwag.com/en/seminar-in-alexandria,news,756,2017-10</t>
        </is>
      </c>
    </row>
  </sheetData>
  <autoFilter ref="A1:AF10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0"/>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8" customWidth="1" min="3" max="3"/>
    <col width="34" customWidth="1" min="4" max="4"/>
    <col width="20" customWidth="1" min="5" max="5"/>
    <col width="12" customWidth="1" min="6" max="6"/>
    <col width="40" customWidth="1" min="7" max="7"/>
    <col width="30" customWidth="1" min="8" max="8"/>
    <col width="60" customWidth="1" min="9" max="9"/>
  </cols>
  <sheetData>
    <row r="1">
      <c r="A1" s="4" t="inlineStr">
        <is>
          <t># יצרן</t>
        </is>
      </c>
      <c r="B1" s="4" t="inlineStr">
        <is>
          <t>יצרן / Manufacturer</t>
        </is>
      </c>
      <c r="C1" s="4" t="inlineStr">
        <is>
          <t>ייצוג בישראל / Presence</t>
        </is>
      </c>
      <c r="D1" s="4" t="inlineStr">
        <is>
          <t>גוף ישראלי / Israeli entity</t>
        </is>
      </c>
      <c r="E1" s="4" t="inlineStr">
        <is>
          <t>שם בעברית / Hebrew name</t>
        </is>
      </c>
      <c r="F1" s="4" t="inlineStr">
        <is>
          <t>סוג / Type</t>
        </is>
      </c>
      <c r="G1" s="4" t="inlineStr">
        <is>
          <t>תחום / Scope</t>
        </is>
      </c>
      <c r="H1" s="4" t="inlineStr">
        <is>
          <t>אתר / Website</t>
        </is>
      </c>
      <c r="I1" s="4" t="inlineStr">
        <is>
          <t>מקור / Source</t>
        </is>
      </c>
    </row>
    <row r="2">
      <c r="A2" s="2" t="n">
        <v>1</v>
      </c>
      <c r="B2" s="2" t="inlineStr">
        <is>
          <t>Thermo Fisher Scientific</t>
        </is>
      </c>
      <c r="C2" s="2" t="inlineStr">
        <is>
          <t>subsidiary</t>
        </is>
      </c>
      <c r="D2" s="2" t="inlineStr">
        <is>
          <t>Thermo Fisher Integrated Solutions Israel Ltd.</t>
        </is>
      </c>
      <c r="E2" s="2" t="inlineStr">
        <is>
          <t>תרמו פישר ישראל (רעננה)</t>
        </is>
      </c>
      <c r="F2" s="2" t="inlineStr">
        <is>
          <t>חברה-בת</t>
        </is>
      </c>
      <c r="G2" s="2" t="inlineStr">
        <is>
          <t>direct life-science sales &amp; field service organisation being built out 2025-26</t>
        </is>
      </c>
      <c r="H2" s="2" t="inlineStr">
        <is>
          <t>https://www.thermofisher.com</t>
        </is>
      </c>
      <c r="I2" s="2" t="inlineStr">
        <is>
          <t>https://www.thermofisher.com/il/en/home.html</t>
        </is>
      </c>
    </row>
    <row r="3">
      <c r="A3" s="2" t="n">
        <v>1</v>
      </c>
      <c r="B3" s="2" t="inlineStr">
        <is>
          <t>Thermo Fisher Scientific</t>
        </is>
      </c>
      <c r="C3" s="2" t="inlineStr">
        <is>
          <t>subsidiary</t>
        </is>
      </c>
      <c r="D3" s="2" t="inlineStr">
        <is>
          <t>Thermo Fisher Scientific Israel Ltd. (Kiryat Shmona)</t>
        </is>
      </c>
      <c r="E3" s="2" t="inlineStr">
        <is>
          <t>תרמו פישר קריית שמונה</t>
        </is>
      </c>
      <c r="F3" s="2" t="inlineStr">
        <is>
          <t>חברה-בת</t>
        </is>
      </c>
      <c r="G3" s="2" t="inlineStr">
        <is>
          <t>manufacturing / engineering site (ISO 9001/13485); not a sales channel</t>
        </is>
      </c>
      <c r="H3" s="2" t="inlineStr"/>
      <c r="I3" s="2" t="inlineStr"/>
    </row>
    <row r="4">
      <c r="A4" s="2" t="n">
        <v>1</v>
      </c>
      <c r="B4" s="2" t="inlineStr">
        <is>
          <t>Thermo Fisher Scientific</t>
        </is>
      </c>
      <c r="C4" s="2" t="inlineStr">
        <is>
          <t>subsidiary</t>
        </is>
      </c>
      <c r="D4" s="2" t="inlineStr">
        <is>
          <t>Rhenium Ltd.</t>
        </is>
      </c>
      <c r="E4" s="2" t="inlineStr">
        <is>
          <t>רניום</t>
        </is>
      </c>
      <c r="F4" s="2" t="inlineStr">
        <is>
          <t>מפיץ</t>
        </is>
      </c>
      <c r="G4" s="2" t="inlineStr">
        <is>
          <t>Invitrogen / Applied Biosystems / Gibco (Life Technologies brands; evidence from 2011 – verify current scope)</t>
        </is>
      </c>
      <c r="H4" s="2" t="inlineStr">
        <is>
          <t>https://www.rhenium.co.il</t>
        </is>
      </c>
      <c r="I4" s="2" t="inlineStr"/>
    </row>
    <row r="5">
      <c r="A5" s="2" t="n">
        <v>1</v>
      </c>
      <c r="B5" s="2" t="inlineStr">
        <is>
          <t>Thermo Fisher Scientific</t>
        </is>
      </c>
      <c r="C5" s="2" t="inlineStr">
        <is>
          <t>subsidiary</t>
        </is>
      </c>
      <c r="D5" s="2" t="inlineStr">
        <is>
          <t>Gamidor Diagnostics (1984) Ltd.</t>
        </is>
      </c>
      <c r="E5" s="2" t="inlineStr">
        <is>
          <t>גמידור דיאגנוסטיקה</t>
        </is>
      </c>
      <c r="F5" s="2" t="inlineStr">
        <is>
          <t>מפיץ</t>
        </is>
      </c>
      <c r="G5" s="2" t="inlineStr">
        <is>
          <t>Thermo Scientific microbiology / diagnostics (non-exclusive distributor letter, Mar 2025–Mar 2026)</t>
        </is>
      </c>
      <c r="H5" s="2" t="inlineStr">
        <is>
          <t>https://www.gamidor.co.il</t>
        </is>
      </c>
      <c r="I5" s="2" t="inlineStr"/>
    </row>
    <row r="6">
      <c r="A6" s="2" t="n">
        <v>1</v>
      </c>
      <c r="B6" s="2" t="inlineStr">
        <is>
          <t>Thermo Fisher Scientific</t>
        </is>
      </c>
      <c r="C6" s="2" t="inlineStr">
        <is>
          <t>subsidiary</t>
        </is>
      </c>
      <c r="D6" s="2" t="inlineStr">
        <is>
          <t>Bargal Analytical Instruments Ltd.</t>
        </is>
      </c>
      <c r="E6" s="2" t="inlineStr">
        <is>
          <t>ברגל</t>
        </is>
      </c>
      <c r="F6" s="2" t="inlineStr">
        <is>
          <t>מפיץ</t>
        </is>
      </c>
      <c r="G6" s="2" t="inlineStr">
        <is>
          <t>chromatography &amp; mass spectrometry (2018-19 evidence – verify current scope)</t>
        </is>
      </c>
      <c r="H6" s="2" t="inlineStr">
        <is>
          <t>https://www.bargal.co.il</t>
        </is>
      </c>
      <c r="I6" s="2" t="inlineStr"/>
    </row>
    <row r="7">
      <c r="A7" s="2" t="n">
        <v>1</v>
      </c>
      <c r="B7" s="2" t="inlineStr">
        <is>
          <t>Thermo Fisher Scientific</t>
        </is>
      </c>
      <c r="C7" s="2" t="inlineStr">
        <is>
          <t>subsidiary</t>
        </is>
      </c>
      <c r="D7" s="2" t="inlineStr">
        <is>
          <t>Danyel Biotech Ltd.</t>
        </is>
      </c>
      <c r="E7" s="2" t="inlineStr">
        <is>
          <t>דניאל ביוטק</t>
        </is>
      </c>
      <c r="F7" s="2" t="inlineStr">
        <is>
          <t>מפיץ</t>
        </is>
      </c>
      <c r="G7" s="2" t="inlineStr">
        <is>
          <t>Olink proteomics (a Thermo Fisher business)</t>
        </is>
      </c>
      <c r="H7" s="2" t="inlineStr">
        <is>
          <t>https://www.danyel.co.il</t>
        </is>
      </c>
      <c r="I7" s="2" t="inlineStr"/>
    </row>
    <row r="8">
      <c r="A8" s="2" t="n">
        <v>1</v>
      </c>
      <c r="B8" s="2" t="inlineStr">
        <is>
          <t>Thermo Fisher Scientific</t>
        </is>
      </c>
      <c r="C8" s="2" t="inlineStr">
        <is>
          <t>subsidiary</t>
        </is>
      </c>
      <c r="D8" s="2" t="inlineStr">
        <is>
          <t>Thermo Fisher Scientific – EM service location, Airport City</t>
        </is>
      </c>
      <c r="E8" s="2" t="inlineStr"/>
      <c r="F8" s="2" t="inlineStr">
        <is>
          <t>שירות</t>
        </is>
      </c>
      <c r="G8" s="2" t="inlineStr">
        <is>
          <t>electron-microscopy service &amp; support</t>
        </is>
      </c>
      <c r="H8" s="2" t="inlineStr"/>
      <c r="I8" s="2" t="inlineStr"/>
    </row>
    <row r="9">
      <c r="A9" s="2" t="n">
        <v>2</v>
      </c>
      <c r="B9" s="2" t="inlineStr">
        <is>
          <t>Agilent Technologies</t>
        </is>
      </c>
      <c r="C9" s="2" t="inlineStr">
        <is>
          <t>distributor</t>
        </is>
      </c>
      <c r="D9" s="2" t="inlineStr">
        <is>
          <t>Eldan Electronic Instruments Ltd. (Neopharm group)</t>
        </is>
      </c>
      <c r="E9" s="2" t="inlineStr">
        <is>
          <t>אלדן</t>
        </is>
      </c>
      <c r="F9" s="2" t="inlineStr">
        <is>
          <t>מפיץ</t>
        </is>
      </c>
      <c r="G9" s="2" t="inlineStr">
        <is>
          <t>Agilent authorised distributor for Israel (chromatography, spectroscopy, mass spectrometry, lab products)</t>
        </is>
      </c>
      <c r="H9" s="2" t="inlineStr">
        <is>
          <t>https://www.eldan.biz</t>
        </is>
      </c>
      <c r="I9" s="2" t="inlineStr">
        <is>
          <t>https://www.agilent.com/en/contact-us/israel</t>
        </is>
      </c>
    </row>
    <row r="10">
      <c r="A10" s="2" t="n">
        <v>3</v>
      </c>
      <c r="B10" s="2" t="inlineStr">
        <is>
          <t>Merck KGaA – Life Science (MilliporeSigma / Sigma-Aldrich / Merck Millipore)</t>
        </is>
      </c>
      <c r="C10" s="2" t="inlineStr">
        <is>
          <t>subsidiary</t>
        </is>
      </c>
      <c r="D10" s="2" t="inlineStr">
        <is>
          <t>Sigma-Aldrich Israel Ltd. (affiliate of Merck KGaA, Darmstadt)</t>
        </is>
      </c>
      <c r="E10" s="2" t="inlineStr"/>
      <c r="F10" s="2" t="inlineStr">
        <is>
          <t>חברה-בת</t>
        </is>
      </c>
      <c r="G10" s="2" t="inlineStr">
        <is>
          <t>Merck's own Israeli entity: sales/customer contact for Israel and production sites in Rehovot (antibodies, primers, peptides; 3 Plaut St.) and Jerusalem (Har Hotzvim)</t>
        </is>
      </c>
      <c r="H10" s="2" t="inlineStr">
        <is>
          <t>https://www.sigmaaldrich.com/IL/en</t>
        </is>
      </c>
      <c r="I10" s="2" t="inlineStr">
        <is>
          <t>https://www.sigmaaldrich.com/US/en/collections/offices</t>
        </is>
      </c>
    </row>
    <row r="11">
      <c r="A11" s="2" t="n">
        <v>3</v>
      </c>
      <c r="B11" s="2" t="inlineStr">
        <is>
          <t>Merck KGaA – Life Science (MilliporeSigma / Sigma-Aldrich / Merck Millipore)</t>
        </is>
      </c>
      <c r="C11" s="2" t="inlineStr">
        <is>
          <t>subsidiary</t>
        </is>
      </c>
      <c r="D11" s="2" t="inlineStr">
        <is>
          <t>Mercury Scientific &amp; Industrial Products Ltd. (Gadot group)</t>
        </is>
      </c>
      <c r="E11" s="2" t="inlineStr">
        <is>
          <t>מרקורי מוצרי מדע ותעשייה (גדות מרקורי)</t>
        </is>
      </c>
      <c r="F11" s="2" t="inlineStr">
        <is>
          <t>מפיץ</t>
        </is>
      </c>
      <c r="G11" s="2" t="inlineStr">
        <is>
          <t>self-described exclusive Israeli representative for Merck Milli-Q lab-water systems (sales + certified service since 2012) and distributor of Merck KGaA life-science and chemicals divisions (Millipore filtration, MQuant etc.)</t>
        </is>
      </c>
      <c r="H11" s="2" t="inlineStr">
        <is>
          <t>https://www.mercury-ltd.co.il</t>
        </is>
      </c>
      <c r="I11" s="2" t="inlineStr">
        <is>
          <t>https://www.mercury-ltd.co.il/water_purification_1</t>
        </is>
      </c>
    </row>
    <row r="12">
      <c r="A12" s="2" t="n">
        <v>4</v>
      </c>
      <c r="B12" s="2" t="inlineStr">
        <is>
          <t>Waters Corporation</t>
        </is>
      </c>
      <c r="C12" s="2" t="inlineStr">
        <is>
          <t>subsidiary</t>
        </is>
      </c>
      <c r="D12" s="2" t="inlineStr">
        <is>
          <t>Waters (TC) Israel Ltd.</t>
        </is>
      </c>
      <c r="E12" s="2" t="inlineStr"/>
      <c r="F12" s="2" t="inlineStr">
        <is>
          <t>חברה-בת</t>
        </is>
      </c>
      <c r="G12" s="2" t="inlineStr">
        <is>
          <t>Israeli legal entity listed in Waters' 10-K subsidiaries exhibit; sales/service scope not established</t>
        </is>
      </c>
      <c r="H12" s="2" t="inlineStr"/>
      <c r="I12" s="2" t="inlineStr">
        <is>
          <t>https://www.sec.gov/Archives/edgar/data/1000697/000119312524047491/d691142dex211.htm</t>
        </is>
      </c>
    </row>
    <row r="13">
      <c r="A13" s="2" t="n">
        <v>5</v>
      </c>
      <c r="B13" s="2" t="inlineStr">
        <is>
          <t>Bruker Corporation</t>
        </is>
      </c>
      <c r="C13" s="2" t="inlineStr">
        <is>
          <t>subsidiary</t>
        </is>
      </c>
      <c r="D13" s="2" t="inlineStr">
        <is>
          <t>Lapidot Medical Import and Marketing Ltd.</t>
        </is>
      </c>
      <c r="E13" s="2" t="inlineStr"/>
      <c r="F13" s="2" t="inlineStr">
        <is>
          <t>מפיץ</t>
        </is>
      </c>
      <c r="G13" s="2" t="inlineStr">
        <is>
          <t>Bruker's official Israel contact/partner (Caesarea Industrial Park); the Bruker Israel page covers the Bruker business generally - no separate NMR / AXS / Nano / microCT listings were visible</t>
        </is>
      </c>
      <c r="H13" s="2" t="inlineStr">
        <is>
          <t>https://www.lapidot.com</t>
        </is>
      </c>
      <c r="I13" s="2" t="inlineStr">
        <is>
          <t>https://www.bruker.com/en/services/support/india-middleeast-africa/israel-caesarea.html</t>
        </is>
      </c>
    </row>
    <row r="14">
      <c r="A14" s="2" t="n">
        <v>5</v>
      </c>
      <c r="B14" s="2" t="inlineStr">
        <is>
          <t>Bruker Corporation</t>
        </is>
      </c>
      <c r="C14" s="2" t="inlineStr">
        <is>
          <t>subsidiary</t>
        </is>
      </c>
      <c r="D14" s="2" t="inlineStr">
        <is>
          <t>Bruker - Israel office, Gedera (mass spectrometry)</t>
        </is>
      </c>
      <c r="E14" s="2" t="inlineStr"/>
      <c r="F14" s="2" t="inlineStr">
        <is>
          <t>חברה-בת</t>
        </is>
      </c>
      <c r="G14" s="2" t="inlineStr">
        <is>
          <t>mass-spectrometry (Bruker Daltonics) enquiries are directed to Bruker's own office in Gedera, Israel; legal entity name not shown on the page</t>
        </is>
      </c>
      <c r="H14" s="2" t="inlineStr">
        <is>
          <t>https://www.bruker.com</t>
        </is>
      </c>
      <c r="I14" s="2" t="inlineStr">
        <is>
          <t>https://www.bruker.com/en/services/support/office.india-middle-east-africa.israel-caesarea.html</t>
        </is>
      </c>
    </row>
    <row r="15">
      <c r="A15" s="2" t="n">
        <v>6</v>
      </c>
      <c r="B15" s="2" t="inlineStr">
        <is>
          <t>Shimadzu Corporation</t>
        </is>
      </c>
      <c r="C15" s="2" t="inlineStr">
        <is>
          <t>distributor</t>
        </is>
      </c>
      <c r="D15" s="2" t="inlineStr">
        <is>
          <t>Agentek (1987) Ltd.</t>
        </is>
      </c>
      <c r="E15" s="2" t="inlineStr">
        <is>
          <t>אגנטק</t>
        </is>
      </c>
      <c r="F15" s="2" t="inlineStr">
        <is>
          <t>מפיץ</t>
        </is>
      </c>
      <c r="G15" s="2" t="inlineStr">
        <is>
          <t>analytical instruments - HPLC/UHPLC (i-Series LC-2070/LC-2080), LC-MS (LCMS-9050, LCMS-8065XE), GC (Nexis GC-2060), XRF (ALTRACE) per Agentek's product pages</t>
        </is>
      </c>
      <c r="H15" s="2" t="inlineStr">
        <is>
          <t>https://agentek.co.il</t>
        </is>
      </c>
      <c r="I15" s="2" t="inlineStr">
        <is>
          <t>https://agentek.co.il/representative/shimadzu/</t>
        </is>
      </c>
    </row>
    <row r="16">
      <c r="A16" s="2" t="n">
        <v>7</v>
      </c>
      <c r="B16" s="2" t="inlineStr">
        <is>
          <t>Mettler-Toledo International</t>
        </is>
      </c>
      <c r="C16" s="2" t="inlineStr">
        <is>
          <t>distributor</t>
        </is>
      </c>
      <c r="D16" s="2" t="inlineStr">
        <is>
          <t>Agentek (1987) Ltd.</t>
        </is>
      </c>
      <c r="E16" s="2" t="inlineStr">
        <is>
          <t>אגנטק</t>
        </is>
      </c>
      <c r="F16" s="2" t="inlineStr">
        <is>
          <t>מפיץ</t>
        </is>
      </c>
      <c r="G16" s="2" t="inlineStr">
        <is>
          <t>laboratory weighing (balances) per mt.com Israel page; Agentek's own site also shows Rainin pipettes (distributing since replacing Gilson), titration/automated chemistry (reactor sampling), FreeWeigh.NET and industrial scales; Euro Park Yakum, sales +972 9 9657000, service +972 9 9657007</t>
        </is>
      </c>
      <c r="H16" s="2" t="inlineStr">
        <is>
          <t>https://agentek.co.il</t>
        </is>
      </c>
      <c r="I16" s="2" t="inlineStr">
        <is>
          <t>https://www.mt.com/il/en/home.html</t>
        </is>
      </c>
    </row>
    <row r="17">
      <c r="A17" s="2" t="n">
        <v>7</v>
      </c>
      <c r="B17" s="2" t="inlineStr">
        <is>
          <t>Mettler-Toledo International</t>
        </is>
      </c>
      <c r="C17" s="2" t="inlineStr">
        <is>
          <t>distributor</t>
        </is>
      </c>
      <c r="D17" s="2" t="inlineStr">
        <is>
          <t>Modcon Systems Ltd.</t>
        </is>
      </c>
      <c r="E17" s="2" t="inlineStr"/>
      <c r="F17" s="2" t="inlineStr">
        <is>
          <t>מפיץ</t>
        </is>
      </c>
      <c r="G17" s="2" t="inlineStr">
        <is>
          <t>process analytics (Ingold sensors/transmitters); Akko, +972 4 9553955</t>
        </is>
      </c>
      <c r="H17" s="2" t="inlineStr"/>
      <c r="I17" s="2" t="inlineStr">
        <is>
          <t>https://www.mt.com/il/en/home.html</t>
        </is>
      </c>
    </row>
    <row r="18">
      <c r="A18" s="2" t="n">
        <v>7</v>
      </c>
      <c r="B18" s="2" t="inlineStr">
        <is>
          <t>Mettler-Toledo International</t>
        </is>
      </c>
      <c r="C18" s="2" t="inlineStr">
        <is>
          <t>distributor</t>
        </is>
      </c>
      <c r="D18" s="2" t="inlineStr">
        <is>
          <t>Dinco Ltd.</t>
        </is>
      </c>
      <c r="E18" s="2" t="inlineStr"/>
      <c r="F18" s="2" t="inlineStr">
        <is>
          <t>מפיץ</t>
        </is>
      </c>
      <c r="G18" s="2" t="inlineStr">
        <is>
          <t>product inspection (Safeline X-ray etc.); Tirat Carmel, +972 4 813 15 15</t>
        </is>
      </c>
      <c r="H18" s="2" t="inlineStr"/>
      <c r="I18" s="2" t="inlineStr">
        <is>
          <t>https://www.mt.com/il/en/home.html</t>
        </is>
      </c>
    </row>
    <row r="19">
      <c r="A19" s="2" t="n">
        <v>8</v>
      </c>
      <c r="B19" s="2" t="inlineStr">
        <is>
          <t>Sartorius AG</t>
        </is>
      </c>
      <c r="C19" s="2" t="inlineStr">
        <is>
          <t>subsidiary</t>
        </is>
      </c>
      <c r="D19" s="2" t="inlineStr">
        <is>
          <t>Sartorius Israel Ltd.</t>
        </is>
      </c>
      <c r="E19" s="2" t="inlineStr"/>
      <c r="F19" s="2" t="inlineStr">
        <is>
          <t>חברה-בת</t>
        </is>
      </c>
      <c r="G19" s="2" t="inlineStr">
        <is>
          <t>Sartorius' Israeli company at Kibbutz Beit Haemek (ex-Biological Industries; cell-culture media production and local contact, info.israel@sartorius.com, +972-4-9960595); in-country sales representative advertised</t>
        </is>
      </c>
      <c r="H19" s="2" t="inlineStr">
        <is>
          <t>https://www.sartorius.com/en/general-contact/local-contact</t>
        </is>
      </c>
      <c r="I19" s="2" t="inlineStr">
        <is>
          <t>https://www.sartorius.com/en/general-contact/local-contact</t>
        </is>
      </c>
    </row>
    <row r="20">
      <c r="A20" s="2" t="n">
        <v>8</v>
      </c>
      <c r="B20" s="2" t="inlineStr">
        <is>
          <t>Sartorius AG</t>
        </is>
      </c>
      <c r="C20" s="2" t="inlineStr">
        <is>
          <t>subsidiary</t>
        </is>
      </c>
      <c r="D20" s="2" t="inlineStr">
        <is>
          <t>Labotal Scientific Equipment</t>
        </is>
      </c>
      <c r="E20" s="2" t="inlineStr">
        <is>
          <t>לבוטל</t>
        </is>
      </c>
      <c r="F20" s="2" t="inlineStr">
        <is>
          <t>מפיץ</t>
        </is>
      </c>
      <c r="G20" s="2" t="inlineStr">
        <is>
          <t>self-described exclusive Sartorius representative in Israel for weighing (Cubis II balances) and lab products incl. pipettes</t>
        </is>
      </c>
      <c r="H20" s="2" t="inlineStr">
        <is>
          <t>https://labotal.co.il</t>
        </is>
      </c>
      <c r="I20" s="2" t="inlineStr">
        <is>
          <t>https://labotal.co.il/המדריך-המקיף-לבחירת-מאזניים-אנליטיים/</t>
        </is>
      </c>
    </row>
    <row r="21">
      <c r="A21" s="2" t="n">
        <v>9</v>
      </c>
      <c r="B21" s="2" t="inlineStr">
        <is>
          <t>Revvity</t>
        </is>
      </c>
      <c r="C21" s="2" t="inlineStr">
        <is>
          <t>distributor</t>
        </is>
      </c>
      <c r="D21" s="2" t="inlineStr">
        <is>
          <t>Gamidor Diagnostics</t>
        </is>
      </c>
      <c r="E21" s="2" t="inlineStr">
        <is>
          <t>גאמידור בע"מ</t>
        </is>
      </c>
      <c r="F21" s="2" t="inlineStr">
        <is>
          <t>מפיץ</t>
        </is>
      </c>
      <c r="G21" s="2" t="inlineStr">
        <is>
          <t>reproductive health / prenatal screening immunoassays (PAPP-A, free beta-hCG, AFP, hCG, uE3, inhibin, PlGF) - Gamidor states it has represented Revvity (ex-PerkinElmer/Wallac) in prenatal screening since 1984</t>
        </is>
      </c>
      <c r="H21" s="2" t="inlineStr">
        <is>
          <t>https://gamidor.co.il</t>
        </is>
      </c>
      <c r="I21" s="2" t="inlineStr">
        <is>
          <t>https://gamidor.co.il/en/genetics/</t>
        </is>
      </c>
    </row>
    <row r="22">
      <c r="A22" s="2" t="n">
        <v>9</v>
      </c>
      <c r="B22" s="2" t="inlineStr">
        <is>
          <t>Revvity</t>
        </is>
      </c>
      <c r="C22" s="2" t="inlineStr">
        <is>
          <t>distributor</t>
        </is>
      </c>
      <c r="D22" s="2" t="inlineStr">
        <is>
          <t>Enco</t>
        </is>
      </c>
      <c r="E22" s="2" t="inlineStr"/>
      <c r="F22" s="2" t="inlineStr">
        <is>
          <t>מפיץ</t>
        </is>
      </c>
      <c r="G22" s="2" t="inlineStr">
        <is>
          <t>Revvity screening reagents and consumables (OptiPlate/SpectraPlate microplates, AlphaLISA SureFire Ultra kits) listed in Enco's online catalogue</t>
        </is>
      </c>
      <c r="H22" s="2" t="inlineStr">
        <is>
          <t>https://www.enco.co.il</t>
        </is>
      </c>
      <c r="I22" s="2" t="inlineStr">
        <is>
          <t>https://www.enco.co.il/screening_reagents/optiplate384_f_hb200b/6005529/</t>
        </is>
      </c>
    </row>
    <row r="23">
      <c r="A23" s="2" t="n">
        <v>10</v>
      </c>
      <c r="B23" s="2" t="inlineStr">
        <is>
          <t>PerkinElmer (New Mountain Capital)</t>
        </is>
      </c>
      <c r="C23" s="2" t="inlineStr">
        <is>
          <t>subsidiary</t>
        </is>
      </c>
      <c r="D23" s="2" t="inlineStr">
        <is>
          <t>PerkinElmer Israel Ltd.</t>
        </is>
      </c>
      <c r="E23" s="2" t="inlineStr"/>
      <c r="F23" s="2" t="inlineStr">
        <is>
          <t>חברה-בת</t>
        </is>
      </c>
      <c r="G23" s="2" t="inlineStr">
        <is>
          <t>direct sales, service and support for analytical instruments (atomic spectroscopy/ICP-MS, chromatography, mass spectrometry, FTIR) and OneSource lab services; 4 HaSheizaf St., Ra'anana 4366411, +972 3655 8777</t>
        </is>
      </c>
      <c r="H23" s="2" t="inlineStr">
        <is>
          <t>https://www.perkinelmer.com</t>
        </is>
      </c>
      <c r="I23" s="2" t="inlineStr">
        <is>
          <t>https://www.perkinelmer.com/be/contactus/officelocations?location=IL</t>
        </is>
      </c>
    </row>
    <row r="24">
      <c r="A24" s="2" t="n">
        <v>10</v>
      </c>
      <c r="B24" s="2" t="inlineStr">
        <is>
          <t>PerkinElmer (New Mountain Capital)</t>
        </is>
      </c>
      <c r="C24" s="2" t="inlineStr">
        <is>
          <t>subsidiary</t>
        </is>
      </c>
      <c r="D24" s="2" t="inlineStr">
        <is>
          <t>ISI Israel Scientific Instruments Ltd.</t>
        </is>
      </c>
      <c r="E24" s="2" t="inlineStr"/>
      <c r="F24" s="2" t="inlineStr">
        <is>
          <t>מפיץ</t>
        </is>
      </c>
      <c r="G24" s="2" t="inlineStr">
        <is>
          <t>food testing / food quality products, as listed on PerkinElmer's site; Shacham St 32, Petach Tikva, +972 3-9232202 (site given as isil.co.il)</t>
        </is>
      </c>
      <c r="H24" s="2" t="inlineStr">
        <is>
          <t>https://www.isil.co.il</t>
        </is>
      </c>
      <c r="I24" s="2" t="inlineStr">
        <is>
          <t>https://www.perkinelmer.com/node/10826</t>
        </is>
      </c>
    </row>
    <row r="25">
      <c r="A25" s="2" t="n">
        <v>11</v>
      </c>
      <c r="B25" s="2" t="inlineStr">
        <is>
          <t>Bio-Rad Laboratories</t>
        </is>
      </c>
      <c r="C25" s="2" t="inlineStr">
        <is>
          <t>subsidiary</t>
        </is>
      </c>
      <c r="D25" s="2" t="inlineStr">
        <is>
          <t>Bio-Rad Israel Ltd. (Bio-Rad Laboratories (Rishon))</t>
        </is>
      </c>
      <c r="E25" s="2" t="inlineStr">
        <is>
          <t>ביו-ראד ישראל</t>
        </is>
      </c>
      <c r="F25" s="2" t="inlineStr">
        <is>
          <t>חברה-בת</t>
        </is>
      </c>
      <c r="G25" s="2" t="inlineStr">
        <is>
          <t>direct sales &amp; service of life-science and clinical-diagnostics products (Rishon LeZion; branch since 1991)</t>
        </is>
      </c>
      <c r="H25" s="2" t="inlineStr">
        <is>
          <t>https://www.bio-rad.com</t>
        </is>
      </c>
      <c r="I25" s="2" t="inlineStr">
        <is>
          <t>https://www.bio-rad.com/en-il/corporate/careers</t>
        </is>
      </c>
    </row>
    <row r="26">
      <c r="A26" s="2" t="n">
        <v>11</v>
      </c>
      <c r="B26" s="2" t="inlineStr">
        <is>
          <t>Bio-Rad Laboratories</t>
        </is>
      </c>
      <c r="C26" s="2" t="inlineStr">
        <is>
          <t>subsidiary</t>
        </is>
      </c>
      <c r="D26" s="2" t="inlineStr">
        <is>
          <t>Bio-Rad Haifa Ltd.</t>
        </is>
      </c>
      <c r="E26" s="2" t="inlineStr">
        <is>
          <t>ביו-ראד חיפה</t>
        </is>
      </c>
      <c r="F26" s="2" t="inlineStr">
        <is>
          <t>חברה-בת</t>
        </is>
      </c>
      <c r="G26" s="2" t="inlineStr">
        <is>
          <t>R&amp;D site (ex-ProteOptics, 2006); not a sales channel</t>
        </is>
      </c>
      <c r="H26" s="2" t="inlineStr"/>
      <c r="I26" s="2" t="inlineStr"/>
    </row>
    <row r="27">
      <c r="A27" s="2" t="n">
        <v>12</v>
      </c>
      <c r="B27" s="2" t="inlineStr">
        <is>
          <t>Avantor (incl. VWR)</t>
        </is>
      </c>
      <c r="C27" s="2" t="inlineStr">
        <is>
          <t>none_found</t>
        </is>
      </c>
      <c r="D27" s="2" t="inlineStr">
        <is>
          <t>—</t>
        </is>
      </c>
      <c r="E27" s="2" t="inlineStr"/>
      <c r="F27" s="2" t="inlineStr"/>
      <c r="G27" s="2" t="inlineStr"/>
      <c r="H27" s="2" t="inlineStr"/>
      <c r="I27" s="2" t="inlineStr"/>
    </row>
    <row r="28">
      <c r="A28" s="2" t="n">
        <v>13</v>
      </c>
      <c r="B28" s="2" t="inlineStr">
        <is>
          <t>Eppendorf SE</t>
        </is>
      </c>
      <c r="C28" s="2" t="inlineStr">
        <is>
          <t>distributor</t>
        </is>
      </c>
      <c r="D28" s="2" t="inlineStr">
        <is>
          <t>Lumitron Ltd. (Comtel Technologies &amp; Engineering group)</t>
        </is>
      </c>
      <c r="E28" s="2" t="inlineStr">
        <is>
          <t>לומיטרון</t>
        </is>
      </c>
      <c r="F28" s="2" t="inlineStr">
        <is>
          <t>מפיץ</t>
        </is>
      </c>
      <c r="G28" s="2" t="inlineStr">
        <is>
          <t>Eppendorf importer / distributor (centrifuges, pipettes, consumables)</t>
        </is>
      </c>
      <c r="H28" s="2" t="inlineStr">
        <is>
          <t>https://www.lumitron.co.il</t>
        </is>
      </c>
      <c r="I28" s="2" t="inlineStr"/>
    </row>
    <row r="29">
      <c r="A29" s="2" t="n">
        <v>14</v>
      </c>
      <c r="B29" s="2" t="inlineStr">
        <is>
          <t>QIAGEN</t>
        </is>
      </c>
      <c r="C29" s="2" t="inlineStr">
        <is>
          <t>distributor</t>
        </is>
      </c>
      <c r="D29" s="2" t="inlineStr">
        <is>
          <t>Ilex Medical Ltd.</t>
        </is>
      </c>
      <c r="E29" s="2" t="inlineStr"/>
      <c r="F29" s="2" t="inlineStr">
        <is>
          <t>מפיץ</t>
        </is>
      </c>
      <c r="G29" s="2" t="inlineStr">
        <is>
          <t>molecular diagnostics and research - QIAcuity digital PCR, Rotor-Gene Q qPCR, QIAxcel, nucleic-acid extraction, oncology and hematology assay kits (Ilex catalogue pages, c. 2024)</t>
        </is>
      </c>
      <c r="H29" s="2" t="inlineStr">
        <is>
          <t>https://www.ilexmedical.com</t>
        </is>
      </c>
      <c r="I29" s="2" t="inlineStr">
        <is>
          <t>https://www.ilexmedical.com/catalog_products/qpcr-dpcr/</t>
        </is>
      </c>
    </row>
    <row r="30">
      <c r="A30" s="2" t="n">
        <v>14</v>
      </c>
      <c r="B30" s="2" t="inlineStr">
        <is>
          <t>QIAGEN</t>
        </is>
      </c>
      <c r="C30" s="2" t="inlineStr">
        <is>
          <t>distributor</t>
        </is>
      </c>
      <c r="D30" s="2" t="inlineStr">
        <is>
          <t>Eldan Electronic Instruments (Neopharm group)</t>
        </is>
      </c>
      <c r="E30" s="2" t="inlineStr"/>
      <c r="F30" s="2" t="inlineStr">
        <is>
          <t>מפיץ</t>
        </is>
      </c>
      <c r="G30" s="2" t="inlineStr">
        <is>
          <t>listed QIAGEN among the manufacturers it represents in Israel (life-science research) on a 2014 page and showed QIAGEN products at ISM/IIS meetings in 2015-2016; current status unconfirmed</t>
        </is>
      </c>
      <c r="H30" s="2" t="inlineStr">
        <is>
          <t>https://eldan.biz</t>
        </is>
      </c>
      <c r="I30" s="2" t="inlineStr">
        <is>
          <t>https://eldan.biz/?p=1052</t>
        </is>
      </c>
    </row>
    <row r="31">
      <c r="A31" s="2" t="n">
        <v>15</v>
      </c>
      <c r="B31" s="2" t="inlineStr">
        <is>
          <t>Illumina</t>
        </is>
      </c>
      <c r="C31" s="2" t="inlineStr">
        <is>
          <t>distributor</t>
        </is>
      </c>
      <c r="D31" s="2" t="inlineStr">
        <is>
          <t>Danyel Biotech Ltd. (Gamida for Life group)</t>
        </is>
      </c>
      <c r="E31" s="2" t="inlineStr">
        <is>
          <t>דניאל ביוטק</t>
        </is>
      </c>
      <c r="F31" s="2" t="inlineStr">
        <is>
          <t>מפיץ</t>
        </is>
      </c>
      <c r="G31" s="2" t="inlineStr">
        <is>
          <t>Illumina sequencers, arrays and reagents (long-standing distributor; 2020 evidence – verify current status)</t>
        </is>
      </c>
      <c r="H31" s="2" t="inlineStr">
        <is>
          <t>https://www.danyel.co.il</t>
        </is>
      </c>
      <c r="I31" s="2" t="inlineStr"/>
    </row>
    <row r="32">
      <c r="A32" s="2" t="n">
        <v>15</v>
      </c>
      <c r="B32" s="2" t="inlineStr">
        <is>
          <t>Illumina</t>
        </is>
      </c>
      <c r="C32" s="2" t="inlineStr">
        <is>
          <t>distributor</t>
        </is>
      </c>
      <c r="D32" s="2" t="inlineStr">
        <is>
          <t>Illumina Israel (ex-Emedgene, Tel Aviv)</t>
        </is>
      </c>
      <c r="E32" s="2" t="inlineStr">
        <is>
          <t>אילומינה ישראל</t>
        </is>
      </c>
      <c r="F32" s="2" t="inlineStr">
        <is>
          <t>חברה-בת</t>
        </is>
      </c>
      <c r="G32" s="2" t="inlineStr">
        <is>
          <t>R&amp;D / AI centre of excellence (~30 staff); not a sales channel</t>
        </is>
      </c>
      <c r="H32" s="2" t="inlineStr"/>
      <c r="I32" s="2" t="inlineStr"/>
    </row>
    <row r="33">
      <c r="A33" s="2" t="n">
        <v>16</v>
      </c>
      <c r="B33" s="2" t="inlineStr">
        <is>
          <t>Beckman Coulter (Danaher)</t>
        </is>
      </c>
      <c r="C33" s="2" t="inlineStr">
        <is>
          <t>distributor</t>
        </is>
      </c>
      <c r="D33" s="2" t="inlineStr">
        <is>
          <t>Rhenium Ltd.</t>
        </is>
      </c>
      <c r="E33" s="2" t="inlineStr">
        <is>
          <t>רניום</t>
        </is>
      </c>
      <c r="F33" s="2" t="inlineStr">
        <is>
          <t>מפיץ</t>
        </is>
      </c>
      <c r="G33" s="2" t="inlineStr">
        <is>
          <t>Beckman Coulter Life Sciences (official Israel contact page: Rhenium, 20 Hasatat St, Modi'in); the Diagnostics channel may be a different partner – to verify</t>
        </is>
      </c>
      <c r="H33" s="2" t="inlineStr">
        <is>
          <t>https://www.rhenium.co.il</t>
        </is>
      </c>
      <c r="I33" s="2" t="inlineStr">
        <is>
          <t>https://www.beckman.com/contact-us/israel</t>
        </is>
      </c>
    </row>
    <row r="34">
      <c r="A34" s="2" t="n">
        <v>17</v>
      </c>
      <c r="B34" s="2" t="inlineStr">
        <is>
          <t>Cytiva (Danaher)</t>
        </is>
      </c>
      <c r="C34" s="2" t="inlineStr">
        <is>
          <t>distributor</t>
        </is>
      </c>
      <c r="D34" s="2" t="inlineStr">
        <is>
          <t>Danyel Biotech</t>
        </is>
      </c>
      <c r="E34" s="2" t="inlineStr"/>
      <c r="F34" s="2" t="inlineStr">
        <is>
          <t>מפיץ</t>
        </is>
      </c>
      <c r="G34" s="2" t="inlineStr">
        <is>
          <t>Cytiva chromatography (ÄKTA pure) and Biacore; other Cytiva lines (Whatman, Amersham, Pall) not confirmed</t>
        </is>
      </c>
      <c r="H34" s="2" t="inlineStr">
        <is>
          <t>https://www.danyel.co.il</t>
        </is>
      </c>
      <c r="I34" s="2" t="inlineStr">
        <is>
          <t>https://www.danyel.co.il/cytiva/</t>
        </is>
      </c>
    </row>
    <row r="35">
      <c r="A35" s="2" t="n">
        <v>18</v>
      </c>
      <c r="B35" s="2" t="inlineStr">
        <is>
          <t>Leica Microsystems (Danaher)</t>
        </is>
      </c>
      <c r="C35" s="2" t="inlineStr">
        <is>
          <t>distributor</t>
        </is>
      </c>
      <c r="D35" s="2" t="inlineStr">
        <is>
          <t>Lapidot Group (Ophthalmic Surgery Unit)</t>
        </is>
      </c>
      <c r="E35" s="2" t="inlineStr"/>
      <c r="F35" s="2" t="inlineStr">
        <is>
          <t>מפיץ</t>
        </is>
      </c>
      <c r="G35" s="2" t="inlineStr">
        <is>
          <t>Leica surgical microscopes (ophthalmology, neurosurgery, ENT; floor- and ceiling-mounted) — Leica Microsystems medical division only</t>
        </is>
      </c>
      <c r="H35" s="2" t="inlineStr">
        <is>
          <t>https://www.lapidot.com</t>
        </is>
      </c>
      <c r="I35" s="2" t="inlineStr">
        <is>
          <t>https://www.lapidot.com/en/partners/</t>
        </is>
      </c>
    </row>
    <row r="36">
      <c r="A36" s="2" t="n">
        <v>18</v>
      </c>
      <c r="B36" s="2" t="inlineStr">
        <is>
          <t>Leica Microsystems (Danaher)</t>
        </is>
      </c>
      <c r="C36" s="2" t="inlineStr">
        <is>
          <t>distributor</t>
        </is>
      </c>
      <c r="D36" s="2" t="inlineStr">
        <is>
          <t>Rhenium Ltd.</t>
        </is>
      </c>
      <c r="E36" s="2" t="inlineStr"/>
      <c r="F36" s="2" t="inlineStr">
        <is>
          <t>מפיץ</t>
        </is>
      </c>
      <c r="G36" s="2" t="inlineStr">
        <is>
          <t>research microscopes — per a 2009 Israel Physical Society trade-fair listing only (exclusive representative then); NOT re-confirmed in 2026</t>
        </is>
      </c>
      <c r="H36" s="2" t="inlineStr">
        <is>
          <t>https://www.rhenium.co.il</t>
        </is>
      </c>
      <c r="I36" s="2" t="inlineStr">
        <is>
          <t>https://archive.israelphysicalsociety.org/ips-conference-2009/fairs/rhenium-ltd.html</t>
        </is>
      </c>
    </row>
    <row r="37">
      <c r="A37" s="2" t="n">
        <v>19</v>
      </c>
      <c r="B37" s="2" t="inlineStr">
        <is>
          <t>SCIEX (Danaher)</t>
        </is>
      </c>
      <c r="C37" s="2" t="inlineStr">
        <is>
          <t>distributor</t>
        </is>
      </c>
      <c r="D37" s="2" t="inlineStr">
        <is>
          <t>Rhenium Group</t>
        </is>
      </c>
      <c r="E37" s="2" t="inlineStr">
        <is>
          <t>רניום</t>
        </is>
      </c>
      <c r="F37" s="2" t="inlineStr">
        <is>
          <t>מפיץ</t>
        </is>
      </c>
      <c r="G37" s="2" t="inlineStr">
        <is>
          <t>SCIEX mass spectrometry – Israeli distributor since 1 April 2025 (took over from Agentek)</t>
        </is>
      </c>
      <c r="H37" s="2" t="inlineStr">
        <is>
          <t>https://www.rhenium.co.il</t>
        </is>
      </c>
      <c r="I37" s="2" t="inlineStr"/>
    </row>
    <row r="38">
      <c r="A38" s="2" t="n">
        <v>20</v>
      </c>
      <c r="B38" s="2" t="inlineStr">
        <is>
          <t>Molecular Devices (Danaher)</t>
        </is>
      </c>
      <c r="C38" s="2" t="inlineStr">
        <is>
          <t>none_found</t>
        </is>
      </c>
      <c r="D38" s="2" t="inlineStr">
        <is>
          <t>—</t>
        </is>
      </c>
      <c r="E38" s="2" t="inlineStr"/>
      <c r="F38" s="2" t="inlineStr"/>
      <c r="G38" s="2" t="inlineStr"/>
      <c r="H38" s="2" t="inlineStr"/>
      <c r="I38" s="2" t="inlineStr"/>
    </row>
    <row r="39">
      <c r="A39" s="2" t="n">
        <v>21</v>
      </c>
      <c r="B39" s="2" t="inlineStr">
        <is>
          <t>BD Biosciences &amp; BD Diagnostic Solutions (part of Waters since Feb 2026)</t>
        </is>
      </c>
      <c r="C39" s="2" t="inlineStr">
        <is>
          <t>subsidiary</t>
        </is>
      </c>
      <c r="D39" s="2" t="inlineStr">
        <is>
          <t>Augusta Life Sciences Israel Ltd. (Waters subsidiary, ex-BD Biosciences &amp; Diagnostic Solutions)</t>
        </is>
      </c>
      <c r="E39" s="2" t="inlineStr"/>
      <c r="F39" s="2" t="inlineStr">
        <is>
          <t>חברה-בת</t>
        </is>
      </c>
      <c r="G39" s="2" t="inlineStr">
        <is>
          <t>Israeli entity of the acquired BD Biosciences &amp; Diagnostic Solutions business (flow cytometry, BD MAX, BACTEC, Phoenix lines), listed by Waters among the SpinCo entities wholly owned by Waters since 9 Feb 2026; Harduf HaNehalim St 2, Caesarea 3079857</t>
        </is>
      </c>
      <c r="H39" s="2" t="inlineStr">
        <is>
          <t>https://www.waters.com</t>
        </is>
      </c>
      <c r="I39" s="2" t="inlineStr">
        <is>
          <t>https://www.waters.com/nextgen/us/en/about-waters/corporate-governance/legal-and-privacy-notices/bdtransaction.html</t>
        </is>
      </c>
    </row>
    <row r="40">
      <c r="A40" s="2" t="n">
        <v>21</v>
      </c>
      <c r="B40" s="2" t="inlineStr">
        <is>
          <t>BD Biosciences &amp; BD Diagnostic Solutions (part of Waters since Feb 2026)</t>
        </is>
      </c>
      <c r="C40" s="2" t="inlineStr">
        <is>
          <t>subsidiary</t>
        </is>
      </c>
      <c r="D40" s="2" t="inlineStr">
        <is>
          <t>BD Israel (Becton Dickinson)</t>
        </is>
      </c>
      <c r="E40" s="2" t="inlineStr"/>
      <c r="F40" s="2" t="inlineStr">
        <is>
          <t>חברה-בת</t>
        </is>
      </c>
      <c r="G40" s="2" t="inlineStr">
        <is>
          <t>BD's own Israeli office and technical service, 14 Hashita St., Caesarea; +972-73-229-0850 (priceisrael@bd.com), technical service +972-73-229-0830 (TSBDISRAEL@bd.com); after the split this entity belongs to the remaining BD (medical) group</t>
        </is>
      </c>
      <c r="H40" s="2" t="inlineStr">
        <is>
          <t>https://www.bd.com/en-il</t>
        </is>
      </c>
      <c r="I40" s="2" t="inlineStr">
        <is>
          <t>https://www.bd.com/en-il/support/customer-support-contacts/bd-israel</t>
        </is>
      </c>
    </row>
    <row r="41">
      <c r="A41" s="2" t="n">
        <v>21</v>
      </c>
      <c r="B41" s="2" t="inlineStr">
        <is>
          <t>BD Biosciences &amp; BD Diagnostic Solutions (part of Waters since Feb 2026)</t>
        </is>
      </c>
      <c r="C41" s="2" t="inlineStr">
        <is>
          <t>subsidiary</t>
        </is>
      </c>
      <c r="D41" s="2" t="inlineStr">
        <is>
          <t>Lapidot Group (Lapidot Medical)</t>
        </is>
      </c>
      <c r="E41" s="2" t="inlineStr"/>
      <c r="F41" s="2" t="inlineStr">
        <is>
          <t>מפיץ</t>
        </is>
      </c>
      <c r="G41" s="2" t="inlineStr">
        <is>
          <t>lists BD as a business partner ('global medical technology company'); product scope not stated - likely BD Medical lines, not confirmed for Biosciences/Diagnostics</t>
        </is>
      </c>
      <c r="H41" s="2" t="inlineStr">
        <is>
          <t>https://www.lapidot.com</t>
        </is>
      </c>
      <c r="I41" s="2" t="inlineStr">
        <is>
          <t>https://www.lapidot.com/en/partners/</t>
        </is>
      </c>
    </row>
    <row r="42">
      <c r="A42" s="2" t="n">
        <v>22</v>
      </c>
      <c r="B42" s="2" t="inlineStr">
        <is>
          <t>Corning Life Sciences (Corning Inc.)</t>
        </is>
      </c>
      <c r="C42" s="2" t="inlineStr">
        <is>
          <t>distributor</t>
        </is>
      </c>
      <c r="D42" s="2" t="inlineStr">
        <is>
          <t>Getter Group (Getter Bio-Med)</t>
        </is>
      </c>
      <c r="E42" s="2" t="inlineStr">
        <is>
          <t>קבוצת גטר</t>
        </is>
      </c>
      <c r="F42" s="2" t="inlineStr">
        <is>
          <t>מפיץ</t>
        </is>
      </c>
      <c r="G42" s="2" t="inlineStr">
        <is>
          <t>Corning – Getter Group states it is Corning's exclusive representative (page ~2 years old; life-science vs. other Corning lines not specified)</t>
        </is>
      </c>
      <c r="H42" s="2" t="inlineStr">
        <is>
          <t>https://www.getter.co.il</t>
        </is>
      </c>
      <c r="I42" s="2" t="inlineStr">
        <is>
          <t>https://www.getter.co.il/about-en/</t>
        </is>
      </c>
    </row>
    <row r="43">
      <c r="A43" s="2" t="n">
        <v>23</v>
      </c>
      <c r="B43" s="2" t="inlineStr">
        <is>
          <t>Promega Corporation</t>
        </is>
      </c>
      <c r="C43" s="2" t="inlineStr">
        <is>
          <t>none_found</t>
        </is>
      </c>
      <c r="D43" s="2" t="inlineStr">
        <is>
          <t>—</t>
        </is>
      </c>
      <c r="E43" s="2" t="inlineStr"/>
      <c r="F43" s="2" t="inlineStr"/>
      <c r="G43" s="2" t="inlineStr"/>
      <c r="H43" s="2" t="inlineStr"/>
      <c r="I43" s="2" t="inlineStr"/>
    </row>
    <row r="44">
      <c r="A44" s="2" t="n">
        <v>24</v>
      </c>
      <c r="B44" s="2" t="inlineStr">
        <is>
          <t>New England Biolabs</t>
        </is>
      </c>
      <c r="C44" s="2" t="inlineStr">
        <is>
          <t>distributor</t>
        </is>
      </c>
      <c r="D44" s="2" t="inlineStr">
        <is>
          <t>Ornat BioChemicals &amp; Lab Equipment Ltd.</t>
        </is>
      </c>
      <c r="E44" s="2" t="inlineStr">
        <is>
          <t>אורנת</t>
        </is>
      </c>
      <c r="F44" s="2" t="inlineStr">
        <is>
          <t>מפיץ</t>
        </is>
      </c>
      <c r="G44" s="2" t="inlineStr">
        <is>
          <t>New England Biolabs reagents (per Ornat's brand list quoted on the FISEB vendors page)</t>
        </is>
      </c>
      <c r="H44" s="2" t="inlineStr">
        <is>
          <t>https://www.ornat.co.il</t>
        </is>
      </c>
      <c r="I44" s="2" t="inlineStr"/>
    </row>
    <row r="45">
      <c r="A45" s="2" t="n">
        <v>25</v>
      </c>
      <c r="B45" s="2" t="inlineStr">
        <is>
          <t>Bio-Techne</t>
        </is>
      </c>
      <c r="C45" s="2" t="inlineStr">
        <is>
          <t>none_found</t>
        </is>
      </c>
      <c r="D45" s="2" t="inlineStr">
        <is>
          <t>—</t>
        </is>
      </c>
      <c r="E45" s="2" t="inlineStr"/>
      <c r="F45" s="2" t="inlineStr"/>
      <c r="G45" s="2" t="inlineStr"/>
      <c r="H45" s="2" t="inlineStr"/>
      <c r="I45" s="2" t="inlineStr"/>
    </row>
    <row r="46">
      <c r="A46" s="2" t="n">
        <v>26</v>
      </c>
      <c r="B46" s="2" t="inlineStr">
        <is>
          <t>Miltenyi Biotec</t>
        </is>
      </c>
      <c r="C46" s="2" t="inlineStr">
        <is>
          <t>none_found</t>
        </is>
      </c>
      <c r="D46" s="2" t="inlineStr">
        <is>
          <t>—</t>
        </is>
      </c>
      <c r="E46" s="2" t="inlineStr"/>
      <c r="F46" s="2" t="inlineStr"/>
      <c r="G46" s="2" t="inlineStr"/>
      <c r="H46" s="2" t="inlineStr"/>
      <c r="I46" s="2" t="inlineStr"/>
    </row>
    <row r="47">
      <c r="A47" s="2" t="n">
        <v>27</v>
      </c>
      <c r="B47" s="2" t="inlineStr">
        <is>
          <t>10x Genomics</t>
        </is>
      </c>
      <c r="C47" s="2" t="inlineStr">
        <is>
          <t>distributor</t>
        </is>
      </c>
      <c r="D47" s="2" t="inlineStr">
        <is>
          <t>Danyel Biotech</t>
        </is>
      </c>
      <c r="E47" s="2" t="inlineStr"/>
      <c r="F47" s="2" t="inlineStr">
        <is>
          <t>מפיץ</t>
        </is>
      </c>
      <c r="G47" s="2" t="inlineStr">
        <is>
          <t>10x Genomics instruments, reagents and software (Chromium single-cell; Visium/Xenium not seen explicitly)</t>
        </is>
      </c>
      <c r="H47" s="2" t="inlineStr">
        <is>
          <t>https://www.danyel.co.il</t>
        </is>
      </c>
      <c r="I47" s="2" t="inlineStr">
        <is>
          <t>https://www.danyel.co.il/10x-genomics/</t>
        </is>
      </c>
    </row>
    <row r="48">
      <c r="A48" s="2" t="n">
        <v>28</v>
      </c>
      <c r="B48" s="2" t="inlineStr">
        <is>
          <t>Oxford Nanopore Technologies</t>
        </is>
      </c>
      <c r="C48" s="2" t="inlineStr">
        <is>
          <t>distributor</t>
        </is>
      </c>
      <c r="D48" s="2" t="inlineStr">
        <is>
          <t>Zotal Ltd.</t>
        </is>
      </c>
      <c r="E48" s="2" t="inlineStr">
        <is>
          <t>זוטל</t>
        </is>
      </c>
      <c r="F48" s="2" t="inlineStr">
        <is>
          <t>מפיץ</t>
        </is>
      </c>
      <c r="G48" s="2" t="inlineStr">
        <is>
          <t>officially licensed channel partner for Nanopore products in Israel (nanoporetech.com channel-partner page)</t>
        </is>
      </c>
      <c r="H48" s="2" t="inlineStr">
        <is>
          <t>https://www.zotal.co.il</t>
        </is>
      </c>
      <c r="I48" s="2" t="inlineStr">
        <is>
          <t>https://nanoporetech.com/about/channel-partners</t>
        </is>
      </c>
    </row>
    <row r="49">
      <c r="A49" s="2" t="n">
        <v>29</v>
      </c>
      <c r="B49" s="2" t="inlineStr">
        <is>
          <t>Pacific Biosciences</t>
        </is>
      </c>
      <c r="C49" s="2" t="inlineStr">
        <is>
          <t>none_found</t>
        </is>
      </c>
      <c r="D49" s="2" t="inlineStr">
        <is>
          <t>—</t>
        </is>
      </c>
      <c r="E49" s="2" t="inlineStr"/>
      <c r="F49" s="2" t="inlineStr"/>
      <c r="G49" s="2" t="inlineStr"/>
      <c r="H49" s="2" t="inlineStr"/>
      <c r="I49" s="2" t="inlineStr"/>
    </row>
    <row r="50">
      <c r="A50" s="2" t="n">
        <v>30</v>
      </c>
      <c r="B50" s="2" t="inlineStr">
        <is>
          <t>Tecan Group</t>
        </is>
      </c>
      <c r="C50" s="2" t="inlineStr">
        <is>
          <t>distributor</t>
        </is>
      </c>
      <c r="D50" s="2" t="inlineStr">
        <is>
          <t>Gamidor Diagnostics (1984) Ltd.</t>
        </is>
      </c>
      <c r="E50" s="2" t="inlineStr">
        <is>
          <t>גמידור דיאגנוסטיקה</t>
        </is>
      </c>
      <c r="F50" s="2" t="inlineStr">
        <is>
          <t>מפיץ</t>
        </is>
      </c>
      <c r="G50" s="2" t="inlineStr">
        <is>
          <t>Tecan diagnostics / LC-MS sample-prep kits (2025 LinkedIn evidence); the life-science liquid-handling channel is not established</t>
        </is>
      </c>
      <c r="H50" s="2" t="inlineStr">
        <is>
          <t>https://www.gamidor.co.il</t>
        </is>
      </c>
      <c r="I50" s="2" t="inlineStr"/>
    </row>
    <row r="51">
      <c r="A51" s="2" t="n">
        <v>31</v>
      </c>
      <c r="B51" s="2" t="inlineStr">
        <is>
          <t>Hamilton Company</t>
        </is>
      </c>
      <c r="C51" s="2" t="inlineStr">
        <is>
          <t>distributor</t>
        </is>
      </c>
      <c r="D51" s="2" t="inlineStr">
        <is>
          <t>Danyel Biotech Ltd. (Gamida for Life group)</t>
        </is>
      </c>
      <c r="E51" s="2" t="inlineStr">
        <is>
          <t>דניאל ביוטק</t>
        </is>
      </c>
      <c r="F51" s="2" t="inlineStr">
        <is>
          <t>מפיץ</t>
        </is>
      </c>
      <c r="G51" s="2" t="inlineStr">
        <is>
          <t>Hamilton (liquid-handling robotics) listed among the brands on Danyel Biotech's site – scope to confirm</t>
        </is>
      </c>
      <c r="H51" s="2" t="inlineStr">
        <is>
          <t>https://www.danyel.co.il</t>
        </is>
      </c>
      <c r="I51" s="2" t="inlineStr">
        <is>
          <t>https://www.danyel.co.il/</t>
        </is>
      </c>
    </row>
    <row r="52">
      <c r="A52" s="2" t="n">
        <v>32</v>
      </c>
      <c r="B52" s="2" t="inlineStr">
        <is>
          <t>Cytek Biosciences</t>
        </is>
      </c>
      <c r="C52" s="2" t="inlineStr">
        <is>
          <t>distributor</t>
        </is>
      </c>
      <c r="D52" s="2" t="inlineStr">
        <is>
          <t>Almog Diagnostic and Medical Equipment Ltd.</t>
        </is>
      </c>
      <c r="E52" s="2" t="inlineStr">
        <is>
          <t>אלמוג דיאגנוסטיקה</t>
        </is>
      </c>
      <c r="F52" s="2" t="inlineStr">
        <is>
          <t>מפיץ</t>
        </is>
      </c>
      <c r="G52" s="2" t="inlineStr">
        <is>
          <t>Cytek Aurora / Aurora CS spectral flow cytometers (2022 press release; installs at TAU, Technion)</t>
        </is>
      </c>
      <c r="H52" s="2" t="inlineStr">
        <is>
          <t>https://www.almog.co.il</t>
        </is>
      </c>
      <c r="I52" s="2" t="inlineStr">
        <is>
          <t>https://www.businesswire.com/news/home/20220614005394/en/</t>
        </is>
      </c>
    </row>
    <row r="53">
      <c r="A53" s="2" t="n">
        <v>33</v>
      </c>
      <c r="B53" s="2" t="inlineStr">
        <is>
          <t>Carl Zeiss AG – Research Microscopy Solutions</t>
        </is>
      </c>
      <c r="C53" s="2" t="inlineStr">
        <is>
          <t>unclear</t>
        </is>
      </c>
      <c r="D53" s="2" t="inlineStr">
        <is>
          <t>ZEISS Israel / Carl Zeiss SMS Ltd.</t>
        </is>
      </c>
      <c r="E53" s="2" t="inlineStr"/>
      <c r="F53" s="2" t="inlineStr">
        <is>
          <t>חברה-בת</t>
        </is>
      </c>
      <c r="G53" s="2" t="inlineStr">
        <is>
          <t>Legal entity (publisher) behind the official ZEISS Israel website zeiss.co.il; HaDolev 3, Bar Lev Industrial Park, D.N. Misgav 2015600. The site's contact form lists 'Research Microscopy Solutions' among the product areas it takes inquiries for, but the entity itself is ZEISS's semiconductor (SMS/SMT) unit; a local ZEISS microscopy sales/service team was NOT confirmed.</t>
        </is>
      </c>
      <c r="H53" s="2" t="inlineStr">
        <is>
          <t>https://www.zeiss.co.il</t>
        </is>
      </c>
      <c r="I53" s="2" t="inlineStr">
        <is>
          <t>https://www.zeiss.co.il/corporate/legal-information/publisher.html</t>
        </is>
      </c>
    </row>
    <row r="54">
      <c r="A54" s="2" t="n">
        <v>33</v>
      </c>
      <c r="B54" s="2" t="inlineStr">
        <is>
          <t>Carl Zeiss AG – Research Microscopy Solutions</t>
        </is>
      </c>
      <c r="C54" s="2" t="inlineStr">
        <is>
          <t>unclear</t>
        </is>
      </c>
      <c r="D54" s="2" t="inlineStr">
        <is>
          <t>OpteamX Ltd.</t>
        </is>
      </c>
      <c r="E54" s="2" t="inlineStr"/>
      <c r="F54" s="2" t="inlineStr">
        <is>
          <t>מפיץ</t>
        </is>
      </c>
      <c r="G54" s="2" t="inlineStr">
        <is>
          <t>ZEISS industrial camera lenses only (listed on ZEISS's industrial-lens distribution-partners page; 29 Ha'Metsuda St, Azor, info@opteamx.com) - NOT microscopes</t>
        </is>
      </c>
      <c r="H54" s="2" t="inlineStr"/>
      <c r="I54" s="2" t="inlineStr">
        <is>
          <t>https://www.zeiss.com/photonics-and-optics/en/industrial-lenses/distribution-partners.html</t>
        </is>
      </c>
    </row>
    <row r="55">
      <c r="A55" s="2" t="n">
        <v>33</v>
      </c>
      <c r="B55" s="2" t="inlineStr">
        <is>
          <t>Carl Zeiss AG – Research Microscopy Solutions</t>
        </is>
      </c>
      <c r="C55" s="2" t="inlineStr">
        <is>
          <t>unclear</t>
        </is>
      </c>
      <c r="D55" s="2" t="inlineStr">
        <is>
          <t>Lapidot Group</t>
        </is>
      </c>
      <c r="E55" s="2" t="inlineStr"/>
      <c r="F55" s="2" t="inlineStr">
        <is>
          <t>מפיץ</t>
        </is>
      </c>
      <c r="G55" s="2" t="inlineStr">
        <is>
          <t>'ZEISS lenses' product page on Lapidot's site (medical/ophthalmic context) - NOT research microscopy</t>
        </is>
      </c>
      <c r="H55" s="2" t="inlineStr">
        <is>
          <t>https://www.lapidot.com</t>
        </is>
      </c>
      <c r="I55" s="2" t="inlineStr">
        <is>
          <t>https://www.lapidot.com/en/product/zeiss-lenses/</t>
        </is>
      </c>
    </row>
    <row r="56">
      <c r="A56" s="2" t="n">
        <v>33</v>
      </c>
      <c r="B56" s="2" t="inlineStr">
        <is>
          <t>Carl Zeiss AG – Research Microscopy Solutions</t>
        </is>
      </c>
      <c r="C56" s="2" t="inlineStr">
        <is>
          <t>unclear</t>
        </is>
      </c>
      <c r="D56" s="2" t="inlineStr">
        <is>
          <t>Getter Group (Getter Bio-Med)</t>
        </is>
      </c>
      <c r="E56" s="2" t="inlineStr">
        <is>
          <t>קבוצת גטר</t>
        </is>
      </c>
      <c r="F56" s="2" t="inlineStr">
        <is>
          <t>מפיץ</t>
        </is>
      </c>
      <c r="G56" s="2" t="inlineStr">
        <is>
          <t>Zeiss – Getter Group states it exclusively represents Zeiss; scope (medical/surgical vs. research microscopy) to confirm</t>
        </is>
      </c>
      <c r="H56" s="2" t="inlineStr">
        <is>
          <t>https://www.getter.co.il</t>
        </is>
      </c>
      <c r="I56" s="2" t="inlineStr">
        <is>
          <t>https://www.getter.co.il/about-en/</t>
        </is>
      </c>
    </row>
    <row r="57">
      <c r="A57" s="2" t="n">
        <v>34</v>
      </c>
      <c r="B57" s="2" t="inlineStr">
        <is>
          <t>Evident (ex-Olympus Scientific Solutions)</t>
        </is>
      </c>
      <c r="C57" s="2" t="inlineStr">
        <is>
          <t>distributor</t>
        </is>
      </c>
      <c r="D57" s="2" t="inlineStr">
        <is>
          <t>Eisenberg Bros. Ltd.</t>
        </is>
      </c>
      <c r="E57" s="2" t="inlineStr"/>
      <c r="F57" s="2" t="inlineStr">
        <is>
          <t>מפיץ</t>
        </is>
      </c>
      <c r="G57" s="2" t="inlineStr">
        <is>
          <t>Evident (ex-Olympus) microscopes: its 'Microscopy &amp; Imaging' catalogue lists Evident industrial/materials lines (BX53M, GX53, LEXT OLS, DSX, MX63/MX63L, SZ/SZX stereo) and OEM microscope components tagged EVIDENT (OLYMPUS); life-science confocal (FLUOVIEW FV4000/FV5000) demo events promoted by an Eisenberg applications specialist on LinkedIn. Olympus microscopes already listed in its 2009 IPS trade-fair profile.</t>
        </is>
      </c>
      <c r="H57" s="2" t="inlineStr">
        <is>
          <t>https://eisenbros.co.il</t>
        </is>
      </c>
      <c r="I57" s="2" t="inlineStr">
        <is>
          <t>https://eisenbros.co.il/product-category/microscopy-imaging/</t>
        </is>
      </c>
    </row>
    <row r="58">
      <c r="A58" s="2" t="n">
        <v>34</v>
      </c>
      <c r="B58" s="2" t="inlineStr">
        <is>
          <t>Evident (ex-Olympus Scientific Solutions)</t>
        </is>
      </c>
      <c r="C58" s="2" t="inlineStr">
        <is>
          <t>distributor</t>
        </is>
      </c>
      <c r="D58" s="2" t="inlineStr">
        <is>
          <t>Getter Group (Getter Bio-Med)</t>
        </is>
      </c>
      <c r="E58" s="2" t="inlineStr">
        <is>
          <t>קבוצת גטר</t>
        </is>
      </c>
      <c r="F58" s="2" t="inlineStr">
        <is>
          <t>מפיץ</t>
        </is>
      </c>
      <c r="G58" s="2" t="inlineStr">
        <is>
          <t>Olympus (now Evident) – Getter Group states it exclusively represents Olympus; scope (microscopy vs. medical endoscopy) to confirm</t>
        </is>
      </c>
      <c r="H58" s="2" t="inlineStr">
        <is>
          <t>https://www.getter.co.il</t>
        </is>
      </c>
      <c r="I58" s="2" t="inlineStr">
        <is>
          <t>https://www.getter.co.il/about-en/</t>
        </is>
      </c>
    </row>
    <row r="59">
      <c r="A59" s="2" t="n">
        <v>35</v>
      </c>
      <c r="B59" s="2" t="inlineStr">
        <is>
          <t>Nikon – Healthcare Business (Nikon Instruments)</t>
        </is>
      </c>
      <c r="C59" s="2" t="inlineStr">
        <is>
          <t>distributor</t>
        </is>
      </c>
      <c r="D59" s="2" t="inlineStr">
        <is>
          <t>Agentek Ltd.</t>
        </is>
      </c>
      <c r="E59" s="2" t="inlineStr">
        <is>
          <t>אגנטק</t>
        </is>
      </c>
      <c r="F59" s="2" t="inlineStr">
        <is>
          <t>מפיץ</t>
        </is>
      </c>
      <c r="G59" s="2" t="inlineStr">
        <is>
          <t>Nikon research microscopes (AX/AXR confocal, AXR MP multiphoton, ECLIPSE Ji, CFI60 objectives); listed as Nikon's Israel contact in Nikon Healthcare's microscope contact directory (Atidim Scientific Park Bldg 2, Tel Aviv, +972-3-649-3111, sales1@agentek.co.il) and has a Nikon 'representative' page on its own site.</t>
        </is>
      </c>
      <c r="H59" s="2" t="inlineStr">
        <is>
          <t>https://agentek.co.il</t>
        </is>
      </c>
      <c r="I59" s="2" t="inlineStr">
        <is>
          <t>https://www.microscope.healthcare.nikon.com/pt_EU/Contact</t>
        </is>
      </c>
    </row>
    <row r="60">
      <c r="A60" s="2" t="n">
        <v>36</v>
      </c>
      <c r="B60" s="2" t="inlineStr">
        <is>
          <t>JEOL</t>
        </is>
      </c>
      <c r="C60" s="2" t="inlineStr">
        <is>
          <t>distributor</t>
        </is>
      </c>
      <c r="D60" s="2" t="inlineStr">
        <is>
          <t>Bargal Analytical Instruments Ltd.</t>
        </is>
      </c>
      <c r="E60" s="2" t="inlineStr">
        <is>
          <t>ברגל ציוד אנליטי</t>
        </is>
      </c>
      <c r="F60" s="2" t="inlineStr">
        <is>
          <t>מפיץ</t>
        </is>
      </c>
      <c r="G60" s="2" t="inlineStr">
        <is>
          <t>JEOL electron microscopes (SEM: JSM-IT200/IT510/IT710HR, benchtop JCM-7000; TEM: JEM-F200, JEM-1400Flash; cryo-EM: CRYO ARM 300/300 II) - sales and service; listed on jeol.com as the Israel office (Shaked St 10, Shoham, +972-3-9796-533; JEOL UK as alternate contact). NMR/MS lines not confirmed.</t>
        </is>
      </c>
      <c r="H60" s="2" t="inlineStr">
        <is>
          <t>https://bargal.co.il</t>
        </is>
      </c>
      <c r="I60" s="2" t="inlineStr">
        <is>
          <t>https://www.jeol.com/service_support/</t>
        </is>
      </c>
    </row>
    <row r="61">
      <c r="A61" s="2" t="n">
        <v>37</v>
      </c>
      <c r="B61" s="2" t="inlineStr">
        <is>
          <t>Hitachi High-Tech</t>
        </is>
      </c>
      <c r="C61" s="2" t="inlineStr">
        <is>
          <t>unclear</t>
        </is>
      </c>
      <c r="D61" s="2" t="inlineStr">
        <is>
          <t>Hitachi High-Tech Israel, Ltd.</t>
        </is>
      </c>
      <c r="E61" s="2" t="inlineStr"/>
      <c r="F61" s="2" t="inlineStr">
        <is>
          <t>חברה-בת</t>
        </is>
      </c>
      <c r="G61" s="2" t="inlineStr">
        <is>
          <t>Maintenance/service of semiconductor manufacturing and inspection equipment (Kiryat Gat office, P.O. Box 1000, MS: Hitachi LC2-3S, +972-8-666-6342); formerly H.H.T.A. Semiconductor Equipment Israel Ltd., renamed April 2020; 100% owned by Hitachi High-Tech. NOT confirmed as a sales channel for SEM/TEM/analytical instruments.</t>
        </is>
      </c>
      <c r="H61" s="2" t="inlineStr"/>
      <c r="I61" s="2" t="inlineStr">
        <is>
          <t>https://www.hitachi-hightech.com/global/network/israel.html</t>
        </is>
      </c>
    </row>
    <row r="62">
      <c r="A62" s="2" t="n">
        <v>38</v>
      </c>
      <c r="B62" s="2" t="inlineStr">
        <is>
          <t>TESCAN</t>
        </is>
      </c>
      <c r="C62" s="2" t="inlineStr">
        <is>
          <t>distributor</t>
        </is>
      </c>
      <c r="D62" s="2" t="inlineStr">
        <is>
          <t>PicoTech Ltd.</t>
        </is>
      </c>
      <c r="E62" s="2" t="inlineStr"/>
      <c r="F62" s="2" t="inlineStr">
        <is>
          <t>מפיץ</t>
        </is>
      </c>
      <c r="G62" s="2" t="inlineStr">
        <is>
          <t>TESCAN SEM / FIB-SEM sales and after-sales support (PicoTech SEM division); Ha-Mefalsim St 17, Petah Tikva, +972-3-6356650, contact Nitzan Cafif per TESCAN's distributor page.</t>
        </is>
      </c>
      <c r="H62" s="2" t="inlineStr"/>
      <c r="I62" s="2" t="inlineStr">
        <is>
          <t>https://tescan.com/distributors/picotech-ltd</t>
        </is>
      </c>
    </row>
    <row r="63">
      <c r="A63" s="2" t="n">
        <v>39</v>
      </c>
      <c r="B63" s="2" t="inlineStr">
        <is>
          <t>Rigaku Holdings</t>
        </is>
      </c>
      <c r="C63" s="2" t="inlineStr">
        <is>
          <t>unclear</t>
        </is>
      </c>
      <c r="D63" s="2" t="inlineStr">
        <is>
          <t>Rhenium Ltd.</t>
        </is>
      </c>
      <c r="E63" s="2" t="inlineStr"/>
      <c r="F63" s="2" t="inlineStr">
        <is>
          <t>מפיץ</t>
        </is>
      </c>
      <c r="G63" s="2" t="inlineStr">
        <is>
          <t>Rigaku (XRD/XRF) listed among represented lines in Rhenium's 2009 Israel Physical Society trade-fair profile (Beit Nekofa); current status NOT confirmed - rhenium.co.il did not appear in any search result and Rigaku's distributor finder did not surface an Israel entry.</t>
        </is>
      </c>
      <c r="H63" s="2" t="inlineStr">
        <is>
          <t>https://www.rhenium.co.il</t>
        </is>
      </c>
      <c r="I63" s="2" t="inlineStr">
        <is>
          <t>https://archive.israelphysicalsociety.org/ips-conference-2009/fairs/rhenium-ltd.html</t>
        </is>
      </c>
    </row>
    <row r="64">
      <c r="A64" s="2" t="n">
        <v>39</v>
      </c>
      <c r="B64" s="2" t="inlineStr">
        <is>
          <t>Rigaku Holdings</t>
        </is>
      </c>
      <c r="C64" s="2" t="inlineStr">
        <is>
          <t>unclear</t>
        </is>
      </c>
      <c r="D64" s="2" t="inlineStr">
        <is>
          <t>Rigaku Semiconductor Instruments Ltd. (formerly XwinSys Technology Development Ltd.)</t>
        </is>
      </c>
      <c r="E64" s="2" t="inlineStr"/>
      <c r="F64" s="2" t="inlineStr">
        <is>
          <t>חברה-בת</t>
        </is>
      </c>
      <c r="G64" s="2" t="inlineStr">
        <is>
          <t>Rigaku Group company doing R&amp;D and manufacturing of X-ray semiconductor metrology tools (Ramat Gabriel Industrial Zone, 6 HaMehkar St, Migdal HaEmek; rsi@rigaku.com, +972-4-9951051); joined Rigaku 2019, renamed Dec 2024. Not a sales channel for analytical XRD/XRF.</t>
        </is>
      </c>
      <c r="H64" s="2" t="inlineStr">
        <is>
          <t>https://rigaku.com/about/rigaku-divisions/rigaku-semiconductor-instruments-ltd</t>
        </is>
      </c>
      <c r="I64" s="2" t="inlineStr">
        <is>
          <t>https://rigaku.com/about/rigaku-divisions/rigaku-semiconductor-instruments-ltd</t>
        </is>
      </c>
    </row>
    <row r="65">
      <c r="A65" s="2" t="n">
        <v>40</v>
      </c>
      <c r="B65" s="2" t="inlineStr">
        <is>
          <t>HORIBA</t>
        </is>
      </c>
      <c r="C65" s="2" t="inlineStr">
        <is>
          <t>distributor</t>
        </is>
      </c>
      <c r="D65" s="2" t="inlineStr">
        <is>
          <t>Agrolan Ltd.</t>
        </is>
      </c>
      <c r="E65" s="2" t="inlineStr"/>
      <c r="F65" s="2" t="inlineStr">
        <is>
          <t>מפיץ</t>
        </is>
      </c>
      <c r="G65" s="2" t="inlineStr">
        <is>
          <t>HORIBA water-quality / LAQUA electrochemistry instruments only (Moshav Nov 45, Ramat HaGolan); listed on HORIBA's water-quality distributor page for Israel and marked 'water quality' on HORIBA's worldwide-locations page.</t>
        </is>
      </c>
      <c r="H65" s="2" t="inlineStr"/>
      <c r="I65" s="2" t="inlineStr">
        <is>
          <t>https://www.horiba.com/int/water-quality/contact/distributors/</t>
        </is>
      </c>
    </row>
    <row r="66">
      <c r="A66" s="2" t="n">
        <v>40</v>
      </c>
      <c r="B66" s="2" t="inlineStr">
        <is>
          <t>HORIBA</t>
        </is>
      </c>
      <c r="C66" s="2" t="inlineStr">
        <is>
          <t>distributor</t>
        </is>
      </c>
      <c r="D66" s="2" t="inlineStr">
        <is>
          <t>New-Road Agencies Ltd.</t>
        </is>
      </c>
      <c r="E66" s="2" t="inlineStr"/>
      <c r="F66" s="2" t="inlineStr">
        <is>
          <t>מפיץ</t>
        </is>
      </c>
      <c r="G66" s="2" t="inlineStr">
        <is>
          <t>HORIBA Scientific instruments (marked 'scientific' on HORIBA's worldwide-locations page; Rosh Ha'Ayin) - exact product lines (Raman, particle size, fluorescence, elemental) not itemised; own website not found.</t>
        </is>
      </c>
      <c r="H66" s="2" t="inlineStr"/>
      <c r="I66" s="2" t="inlineStr">
        <is>
          <t>https://www.horiba.com/int/contact/worldwide-locations/</t>
        </is>
      </c>
    </row>
    <row r="67">
      <c r="A67" s="2" t="n">
        <v>41</v>
      </c>
      <c r="B67" s="2" t="inlineStr">
        <is>
          <t>Malvern Panalytical (Spectris)</t>
        </is>
      </c>
      <c r="C67" s="2" t="inlineStr">
        <is>
          <t>distributor</t>
        </is>
      </c>
      <c r="D67" s="2" t="inlineStr">
        <is>
          <t>Dr. Uri Golik Chemical Instrumentation</t>
        </is>
      </c>
      <c r="E67" s="2" t="inlineStr">
        <is>
          <t>ד"ר גוליק</t>
        </is>
      </c>
      <c r="F67" s="2" t="inlineStr">
        <is>
          <t>מפיץ</t>
        </is>
      </c>
      <c r="G67" s="2" t="inlineStr">
        <is>
          <t>Malvern Panalytical particle/materials characterization (Zetasizer, Mastersizer 3000+, NanoSight, Morphologi 4, Archimedes, MicroCal); XRD line not seen on its pages</t>
        </is>
      </c>
      <c r="H67" s="2" t="inlineStr">
        <is>
          <t>https://www.golik.co.il</t>
        </is>
      </c>
      <c r="I67" s="2" t="inlineStr">
        <is>
          <t>https://www.golik.co.il/manufacturers/malvern-panalytical</t>
        </is>
      </c>
    </row>
    <row r="68">
      <c r="A68" s="2" t="n">
        <v>42</v>
      </c>
      <c r="B68" s="2" t="inlineStr">
        <is>
          <t>Oxford Instruments</t>
        </is>
      </c>
      <c r="C68" s="2" t="inlineStr">
        <is>
          <t>none_found</t>
        </is>
      </c>
      <c r="D68" s="2" t="inlineStr">
        <is>
          <t>—</t>
        </is>
      </c>
      <c r="E68" s="2" t="inlineStr"/>
      <c r="F68" s="2" t="inlineStr"/>
      <c r="G68" s="2" t="inlineStr"/>
      <c r="H68" s="2" t="inlineStr"/>
      <c r="I68" s="2" t="inlineStr"/>
    </row>
    <row r="69">
      <c r="A69" s="2" t="n">
        <v>43</v>
      </c>
      <c r="B69" s="2" t="inlineStr">
        <is>
          <t>Anton Paar</t>
        </is>
      </c>
      <c r="C69" s="2" t="inlineStr">
        <is>
          <t>none_found</t>
        </is>
      </c>
      <c r="D69" s="2" t="inlineStr">
        <is>
          <t>—</t>
        </is>
      </c>
      <c r="E69" s="2" t="inlineStr"/>
      <c r="F69" s="2" t="inlineStr"/>
      <c r="G69" s="2" t="inlineStr"/>
      <c r="H69" s="2" t="inlineStr"/>
      <c r="I69" s="2" t="inlineStr"/>
    </row>
    <row r="70">
      <c r="A70" s="2" t="n">
        <v>44</v>
      </c>
      <c r="B70" s="2" t="inlineStr">
        <is>
          <t>Metrohm</t>
        </is>
      </c>
      <c r="C70" s="2" t="inlineStr">
        <is>
          <t>distributor</t>
        </is>
      </c>
      <c r="D70" s="2" t="inlineStr">
        <is>
          <t>Israel Scientific Instruments Ltd. (ISI)</t>
        </is>
      </c>
      <c r="E70" s="2" t="inlineStr">
        <is>
          <t>ISI – ישראל מכשור מדעי</t>
        </is>
      </c>
      <c r="F70" s="2" t="inlineStr">
        <is>
          <t>מפיץ</t>
        </is>
      </c>
      <c r="G70" s="2" t="inlineStr">
        <is>
          <t>official distributor of all Metrohm products and services in Israel from 17 July 2025 (Metrohm news page)</t>
        </is>
      </c>
      <c r="H70" s="2" t="inlineStr"/>
      <c r="I70" s="2" t="inlineStr">
        <is>
          <t>https://www.metrohm.com/en/company/news.html</t>
        </is>
      </c>
    </row>
    <row r="71">
      <c r="A71" s="2" t="n">
        <v>45</v>
      </c>
      <c r="B71" s="2" t="inlineStr">
        <is>
          <t>LECO Corporation</t>
        </is>
      </c>
      <c r="C71" s="2" t="inlineStr">
        <is>
          <t>distributor</t>
        </is>
      </c>
      <c r="D71" s="2" t="inlineStr">
        <is>
          <t>Agentek (1987) Ltd.</t>
        </is>
      </c>
      <c r="E71" s="2" t="inlineStr">
        <is>
          <t>אגנטק</t>
        </is>
      </c>
      <c r="F71" s="2" t="inlineStr">
        <is>
          <t>מפיץ</t>
        </is>
      </c>
      <c r="G71" s="2" t="inlineStr">
        <is>
          <t>LECO analytical instruments, mass spectrometers and metallography (Agentek LECO representative page)</t>
        </is>
      </c>
      <c r="H71" s="2" t="inlineStr">
        <is>
          <t>https://agentek.co.il</t>
        </is>
      </c>
      <c r="I71" s="2" t="inlineStr">
        <is>
          <t>https://agentek.co.il/representative/leco/</t>
        </is>
      </c>
    </row>
    <row r="72">
      <c r="A72" s="2" t="n">
        <v>46</v>
      </c>
      <c r="B72" s="2" t="inlineStr">
        <is>
          <t>JASCO Corporation</t>
        </is>
      </c>
      <c r="C72" s="2" t="inlineStr">
        <is>
          <t>none_found</t>
        </is>
      </c>
      <c r="D72" s="2" t="inlineStr">
        <is>
          <t>—</t>
        </is>
      </c>
      <c r="E72" s="2" t="inlineStr"/>
      <c r="F72" s="2" t="inlineStr"/>
      <c r="G72" s="2" t="inlineStr"/>
      <c r="H72" s="2" t="inlineStr"/>
      <c r="I72" s="2" t="inlineStr"/>
    </row>
    <row r="73">
      <c r="A73" s="2" t="n">
        <v>47</v>
      </c>
      <c r="B73" s="2" t="inlineStr">
        <is>
          <t>SPECTRO Analytical Instruments (AMETEK)</t>
        </is>
      </c>
      <c r="C73" s="2" t="inlineStr">
        <is>
          <t>none_found</t>
        </is>
      </c>
      <c r="D73" s="2" t="inlineStr">
        <is>
          <t>—</t>
        </is>
      </c>
      <c r="E73" s="2" t="inlineStr"/>
      <c r="F73" s="2" t="inlineStr"/>
      <c r="G73" s="2" t="inlineStr"/>
      <c r="H73" s="2" t="inlineStr"/>
      <c r="I73" s="2" t="inlineStr"/>
    </row>
    <row r="74">
      <c r="A74" s="2" t="n">
        <v>48</v>
      </c>
      <c r="B74" s="2" t="inlineStr">
        <is>
          <t>Analytik Jena (Endress+Hauser)</t>
        </is>
      </c>
      <c r="C74" s="2" t="inlineStr">
        <is>
          <t>none_found</t>
        </is>
      </c>
      <c r="D74" s="2" t="inlineStr">
        <is>
          <t>—</t>
        </is>
      </c>
      <c r="E74" s="2" t="inlineStr"/>
      <c r="F74" s="2" t="inlineStr"/>
      <c r="G74" s="2" t="inlineStr"/>
      <c r="H74" s="2" t="inlineStr"/>
      <c r="I74" s="2" t="inlineStr"/>
    </row>
    <row r="75">
      <c r="A75" s="2" t="n">
        <v>49</v>
      </c>
      <c r="B75" s="2" t="inlineStr">
        <is>
          <t>Elementar Analysensysteme</t>
        </is>
      </c>
      <c r="C75" s="2" t="inlineStr">
        <is>
          <t>none_found</t>
        </is>
      </c>
      <c r="D75" s="2" t="inlineStr">
        <is>
          <t>—</t>
        </is>
      </c>
      <c r="E75" s="2" t="inlineStr"/>
      <c r="F75" s="2" t="inlineStr"/>
      <c r="G75" s="2" t="inlineStr"/>
      <c r="H75" s="2" t="inlineStr"/>
      <c r="I75" s="2" t="inlineStr"/>
    </row>
    <row r="76">
      <c r="A76" s="2" t="n">
        <v>50</v>
      </c>
      <c r="B76" s="2" t="inlineStr">
        <is>
          <t>NETZSCH Analyzing &amp; Testing</t>
        </is>
      </c>
      <c r="C76" s="2" t="inlineStr">
        <is>
          <t>none_found</t>
        </is>
      </c>
      <c r="D76" s="2" t="inlineStr">
        <is>
          <t>—</t>
        </is>
      </c>
      <c r="E76" s="2" t="inlineStr"/>
      <c r="F76" s="2" t="inlineStr"/>
      <c r="G76" s="2" t="inlineStr"/>
      <c r="H76" s="2" t="inlineStr"/>
      <c r="I76" s="2" t="inlineStr"/>
    </row>
    <row r="77">
      <c r="A77" s="2" t="n">
        <v>51</v>
      </c>
      <c r="B77" s="2" t="inlineStr">
        <is>
          <t>Biotage</t>
        </is>
      </c>
      <c r="C77" s="2" t="inlineStr">
        <is>
          <t>distributor</t>
        </is>
      </c>
      <c r="D77" s="2" t="inlineStr">
        <is>
          <t>Bargal Analytical Instruments Ltd.</t>
        </is>
      </c>
      <c r="E77" s="2" t="inlineStr">
        <is>
          <t>ברגל</t>
        </is>
      </c>
      <c r="F77" s="2" t="inlineStr">
        <is>
          <t>מפיץ</t>
        </is>
      </c>
      <c r="G77" s="2" t="inlineStr">
        <is>
          <t>Biotage distributor for Israel (listed on Biotage's contact page)</t>
        </is>
      </c>
      <c r="H77" s="2" t="inlineStr">
        <is>
          <t>https://www.bargal.co.il</t>
        </is>
      </c>
      <c r="I77" s="2" t="inlineStr">
        <is>
          <t>https://www.biotage.com/contact</t>
        </is>
      </c>
    </row>
    <row r="78">
      <c r="A78" s="2" t="n">
        <v>52</v>
      </c>
      <c r="B78" s="2" t="inlineStr">
        <is>
          <t>Hach (Veralto)</t>
        </is>
      </c>
      <c r="C78" s="2" t="inlineStr">
        <is>
          <t>none_found</t>
        </is>
      </c>
      <c r="D78" s="2" t="inlineStr">
        <is>
          <t>—</t>
        </is>
      </c>
      <c r="E78" s="2" t="inlineStr"/>
      <c r="F78" s="2" t="inlineStr"/>
      <c r="G78" s="2" t="inlineStr"/>
      <c r="H78" s="2" t="inlineStr"/>
      <c r="I78" s="2" t="inlineStr"/>
    </row>
    <row r="79">
      <c r="A79" s="2" t="n">
        <v>53</v>
      </c>
      <c r="B79" s="2" t="inlineStr">
        <is>
          <t>Hanna Instruments</t>
        </is>
      </c>
      <c r="C79" s="2" t="inlineStr">
        <is>
          <t>none_found</t>
        </is>
      </c>
      <c r="D79" s="2" t="inlineStr">
        <is>
          <t>—</t>
        </is>
      </c>
      <c r="E79" s="2" t="inlineStr"/>
      <c r="F79" s="2" t="inlineStr"/>
      <c r="G79" s="2" t="inlineStr"/>
      <c r="H79" s="2" t="inlineStr"/>
      <c r="I79" s="2" t="inlineStr"/>
    </row>
    <row r="80">
      <c r="A80" s="2" t="n">
        <v>54</v>
      </c>
      <c r="B80" s="2" t="inlineStr">
        <is>
          <t>VELP Scientifica</t>
        </is>
      </c>
      <c r="C80" s="2" t="inlineStr">
        <is>
          <t>none_found</t>
        </is>
      </c>
      <c r="D80" s="2" t="inlineStr">
        <is>
          <t>—</t>
        </is>
      </c>
      <c r="E80" s="2" t="inlineStr"/>
      <c r="F80" s="2" t="inlineStr"/>
      <c r="G80" s="2" t="inlineStr"/>
      <c r="H80" s="2" t="inlineStr"/>
      <c r="I80" s="2" t="inlineStr"/>
    </row>
    <row r="81">
      <c r="A81" s="2" t="n">
        <v>55</v>
      </c>
      <c r="B81" s="2" t="inlineStr">
        <is>
          <t>Roche Diagnostics</t>
        </is>
      </c>
      <c r="C81" s="2" t="inlineStr">
        <is>
          <t>parent_subsidiary</t>
        </is>
      </c>
      <c r="D81" s="2" t="inlineStr">
        <is>
          <t>Roche Pharmaceuticals (Israel) Ltd. - Diagnostics division ("Roche Diagnostics Israel")</t>
        </is>
      </c>
      <c r="E81" s="2" t="inlineStr"/>
      <c r="F81" s="2" t="inlineStr">
        <is>
          <t>חברה-בת</t>
        </is>
      </c>
      <c r="G81" s="2" t="inlineStr">
        <is>
          <t>Roche Diagnostics business in Israel (cobas core-lab/molecular, point-of-care IVD instruments and reagents); diagnostics division of the Roche group's Israeli affiliate, 6 Hacharash St., Hod Hasharon 4524079</t>
        </is>
      </c>
      <c r="H81" s="2" t="inlineStr">
        <is>
          <t>https://www.roche.co.il</t>
        </is>
      </c>
      <c r="I81" s="2" t="inlineStr">
        <is>
          <t>https://www.roche.com/solutions/diagnostics/safety-officers</t>
        </is>
      </c>
    </row>
    <row r="82">
      <c r="A82" s="2" t="n">
        <v>55</v>
      </c>
      <c r="B82" s="2" t="inlineStr">
        <is>
          <t>Roche Diagnostics</t>
        </is>
      </c>
      <c r="C82" s="2" t="inlineStr">
        <is>
          <t>parent_subsidiary</t>
        </is>
      </c>
      <c r="D82" s="2" t="inlineStr">
        <is>
          <t>Gamidor Diagnostics</t>
        </is>
      </c>
      <c r="E82" s="2" t="inlineStr">
        <is>
          <t>גאמידור</t>
        </is>
      </c>
      <c r="F82" s="2" t="inlineStr">
        <is>
          <t>מפיץ</t>
        </is>
      </c>
      <c r="G82" s="2" t="inlineStr">
        <is>
          <t>Roche Tissue Diagnostics only (VENTANA automated IHC/ISH slide stainers) - not cobas/LightCycler</t>
        </is>
      </c>
      <c r="H82" s="2" t="inlineStr">
        <is>
          <t>https://gamidor.co.il</t>
        </is>
      </c>
      <c r="I82" s="2" t="inlineStr">
        <is>
          <t>https://gamidor.co.il/en/tissue-diagnostics-2/</t>
        </is>
      </c>
    </row>
    <row r="83">
      <c r="A83" s="2" t="n">
        <v>55</v>
      </c>
      <c r="B83" s="2" t="inlineStr">
        <is>
          <t>Roche Diagnostics</t>
        </is>
      </c>
      <c r="C83" s="2" t="inlineStr">
        <is>
          <t>parent_subsidiary</t>
        </is>
      </c>
      <c r="D83" s="2" t="inlineStr">
        <is>
          <t>Dyn Diagnostics</t>
        </is>
      </c>
      <c r="E83" s="2" t="inlineStr"/>
      <c r="F83" s="2" t="inlineStr">
        <is>
          <t>מפיץ</t>
        </is>
      </c>
      <c r="G83" s="2" t="inlineStr">
        <is>
          <t>Roche Diabetes Care only (Accu-Chek home-care line) - not laboratory analyzers</t>
        </is>
      </c>
      <c r="H83" s="2" t="inlineStr">
        <is>
          <t>https://dyn.co.il</t>
        </is>
      </c>
      <c r="I83" s="2" t="inlineStr">
        <is>
          <t>https://dyn.co.il/home-care-en</t>
        </is>
      </c>
    </row>
    <row r="84">
      <c r="A84" s="2" t="n">
        <v>56</v>
      </c>
      <c r="B84" s="2" t="inlineStr">
        <is>
          <t>Abbott Diagnostics</t>
        </is>
      </c>
      <c r="C84" s="2" t="inlineStr">
        <is>
          <t>parent_subsidiary</t>
        </is>
      </c>
      <c r="D84" s="2" t="inlineStr">
        <is>
          <t>Abbott Medical Laboratories Ltd.</t>
        </is>
      </c>
      <c r="E84" s="2" t="inlineStr">
        <is>
          <t>אבוט מעבדות רפואיות בע"מ</t>
        </is>
      </c>
      <c r="F84" s="2" t="inlineStr">
        <is>
          <t>חברה-בת</t>
        </is>
      </c>
      <c r="G84" s="2" t="inlineStr">
        <is>
          <t>Abbott's Israeli affiliate for nutrition, pharmaceuticals and diagnostics (core laboratory, molecular and point-of-care), Atidim Science Park Bldg. 4, Tel Aviv; about 160 employees incl. the Haifa (STARLIMS/Abbott Informatics) development center</t>
        </is>
      </c>
      <c r="H84" s="2" t="inlineStr">
        <is>
          <t>https://www.il.abbott</t>
        </is>
      </c>
      <c r="I84" s="2" t="inlineStr">
        <is>
          <t>https://www.abbott.com/en-us/global-locations-contacts/israel</t>
        </is>
      </c>
    </row>
    <row r="85">
      <c r="A85" s="2" t="n">
        <v>57</v>
      </c>
      <c r="B85" s="2" t="inlineStr">
        <is>
          <t>Siemens Healthineers – Diagnostics</t>
        </is>
      </c>
      <c r="C85" s="2" t="inlineStr">
        <is>
          <t>subsidiary</t>
        </is>
      </c>
      <c r="D85" s="2" t="inlineStr">
        <is>
          <t>Siemens Healthineers Israel (legal entity name believed to be Siemens Healthcare Ltd., Israel — not verified)</t>
        </is>
      </c>
      <c r="E85" s="2" t="inlineStr"/>
      <c r="F85" s="2" t="inlineStr">
        <is>
          <t>חברה-בת</t>
        </is>
      </c>
      <c r="G85" s="2" t="inlineStr">
        <is>
          <t>all Siemens Healthineers businesses in Israel, including a dedicated Diagnostics unit (a 'Head of Diagnostics, Siemens Healthineers Israel' is named on the company's Israeli site)</t>
        </is>
      </c>
      <c r="H85" s="2" t="inlineStr">
        <is>
          <t>https://www.siemens-healthineers.com/il</t>
        </is>
      </c>
      <c r="I85" s="2" t="inlineStr">
        <is>
          <t>https://www.siemens-healthineers.com/il/news-and-events/conferences-events-new/israel-local-events/atellica-solution-event-2019</t>
        </is>
      </c>
    </row>
    <row r="86">
      <c r="A86" s="2" t="n">
        <v>58</v>
      </c>
      <c r="B86" s="2" t="inlineStr">
        <is>
          <t>bioMérieux</t>
        </is>
      </c>
      <c r="C86" s="2" t="inlineStr">
        <is>
          <t>unclear</t>
        </is>
      </c>
      <c r="D86" s="2" t="inlineStr">
        <is>
          <t>Accellix (bioMérieux company), Jerusalem</t>
        </is>
      </c>
      <c r="E86" s="2" t="inlineStr"/>
      <c r="F86" s="2" t="inlineStr">
        <is>
          <t>חברה-בת</t>
        </is>
      </c>
      <c r="G86" s="2" t="inlineStr">
        <is>
          <t>R&amp;D/manufacturing site of Accellix (automated flow-cytometry QC for pharma), acquired by bioMérieux in 2025 - not a sales office for VITEK/BACT/ALERT/BIOFIRE</t>
        </is>
      </c>
      <c r="H86" s="2" t="inlineStr"/>
      <c r="I86" s="2" t="inlineStr">
        <is>
          <t>https://www.biomerieux.com/us/en/journalists/press-releases/acquisition-accellix-pharma-quality-control.html</t>
        </is>
      </c>
    </row>
    <row r="87">
      <c r="A87" s="2" t="n">
        <v>59</v>
      </c>
      <c r="B87" s="2" t="inlineStr">
        <is>
          <t>Sysmex</t>
        </is>
      </c>
      <c r="C87" s="2" t="inlineStr">
        <is>
          <t>distributor</t>
        </is>
      </c>
      <c r="D87" s="2" t="inlineStr">
        <is>
          <t>Dover Medical &amp; Scientific Equipment</t>
        </is>
      </c>
      <c r="E87" s="2" t="inlineStr"/>
      <c r="F87" s="2" t="inlineStr">
        <is>
          <t>מפיץ</t>
        </is>
      </c>
      <c r="G87" s="2" t="inlineStr">
        <is>
          <t>Sysmex distributor for Israel as listed in Sysmex Europe's official distributor directory (product-line scope not stated; presumably hematology/urinalysis in-vitro diagnostics)</t>
        </is>
      </c>
      <c r="H87" s="2" t="inlineStr"/>
      <c r="I87" s="2" t="inlineStr">
        <is>
          <t>https://www.sysmex-europe.com/company/contacts/distributors/</t>
        </is>
      </c>
    </row>
    <row r="88">
      <c r="A88" s="2" t="n">
        <v>60</v>
      </c>
      <c r="B88" s="2" t="inlineStr">
        <is>
          <t>Mindray</t>
        </is>
      </c>
      <c r="C88" s="2" t="inlineStr">
        <is>
          <t>distributor</t>
        </is>
      </c>
      <c r="D88" s="2" t="inlineStr">
        <is>
          <t>Eldan Electronic Instruments</t>
        </is>
      </c>
      <c r="E88" s="2" t="inlineStr">
        <is>
          <t>אלדן</t>
        </is>
      </c>
      <c r="F88" s="2" t="inlineStr">
        <is>
          <t>מפיץ</t>
        </is>
      </c>
      <c r="G88" s="2" t="inlineStr">
        <is>
          <t>Mindray IVD line - hematology analyzers and reagents (clinical diagnostics division)</t>
        </is>
      </c>
      <c r="H88" s="2" t="inlineStr">
        <is>
          <t>https://www.eldan.biz</t>
        </is>
      </c>
      <c r="I88" s="2" t="inlineStr">
        <is>
          <t>https://eldan.biz/?p=4734</t>
        </is>
      </c>
    </row>
    <row r="89">
      <c r="A89" s="2" t="n">
        <v>60</v>
      </c>
      <c r="B89" s="2" t="inlineStr">
        <is>
          <t>Mindray</t>
        </is>
      </c>
      <c r="C89" s="2" t="inlineStr">
        <is>
          <t>distributor</t>
        </is>
      </c>
      <c r="D89" s="2" t="inlineStr">
        <is>
          <t>Bepex</t>
        </is>
      </c>
      <c r="E89" s="2" t="inlineStr"/>
      <c r="F89" s="2" t="inlineStr">
        <is>
          <t>מפיץ</t>
        </is>
      </c>
      <c r="G89" s="2" t="inlineStr">
        <is>
          <t>Mindray hospital beds and clinical lighting only (per LinkedIn post; unverified)</t>
        </is>
      </c>
      <c r="H89" s="2" t="inlineStr"/>
      <c r="I89" s="2" t="inlineStr">
        <is>
          <t>https://il.linkedin.com/in/ido-gruber-808189a</t>
        </is>
      </c>
    </row>
    <row r="90">
      <c r="A90" s="2" t="n">
        <v>61</v>
      </c>
      <c r="B90" s="2" t="inlineStr">
        <is>
          <t>BINDER</t>
        </is>
      </c>
      <c r="C90" s="2" t="inlineStr">
        <is>
          <t>distributor</t>
        </is>
      </c>
      <c r="D90" s="2" t="inlineStr">
        <is>
          <t>Labotal Scientific Equipment Ltd.</t>
        </is>
      </c>
      <c r="E90" s="2" t="inlineStr">
        <is>
          <t>לבוטל</t>
        </is>
      </c>
      <c r="F90" s="2" t="inlineStr">
        <is>
          <t>מפיץ</t>
        </is>
      </c>
      <c r="G90" s="2" t="inlineStr">
        <is>
          <t>Binder incubators, drying ovens and climate chambers (Labotal 'firms/binder' page and product pages)</t>
        </is>
      </c>
      <c r="H90" s="2" t="inlineStr">
        <is>
          <t>https://labotal.co.il</t>
        </is>
      </c>
      <c r="I90" s="2" t="inlineStr">
        <is>
          <t>https://labotal.co.il/firms/binder/</t>
        </is>
      </c>
    </row>
    <row r="91">
      <c r="A91" s="2" t="n">
        <v>62</v>
      </c>
      <c r="B91" s="2" t="inlineStr">
        <is>
          <t>Memmert</t>
        </is>
      </c>
      <c r="C91" s="2" t="inlineStr">
        <is>
          <t>none_found</t>
        </is>
      </c>
      <c r="D91" s="2" t="inlineStr">
        <is>
          <t>—</t>
        </is>
      </c>
      <c r="E91" s="2" t="inlineStr"/>
      <c r="F91" s="2" t="inlineStr"/>
      <c r="G91" s="2" t="inlineStr"/>
      <c r="H91" s="2" t="inlineStr"/>
      <c r="I91" s="2" t="inlineStr"/>
    </row>
    <row r="92">
      <c r="A92" s="2" t="n">
        <v>63</v>
      </c>
      <c r="B92" s="2" t="inlineStr">
        <is>
          <t>IKA</t>
        </is>
      </c>
      <c r="C92" s="2" t="inlineStr">
        <is>
          <t>none_found</t>
        </is>
      </c>
      <c r="D92" s="2" t="inlineStr">
        <is>
          <t>—</t>
        </is>
      </c>
      <c r="E92" s="2" t="inlineStr"/>
      <c r="F92" s="2" t="inlineStr"/>
      <c r="G92" s="2" t="inlineStr"/>
      <c r="H92" s="2" t="inlineStr"/>
      <c r="I92" s="2" t="inlineStr"/>
    </row>
    <row r="93">
      <c r="A93" s="2" t="n">
        <v>64</v>
      </c>
      <c r="B93" s="2" t="inlineStr">
        <is>
          <t>Heidolph Instruments (ATS Corporation)</t>
        </is>
      </c>
      <c r="C93" s="2" t="inlineStr">
        <is>
          <t>distributor</t>
        </is>
      </c>
      <c r="D93" s="2" t="inlineStr">
        <is>
          <t>Labotal Scientific Equipment Ltd.</t>
        </is>
      </c>
      <c r="E93" s="2" t="inlineStr">
        <is>
          <t>לבוטל</t>
        </is>
      </c>
      <c r="F93" s="2" t="inlineStr">
        <is>
          <t>מפיץ</t>
        </is>
      </c>
      <c r="G93" s="2" t="inlineStr">
        <is>
          <t>Heidolph rotary evaporators, stirrers and shakers (Labotal joined Heidolph's premium distributor programme)</t>
        </is>
      </c>
      <c r="H93" s="2" t="inlineStr">
        <is>
          <t>https://labotal.co.il</t>
        </is>
      </c>
      <c r="I93" s="2" t="inlineStr">
        <is>
          <t>https://labotal.co.il/company-news/?lang=en</t>
        </is>
      </c>
    </row>
    <row r="94">
      <c r="A94" s="2" t="n">
        <v>65</v>
      </c>
      <c r="B94" s="2" t="inlineStr">
        <is>
          <t>JULABO</t>
        </is>
      </c>
      <c r="C94" s="2" t="inlineStr">
        <is>
          <t>distributor</t>
        </is>
      </c>
      <c r="D94" s="2" t="inlineStr">
        <is>
          <t>Labotal Scientific Equipment Ltd.</t>
        </is>
      </c>
      <c r="E94" s="2" t="inlineStr">
        <is>
          <t>לבוטל</t>
        </is>
      </c>
      <c r="F94" s="2" t="inlineStr">
        <is>
          <t>מפיץ</t>
        </is>
      </c>
      <c r="G94" s="2" t="inlineStr">
        <is>
          <t>JULABO circulators, chillers and baths – Labotal states it is JULABO's exclusive representative in Israel</t>
        </is>
      </c>
      <c r="H94" s="2" t="inlineStr">
        <is>
          <t>https://labotal.co.il</t>
        </is>
      </c>
      <c r="I94" s="2" t="inlineStr">
        <is>
          <t>https://labotal.co.il/product/julabo-magio-ms-and-mx-heating-circulatorsideal-for-demanding-external-applications/</t>
        </is>
      </c>
    </row>
    <row r="95">
      <c r="A95" s="2" t="n">
        <v>66</v>
      </c>
      <c r="B95" s="2" t="inlineStr">
        <is>
          <t>LAUDA</t>
        </is>
      </c>
      <c r="C95" s="2" t="inlineStr">
        <is>
          <t>none_found</t>
        </is>
      </c>
      <c r="D95" s="2" t="inlineStr">
        <is>
          <t>—</t>
        </is>
      </c>
      <c r="E95" s="2" t="inlineStr"/>
      <c r="F95" s="2" t="inlineStr"/>
      <c r="G95" s="2" t="inlineStr"/>
      <c r="H95" s="2" t="inlineStr"/>
      <c r="I95" s="2" t="inlineStr"/>
    </row>
    <row r="96">
      <c r="A96" s="2" t="n">
        <v>67</v>
      </c>
      <c r="B96" s="2" t="inlineStr">
        <is>
          <t>Peter Huber Kältemaschinenbau</t>
        </is>
      </c>
      <c r="C96" s="2" t="inlineStr">
        <is>
          <t>none_found</t>
        </is>
      </c>
      <c r="D96" s="2" t="inlineStr">
        <is>
          <t>—</t>
        </is>
      </c>
      <c r="E96" s="2" t="inlineStr"/>
      <c r="F96" s="2" t="inlineStr"/>
      <c r="G96" s="2" t="inlineStr"/>
      <c r="H96" s="2" t="inlineStr"/>
      <c r="I96" s="2" t="inlineStr"/>
    </row>
    <row r="97">
      <c r="A97" s="2" t="n">
        <v>68</v>
      </c>
      <c r="B97" s="2" t="inlineStr">
        <is>
          <t>BÜCHI Labortechnik</t>
        </is>
      </c>
      <c r="C97" s="2" t="inlineStr">
        <is>
          <t>none_found</t>
        </is>
      </c>
      <c r="D97" s="2" t="inlineStr">
        <is>
          <t>—</t>
        </is>
      </c>
      <c r="E97" s="2" t="inlineStr"/>
      <c r="F97" s="2" t="inlineStr"/>
      <c r="G97" s="2" t="inlineStr"/>
      <c r="H97" s="2" t="inlineStr"/>
      <c r="I97" s="2" t="inlineStr"/>
    </row>
    <row r="98">
      <c r="A98" s="2" t="n">
        <v>69</v>
      </c>
      <c r="B98" s="2" t="inlineStr">
        <is>
          <t>Andreas Hettich</t>
        </is>
      </c>
      <c r="C98" s="2" t="inlineStr">
        <is>
          <t>distributor</t>
        </is>
      </c>
      <c r="D98" s="2" t="inlineStr">
        <is>
          <t>Eldan Electronic Instruments Ltd. (Neopharm group)</t>
        </is>
      </c>
      <c r="E98" s="2" t="inlineStr">
        <is>
          <t>אלדן</t>
        </is>
      </c>
      <c r="F98" s="2" t="inlineStr">
        <is>
          <t>מפיץ</t>
        </is>
      </c>
      <c r="G98" s="2" t="inlineStr">
        <is>
          <t>Hettich centrifuges – Eldan states it offers the whole Hettich range in Israel (eldan.biz page; verify currency)</t>
        </is>
      </c>
      <c r="H98" s="2" t="inlineStr">
        <is>
          <t>https://www.eldan.biz</t>
        </is>
      </c>
      <c r="I98" s="2" t="inlineStr">
        <is>
          <t>https://eldan.biz/?p=9327</t>
        </is>
      </c>
    </row>
    <row r="99">
      <c r="A99" s="2" t="n">
        <v>70</v>
      </c>
      <c r="B99" s="2" t="inlineStr">
        <is>
          <t>Esco Lifesciences</t>
        </is>
      </c>
      <c r="C99" s="2" t="inlineStr">
        <is>
          <t>none_found</t>
        </is>
      </c>
      <c r="D99" s="2" t="inlineStr">
        <is>
          <t>—</t>
        </is>
      </c>
      <c r="E99" s="2" t="inlineStr"/>
      <c r="F99" s="2" t="inlineStr"/>
      <c r="G99" s="2" t="inlineStr"/>
      <c r="H99" s="2" t="inlineStr"/>
      <c r="I99" s="2" t="inlineStr"/>
    </row>
    <row r="100">
      <c r="A100" s="2" t="n">
        <v>71</v>
      </c>
      <c r="B100" s="2" t="inlineStr">
        <is>
          <t>Labconco</t>
        </is>
      </c>
      <c r="C100" s="2" t="inlineStr">
        <is>
          <t>distributor</t>
        </is>
      </c>
      <c r="D100" s="2" t="inlineStr">
        <is>
          <t>Labotal Scientific Equipment Ltd.</t>
        </is>
      </c>
      <c r="E100" s="2" t="inlineStr">
        <is>
          <t>לבוטל</t>
        </is>
      </c>
      <c r="F100" s="2" t="inlineStr">
        <is>
          <t>מפיץ</t>
        </is>
      </c>
      <c r="G100" s="2" t="inlineStr">
        <is>
          <t>Labconco biosafety cabinets and CentriVap concentrators (Labotal product pages)</t>
        </is>
      </c>
      <c r="H100" s="2" t="inlineStr">
        <is>
          <t>https://labotal.co.il</t>
        </is>
      </c>
      <c r="I100" s="2" t="inlineStr">
        <is>
          <t>https://labotal.co.il/sitemap/?lang=en</t>
        </is>
      </c>
    </row>
    <row r="101">
      <c r="A101" s="2" t="n">
        <v>72</v>
      </c>
      <c r="B101" s="2" t="inlineStr">
        <is>
          <t>NuAire</t>
        </is>
      </c>
      <c r="C101" s="2" t="inlineStr">
        <is>
          <t>none_found</t>
        </is>
      </c>
      <c r="D101" s="2" t="inlineStr">
        <is>
          <t>—</t>
        </is>
      </c>
      <c r="E101" s="2" t="inlineStr"/>
      <c r="F101" s="2" t="inlineStr"/>
      <c r="G101" s="2" t="inlineStr"/>
      <c r="H101" s="2" t="inlineStr"/>
      <c r="I101" s="2" t="inlineStr"/>
    </row>
    <row r="102">
      <c r="A102" s="2" t="n">
        <v>73</v>
      </c>
      <c r="B102" s="2" t="inlineStr">
        <is>
          <t>PHC Holdings (PHCbi)</t>
        </is>
      </c>
      <c r="C102" s="2" t="inlineStr">
        <is>
          <t>distributor</t>
        </is>
      </c>
      <c r="D102" s="2" t="inlineStr">
        <is>
          <t>Eldan Electronic Instruments</t>
        </is>
      </c>
      <c r="E102" s="2" t="inlineStr"/>
      <c r="F102" s="2" t="inlineStr">
        <is>
          <t>מפיץ</t>
        </is>
      </c>
      <c r="G102" s="2" t="inlineStr">
        <is>
          <t>PHCbi CO2 and multigas incubators (incl. Cell-IQ) and PHCbi biomedical/pharmaceutical freezers</t>
        </is>
      </c>
      <c r="H102" s="2" t="inlineStr">
        <is>
          <t>https://www.eldan.biz</t>
        </is>
      </c>
      <c r="I102" s="2" t="inlineStr">
        <is>
          <t>https://www.eldan.biz/laboratory-instruments/</t>
        </is>
      </c>
    </row>
    <row r="103">
      <c r="A103" s="2" t="n">
        <v>73</v>
      </c>
      <c r="B103" s="2" t="inlineStr">
        <is>
          <t>PHC Holdings (PHCbi)</t>
        </is>
      </c>
      <c r="C103" s="2" t="inlineStr">
        <is>
          <t>distributor</t>
        </is>
      </c>
      <c r="D103" s="2" t="inlineStr">
        <is>
          <t>Lumitron Ltd.</t>
        </is>
      </c>
      <c r="E103" s="2" t="inlineStr">
        <is>
          <t>לומיטרון</t>
        </is>
      </c>
      <c r="F103" s="2" t="inlineStr">
        <is>
          <t>מפיץ</t>
        </is>
      </c>
      <c r="G103" s="2" t="inlineStr">
        <is>
          <t>PHCbi (ultralow freezers, incubators) listed on Lumitron's 'Our brands' page</t>
        </is>
      </c>
      <c r="H103" s="2" t="inlineStr">
        <is>
          <t>https://www.lumitron.co.il</t>
        </is>
      </c>
      <c r="I103" s="2" t="inlineStr">
        <is>
          <t>https://www.lumitron.co.il/our-brands-heb/?lang=en</t>
        </is>
      </c>
    </row>
    <row r="104">
      <c r="A104" s="2" t="n">
        <v>74</v>
      </c>
      <c r="B104" s="2" t="inlineStr">
        <is>
          <t>Haier Biomedical</t>
        </is>
      </c>
      <c r="C104" s="2" t="inlineStr">
        <is>
          <t>none_found</t>
        </is>
      </c>
      <c r="D104" s="2" t="inlineStr">
        <is>
          <t>—</t>
        </is>
      </c>
      <c r="E104" s="2" t="inlineStr"/>
      <c r="F104" s="2" t="inlineStr"/>
      <c r="G104" s="2" t="inlineStr"/>
      <c r="H104" s="2" t="inlineStr"/>
      <c r="I104" s="2" t="inlineStr"/>
    </row>
    <row r="105">
      <c r="A105" s="2" t="n">
        <v>75</v>
      </c>
      <c r="B105" s="2" t="inlineStr">
        <is>
          <t>Antylia Scientific (ex-Cole-Parmer)</t>
        </is>
      </c>
      <c r="C105" s="2" t="inlineStr">
        <is>
          <t>none_found</t>
        </is>
      </c>
      <c r="D105" s="2" t="inlineStr">
        <is>
          <t>—</t>
        </is>
      </c>
      <c r="E105" s="2" t="inlineStr"/>
      <c r="F105" s="2" t="inlineStr"/>
      <c r="G105" s="2" t="inlineStr"/>
      <c r="H105" s="2" t="inlineStr"/>
      <c r="I105" s="2" t="inlineStr"/>
    </row>
    <row r="106">
      <c r="A106" s="2" t="n">
        <v>76</v>
      </c>
      <c r="B106" s="2" t="inlineStr">
        <is>
          <t>Verder Scientific (Retsch, Carbolite Gero, Eltra, Microtrac MRB, QATM)</t>
        </is>
      </c>
      <c r="C106" s="2" t="inlineStr">
        <is>
          <t>none_found</t>
        </is>
      </c>
      <c r="D106" s="2" t="inlineStr">
        <is>
          <t>—</t>
        </is>
      </c>
      <c r="E106" s="2" t="inlineStr"/>
      <c r="F106" s="2" t="inlineStr"/>
      <c r="G106" s="2" t="inlineStr"/>
      <c r="H106" s="2" t="inlineStr"/>
      <c r="I106" s="2" t="inlineStr"/>
    </row>
    <row r="107">
      <c r="A107" s="2" t="n">
        <v>77</v>
      </c>
      <c r="B107" s="2" t="inlineStr">
        <is>
          <t>Yamato Scientific</t>
        </is>
      </c>
      <c r="C107" s="2" t="inlineStr">
        <is>
          <t>none_found</t>
        </is>
      </c>
      <c r="D107" s="2" t="inlineStr">
        <is>
          <t>—</t>
        </is>
      </c>
      <c r="E107" s="2" t="inlineStr"/>
      <c r="F107" s="2" t="inlineStr"/>
      <c r="G107" s="2" t="inlineStr"/>
      <c r="H107" s="2" t="inlineStr"/>
      <c r="I107" s="2" t="inlineStr"/>
    </row>
    <row r="108">
      <c r="A108" s="2" t="n">
        <v>78</v>
      </c>
      <c r="B108" s="2" t="inlineStr">
        <is>
          <t>Azenta Life Sciences</t>
        </is>
      </c>
      <c r="C108" s="2" t="inlineStr">
        <is>
          <t>none_found</t>
        </is>
      </c>
      <c r="D108" s="2" t="inlineStr">
        <is>
          <t>—</t>
        </is>
      </c>
      <c r="E108" s="2" t="inlineStr"/>
      <c r="F108" s="2" t="inlineStr"/>
      <c r="G108" s="2" t="inlineStr"/>
      <c r="H108" s="2" t="inlineStr"/>
      <c r="I108" s="2" t="inlineStr"/>
    </row>
    <row r="109">
      <c r="A109" s="2" t="n">
        <v>79</v>
      </c>
      <c r="B109" s="2" t="inlineStr">
        <is>
          <t>Opentrons Labworks</t>
        </is>
      </c>
      <c r="C109" s="2" t="inlineStr">
        <is>
          <t>none_found</t>
        </is>
      </c>
      <c r="D109" s="2" t="inlineStr">
        <is>
          <t>—</t>
        </is>
      </c>
      <c r="E109" s="2" t="inlineStr"/>
      <c r="F109" s="2" t="inlineStr"/>
      <c r="G109" s="2" t="inlineStr"/>
      <c r="H109" s="2" t="inlineStr"/>
      <c r="I109" s="2" t="inlineStr"/>
    </row>
    <row r="110">
      <c r="A110" s="2" t="n">
        <v>80</v>
      </c>
      <c r="B110" s="2" t="inlineStr">
        <is>
          <t>SPT Labtech</t>
        </is>
      </c>
      <c r="C110" s="2" t="inlineStr">
        <is>
          <t>distributor</t>
        </is>
      </c>
      <c r="D110" s="2" t="inlineStr">
        <is>
          <t>Agentek (1987) Ltd.</t>
        </is>
      </c>
      <c r="E110" s="2" t="inlineStr">
        <is>
          <t>אגנטק</t>
        </is>
      </c>
      <c r="F110" s="2" t="inlineStr">
        <is>
          <t>מפיץ</t>
        </is>
      </c>
      <c r="G110" s="2" t="inlineStr">
        <is>
          <t>SPT Labtech distributor for Israel (listed on sptlabtech.com/distributors; Agentek has an SPT Labtech brand page)</t>
        </is>
      </c>
      <c r="H110" s="2" t="inlineStr">
        <is>
          <t>https://agentek.co.il</t>
        </is>
      </c>
      <c r="I110" s="2" t="inlineStr">
        <is>
          <t>https://www.sptlabtech.com/distributors</t>
        </is>
      </c>
    </row>
    <row r="111">
      <c r="A111" s="2" t="n">
        <v>81</v>
      </c>
      <c r="B111" s="2" t="inlineStr">
        <is>
          <t>OHAUS (Mettler-Toledo)</t>
        </is>
      </c>
      <c r="C111" s="2" t="inlineStr">
        <is>
          <t>distributor</t>
        </is>
      </c>
      <c r="D111" s="2" t="inlineStr">
        <is>
          <t>Labotal Scientific Equipment Ltd.</t>
        </is>
      </c>
      <c r="E111" s="2" t="inlineStr">
        <is>
          <t>לבוטל</t>
        </is>
      </c>
      <c r="F111" s="2" t="inlineStr">
        <is>
          <t>מפיץ</t>
        </is>
      </c>
      <c r="G111" s="2" t="inlineStr">
        <is>
          <t>OHAUS balances (listed among Labotal's represented firms)</t>
        </is>
      </c>
      <c r="H111" s="2" t="inlineStr">
        <is>
          <t>https://labotal.co.il</t>
        </is>
      </c>
      <c r="I111" s="2" t="inlineStr">
        <is>
          <t>https://labotal.co.il/sitemap/?lang=en</t>
        </is>
      </c>
    </row>
    <row r="112">
      <c r="A112" s="2" t="n">
        <v>82</v>
      </c>
      <c r="B112" s="2" t="inlineStr">
        <is>
          <t>KERN &amp; SOHN</t>
        </is>
      </c>
      <c r="C112" s="2" t="inlineStr">
        <is>
          <t>none_found</t>
        </is>
      </c>
      <c r="D112" s="2" t="inlineStr">
        <is>
          <t>—</t>
        </is>
      </c>
      <c r="E112" s="2" t="inlineStr"/>
      <c r="F112" s="2" t="inlineStr"/>
      <c r="G112" s="2" t="inlineStr"/>
      <c r="H112" s="2" t="inlineStr"/>
      <c r="I112" s="2" t="inlineStr"/>
    </row>
    <row r="113">
      <c r="A113" s="2" t="n">
        <v>83</v>
      </c>
      <c r="B113" s="2" t="inlineStr">
        <is>
          <t>A&amp;D Company (A&amp;D HOLON Holdings)</t>
        </is>
      </c>
      <c r="C113" s="2" t="inlineStr">
        <is>
          <t>none_found</t>
        </is>
      </c>
      <c r="D113" s="2" t="inlineStr">
        <is>
          <t>—</t>
        </is>
      </c>
      <c r="E113" s="2" t="inlineStr"/>
      <c r="F113" s="2" t="inlineStr"/>
      <c r="G113" s="2" t="inlineStr"/>
      <c r="H113" s="2" t="inlineStr"/>
      <c r="I113" s="2" t="inlineStr"/>
    </row>
    <row r="114">
      <c r="A114" s="2" t="n">
        <v>84</v>
      </c>
      <c r="B114" s="2" t="inlineStr">
        <is>
          <t>Gilson</t>
        </is>
      </c>
      <c r="C114" s="2" t="inlineStr">
        <is>
          <t>distributor</t>
        </is>
      </c>
      <c r="D114" s="2" t="inlineStr">
        <is>
          <t>Agentek (1987) Ltd.</t>
        </is>
      </c>
      <c r="E114" s="2" t="inlineStr">
        <is>
          <t>אגנטק</t>
        </is>
      </c>
      <c r="F114" s="2" t="inlineStr">
        <is>
          <t>מפיץ</t>
        </is>
      </c>
      <c r="G114" s="2" t="inlineStr">
        <is>
          <t>Gilson liquid handling (per Agentek vendors list)</t>
        </is>
      </c>
      <c r="H114" s="2" t="inlineStr">
        <is>
          <t>https://agentek.co.il</t>
        </is>
      </c>
      <c r="I114" s="2" t="inlineStr">
        <is>
          <t>https://agentek.co.il/vendors/</t>
        </is>
      </c>
    </row>
    <row r="115">
      <c r="A115" s="2" t="n">
        <v>85</v>
      </c>
      <c r="B115" s="2" t="inlineStr">
        <is>
          <t>INTEGRA Biosciences</t>
        </is>
      </c>
      <c r="C115" s="2" t="inlineStr">
        <is>
          <t>distributor</t>
        </is>
      </c>
      <c r="D115" s="2" t="inlineStr">
        <is>
          <t>Medent - Scientific Equipment Ltd.</t>
        </is>
      </c>
      <c r="E115" s="2" t="inlineStr"/>
      <c r="F115" s="2" t="inlineStr">
        <is>
          <t>מפיץ</t>
        </is>
      </c>
      <c r="G115" s="2" t="inlineStr">
        <is>
          <t>INTEGRA liquid-handling products (VIAFLO, ASSIST PLUS, VACUSAFE etc.) - listed as INTEGRA's distributor for Israel, Beer Sheva 84206</t>
        </is>
      </c>
      <c r="H115" s="2" t="inlineStr">
        <is>
          <t>https://www.medent.co.il</t>
        </is>
      </c>
      <c r="I115" s="2" t="inlineStr">
        <is>
          <t>https://www.integra-biosciences.com/global/en/where-buy</t>
        </is>
      </c>
    </row>
    <row r="116">
      <c r="A116" s="2" t="n">
        <v>86</v>
      </c>
      <c r="B116" s="2" t="inlineStr">
        <is>
          <t>BMG LABTECH</t>
        </is>
      </c>
      <c r="C116" s="2" t="inlineStr">
        <is>
          <t>distributor</t>
        </is>
      </c>
      <c r="D116" s="2" t="inlineStr">
        <is>
          <t>Zotal Ltd.</t>
        </is>
      </c>
      <c r="E116" s="2" t="inlineStr"/>
      <c r="F116" s="2" t="inlineStr">
        <is>
          <t>מפיץ</t>
        </is>
      </c>
      <c r="G116" s="2" t="inlineStr">
        <is>
          <t>BMG LABTECH microplate readers (CLARIOstar, PHERAstar etc.) - listed as BMG's Israel sales &amp; support contact, 4 Habarzel St., Tel Aviv 69710, sales@zotal.co.il</t>
        </is>
      </c>
      <c r="H116" s="2" t="inlineStr">
        <is>
          <t>https://www.zotal.co.il</t>
        </is>
      </c>
      <c r="I116" s="2" t="inlineStr">
        <is>
          <t>https://www.bmglabtech.com/en/sales-and-support-offices/</t>
        </is>
      </c>
    </row>
    <row r="117">
      <c r="A117" s="2" t="n">
        <v>87</v>
      </c>
      <c r="B117" s="2" t="inlineStr">
        <is>
          <t>Repligen</t>
        </is>
      </c>
      <c r="C117" s="2" t="inlineStr">
        <is>
          <t>none_found</t>
        </is>
      </c>
      <c r="D117" s="2" t="inlineStr">
        <is>
          <t>—</t>
        </is>
      </c>
      <c r="E117" s="2" t="inlineStr"/>
      <c r="F117" s="2" t="inlineStr"/>
      <c r="G117" s="2" t="inlineStr"/>
      <c r="H117" s="2" t="inlineStr"/>
      <c r="I117" s="2" t="inlineStr"/>
    </row>
    <row r="118">
      <c r="A118" s="2" t="n">
        <v>88</v>
      </c>
      <c r="B118" s="2" t="inlineStr">
        <is>
          <t>ZwickRoell</t>
        </is>
      </c>
      <c r="C118" s="2" t="inlineStr">
        <is>
          <t>distributor</t>
        </is>
      </c>
      <c r="D118" s="2" t="inlineStr">
        <is>
          <t>GLOBUS Technical Equipment Ltd.</t>
        </is>
      </c>
      <c r="E118" s="2" t="inlineStr"/>
      <c r="F118" s="2" t="inlineStr">
        <is>
          <t>מפיץ</t>
        </is>
      </c>
      <c r="G118" s="2" t="inlineStr">
        <is>
          <t>ZwickRoell sales partner for Israel (materials testing machines); Kadima Industrial Zone</t>
        </is>
      </c>
      <c r="H118" s="2" t="inlineStr"/>
      <c r="I118" s="2" t="inlineStr">
        <is>
          <t>https://www.zwickroell.com/company/locations-around-the-world/</t>
        </is>
      </c>
    </row>
    <row r="119">
      <c r="A119" s="2" t="n">
        <v>89</v>
      </c>
      <c r="B119" s="2" t="inlineStr">
        <is>
          <t>Kewaunee Scientific</t>
        </is>
      </c>
      <c r="C119" s="2" t="inlineStr">
        <is>
          <t>none_found</t>
        </is>
      </c>
      <c r="D119" s="2" t="inlineStr">
        <is>
          <t>—</t>
        </is>
      </c>
      <c r="E119" s="2" t="inlineStr"/>
      <c r="F119" s="2" t="inlineStr"/>
      <c r="G119" s="2" t="inlineStr"/>
      <c r="H119" s="2" t="inlineStr"/>
      <c r="I119" s="2" t="inlineStr"/>
    </row>
    <row r="120">
      <c r="A120" s="2" t="n">
        <v>90</v>
      </c>
      <c r="B120" s="2" t="inlineStr">
        <is>
          <t>WALDNER Laboreinrichtungen</t>
        </is>
      </c>
      <c r="C120" s="2" t="inlineStr">
        <is>
          <t>none_found</t>
        </is>
      </c>
      <c r="D120" s="2" t="inlineStr">
        <is>
          <t>—</t>
        </is>
      </c>
      <c r="E120" s="2" t="inlineStr"/>
      <c r="F120" s="2" t="inlineStr"/>
      <c r="G120" s="2" t="inlineStr"/>
      <c r="H120" s="2" t="inlineStr"/>
      <c r="I120" s="2" t="inlineStr"/>
    </row>
    <row r="121">
      <c r="A121" s="2" t="n">
        <v>91</v>
      </c>
      <c r="B121" s="2" t="inlineStr">
        <is>
          <t>DWK Life Sciences</t>
        </is>
      </c>
      <c r="C121" s="2" t="inlineStr">
        <is>
          <t>none_found</t>
        </is>
      </c>
      <c r="D121" s="2" t="inlineStr">
        <is>
          <t>—</t>
        </is>
      </c>
      <c r="E121" s="2" t="inlineStr"/>
      <c r="F121" s="2" t="inlineStr"/>
      <c r="G121" s="2" t="inlineStr"/>
      <c r="H121" s="2" t="inlineStr"/>
      <c r="I121" s="2" t="inlineStr"/>
    </row>
    <row r="122">
      <c r="A122" s="2" t="n">
        <v>92</v>
      </c>
      <c r="B122" s="2" t="inlineStr">
        <is>
          <t>Greiner Bio-One</t>
        </is>
      </c>
      <c r="C122" s="2" t="inlineStr">
        <is>
          <t>distributor</t>
        </is>
      </c>
      <c r="D122" s="2" t="inlineStr">
        <is>
          <t>Danyel Biotech Ltd. (Gamida for Life group)</t>
        </is>
      </c>
      <c r="E122" s="2" t="inlineStr">
        <is>
          <t>דניאל ביוטק</t>
        </is>
      </c>
      <c r="F122" s="2" t="inlineStr">
        <is>
          <t>מפיץ</t>
        </is>
      </c>
      <c r="G122" s="2" t="inlineStr">
        <is>
          <t>Greiner Bio-One plates, tubes and consumables (Danyel brand page)</t>
        </is>
      </c>
      <c r="H122" s="2" t="inlineStr">
        <is>
          <t>https://www.danyel.co.il</t>
        </is>
      </c>
      <c r="I122" s="2" t="inlineStr">
        <is>
          <t>https://www.danyel.co.il/greiner-bio-one/</t>
        </is>
      </c>
    </row>
    <row r="123">
      <c r="A123" s="2" t="n">
        <v>93</v>
      </c>
      <c r="B123" s="2" t="inlineStr">
        <is>
          <t>SARSTEDT</t>
        </is>
      </c>
      <c r="C123" s="2" t="inlineStr">
        <is>
          <t>distributor</t>
        </is>
      </c>
      <c r="D123" s="2" t="inlineStr">
        <is>
          <t>Tamar Laboratory Supplies Ltd.</t>
        </is>
      </c>
      <c r="E123" s="2" t="inlineStr">
        <is>
          <t>תמר ציוד מעבדתי</t>
        </is>
      </c>
      <c r="F123" s="2" t="inlineStr">
        <is>
          <t>מפיץ</t>
        </is>
      </c>
      <c r="G123" s="2" t="inlineStr">
        <is>
          <t>Sarstedt consumables (tubes, cuvettes, pipette tips) – Sarstedt is on Tamar's represented-companies page</t>
        </is>
      </c>
      <c r="H123" s="2" t="inlineStr">
        <is>
          <t>https://www.tamar.co.il</t>
        </is>
      </c>
      <c r="I123" s="2" t="inlineStr">
        <is>
          <t>https://www.tamar.co.il/represented-companies/</t>
        </is>
      </c>
    </row>
    <row r="124">
      <c r="A124" s="2" t="n">
        <v>94</v>
      </c>
      <c r="B124" s="2" t="inlineStr">
        <is>
          <t>BRAND (incl. VACUUBRAND)</t>
        </is>
      </c>
      <c r="C124" s="2" t="inlineStr">
        <is>
          <t>none_found</t>
        </is>
      </c>
      <c r="D124" s="2" t="inlineStr">
        <is>
          <t>—</t>
        </is>
      </c>
      <c r="E124" s="2" t="inlineStr"/>
      <c r="F124" s="2" t="inlineStr"/>
      <c r="G124" s="2" t="inlineStr"/>
      <c r="H124" s="2" t="inlineStr"/>
      <c r="I124" s="2" t="inlineStr"/>
    </row>
    <row r="125">
      <c r="A125" s="2" t="n">
        <v>95</v>
      </c>
      <c r="B125" s="2" t="inlineStr">
        <is>
          <t>Berthold Technologies</t>
        </is>
      </c>
      <c r="C125" s="2" t="inlineStr">
        <is>
          <t>none_found</t>
        </is>
      </c>
      <c r="D125" s="2" t="inlineStr">
        <is>
          <t>—</t>
        </is>
      </c>
      <c r="E125" s="2" t="inlineStr"/>
      <c r="F125" s="2" t="inlineStr"/>
      <c r="G125" s="2" t="inlineStr"/>
      <c r="H125" s="2" t="inlineStr"/>
      <c r="I125" s="2" t="inlineStr"/>
    </row>
    <row r="126">
      <c r="A126" s="2" t="n">
        <v>96</v>
      </c>
      <c r="B126" s="2" t="inlineStr">
        <is>
          <t>INFORS HT</t>
        </is>
      </c>
      <c r="C126" s="2" t="inlineStr">
        <is>
          <t>none_found</t>
        </is>
      </c>
      <c r="D126" s="2" t="inlineStr">
        <is>
          <t>—</t>
        </is>
      </c>
      <c r="E126" s="2" t="inlineStr"/>
      <c r="F126" s="2" t="inlineStr"/>
      <c r="G126" s="2" t="inlineStr"/>
      <c r="H126" s="2" t="inlineStr"/>
      <c r="I126" s="2" t="inlineStr"/>
    </row>
    <row r="127">
      <c r="A127" s="2" t="n">
        <v>97</v>
      </c>
      <c r="B127" s="2" t="inlineStr">
        <is>
          <t>Nabertherm</t>
        </is>
      </c>
      <c r="C127" s="2" t="inlineStr">
        <is>
          <t>none_found</t>
        </is>
      </c>
      <c r="D127" s="2" t="inlineStr">
        <is>
          <t>—</t>
        </is>
      </c>
      <c r="E127" s="2" t="inlineStr"/>
      <c r="F127" s="2" t="inlineStr"/>
      <c r="G127" s="2" t="inlineStr"/>
      <c r="H127" s="2" t="inlineStr"/>
      <c r="I127" s="2" t="inlineStr"/>
    </row>
    <row r="128">
      <c r="A128" s="2" t="n">
        <v>98</v>
      </c>
      <c r="B128" s="2" t="inlineStr">
        <is>
          <t>ELGA LabWater (Veolia)</t>
        </is>
      </c>
      <c r="C128" s="2" t="inlineStr">
        <is>
          <t>distributor</t>
        </is>
      </c>
      <c r="D128" s="2" t="inlineStr">
        <is>
          <t>Lumitron Ltd.</t>
        </is>
      </c>
      <c r="E128" s="2" t="inlineStr">
        <is>
          <t>לומיטרון</t>
        </is>
      </c>
      <c r="F128" s="2" t="inlineStr">
        <is>
          <t>מפיץ</t>
        </is>
      </c>
      <c r="G128" s="2" t="inlineStr">
        <is>
          <t>ELGA approved partner for Israel (ELGA 'Approved Partners' directory, tel. 972-52-525-6287)</t>
        </is>
      </c>
      <c r="H128" s="2" t="inlineStr">
        <is>
          <t>https://www.lumitron.co.il</t>
        </is>
      </c>
      <c r="I128" s="2" t="inlineStr">
        <is>
          <t>https://www.elgalabwater.com/about-us/approved-partners</t>
        </is>
      </c>
    </row>
    <row r="129">
      <c r="A129" s="2" t="n">
        <v>99</v>
      </c>
      <c r="B129" s="2" t="inlineStr">
        <is>
          <t>ATS Scientific Products (ex-SP Industries)</t>
        </is>
      </c>
      <c r="C129" s="2" t="inlineStr">
        <is>
          <t>none_found</t>
        </is>
      </c>
      <c r="D129" s="2" t="inlineStr">
        <is>
          <t>—</t>
        </is>
      </c>
      <c r="E129" s="2" t="inlineStr"/>
      <c r="F129" s="2" t="inlineStr"/>
      <c r="G129" s="2" t="inlineStr"/>
      <c r="H129" s="2" t="inlineStr"/>
      <c r="I129" s="2" t="inlineStr"/>
    </row>
    <row r="130">
      <c r="A130" s="2" t="n">
        <v>100</v>
      </c>
      <c r="B130" s="2" t="inlineStr">
        <is>
          <t>RADWAG</t>
        </is>
      </c>
      <c r="C130" s="2" t="inlineStr">
        <is>
          <t>none_found</t>
        </is>
      </c>
      <c r="D130" s="2" t="inlineStr">
        <is>
          <t>—</t>
        </is>
      </c>
      <c r="E130" s="2" t="inlineStr"/>
      <c r="F130" s="2" t="inlineStr"/>
      <c r="G130" s="2" t="inlineStr"/>
      <c r="H130" s="2" t="inlineStr"/>
      <c r="I130" s="2" t="inlineStr"/>
    </row>
  </sheetData>
  <autoFilter ref="A1:I1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01"/>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7" customWidth="1" min="3" max="3"/>
    <col width="34" customWidth="1" min="4" max="4"/>
    <col width="50" customWidth="1" min="5" max="5"/>
  </cols>
  <sheetData>
    <row r="1">
      <c r="A1" s="4" t="inlineStr">
        <is>
          <t># יצרן</t>
        </is>
      </c>
      <c r="B1" s="4" t="inlineStr">
        <is>
          <t>יצרן / Manufacturer</t>
        </is>
      </c>
      <c r="C1" s="4" t="inlineStr">
        <is>
          <t>מס׳ / Rank</t>
        </is>
      </c>
      <c r="D1" s="4" t="inlineStr">
        <is>
          <t>מוצר / Product</t>
        </is>
      </c>
      <c r="E1" s="4" t="inlineStr">
        <is>
          <t>תיאור / Description</t>
        </is>
      </c>
    </row>
    <row r="2">
      <c r="A2" s="2" t="n">
        <v>1</v>
      </c>
      <c r="B2" s="2" t="inlineStr">
        <is>
          <t>Thermo Fisher Scientific</t>
        </is>
      </c>
      <c r="C2" s="2" t="n">
        <v>1</v>
      </c>
      <c r="D2" s="2" t="inlineStr">
        <is>
          <t>Thermo Scientific Orbitrap Astral</t>
        </is>
      </c>
      <c r="E2" s="2" t="inlineStr">
        <is>
          <t>high-resolution Orbitrap LC-MS mass spectrometer</t>
        </is>
      </c>
    </row>
    <row r="3">
      <c r="A3" s="2" t="n">
        <v>1</v>
      </c>
      <c r="B3" s="2" t="inlineStr">
        <is>
          <t>Thermo Fisher Scientific</t>
        </is>
      </c>
      <c r="C3" s="2" t="n">
        <v>2</v>
      </c>
      <c r="D3" s="2" t="inlineStr">
        <is>
          <t>Applied Biosystems QuantStudio</t>
        </is>
      </c>
      <c r="E3" s="2" t="inlineStr">
        <is>
          <t>real-time PCR (qPCR/dPCR) instrument family</t>
        </is>
      </c>
    </row>
    <row r="4">
      <c r="A4" s="2" t="n">
        <v>1</v>
      </c>
      <c r="B4" s="2" t="inlineStr">
        <is>
          <t>Thermo Fisher Scientific</t>
        </is>
      </c>
      <c r="C4" s="2" t="n">
        <v>3</v>
      </c>
      <c r="D4" s="2" t="inlineStr">
        <is>
          <t>Thermo Scientific Krios cryo-TEM</t>
        </is>
      </c>
      <c r="E4" s="2" t="inlineStr">
        <is>
          <t>cryo-electron microscope for structural biology</t>
        </is>
      </c>
    </row>
    <row r="5">
      <c r="A5" s="2" t="n">
        <v>2</v>
      </c>
      <c r="B5" s="2" t="inlineStr">
        <is>
          <t>Agilent Technologies</t>
        </is>
      </c>
      <c r="C5" s="2" t="n">
        <v>1</v>
      </c>
      <c r="D5" s="2" t="inlineStr">
        <is>
          <t>Agilent 1290 Infinity III LC</t>
        </is>
      </c>
      <c r="E5" s="2" t="inlineStr">
        <is>
          <t>flagship UHPLC liquid chromatography system</t>
        </is>
      </c>
    </row>
    <row r="6">
      <c r="A6" s="2" t="n">
        <v>2</v>
      </c>
      <c r="B6" s="2" t="inlineStr">
        <is>
          <t>Agilent Technologies</t>
        </is>
      </c>
      <c r="C6" s="2" t="n">
        <v>2</v>
      </c>
      <c r="D6" s="2" t="inlineStr">
        <is>
          <t>Agilent 8890 GC / 7010 Triple Quad GC/MS</t>
        </is>
      </c>
      <c r="E6" s="2" t="inlineStr">
        <is>
          <t>gas chromatograph and GC-MS/MS systems</t>
        </is>
      </c>
    </row>
    <row r="7">
      <c r="A7" s="2" t="n">
        <v>2</v>
      </c>
      <c r="B7" s="2" t="inlineStr">
        <is>
          <t>Agilent Technologies</t>
        </is>
      </c>
      <c r="C7" s="2" t="n">
        <v>3</v>
      </c>
      <c r="D7" s="2" t="inlineStr">
        <is>
          <t>Agilent BioTek Cytation</t>
        </is>
      </c>
      <c r="E7" s="2" t="inlineStr">
        <is>
          <t>cell imaging multimode microplate reader</t>
        </is>
      </c>
    </row>
    <row r="8">
      <c r="A8" s="2" t="n">
        <v>3</v>
      </c>
      <c r="B8" s="2" t="inlineStr">
        <is>
          <t>Merck KGaA – Life Science (MilliporeSigma / Sigma-Aldrich / Merck Millipore)</t>
        </is>
      </c>
      <c r="C8" s="2" t="n">
        <v>1</v>
      </c>
      <c r="D8" s="2" t="inlineStr">
        <is>
          <t>Milli-Q</t>
        </is>
      </c>
      <c r="E8" s="2" t="inlineStr">
        <is>
          <t>laboratory ultrapure / pure water purification systems</t>
        </is>
      </c>
    </row>
    <row r="9">
      <c r="A9" s="2" t="n">
        <v>3</v>
      </c>
      <c r="B9" s="2" t="inlineStr">
        <is>
          <t>Merck KGaA – Life Science (MilliporeSigma / Sigma-Aldrich / Merck Millipore)</t>
        </is>
      </c>
      <c r="C9" s="2" t="n">
        <v>2</v>
      </c>
      <c r="D9" s="2" t="inlineStr">
        <is>
          <t>Millipore filtration (Millex, Stericup, Mobius)</t>
        </is>
      </c>
      <c r="E9" s="2" t="inlineStr">
        <is>
          <t>lab filtration and single-use bioprocess products</t>
        </is>
      </c>
    </row>
    <row r="10">
      <c r="A10" s="2" t="n">
        <v>3</v>
      </c>
      <c r="B10" s="2" t="inlineStr">
        <is>
          <t>Merck KGaA – Life Science (MilliporeSigma / Sigma-Aldrich / Merck Millipore)</t>
        </is>
      </c>
      <c r="C10" s="2" t="n">
        <v>3</v>
      </c>
      <c r="D10" s="2" t="inlineStr">
        <is>
          <t>Sigma-Aldrich research chemicals</t>
        </is>
      </c>
      <c r="E10" s="2" t="inlineStr">
        <is>
          <t>reagents, biochemicals and analytical standards</t>
        </is>
      </c>
    </row>
    <row r="11">
      <c r="A11" s="2" t="n">
        <v>4</v>
      </c>
      <c r="B11" s="2" t="inlineStr">
        <is>
          <t>Waters Corporation</t>
        </is>
      </c>
      <c r="C11" s="2" t="n">
        <v>1</v>
      </c>
      <c r="D11" s="2" t="inlineStr">
        <is>
          <t>ACQUITY Premier UPLC</t>
        </is>
      </c>
      <c r="E11" s="2" t="inlineStr">
        <is>
          <t>ultra-performance liquid chromatography systems</t>
        </is>
      </c>
    </row>
    <row r="12">
      <c r="A12" s="2" t="n">
        <v>4</v>
      </c>
      <c r="B12" s="2" t="inlineStr">
        <is>
          <t>Waters Corporation</t>
        </is>
      </c>
      <c r="C12" s="2" t="n">
        <v>2</v>
      </c>
      <c r="D12" s="2" t="inlineStr">
        <is>
          <t>Xevo TQ Absolute</t>
        </is>
      </c>
      <c r="E12" s="2" t="inlineStr">
        <is>
          <t>tandem quadrupole LC-MS/MS mass spectrometer</t>
        </is>
      </c>
    </row>
    <row r="13">
      <c r="A13" s="2" t="n">
        <v>4</v>
      </c>
      <c r="B13" s="2" t="inlineStr">
        <is>
          <t>Waters Corporation</t>
        </is>
      </c>
      <c r="C13" s="2" t="n">
        <v>3</v>
      </c>
      <c r="D13" s="2" t="inlineStr">
        <is>
          <t>Empower CDS</t>
        </is>
      </c>
      <c r="E13" s="2" t="inlineStr">
        <is>
          <t>chromatography data system software</t>
        </is>
      </c>
    </row>
    <row r="14">
      <c r="A14" s="2" t="n">
        <v>5</v>
      </c>
      <c r="B14" s="2" t="inlineStr">
        <is>
          <t>Bruker Corporation</t>
        </is>
      </c>
      <c r="C14" s="2" t="n">
        <v>1</v>
      </c>
      <c r="D14" s="2" t="inlineStr">
        <is>
          <t>AVANCE NEO NMR</t>
        </is>
      </c>
      <c r="E14" s="2" t="inlineStr">
        <is>
          <t>high-field NMR spectrometers (BioSpin)</t>
        </is>
      </c>
    </row>
    <row r="15">
      <c r="A15" s="2" t="n">
        <v>5</v>
      </c>
      <c r="B15" s="2" t="inlineStr">
        <is>
          <t>Bruker Corporation</t>
        </is>
      </c>
      <c r="C15" s="2" t="n">
        <v>2</v>
      </c>
      <c r="D15" s="2" t="inlineStr">
        <is>
          <t>timsTOF</t>
        </is>
      </c>
      <c r="E15" s="2" t="inlineStr">
        <is>
          <t>trapped-ion-mobility Q-TOF mass spectrometers (Daltonics)</t>
        </is>
      </c>
    </row>
    <row r="16">
      <c r="A16" s="2" t="n">
        <v>5</v>
      </c>
      <c r="B16" s="2" t="inlineStr">
        <is>
          <t>Bruker Corporation</t>
        </is>
      </c>
      <c r="C16" s="2" t="n">
        <v>3</v>
      </c>
      <c r="D16" s="2" t="inlineStr">
        <is>
          <t>D8 ADVANCE / Dimension AFM</t>
        </is>
      </c>
      <c r="E16" s="2" t="inlineStr">
        <is>
          <t>X-ray diffraction and atomic force microscopy systems</t>
        </is>
      </c>
    </row>
    <row r="17">
      <c r="A17" s="2" t="n">
        <v>6</v>
      </c>
      <c r="B17" s="2" t="inlineStr">
        <is>
          <t>Shimadzu Corporation</t>
        </is>
      </c>
      <c r="C17" s="2" t="n">
        <v>1</v>
      </c>
      <c r="D17" s="2" t="inlineStr">
        <is>
          <t>Nexera UHPLC series</t>
        </is>
      </c>
      <c r="E17" s="2" t="inlineStr">
        <is>
          <t>ultra-high-performance liquid chromatographs</t>
        </is>
      </c>
    </row>
    <row r="18">
      <c r="A18" s="2" t="n">
        <v>6</v>
      </c>
      <c r="B18" s="2" t="inlineStr">
        <is>
          <t>Shimadzu Corporation</t>
        </is>
      </c>
      <c r="C18" s="2" t="n">
        <v>2</v>
      </c>
      <c r="D18" s="2" t="inlineStr">
        <is>
          <t>LCMS-8060NX / LCMS-9050</t>
        </is>
      </c>
      <c r="E18" s="2" t="inlineStr">
        <is>
          <t>triple-quadrupole and Q-TOF LC-MS/MS systems</t>
        </is>
      </c>
    </row>
    <row r="19">
      <c r="A19" s="2" t="n">
        <v>6</v>
      </c>
      <c r="B19" s="2" t="inlineStr">
        <is>
          <t>Shimadzu Corporation</t>
        </is>
      </c>
      <c r="C19" s="2" t="n">
        <v>3</v>
      </c>
      <c r="D19" s="2" t="inlineStr">
        <is>
          <t>GCMS-QP2050</t>
        </is>
      </c>
      <c r="E19" s="2" t="inlineStr">
        <is>
          <t>single-quadrupole GC-MS system</t>
        </is>
      </c>
    </row>
    <row r="20">
      <c r="A20" s="2" t="n">
        <v>7</v>
      </c>
      <c r="B20" s="2" t="inlineStr">
        <is>
          <t>Mettler-Toledo International</t>
        </is>
      </c>
      <c r="C20" s="2" t="n">
        <v>1</v>
      </c>
      <c r="D20" s="2" t="inlineStr">
        <is>
          <t>XPR analytical &amp; micro balances</t>
        </is>
      </c>
      <c r="E20" s="2" t="inlineStr">
        <is>
          <t>high-precision laboratory balances</t>
        </is>
      </c>
    </row>
    <row r="21">
      <c r="A21" s="2" t="n">
        <v>7</v>
      </c>
      <c r="B21" s="2" t="inlineStr">
        <is>
          <t>Mettler-Toledo International</t>
        </is>
      </c>
      <c r="C21" s="2" t="n">
        <v>2</v>
      </c>
      <c r="D21" s="2" t="inlineStr">
        <is>
          <t>Rainin Pipet-Lite XLS / E4 XLS</t>
        </is>
      </c>
      <c r="E21" s="2" t="inlineStr">
        <is>
          <t>manual and electronic pipettes</t>
        </is>
      </c>
    </row>
    <row r="22">
      <c r="A22" s="2" t="n">
        <v>7</v>
      </c>
      <c r="B22" s="2" t="inlineStr">
        <is>
          <t>Mettler-Toledo International</t>
        </is>
      </c>
      <c r="C22" s="2" t="n">
        <v>3</v>
      </c>
      <c r="D22" s="2" t="inlineStr">
        <is>
          <t>Excellence Titrators &amp; SevenExcellence meters</t>
        </is>
      </c>
      <c r="E22" s="2" t="inlineStr">
        <is>
          <t>titration and pH/ion analysis</t>
        </is>
      </c>
    </row>
    <row r="23">
      <c r="A23" s="2" t="n">
        <v>8</v>
      </c>
      <c r="B23" s="2" t="inlineStr">
        <is>
          <t>Sartorius AG</t>
        </is>
      </c>
      <c r="C23" s="2" t="n">
        <v>1</v>
      </c>
      <c r="D23" s="2" t="inlineStr">
        <is>
          <t>Octet BLI systems</t>
        </is>
      </c>
      <c r="E23" s="2" t="inlineStr">
        <is>
          <t>label-free bio-layer interferometry analyzers</t>
        </is>
      </c>
    </row>
    <row r="24">
      <c r="A24" s="2" t="n">
        <v>8</v>
      </c>
      <c r="B24" s="2" t="inlineStr">
        <is>
          <t>Sartorius AG</t>
        </is>
      </c>
      <c r="C24" s="2" t="n">
        <v>2</v>
      </c>
      <c r="D24" s="2" t="inlineStr">
        <is>
          <t>Biostat STR</t>
        </is>
      </c>
      <c r="E24" s="2" t="inlineStr">
        <is>
          <t>single-use stirred-tank bioreactors</t>
        </is>
      </c>
    </row>
    <row r="25">
      <c r="A25" s="2" t="n">
        <v>8</v>
      </c>
      <c r="B25" s="2" t="inlineStr">
        <is>
          <t>Sartorius AG</t>
        </is>
      </c>
      <c r="C25" s="2" t="n">
        <v>3</v>
      </c>
      <c r="D25" s="2" t="inlineStr">
        <is>
          <t>Cubis II balances</t>
        </is>
      </c>
      <c r="E25" s="2" t="inlineStr">
        <is>
          <t>modular premium laboratory balances</t>
        </is>
      </c>
    </row>
    <row r="26">
      <c r="A26" s="2" t="n">
        <v>9</v>
      </c>
      <c r="B26" s="2" t="inlineStr">
        <is>
          <t>Revvity</t>
        </is>
      </c>
      <c r="C26" s="2" t="n">
        <v>1</v>
      </c>
      <c r="D26" s="2" t="inlineStr">
        <is>
          <t>EnVision Nexus</t>
        </is>
      </c>
      <c r="E26" s="2" t="inlineStr">
        <is>
          <t>multimode microplate reader for HTS</t>
        </is>
      </c>
    </row>
    <row r="27">
      <c r="A27" s="2" t="n">
        <v>9</v>
      </c>
      <c r="B27" s="2" t="inlineStr">
        <is>
          <t>Revvity</t>
        </is>
      </c>
      <c r="C27" s="2" t="n">
        <v>2</v>
      </c>
      <c r="D27" s="2" t="inlineStr">
        <is>
          <t>Opera Phenix Plus</t>
        </is>
      </c>
      <c r="E27" s="2" t="inlineStr">
        <is>
          <t>high-content screening / imaging system</t>
        </is>
      </c>
    </row>
    <row r="28">
      <c r="A28" s="2" t="n">
        <v>9</v>
      </c>
      <c r="B28" s="2" t="inlineStr">
        <is>
          <t>Revvity</t>
        </is>
      </c>
      <c r="C28" s="2" t="n">
        <v>3</v>
      </c>
      <c r="D28" s="2" t="inlineStr">
        <is>
          <t>BioLegend antibodies &amp; reagents</t>
        </is>
      </c>
      <c r="E28" s="2" t="inlineStr">
        <is>
          <t>research antibodies, immunoassays and proteins</t>
        </is>
      </c>
    </row>
    <row r="29">
      <c r="A29" s="2" t="n">
        <v>10</v>
      </c>
      <c r="B29" s="2" t="inlineStr">
        <is>
          <t>PerkinElmer (New Mountain Capital)</t>
        </is>
      </c>
      <c r="C29" s="2" t="n">
        <v>1</v>
      </c>
      <c r="D29" s="2" t="inlineStr">
        <is>
          <t>NexION ICP-MS</t>
        </is>
      </c>
      <c r="E29" s="2" t="inlineStr">
        <is>
          <t>inductively coupled plasma mass spectrometers</t>
        </is>
      </c>
    </row>
    <row r="30">
      <c r="A30" s="2" t="n">
        <v>10</v>
      </c>
      <c r="B30" s="2" t="inlineStr">
        <is>
          <t>PerkinElmer (New Mountain Capital)</t>
        </is>
      </c>
      <c r="C30" s="2" t="n">
        <v>2</v>
      </c>
      <c r="D30" s="2" t="inlineStr">
        <is>
          <t>Avio ICP-OES</t>
        </is>
      </c>
      <c r="E30" s="2" t="inlineStr">
        <is>
          <t>ICP optical emission spectrometers for elemental analysis</t>
        </is>
      </c>
    </row>
    <row r="31">
      <c r="A31" s="2" t="n">
        <v>10</v>
      </c>
      <c r="B31" s="2" t="inlineStr">
        <is>
          <t>PerkinElmer (New Mountain Capital)</t>
        </is>
      </c>
      <c r="C31" s="2" t="n">
        <v>3</v>
      </c>
      <c r="D31" s="2" t="inlineStr">
        <is>
          <t>Spectrum 3 / Lambda / Pyris</t>
        </is>
      </c>
      <c r="E31" s="2" t="inlineStr">
        <is>
          <t>FT-IR, UV-Vis and thermal analysis instruments</t>
        </is>
      </c>
    </row>
    <row r="32">
      <c r="A32" s="2" t="n">
        <v>11</v>
      </c>
      <c r="B32" s="2" t="inlineStr">
        <is>
          <t>Bio-Rad Laboratories</t>
        </is>
      </c>
      <c r="C32" s="2" t="n">
        <v>1</v>
      </c>
      <c r="D32" s="2" t="inlineStr">
        <is>
          <t>QX600 Droplet Digital PCR</t>
        </is>
      </c>
      <c r="E32" s="2" t="inlineStr">
        <is>
          <t>ddPCR absolute nucleic-acid quantification system</t>
        </is>
      </c>
    </row>
    <row r="33">
      <c r="A33" s="2" t="n">
        <v>11</v>
      </c>
      <c r="B33" s="2" t="inlineStr">
        <is>
          <t>Bio-Rad Laboratories</t>
        </is>
      </c>
      <c r="C33" s="2" t="n">
        <v>2</v>
      </c>
      <c r="D33" s="2" t="inlineStr">
        <is>
          <t>CFX Opus Real-Time PCR</t>
        </is>
      </c>
      <c r="E33" s="2" t="inlineStr">
        <is>
          <t>qPCR detection systems</t>
        </is>
      </c>
    </row>
    <row r="34">
      <c r="A34" s="2" t="n">
        <v>11</v>
      </c>
      <c r="B34" s="2" t="inlineStr">
        <is>
          <t>Bio-Rad Laboratories</t>
        </is>
      </c>
      <c r="C34" s="2" t="n">
        <v>3</v>
      </c>
      <c r="D34" s="2" t="inlineStr">
        <is>
          <t>ChemiDoc MP</t>
        </is>
      </c>
      <c r="E34" s="2" t="inlineStr">
        <is>
          <t>gel and western-blot imaging system</t>
        </is>
      </c>
    </row>
    <row r="35">
      <c r="A35" s="2" t="n">
        <v>12</v>
      </c>
      <c r="B35" s="2" t="inlineStr">
        <is>
          <t>Avantor (incl. VWR)</t>
        </is>
      </c>
      <c r="C35" s="2" t="n">
        <v>1</v>
      </c>
      <c r="D35" s="2" t="inlineStr">
        <is>
          <t>VWR-brand consumables and lab supplies</t>
        </is>
      </c>
      <c r="E35" s="2" t="inlineStr">
        <is>
          <t>lab products sold through the VWR distribution channel</t>
        </is>
      </c>
    </row>
    <row r="36">
      <c r="A36" s="2" t="n">
        <v>12</v>
      </c>
      <c r="B36" s="2" t="inlineStr">
        <is>
          <t>Avantor (incl. VWR)</t>
        </is>
      </c>
      <c r="C36" s="2" t="n">
        <v>2</v>
      </c>
      <c r="D36" s="2" t="inlineStr">
        <is>
          <t>J.T.Baker chemicals</t>
        </is>
      </c>
      <c r="E36" s="2" t="inlineStr">
        <is>
          <t>high-purity lab chemicals and solvents</t>
        </is>
      </c>
    </row>
    <row r="37">
      <c r="A37" s="2" t="n">
        <v>12</v>
      </c>
      <c r="B37" s="2" t="inlineStr">
        <is>
          <t>Avantor (incl. VWR)</t>
        </is>
      </c>
      <c r="C37" s="2" t="n">
        <v>3</v>
      </c>
      <c r="D37" s="2" t="inlineStr">
        <is>
          <t>NuSil silicones</t>
        </is>
      </c>
      <c r="E37" s="2" t="inlineStr">
        <is>
          <t>medical- and implant-grade silicone materials</t>
        </is>
      </c>
    </row>
    <row r="38">
      <c r="A38" s="2" t="n">
        <v>13</v>
      </c>
      <c r="B38" s="2" t="inlineStr">
        <is>
          <t>Eppendorf SE</t>
        </is>
      </c>
      <c r="C38" s="2" t="n">
        <v>1</v>
      </c>
      <c r="D38" s="2" t="inlineStr">
        <is>
          <t>Eppendorf Research plus</t>
        </is>
      </c>
      <c r="E38" s="2" t="inlineStr">
        <is>
          <t>manual mechanical pipettes</t>
        </is>
      </c>
    </row>
    <row r="39">
      <c r="A39" s="2" t="n">
        <v>13</v>
      </c>
      <c r="B39" s="2" t="inlineStr">
        <is>
          <t>Eppendorf SE</t>
        </is>
      </c>
      <c r="C39" s="2" t="n">
        <v>2</v>
      </c>
      <c r="D39" s="2" t="inlineStr">
        <is>
          <t>Centrifuge 5430 / 5910 Ri</t>
        </is>
      </c>
      <c r="E39" s="2" t="inlineStr">
        <is>
          <t>benchtop refrigerated centrifuges</t>
        </is>
      </c>
    </row>
    <row r="40">
      <c r="A40" s="2" t="n">
        <v>13</v>
      </c>
      <c r="B40" s="2" t="inlineStr">
        <is>
          <t>Eppendorf SE</t>
        </is>
      </c>
      <c r="C40" s="2" t="n">
        <v>3</v>
      </c>
      <c r="D40" s="2" t="inlineStr">
        <is>
          <t>epMotion</t>
        </is>
      </c>
      <c r="E40" s="2" t="inlineStr">
        <is>
          <t>automated liquid-handling workstations</t>
        </is>
      </c>
    </row>
    <row r="41">
      <c r="A41" s="2" t="n">
        <v>14</v>
      </c>
      <c r="B41" s="2" t="inlineStr">
        <is>
          <t>QIAGEN</t>
        </is>
      </c>
      <c r="C41" s="2" t="n">
        <v>1</v>
      </c>
      <c r="D41" s="2" t="inlineStr">
        <is>
          <t>QIAcube Connect</t>
        </is>
      </c>
      <c r="E41" s="2" t="inlineStr">
        <is>
          <t>automated nucleic-acid extraction instrument</t>
        </is>
      </c>
    </row>
    <row r="42">
      <c r="A42" s="2" t="n">
        <v>14</v>
      </c>
      <c r="B42" s="2" t="inlineStr">
        <is>
          <t>QIAGEN</t>
        </is>
      </c>
      <c r="C42" s="2" t="n">
        <v>2</v>
      </c>
      <c r="D42" s="2" t="inlineStr">
        <is>
          <t>QIAstat-Dx</t>
        </is>
      </c>
      <c r="E42" s="2" t="inlineStr">
        <is>
          <t>syndromic molecular diagnostic panel system</t>
        </is>
      </c>
    </row>
    <row r="43">
      <c r="A43" s="2" t="n">
        <v>14</v>
      </c>
      <c r="B43" s="2" t="inlineStr">
        <is>
          <t>QIAGEN</t>
        </is>
      </c>
      <c r="C43" s="2" t="n">
        <v>3</v>
      </c>
      <c r="D43" s="2" t="inlineStr">
        <is>
          <t>QuantiFERON-TB Gold Plus</t>
        </is>
      </c>
      <c r="E43" s="2" t="inlineStr">
        <is>
          <t>interferon-gamma TB blood test</t>
        </is>
      </c>
    </row>
    <row r="44">
      <c r="A44" s="2" t="n">
        <v>15</v>
      </c>
      <c r="B44" s="2" t="inlineStr">
        <is>
          <t>Illumina</t>
        </is>
      </c>
      <c r="C44" s="2" t="n">
        <v>1</v>
      </c>
      <c r="D44" s="2" t="inlineStr">
        <is>
          <t>NovaSeq X Series</t>
        </is>
      </c>
      <c r="E44" s="2" t="inlineStr">
        <is>
          <t>high-throughput production-scale sequencers</t>
        </is>
      </c>
    </row>
    <row r="45">
      <c r="A45" s="2" t="n">
        <v>15</v>
      </c>
      <c r="B45" s="2" t="inlineStr">
        <is>
          <t>Illumina</t>
        </is>
      </c>
      <c r="C45" s="2" t="n">
        <v>2</v>
      </c>
      <c r="D45" s="2" t="inlineStr">
        <is>
          <t>NextSeq 1000/2000</t>
        </is>
      </c>
      <c r="E45" s="2" t="inlineStr">
        <is>
          <t>mid-throughput benchtop sequencers</t>
        </is>
      </c>
    </row>
    <row r="46">
      <c r="A46" s="2" t="n">
        <v>15</v>
      </c>
      <c r="B46" s="2" t="inlineStr">
        <is>
          <t>Illumina</t>
        </is>
      </c>
      <c r="C46" s="2" t="n">
        <v>3</v>
      </c>
      <c r="D46" s="2" t="inlineStr">
        <is>
          <t>MiSeq i100</t>
        </is>
      </c>
      <c r="E46" s="2" t="inlineStr">
        <is>
          <t>compact benchtop sequencer</t>
        </is>
      </c>
    </row>
    <row r="47">
      <c r="A47" s="2" t="n">
        <v>16</v>
      </c>
      <c r="B47" s="2" t="inlineStr">
        <is>
          <t>Beckman Coulter (Danaher)</t>
        </is>
      </c>
      <c r="C47" s="2" t="n">
        <v>1</v>
      </c>
      <c r="D47" s="2" t="inlineStr">
        <is>
          <t>DxH 900</t>
        </is>
      </c>
      <c r="E47" s="2" t="inlineStr">
        <is>
          <t>hematology analyzer (Diagnostics)</t>
        </is>
      </c>
    </row>
    <row r="48">
      <c r="A48" s="2" t="n">
        <v>16</v>
      </c>
      <c r="B48" s="2" t="inlineStr">
        <is>
          <t>Beckman Coulter (Danaher)</t>
        </is>
      </c>
      <c r="C48" s="2" t="n">
        <v>2</v>
      </c>
      <c r="D48" s="2" t="inlineStr">
        <is>
          <t>DxI 9000 Access</t>
        </is>
      </c>
      <c r="E48" s="2" t="inlineStr">
        <is>
          <t>immunoassay analyzer (Diagnostics)</t>
        </is>
      </c>
    </row>
    <row r="49">
      <c r="A49" s="2" t="n">
        <v>16</v>
      </c>
      <c r="B49" s="2" t="inlineStr">
        <is>
          <t>Beckman Coulter (Danaher)</t>
        </is>
      </c>
      <c r="C49" s="2" t="n">
        <v>3</v>
      </c>
      <c r="D49" s="2" t="inlineStr">
        <is>
          <t>CytoFLEX</t>
        </is>
      </c>
      <c r="E49" s="2" t="inlineStr">
        <is>
          <t>benchtop flow cytometers (Life Sciences)</t>
        </is>
      </c>
    </row>
    <row r="50">
      <c r="A50" s="2" t="n">
        <v>17</v>
      </c>
      <c r="B50" s="2" t="inlineStr">
        <is>
          <t>Cytiva (Danaher)</t>
        </is>
      </c>
      <c r="C50" s="2" t="n">
        <v>1</v>
      </c>
      <c r="D50" s="2" t="inlineStr">
        <is>
          <t>AKTA</t>
        </is>
      </c>
      <c r="E50" s="2" t="inlineStr">
        <is>
          <t>protein purification chromatography systems</t>
        </is>
      </c>
    </row>
    <row r="51">
      <c r="A51" s="2" t="n">
        <v>17</v>
      </c>
      <c r="B51" s="2" t="inlineStr">
        <is>
          <t>Cytiva (Danaher)</t>
        </is>
      </c>
      <c r="C51" s="2" t="n">
        <v>2</v>
      </c>
      <c r="D51" s="2" t="inlineStr">
        <is>
          <t>MabSelect / Capto resins</t>
        </is>
      </c>
      <c r="E51" s="2" t="inlineStr">
        <is>
          <t>chromatography resins for biologics manufacturing</t>
        </is>
      </c>
    </row>
    <row r="52">
      <c r="A52" s="2" t="n">
        <v>17</v>
      </c>
      <c r="B52" s="2" t="inlineStr">
        <is>
          <t>Cytiva (Danaher)</t>
        </is>
      </c>
      <c r="C52" s="2" t="n">
        <v>3</v>
      </c>
      <c r="D52" s="2" t="inlineStr">
        <is>
          <t>Biacore</t>
        </is>
      </c>
      <c r="E52" s="2" t="inlineStr">
        <is>
          <t>surface plasmon resonance interaction analysis</t>
        </is>
      </c>
    </row>
    <row r="53">
      <c r="A53" s="2" t="n">
        <v>18</v>
      </c>
      <c r="B53" s="2" t="inlineStr">
        <is>
          <t>Leica Microsystems (Danaher)</t>
        </is>
      </c>
      <c r="C53" s="2" t="n">
        <v>1</v>
      </c>
      <c r="D53" s="2" t="inlineStr">
        <is>
          <t>STELLARIS</t>
        </is>
      </c>
      <c r="E53" s="2" t="inlineStr">
        <is>
          <t>confocal microscopy platform</t>
        </is>
      </c>
    </row>
    <row r="54">
      <c r="A54" s="2" t="n">
        <v>18</v>
      </c>
      <c r="B54" s="2" t="inlineStr">
        <is>
          <t>Leica Microsystems (Danaher)</t>
        </is>
      </c>
      <c r="C54" s="2" t="n">
        <v>2</v>
      </c>
      <c r="D54" s="2" t="inlineStr">
        <is>
          <t>Mica</t>
        </is>
      </c>
      <c r="E54" s="2" t="inlineStr">
        <is>
          <t>automated widefield/confocal imaging microhub</t>
        </is>
      </c>
    </row>
    <row r="55">
      <c r="A55" s="2" t="n">
        <v>18</v>
      </c>
      <c r="B55" s="2" t="inlineStr">
        <is>
          <t>Leica Microsystems (Danaher)</t>
        </is>
      </c>
      <c r="C55" s="2" t="n">
        <v>3</v>
      </c>
      <c r="D55" s="2" t="inlineStr">
        <is>
          <t>THUNDER Imagers</t>
        </is>
      </c>
      <c r="E55" s="2" t="inlineStr">
        <is>
          <t>computational-clearing widefield imaging systems</t>
        </is>
      </c>
    </row>
    <row r="56">
      <c r="A56" s="2" t="n">
        <v>19</v>
      </c>
      <c r="B56" s="2" t="inlineStr">
        <is>
          <t>SCIEX (Danaher)</t>
        </is>
      </c>
      <c r="C56" s="2" t="n">
        <v>1</v>
      </c>
      <c r="D56" s="2" t="inlineStr">
        <is>
          <t>ZenoTOF 7600+</t>
        </is>
      </c>
      <c r="E56" s="2" t="inlineStr">
        <is>
          <t>QTOF LC-MS/MS mass spectrometer</t>
        </is>
      </c>
    </row>
    <row r="57">
      <c r="A57" s="2" t="n">
        <v>19</v>
      </c>
      <c r="B57" s="2" t="inlineStr">
        <is>
          <t>SCIEX (Danaher)</t>
        </is>
      </c>
      <c r="C57" s="2" t="n">
        <v>2</v>
      </c>
      <c r="D57" s="2" t="inlineStr">
        <is>
          <t>SCIEX 7500+ (Triple Quad)</t>
        </is>
      </c>
      <c r="E57" s="2" t="inlineStr">
        <is>
          <t>triple-quadrupole LC-MS/MS system</t>
        </is>
      </c>
    </row>
    <row r="58">
      <c r="A58" s="2" t="n">
        <v>19</v>
      </c>
      <c r="B58" s="2" t="inlineStr">
        <is>
          <t>SCIEX (Danaher)</t>
        </is>
      </c>
      <c r="C58" s="2" t="n">
        <v>3</v>
      </c>
      <c r="D58" s="2" t="inlineStr">
        <is>
          <t>Echo MS+</t>
        </is>
      </c>
      <c r="E58" s="2" t="inlineStr">
        <is>
          <t>acoustic-ejection mass spectrometry system</t>
        </is>
      </c>
    </row>
    <row r="59">
      <c r="A59" s="2" t="n">
        <v>20</v>
      </c>
      <c r="B59" s="2" t="inlineStr">
        <is>
          <t>Molecular Devices (Danaher)</t>
        </is>
      </c>
      <c r="C59" s="2" t="n">
        <v>1</v>
      </c>
      <c r="D59" s="2" t="inlineStr">
        <is>
          <t>SpectraMax iD5 / i3x</t>
        </is>
      </c>
      <c r="E59" s="2" t="inlineStr">
        <is>
          <t>multi-mode microplate readers</t>
        </is>
      </c>
    </row>
    <row r="60">
      <c r="A60" s="2" t="n">
        <v>20</v>
      </c>
      <c r="B60" s="2" t="inlineStr">
        <is>
          <t>Molecular Devices (Danaher)</t>
        </is>
      </c>
      <c r="C60" s="2" t="n">
        <v>2</v>
      </c>
      <c r="D60" s="2" t="inlineStr">
        <is>
          <t>ImageXpress Confocal HT.ai</t>
        </is>
      </c>
      <c r="E60" s="2" t="inlineStr">
        <is>
          <t>high-content imaging and analysis system</t>
        </is>
      </c>
    </row>
    <row r="61">
      <c r="A61" s="2" t="n">
        <v>20</v>
      </c>
      <c r="B61" s="2" t="inlineStr">
        <is>
          <t>Molecular Devices (Danaher)</t>
        </is>
      </c>
      <c r="C61" s="2" t="n">
        <v>3</v>
      </c>
      <c r="D61" s="2" t="inlineStr">
        <is>
          <t>FLIPR Penta</t>
        </is>
      </c>
      <c r="E61" s="2" t="inlineStr">
        <is>
          <t>kinetic cellular screening (calcium/ion channel) system</t>
        </is>
      </c>
    </row>
    <row r="62">
      <c r="A62" s="2" t="n">
        <v>21</v>
      </c>
      <c r="B62" s="2" t="inlineStr">
        <is>
          <t>BD Biosciences &amp; BD Diagnostic Solutions (part of Waters since Feb 2026)</t>
        </is>
      </c>
      <c r="C62" s="2" t="n">
        <v>1</v>
      </c>
      <c r="D62" s="2" t="inlineStr">
        <is>
          <t>BD FACSDiscover S8</t>
        </is>
      </c>
      <c r="E62" s="2" t="inlineStr">
        <is>
          <t>spectral cell sorter with real-time cell imaging</t>
        </is>
      </c>
    </row>
    <row r="63">
      <c r="A63" s="2" t="n">
        <v>21</v>
      </c>
      <c r="B63" s="2" t="inlineStr">
        <is>
          <t>BD Biosciences &amp; BD Diagnostic Solutions (part of Waters since Feb 2026)</t>
        </is>
      </c>
      <c r="C63" s="2" t="n">
        <v>2</v>
      </c>
      <c r="D63" s="2" t="inlineStr">
        <is>
          <t>BD FACSymphony A5 SE / A1</t>
        </is>
      </c>
      <c r="E63" s="2" t="inlineStr">
        <is>
          <t>high-parameter spectral flow cytometry analyzers</t>
        </is>
      </c>
    </row>
    <row r="64">
      <c r="A64" s="2" t="n">
        <v>21</v>
      </c>
      <c r="B64" s="2" t="inlineStr">
        <is>
          <t>BD Biosciences &amp; BD Diagnostic Solutions (part of Waters since Feb 2026)</t>
        </is>
      </c>
      <c r="C64" s="2" t="n">
        <v>3</v>
      </c>
      <c r="D64" s="2" t="inlineStr">
        <is>
          <t>BD BACTEC FX, BD MAX, BD Phoenix</t>
        </is>
      </c>
      <c r="E64" s="2" t="inlineStr">
        <is>
          <t>blood-culture, molecular IVD and ID/AST systems</t>
        </is>
      </c>
    </row>
    <row r="65">
      <c r="A65" s="2" t="n">
        <v>22</v>
      </c>
      <c r="B65" s="2" t="inlineStr">
        <is>
          <t>Corning Life Sciences (Corning Inc.)</t>
        </is>
      </c>
      <c r="C65" s="2" t="n">
        <v>1</v>
      </c>
      <c r="D65" s="2" t="inlineStr">
        <is>
          <t>Falcon</t>
        </is>
      </c>
      <c r="E65" s="2" t="inlineStr">
        <is>
          <t>conical tubes, cell-culture plasticware, serological pipets</t>
        </is>
      </c>
    </row>
    <row r="66">
      <c r="A66" s="2" t="n">
        <v>22</v>
      </c>
      <c r="B66" s="2" t="inlineStr">
        <is>
          <t>Corning Life Sciences (Corning Inc.)</t>
        </is>
      </c>
      <c r="C66" s="2" t="n">
        <v>2</v>
      </c>
      <c r="D66" s="2" t="inlineStr">
        <is>
          <t>Corning Matrigel Matrix</t>
        </is>
      </c>
      <c r="E66" s="2" t="inlineStr">
        <is>
          <t>basement-membrane extract for 3D cell culture</t>
        </is>
      </c>
    </row>
    <row r="67">
      <c r="A67" s="2" t="n">
        <v>22</v>
      </c>
      <c r="B67" s="2" t="inlineStr">
        <is>
          <t>Corning Life Sciences (Corning Inc.)</t>
        </is>
      </c>
      <c r="C67" s="2" t="n">
        <v>3</v>
      </c>
      <c r="D67" s="2" t="inlineStr">
        <is>
          <t>Axygen</t>
        </is>
      </c>
      <c r="E67" s="2" t="inlineStr">
        <is>
          <t>pipette tips, PCR tubes/plates, genomics consumables</t>
        </is>
      </c>
    </row>
    <row r="68">
      <c r="A68" s="2" t="n">
        <v>23</v>
      </c>
      <c r="B68" s="2" t="inlineStr">
        <is>
          <t>Promega Corporation</t>
        </is>
      </c>
      <c r="C68" s="2" t="n">
        <v>1</v>
      </c>
      <c r="D68" s="2" t="inlineStr">
        <is>
          <t>Maxwell RSC</t>
        </is>
      </c>
      <c r="E68" s="2" t="inlineStr">
        <is>
          <t>automated nucleic acid purification instrument</t>
        </is>
      </c>
    </row>
    <row r="69">
      <c r="A69" s="2" t="n">
        <v>23</v>
      </c>
      <c r="B69" s="2" t="inlineStr">
        <is>
          <t>Promega Corporation</t>
        </is>
      </c>
      <c r="C69" s="2" t="n">
        <v>2</v>
      </c>
      <c r="D69" s="2" t="inlineStr">
        <is>
          <t>GloMax</t>
        </is>
      </c>
      <c r="E69" s="2" t="inlineStr">
        <is>
          <t>multimode microplate readers and luminometers</t>
        </is>
      </c>
    </row>
    <row r="70">
      <c r="A70" s="2" t="n">
        <v>23</v>
      </c>
      <c r="B70" s="2" t="inlineStr">
        <is>
          <t>Promega Corporation</t>
        </is>
      </c>
      <c r="C70" s="2" t="n">
        <v>3</v>
      </c>
      <c r="D70" s="2" t="inlineStr">
        <is>
          <t>CellTiter-Glo / Dual-Luciferase</t>
        </is>
      </c>
      <c r="E70" s="2" t="inlineStr">
        <is>
          <t>bioluminescent cell-viability and reporter assays</t>
        </is>
      </c>
    </row>
    <row r="71">
      <c r="A71" s="2" t="n">
        <v>24</v>
      </c>
      <c r="B71" s="2" t="inlineStr">
        <is>
          <t>New England Biolabs</t>
        </is>
      </c>
      <c r="C71" s="2" t="n">
        <v>1</v>
      </c>
      <c r="D71" s="2" t="inlineStr">
        <is>
          <t>Q5 High-Fidelity DNA Polymerase</t>
        </is>
      </c>
      <c r="E71" s="2" t="inlineStr">
        <is>
          <t>high-fidelity PCR enzyme and master mixes</t>
        </is>
      </c>
    </row>
    <row r="72">
      <c r="A72" s="2" t="n">
        <v>24</v>
      </c>
      <c r="B72" s="2" t="inlineStr">
        <is>
          <t>New England Biolabs</t>
        </is>
      </c>
      <c r="C72" s="2" t="n">
        <v>2</v>
      </c>
      <c r="D72" s="2" t="inlineStr">
        <is>
          <t>NEBNext</t>
        </is>
      </c>
      <c r="E72" s="2" t="inlineStr">
        <is>
          <t>NGS library-preparation kits</t>
        </is>
      </c>
    </row>
    <row r="73">
      <c r="A73" s="2" t="n">
        <v>24</v>
      </c>
      <c r="B73" s="2" t="inlineStr">
        <is>
          <t>New England Biolabs</t>
        </is>
      </c>
      <c r="C73" s="2" t="n">
        <v>3</v>
      </c>
      <c r="D73" s="2" t="inlineStr">
        <is>
          <t>Monarch</t>
        </is>
      </c>
      <c r="E73" s="2" t="inlineStr">
        <is>
          <t>nucleic acid purification kits</t>
        </is>
      </c>
    </row>
    <row r="74">
      <c r="A74" s="2" t="n">
        <v>25</v>
      </c>
      <c r="B74" s="2" t="inlineStr">
        <is>
          <t>Bio-Techne</t>
        </is>
      </c>
      <c r="C74" s="2" t="n">
        <v>1</v>
      </c>
      <c r="D74" s="2" t="inlineStr">
        <is>
          <t>ProteinSimple Jess / Simple Western</t>
        </is>
      </c>
      <c r="E74" s="2" t="inlineStr">
        <is>
          <t>automated capillary western-blot immunoassay systems</t>
        </is>
      </c>
    </row>
    <row r="75">
      <c r="A75" s="2" t="n">
        <v>25</v>
      </c>
      <c r="B75" s="2" t="inlineStr">
        <is>
          <t>Bio-Techne</t>
        </is>
      </c>
      <c r="C75" s="2" t="n">
        <v>2</v>
      </c>
      <c r="D75" s="2" t="inlineStr">
        <is>
          <t>R&amp;D Systems proteins, antibodies &amp; Quantikine ELISAs</t>
        </is>
      </c>
      <c r="E75" s="2" t="inlineStr">
        <is>
          <t>recombinant proteins, antibodies, immunoassay kits</t>
        </is>
      </c>
    </row>
    <row r="76">
      <c r="A76" s="2" t="n">
        <v>25</v>
      </c>
      <c r="B76" s="2" t="inlineStr">
        <is>
          <t>Bio-Techne</t>
        </is>
      </c>
      <c r="C76" s="2" t="n">
        <v>3</v>
      </c>
      <c r="D76" s="2" t="inlineStr">
        <is>
          <t>RNAscope (ACD)</t>
        </is>
      </c>
      <c r="E76" s="2" t="inlineStr">
        <is>
          <t>in situ hybridization assays for RNA detection</t>
        </is>
      </c>
    </row>
    <row r="77">
      <c r="A77" s="2" t="n">
        <v>26</v>
      </c>
      <c r="B77" s="2" t="inlineStr">
        <is>
          <t>Miltenyi Biotec</t>
        </is>
      </c>
      <c r="C77" s="2" t="n">
        <v>1</v>
      </c>
      <c r="D77" s="2" t="inlineStr">
        <is>
          <t>MACS MicroBeads / autoMACS / MultiMACS</t>
        </is>
      </c>
      <c r="E77" s="2" t="inlineStr">
        <is>
          <t>magnetic cell separation reagents and instruments</t>
        </is>
      </c>
    </row>
    <row r="78">
      <c r="A78" s="2" t="n">
        <v>26</v>
      </c>
      <c r="B78" s="2" t="inlineStr">
        <is>
          <t>Miltenyi Biotec</t>
        </is>
      </c>
      <c r="C78" s="2" t="n">
        <v>2</v>
      </c>
      <c r="D78" s="2" t="inlineStr">
        <is>
          <t>CliniMACS Prodigy</t>
        </is>
      </c>
      <c r="E78" s="2" t="inlineStr">
        <is>
          <t>automated closed-system cell-therapy manufacturing platform</t>
        </is>
      </c>
    </row>
    <row r="79">
      <c r="A79" s="2" t="n">
        <v>26</v>
      </c>
      <c r="B79" s="2" t="inlineStr">
        <is>
          <t>Miltenyi Biotec</t>
        </is>
      </c>
      <c r="C79" s="2" t="n">
        <v>3</v>
      </c>
      <c r="D79" s="2" t="inlineStr">
        <is>
          <t>MACSQuant Analyzer / MACSQuant Tyto</t>
        </is>
      </c>
      <c r="E79" s="2" t="inlineStr">
        <is>
          <t>flow cytometers and cartridge-based cell sorter</t>
        </is>
      </c>
    </row>
    <row r="80">
      <c r="A80" s="2" t="n">
        <v>27</v>
      </c>
      <c r="B80" s="2" t="inlineStr">
        <is>
          <t>10x Genomics</t>
        </is>
      </c>
      <c r="C80" s="2" t="n">
        <v>1</v>
      </c>
      <c r="D80" s="2" t="inlineStr">
        <is>
          <t>Chromium (X / Flex / GEM-X)</t>
        </is>
      </c>
      <c r="E80" s="2" t="inlineStr">
        <is>
          <t>single-cell gene-expression and multiomic platform</t>
        </is>
      </c>
    </row>
    <row r="81">
      <c r="A81" s="2" t="n">
        <v>27</v>
      </c>
      <c r="B81" s="2" t="inlineStr">
        <is>
          <t>10x Genomics</t>
        </is>
      </c>
      <c r="C81" s="2" t="n">
        <v>2</v>
      </c>
      <c r="D81" s="2" t="inlineStr">
        <is>
          <t>Visium HD</t>
        </is>
      </c>
      <c r="E81" s="2" t="inlineStr">
        <is>
          <t>high-resolution spatial transcriptomics</t>
        </is>
      </c>
    </row>
    <row r="82">
      <c r="A82" s="2" t="n">
        <v>27</v>
      </c>
      <c r="B82" s="2" t="inlineStr">
        <is>
          <t>10x Genomics</t>
        </is>
      </c>
      <c r="C82" s="2" t="n">
        <v>3</v>
      </c>
      <c r="D82" s="2" t="inlineStr">
        <is>
          <t>Xenium</t>
        </is>
      </c>
      <c r="E82" s="2" t="inlineStr">
        <is>
          <t>in situ single-cell spatial imaging platform</t>
        </is>
      </c>
    </row>
    <row r="83">
      <c r="A83" s="2" t="n">
        <v>28</v>
      </c>
      <c r="B83" s="2" t="inlineStr">
        <is>
          <t>Oxford Nanopore Technologies</t>
        </is>
      </c>
      <c r="C83" s="2" t="n">
        <v>1</v>
      </c>
      <c r="D83" s="2" t="inlineStr">
        <is>
          <t>PromethION (2 Solo / P24 / P48)</t>
        </is>
      </c>
      <c r="E83" s="2" t="inlineStr">
        <is>
          <t>high-throughput nanopore sequencers</t>
        </is>
      </c>
    </row>
    <row r="84">
      <c r="A84" s="2" t="n">
        <v>28</v>
      </c>
      <c r="B84" s="2" t="inlineStr">
        <is>
          <t>Oxford Nanopore Technologies</t>
        </is>
      </c>
      <c r="C84" s="2" t="n">
        <v>2</v>
      </c>
      <c r="D84" s="2" t="inlineStr">
        <is>
          <t>MinION</t>
        </is>
      </c>
      <c r="E84" s="2" t="inlineStr">
        <is>
          <t>portable USB nanopore sequencer</t>
        </is>
      </c>
    </row>
    <row r="85">
      <c r="A85" s="2" t="n">
        <v>28</v>
      </c>
      <c r="B85" s="2" t="inlineStr">
        <is>
          <t>Oxford Nanopore Technologies</t>
        </is>
      </c>
      <c r="C85" s="2" t="n">
        <v>3</v>
      </c>
      <c r="D85" s="2" t="inlineStr">
        <is>
          <t>GridION</t>
        </is>
      </c>
      <c r="E85" s="2" t="inlineStr">
        <is>
          <t>benchtop five-flow-cell nanopore sequencer</t>
        </is>
      </c>
    </row>
    <row r="86">
      <c r="A86" s="2" t="n">
        <v>29</v>
      </c>
      <c r="B86" s="2" t="inlineStr">
        <is>
          <t>Pacific Biosciences</t>
        </is>
      </c>
      <c r="C86" s="2" t="n">
        <v>1</v>
      </c>
      <c r="D86" s="2" t="inlineStr">
        <is>
          <t>Revio</t>
        </is>
      </c>
      <c r="E86" s="2" t="inlineStr">
        <is>
          <t>high-throughput long-read HiFi sequencing system</t>
        </is>
      </c>
    </row>
    <row r="87">
      <c r="A87" s="2" t="n">
        <v>29</v>
      </c>
      <c r="B87" s="2" t="inlineStr">
        <is>
          <t>Pacific Biosciences</t>
        </is>
      </c>
      <c r="C87" s="2" t="n">
        <v>2</v>
      </c>
      <c r="D87" s="2" t="inlineStr">
        <is>
          <t>Vega</t>
        </is>
      </c>
      <c r="E87" s="2" t="inlineStr">
        <is>
          <t>benchtop long-read HiFi sequencer</t>
        </is>
      </c>
    </row>
    <row r="88">
      <c r="A88" s="2" t="n">
        <v>29</v>
      </c>
      <c r="B88" s="2" t="inlineStr">
        <is>
          <t>Pacific Biosciences</t>
        </is>
      </c>
      <c r="C88" s="2" t="n">
        <v>3</v>
      </c>
      <c r="D88" s="2" t="inlineStr">
        <is>
          <t>Kinnex kits</t>
        </is>
      </c>
      <c r="E88" s="2" t="inlineStr">
        <is>
          <t>full-length RNA/16S HiFi library kits</t>
        </is>
      </c>
    </row>
    <row r="89">
      <c r="A89" s="2" t="n">
        <v>30</v>
      </c>
      <c r="B89" s="2" t="inlineStr">
        <is>
          <t>Tecan Group</t>
        </is>
      </c>
      <c r="C89" s="2" t="n">
        <v>1</v>
      </c>
      <c r="D89" s="2" t="inlineStr">
        <is>
          <t>Fluent</t>
        </is>
      </c>
      <c r="E89" s="2" t="inlineStr">
        <is>
          <t>automated liquid-handling workstation</t>
        </is>
      </c>
    </row>
    <row r="90">
      <c r="A90" s="2" t="n">
        <v>30</v>
      </c>
      <c r="B90" s="2" t="inlineStr">
        <is>
          <t>Tecan Group</t>
        </is>
      </c>
      <c r="C90" s="2" t="n">
        <v>2</v>
      </c>
      <c r="D90" s="2" t="inlineStr">
        <is>
          <t>Freedom EVO</t>
        </is>
      </c>
      <c r="E90" s="2" t="inlineStr">
        <is>
          <t>modular liquid-handling and robotics platform</t>
        </is>
      </c>
    </row>
    <row r="91">
      <c r="A91" s="2" t="n">
        <v>30</v>
      </c>
      <c r="B91" s="2" t="inlineStr">
        <is>
          <t>Tecan Group</t>
        </is>
      </c>
      <c r="C91" s="2" t="n">
        <v>3</v>
      </c>
      <c r="D91" s="2" t="inlineStr">
        <is>
          <t>Spark</t>
        </is>
      </c>
      <c r="E91" s="2" t="inlineStr">
        <is>
          <t>multimode microplate reader</t>
        </is>
      </c>
    </row>
    <row r="92">
      <c r="A92" s="2" t="n">
        <v>31</v>
      </c>
      <c r="B92" s="2" t="inlineStr">
        <is>
          <t>Hamilton Company</t>
        </is>
      </c>
      <c r="C92" s="2" t="n">
        <v>1</v>
      </c>
      <c r="D92" s="2" t="inlineStr">
        <is>
          <t>Microlab STAR / STARlet / Vantage</t>
        </is>
      </c>
      <c r="E92" s="2" t="inlineStr">
        <is>
          <t>automated liquid-handling workstations with CO-RE pipetting</t>
        </is>
      </c>
    </row>
    <row r="93">
      <c r="A93" s="2" t="n">
        <v>31</v>
      </c>
      <c r="B93" s="2" t="inlineStr">
        <is>
          <t>Hamilton Company</t>
        </is>
      </c>
      <c r="C93" s="2" t="n">
        <v>2</v>
      </c>
      <c r="D93" s="2" t="inlineStr">
        <is>
          <t>Hamilton precision syringes (Microliter / Gastight)</t>
        </is>
      </c>
      <c r="E93" s="2" t="inlineStr">
        <is>
          <t>glass microliter syringes for GC/HPLC autosamplers</t>
        </is>
      </c>
    </row>
    <row r="94">
      <c r="A94" s="2" t="n">
        <v>31</v>
      </c>
      <c r="B94" s="2" t="inlineStr">
        <is>
          <t>Hamilton Company</t>
        </is>
      </c>
      <c r="C94" s="2" t="n">
        <v>3</v>
      </c>
      <c r="D94" s="2" t="inlineStr">
        <is>
          <t>Hamilton Storage BiOS / SAM</t>
        </is>
      </c>
      <c r="E94" s="2" t="inlineStr">
        <is>
          <t>automated ultra-low-temperature sample storage systems</t>
        </is>
      </c>
    </row>
    <row r="95">
      <c r="A95" s="2" t="n">
        <v>32</v>
      </c>
      <c r="B95" s="2" t="inlineStr">
        <is>
          <t>Cytek Biosciences</t>
        </is>
      </c>
      <c r="C95" s="2" t="n">
        <v>1</v>
      </c>
      <c r="D95" s="2" t="inlineStr">
        <is>
          <t>Cytek Aurora</t>
        </is>
      </c>
      <c r="E95" s="2" t="inlineStr">
        <is>
          <t>full-spectrum flow cytometer, up to 5 lasers / 64 detectors</t>
        </is>
      </c>
    </row>
    <row r="96">
      <c r="A96" s="2" t="n">
        <v>32</v>
      </c>
      <c r="B96" s="2" t="inlineStr">
        <is>
          <t>Cytek Biosciences</t>
        </is>
      </c>
      <c r="C96" s="2" t="n">
        <v>2</v>
      </c>
      <c r="D96" s="2" t="inlineStr">
        <is>
          <t>Cytek Aurora CS</t>
        </is>
      </c>
      <c r="E96" s="2" t="inlineStr">
        <is>
          <t>full-spectrum cell sorter</t>
        </is>
      </c>
    </row>
    <row r="97">
      <c r="A97" s="2" t="n">
        <v>32</v>
      </c>
      <c r="B97" s="2" t="inlineStr">
        <is>
          <t>Cytek Biosciences</t>
        </is>
      </c>
      <c r="C97" s="2" t="n">
        <v>3</v>
      </c>
      <c r="D97" s="2" t="inlineStr">
        <is>
          <t>Cytek Northern Lights</t>
        </is>
      </c>
      <c r="E97" s="2" t="inlineStr">
        <is>
          <t>compact 1-3 laser spectral analyzer (also clinical/CE-IVD)</t>
        </is>
      </c>
    </row>
    <row r="98">
      <c r="A98" s="2" t="n">
        <v>33</v>
      </c>
      <c r="B98" s="2" t="inlineStr">
        <is>
          <t>Carl Zeiss AG – Research Microscopy Solutions</t>
        </is>
      </c>
      <c r="C98" s="2" t="n">
        <v>1</v>
      </c>
      <c r="D98" s="2" t="inlineStr">
        <is>
          <t>ZEISS LSM 980 / LSM 990 with Airyscan 2</t>
        </is>
      </c>
      <c r="E98" s="2" t="inlineStr">
        <is>
          <t>confocal laser scanning microscopes for live-cell imaging</t>
        </is>
      </c>
    </row>
    <row r="99">
      <c r="A99" s="2" t="n">
        <v>33</v>
      </c>
      <c r="B99" s="2" t="inlineStr">
        <is>
          <t>Carl Zeiss AG – Research Microscopy Solutions</t>
        </is>
      </c>
      <c r="C99" s="2" t="n">
        <v>2</v>
      </c>
      <c r="D99" s="2" t="inlineStr">
        <is>
          <t>ZEISS Axio Observer / Axio Imager</t>
        </is>
      </c>
      <c r="E99" s="2" t="inlineStr">
        <is>
          <t>inverted and upright research light microscope platforms</t>
        </is>
      </c>
    </row>
    <row r="100">
      <c r="A100" s="2" t="n">
        <v>33</v>
      </c>
      <c r="B100" s="2" t="inlineStr">
        <is>
          <t>Carl Zeiss AG – Research Microscopy Solutions</t>
        </is>
      </c>
      <c r="C100" s="2" t="n">
        <v>3</v>
      </c>
      <c r="D100" s="2" t="inlineStr">
        <is>
          <t>ZEISS GeminiSEM / Crossbeam</t>
        </is>
      </c>
      <c r="E100" s="2" t="inlineStr">
        <is>
          <t>field-emission SEM and FIB-SEM for materials and life science</t>
        </is>
      </c>
    </row>
    <row r="101">
      <c r="A101" s="2" t="n">
        <v>34</v>
      </c>
      <c r="B101" s="2" t="inlineStr">
        <is>
          <t>Evident (ex-Olympus Scientific Solutions)</t>
        </is>
      </c>
      <c r="C101" s="2" t="n">
        <v>1</v>
      </c>
      <c r="D101" s="2" t="inlineStr">
        <is>
          <t>FV4000 (FLUOVIEW)</t>
        </is>
      </c>
      <c r="E101" s="2" t="inlineStr">
        <is>
          <t>confocal laser scanning microscope for life science</t>
        </is>
      </c>
    </row>
    <row r="102">
      <c r="A102" s="2" t="n">
        <v>34</v>
      </c>
      <c r="B102" s="2" t="inlineStr">
        <is>
          <t>Evident (ex-Olympus Scientific Solutions)</t>
        </is>
      </c>
      <c r="C102" s="2" t="n">
        <v>2</v>
      </c>
      <c r="D102" s="2" t="inlineStr">
        <is>
          <t>BX53 / BX63 and IXplore (IX83) systems</t>
        </is>
      </c>
      <c r="E102" s="2" t="inlineStr">
        <is>
          <t>upright and inverted research microscope platforms</t>
        </is>
      </c>
    </row>
    <row r="103">
      <c r="A103" s="2" t="n">
        <v>34</v>
      </c>
      <c r="B103" s="2" t="inlineStr">
        <is>
          <t>Evident (ex-Olympus Scientific Solutions)</t>
        </is>
      </c>
      <c r="C103" s="2" t="n">
        <v>3</v>
      </c>
      <c r="D103" s="2" t="inlineStr">
        <is>
          <t>OmniScan X3 and Vanta</t>
        </is>
      </c>
      <c r="E103" s="2" t="inlineStr">
        <is>
          <t>phased-array ultrasonic flaw detector; handheld XRF analyzers (NDT)</t>
        </is>
      </c>
    </row>
    <row r="104">
      <c r="A104" s="2" t="n">
        <v>35</v>
      </c>
      <c r="B104" s="2" t="inlineStr">
        <is>
          <t>Nikon – Healthcare Business (Nikon Instruments)</t>
        </is>
      </c>
      <c r="C104" s="2" t="n">
        <v>1</v>
      </c>
      <c r="D104" s="2" t="inlineStr">
        <is>
          <t>ECLIPSE Ti2</t>
        </is>
      </c>
      <c r="E104" s="2" t="inlineStr">
        <is>
          <t>inverted research microscope platform for live-cell imaging</t>
        </is>
      </c>
    </row>
    <row r="105">
      <c r="A105" s="2" t="n">
        <v>35</v>
      </c>
      <c r="B105" s="2" t="inlineStr">
        <is>
          <t>Nikon – Healthcare Business (Nikon Instruments)</t>
        </is>
      </c>
      <c r="C105" s="2" t="n">
        <v>2</v>
      </c>
      <c r="D105" s="2" t="inlineStr">
        <is>
          <t>AX / AX R with NSPARC</t>
        </is>
      </c>
      <c r="E105" s="2" t="inlineStr">
        <is>
          <t>high-resolution confocal microscope systems</t>
        </is>
      </c>
    </row>
    <row r="106">
      <c r="A106" s="2" t="n">
        <v>35</v>
      </c>
      <c r="B106" s="2" t="inlineStr">
        <is>
          <t>Nikon – Healthcare Business (Nikon Instruments)</t>
        </is>
      </c>
      <c r="C106" s="2" t="n">
        <v>3</v>
      </c>
      <c r="D106" s="2" t="inlineStr">
        <is>
          <t>ECLIPSE Ji</t>
        </is>
      </c>
      <c r="E106" s="2" t="inlineStr">
        <is>
          <t>AI-driven smart imaging/cell-analysis system</t>
        </is>
      </c>
    </row>
    <row r="107">
      <c r="A107" s="2" t="n">
        <v>36</v>
      </c>
      <c r="B107" s="2" t="inlineStr">
        <is>
          <t>JEOL</t>
        </is>
      </c>
      <c r="C107" s="2" t="n">
        <v>1</v>
      </c>
      <c r="D107" s="2" t="inlineStr">
        <is>
          <t>JEM-ARM300F2 GRAND ARM2</t>
        </is>
      </c>
      <c r="E107" s="2" t="inlineStr">
        <is>
          <t>atomic-resolution aberration-corrected TEM/STEM</t>
        </is>
      </c>
    </row>
    <row r="108">
      <c r="A108" s="2" t="n">
        <v>36</v>
      </c>
      <c r="B108" s="2" t="inlineStr">
        <is>
          <t>JEOL</t>
        </is>
      </c>
      <c r="C108" s="2" t="n">
        <v>2</v>
      </c>
      <c r="D108" s="2" t="inlineStr">
        <is>
          <t>JSM-IT800 / JSM-7900F</t>
        </is>
      </c>
      <c r="E108" s="2" t="inlineStr">
        <is>
          <t>field-emission scanning electron microscopes</t>
        </is>
      </c>
    </row>
    <row r="109">
      <c r="A109" s="2" t="n">
        <v>36</v>
      </c>
      <c r="B109" s="2" t="inlineStr">
        <is>
          <t>JEOL</t>
        </is>
      </c>
      <c r="C109" s="2" t="n">
        <v>3</v>
      </c>
      <c r="D109" s="2" t="inlineStr">
        <is>
          <t>JNM-ECZ Luminous (ECZL)</t>
        </is>
      </c>
      <c r="E109" s="2" t="inlineStr">
        <is>
          <t>NMR spectrometer series</t>
        </is>
      </c>
    </row>
    <row r="110">
      <c r="A110" s="2" t="n">
        <v>37</v>
      </c>
      <c r="B110" s="2" t="inlineStr">
        <is>
          <t>Hitachi High-Tech</t>
        </is>
      </c>
      <c r="C110" s="2" t="n">
        <v>1</v>
      </c>
      <c r="D110" s="2" t="inlineStr">
        <is>
          <t>Regulus / SU series FE-SEM (e.g. SU8600, SU7000)</t>
        </is>
      </c>
      <c r="E110" s="2" t="inlineStr">
        <is>
          <t>field-emission scanning electron microscopes</t>
        </is>
      </c>
    </row>
    <row r="111">
      <c r="A111" s="2" t="n">
        <v>37</v>
      </c>
      <c r="B111" s="2" t="inlineStr">
        <is>
          <t>Hitachi High-Tech</t>
        </is>
      </c>
      <c r="C111" s="2" t="n">
        <v>2</v>
      </c>
      <c r="D111" s="2" t="inlineStr">
        <is>
          <t>TM4000Plus II</t>
        </is>
      </c>
      <c r="E111" s="2" t="inlineStr">
        <is>
          <t>tabletop scanning electron microscope</t>
        </is>
      </c>
    </row>
    <row r="112">
      <c r="A112" s="2" t="n">
        <v>37</v>
      </c>
      <c r="B112" s="2" t="inlineStr">
        <is>
          <t>Hitachi High-Tech</t>
        </is>
      </c>
      <c r="C112" s="2" t="n">
        <v>3</v>
      </c>
      <c r="D112" s="2" t="inlineStr">
        <is>
          <t>LABOSPECT clinical chemistry analyzers</t>
        </is>
      </c>
      <c r="E112" s="2" t="inlineStr">
        <is>
          <t>high-throughput clinical analyzers (also OEM cobas c for Roche)</t>
        </is>
      </c>
    </row>
    <row r="113">
      <c r="A113" s="2" t="n">
        <v>38</v>
      </c>
      <c r="B113" s="2" t="inlineStr">
        <is>
          <t>TESCAN</t>
        </is>
      </c>
      <c r="C113" s="2" t="n">
        <v>1</v>
      </c>
      <c r="D113" s="2" t="inlineStr">
        <is>
          <t>TESCAN CLARA / MIRA</t>
        </is>
      </c>
      <c r="E113" s="2" t="inlineStr">
        <is>
          <t>ultra-high-resolution field-emission SEMs</t>
        </is>
      </c>
    </row>
    <row r="114">
      <c r="A114" s="2" t="n">
        <v>38</v>
      </c>
      <c r="B114" s="2" t="inlineStr">
        <is>
          <t>TESCAN</t>
        </is>
      </c>
      <c r="C114" s="2" t="n">
        <v>2</v>
      </c>
      <c r="D114" s="2" t="inlineStr">
        <is>
          <t>TESCAN AMBER X / SOLARIS X</t>
        </is>
      </c>
      <c r="E114" s="2" t="inlineStr">
        <is>
          <t>Xe plasma FIB-SEM for large-volume milling</t>
        </is>
      </c>
    </row>
    <row r="115">
      <c r="A115" s="2" t="n">
        <v>38</v>
      </c>
      <c r="B115" s="2" t="inlineStr">
        <is>
          <t>TESCAN</t>
        </is>
      </c>
      <c r="C115" s="2" t="n">
        <v>3</v>
      </c>
      <c r="D115" s="2" t="inlineStr">
        <is>
          <t>TESCAN TENSOR</t>
        </is>
      </c>
      <c r="E115" s="2" t="inlineStr">
        <is>
          <t>4D-STEM for nanoscale materials analysis</t>
        </is>
      </c>
    </row>
    <row r="116">
      <c r="A116" s="2" t="n">
        <v>39</v>
      </c>
      <c r="B116" s="2" t="inlineStr">
        <is>
          <t>Rigaku Holdings</t>
        </is>
      </c>
      <c r="C116" s="2" t="n">
        <v>1</v>
      </c>
      <c r="D116" s="2" t="inlineStr">
        <is>
          <t>SmartLab</t>
        </is>
      </c>
      <c r="E116" s="2" t="inlineStr">
        <is>
          <t>multipurpose high-resolution X-ray diffractometer</t>
        </is>
      </c>
    </row>
    <row r="117">
      <c r="A117" s="2" t="n">
        <v>39</v>
      </c>
      <c r="B117" s="2" t="inlineStr">
        <is>
          <t>Rigaku Holdings</t>
        </is>
      </c>
      <c r="C117" s="2" t="n">
        <v>2</v>
      </c>
      <c r="D117" s="2" t="inlineStr">
        <is>
          <t>MiniFlex</t>
        </is>
      </c>
      <c r="E117" s="2" t="inlineStr">
        <is>
          <t>benchtop powder X-ray diffractometer</t>
        </is>
      </c>
    </row>
    <row r="118">
      <c r="A118" s="2" t="n">
        <v>39</v>
      </c>
      <c r="B118" s="2" t="inlineStr">
        <is>
          <t>Rigaku Holdings</t>
        </is>
      </c>
      <c r="C118" s="2" t="n">
        <v>3</v>
      </c>
      <c r="D118" s="2" t="inlineStr">
        <is>
          <t>XtaLAB Synergy</t>
        </is>
      </c>
      <c r="E118" s="2" t="inlineStr">
        <is>
          <t>single-crystal X-ray diffraction systems</t>
        </is>
      </c>
    </row>
    <row r="119">
      <c r="A119" s="2" t="n">
        <v>40</v>
      </c>
      <c r="B119" s="2" t="inlineStr">
        <is>
          <t>HORIBA</t>
        </is>
      </c>
      <c r="C119" s="2" t="n">
        <v>1</v>
      </c>
      <c r="D119" s="2" t="inlineStr">
        <is>
          <t>LabRAM Soleil / LabRAM Odyssey</t>
        </is>
      </c>
      <c r="E119" s="2" t="inlineStr">
        <is>
          <t>Raman microscopes and spectrometers</t>
        </is>
      </c>
    </row>
    <row r="120">
      <c r="A120" s="2" t="n">
        <v>40</v>
      </c>
      <c r="B120" s="2" t="inlineStr">
        <is>
          <t>HORIBA</t>
        </is>
      </c>
      <c r="C120" s="2" t="n">
        <v>2</v>
      </c>
      <c r="D120" s="2" t="inlineStr">
        <is>
          <t>Partica LA-960V2</t>
        </is>
      </c>
      <c r="E120" s="2" t="inlineStr">
        <is>
          <t>laser-diffraction particle size analyzer</t>
        </is>
      </c>
    </row>
    <row r="121">
      <c r="A121" s="2" t="n">
        <v>40</v>
      </c>
      <c r="B121" s="2" t="inlineStr">
        <is>
          <t>HORIBA</t>
        </is>
      </c>
      <c r="C121" s="2" t="n">
        <v>3</v>
      </c>
      <c r="D121" s="2" t="inlineStr">
        <is>
          <t>Yumizen H500 / H1500</t>
        </is>
      </c>
      <c r="E121" s="2" t="inlineStr">
        <is>
          <t>hematology analyzers (HORIBA Medical)</t>
        </is>
      </c>
    </row>
    <row r="122">
      <c r="A122" s="2" t="n">
        <v>41</v>
      </c>
      <c r="B122" s="2" t="inlineStr">
        <is>
          <t>Malvern Panalytical (Spectris)</t>
        </is>
      </c>
      <c r="C122" s="2" t="n">
        <v>1</v>
      </c>
      <c r="D122" s="2" t="inlineStr">
        <is>
          <t>Mastersizer 3000+</t>
        </is>
      </c>
      <c r="E122" s="2" t="inlineStr">
        <is>
          <t>laser-diffraction particle size analyzer</t>
        </is>
      </c>
    </row>
    <row r="123">
      <c r="A123" s="2" t="n">
        <v>41</v>
      </c>
      <c r="B123" s="2" t="inlineStr">
        <is>
          <t>Malvern Panalytical (Spectris)</t>
        </is>
      </c>
      <c r="C123" s="2" t="n">
        <v>2</v>
      </c>
      <c r="D123" s="2" t="inlineStr">
        <is>
          <t>Zetasizer Advance</t>
        </is>
      </c>
      <c r="E123" s="2" t="inlineStr">
        <is>
          <t>DLS nanoparticle size &amp; zeta potential analyzer</t>
        </is>
      </c>
    </row>
    <row r="124">
      <c r="A124" s="2" t="n">
        <v>41</v>
      </c>
      <c r="B124" s="2" t="inlineStr">
        <is>
          <t>Malvern Panalytical (Spectris)</t>
        </is>
      </c>
      <c r="C124" s="2" t="n">
        <v>3</v>
      </c>
      <c r="D124" s="2" t="inlineStr">
        <is>
          <t>Empyrean</t>
        </is>
      </c>
      <c r="E124" s="2" t="inlineStr">
        <is>
          <t>multipurpose X-ray diffractometer (XRD)</t>
        </is>
      </c>
    </row>
    <row r="125">
      <c r="A125" s="2" t="n">
        <v>42</v>
      </c>
      <c r="B125" s="2" t="inlineStr">
        <is>
          <t>Oxford Instruments</t>
        </is>
      </c>
      <c r="C125" s="2" t="n">
        <v>1</v>
      </c>
      <c r="D125" s="2" t="inlineStr">
        <is>
          <t>AZtec with Ultim Max (NanoAnalysis)</t>
        </is>
      </c>
      <c r="E125" s="2" t="inlineStr">
        <is>
          <t>EDS/EBSD microanalysis systems for SEM/TEM</t>
        </is>
      </c>
    </row>
    <row r="126">
      <c r="A126" s="2" t="n">
        <v>42</v>
      </c>
      <c r="B126" s="2" t="inlineStr">
        <is>
          <t>Oxford Instruments</t>
        </is>
      </c>
      <c r="C126" s="2" t="n">
        <v>2</v>
      </c>
      <c r="D126" s="2" t="inlineStr">
        <is>
          <t>Andor iXon / Sona / Dragonfly</t>
        </is>
      </c>
      <c r="E126" s="2" t="inlineStr">
        <is>
          <t>scientific EMCCD/sCMOS cameras &amp; confocal imaging</t>
        </is>
      </c>
    </row>
    <row r="127">
      <c r="A127" s="2" t="n">
        <v>42</v>
      </c>
      <c r="B127" s="2" t="inlineStr">
        <is>
          <t>Oxford Instruments</t>
        </is>
      </c>
      <c r="C127" s="2" t="n">
        <v>3</v>
      </c>
      <c r="D127" s="2" t="inlineStr">
        <is>
          <t>PlasmaPro 100 (Plasma Technology)</t>
        </is>
      </c>
      <c r="E127" s="2" t="inlineStr">
        <is>
          <t>plasma etch &amp; deposition tools for semiconductors</t>
        </is>
      </c>
    </row>
    <row r="128">
      <c r="A128" s="2" t="n">
        <v>43</v>
      </c>
      <c r="B128" s="2" t="inlineStr">
        <is>
          <t>Anton Paar</t>
        </is>
      </c>
      <c r="C128" s="2" t="n">
        <v>1</v>
      </c>
      <c r="D128" s="2" t="inlineStr">
        <is>
          <t>DMA density meters (e.g. DMA 5000 M)</t>
        </is>
      </c>
      <c r="E128" s="2" t="inlineStr">
        <is>
          <t>laboratory density &amp; concentration measurement</t>
        </is>
      </c>
    </row>
    <row r="129">
      <c r="A129" s="2" t="n">
        <v>43</v>
      </c>
      <c r="B129" s="2" t="inlineStr">
        <is>
          <t>Anton Paar</t>
        </is>
      </c>
      <c r="C129" s="2" t="n">
        <v>2</v>
      </c>
      <c r="D129" s="2" t="inlineStr">
        <is>
          <t>MCR rheometer series (e.g. MCR 702e)</t>
        </is>
      </c>
      <c r="E129" s="2" t="inlineStr">
        <is>
          <t>rotational &amp; oscillatory rheometers</t>
        </is>
      </c>
    </row>
    <row r="130">
      <c r="A130" s="2" t="n">
        <v>43</v>
      </c>
      <c r="B130" s="2" t="inlineStr">
        <is>
          <t>Anton Paar</t>
        </is>
      </c>
      <c r="C130" s="2" t="n">
        <v>3</v>
      </c>
      <c r="D130" s="2" t="inlineStr">
        <is>
          <t>Multiwave 5000 / 7000</t>
        </is>
      </c>
      <c r="E130" s="2" t="inlineStr">
        <is>
          <t>microwave sample digestion systems</t>
        </is>
      </c>
    </row>
    <row r="131">
      <c r="A131" s="2" t="n">
        <v>44</v>
      </c>
      <c r="B131" s="2" t="inlineStr">
        <is>
          <t>Metrohm</t>
        </is>
      </c>
      <c r="C131" s="2" t="n">
        <v>1</v>
      </c>
      <c r="D131" s="2" t="inlineStr">
        <is>
          <t>OMNIS</t>
        </is>
      </c>
      <c r="E131" s="2" t="inlineStr">
        <is>
          <t>modular automated titration platform</t>
        </is>
      </c>
    </row>
    <row r="132">
      <c r="A132" s="2" t="n">
        <v>44</v>
      </c>
      <c r="B132" s="2" t="inlineStr">
        <is>
          <t>Metrohm</t>
        </is>
      </c>
      <c r="C132" s="2" t="n">
        <v>2</v>
      </c>
      <c r="D132" s="2" t="inlineStr">
        <is>
          <t>940 Professional IC Vario / Eco IC</t>
        </is>
      </c>
      <c r="E132" s="2" t="inlineStr">
        <is>
          <t>ion chromatography systems</t>
        </is>
      </c>
    </row>
    <row r="133">
      <c r="A133" s="2" t="n">
        <v>44</v>
      </c>
      <c r="B133" s="2" t="inlineStr">
        <is>
          <t>Metrohm</t>
        </is>
      </c>
      <c r="C133" s="2" t="n">
        <v>3</v>
      </c>
      <c r="D133" s="2" t="inlineStr">
        <is>
          <t>Autolab PGSTAT204 / PGSTAT302N</t>
        </is>
      </c>
      <c r="E133" s="2" t="inlineStr">
        <is>
          <t>potentiostat/galvanostat electrochemistry workstations</t>
        </is>
      </c>
    </row>
    <row r="134">
      <c r="A134" s="2" t="n">
        <v>45</v>
      </c>
      <c r="B134" s="2" t="inlineStr">
        <is>
          <t>LECO Corporation</t>
        </is>
      </c>
      <c r="C134" s="2" t="n">
        <v>1</v>
      </c>
      <c r="D134" s="2" t="inlineStr">
        <is>
          <t>828 / 928 Series</t>
        </is>
      </c>
      <c r="E134" s="2" t="inlineStr">
        <is>
          <t>combustion CHN/CHNS/O macro elemental analyzers</t>
        </is>
      </c>
    </row>
    <row r="135">
      <c r="A135" s="2" t="n">
        <v>45</v>
      </c>
      <c r="B135" s="2" t="inlineStr">
        <is>
          <t>LECO Corporation</t>
        </is>
      </c>
      <c r="C135" s="2" t="n">
        <v>2</v>
      </c>
      <c r="D135" s="2" t="inlineStr">
        <is>
          <t>Pegasus BT 4D</t>
        </is>
      </c>
      <c r="E135" s="2" t="inlineStr">
        <is>
          <t>GCxGC time-of-flight mass spectrometer</t>
        </is>
      </c>
    </row>
    <row r="136">
      <c r="A136" s="2" t="n">
        <v>45</v>
      </c>
      <c r="B136" s="2" t="inlineStr">
        <is>
          <t>LECO Corporation</t>
        </is>
      </c>
      <c r="C136" s="2" t="n">
        <v>3</v>
      </c>
      <c r="D136" s="2" t="inlineStr">
        <is>
          <t>836 Series (ONH836)</t>
        </is>
      </c>
      <c r="E136" s="2" t="inlineStr">
        <is>
          <t>oxygen/nitrogen/hydrogen inert-gas-fusion analyzer</t>
        </is>
      </c>
    </row>
    <row r="137">
      <c r="A137" s="2" t="n">
        <v>46</v>
      </c>
      <c r="B137" s="2" t="inlineStr">
        <is>
          <t>JASCO Corporation</t>
        </is>
      </c>
      <c r="C137" s="2" t="n">
        <v>1</v>
      </c>
      <c r="D137" s="2" t="inlineStr">
        <is>
          <t>J-1500</t>
        </is>
      </c>
      <c r="E137" s="2" t="inlineStr">
        <is>
          <t>circular dichroism (CD) spectrometer</t>
        </is>
      </c>
    </row>
    <row r="138">
      <c r="A138" s="2" t="n">
        <v>46</v>
      </c>
      <c r="B138" s="2" t="inlineStr">
        <is>
          <t>JASCO Corporation</t>
        </is>
      </c>
      <c r="C138" s="2" t="n">
        <v>2</v>
      </c>
      <c r="D138" s="2" t="inlineStr">
        <is>
          <t>FT/IR-4X / FT/IR-6X</t>
        </is>
      </c>
      <c r="E138" s="2" t="inlineStr">
        <is>
          <t>FTIR spectrometers</t>
        </is>
      </c>
    </row>
    <row r="139">
      <c r="A139" s="2" t="n">
        <v>46</v>
      </c>
      <c r="B139" s="2" t="inlineStr">
        <is>
          <t>JASCO Corporation</t>
        </is>
      </c>
      <c r="C139" s="2" t="n">
        <v>3</v>
      </c>
      <c r="D139" s="2" t="inlineStr">
        <is>
          <t>V-700 series (V-780)</t>
        </is>
      </c>
      <c r="E139" s="2" t="inlineStr">
        <is>
          <t>UV-Vis/NIR spectrophotometers</t>
        </is>
      </c>
    </row>
    <row r="140">
      <c r="A140" s="2" t="n">
        <v>47</v>
      </c>
      <c r="B140" s="2" t="inlineStr">
        <is>
          <t>SPECTRO Analytical Instruments (AMETEK)</t>
        </is>
      </c>
      <c r="C140" s="2" t="n">
        <v>1</v>
      </c>
      <c r="D140" s="2" t="inlineStr">
        <is>
          <t>SPECTRO ARCOS</t>
        </is>
      </c>
      <c r="E140" s="2" t="inlineStr">
        <is>
          <t>high-resolution ICP-OES spectrometer</t>
        </is>
      </c>
    </row>
    <row r="141">
      <c r="A141" s="2" t="n">
        <v>47</v>
      </c>
      <c r="B141" s="2" t="inlineStr">
        <is>
          <t>SPECTRO Analytical Instruments (AMETEK)</t>
        </is>
      </c>
      <c r="C141" s="2" t="n">
        <v>2</v>
      </c>
      <c r="D141" s="2" t="inlineStr">
        <is>
          <t>SPECTRO XEPOS</t>
        </is>
      </c>
      <c r="E141" s="2" t="inlineStr">
        <is>
          <t>energy-dispersive XRF spectrometer</t>
        </is>
      </c>
    </row>
    <row r="142">
      <c r="A142" s="2" t="n">
        <v>47</v>
      </c>
      <c r="B142" s="2" t="inlineStr">
        <is>
          <t>SPECTRO Analytical Instruments (AMETEK)</t>
        </is>
      </c>
      <c r="C142" s="2" t="n">
        <v>3</v>
      </c>
      <c r="D142" s="2" t="inlineStr">
        <is>
          <t>SPECTROMAXx</t>
        </is>
      </c>
      <c r="E142" s="2" t="inlineStr">
        <is>
          <t>arc/spark OES metals analyzer</t>
        </is>
      </c>
    </row>
    <row r="143">
      <c r="A143" s="2" t="n">
        <v>48</v>
      </c>
      <c r="B143" s="2" t="inlineStr">
        <is>
          <t>Analytik Jena (Endress+Hauser)</t>
        </is>
      </c>
      <c r="C143" s="2" t="n">
        <v>1</v>
      </c>
      <c r="D143" s="2" t="inlineStr">
        <is>
          <t>PlasmaQuant 9100 / PlasmaQuant MS</t>
        </is>
      </c>
      <c r="E143" s="2" t="inlineStr">
        <is>
          <t>ICP-OES and ICP-MS spectrometers</t>
        </is>
      </c>
    </row>
    <row r="144">
      <c r="A144" s="2" t="n">
        <v>48</v>
      </c>
      <c r="B144" s="2" t="inlineStr">
        <is>
          <t>Analytik Jena (Endress+Hauser)</t>
        </is>
      </c>
      <c r="C144" s="2" t="n">
        <v>2</v>
      </c>
      <c r="D144" s="2" t="inlineStr">
        <is>
          <t>contrAA 800</t>
        </is>
      </c>
      <c r="E144" s="2" t="inlineStr">
        <is>
          <t>high-resolution continuum-source AAS</t>
        </is>
      </c>
    </row>
    <row r="145">
      <c r="A145" s="2" t="n">
        <v>48</v>
      </c>
      <c r="B145" s="2" t="inlineStr">
        <is>
          <t>Analytik Jena (Endress+Hauser)</t>
        </is>
      </c>
      <c r="C145" s="2" t="n">
        <v>3</v>
      </c>
      <c r="D145" s="2" t="inlineStr">
        <is>
          <t>multi N/C series</t>
        </is>
      </c>
      <c r="E145" s="2" t="inlineStr">
        <is>
          <t>TOC/TNb analyzers</t>
        </is>
      </c>
    </row>
    <row r="146">
      <c r="A146" s="2" t="n">
        <v>49</v>
      </c>
      <c r="B146" s="2" t="inlineStr">
        <is>
          <t>Elementar Analysensysteme</t>
        </is>
      </c>
      <c r="C146" s="2" t="n">
        <v>1</v>
      </c>
      <c r="D146" s="2" t="inlineStr">
        <is>
          <t>UNICUBE / vario EL cube</t>
        </is>
      </c>
      <c r="E146" s="2" t="inlineStr">
        <is>
          <t>CHNS/O combustion elemental analyzers</t>
        </is>
      </c>
    </row>
    <row r="147">
      <c r="A147" s="2" t="n">
        <v>49</v>
      </c>
      <c r="B147" s="2" t="inlineStr">
        <is>
          <t>Elementar Analysensysteme</t>
        </is>
      </c>
      <c r="C147" s="2" t="n">
        <v>2</v>
      </c>
      <c r="D147" s="2" t="inlineStr">
        <is>
          <t>isoprime precisION</t>
        </is>
      </c>
      <c r="E147" s="2" t="inlineStr">
        <is>
          <t>isotope ratio mass spectrometer (IRMS)</t>
        </is>
      </c>
    </row>
    <row r="148">
      <c r="A148" s="2" t="n">
        <v>49</v>
      </c>
      <c r="B148" s="2" t="inlineStr">
        <is>
          <t>Elementar Analysensysteme</t>
        </is>
      </c>
      <c r="C148" s="2" t="n">
        <v>3</v>
      </c>
      <c r="D148" s="2" t="inlineStr">
        <is>
          <t>vario TOC cube</t>
        </is>
      </c>
      <c r="E148" s="2" t="inlineStr">
        <is>
          <t>total organic carbon analyzer</t>
        </is>
      </c>
    </row>
    <row r="149">
      <c r="A149" s="2" t="n">
        <v>50</v>
      </c>
      <c r="B149" s="2" t="inlineStr">
        <is>
          <t>NETZSCH Analyzing &amp; Testing</t>
        </is>
      </c>
      <c r="C149" s="2" t="n">
        <v>1</v>
      </c>
      <c r="D149" s="2" t="inlineStr">
        <is>
          <t>DSC 300 Caliris</t>
        </is>
      </c>
      <c r="E149" s="2" t="inlineStr">
        <is>
          <t>differential scanning calorimeter</t>
        </is>
      </c>
    </row>
    <row r="150">
      <c r="A150" s="2" t="n">
        <v>50</v>
      </c>
      <c r="B150" s="2" t="inlineStr">
        <is>
          <t>NETZSCH Analyzing &amp; Testing</t>
        </is>
      </c>
      <c r="C150" s="2" t="n">
        <v>2</v>
      </c>
      <c r="D150" s="2" t="inlineStr">
        <is>
          <t>STA 509 Jupiter</t>
        </is>
      </c>
      <c r="E150" s="2" t="inlineStr">
        <is>
          <t>simultaneous TGA-DSC thermal analyzer</t>
        </is>
      </c>
    </row>
    <row r="151">
      <c r="A151" s="2" t="n">
        <v>50</v>
      </c>
      <c r="B151" s="2" t="inlineStr">
        <is>
          <t>NETZSCH Analyzing &amp; Testing</t>
        </is>
      </c>
      <c r="C151" s="2" t="n">
        <v>3</v>
      </c>
      <c r="D151" s="2" t="inlineStr">
        <is>
          <t>LFA 467 HyperFlash</t>
        </is>
      </c>
      <c r="E151" s="2" t="inlineStr">
        <is>
          <t>laser-flash thermal diffusivity/conductivity analyzer</t>
        </is>
      </c>
    </row>
    <row r="152">
      <c r="A152" s="2" t="n">
        <v>51</v>
      </c>
      <c r="B152" s="2" t="inlineStr">
        <is>
          <t>Biotage</t>
        </is>
      </c>
      <c r="C152" s="2" t="n">
        <v>1</v>
      </c>
      <c r="D152" s="2" t="inlineStr">
        <is>
          <t>Biotage Selekt (with Sfär columns)</t>
        </is>
      </c>
      <c r="E152" s="2" t="inlineStr">
        <is>
          <t>flash chromatography purification system and columns</t>
        </is>
      </c>
    </row>
    <row r="153">
      <c r="A153" s="2" t="n">
        <v>51</v>
      </c>
      <c r="B153" s="2" t="inlineStr">
        <is>
          <t>Biotage</t>
        </is>
      </c>
      <c r="C153" s="2" t="n">
        <v>2</v>
      </c>
      <c r="D153" s="2" t="inlineStr">
        <is>
          <t>Biotage Extrahera</t>
        </is>
      </c>
      <c r="E153" s="2" t="inlineStr">
        <is>
          <t>automated SPE/SLE sample-preparation workstation</t>
        </is>
      </c>
    </row>
    <row r="154">
      <c r="A154" s="2" t="n">
        <v>51</v>
      </c>
      <c r="B154" s="2" t="inlineStr">
        <is>
          <t>Biotage</t>
        </is>
      </c>
      <c r="C154" s="2" t="n">
        <v>3</v>
      </c>
      <c r="D154" s="2" t="inlineStr">
        <is>
          <t>Biotage Initiator+ / Alstra+</t>
        </is>
      </c>
      <c r="E154" s="2" t="inlineStr">
        <is>
          <t>microwave organic and peptide synthesizers</t>
        </is>
      </c>
    </row>
    <row r="155">
      <c r="A155" s="2" t="n">
        <v>52</v>
      </c>
      <c r="B155" s="2" t="inlineStr">
        <is>
          <t>Hach (Veralto)</t>
        </is>
      </c>
      <c r="C155" s="2" t="n">
        <v>1</v>
      </c>
      <c r="D155" s="2" t="inlineStr">
        <is>
          <t>DR3900 / DR6000</t>
        </is>
      </c>
      <c r="E155" s="2" t="inlineStr">
        <is>
          <t>benchtop VIS / UV-VIS spectrophotometers for water analysis</t>
        </is>
      </c>
    </row>
    <row r="156">
      <c r="A156" s="2" t="n">
        <v>52</v>
      </c>
      <c r="B156" s="2" t="inlineStr">
        <is>
          <t>Hach (Veralto)</t>
        </is>
      </c>
      <c r="C156" s="2" t="n">
        <v>2</v>
      </c>
      <c r="D156" s="2" t="inlineStr">
        <is>
          <t>TNTplus</t>
        </is>
      </c>
      <c r="E156" s="2" t="inlineStr">
        <is>
          <t>barcoded reagent-vial test chemistries</t>
        </is>
      </c>
    </row>
    <row r="157">
      <c r="A157" s="2" t="n">
        <v>52</v>
      </c>
      <c r="B157" s="2" t="inlineStr">
        <is>
          <t>Hach (Veralto)</t>
        </is>
      </c>
      <c r="C157" s="2" t="n">
        <v>3</v>
      </c>
      <c r="D157" s="2" t="inlineStr">
        <is>
          <t>HQ series (HQ1100/HQ4300) with Intellical probes</t>
        </is>
      </c>
      <c r="E157" s="2" t="inlineStr">
        <is>
          <t>portable and benchtop pH / DO / conductivity meters</t>
        </is>
      </c>
    </row>
    <row r="158">
      <c r="A158" s="2" t="n">
        <v>53</v>
      </c>
      <c r="B158" s="2" t="inlineStr">
        <is>
          <t>Hanna Instruments</t>
        </is>
      </c>
      <c r="C158" s="2" t="n">
        <v>1</v>
      </c>
      <c r="D158" s="2" t="inlineStr">
        <is>
          <t>HI931 / HI932</t>
        </is>
      </c>
      <c r="E158" s="2" t="inlineStr">
        <is>
          <t>automatic potentiometric titrators</t>
        </is>
      </c>
    </row>
    <row r="159">
      <c r="A159" s="2" t="n">
        <v>53</v>
      </c>
      <c r="B159" s="2" t="inlineStr">
        <is>
          <t>Hanna Instruments</t>
        </is>
      </c>
      <c r="C159" s="2" t="n">
        <v>2</v>
      </c>
      <c r="D159" s="2" t="inlineStr">
        <is>
          <t>edge (HI2020)</t>
        </is>
      </c>
      <c r="E159" s="2" t="inlineStr">
        <is>
          <t>benchtop/portable pH, EC and DO meter</t>
        </is>
      </c>
    </row>
    <row r="160">
      <c r="A160" s="2" t="n">
        <v>53</v>
      </c>
      <c r="B160" s="2" t="inlineStr">
        <is>
          <t>Hanna Instruments</t>
        </is>
      </c>
      <c r="C160" s="2" t="n">
        <v>3</v>
      </c>
      <c r="D160" s="2" t="inlineStr">
        <is>
          <t>HI83300 series &amp; Checker HC</t>
        </is>
      </c>
      <c r="E160" s="2" t="inlineStr">
        <is>
          <t>multiparameter photometers and handheld colorimeters</t>
        </is>
      </c>
    </row>
    <row r="161">
      <c r="A161" s="2" t="n">
        <v>54</v>
      </c>
      <c r="B161" s="2" t="inlineStr">
        <is>
          <t>VELP Scientifica</t>
        </is>
      </c>
      <c r="C161" s="2" t="n">
        <v>1</v>
      </c>
      <c r="D161" s="2" t="inlineStr">
        <is>
          <t>UDK 169 / UDK 139</t>
        </is>
      </c>
      <c r="E161" s="2" t="inlineStr">
        <is>
          <t>automatic Kjeldahl distillation and titration units</t>
        </is>
      </c>
    </row>
    <row r="162">
      <c r="A162" s="2" t="n">
        <v>54</v>
      </c>
      <c r="B162" s="2" t="inlineStr">
        <is>
          <t>VELP Scientifica</t>
        </is>
      </c>
      <c r="C162" s="2" t="n">
        <v>2</v>
      </c>
      <c r="D162" s="2" t="inlineStr">
        <is>
          <t>NDA 702 Dumas analyzer</t>
        </is>
      </c>
      <c r="E162" s="2" t="inlineStr">
        <is>
          <t>nitrogen/protein determination by combustion</t>
        </is>
      </c>
    </row>
    <row r="163">
      <c r="A163" s="2" t="n">
        <v>54</v>
      </c>
      <c r="B163" s="2" t="inlineStr">
        <is>
          <t>VELP Scientifica</t>
        </is>
      </c>
      <c r="C163" s="2" t="n">
        <v>3</v>
      </c>
      <c r="D163" s="2" t="inlineStr">
        <is>
          <t>AREX-6 / ARE hotplate stirrers and DKL digesters</t>
        </is>
      </c>
      <c r="E163" s="2" t="inlineStr">
        <is>
          <t>magnetic stirrers, hotplates and Kjeldahl digestion units</t>
        </is>
      </c>
    </row>
    <row r="164">
      <c r="A164" s="2" t="n">
        <v>55</v>
      </c>
      <c r="B164" s="2" t="inlineStr">
        <is>
          <t>Roche Diagnostics</t>
        </is>
      </c>
      <c r="C164" s="2" t="n">
        <v>1</v>
      </c>
      <c r="D164" s="2" t="inlineStr">
        <is>
          <t>cobas pro integrated solutions (c 503 / e 801)</t>
        </is>
      </c>
      <c r="E164" s="2" t="inlineStr">
        <is>
          <t>high-throughput clinical chemistry and immunoassay analyzers</t>
        </is>
      </c>
    </row>
    <row r="165">
      <c r="A165" s="2" t="n">
        <v>55</v>
      </c>
      <c r="B165" s="2" t="inlineStr">
        <is>
          <t>Roche Diagnostics</t>
        </is>
      </c>
      <c r="C165" s="2" t="n">
        <v>2</v>
      </c>
      <c r="D165" s="2" t="inlineStr">
        <is>
          <t>cobas 6800 / 8800 and cobas 5800 Systems</t>
        </is>
      </c>
      <c r="E165" s="2" t="inlineStr">
        <is>
          <t>automated PCR molecular diagnostics platforms</t>
        </is>
      </c>
    </row>
    <row r="166">
      <c r="A166" s="2" t="n">
        <v>55</v>
      </c>
      <c r="B166" s="2" t="inlineStr">
        <is>
          <t>Roche Diagnostics</t>
        </is>
      </c>
      <c r="C166" s="2" t="n">
        <v>3</v>
      </c>
      <c r="D166" s="2" t="inlineStr">
        <is>
          <t>LightCycler 480 / LightCycler PRO</t>
        </is>
      </c>
      <c r="E166" s="2" t="inlineStr">
        <is>
          <t>real-time PCR instruments</t>
        </is>
      </c>
    </row>
    <row r="167">
      <c r="A167" s="2" t="n">
        <v>56</v>
      </c>
      <c r="B167" s="2" t="inlineStr">
        <is>
          <t>Abbott Diagnostics</t>
        </is>
      </c>
      <c r="C167" s="2" t="n">
        <v>1</v>
      </c>
      <c r="D167" s="2" t="inlineStr">
        <is>
          <t>Alinity ci-series</t>
        </is>
      </c>
      <c r="E167" s="2" t="inlineStr">
        <is>
          <t>integrated clinical chemistry and immunoassay analyzers</t>
        </is>
      </c>
    </row>
    <row r="168">
      <c r="A168" s="2" t="n">
        <v>56</v>
      </c>
      <c r="B168" s="2" t="inlineStr">
        <is>
          <t>Abbott Diagnostics</t>
        </is>
      </c>
      <c r="C168" s="2" t="n">
        <v>2</v>
      </c>
      <c r="D168" s="2" t="inlineStr">
        <is>
          <t>Alinity m</t>
        </is>
      </c>
      <c r="E168" s="2" t="inlineStr">
        <is>
          <t>automated molecular (PCR) diagnostics system</t>
        </is>
      </c>
    </row>
    <row r="169">
      <c r="A169" s="2" t="n">
        <v>56</v>
      </c>
      <c r="B169" s="2" t="inlineStr">
        <is>
          <t>Abbott Diagnostics</t>
        </is>
      </c>
      <c r="C169" s="2" t="n">
        <v>3</v>
      </c>
      <c r="D169" s="2" t="inlineStr">
        <is>
          <t>ARCHITECT i2000SR / c8000</t>
        </is>
      </c>
      <c r="E169" s="2" t="inlineStr">
        <is>
          <t>legacy immunoassay and chemistry analyzers</t>
        </is>
      </c>
    </row>
    <row r="170">
      <c r="A170" s="2" t="n">
        <v>57</v>
      </c>
      <c r="B170" s="2" t="inlineStr">
        <is>
          <t>Siemens Healthineers – Diagnostics</t>
        </is>
      </c>
      <c r="C170" s="2" t="n">
        <v>1</v>
      </c>
      <c r="D170" s="2" t="inlineStr">
        <is>
          <t>Atellica Solution (CH 930 / IM 1300-1600)</t>
        </is>
      </c>
      <c r="E170" s="2" t="inlineStr">
        <is>
          <t>integrated chemistry &amp; immunoassay analyzers with sample automation</t>
        </is>
      </c>
    </row>
    <row r="171">
      <c r="A171" s="2" t="n">
        <v>57</v>
      </c>
      <c r="B171" s="2" t="inlineStr">
        <is>
          <t>Siemens Healthineers – Diagnostics</t>
        </is>
      </c>
      <c r="C171" s="2" t="n">
        <v>2</v>
      </c>
      <c r="D171" s="2" t="inlineStr">
        <is>
          <t>Atellica CI 1900</t>
        </is>
      </c>
      <c r="E171" s="2" t="inlineStr">
        <is>
          <t>compact integrated chemistry/immunoassay analyzer</t>
        </is>
      </c>
    </row>
    <row r="172">
      <c r="A172" s="2" t="n">
        <v>57</v>
      </c>
      <c r="B172" s="2" t="inlineStr">
        <is>
          <t>Siemens Healthineers – Diagnostics</t>
        </is>
      </c>
      <c r="C172" s="2" t="n">
        <v>3</v>
      </c>
      <c r="D172" s="2" t="inlineStr">
        <is>
          <t>Aptio Automation</t>
        </is>
      </c>
      <c r="E172" s="2" t="inlineStr">
        <is>
          <t>track-based total laboratory automation</t>
        </is>
      </c>
    </row>
    <row r="173">
      <c r="A173" s="2" t="n">
        <v>58</v>
      </c>
      <c r="B173" s="2" t="inlineStr">
        <is>
          <t>bioMérieux</t>
        </is>
      </c>
      <c r="C173" s="2" t="n">
        <v>1</v>
      </c>
      <c r="D173" s="2" t="inlineStr">
        <is>
          <t>VITEK 2 / VITEK MS PRIME</t>
        </is>
      </c>
      <c r="E173" s="2" t="inlineStr">
        <is>
          <t>automated microbial ID/AST and MALDI-TOF identification</t>
        </is>
      </c>
    </row>
    <row r="174">
      <c r="A174" s="2" t="n">
        <v>58</v>
      </c>
      <c r="B174" s="2" t="inlineStr">
        <is>
          <t>bioMérieux</t>
        </is>
      </c>
      <c r="C174" s="2" t="n">
        <v>2</v>
      </c>
      <c r="D174" s="2" t="inlineStr">
        <is>
          <t>BACT/ALERT VIRTUO</t>
        </is>
      </c>
      <c r="E174" s="2" t="inlineStr">
        <is>
          <t>automated blood-culture system</t>
        </is>
      </c>
    </row>
    <row r="175">
      <c r="A175" s="2" t="n">
        <v>58</v>
      </c>
      <c r="B175" s="2" t="inlineStr">
        <is>
          <t>bioMérieux</t>
        </is>
      </c>
      <c r="C175" s="2" t="n">
        <v>3</v>
      </c>
      <c r="D175" s="2" t="inlineStr">
        <is>
          <t>BIOFIRE FILMARRAY TORCH / SPOTFIRE</t>
        </is>
      </c>
      <c r="E175" s="2" t="inlineStr">
        <is>
          <t>syndromic multiplex PCR panels</t>
        </is>
      </c>
    </row>
    <row r="176">
      <c r="A176" s="2" t="n">
        <v>59</v>
      </c>
      <c r="B176" s="2" t="inlineStr">
        <is>
          <t>Sysmex</t>
        </is>
      </c>
      <c r="C176" s="2" t="n">
        <v>1</v>
      </c>
      <c r="D176" s="2" t="inlineStr">
        <is>
          <t>XN-Series (XN-1000 to XN-9100)</t>
        </is>
      </c>
      <c r="E176" s="2" t="inlineStr">
        <is>
          <t>automated hematology analyzers and lines</t>
        </is>
      </c>
    </row>
    <row r="177">
      <c r="A177" s="2" t="n">
        <v>59</v>
      </c>
      <c r="B177" s="2" t="inlineStr">
        <is>
          <t>Sysmex</t>
        </is>
      </c>
      <c r="C177" s="2" t="n">
        <v>2</v>
      </c>
      <c r="D177" s="2" t="inlineStr">
        <is>
          <t>XR-Series</t>
        </is>
      </c>
      <c r="E177" s="2" t="inlineStr">
        <is>
          <t>next-generation automated hematology analyzers</t>
        </is>
      </c>
    </row>
    <row r="178">
      <c r="A178" s="2" t="n">
        <v>59</v>
      </c>
      <c r="B178" s="2" t="inlineStr">
        <is>
          <t>Sysmex</t>
        </is>
      </c>
      <c r="C178" s="2" t="n">
        <v>3</v>
      </c>
      <c r="D178" s="2" t="inlineStr">
        <is>
          <t>UN-Series (UF-5000 / UD-10)</t>
        </is>
      </c>
      <c r="E178" s="2" t="inlineStr">
        <is>
          <t>automated urinalysis systems</t>
        </is>
      </c>
    </row>
    <row r="179">
      <c r="A179" s="2" t="n">
        <v>60</v>
      </c>
      <c r="B179" s="2" t="inlineStr">
        <is>
          <t>Mindray</t>
        </is>
      </c>
      <c r="C179" s="2" t="n">
        <v>1</v>
      </c>
      <c r="D179" s="2" t="inlineStr">
        <is>
          <t>BC-6800Plus / BC-7500 CRP</t>
        </is>
      </c>
      <c r="E179" s="2" t="inlineStr">
        <is>
          <t>automated hematology analyzers</t>
        </is>
      </c>
    </row>
    <row r="180">
      <c r="A180" s="2" t="n">
        <v>60</v>
      </c>
      <c r="B180" s="2" t="inlineStr">
        <is>
          <t>Mindray</t>
        </is>
      </c>
      <c r="C180" s="2" t="n">
        <v>2</v>
      </c>
      <c r="D180" s="2" t="inlineStr">
        <is>
          <t>CL-8000i</t>
        </is>
      </c>
      <c r="E180" s="2" t="inlineStr">
        <is>
          <t>chemiluminescence immunoassay analyzer</t>
        </is>
      </c>
    </row>
    <row r="181">
      <c r="A181" s="2" t="n">
        <v>60</v>
      </c>
      <c r="B181" s="2" t="inlineStr">
        <is>
          <t>Mindray</t>
        </is>
      </c>
      <c r="C181" s="2" t="n">
        <v>3</v>
      </c>
      <c r="D181" s="2" t="inlineStr">
        <is>
          <t>BS-2000M / M9000</t>
        </is>
      </c>
      <c r="E181" s="2" t="inlineStr">
        <is>
          <t>modular clinical chemistry analyzer and integrated lab automation</t>
        </is>
      </c>
    </row>
    <row r="182">
      <c r="A182" s="2" t="n">
        <v>61</v>
      </c>
      <c r="B182" s="2" t="inlineStr">
        <is>
          <t>BINDER</t>
        </is>
      </c>
      <c r="C182" s="2" t="n">
        <v>1</v>
      </c>
      <c r="D182" s="2" t="inlineStr">
        <is>
          <t>KBF / KBF P series</t>
        </is>
      </c>
      <c r="E182" s="2" t="inlineStr">
        <is>
          <t>constant climate chambers for ICH stability testing</t>
        </is>
      </c>
    </row>
    <row r="183">
      <c r="A183" s="2" t="n">
        <v>61</v>
      </c>
      <c r="B183" s="2" t="inlineStr">
        <is>
          <t>BINDER</t>
        </is>
      </c>
      <c r="C183" s="2" t="n">
        <v>2</v>
      </c>
      <c r="D183" s="2" t="inlineStr">
        <is>
          <t>CB / CB-S series</t>
        </is>
      </c>
      <c r="E183" s="2" t="inlineStr">
        <is>
          <t>CO2 incubators with hot-air sterilisation</t>
        </is>
      </c>
    </row>
    <row r="184">
      <c r="A184" s="2" t="n">
        <v>61</v>
      </c>
      <c r="B184" s="2" t="inlineStr">
        <is>
          <t>BINDER</t>
        </is>
      </c>
      <c r="C184" s="2" t="n">
        <v>3</v>
      </c>
      <c r="D184" s="2" t="inlineStr">
        <is>
          <t>FD / FED / FP series</t>
        </is>
      </c>
      <c r="E184" s="2" t="inlineStr">
        <is>
          <t>drying and heating chambers (lab ovens)</t>
        </is>
      </c>
    </row>
    <row r="185">
      <c r="A185" s="2" t="n">
        <v>62</v>
      </c>
      <c r="B185" s="2" t="inlineStr">
        <is>
          <t>Memmert</t>
        </is>
      </c>
      <c r="C185" s="2" t="n">
        <v>1</v>
      </c>
      <c r="D185" s="2" t="inlineStr">
        <is>
          <t>UN / UF series</t>
        </is>
      </c>
      <c r="E185" s="2" t="inlineStr">
        <is>
          <t>universal heating and drying ovens</t>
        </is>
      </c>
    </row>
    <row r="186">
      <c r="A186" s="2" t="n">
        <v>62</v>
      </c>
      <c r="B186" s="2" t="inlineStr">
        <is>
          <t>Memmert</t>
        </is>
      </c>
      <c r="C186" s="2" t="n">
        <v>2</v>
      </c>
      <c r="D186" s="2" t="inlineStr">
        <is>
          <t>IN / IF / ICO series</t>
        </is>
      </c>
      <c r="E186" s="2" t="inlineStr">
        <is>
          <t>incubators, cooled and CO2 incubators</t>
        </is>
      </c>
    </row>
    <row r="187">
      <c r="A187" s="2" t="n">
        <v>62</v>
      </c>
      <c r="B187" s="2" t="inlineStr">
        <is>
          <t>Memmert</t>
        </is>
      </c>
      <c r="C187" s="2" t="n">
        <v>3</v>
      </c>
      <c r="D187" s="2" t="inlineStr">
        <is>
          <t>HPP / ICH series</t>
        </is>
      </c>
      <c r="E187" s="2" t="inlineStr">
        <is>
          <t>constant climate and stability test chambers</t>
        </is>
      </c>
    </row>
    <row r="188">
      <c r="A188" s="2" t="n">
        <v>63</v>
      </c>
      <c r="B188" s="2" t="inlineStr">
        <is>
          <t>IKA</t>
        </is>
      </c>
      <c r="C188" s="2" t="n">
        <v>1</v>
      </c>
      <c r="D188" s="2" t="inlineStr">
        <is>
          <t>RCT basic / C-MAG HS</t>
        </is>
      </c>
      <c r="E188" s="2" t="inlineStr">
        <is>
          <t>magnetic hotplate stirrers</t>
        </is>
      </c>
    </row>
    <row r="189">
      <c r="A189" s="2" t="n">
        <v>63</v>
      </c>
      <c r="B189" s="2" t="inlineStr">
        <is>
          <t>IKA</t>
        </is>
      </c>
      <c r="C189" s="2" t="n">
        <v>2</v>
      </c>
      <c r="D189" s="2" t="inlineStr">
        <is>
          <t>ULTRA-TURRAX T 25 / T 50</t>
        </is>
      </c>
      <c r="E189" s="2" t="inlineStr">
        <is>
          <t>high-shear dispersers / homogenisers</t>
        </is>
      </c>
    </row>
    <row r="190">
      <c r="A190" s="2" t="n">
        <v>63</v>
      </c>
      <c r="B190" s="2" t="inlineStr">
        <is>
          <t>IKA</t>
        </is>
      </c>
      <c r="C190" s="2" t="n">
        <v>3</v>
      </c>
      <c r="D190" s="2" t="inlineStr">
        <is>
          <t>EUROSTAR / MICROSTAR</t>
        </is>
      </c>
      <c r="E190" s="2" t="inlineStr">
        <is>
          <t>overhead laboratory stirrers</t>
        </is>
      </c>
    </row>
    <row r="191">
      <c r="A191" s="2" t="n">
        <v>64</v>
      </c>
      <c r="B191" s="2" t="inlineStr">
        <is>
          <t>Heidolph Instruments (ATS Corporation)</t>
        </is>
      </c>
      <c r="C191" s="2" t="n">
        <v>1</v>
      </c>
      <c r="D191" s="2" t="inlineStr">
        <is>
          <t>Hei-VAP series</t>
        </is>
      </c>
      <c r="E191" s="2" t="inlineStr">
        <is>
          <t>rotary evaporators (Core, Expert, Ultimate)</t>
        </is>
      </c>
    </row>
    <row r="192">
      <c r="A192" s="2" t="n">
        <v>64</v>
      </c>
      <c r="B192" s="2" t="inlineStr">
        <is>
          <t>Heidolph Instruments (ATS Corporation)</t>
        </is>
      </c>
      <c r="C192" s="2" t="n">
        <v>2</v>
      </c>
      <c r="D192" s="2" t="inlineStr">
        <is>
          <t>Hei-TORQUE series</t>
        </is>
      </c>
      <c r="E192" s="2" t="inlineStr">
        <is>
          <t>overhead stirrers</t>
        </is>
      </c>
    </row>
    <row r="193">
      <c r="A193" s="2" t="n">
        <v>64</v>
      </c>
      <c r="B193" s="2" t="inlineStr">
        <is>
          <t>Heidolph Instruments (ATS Corporation)</t>
        </is>
      </c>
      <c r="C193" s="2" t="n">
        <v>3</v>
      </c>
      <c r="D193" s="2" t="inlineStr">
        <is>
          <t>Hei-PLATE / Hei-Tec</t>
        </is>
      </c>
      <c r="E193" s="2" t="inlineStr">
        <is>
          <t>magnetic hotplate stirrers</t>
        </is>
      </c>
    </row>
    <row r="194">
      <c r="A194" s="2" t="n">
        <v>65</v>
      </c>
      <c r="B194" s="2" t="inlineStr">
        <is>
          <t>JULABO</t>
        </is>
      </c>
      <c r="C194" s="2" t="n">
        <v>1</v>
      </c>
      <c r="D194" s="2" t="inlineStr">
        <is>
          <t>PRESTO</t>
        </is>
      </c>
      <c r="E194" s="2" t="inlineStr">
        <is>
          <t>highly dynamic process temperature control systems</t>
        </is>
      </c>
    </row>
    <row r="195">
      <c r="A195" s="2" t="n">
        <v>65</v>
      </c>
      <c r="B195" s="2" t="inlineStr">
        <is>
          <t>JULABO</t>
        </is>
      </c>
      <c r="C195" s="2" t="n">
        <v>2</v>
      </c>
      <c r="D195" s="2" t="inlineStr">
        <is>
          <t>CORIO / DYNEO / MAGIO</t>
        </is>
      </c>
      <c r="E195" s="2" t="inlineStr">
        <is>
          <t>refrigerated and heating circulators</t>
        </is>
      </c>
    </row>
    <row r="196">
      <c r="A196" s="2" t="n">
        <v>65</v>
      </c>
      <c r="B196" s="2" t="inlineStr">
        <is>
          <t>JULABO</t>
        </is>
      </c>
      <c r="C196" s="2" t="n">
        <v>3</v>
      </c>
      <c r="D196" s="2" t="inlineStr">
        <is>
          <t>FL / FC series</t>
        </is>
      </c>
      <c r="E196" s="2" t="inlineStr">
        <is>
          <t>recirculating coolers (chillers)</t>
        </is>
      </c>
    </row>
    <row r="197">
      <c r="A197" s="2" t="n">
        <v>66</v>
      </c>
      <c r="B197" s="2" t="inlineStr">
        <is>
          <t>LAUDA</t>
        </is>
      </c>
      <c r="C197" s="2" t="n">
        <v>1</v>
      </c>
      <c r="D197" s="2" t="inlineStr">
        <is>
          <t>Integral</t>
        </is>
      </c>
      <c r="E197" s="2" t="inlineStr">
        <is>
          <t>process thermostats for heating and cooling</t>
        </is>
      </c>
    </row>
    <row r="198">
      <c r="A198" s="2" t="n">
        <v>66</v>
      </c>
      <c r="B198" s="2" t="inlineStr">
        <is>
          <t>LAUDA</t>
        </is>
      </c>
      <c r="C198" s="2" t="n">
        <v>2</v>
      </c>
      <c r="D198" s="2" t="inlineStr">
        <is>
          <t>PRO / ECO / Alpha</t>
        </is>
      </c>
      <c r="E198" s="2" t="inlineStr">
        <is>
          <t>laboratory heating and cooling thermostats</t>
        </is>
      </c>
    </row>
    <row r="199">
      <c r="A199" s="2" t="n">
        <v>66</v>
      </c>
      <c r="B199" s="2" t="inlineStr">
        <is>
          <t>LAUDA</t>
        </is>
      </c>
      <c r="C199" s="2" t="n">
        <v>3</v>
      </c>
      <c r="D199" s="2" t="inlineStr">
        <is>
          <t>Ultracool / Variocool</t>
        </is>
      </c>
      <c r="E199" s="2" t="inlineStr">
        <is>
          <t>process circulation chillers</t>
        </is>
      </c>
    </row>
    <row r="200">
      <c r="A200" s="2" t="n">
        <v>67</v>
      </c>
      <c r="B200" s="2" t="inlineStr">
        <is>
          <t>Peter Huber Kältemaschinenbau</t>
        </is>
      </c>
      <c r="C200" s="2" t="n">
        <v>1</v>
      </c>
      <c r="D200" s="2" t="inlineStr">
        <is>
          <t>Unistat</t>
        </is>
      </c>
      <c r="E200" s="2" t="inlineStr">
        <is>
          <t>highly dynamic temperature control systems (-125 to +425 C)</t>
        </is>
      </c>
    </row>
    <row r="201">
      <c r="A201" s="2" t="n">
        <v>67</v>
      </c>
      <c r="B201" s="2" t="inlineStr">
        <is>
          <t>Peter Huber Kältemaschinenbau</t>
        </is>
      </c>
      <c r="C201" s="2" t="n">
        <v>2</v>
      </c>
      <c r="D201" s="2" t="inlineStr">
        <is>
          <t>Unichiller</t>
        </is>
      </c>
      <c r="E201" s="2" t="inlineStr">
        <is>
          <t>recirculating chillers</t>
        </is>
      </c>
    </row>
    <row r="202">
      <c r="A202" s="2" t="n">
        <v>67</v>
      </c>
      <c r="B202" s="2" t="inlineStr">
        <is>
          <t>Peter Huber Kältemaschinenbau</t>
        </is>
      </c>
      <c r="C202" s="2" t="n">
        <v>3</v>
      </c>
      <c r="D202" s="2" t="inlineStr">
        <is>
          <t>Ministat / Petite Fleur / CC series</t>
        </is>
      </c>
      <c r="E202" s="2" t="inlineStr">
        <is>
          <t>compact bath and circulation thermostats</t>
        </is>
      </c>
    </row>
    <row r="203">
      <c r="A203" s="2" t="n">
        <v>68</v>
      </c>
      <c r="B203" s="2" t="inlineStr">
        <is>
          <t>BÜCHI Labortechnik</t>
        </is>
      </c>
      <c r="C203" s="2" t="n">
        <v>1</v>
      </c>
      <c r="D203" s="2" t="inlineStr">
        <is>
          <t>Rotavapor R-300</t>
        </is>
      </c>
      <c r="E203" s="2" t="inlineStr">
        <is>
          <t>modular rotary evaporator system</t>
        </is>
      </c>
    </row>
    <row r="204">
      <c r="A204" s="2" t="n">
        <v>68</v>
      </c>
      <c r="B204" s="2" t="inlineStr">
        <is>
          <t>BÜCHI Labortechnik</t>
        </is>
      </c>
      <c r="C204" s="2" t="n">
        <v>2</v>
      </c>
      <c r="D204" s="2" t="inlineStr">
        <is>
          <t>Mini Spray Dryer S-300 / B-290</t>
        </is>
      </c>
      <c r="E204" s="2" t="inlineStr">
        <is>
          <t>laboratory spray dryers</t>
        </is>
      </c>
    </row>
    <row r="205">
      <c r="A205" s="2" t="n">
        <v>68</v>
      </c>
      <c r="B205" s="2" t="inlineStr">
        <is>
          <t>BÜCHI Labortechnik</t>
        </is>
      </c>
      <c r="C205" s="2" t="n">
        <v>3</v>
      </c>
      <c r="D205" s="2" t="inlineStr">
        <is>
          <t>KjelMaster K-375 / Kjeldahl line</t>
        </is>
      </c>
      <c r="E205" s="2" t="inlineStr">
        <is>
          <t>nitrogen and protein determination systems</t>
        </is>
      </c>
    </row>
    <row r="206">
      <c r="A206" s="2" t="n">
        <v>69</v>
      </c>
      <c r="B206" s="2" t="inlineStr">
        <is>
          <t>Andreas Hettich</t>
        </is>
      </c>
      <c r="C206" s="2" t="n">
        <v>1</v>
      </c>
      <c r="D206" s="2" t="inlineStr">
        <is>
          <t>UNIVERSAL 320 / 320 R</t>
        </is>
      </c>
      <c r="E206" s="2" t="inlineStr">
        <is>
          <t>benchtop laboratory centrifuge</t>
        </is>
      </c>
    </row>
    <row r="207">
      <c r="A207" s="2" t="n">
        <v>69</v>
      </c>
      <c r="B207" s="2" t="inlineStr">
        <is>
          <t>Andreas Hettich</t>
        </is>
      </c>
      <c r="C207" s="2" t="n">
        <v>2</v>
      </c>
      <c r="D207" s="2" t="inlineStr">
        <is>
          <t>ROTINA 380 / 420 (R)</t>
        </is>
      </c>
      <c r="E207" s="2" t="inlineStr">
        <is>
          <t>high-capacity benchtop centrifuges</t>
        </is>
      </c>
    </row>
    <row r="208">
      <c r="A208" s="2" t="n">
        <v>69</v>
      </c>
      <c r="B208" s="2" t="inlineStr">
        <is>
          <t>Andreas Hettich</t>
        </is>
      </c>
      <c r="C208" s="2" t="n">
        <v>3</v>
      </c>
      <c r="D208" s="2" t="inlineStr">
        <is>
          <t>HettCube</t>
        </is>
      </c>
      <c r="E208" s="2" t="inlineStr">
        <is>
          <t>microbiological incubators</t>
        </is>
      </c>
    </row>
    <row r="209">
      <c r="A209" s="2" t="n">
        <v>70</v>
      </c>
      <c r="B209" s="2" t="inlineStr">
        <is>
          <t>Esco Lifesciences</t>
        </is>
      </c>
      <c r="C209" s="2" t="n">
        <v>1</v>
      </c>
      <c r="D209" s="2" t="inlineStr">
        <is>
          <t>Airstream Class II (Gen 3)</t>
        </is>
      </c>
      <c r="E209" s="2" t="inlineStr">
        <is>
          <t>biological safety cabinets</t>
        </is>
      </c>
    </row>
    <row r="210">
      <c r="A210" s="2" t="n">
        <v>70</v>
      </c>
      <c r="B210" s="2" t="inlineStr">
        <is>
          <t>Esco Lifesciences</t>
        </is>
      </c>
      <c r="C210" s="2" t="n">
        <v>2</v>
      </c>
      <c r="D210" s="2" t="inlineStr">
        <is>
          <t>CelCulture</t>
        </is>
      </c>
      <c r="E210" s="2" t="inlineStr">
        <is>
          <t>CO2 incubators</t>
        </is>
      </c>
    </row>
    <row r="211">
      <c r="A211" s="2" t="n">
        <v>70</v>
      </c>
      <c r="B211" s="2" t="inlineStr">
        <is>
          <t>Esco Lifesciences</t>
        </is>
      </c>
      <c r="C211" s="2" t="n">
        <v>3</v>
      </c>
      <c r="D211" s="2" t="inlineStr">
        <is>
          <t>Isoclean / Streamline isolators</t>
        </is>
      </c>
      <c r="E211" s="2" t="inlineStr">
        <is>
          <t>aseptic and containment isolators</t>
        </is>
      </c>
    </row>
    <row r="212">
      <c r="A212" s="2" t="n">
        <v>71</v>
      </c>
      <c r="B212" s="2" t="inlineStr">
        <is>
          <t>Labconco</t>
        </is>
      </c>
      <c r="C212" s="2" t="n">
        <v>1</v>
      </c>
      <c r="D212" s="2" t="inlineStr">
        <is>
          <t>Protector fume hoods (XStream / Premier)</t>
        </is>
      </c>
      <c r="E212" s="2" t="inlineStr">
        <is>
          <t>ducted and ductless chemical fume hoods</t>
        </is>
      </c>
    </row>
    <row r="213">
      <c r="A213" s="2" t="n">
        <v>71</v>
      </c>
      <c r="B213" s="2" t="inlineStr">
        <is>
          <t>Labconco</t>
        </is>
      </c>
      <c r="C213" s="2" t="n">
        <v>2</v>
      </c>
      <c r="D213" s="2" t="inlineStr">
        <is>
          <t>FreeZone freeze dryers</t>
        </is>
      </c>
      <c r="E213" s="2" t="inlineStr">
        <is>
          <t>benchtop and console laboratory lyophilizers</t>
        </is>
      </c>
    </row>
    <row r="214">
      <c r="A214" s="2" t="n">
        <v>71</v>
      </c>
      <c r="B214" s="2" t="inlineStr">
        <is>
          <t>Labconco</t>
        </is>
      </c>
      <c r="C214" s="2" t="n">
        <v>3</v>
      </c>
      <c r="D214" s="2" t="inlineStr">
        <is>
          <t>Purifier Logic+ biosafety cabinets</t>
        </is>
      </c>
      <c r="E214" s="2" t="inlineStr">
        <is>
          <t>Class II A2/B2/C1 biological safety cabinets</t>
        </is>
      </c>
    </row>
    <row r="215">
      <c r="A215" s="2" t="n">
        <v>72</v>
      </c>
      <c r="B215" s="2" t="inlineStr">
        <is>
          <t>NuAire</t>
        </is>
      </c>
      <c r="C215" s="2" t="n">
        <v>1</v>
      </c>
      <c r="D215" s="2" t="inlineStr">
        <is>
          <t>LabGard ES NU-540 / NU-543</t>
        </is>
      </c>
      <c r="E215" s="2" t="inlineStr">
        <is>
          <t>Class II Type A2 biosafety cabinets</t>
        </is>
      </c>
    </row>
    <row r="216">
      <c r="A216" s="2" t="n">
        <v>72</v>
      </c>
      <c r="B216" s="2" t="inlineStr">
        <is>
          <t>NuAire</t>
        </is>
      </c>
      <c r="C216" s="2" t="n">
        <v>2</v>
      </c>
      <c r="D216" s="2" t="inlineStr">
        <is>
          <t>In-VitroCell NU-5800 series</t>
        </is>
      </c>
      <c r="E216" s="2" t="inlineStr">
        <is>
          <t>direct-heat CO2 incubators</t>
        </is>
      </c>
    </row>
    <row r="217">
      <c r="A217" s="2" t="n">
        <v>72</v>
      </c>
      <c r="B217" s="2" t="inlineStr">
        <is>
          <t>NuAire</t>
        </is>
      </c>
      <c r="C217" s="2" t="n">
        <v>3</v>
      </c>
      <c r="D217" s="2" t="inlineStr">
        <is>
          <t>Glacier NU-99xxx series</t>
        </is>
      </c>
      <c r="E217" s="2" t="inlineStr">
        <is>
          <t>-86C ultralow temperature freezers</t>
        </is>
      </c>
    </row>
    <row r="218">
      <c r="A218" s="2" t="n">
        <v>73</v>
      </c>
      <c r="B218" s="2" t="inlineStr">
        <is>
          <t>PHC Holdings (PHCbi)</t>
        </is>
      </c>
      <c r="C218" s="2" t="n">
        <v>1</v>
      </c>
      <c r="D218" s="2" t="inlineStr">
        <is>
          <t>MDF-DU702VH VIP ECO</t>
        </is>
      </c>
      <c r="E218" s="2" t="inlineStr">
        <is>
          <t>-86C ultra-low temperature freezer</t>
        </is>
      </c>
    </row>
    <row r="219">
      <c r="A219" s="2" t="n">
        <v>73</v>
      </c>
      <c r="B219" s="2" t="inlineStr">
        <is>
          <t>PHC Holdings (PHCbi)</t>
        </is>
      </c>
      <c r="C219" s="2" t="n">
        <v>2</v>
      </c>
      <c r="D219" s="2" t="inlineStr">
        <is>
          <t>MCO-170AIC / MCO-230AIC IncuSafe</t>
        </is>
      </c>
      <c r="E219" s="2" t="inlineStr">
        <is>
          <t>CO2 incubators with H2O2 decontamination</t>
        </is>
      </c>
    </row>
    <row r="220">
      <c r="A220" s="2" t="n">
        <v>73</v>
      </c>
      <c r="B220" s="2" t="inlineStr">
        <is>
          <t>PHC Holdings (PHCbi)</t>
        </is>
      </c>
      <c r="C220" s="2" t="n">
        <v>3</v>
      </c>
      <c r="D220" s="2" t="inlineStr">
        <is>
          <t>MPR / MBR series</t>
        </is>
      </c>
      <c r="E220" s="2" t="inlineStr">
        <is>
          <t>pharmaceutical refrigerators and biomedical freezers</t>
        </is>
      </c>
    </row>
    <row r="221">
      <c r="A221" s="2" t="n">
        <v>74</v>
      </c>
      <c r="B221" s="2" t="inlineStr">
        <is>
          <t>Haier Biomedical</t>
        </is>
      </c>
      <c r="C221" s="2" t="n">
        <v>1</v>
      </c>
      <c r="D221" s="2" t="inlineStr">
        <is>
          <t>DW-86L series</t>
        </is>
      </c>
      <c r="E221" s="2" t="inlineStr">
        <is>
          <t>-86C ultra-low temperature freezers</t>
        </is>
      </c>
    </row>
    <row r="222">
      <c r="A222" s="2" t="n">
        <v>74</v>
      </c>
      <c r="B222" s="2" t="inlineStr">
        <is>
          <t>Haier Biomedical</t>
        </is>
      </c>
      <c r="C222" s="2" t="n">
        <v>2</v>
      </c>
      <c r="D222" s="2" t="inlineStr">
        <is>
          <t>Automated Biobank</t>
        </is>
      </c>
      <c r="E222" s="2" t="inlineStr">
        <is>
          <t>automated -80C / LN2 sample storage systems</t>
        </is>
      </c>
    </row>
    <row r="223">
      <c r="A223" s="2" t="n">
        <v>74</v>
      </c>
      <c r="B223" s="2" t="inlineStr">
        <is>
          <t>Haier Biomedical</t>
        </is>
      </c>
      <c r="C223" s="2" t="n">
        <v>3</v>
      </c>
      <c r="D223" s="2" t="inlineStr">
        <is>
          <t>HXC / HYC series</t>
        </is>
      </c>
      <c r="E223" s="2" t="inlineStr">
        <is>
          <t>blood bank and pharmacy/vaccine refrigerators</t>
        </is>
      </c>
    </row>
    <row r="224">
      <c r="A224" s="2" t="n">
        <v>75</v>
      </c>
      <c r="B224" s="2" t="inlineStr">
        <is>
          <t>Antylia Scientific (ex-Cole-Parmer)</t>
        </is>
      </c>
      <c r="C224" s="2" t="n">
        <v>1</v>
      </c>
      <c r="D224" s="2" t="inlineStr">
        <is>
          <t>Jenway spectrophotometers</t>
        </is>
      </c>
      <c r="E224" s="2" t="inlineStr">
        <is>
          <t>UV/Vis and visible benchtop spectrophotometers</t>
        </is>
      </c>
    </row>
    <row r="225">
      <c r="A225" s="2" t="n">
        <v>75</v>
      </c>
      <c r="B225" s="2" t="inlineStr">
        <is>
          <t>Antylia Scientific (ex-Cole-Parmer)</t>
        </is>
      </c>
      <c r="C225" s="2" t="n">
        <v>2</v>
      </c>
      <c r="D225" s="2" t="inlineStr">
        <is>
          <t>Environmental Express HotBlock</t>
        </is>
      </c>
      <c r="E225" s="2" t="inlineStr">
        <is>
          <t>sample digestion and prep for environmental testing</t>
        </is>
      </c>
    </row>
    <row r="226">
      <c r="A226" s="2" t="n">
        <v>75</v>
      </c>
      <c r="B226" s="2" t="inlineStr">
        <is>
          <t>Antylia Scientific (ex-Cole-Parmer)</t>
        </is>
      </c>
      <c r="C226" s="2" t="n">
        <v>3</v>
      </c>
      <c r="D226" s="2" t="inlineStr">
        <is>
          <t>Stuart / Techne benchtop equipment</t>
        </is>
      </c>
      <c r="E226" s="2" t="inlineStr">
        <is>
          <t>stirrers, shakers, hotplates, dry blocks, thermal cyclers</t>
        </is>
      </c>
    </row>
    <row r="227">
      <c r="A227" s="2" t="n">
        <v>76</v>
      </c>
      <c r="B227" s="2" t="inlineStr">
        <is>
          <t>Verder Scientific (Retsch, Carbolite Gero, Eltra, Microtrac MRB, QATM)</t>
        </is>
      </c>
      <c r="C227" s="2" t="n">
        <v>1</v>
      </c>
      <c r="D227" s="2" t="inlineStr">
        <is>
          <t>Retsch mills and sieve shakers</t>
        </is>
      </c>
      <c r="E227" s="2" t="inlineStr">
        <is>
          <t>planetary ball mills, cutting mills, AS 200 sieving</t>
        </is>
      </c>
    </row>
    <row r="228">
      <c r="A228" s="2" t="n">
        <v>76</v>
      </c>
      <c r="B228" s="2" t="inlineStr">
        <is>
          <t>Verder Scientific (Retsch, Carbolite Gero, Eltra, Microtrac MRB, QATM)</t>
        </is>
      </c>
      <c r="C228" s="2" t="n">
        <v>2</v>
      </c>
      <c r="D228" s="2" t="inlineStr">
        <is>
          <t>Carbolite Gero furnaces</t>
        </is>
      </c>
      <c r="E228" s="2" t="inlineStr">
        <is>
          <t>laboratory chamber, tube and high-temperature furnaces</t>
        </is>
      </c>
    </row>
    <row r="229">
      <c r="A229" s="2" t="n">
        <v>76</v>
      </c>
      <c r="B229" s="2" t="inlineStr">
        <is>
          <t>Verder Scientific (Retsch, Carbolite Gero, Eltra, Microtrac MRB, QATM)</t>
        </is>
      </c>
      <c r="C229" s="2" t="n">
        <v>3</v>
      </c>
      <c r="D229" s="2" t="inlineStr">
        <is>
          <t>Microtrac MRB particle analyzers</t>
        </is>
      </c>
      <c r="E229" s="2" t="inlineStr">
        <is>
          <t>laser diffraction and image particle characterization</t>
        </is>
      </c>
    </row>
    <row r="230">
      <c r="A230" s="2" t="n">
        <v>77</v>
      </c>
      <c r="B230" s="2" t="inlineStr">
        <is>
          <t>Yamato Scientific</t>
        </is>
      </c>
      <c r="C230" s="2" t="n">
        <v>1</v>
      </c>
      <c r="D230" s="2" t="inlineStr">
        <is>
          <t>DKN / DKM constant temperature ovens</t>
        </is>
      </c>
      <c r="E230" s="2" t="inlineStr">
        <is>
          <t>forced-convection laboratory drying ovens</t>
        </is>
      </c>
    </row>
    <row r="231">
      <c r="A231" s="2" t="n">
        <v>77</v>
      </c>
      <c r="B231" s="2" t="inlineStr">
        <is>
          <t>Yamato Scientific</t>
        </is>
      </c>
      <c r="C231" s="2" t="n">
        <v>2</v>
      </c>
      <c r="D231" s="2" t="inlineStr">
        <is>
          <t>SM / SQ series autoclaves</t>
        </is>
      </c>
      <c r="E231" s="2" t="inlineStr">
        <is>
          <t>benchtop and vertical steam sterilizers</t>
        </is>
      </c>
    </row>
    <row r="232">
      <c r="A232" s="2" t="n">
        <v>77</v>
      </c>
      <c r="B232" s="2" t="inlineStr">
        <is>
          <t>Yamato Scientific</t>
        </is>
      </c>
      <c r="C232" s="2" t="n">
        <v>3</v>
      </c>
      <c r="D232" s="2" t="inlineStr">
        <is>
          <t>Auto Pure WL series</t>
        </is>
      </c>
      <c r="E232" s="2" t="inlineStr">
        <is>
          <t>laboratory water purification systems</t>
        </is>
      </c>
    </row>
    <row r="233">
      <c r="A233" s="2" t="n">
        <v>78</v>
      </c>
      <c r="B233" s="2" t="inlineStr">
        <is>
          <t>Azenta Life Sciences</t>
        </is>
      </c>
      <c r="C233" s="2" t="n">
        <v>1</v>
      </c>
      <c r="D233" s="2" t="inlineStr">
        <is>
          <t>BioStore III Cryo</t>
        </is>
      </c>
      <c r="E233" s="2" t="inlineStr">
        <is>
          <t>automated LN2 cryogenic sample storage system</t>
        </is>
      </c>
    </row>
    <row r="234">
      <c r="A234" s="2" t="n">
        <v>78</v>
      </c>
      <c r="B234" s="2" t="inlineStr">
        <is>
          <t>Azenta Life Sciences</t>
        </is>
      </c>
      <c r="C234" s="2" t="n">
        <v>2</v>
      </c>
      <c r="D234" s="2" t="inlineStr">
        <is>
          <t>FluidX / Ziath tubes and readers</t>
        </is>
      </c>
      <c r="E234" s="2" t="inlineStr">
        <is>
          <t>2D-barcoded sample tubes and rack scanners</t>
        </is>
      </c>
    </row>
    <row r="235">
      <c r="A235" s="2" t="n">
        <v>78</v>
      </c>
      <c r="B235" s="2" t="inlineStr">
        <is>
          <t>Azenta Life Sciences</t>
        </is>
      </c>
      <c r="C235" s="2" t="n">
        <v>3</v>
      </c>
      <c r="D235" s="2" t="inlineStr">
        <is>
          <t>GENEWIZ services</t>
        </is>
      </c>
      <c r="E235" s="2" t="inlineStr">
        <is>
          <t>Sanger/NGS sequencing and gene synthesis services</t>
        </is>
      </c>
    </row>
    <row r="236">
      <c r="A236" s="2" t="n">
        <v>79</v>
      </c>
      <c r="B236" s="2" t="inlineStr">
        <is>
          <t>Opentrons Labworks</t>
        </is>
      </c>
      <c r="C236" s="2" t="n">
        <v>1</v>
      </c>
      <c r="D236" s="2" t="inlineStr">
        <is>
          <t>Opentrons Flex</t>
        </is>
      </c>
      <c r="E236" s="2" t="inlineStr">
        <is>
          <t>benchtop liquid-handling robot with 96-channel head and gripper</t>
        </is>
      </c>
    </row>
    <row r="237">
      <c r="A237" s="2" t="n">
        <v>79</v>
      </c>
      <c r="B237" s="2" t="inlineStr">
        <is>
          <t>Opentrons Labworks</t>
        </is>
      </c>
      <c r="C237" s="2" t="n">
        <v>2</v>
      </c>
      <c r="D237" s="2" t="inlineStr">
        <is>
          <t>OT-2</t>
        </is>
      </c>
      <c r="E237" s="2" t="inlineStr">
        <is>
          <t>low-cost open-source pipetting robot</t>
        </is>
      </c>
    </row>
    <row r="238">
      <c r="A238" s="2" t="n">
        <v>79</v>
      </c>
      <c r="B238" s="2" t="inlineStr">
        <is>
          <t>Opentrons Labworks</t>
        </is>
      </c>
      <c r="C238" s="2" t="n">
        <v>3</v>
      </c>
      <c r="D238" s="2" t="inlineStr">
        <is>
          <t>Flex modules</t>
        </is>
      </c>
      <c r="E238" s="2" t="inlineStr">
        <is>
          <t>thermocycler, heater-shaker, magnetic block, plate reader</t>
        </is>
      </c>
    </row>
    <row r="239">
      <c r="A239" s="2" t="n">
        <v>80</v>
      </c>
      <c r="B239" s="2" t="inlineStr">
        <is>
          <t>SPT Labtech</t>
        </is>
      </c>
      <c r="C239" s="2" t="n">
        <v>1</v>
      </c>
      <c r="D239" s="2" t="inlineStr">
        <is>
          <t>mosquito</t>
        </is>
      </c>
      <c r="E239" s="2" t="inlineStr">
        <is>
          <t>nanolitre positive-displacement liquid handler</t>
        </is>
      </c>
    </row>
    <row r="240">
      <c r="A240" s="2" t="n">
        <v>80</v>
      </c>
      <c r="B240" s="2" t="inlineStr">
        <is>
          <t>SPT Labtech</t>
        </is>
      </c>
      <c r="C240" s="2" t="n">
        <v>2</v>
      </c>
      <c r="D240" s="2" t="inlineStr">
        <is>
          <t>dragonfly discovery</t>
        </is>
      </c>
      <c r="E240" s="2" t="inlineStr">
        <is>
          <t>non-contact low-volume reagent dispenser</t>
        </is>
      </c>
    </row>
    <row r="241">
      <c r="A241" s="2" t="n">
        <v>80</v>
      </c>
      <c r="B241" s="2" t="inlineStr">
        <is>
          <t>SPT Labtech</t>
        </is>
      </c>
      <c r="C241" s="2" t="n">
        <v>3</v>
      </c>
      <c r="D241" s="2" t="inlineStr">
        <is>
          <t>firefly</t>
        </is>
      </c>
      <c r="E241" s="2" t="inlineStr">
        <is>
          <t>NGS library-prep liquid handling platform</t>
        </is>
      </c>
    </row>
    <row r="242">
      <c r="A242" s="2" t="n">
        <v>81</v>
      </c>
      <c r="B242" s="2" t="inlineStr">
        <is>
          <t>OHAUS (Mettler-Toledo)</t>
        </is>
      </c>
      <c r="C242" s="2" t="n">
        <v>1</v>
      </c>
      <c r="D242" s="2" t="inlineStr">
        <is>
          <t>Explorer series</t>
        </is>
      </c>
      <c r="E242" s="2" t="inlineStr">
        <is>
          <t>analytical &amp; precision laboratory balances</t>
        </is>
      </c>
    </row>
    <row r="243">
      <c r="A243" s="2" t="n">
        <v>81</v>
      </c>
      <c r="B243" s="2" t="inlineStr">
        <is>
          <t>OHAUS (Mettler-Toledo)</t>
        </is>
      </c>
      <c r="C243" s="2" t="n">
        <v>2</v>
      </c>
      <c r="D243" s="2" t="inlineStr">
        <is>
          <t>Pioneer / Adventurer balances</t>
        </is>
      </c>
      <c r="E243" s="2" t="inlineStr">
        <is>
          <t>mid-range analytical and precision balances</t>
        </is>
      </c>
    </row>
    <row r="244">
      <c r="A244" s="2" t="n">
        <v>81</v>
      </c>
      <c r="B244" s="2" t="inlineStr">
        <is>
          <t>OHAUS (Mettler-Toledo)</t>
        </is>
      </c>
      <c r="C244" s="2" t="n">
        <v>3</v>
      </c>
      <c r="D244" s="2" t="inlineStr">
        <is>
          <t>Frontier series centrifuges</t>
        </is>
      </c>
      <c r="E244" s="2" t="inlineStr">
        <is>
          <t>benchtop micro, multi-pro and high-speed centrifuges</t>
        </is>
      </c>
    </row>
    <row r="245">
      <c r="A245" s="2" t="n">
        <v>82</v>
      </c>
      <c r="B245" s="2" t="inlineStr">
        <is>
          <t>KERN &amp; SOHN</t>
        </is>
      </c>
      <c r="C245" s="2" t="n">
        <v>1</v>
      </c>
      <c r="D245" s="2" t="inlineStr">
        <is>
          <t>KERN ABT / ABS analytical balances</t>
        </is>
      </c>
      <c r="E245" s="2" t="inlineStr">
        <is>
          <t>0.1 mg laboratory analytical balances</t>
        </is>
      </c>
    </row>
    <row r="246">
      <c r="A246" s="2" t="n">
        <v>82</v>
      </c>
      <c r="B246" s="2" t="inlineStr">
        <is>
          <t>KERN &amp; SOHN</t>
        </is>
      </c>
      <c r="C246" s="2" t="n">
        <v>2</v>
      </c>
      <c r="D246" s="2" t="inlineStr">
        <is>
          <t>KERN test weights</t>
        </is>
      </c>
      <c r="E246" s="2" t="inlineStr">
        <is>
          <t>OIML E1-M3 calibration weights and weight sets</t>
        </is>
      </c>
    </row>
    <row r="247">
      <c r="A247" s="2" t="n">
        <v>82</v>
      </c>
      <c r="B247" s="2" t="inlineStr">
        <is>
          <t>KERN &amp; SOHN</t>
        </is>
      </c>
      <c r="C247" s="2" t="n">
        <v>3</v>
      </c>
      <c r="D247" s="2" t="inlineStr">
        <is>
          <t>KERN OBN / OBE microscopes</t>
        </is>
      </c>
      <c r="E247" s="2" t="inlineStr">
        <is>
          <t>laboratory and educational light microscopes</t>
        </is>
      </c>
    </row>
    <row r="248">
      <c r="A248" s="2" t="n">
        <v>83</v>
      </c>
      <c r="B248" s="2" t="inlineStr">
        <is>
          <t>A&amp;D Company (A&amp;D HOLON Holdings)</t>
        </is>
      </c>
      <c r="C248" s="2" t="n">
        <v>1</v>
      </c>
      <c r="D248" s="2" t="inlineStr">
        <is>
          <t>Apollo GX-A / GF-A series</t>
        </is>
      </c>
      <c r="E248" s="2" t="inlineStr">
        <is>
          <t>precision balances with impact-shock detection</t>
        </is>
      </c>
    </row>
    <row r="249">
      <c r="A249" s="2" t="n">
        <v>83</v>
      </c>
      <c r="B249" s="2" t="inlineStr">
        <is>
          <t>A&amp;D Company (A&amp;D HOLON Holdings)</t>
        </is>
      </c>
      <c r="C249" s="2" t="n">
        <v>2</v>
      </c>
      <c r="D249" s="2" t="inlineStr">
        <is>
          <t>HR-A / HR-AZ series</t>
        </is>
      </c>
      <c r="E249" s="2" t="inlineStr">
        <is>
          <t>0.1 mg analytical balances</t>
        </is>
      </c>
    </row>
    <row r="250">
      <c r="A250" s="2" t="n">
        <v>83</v>
      </c>
      <c r="B250" s="2" t="inlineStr">
        <is>
          <t>A&amp;D Company (A&amp;D HOLON Holdings)</t>
        </is>
      </c>
      <c r="C250" s="2" t="n">
        <v>3</v>
      </c>
      <c r="D250" s="2" t="inlineStr">
        <is>
          <t>MX-50 / MS-70 moisture analyzers</t>
        </is>
      </c>
      <c r="E250" s="2" t="inlineStr">
        <is>
          <t>halogen-lamp moisture balances</t>
        </is>
      </c>
    </row>
    <row r="251">
      <c r="A251" s="2" t="n">
        <v>84</v>
      </c>
      <c r="B251" s="2" t="inlineStr">
        <is>
          <t>Gilson</t>
        </is>
      </c>
      <c r="C251" s="2" t="n">
        <v>1</v>
      </c>
      <c r="D251" s="2" t="inlineStr">
        <is>
          <t>PIPETMAN L / G / P</t>
        </is>
      </c>
      <c r="E251" s="2" t="inlineStr">
        <is>
          <t>manual air-displacement micropipettes</t>
        </is>
      </c>
    </row>
    <row r="252">
      <c r="A252" s="2" t="n">
        <v>84</v>
      </c>
      <c r="B252" s="2" t="inlineStr">
        <is>
          <t>Gilson</t>
        </is>
      </c>
      <c r="C252" s="2" t="n">
        <v>2</v>
      </c>
      <c r="D252" s="2" t="inlineStr">
        <is>
          <t>PLC 2050 / 2250 purification systems</t>
        </is>
      </c>
      <c r="E252" s="2" t="inlineStr">
        <is>
          <t>preparative HPLC / flash purification</t>
        </is>
      </c>
    </row>
    <row r="253">
      <c r="A253" s="2" t="n">
        <v>84</v>
      </c>
      <c r="B253" s="2" t="inlineStr">
        <is>
          <t>Gilson</t>
        </is>
      </c>
      <c r="C253" s="2" t="n">
        <v>3</v>
      </c>
      <c r="D253" s="2" t="inlineStr">
        <is>
          <t>GX-271 / GX-274 ASPEC</t>
        </is>
      </c>
      <c r="E253" s="2" t="inlineStr">
        <is>
          <t>liquid-handling and SPE automation platforms</t>
        </is>
      </c>
    </row>
    <row r="254">
      <c r="A254" s="2" t="n">
        <v>85</v>
      </c>
      <c r="B254" s="2" t="inlineStr">
        <is>
          <t>INTEGRA Biosciences</t>
        </is>
      </c>
      <c r="C254" s="2" t="n">
        <v>1</v>
      </c>
      <c r="D254" s="2" t="inlineStr">
        <is>
          <t>VIAFLO / VOYAGER</t>
        </is>
      </c>
      <c r="E254" s="2" t="inlineStr">
        <is>
          <t>electronic single- and multichannel pipettes</t>
        </is>
      </c>
    </row>
    <row r="255">
      <c r="A255" s="2" t="n">
        <v>85</v>
      </c>
      <c r="B255" s="2" t="inlineStr">
        <is>
          <t>INTEGRA Biosciences</t>
        </is>
      </c>
      <c r="C255" s="2" t="n">
        <v>2</v>
      </c>
      <c r="D255" s="2" t="inlineStr">
        <is>
          <t>ASSIST PLUS</t>
        </is>
      </c>
      <c r="E255" s="2" t="inlineStr">
        <is>
          <t>benchtop pipetting robot for electronic pipettes</t>
        </is>
      </c>
    </row>
    <row r="256">
      <c r="A256" s="2" t="n">
        <v>85</v>
      </c>
      <c r="B256" s="2" t="inlineStr">
        <is>
          <t>INTEGRA Biosciences</t>
        </is>
      </c>
      <c r="C256" s="2" t="n">
        <v>3</v>
      </c>
      <c r="D256" s="2" t="inlineStr">
        <is>
          <t>VACUSAFE / MEDIACLAVE</t>
        </is>
      </c>
      <c r="E256" s="2" t="inlineStr">
        <is>
          <t>aspiration system and media sterilizer/preparator</t>
        </is>
      </c>
    </row>
    <row r="257">
      <c r="A257" s="2" t="n">
        <v>86</v>
      </c>
      <c r="B257" s="2" t="inlineStr">
        <is>
          <t>BMG LABTECH</t>
        </is>
      </c>
      <c r="C257" s="2" t="n">
        <v>1</v>
      </c>
      <c r="D257" s="2" t="inlineStr">
        <is>
          <t>CLARIOstar Plus</t>
        </is>
      </c>
      <c r="E257" s="2" t="inlineStr">
        <is>
          <t>monochromator-based multi-mode microplate reader</t>
        </is>
      </c>
    </row>
    <row r="258">
      <c r="A258" s="2" t="n">
        <v>86</v>
      </c>
      <c r="B258" s="2" t="inlineStr">
        <is>
          <t>BMG LABTECH</t>
        </is>
      </c>
      <c r="C258" s="2" t="n">
        <v>2</v>
      </c>
      <c r="D258" s="2" t="inlineStr">
        <is>
          <t>PHERAstar FSX</t>
        </is>
      </c>
      <c r="E258" s="2" t="inlineStr">
        <is>
          <t>high-throughput screening multi-mode plate reader</t>
        </is>
      </c>
    </row>
    <row r="259">
      <c r="A259" s="2" t="n">
        <v>86</v>
      </c>
      <c r="B259" s="2" t="inlineStr">
        <is>
          <t>BMG LABTECH</t>
        </is>
      </c>
      <c r="C259" s="2" t="n">
        <v>3</v>
      </c>
      <c r="D259" s="2" t="inlineStr">
        <is>
          <t>Omega series (FLUOstar / POLARstar / SPECTROstar Nano)</t>
        </is>
      </c>
      <c r="E259" s="2" t="inlineStr">
        <is>
          <t>filter-based and absorbance microplate readers</t>
        </is>
      </c>
    </row>
    <row r="260">
      <c r="A260" s="2" t="n">
        <v>87</v>
      </c>
      <c r="B260" s="2" t="inlineStr">
        <is>
          <t>Repligen</t>
        </is>
      </c>
      <c r="C260" s="2" t="n">
        <v>1</v>
      </c>
      <c r="D260" s="2" t="inlineStr">
        <is>
          <t>XCell ATF</t>
        </is>
      </c>
      <c r="E260" s="2" t="inlineStr">
        <is>
          <t>alternating tangential flow cell-retention systems</t>
        </is>
      </c>
    </row>
    <row r="261">
      <c r="A261" s="2" t="n">
        <v>87</v>
      </c>
      <c r="B261" s="2" t="inlineStr">
        <is>
          <t>Repligen</t>
        </is>
      </c>
      <c r="C261" s="2" t="n">
        <v>2</v>
      </c>
      <c r="D261" s="2" t="inlineStr">
        <is>
          <t>OPUS pre-packed columns</t>
        </is>
      </c>
      <c r="E261" s="2" t="inlineStr">
        <is>
          <t>ready-to-use chromatography columns</t>
        </is>
      </c>
    </row>
    <row r="262">
      <c r="A262" s="2" t="n">
        <v>87</v>
      </c>
      <c r="B262" s="2" t="inlineStr">
        <is>
          <t>Repligen</t>
        </is>
      </c>
      <c r="C262" s="2" t="n">
        <v>3</v>
      </c>
      <c r="D262" s="2" t="inlineStr">
        <is>
          <t>CTech FlowVPX / SoloVPE</t>
        </is>
      </c>
      <c r="E262" s="2" t="inlineStr">
        <is>
          <t>variable-pathlength UV concentration analytics</t>
        </is>
      </c>
    </row>
    <row r="263">
      <c r="A263" s="2" t="n">
        <v>88</v>
      </c>
      <c r="B263" s="2" t="inlineStr">
        <is>
          <t>ZwickRoell</t>
        </is>
      </c>
      <c r="C263" s="2" t="n">
        <v>1</v>
      </c>
      <c r="D263" s="2" t="inlineStr">
        <is>
          <t>AllroundLine / ProLine (Z-series)</t>
        </is>
      </c>
      <c r="E263" s="2" t="inlineStr">
        <is>
          <t>universal static materials testing machines</t>
        </is>
      </c>
    </row>
    <row r="264">
      <c r="A264" s="2" t="n">
        <v>88</v>
      </c>
      <c r="B264" s="2" t="inlineStr">
        <is>
          <t>ZwickRoell</t>
        </is>
      </c>
      <c r="C264" s="2" t="n">
        <v>2</v>
      </c>
      <c r="D264" s="2" t="inlineStr">
        <is>
          <t>testXpert III</t>
        </is>
      </c>
      <c r="E264" s="2" t="inlineStr">
        <is>
          <t>materials testing software platform</t>
        </is>
      </c>
    </row>
    <row r="265">
      <c r="A265" s="2" t="n">
        <v>88</v>
      </c>
      <c r="B265" s="2" t="inlineStr">
        <is>
          <t>ZwickRoell</t>
        </is>
      </c>
      <c r="C265" s="2" t="n">
        <v>3</v>
      </c>
      <c r="D265" s="2" t="inlineStr">
        <is>
          <t>HIT pendulum impact testers &amp; ZHU/DuraScan hardness testers</t>
        </is>
      </c>
      <c r="E265" s="2" t="inlineStr">
        <is>
          <t>impact and hardness testing instruments</t>
        </is>
      </c>
    </row>
    <row r="266">
      <c r="A266" s="2" t="n">
        <v>89</v>
      </c>
      <c r="B266" s="2" t="inlineStr">
        <is>
          <t>Kewaunee Scientific</t>
        </is>
      </c>
      <c r="C266" s="2" t="n">
        <v>1</v>
      </c>
      <c r="D266" s="2" t="inlineStr">
        <is>
          <t>Supreme Air fume hoods</t>
        </is>
      </c>
      <c r="E266" s="2" t="inlineStr">
        <is>
          <t>low-velocity / high-performance laboratory fume hoods</t>
        </is>
      </c>
    </row>
    <row r="267">
      <c r="A267" s="2" t="n">
        <v>89</v>
      </c>
      <c r="B267" s="2" t="inlineStr">
        <is>
          <t>Kewaunee Scientific</t>
        </is>
      </c>
      <c r="C267" s="2" t="n">
        <v>2</v>
      </c>
      <c r="D267" s="2" t="inlineStr">
        <is>
          <t>Evolution / Research Collection casework</t>
        </is>
      </c>
      <c r="E267" s="2" t="inlineStr">
        <is>
          <t>adaptable steel and wood laboratory furniture</t>
        </is>
      </c>
    </row>
    <row r="268">
      <c r="A268" s="2" t="n">
        <v>89</v>
      </c>
      <c r="B268" s="2" t="inlineStr">
        <is>
          <t>Kewaunee Scientific</t>
        </is>
      </c>
      <c r="C268" s="2" t="n">
        <v>3</v>
      </c>
      <c r="D268" s="2" t="inlineStr">
        <is>
          <t>NuAire biosafety cabinets (LabGard)</t>
        </is>
      </c>
      <c r="E268" s="2" t="inlineStr">
        <is>
          <t>Class II biological safety cabinets (NuAire subsidiary)</t>
        </is>
      </c>
    </row>
    <row r="269">
      <c r="A269" s="2" t="n">
        <v>90</v>
      </c>
      <c r="B269" s="2" t="inlineStr">
        <is>
          <t>WALDNER Laboreinrichtungen</t>
        </is>
      </c>
      <c r="C269" s="2" t="n">
        <v>1</v>
      </c>
      <c r="D269" s="2" t="inlineStr">
        <is>
          <t>SCALA</t>
        </is>
      </c>
      <c r="E269" s="2" t="inlineStr">
        <is>
          <t>modular laboratory furniture system</t>
        </is>
      </c>
    </row>
    <row r="270">
      <c r="A270" s="2" t="n">
        <v>90</v>
      </c>
      <c r="B270" s="2" t="inlineStr">
        <is>
          <t>WALDNER Laboreinrichtungen</t>
        </is>
      </c>
      <c r="C270" s="2" t="n">
        <v>2</v>
      </c>
      <c r="D270" s="2" t="inlineStr">
        <is>
          <t>SECUFLOW</t>
        </is>
      </c>
      <c r="E270" s="2" t="inlineStr">
        <is>
          <t>energy-saving laboratory fume hoods</t>
        </is>
      </c>
    </row>
    <row r="271">
      <c r="A271" s="2" t="n">
        <v>90</v>
      </c>
      <c r="B271" s="2" t="inlineStr">
        <is>
          <t>WALDNER Laboreinrichtungen</t>
        </is>
      </c>
      <c r="C271" s="2" t="n">
        <v>3</v>
      </c>
      <c r="D271" s="2" t="inlineStr">
        <is>
          <t>Media ceilings &amp; service modules</t>
        </is>
      </c>
      <c r="E271" s="2" t="inlineStr">
        <is>
          <t>ceiling-mounted lab utility supply systems</t>
        </is>
      </c>
    </row>
    <row r="272">
      <c r="A272" s="2" t="n">
        <v>91</v>
      </c>
      <c r="B272" s="2" t="inlineStr">
        <is>
          <t>DWK Life Sciences</t>
        </is>
      </c>
      <c r="C272" s="2" t="n">
        <v>1</v>
      </c>
      <c r="D272" s="2" t="inlineStr">
        <is>
          <t>DURAN laboratory glass bottles</t>
        </is>
      </c>
      <c r="E272" s="2" t="inlineStr">
        <is>
          <t>GL 45 borosilicate 3.3 bottles &amp; lab glassware</t>
        </is>
      </c>
    </row>
    <row r="273">
      <c r="A273" s="2" t="n">
        <v>91</v>
      </c>
      <c r="B273" s="2" t="inlineStr">
        <is>
          <t>DWK Life Sciences</t>
        </is>
      </c>
      <c r="C273" s="2" t="n">
        <v>2</v>
      </c>
      <c r="D273" s="2" t="inlineStr">
        <is>
          <t>WHEATON vials &amp; serum bottles</t>
        </is>
      </c>
      <c r="E273" s="2" t="inlineStr">
        <is>
          <t>glass vials, serum bottles, packaging</t>
        </is>
      </c>
    </row>
    <row r="274">
      <c r="A274" s="2" t="n">
        <v>91</v>
      </c>
      <c r="B274" s="2" t="inlineStr">
        <is>
          <t>DWK Life Sciences</t>
        </is>
      </c>
      <c r="C274" s="2" t="n">
        <v>3</v>
      </c>
      <c r="D274" s="2" t="inlineStr">
        <is>
          <t>KIMBLE KIMAX glassware</t>
        </is>
      </c>
      <c r="E274" s="2" t="inlineStr">
        <is>
          <t>volumetric &amp; general laboratory glassware</t>
        </is>
      </c>
    </row>
    <row r="275">
      <c r="A275" s="2" t="n">
        <v>92</v>
      </c>
      <c r="B275" s="2" t="inlineStr">
        <is>
          <t>Greiner Bio-One</t>
        </is>
      </c>
      <c r="C275" s="2" t="n">
        <v>1</v>
      </c>
      <c r="D275" s="2" t="inlineStr">
        <is>
          <t>VACUETTE</t>
        </is>
      </c>
      <c r="E275" s="2" t="inlineStr">
        <is>
          <t>evacuated blood collection tubes &amp; safety needles</t>
        </is>
      </c>
    </row>
    <row r="276">
      <c r="A276" s="2" t="n">
        <v>92</v>
      </c>
      <c r="B276" s="2" t="inlineStr">
        <is>
          <t>Greiner Bio-One</t>
        </is>
      </c>
      <c r="C276" s="2" t="n">
        <v>2</v>
      </c>
      <c r="D276" s="2" t="inlineStr">
        <is>
          <t>CELLSTAR</t>
        </is>
      </c>
      <c r="E276" s="2" t="inlineStr">
        <is>
          <t>cell culture flasks, dishes &amp; plates</t>
        </is>
      </c>
    </row>
    <row r="277">
      <c r="A277" s="2" t="n">
        <v>92</v>
      </c>
      <c r="B277" s="2" t="inlineStr">
        <is>
          <t>Greiner Bio-One</t>
        </is>
      </c>
      <c r="C277" s="2" t="n">
        <v>3</v>
      </c>
      <c r="D277" s="2" t="inlineStr">
        <is>
          <t>Sapphire tips &amp; µClear microplates</t>
        </is>
      </c>
      <c r="E277" s="2" t="inlineStr">
        <is>
          <t>pipette tips, PCR &amp; assay microplates</t>
        </is>
      </c>
    </row>
    <row r="278">
      <c r="A278" s="2" t="n">
        <v>93</v>
      </c>
      <c r="B278" s="2" t="inlineStr">
        <is>
          <t>SARSTEDT</t>
        </is>
      </c>
      <c r="C278" s="2" t="n">
        <v>1</v>
      </c>
      <c r="D278" s="2" t="inlineStr">
        <is>
          <t>S-Monovette</t>
        </is>
      </c>
      <c r="E278" s="2" t="inlineStr">
        <is>
          <t>venous blood collection system</t>
        </is>
      </c>
    </row>
    <row r="279">
      <c r="A279" s="2" t="n">
        <v>93</v>
      </c>
      <c r="B279" s="2" t="inlineStr">
        <is>
          <t>SARSTEDT</t>
        </is>
      </c>
      <c r="C279" s="2" t="n">
        <v>2</v>
      </c>
      <c r="D279" s="2" t="inlineStr">
        <is>
          <t>Microvette &amp; Salivette</t>
        </is>
      </c>
      <c r="E279" s="2" t="inlineStr">
        <is>
          <t>capillary blood and saliva collection</t>
        </is>
      </c>
    </row>
    <row r="280">
      <c r="A280" s="2" t="n">
        <v>93</v>
      </c>
      <c r="B280" s="2" t="inlineStr">
        <is>
          <t>SARSTEDT</t>
        </is>
      </c>
      <c r="C280" s="2" t="n">
        <v>3</v>
      </c>
      <c r="D280" s="2" t="inlineStr">
        <is>
          <t>Lab consumables (tubes, tips, cell culture)</t>
        </is>
      </c>
      <c r="E280" s="2" t="inlineStr">
        <is>
          <t>screw-cap tubes, pipette tips, plates</t>
        </is>
      </c>
    </row>
    <row r="281">
      <c r="A281" s="2" t="n">
        <v>94</v>
      </c>
      <c r="B281" s="2" t="inlineStr">
        <is>
          <t>BRAND (incl. VACUUBRAND)</t>
        </is>
      </c>
      <c r="C281" s="2" t="n">
        <v>1</v>
      </c>
      <c r="D281" s="2" t="inlineStr">
        <is>
          <t>Transferpette S / electronic</t>
        </is>
      </c>
      <c r="E281" s="2" t="inlineStr">
        <is>
          <t>single- and multichannel air-displacement pipettes</t>
        </is>
      </c>
    </row>
    <row r="282">
      <c r="A282" s="2" t="n">
        <v>94</v>
      </c>
      <c r="B282" s="2" t="inlineStr">
        <is>
          <t>BRAND (incl. VACUUBRAND)</t>
        </is>
      </c>
      <c r="C282" s="2" t="n">
        <v>2</v>
      </c>
      <c r="D282" s="2" t="inlineStr">
        <is>
          <t>Dispensette S &amp; HandyStep</t>
        </is>
      </c>
      <c r="E282" s="2" t="inlineStr">
        <is>
          <t>bottle-top dispensers and repetitive pipettes</t>
        </is>
      </c>
    </row>
    <row r="283">
      <c r="A283" s="2" t="n">
        <v>94</v>
      </c>
      <c r="B283" s="2" t="inlineStr">
        <is>
          <t>BRAND (incl. VACUUBRAND)</t>
        </is>
      </c>
      <c r="C283" s="2" t="n">
        <v>3</v>
      </c>
      <c r="D283" s="2" t="inlineStr">
        <is>
          <t>BLAUBRAND volumetric glassware</t>
        </is>
      </c>
      <c r="E283" s="2" t="inlineStr">
        <is>
          <t>Class A flasks, pipettes, burettes</t>
        </is>
      </c>
    </row>
    <row r="284">
      <c r="A284" s="2" t="n">
        <v>95</v>
      </c>
      <c r="B284" s="2" t="inlineStr">
        <is>
          <t>Berthold Technologies</t>
        </is>
      </c>
      <c r="C284" s="2" t="n">
        <v>1</v>
      </c>
      <c r="D284" s="2" t="inlineStr">
        <is>
          <t>Tristar 5 / Mithras²</t>
        </is>
      </c>
      <c r="E284" s="2" t="inlineStr">
        <is>
          <t>multimode microplate readers</t>
        </is>
      </c>
    </row>
    <row r="285">
      <c r="A285" s="2" t="n">
        <v>95</v>
      </c>
      <c r="B285" s="2" t="inlineStr">
        <is>
          <t>Berthold Technologies</t>
        </is>
      </c>
      <c r="C285" s="2" t="n">
        <v>2</v>
      </c>
      <c r="D285" s="2" t="inlineStr">
        <is>
          <t>Lumat³ LB 9508 / Centro</t>
        </is>
      </c>
      <c r="E285" s="2" t="inlineStr">
        <is>
          <t>tube and microplate luminometers</t>
        </is>
      </c>
    </row>
    <row r="286">
      <c r="A286" s="2" t="n">
        <v>95</v>
      </c>
      <c r="B286" s="2" t="inlineStr">
        <is>
          <t>Berthold Technologies</t>
        </is>
      </c>
      <c r="C286" s="2" t="n">
        <v>3</v>
      </c>
      <c r="D286" s="2" t="inlineStr">
        <is>
          <t>LB 124 SCINT &amp; process gauges</t>
        </is>
      </c>
      <c r="E286" s="2" t="inlineStr">
        <is>
          <t>contamination monitors, level/density gauges</t>
        </is>
      </c>
    </row>
    <row r="287">
      <c r="A287" s="2" t="n">
        <v>96</v>
      </c>
      <c r="B287" s="2" t="inlineStr">
        <is>
          <t>INFORS HT</t>
        </is>
      </c>
      <c r="C287" s="2" t="n">
        <v>1</v>
      </c>
      <c r="D287" s="2" t="inlineStr">
        <is>
          <t>Multitron</t>
        </is>
      </c>
      <c r="E287" s="2" t="inlineStr">
        <is>
          <t>stackable incubator shaker for cell culture</t>
        </is>
      </c>
    </row>
    <row r="288">
      <c r="A288" s="2" t="n">
        <v>96</v>
      </c>
      <c r="B288" s="2" t="inlineStr">
        <is>
          <t>INFORS HT</t>
        </is>
      </c>
      <c r="C288" s="2" t="n">
        <v>2</v>
      </c>
      <c r="D288" s="2" t="inlineStr">
        <is>
          <t>Minifors 2 / Labfors 5</t>
        </is>
      </c>
      <c r="E288" s="2" t="inlineStr">
        <is>
          <t>benchtop bioreactors &amp; fermenters</t>
        </is>
      </c>
    </row>
    <row r="289">
      <c r="A289" s="2" t="n">
        <v>96</v>
      </c>
      <c r="B289" s="2" t="inlineStr">
        <is>
          <t>INFORS HT</t>
        </is>
      </c>
      <c r="C289" s="2" t="n">
        <v>3</v>
      </c>
      <c r="D289" s="2" t="inlineStr">
        <is>
          <t>eve</t>
        </is>
      </c>
      <c r="E289" s="2" t="inlineStr">
        <is>
          <t>bioprocess platform software</t>
        </is>
      </c>
    </row>
    <row r="290">
      <c r="A290" s="2" t="n">
        <v>97</v>
      </c>
      <c r="B290" s="2" t="inlineStr">
        <is>
          <t>Nabertherm</t>
        </is>
      </c>
      <c r="C290" s="2" t="n">
        <v>1</v>
      </c>
      <c r="D290" s="2" t="inlineStr">
        <is>
          <t>L / LE / LT muffle furnaces</t>
        </is>
      </c>
      <c r="E290" s="2" t="inlineStr">
        <is>
          <t>laboratory muffle furnaces up to 1,300 °C</t>
        </is>
      </c>
    </row>
    <row r="291">
      <c r="A291" s="2" t="n">
        <v>97</v>
      </c>
      <c r="B291" s="2" t="inlineStr">
        <is>
          <t>Nabertherm</t>
        </is>
      </c>
      <c r="C291" s="2" t="n">
        <v>2</v>
      </c>
      <c r="D291" s="2" t="inlineStr">
        <is>
          <t>RT / RS tube furnaces</t>
        </is>
      </c>
      <c r="E291" s="2" t="inlineStr">
        <is>
          <t>compact and rotary tube furnaces</t>
        </is>
      </c>
    </row>
    <row r="292">
      <c r="A292" s="2" t="n">
        <v>97</v>
      </c>
      <c r="B292" s="2" t="inlineStr">
        <is>
          <t>Nabertherm</t>
        </is>
      </c>
      <c r="C292" s="2" t="n">
        <v>3</v>
      </c>
      <c r="D292" s="2" t="inlineStr">
        <is>
          <t>LHT / HTC high-temperature furnaces</t>
        </is>
      </c>
      <c r="E292" s="2" t="inlineStr">
        <is>
          <t>chamber furnaces up to 1,800 °C</t>
        </is>
      </c>
    </row>
    <row r="293">
      <c r="A293" s="2" t="n">
        <v>98</v>
      </c>
      <c r="B293" s="2" t="inlineStr">
        <is>
          <t>ELGA LabWater (Veolia)</t>
        </is>
      </c>
      <c r="C293" s="2" t="n">
        <v>1</v>
      </c>
      <c r="D293" s="2" t="inlineStr">
        <is>
          <t>PURELAB flex / Quest</t>
        </is>
      </c>
      <c r="E293" s="2" t="inlineStr">
        <is>
          <t>Type I ultrapure lab water systems</t>
        </is>
      </c>
    </row>
    <row r="294">
      <c r="A294" s="2" t="n">
        <v>98</v>
      </c>
      <c r="B294" s="2" t="inlineStr">
        <is>
          <t>ELGA LabWater (Veolia)</t>
        </is>
      </c>
      <c r="C294" s="2" t="n">
        <v>2</v>
      </c>
      <c r="D294" s="2" t="inlineStr">
        <is>
          <t>PURELAB Chorus</t>
        </is>
      </c>
      <c r="E294" s="2" t="inlineStr">
        <is>
          <t>modular Type I/II/III purification range</t>
        </is>
      </c>
    </row>
    <row r="295">
      <c r="A295" s="2" t="n">
        <v>98</v>
      </c>
      <c r="B295" s="2" t="inlineStr">
        <is>
          <t>ELGA LabWater (Veolia)</t>
        </is>
      </c>
      <c r="C295" s="2" t="n">
        <v>3</v>
      </c>
      <c r="D295" s="2" t="inlineStr">
        <is>
          <t>MEDICA</t>
        </is>
      </c>
      <c r="E295" s="2" t="inlineStr">
        <is>
          <t>clinical analyzer feed-water systems</t>
        </is>
      </c>
    </row>
    <row r="296">
      <c r="A296" s="2" t="n">
        <v>99</v>
      </c>
      <c r="B296" s="2" t="inlineStr">
        <is>
          <t>ATS Scientific Products (ex-SP Industries)</t>
        </is>
      </c>
      <c r="C296" s="2" t="n">
        <v>1</v>
      </c>
      <c r="D296" s="2" t="inlineStr">
        <is>
          <t>SP VirTis &amp; SP Hull freeze dryers</t>
        </is>
      </c>
      <c r="E296" s="2" t="inlineStr">
        <is>
          <t>lab-to-production lyophilizers (LyoStar, Genesis, AdVantage)</t>
        </is>
      </c>
    </row>
    <row r="297">
      <c r="A297" s="2" t="n">
        <v>99</v>
      </c>
      <c r="B297" s="2" t="inlineStr">
        <is>
          <t>ATS Scientific Products (ex-SP Industries)</t>
        </is>
      </c>
      <c r="C297" s="2" t="n">
        <v>2</v>
      </c>
      <c r="D297" s="2" t="inlineStr">
        <is>
          <t>SP Genevac EZ-2 / HT series</t>
        </is>
      </c>
      <c r="E297" s="2" t="inlineStr">
        <is>
          <t>centrifugal solvent evaporators</t>
        </is>
      </c>
    </row>
    <row r="298">
      <c r="A298" s="2" t="n">
        <v>99</v>
      </c>
      <c r="B298" s="2" t="inlineStr">
        <is>
          <t>ATS Scientific Products (ex-SP Industries)</t>
        </is>
      </c>
      <c r="C298" s="2" t="n">
        <v>3</v>
      </c>
      <c r="D298" s="2" t="inlineStr">
        <is>
          <t>SP Bel-Art &amp; Wilmad-LabGlass</t>
        </is>
      </c>
      <c r="E298" s="2" t="inlineStr">
        <is>
          <t>plastic labware, desiccators, NMR tubes</t>
        </is>
      </c>
    </row>
    <row r="299">
      <c r="A299" s="2" t="n">
        <v>100</v>
      </c>
      <c r="B299" s="2" t="inlineStr">
        <is>
          <t>RADWAG</t>
        </is>
      </c>
      <c r="C299" s="2" t="n">
        <v>1</v>
      </c>
      <c r="D299" s="2" t="inlineStr">
        <is>
          <t>MYA 5Y microbalances</t>
        </is>
      </c>
      <c r="E299" s="2" t="inlineStr">
        <is>
          <t>1 µg / 0.1 µg microbalances &amp; ultra-microbalances</t>
        </is>
      </c>
    </row>
    <row r="300">
      <c r="A300" s="2" t="n">
        <v>100</v>
      </c>
      <c r="B300" s="2" t="inlineStr">
        <is>
          <t>RADWAG</t>
        </is>
      </c>
      <c r="C300" s="2" t="n">
        <v>2</v>
      </c>
      <c r="D300" s="2" t="inlineStr">
        <is>
          <t>XA 5Y / AS X7 analytical balances</t>
        </is>
      </c>
      <c r="E300" s="2" t="inlineStr">
        <is>
          <t>0.01-0.1 mg analytical balances</t>
        </is>
      </c>
    </row>
    <row r="301">
      <c r="A301" s="2" t="n">
        <v>100</v>
      </c>
      <c r="B301" s="2" t="inlineStr">
        <is>
          <t>RADWAG</t>
        </is>
      </c>
      <c r="C301" s="2" t="n">
        <v>3</v>
      </c>
      <c r="D301" s="2" t="inlineStr">
        <is>
          <t>PS X7 precision balances &amp; mass comparators</t>
        </is>
      </c>
      <c r="E301" s="2" t="inlineStr">
        <is>
          <t>precision weighing and metrology</t>
        </is>
      </c>
    </row>
  </sheetData>
  <autoFilter ref="A1:E3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9"/>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8" customWidth="1" min="2" max="2"/>
    <col width="12" customWidth="1" min="3" max="3"/>
    <col width="28" customWidth="1" min="4" max="4"/>
    <col width="10" customWidth="1" min="5" max="5"/>
    <col width="7" customWidth="1" min="6" max="6"/>
    <col width="30" customWidth="1" min="7" max="7"/>
    <col width="60" customWidth="1" min="8" max="8"/>
  </cols>
  <sheetData>
    <row r="1">
      <c r="A1" s="4" t="inlineStr">
        <is>
          <t>גוף ישראלי / Israeli entity</t>
        </is>
      </c>
      <c r="B1" s="4" t="inlineStr">
        <is>
          <t>שם בעברית</t>
        </is>
      </c>
      <c r="C1" s="4" t="inlineStr">
        <is>
          <t>סוג / Type</t>
        </is>
      </c>
      <c r="D1" s="4" t="inlineStr">
        <is>
          <t>אתר / Website</t>
        </is>
      </c>
      <c r="E1" s="4" t="inlineStr">
        <is>
          <t>מס׳ יצרנים / # makers</t>
        </is>
      </c>
      <c r="F1" s="4" t="inlineStr">
        <is>
          <t># יצרן</t>
        </is>
      </c>
      <c r="G1" s="4" t="inlineStr">
        <is>
          <t>יצרן / Manufacturer</t>
        </is>
      </c>
      <c r="H1" s="4" t="inlineStr">
        <is>
          <t>תחום / Scope</t>
        </is>
      </c>
    </row>
    <row r="2">
      <c r="A2" s="2" t="inlineStr">
        <is>
          <t>Agentek Ltd.</t>
        </is>
      </c>
      <c r="B2" s="2" t="inlineStr">
        <is>
          <t>אגנטק</t>
        </is>
      </c>
      <c r="C2" s="2" t="inlineStr">
        <is>
          <t>מפיץ</t>
        </is>
      </c>
      <c r="D2" s="2" t="inlineStr">
        <is>
          <t>https://agentek.co.il</t>
        </is>
      </c>
      <c r="E2" s="2" t="n">
        <v>6</v>
      </c>
      <c r="F2" s="2" t="n">
        <v>6</v>
      </c>
      <c r="G2" s="2" t="inlineStr">
        <is>
          <t>Shimadzu Corporation</t>
        </is>
      </c>
      <c r="H2" s="2" t="inlineStr">
        <is>
          <t>analytical instruments - HPLC/UHPLC (i-Series LC-2070/LC-2080), LC-MS (LCMS-9050, LCMS-8065XE), GC (Nexis GC-2060), XRF (ALTRACE) per Agentek's product pages</t>
        </is>
      </c>
    </row>
    <row r="3">
      <c r="A3" s="2" t="inlineStr">
        <is>
          <t>Agentek Ltd.</t>
        </is>
      </c>
      <c r="B3" s="2" t="inlineStr">
        <is>
          <t>אגנטק</t>
        </is>
      </c>
      <c r="C3" s="2" t="inlineStr">
        <is>
          <t>מפיץ</t>
        </is>
      </c>
      <c r="D3" s="2" t="inlineStr">
        <is>
          <t>https://agentek.co.il</t>
        </is>
      </c>
      <c r="E3" s="2" t="n">
        <v>6</v>
      </c>
      <c r="F3" s="2" t="n">
        <v>7</v>
      </c>
      <c r="G3" s="2" t="inlineStr">
        <is>
          <t>Mettler-Toledo International</t>
        </is>
      </c>
      <c r="H3" s="2" t="inlineStr">
        <is>
          <t>laboratory weighing (balances) per mt.com Israel page; Agentek's own site also shows Rainin pipettes (distributing since replacing Gilson), titration/automated chemistry (reactor sampling), FreeWeigh.NET and industrial scales; Euro Park Yakum, sales +972 9 9657000, service +972 9 9657007</t>
        </is>
      </c>
    </row>
    <row r="4">
      <c r="A4" s="2" t="inlineStr">
        <is>
          <t>Agentek Ltd.</t>
        </is>
      </c>
      <c r="B4" s="2" t="inlineStr">
        <is>
          <t>אגנטק</t>
        </is>
      </c>
      <c r="C4" s="2" t="inlineStr">
        <is>
          <t>מפיץ</t>
        </is>
      </c>
      <c r="D4" s="2" t="inlineStr">
        <is>
          <t>https://agentek.co.il</t>
        </is>
      </c>
      <c r="E4" s="2" t="n">
        <v>6</v>
      </c>
      <c r="F4" s="2" t="n">
        <v>35</v>
      </c>
      <c r="G4" s="2" t="inlineStr">
        <is>
          <t>Nikon – Healthcare Business (Nikon Instruments)</t>
        </is>
      </c>
      <c r="H4" s="2" t="inlineStr">
        <is>
          <t>Nikon research microscopes (AX/AXR confocal, AXR MP multiphoton, ECLIPSE Ji, CFI60 objectives); listed as Nikon's Israel contact in Nikon Healthcare's microscope contact directory (Atidim Scientific Park Bldg 2, Tel Aviv, +972-3-649-3111, sales1@agentek.co.il) and has a Nikon 'representative' page on its own site.</t>
        </is>
      </c>
    </row>
    <row r="5">
      <c r="A5" s="2" t="inlineStr">
        <is>
          <t>Agentek Ltd.</t>
        </is>
      </c>
      <c r="B5" s="2" t="inlineStr">
        <is>
          <t>אגנטק</t>
        </is>
      </c>
      <c r="C5" s="2" t="inlineStr">
        <is>
          <t>מפיץ</t>
        </is>
      </c>
      <c r="D5" s="2" t="inlineStr">
        <is>
          <t>https://agentek.co.il</t>
        </is>
      </c>
      <c r="E5" s="2" t="n">
        <v>6</v>
      </c>
      <c r="F5" s="2" t="n">
        <v>45</v>
      </c>
      <c r="G5" s="2" t="inlineStr">
        <is>
          <t>LECO Corporation</t>
        </is>
      </c>
      <c r="H5" s="2" t="inlineStr">
        <is>
          <t>LECO analytical instruments, mass spectrometers and metallography (Agentek LECO representative page)</t>
        </is>
      </c>
    </row>
    <row r="6">
      <c r="A6" s="2" t="inlineStr">
        <is>
          <t>Agentek Ltd.</t>
        </is>
      </c>
      <c r="B6" s="2" t="inlineStr">
        <is>
          <t>אגנטק</t>
        </is>
      </c>
      <c r="C6" s="2" t="inlineStr">
        <is>
          <t>מפיץ</t>
        </is>
      </c>
      <c r="D6" s="2" t="inlineStr">
        <is>
          <t>https://agentek.co.il</t>
        </is>
      </c>
      <c r="E6" s="2" t="n">
        <v>6</v>
      </c>
      <c r="F6" s="2" t="n">
        <v>80</v>
      </c>
      <c r="G6" s="2" t="inlineStr">
        <is>
          <t>SPT Labtech</t>
        </is>
      </c>
      <c r="H6" s="2" t="inlineStr">
        <is>
          <t>SPT Labtech distributor for Israel (listed on sptlabtech.com/distributors; Agentek has an SPT Labtech brand page)</t>
        </is>
      </c>
    </row>
    <row r="7">
      <c r="A7" s="2" t="inlineStr">
        <is>
          <t>Agentek Ltd.</t>
        </is>
      </c>
      <c r="B7" s="2" t="inlineStr">
        <is>
          <t>אגנטק</t>
        </is>
      </c>
      <c r="C7" s="2" t="inlineStr">
        <is>
          <t>מפיץ</t>
        </is>
      </c>
      <c r="D7" s="2" t="inlineStr">
        <is>
          <t>https://agentek.co.il</t>
        </is>
      </c>
      <c r="E7" s="2" t="n">
        <v>6</v>
      </c>
      <c r="F7" s="2" t="n">
        <v>84</v>
      </c>
      <c r="G7" s="2" t="inlineStr">
        <is>
          <t>Gilson</t>
        </is>
      </c>
      <c r="H7" s="2" t="inlineStr">
        <is>
          <t>Gilson liquid handling (per Agentek vendors list)</t>
        </is>
      </c>
    </row>
    <row r="8">
      <c r="A8" s="2" t="inlineStr">
        <is>
          <t>Danyel Biotech</t>
        </is>
      </c>
      <c r="B8" s="2" t="inlineStr">
        <is>
          <t>דניאל ביוטק</t>
        </is>
      </c>
      <c r="C8" s="2" t="inlineStr">
        <is>
          <t>מפיץ</t>
        </is>
      </c>
      <c r="D8" s="2" t="inlineStr">
        <is>
          <t>https://www.danyel.co.il</t>
        </is>
      </c>
      <c r="E8" s="2" t="n">
        <v>6</v>
      </c>
      <c r="F8" s="2" t="n">
        <v>1</v>
      </c>
      <c r="G8" s="2" t="inlineStr">
        <is>
          <t>Thermo Fisher Scientific</t>
        </is>
      </c>
      <c r="H8" s="2" t="inlineStr">
        <is>
          <t>Olink proteomics (a Thermo Fisher business)</t>
        </is>
      </c>
    </row>
    <row r="9">
      <c r="A9" s="2" t="inlineStr">
        <is>
          <t>Danyel Biotech</t>
        </is>
      </c>
      <c r="B9" s="2" t="inlineStr">
        <is>
          <t>דניאל ביוטק</t>
        </is>
      </c>
      <c r="C9" s="2" t="inlineStr">
        <is>
          <t>מפיץ</t>
        </is>
      </c>
      <c r="D9" s="2" t="inlineStr">
        <is>
          <t>https://www.danyel.co.il</t>
        </is>
      </c>
      <c r="E9" s="2" t="n">
        <v>6</v>
      </c>
      <c r="F9" s="2" t="n">
        <v>15</v>
      </c>
      <c r="G9" s="2" t="inlineStr">
        <is>
          <t>Illumina</t>
        </is>
      </c>
      <c r="H9" s="2" t="inlineStr">
        <is>
          <t>Illumina sequencers, arrays and reagents (long-standing distributor; 2020 evidence – verify current status)</t>
        </is>
      </c>
    </row>
    <row r="10">
      <c r="A10" s="2" t="inlineStr">
        <is>
          <t>Danyel Biotech</t>
        </is>
      </c>
      <c r="B10" s="2" t="inlineStr">
        <is>
          <t>דניאל ביוטק</t>
        </is>
      </c>
      <c r="C10" s="2" t="inlineStr">
        <is>
          <t>מפיץ</t>
        </is>
      </c>
      <c r="D10" s="2" t="inlineStr">
        <is>
          <t>https://www.danyel.co.il</t>
        </is>
      </c>
      <c r="E10" s="2" t="n">
        <v>6</v>
      </c>
      <c r="F10" s="2" t="n">
        <v>17</v>
      </c>
      <c r="G10" s="2" t="inlineStr">
        <is>
          <t>Cytiva (Danaher)</t>
        </is>
      </c>
      <c r="H10" s="2" t="inlineStr">
        <is>
          <t>Cytiva chromatography (ÄKTA pure) and Biacore; other Cytiva lines (Whatman, Amersham, Pall) not confirmed</t>
        </is>
      </c>
    </row>
    <row r="11">
      <c r="A11" s="2" t="inlineStr">
        <is>
          <t>Danyel Biotech</t>
        </is>
      </c>
      <c r="B11" s="2" t="inlineStr">
        <is>
          <t>דניאל ביוטק</t>
        </is>
      </c>
      <c r="C11" s="2" t="inlineStr">
        <is>
          <t>מפיץ</t>
        </is>
      </c>
      <c r="D11" s="2" t="inlineStr">
        <is>
          <t>https://www.danyel.co.il</t>
        </is>
      </c>
      <c r="E11" s="2" t="n">
        <v>6</v>
      </c>
      <c r="F11" s="2" t="n">
        <v>27</v>
      </c>
      <c r="G11" s="2" t="inlineStr">
        <is>
          <t>10x Genomics</t>
        </is>
      </c>
      <c r="H11" s="2" t="inlineStr">
        <is>
          <t>10x Genomics instruments, reagents and software (Chromium single-cell; Visium/Xenium not seen explicitly)</t>
        </is>
      </c>
    </row>
    <row r="12">
      <c r="A12" s="2" t="inlineStr">
        <is>
          <t>Danyel Biotech</t>
        </is>
      </c>
      <c r="B12" s="2" t="inlineStr">
        <is>
          <t>דניאל ביוטק</t>
        </is>
      </c>
      <c r="C12" s="2" t="inlineStr">
        <is>
          <t>מפיץ</t>
        </is>
      </c>
      <c r="D12" s="2" t="inlineStr">
        <is>
          <t>https://www.danyel.co.il</t>
        </is>
      </c>
      <c r="E12" s="2" t="n">
        <v>6</v>
      </c>
      <c r="F12" s="2" t="n">
        <v>31</v>
      </c>
      <c r="G12" s="2" t="inlineStr">
        <is>
          <t>Hamilton Company</t>
        </is>
      </c>
      <c r="H12" s="2" t="inlineStr">
        <is>
          <t>Hamilton (liquid-handling robotics) listed among the brands on Danyel Biotech's site – scope to confirm</t>
        </is>
      </c>
    </row>
    <row r="13">
      <c r="A13" s="2" t="inlineStr">
        <is>
          <t>Danyel Biotech</t>
        </is>
      </c>
      <c r="B13" s="2" t="inlineStr">
        <is>
          <t>דניאל ביוטק</t>
        </is>
      </c>
      <c r="C13" s="2" t="inlineStr">
        <is>
          <t>מפיץ</t>
        </is>
      </c>
      <c r="D13" s="2" t="inlineStr">
        <is>
          <t>https://www.danyel.co.il</t>
        </is>
      </c>
      <c r="E13" s="2" t="n">
        <v>6</v>
      </c>
      <c r="F13" s="2" t="n">
        <v>92</v>
      </c>
      <c r="G13" s="2" t="inlineStr">
        <is>
          <t>Greiner Bio-One</t>
        </is>
      </c>
      <c r="H13" s="2" t="inlineStr">
        <is>
          <t>Greiner Bio-One plates, tubes and consumables (Danyel brand page)</t>
        </is>
      </c>
    </row>
    <row r="14">
      <c r="A14" s="2" t="inlineStr">
        <is>
          <t>Labotal Scientific Equipment</t>
        </is>
      </c>
      <c r="B14" s="2" t="inlineStr">
        <is>
          <t>לבוטל</t>
        </is>
      </c>
      <c r="C14" s="2" t="inlineStr">
        <is>
          <t>מפיץ</t>
        </is>
      </c>
      <c r="D14" s="2" t="inlineStr">
        <is>
          <t>https://labotal.co.il</t>
        </is>
      </c>
      <c r="E14" s="2" t="n">
        <v>6</v>
      </c>
      <c r="F14" s="2" t="n">
        <v>8</v>
      </c>
      <c r="G14" s="2" t="inlineStr">
        <is>
          <t>Sartorius AG</t>
        </is>
      </c>
      <c r="H14" s="2" t="inlineStr">
        <is>
          <t>self-described exclusive Sartorius representative in Israel for weighing (Cubis II balances) and lab products incl. pipettes</t>
        </is>
      </c>
    </row>
    <row r="15">
      <c r="A15" s="2" t="inlineStr">
        <is>
          <t>Labotal Scientific Equipment</t>
        </is>
      </c>
      <c r="B15" s="2" t="inlineStr">
        <is>
          <t>לבוטל</t>
        </is>
      </c>
      <c r="C15" s="2" t="inlineStr">
        <is>
          <t>מפיץ</t>
        </is>
      </c>
      <c r="D15" s="2" t="inlineStr">
        <is>
          <t>https://labotal.co.il</t>
        </is>
      </c>
      <c r="E15" s="2" t="n">
        <v>6</v>
      </c>
      <c r="F15" s="2" t="n">
        <v>61</v>
      </c>
      <c r="G15" s="2" t="inlineStr">
        <is>
          <t>BINDER</t>
        </is>
      </c>
      <c r="H15" s="2" t="inlineStr">
        <is>
          <t>Binder incubators, drying ovens and climate chambers (Labotal 'firms/binder' page and product pages)</t>
        </is>
      </c>
    </row>
    <row r="16">
      <c r="A16" s="2" t="inlineStr">
        <is>
          <t>Labotal Scientific Equipment</t>
        </is>
      </c>
      <c r="B16" s="2" t="inlineStr">
        <is>
          <t>לבוטל</t>
        </is>
      </c>
      <c r="C16" s="2" t="inlineStr">
        <is>
          <t>מפיץ</t>
        </is>
      </c>
      <c r="D16" s="2" t="inlineStr">
        <is>
          <t>https://labotal.co.il</t>
        </is>
      </c>
      <c r="E16" s="2" t="n">
        <v>6</v>
      </c>
      <c r="F16" s="2" t="n">
        <v>64</v>
      </c>
      <c r="G16" s="2" t="inlineStr">
        <is>
          <t>Heidolph Instruments (ATS Corporation)</t>
        </is>
      </c>
      <c r="H16" s="2" t="inlineStr">
        <is>
          <t>Heidolph rotary evaporators, stirrers and shakers (Labotal joined Heidolph's premium distributor programme)</t>
        </is>
      </c>
    </row>
    <row r="17">
      <c r="A17" s="2" t="inlineStr">
        <is>
          <t>Labotal Scientific Equipment</t>
        </is>
      </c>
      <c r="B17" s="2" t="inlineStr">
        <is>
          <t>לבוטל</t>
        </is>
      </c>
      <c r="C17" s="2" t="inlineStr">
        <is>
          <t>מפיץ</t>
        </is>
      </c>
      <c r="D17" s="2" t="inlineStr">
        <is>
          <t>https://labotal.co.il</t>
        </is>
      </c>
      <c r="E17" s="2" t="n">
        <v>6</v>
      </c>
      <c r="F17" s="2" t="n">
        <v>65</v>
      </c>
      <c r="G17" s="2" t="inlineStr">
        <is>
          <t>JULABO</t>
        </is>
      </c>
      <c r="H17" s="2" t="inlineStr">
        <is>
          <t>JULABO circulators, chillers and baths – Labotal states it is JULABO's exclusive representative in Israel</t>
        </is>
      </c>
    </row>
    <row r="18">
      <c r="A18" s="2" t="inlineStr">
        <is>
          <t>Labotal Scientific Equipment</t>
        </is>
      </c>
      <c r="B18" s="2" t="inlineStr">
        <is>
          <t>לבוטל</t>
        </is>
      </c>
      <c r="C18" s="2" t="inlineStr">
        <is>
          <t>מפיץ</t>
        </is>
      </c>
      <c r="D18" s="2" t="inlineStr">
        <is>
          <t>https://labotal.co.il</t>
        </is>
      </c>
      <c r="E18" s="2" t="n">
        <v>6</v>
      </c>
      <c r="F18" s="2" t="n">
        <v>71</v>
      </c>
      <c r="G18" s="2" t="inlineStr">
        <is>
          <t>Labconco</t>
        </is>
      </c>
      <c r="H18" s="2" t="inlineStr">
        <is>
          <t>Labconco biosafety cabinets and CentriVap concentrators (Labotal product pages)</t>
        </is>
      </c>
    </row>
    <row r="19">
      <c r="A19" s="2" t="inlineStr">
        <is>
          <t>Labotal Scientific Equipment</t>
        </is>
      </c>
      <c r="B19" s="2" t="inlineStr">
        <is>
          <t>לבוטל</t>
        </is>
      </c>
      <c r="C19" s="2" t="inlineStr">
        <is>
          <t>מפיץ</t>
        </is>
      </c>
      <c r="D19" s="2" t="inlineStr">
        <is>
          <t>https://labotal.co.il</t>
        </is>
      </c>
      <c r="E19" s="2" t="n">
        <v>6</v>
      </c>
      <c r="F19" s="2" t="n">
        <v>81</v>
      </c>
      <c r="G19" s="2" t="inlineStr">
        <is>
          <t>OHAUS (Mettler-Toledo)</t>
        </is>
      </c>
      <c r="H19" s="2" t="inlineStr">
        <is>
          <t>OHAUS balances (listed among Labotal's represented firms)</t>
        </is>
      </c>
    </row>
    <row r="20">
      <c r="A20" s="2" t="inlineStr">
        <is>
          <t>Eldan Electronic Instruments</t>
        </is>
      </c>
      <c r="B20" s="2" t="inlineStr">
        <is>
          <t>אלדן</t>
        </is>
      </c>
      <c r="C20" s="2" t="inlineStr">
        <is>
          <t>מפיץ</t>
        </is>
      </c>
      <c r="D20" s="2" t="inlineStr">
        <is>
          <t>https://www.eldan.biz</t>
        </is>
      </c>
      <c r="E20" s="2" t="n">
        <v>5</v>
      </c>
      <c r="F20" s="2" t="n">
        <v>2</v>
      </c>
      <c r="G20" s="2" t="inlineStr">
        <is>
          <t>Agilent Technologies</t>
        </is>
      </c>
      <c r="H20" s="2" t="inlineStr">
        <is>
          <t>Agilent authorised distributor for Israel (chromatography, spectroscopy, mass spectrometry, lab products)</t>
        </is>
      </c>
    </row>
    <row r="21">
      <c r="A21" s="2" t="inlineStr">
        <is>
          <t>Eldan Electronic Instruments</t>
        </is>
      </c>
      <c r="B21" s="2" t="inlineStr">
        <is>
          <t>אלדן</t>
        </is>
      </c>
      <c r="C21" s="2" t="inlineStr">
        <is>
          <t>מפיץ</t>
        </is>
      </c>
      <c r="D21" s="2" t="inlineStr">
        <is>
          <t>https://www.eldan.biz</t>
        </is>
      </c>
      <c r="E21" s="2" t="n">
        <v>5</v>
      </c>
      <c r="F21" s="2" t="n">
        <v>14</v>
      </c>
      <c r="G21" s="2" t="inlineStr">
        <is>
          <t>QIAGEN</t>
        </is>
      </c>
      <c r="H21" s="2" t="inlineStr">
        <is>
          <t>listed QIAGEN among the manufacturers it represents in Israel (life-science research) on a 2014 page and showed QIAGEN products at ISM/IIS meetings in 2015-2016; current status unconfirmed</t>
        </is>
      </c>
    </row>
    <row r="22">
      <c r="A22" s="2" t="inlineStr">
        <is>
          <t>Eldan Electronic Instruments</t>
        </is>
      </c>
      <c r="B22" s="2" t="inlineStr">
        <is>
          <t>אלדן</t>
        </is>
      </c>
      <c r="C22" s="2" t="inlineStr">
        <is>
          <t>מפיץ</t>
        </is>
      </c>
      <c r="D22" s="2" t="inlineStr">
        <is>
          <t>https://www.eldan.biz</t>
        </is>
      </c>
      <c r="E22" s="2" t="n">
        <v>5</v>
      </c>
      <c r="F22" s="2" t="n">
        <v>60</v>
      </c>
      <c r="G22" s="2" t="inlineStr">
        <is>
          <t>Mindray</t>
        </is>
      </c>
      <c r="H22" s="2" t="inlineStr">
        <is>
          <t>Mindray IVD line - hematology analyzers and reagents (clinical diagnostics division)</t>
        </is>
      </c>
    </row>
    <row r="23">
      <c r="A23" s="2" t="inlineStr">
        <is>
          <t>Eldan Electronic Instruments</t>
        </is>
      </c>
      <c r="B23" s="2" t="inlineStr">
        <is>
          <t>אלדן</t>
        </is>
      </c>
      <c r="C23" s="2" t="inlineStr">
        <is>
          <t>מפיץ</t>
        </is>
      </c>
      <c r="D23" s="2" t="inlineStr">
        <is>
          <t>https://www.eldan.biz</t>
        </is>
      </c>
      <c r="E23" s="2" t="n">
        <v>5</v>
      </c>
      <c r="F23" s="2" t="n">
        <v>69</v>
      </c>
      <c r="G23" s="2" t="inlineStr">
        <is>
          <t>Andreas Hettich</t>
        </is>
      </c>
      <c r="H23" s="2" t="inlineStr">
        <is>
          <t>Hettich centrifuges – Eldan states it offers the whole Hettich range in Israel (eldan.biz page; verify currency)</t>
        </is>
      </c>
    </row>
    <row r="24">
      <c r="A24" s="2" t="inlineStr">
        <is>
          <t>Eldan Electronic Instruments</t>
        </is>
      </c>
      <c r="B24" s="2" t="inlineStr">
        <is>
          <t>אלדן</t>
        </is>
      </c>
      <c r="C24" s="2" t="inlineStr">
        <is>
          <t>מפיץ</t>
        </is>
      </c>
      <c r="D24" s="2" t="inlineStr">
        <is>
          <t>https://www.eldan.biz</t>
        </is>
      </c>
      <c r="E24" s="2" t="n">
        <v>5</v>
      </c>
      <c r="F24" s="2" t="n">
        <v>73</v>
      </c>
      <c r="G24" s="2" t="inlineStr">
        <is>
          <t>PHC Holdings (PHCbi)</t>
        </is>
      </c>
      <c r="H24" s="2" t="inlineStr">
        <is>
          <t>PHCbi CO2 and multigas incubators (incl. Cell-IQ) and PHCbi biomedical/pharmaceutical freezers</t>
        </is>
      </c>
    </row>
    <row r="25">
      <c r="A25" s="2" t="inlineStr">
        <is>
          <t>Rhenium Ltd.</t>
        </is>
      </c>
      <c r="B25" s="2" t="inlineStr">
        <is>
          <t>רניום</t>
        </is>
      </c>
      <c r="C25" s="2" t="inlineStr">
        <is>
          <t>מפיץ</t>
        </is>
      </c>
      <c r="D25" s="2" t="inlineStr">
        <is>
          <t>https://www.rhenium.co.il</t>
        </is>
      </c>
      <c r="E25" s="2" t="n">
        <v>5</v>
      </c>
      <c r="F25" s="2" t="n">
        <v>1</v>
      </c>
      <c r="G25" s="2" t="inlineStr">
        <is>
          <t>Thermo Fisher Scientific</t>
        </is>
      </c>
      <c r="H25" s="2" t="inlineStr">
        <is>
          <t>Invitrogen / Applied Biosystems / Gibco (Life Technologies brands; evidence from 2011 – verify current scope)</t>
        </is>
      </c>
    </row>
    <row r="26">
      <c r="A26" s="2" t="inlineStr">
        <is>
          <t>Rhenium Ltd.</t>
        </is>
      </c>
      <c r="B26" s="2" t="inlineStr">
        <is>
          <t>רניום</t>
        </is>
      </c>
      <c r="C26" s="2" t="inlineStr">
        <is>
          <t>מפיץ</t>
        </is>
      </c>
      <c r="D26" s="2" t="inlineStr">
        <is>
          <t>https://www.rhenium.co.il</t>
        </is>
      </c>
      <c r="E26" s="2" t="n">
        <v>5</v>
      </c>
      <c r="F26" s="2" t="n">
        <v>16</v>
      </c>
      <c r="G26" s="2" t="inlineStr">
        <is>
          <t>Beckman Coulter (Danaher)</t>
        </is>
      </c>
      <c r="H26" s="2" t="inlineStr">
        <is>
          <t>Beckman Coulter Life Sciences (official Israel contact page: Rhenium, 20 Hasatat St, Modi'in); the Diagnostics channel may be a different partner – to verify</t>
        </is>
      </c>
    </row>
    <row r="27">
      <c r="A27" s="2" t="inlineStr">
        <is>
          <t>Rhenium Ltd.</t>
        </is>
      </c>
      <c r="B27" s="2" t="inlineStr">
        <is>
          <t>רניום</t>
        </is>
      </c>
      <c r="C27" s="2" t="inlineStr">
        <is>
          <t>מפיץ</t>
        </is>
      </c>
      <c r="D27" s="2" t="inlineStr">
        <is>
          <t>https://www.rhenium.co.il</t>
        </is>
      </c>
      <c r="E27" s="2" t="n">
        <v>5</v>
      </c>
      <c r="F27" s="2" t="n">
        <v>18</v>
      </c>
      <c r="G27" s="2" t="inlineStr">
        <is>
          <t>Leica Microsystems (Danaher)</t>
        </is>
      </c>
      <c r="H27" s="2" t="inlineStr">
        <is>
          <t>research microscopes — per a 2009 Israel Physical Society trade-fair listing only (exclusive representative then); NOT re-confirmed in 2026</t>
        </is>
      </c>
    </row>
    <row r="28">
      <c r="A28" s="2" t="inlineStr">
        <is>
          <t>Rhenium Ltd.</t>
        </is>
      </c>
      <c r="B28" s="2" t="inlineStr">
        <is>
          <t>רניום</t>
        </is>
      </c>
      <c r="C28" s="2" t="inlineStr">
        <is>
          <t>מפיץ</t>
        </is>
      </c>
      <c r="D28" s="2" t="inlineStr">
        <is>
          <t>https://www.rhenium.co.il</t>
        </is>
      </c>
      <c r="E28" s="2" t="n">
        <v>5</v>
      </c>
      <c r="F28" s="2" t="n">
        <v>19</v>
      </c>
      <c r="G28" s="2" t="inlineStr">
        <is>
          <t>SCIEX (Danaher)</t>
        </is>
      </c>
      <c r="H28" s="2" t="inlineStr">
        <is>
          <t>SCIEX mass spectrometry – Israeli distributor since 1 April 2025 (took over from Agentek)</t>
        </is>
      </c>
    </row>
    <row r="29">
      <c r="A29" s="2" t="inlineStr">
        <is>
          <t>Rhenium Ltd.</t>
        </is>
      </c>
      <c r="B29" s="2" t="inlineStr">
        <is>
          <t>רניום</t>
        </is>
      </c>
      <c r="C29" s="2" t="inlineStr">
        <is>
          <t>מפיץ</t>
        </is>
      </c>
      <c r="D29" s="2" t="inlineStr">
        <is>
          <t>https://www.rhenium.co.il</t>
        </is>
      </c>
      <c r="E29" s="2" t="n">
        <v>5</v>
      </c>
      <c r="F29" s="2" t="n">
        <v>39</v>
      </c>
      <c r="G29" s="2" t="inlineStr">
        <is>
          <t>Rigaku Holdings</t>
        </is>
      </c>
      <c r="H29" s="2" t="inlineStr">
        <is>
          <t>Rigaku (XRD/XRF) listed among represented lines in Rhenium's 2009 Israel Physical Society trade-fair profile (Beit Nekofa); current status NOT confirmed - rhenium.co.il did not appear in any search result and Rigaku's distributor finder did not surface an Israel entry.</t>
        </is>
      </c>
    </row>
    <row r="30">
      <c r="A30" s="2" t="inlineStr">
        <is>
          <t>Gamidor Diagnostics</t>
        </is>
      </c>
      <c r="B30" s="2" t="inlineStr">
        <is>
          <t>גמידור דיאגנוסטיקה</t>
        </is>
      </c>
      <c r="C30" s="2" t="inlineStr">
        <is>
          <t>מפיץ</t>
        </is>
      </c>
      <c r="D30" s="2" t="inlineStr">
        <is>
          <t>https://www.gamidor.co.il</t>
        </is>
      </c>
      <c r="E30" s="2" t="n">
        <v>4</v>
      </c>
      <c r="F30" s="2" t="n">
        <v>1</v>
      </c>
      <c r="G30" s="2" t="inlineStr">
        <is>
          <t>Thermo Fisher Scientific</t>
        </is>
      </c>
      <c r="H30" s="2" t="inlineStr">
        <is>
          <t>Thermo Scientific microbiology / diagnostics (non-exclusive distributor letter, Mar 2025–Mar 2026)</t>
        </is>
      </c>
    </row>
    <row r="31">
      <c r="A31" s="2" t="inlineStr">
        <is>
          <t>Gamidor Diagnostics</t>
        </is>
      </c>
      <c r="B31" s="2" t="inlineStr">
        <is>
          <t>גמידור דיאגנוסטיקה</t>
        </is>
      </c>
      <c r="C31" s="2" t="inlineStr">
        <is>
          <t>מפיץ</t>
        </is>
      </c>
      <c r="D31" s="2" t="inlineStr">
        <is>
          <t>https://www.gamidor.co.il</t>
        </is>
      </c>
      <c r="E31" s="2" t="n">
        <v>4</v>
      </c>
      <c r="F31" s="2" t="n">
        <v>9</v>
      </c>
      <c r="G31" s="2" t="inlineStr">
        <is>
          <t>Revvity</t>
        </is>
      </c>
      <c r="H31" s="2" t="inlineStr">
        <is>
          <t>reproductive health / prenatal screening immunoassays (PAPP-A, free beta-hCG, AFP, hCG, uE3, inhibin, PlGF) - Gamidor states it has represented Revvity (ex-PerkinElmer/Wallac) in prenatal screening since 1984</t>
        </is>
      </c>
    </row>
    <row r="32">
      <c r="A32" s="2" t="inlineStr">
        <is>
          <t>Gamidor Diagnostics</t>
        </is>
      </c>
      <c r="B32" s="2" t="inlineStr">
        <is>
          <t>גמידור דיאגנוסטיקה</t>
        </is>
      </c>
      <c r="C32" s="2" t="inlineStr">
        <is>
          <t>מפיץ</t>
        </is>
      </c>
      <c r="D32" s="2" t="inlineStr">
        <is>
          <t>https://www.gamidor.co.il</t>
        </is>
      </c>
      <c r="E32" s="2" t="n">
        <v>4</v>
      </c>
      <c r="F32" s="2" t="n">
        <v>30</v>
      </c>
      <c r="G32" s="2" t="inlineStr">
        <is>
          <t>Tecan Group</t>
        </is>
      </c>
      <c r="H32" s="2" t="inlineStr">
        <is>
          <t>Tecan diagnostics / LC-MS sample-prep kits (2025 LinkedIn evidence); the life-science liquid-handling channel is not established</t>
        </is>
      </c>
    </row>
    <row r="33">
      <c r="A33" s="2" t="inlineStr">
        <is>
          <t>Gamidor Diagnostics</t>
        </is>
      </c>
      <c r="B33" s="2" t="inlineStr">
        <is>
          <t>גמידור דיאגנוסטיקה</t>
        </is>
      </c>
      <c r="C33" s="2" t="inlineStr">
        <is>
          <t>מפיץ</t>
        </is>
      </c>
      <c r="D33" s="2" t="inlineStr">
        <is>
          <t>https://www.gamidor.co.il</t>
        </is>
      </c>
      <c r="E33" s="2" t="n">
        <v>4</v>
      </c>
      <c r="F33" s="2" t="n">
        <v>55</v>
      </c>
      <c r="G33" s="2" t="inlineStr">
        <is>
          <t>Roche Diagnostics</t>
        </is>
      </c>
      <c r="H33" s="2" t="inlineStr">
        <is>
          <t>Roche Tissue Diagnostics only (VENTANA automated IHC/ISH slide stainers) - not cobas/LightCycler</t>
        </is>
      </c>
    </row>
    <row r="34">
      <c r="A34" s="2" t="inlineStr">
        <is>
          <t>Lapidot Group</t>
        </is>
      </c>
      <c r="B34" s="2" t="inlineStr"/>
      <c r="C34" s="2" t="inlineStr">
        <is>
          <t>מפיץ</t>
        </is>
      </c>
      <c r="D34" s="2" t="inlineStr">
        <is>
          <t>https://www.lapidot.com</t>
        </is>
      </c>
      <c r="E34" s="2" t="n">
        <v>4</v>
      </c>
      <c r="F34" s="2" t="n">
        <v>5</v>
      </c>
      <c r="G34" s="2" t="inlineStr">
        <is>
          <t>Bruker Corporation</t>
        </is>
      </c>
      <c r="H34" s="2" t="inlineStr">
        <is>
          <t>Bruker's official Israel contact/partner (Caesarea Industrial Park); the Bruker Israel page covers the Bruker business generally - no separate NMR / AXS / Nano / microCT listings were visible</t>
        </is>
      </c>
    </row>
    <row r="35">
      <c r="A35" s="2" t="inlineStr">
        <is>
          <t>Lapidot Group</t>
        </is>
      </c>
      <c r="B35" s="2" t="inlineStr"/>
      <c r="C35" s="2" t="inlineStr">
        <is>
          <t>מפיץ</t>
        </is>
      </c>
      <c r="D35" s="2" t="inlineStr">
        <is>
          <t>https://www.lapidot.com</t>
        </is>
      </c>
      <c r="E35" s="2" t="n">
        <v>4</v>
      </c>
      <c r="F35" s="2" t="n">
        <v>18</v>
      </c>
      <c r="G35" s="2" t="inlineStr">
        <is>
          <t>Leica Microsystems (Danaher)</t>
        </is>
      </c>
      <c r="H35" s="2" t="inlineStr">
        <is>
          <t>Leica surgical microscopes (ophthalmology, neurosurgery, ENT; floor- and ceiling-mounted) — Leica Microsystems medical division only</t>
        </is>
      </c>
    </row>
    <row r="36">
      <c r="A36" s="2" t="inlineStr">
        <is>
          <t>Lapidot Group</t>
        </is>
      </c>
      <c r="B36" s="2" t="inlineStr"/>
      <c r="C36" s="2" t="inlineStr">
        <is>
          <t>מפיץ</t>
        </is>
      </c>
      <c r="D36" s="2" t="inlineStr">
        <is>
          <t>https://www.lapidot.com</t>
        </is>
      </c>
      <c r="E36" s="2" t="n">
        <v>4</v>
      </c>
      <c r="F36" s="2" t="n">
        <v>21</v>
      </c>
      <c r="G36" s="2" t="inlineStr">
        <is>
          <t>BD Biosciences &amp; BD Diagnostic Solutions (part of Waters since Feb 2026)</t>
        </is>
      </c>
      <c r="H36" s="2" t="inlineStr">
        <is>
          <t>lists BD as a business partner ('global medical technology company'); product scope not stated - likely BD Medical lines, not confirmed for Biosciences/Diagnostics</t>
        </is>
      </c>
    </row>
    <row r="37">
      <c r="A37" s="2" t="inlineStr">
        <is>
          <t>Lapidot Group</t>
        </is>
      </c>
      <c r="B37" s="2" t="inlineStr"/>
      <c r="C37" s="2" t="inlineStr">
        <is>
          <t>מפיץ</t>
        </is>
      </c>
      <c r="D37" s="2" t="inlineStr">
        <is>
          <t>https://www.lapidot.com</t>
        </is>
      </c>
      <c r="E37" s="2" t="n">
        <v>4</v>
      </c>
      <c r="F37" s="2" t="n">
        <v>33</v>
      </c>
      <c r="G37" s="2" t="inlineStr">
        <is>
          <t>Carl Zeiss AG – Research Microscopy Solutions</t>
        </is>
      </c>
      <c r="H37" s="2" t="inlineStr">
        <is>
          <t>'ZEISS lenses' product page on Lapidot's site (medical/ophthalmic context) - NOT research microscopy</t>
        </is>
      </c>
    </row>
    <row r="38">
      <c r="A38" s="2" t="inlineStr">
        <is>
          <t>Bargal Analytical Instruments Ltd.</t>
        </is>
      </c>
      <c r="B38" s="2" t="inlineStr">
        <is>
          <t>ברגל</t>
        </is>
      </c>
      <c r="C38" s="2" t="inlineStr">
        <is>
          <t>מפיץ</t>
        </is>
      </c>
      <c r="D38" s="2" t="inlineStr">
        <is>
          <t>https://www.bargal.co.il</t>
        </is>
      </c>
      <c r="E38" s="2" t="n">
        <v>3</v>
      </c>
      <c r="F38" s="2" t="n">
        <v>1</v>
      </c>
      <c r="G38" s="2" t="inlineStr">
        <is>
          <t>Thermo Fisher Scientific</t>
        </is>
      </c>
      <c r="H38" s="2" t="inlineStr">
        <is>
          <t>chromatography &amp; mass spectrometry (2018-19 evidence – verify current scope)</t>
        </is>
      </c>
    </row>
    <row r="39">
      <c r="A39" s="2" t="inlineStr">
        <is>
          <t>Bargal Analytical Instruments Ltd.</t>
        </is>
      </c>
      <c r="B39" s="2" t="inlineStr">
        <is>
          <t>ברגל</t>
        </is>
      </c>
      <c r="C39" s="2" t="inlineStr">
        <is>
          <t>מפיץ</t>
        </is>
      </c>
      <c r="D39" s="2" t="inlineStr">
        <is>
          <t>https://www.bargal.co.il</t>
        </is>
      </c>
      <c r="E39" s="2" t="n">
        <v>3</v>
      </c>
      <c r="F39" s="2" t="n">
        <v>36</v>
      </c>
      <c r="G39" s="2" t="inlineStr">
        <is>
          <t>JEOL</t>
        </is>
      </c>
      <c r="H39" s="2" t="inlineStr">
        <is>
          <t>JEOL electron microscopes (SEM: JSM-IT200/IT510/IT710HR, benchtop JCM-7000; TEM: JEM-F200, JEM-1400Flash; cryo-EM: CRYO ARM 300/300 II) - sales and service; listed on jeol.com as the Israel office (Shaked St 10, Shoham, +972-3-9796-533; JEOL UK as alternate contact). NMR/MS lines not confirmed.</t>
        </is>
      </c>
    </row>
    <row r="40">
      <c r="A40" s="2" t="inlineStr">
        <is>
          <t>Bargal Analytical Instruments Ltd.</t>
        </is>
      </c>
      <c r="B40" s="2" t="inlineStr">
        <is>
          <t>ברגל</t>
        </is>
      </c>
      <c r="C40" s="2" t="inlineStr">
        <is>
          <t>מפיץ</t>
        </is>
      </c>
      <c r="D40" s="2" t="inlineStr">
        <is>
          <t>https://www.bargal.co.il</t>
        </is>
      </c>
      <c r="E40" s="2" t="n">
        <v>3</v>
      </c>
      <c r="F40" s="2" t="n">
        <v>51</v>
      </c>
      <c r="G40" s="2" t="inlineStr">
        <is>
          <t>Biotage</t>
        </is>
      </c>
      <c r="H40" s="2" t="inlineStr">
        <is>
          <t>Biotage distributor for Israel (listed on Biotage's contact page)</t>
        </is>
      </c>
    </row>
    <row r="41">
      <c r="A41" s="2" t="inlineStr">
        <is>
          <t>Getter Group</t>
        </is>
      </c>
      <c r="B41" s="2" t="inlineStr">
        <is>
          <t>קבוצת גטר</t>
        </is>
      </c>
      <c r="C41" s="2" t="inlineStr">
        <is>
          <t>מפיץ</t>
        </is>
      </c>
      <c r="D41" s="2" t="inlineStr">
        <is>
          <t>https://www.getter.co.il</t>
        </is>
      </c>
      <c r="E41" s="2" t="n">
        <v>3</v>
      </c>
      <c r="F41" s="2" t="n">
        <v>22</v>
      </c>
      <c r="G41" s="2" t="inlineStr">
        <is>
          <t>Corning Life Sciences (Corning Inc.)</t>
        </is>
      </c>
      <c r="H41" s="2" t="inlineStr">
        <is>
          <t>Corning – Getter Group states it is Corning's exclusive representative (page ~2 years old; life-science vs. other Corning lines not specified)</t>
        </is>
      </c>
    </row>
    <row r="42">
      <c r="A42" s="2" t="inlineStr">
        <is>
          <t>Getter Group</t>
        </is>
      </c>
      <c r="B42" s="2" t="inlineStr">
        <is>
          <t>קבוצת גטר</t>
        </is>
      </c>
      <c r="C42" s="2" t="inlineStr">
        <is>
          <t>מפיץ</t>
        </is>
      </c>
      <c r="D42" s="2" t="inlineStr">
        <is>
          <t>https://www.getter.co.il</t>
        </is>
      </c>
      <c r="E42" s="2" t="n">
        <v>3</v>
      </c>
      <c r="F42" s="2" t="n">
        <v>33</v>
      </c>
      <c r="G42" s="2" t="inlineStr">
        <is>
          <t>Carl Zeiss AG – Research Microscopy Solutions</t>
        </is>
      </c>
      <c r="H42" s="2" t="inlineStr">
        <is>
          <t>Zeiss – Getter Group states it exclusively represents Zeiss; scope (medical/surgical vs. research microscopy) to confirm</t>
        </is>
      </c>
    </row>
    <row r="43">
      <c r="A43" s="2" t="inlineStr">
        <is>
          <t>Getter Group</t>
        </is>
      </c>
      <c r="B43" s="2" t="inlineStr">
        <is>
          <t>קבוצת גטר</t>
        </is>
      </c>
      <c r="C43" s="2" t="inlineStr">
        <is>
          <t>מפיץ</t>
        </is>
      </c>
      <c r="D43" s="2" t="inlineStr">
        <is>
          <t>https://www.getter.co.il</t>
        </is>
      </c>
      <c r="E43" s="2" t="n">
        <v>3</v>
      </c>
      <c r="F43" s="2" t="n">
        <v>34</v>
      </c>
      <c r="G43" s="2" t="inlineStr">
        <is>
          <t>Evident (ex-Olympus Scientific Solutions)</t>
        </is>
      </c>
      <c r="H43" s="2" t="inlineStr">
        <is>
          <t>Olympus (now Evident) – Getter Group states it exclusively represents Olympus; scope (microscopy vs. medical endoscopy) to confirm</t>
        </is>
      </c>
    </row>
    <row r="44">
      <c r="A44" s="2" t="inlineStr">
        <is>
          <t>Lumitron Ltd.</t>
        </is>
      </c>
      <c r="B44" s="2" t="inlineStr">
        <is>
          <t>לומיטרון</t>
        </is>
      </c>
      <c r="C44" s="2" t="inlineStr">
        <is>
          <t>מפיץ</t>
        </is>
      </c>
      <c r="D44" s="2" t="inlineStr">
        <is>
          <t>https://www.lumitron.co.il</t>
        </is>
      </c>
      <c r="E44" s="2" t="n">
        <v>3</v>
      </c>
      <c r="F44" s="2" t="n">
        <v>13</v>
      </c>
      <c r="G44" s="2" t="inlineStr">
        <is>
          <t>Eppendorf SE</t>
        </is>
      </c>
      <c r="H44" s="2" t="inlineStr">
        <is>
          <t>Eppendorf importer / distributor (centrifuges, pipettes, consumables)</t>
        </is>
      </c>
    </row>
    <row r="45">
      <c r="A45" s="2" t="inlineStr">
        <is>
          <t>Lumitron Ltd.</t>
        </is>
      </c>
      <c r="B45" s="2" t="inlineStr">
        <is>
          <t>לומיטרון</t>
        </is>
      </c>
      <c r="C45" s="2" t="inlineStr">
        <is>
          <t>מפיץ</t>
        </is>
      </c>
      <c r="D45" s="2" t="inlineStr">
        <is>
          <t>https://www.lumitron.co.il</t>
        </is>
      </c>
      <c r="E45" s="2" t="n">
        <v>3</v>
      </c>
      <c r="F45" s="2" t="n">
        <v>73</v>
      </c>
      <c r="G45" s="2" t="inlineStr">
        <is>
          <t>PHC Holdings (PHCbi)</t>
        </is>
      </c>
      <c r="H45" s="2" t="inlineStr">
        <is>
          <t>PHCbi (ultralow freezers, incubators) listed on Lumitron's 'Our brands' page</t>
        </is>
      </c>
    </row>
    <row r="46">
      <c r="A46" s="2" t="inlineStr">
        <is>
          <t>Lumitron Ltd.</t>
        </is>
      </c>
      <c r="B46" s="2" t="inlineStr">
        <is>
          <t>לומיטרון</t>
        </is>
      </c>
      <c r="C46" s="2" t="inlineStr">
        <is>
          <t>מפיץ</t>
        </is>
      </c>
      <c r="D46" s="2" t="inlineStr">
        <is>
          <t>https://www.lumitron.co.il</t>
        </is>
      </c>
      <c r="E46" s="2" t="n">
        <v>3</v>
      </c>
      <c r="F46" s="2" t="n">
        <v>98</v>
      </c>
      <c r="G46" s="2" t="inlineStr">
        <is>
          <t>ELGA LabWater (Veolia)</t>
        </is>
      </c>
      <c r="H46" s="2" t="inlineStr">
        <is>
          <t>ELGA approved partner for Israel (ELGA 'Approved Partners' directory, tel. 972-52-525-6287)</t>
        </is>
      </c>
    </row>
    <row r="47">
      <c r="A47" s="2" t="inlineStr">
        <is>
          <t>Thermo Fisher Scientific Israel Ltd.</t>
        </is>
      </c>
      <c r="B47" s="2" t="inlineStr">
        <is>
          <t>תרמו פישר ישראל (רעננה)</t>
        </is>
      </c>
      <c r="C47" s="2" t="inlineStr">
        <is>
          <t>חברה-בת</t>
        </is>
      </c>
      <c r="D47" s="2" t="inlineStr">
        <is>
          <t>https://www.thermofisher.com</t>
        </is>
      </c>
      <c r="E47" s="2" t="n">
        <v>3</v>
      </c>
      <c r="F47" s="2" t="n">
        <v>1</v>
      </c>
      <c r="G47" s="2" t="inlineStr">
        <is>
          <t>Thermo Fisher Scientific</t>
        </is>
      </c>
      <c r="H47" s="2" t="inlineStr">
        <is>
          <t>direct life-science sales &amp; field service organisation being built out 2025-26</t>
        </is>
      </c>
    </row>
    <row r="48">
      <c r="A48" s="2" t="inlineStr">
        <is>
          <t>Thermo Fisher Scientific Israel Ltd.</t>
        </is>
      </c>
      <c r="B48" s="2" t="inlineStr">
        <is>
          <t>תרמו פישר ישראל (רעננה)</t>
        </is>
      </c>
      <c r="C48" s="2" t="inlineStr">
        <is>
          <t>חברה-בת</t>
        </is>
      </c>
      <c r="D48" s="2" t="inlineStr">
        <is>
          <t>https://www.thermofisher.com</t>
        </is>
      </c>
      <c r="E48" s="2" t="n">
        <v>3</v>
      </c>
      <c r="F48" s="2" t="n">
        <v>1</v>
      </c>
      <c r="G48" s="2" t="inlineStr">
        <is>
          <t>Thermo Fisher Scientific</t>
        </is>
      </c>
      <c r="H48" s="2" t="inlineStr">
        <is>
          <t>manufacturing / engineering site (ISO 9001/13485); not a sales channel</t>
        </is>
      </c>
    </row>
    <row r="49">
      <c r="A49" s="2" t="inlineStr">
        <is>
          <t>Thermo Fisher Scientific Israel Ltd.</t>
        </is>
      </c>
      <c r="B49" s="2" t="inlineStr">
        <is>
          <t>תרמו פישר ישראל (רעננה)</t>
        </is>
      </c>
      <c r="C49" s="2" t="inlineStr">
        <is>
          <t>חברה-בת</t>
        </is>
      </c>
      <c r="D49" s="2" t="inlineStr">
        <is>
          <t>https://www.thermofisher.com</t>
        </is>
      </c>
      <c r="E49" s="2" t="n">
        <v>3</v>
      </c>
      <c r="F49" s="2" t="n">
        <v>1</v>
      </c>
      <c r="G49" s="2" t="inlineStr">
        <is>
          <t>Thermo Fisher Scientific</t>
        </is>
      </c>
      <c r="H49" s="2" t="inlineStr">
        <is>
          <t>electron-microscopy service &amp; support</t>
        </is>
      </c>
    </row>
    <row r="50">
      <c r="A50" s="2" t="inlineStr">
        <is>
          <t>Bio-Rad Haifa Ltd.</t>
        </is>
      </c>
      <c r="B50" s="2" t="inlineStr">
        <is>
          <t>ביו-ראד ישראל</t>
        </is>
      </c>
      <c r="C50" s="2" t="inlineStr">
        <is>
          <t>חברה-בת</t>
        </is>
      </c>
      <c r="D50" s="2" t="inlineStr">
        <is>
          <t>https://www.bio-rad.com</t>
        </is>
      </c>
      <c r="E50" s="2" t="n">
        <v>2</v>
      </c>
      <c r="F50" s="2" t="n">
        <v>11</v>
      </c>
      <c r="G50" s="2" t="inlineStr">
        <is>
          <t>Bio-Rad Laboratories</t>
        </is>
      </c>
      <c r="H50" s="2" t="inlineStr">
        <is>
          <t>direct sales &amp; service of life-science and clinical-diagnostics products (Rishon LeZion; branch since 1991)</t>
        </is>
      </c>
    </row>
    <row r="51">
      <c r="A51" s="2" t="inlineStr">
        <is>
          <t>Bio-Rad Haifa Ltd.</t>
        </is>
      </c>
      <c r="B51" s="2" t="inlineStr">
        <is>
          <t>ביו-ראד ישראל</t>
        </is>
      </c>
      <c r="C51" s="2" t="inlineStr">
        <is>
          <t>חברה-בת</t>
        </is>
      </c>
      <c r="D51" s="2" t="inlineStr">
        <is>
          <t>https://www.bio-rad.com</t>
        </is>
      </c>
      <c r="E51" s="2" t="n">
        <v>2</v>
      </c>
      <c r="F51" s="2" t="n">
        <v>11</v>
      </c>
      <c r="G51" s="2" t="inlineStr">
        <is>
          <t>Bio-Rad Laboratories</t>
        </is>
      </c>
      <c r="H51" s="2" t="inlineStr">
        <is>
          <t>R&amp;D site (ex-ProteOptics, 2006); not a sales channel</t>
        </is>
      </c>
    </row>
    <row r="52">
      <c r="A52" s="2" t="inlineStr">
        <is>
          <t>Zotal Ltd.</t>
        </is>
      </c>
      <c r="B52" s="2" t="inlineStr">
        <is>
          <t>זוטל</t>
        </is>
      </c>
      <c r="C52" s="2" t="inlineStr">
        <is>
          <t>מפיץ</t>
        </is>
      </c>
      <c r="D52" s="2" t="inlineStr">
        <is>
          <t>https://www.zotal.co.il</t>
        </is>
      </c>
      <c r="E52" s="2" t="n">
        <v>2</v>
      </c>
      <c r="F52" s="2" t="n">
        <v>28</v>
      </c>
      <c r="G52" s="2" t="inlineStr">
        <is>
          <t>Oxford Nanopore Technologies</t>
        </is>
      </c>
      <c r="H52" s="2" t="inlineStr">
        <is>
          <t>officially licensed channel partner for Nanopore products in Israel (nanoporetech.com channel-partner page)</t>
        </is>
      </c>
    </row>
    <row r="53">
      <c r="A53" s="2" t="inlineStr">
        <is>
          <t>Zotal Ltd.</t>
        </is>
      </c>
      <c r="B53" s="2" t="inlineStr">
        <is>
          <t>זוטל</t>
        </is>
      </c>
      <c r="C53" s="2" t="inlineStr">
        <is>
          <t>מפיץ</t>
        </is>
      </c>
      <c r="D53" s="2" t="inlineStr">
        <is>
          <t>https://www.zotal.co.il</t>
        </is>
      </c>
      <c r="E53" s="2" t="n">
        <v>2</v>
      </c>
      <c r="F53" s="2" t="n">
        <v>86</v>
      </c>
      <c r="G53" s="2" t="inlineStr">
        <is>
          <t>BMG LABTECH</t>
        </is>
      </c>
      <c r="H53" s="2" t="inlineStr">
        <is>
          <t>BMG LABTECH microplate readers (CLARIOstar, PHERAstar etc.) - listed as BMG's Israel sales &amp; support contact, 4 Habarzel St., Tel Aviv 69710, sales@zotal.co.il</t>
        </is>
      </c>
    </row>
    <row r="54">
      <c r="A54" s="2" t="inlineStr">
        <is>
          <t>Abbott Medical Laboratories Ltd.</t>
        </is>
      </c>
      <c r="B54" s="2" t="inlineStr">
        <is>
          <t>אבוט מעבדות רפואיות בע"מ</t>
        </is>
      </c>
      <c r="C54" s="2" t="inlineStr">
        <is>
          <t>חברה-בת</t>
        </is>
      </c>
      <c r="D54" s="2" t="inlineStr">
        <is>
          <t>https://www.il.abbott</t>
        </is>
      </c>
      <c r="E54" s="2" t="n">
        <v>1</v>
      </c>
      <c r="F54" s="2" t="n">
        <v>56</v>
      </c>
      <c r="G54" s="2" t="inlineStr">
        <is>
          <t>Abbott Diagnostics</t>
        </is>
      </c>
      <c r="H54" s="2" t="inlineStr">
        <is>
          <t>Abbott's Israeli affiliate for nutrition, pharmaceuticals and diagnostics (core laboratory, molecular and point-of-care), Atidim Science Park Bldg. 4, Tel Aviv; about 160 employees incl. the Haifa (STARLIMS/Abbott Informatics) development center</t>
        </is>
      </c>
    </row>
    <row r="55">
      <c r="A55" s="2" t="inlineStr">
        <is>
          <t>Accellix, Jerusalem</t>
        </is>
      </c>
      <c r="B55" s="2" t="inlineStr"/>
      <c r="C55" s="2" t="inlineStr">
        <is>
          <t>חברה-בת</t>
        </is>
      </c>
      <c r="D55" s="2" t="inlineStr"/>
      <c r="E55" s="2" t="n">
        <v>1</v>
      </c>
      <c r="F55" s="2" t="n">
        <v>58</v>
      </c>
      <c r="G55" s="2" t="inlineStr">
        <is>
          <t>bioMérieux</t>
        </is>
      </c>
      <c r="H55" s="2" t="inlineStr">
        <is>
          <t>R&amp;D/manufacturing site of Accellix (automated flow-cytometry QC for pharma), acquired by bioMérieux in 2025 - not a sales office for VITEK/BACT/ALERT/BIOFIRE</t>
        </is>
      </c>
    </row>
    <row r="56">
      <c r="A56" s="2" t="inlineStr">
        <is>
          <t>Agrolan Ltd.</t>
        </is>
      </c>
      <c r="B56" s="2" t="inlineStr"/>
      <c r="C56" s="2" t="inlineStr">
        <is>
          <t>מפיץ</t>
        </is>
      </c>
      <c r="D56" s="2" t="inlineStr"/>
      <c r="E56" s="2" t="n">
        <v>1</v>
      </c>
      <c r="F56" s="2" t="n">
        <v>40</v>
      </c>
      <c r="G56" s="2" t="inlineStr">
        <is>
          <t>HORIBA</t>
        </is>
      </c>
      <c r="H56" s="2" t="inlineStr">
        <is>
          <t>HORIBA water-quality / LAQUA electrochemistry instruments only (Moshav Nov 45, Ramat HaGolan); listed on HORIBA's water-quality distributor page for Israel and marked 'water quality' on HORIBA's worldwide-locations page.</t>
        </is>
      </c>
    </row>
    <row r="57">
      <c r="A57" s="2" t="inlineStr">
        <is>
          <t>Almog Diagnostic and Medical Equipment Ltd.</t>
        </is>
      </c>
      <c r="B57" s="2" t="inlineStr">
        <is>
          <t>אלמוג דיאגנוסטיקה</t>
        </is>
      </c>
      <c r="C57" s="2" t="inlineStr">
        <is>
          <t>מפיץ</t>
        </is>
      </c>
      <c r="D57" s="2" t="inlineStr">
        <is>
          <t>https://www.almog.co.il</t>
        </is>
      </c>
      <c r="E57" s="2" t="n">
        <v>1</v>
      </c>
      <c r="F57" s="2" t="n">
        <v>32</v>
      </c>
      <c r="G57" s="2" t="inlineStr">
        <is>
          <t>Cytek Biosciences</t>
        </is>
      </c>
      <c r="H57" s="2" t="inlineStr">
        <is>
          <t>Cytek Aurora / Aurora CS spectral flow cytometers (2022 press release; installs at TAU, Technion)</t>
        </is>
      </c>
    </row>
    <row r="58">
      <c r="A58" s="2" t="inlineStr">
        <is>
          <t>Augusta Life Sciences Israel Ltd.</t>
        </is>
      </c>
      <c r="B58" s="2" t="inlineStr"/>
      <c r="C58" s="2" t="inlineStr">
        <is>
          <t>חברה-בת</t>
        </is>
      </c>
      <c r="D58" s="2" t="inlineStr">
        <is>
          <t>https://www.waters.com</t>
        </is>
      </c>
      <c r="E58" s="2" t="n">
        <v>1</v>
      </c>
      <c r="F58" s="2" t="n">
        <v>21</v>
      </c>
      <c r="G58" s="2" t="inlineStr">
        <is>
          <t>BD Biosciences &amp; BD Diagnostic Solutions (part of Waters since Feb 2026)</t>
        </is>
      </c>
      <c r="H58" s="2" t="inlineStr">
        <is>
          <t>Israeli entity of the acquired BD Biosciences &amp; Diagnostic Solutions business (flow cytometry, BD MAX, BACTEC, Phoenix lines), listed by Waters among the SpinCo entities wholly owned by Waters since 9 Feb 2026; Harduf HaNehalim St 2, Caesarea 3079857</t>
        </is>
      </c>
    </row>
    <row r="59">
      <c r="A59" s="2" t="inlineStr">
        <is>
          <t>BD Israel</t>
        </is>
      </c>
      <c r="B59" s="2" t="inlineStr"/>
      <c r="C59" s="2" t="inlineStr">
        <is>
          <t>חברה-בת</t>
        </is>
      </c>
      <c r="D59" s="2" t="inlineStr">
        <is>
          <t>https://www.bd.com/en-il</t>
        </is>
      </c>
      <c r="E59" s="2" t="n">
        <v>1</v>
      </c>
      <c r="F59" s="2" t="n">
        <v>21</v>
      </c>
      <c r="G59" s="2" t="inlineStr">
        <is>
          <t>BD Biosciences &amp; BD Diagnostic Solutions (part of Waters since Feb 2026)</t>
        </is>
      </c>
      <c r="H59" s="2" t="inlineStr">
        <is>
          <t>BD's own Israeli office and technical service, 14 Hashita St., Caesarea; +972-73-229-0850 (priceisrael@bd.com), technical service +972-73-229-0830 (TSBDISRAEL@bd.com); after the split this entity belongs to the remaining BD (medical) group</t>
        </is>
      </c>
    </row>
    <row r="60">
      <c r="A60" s="2" t="inlineStr">
        <is>
          <t>Bepex</t>
        </is>
      </c>
      <c r="B60" s="2" t="inlineStr"/>
      <c r="C60" s="2" t="inlineStr">
        <is>
          <t>מפיץ</t>
        </is>
      </c>
      <c r="D60" s="2" t="inlineStr"/>
      <c r="E60" s="2" t="n">
        <v>1</v>
      </c>
      <c r="F60" s="2" t="n">
        <v>60</v>
      </c>
      <c r="G60" s="2" t="inlineStr">
        <is>
          <t>Mindray</t>
        </is>
      </c>
      <c r="H60" s="2" t="inlineStr">
        <is>
          <t>Mindray hospital beds and clinical lighting only (per LinkedIn post; unverified)</t>
        </is>
      </c>
    </row>
    <row r="61">
      <c r="A61" s="2" t="inlineStr">
        <is>
          <t>Bruker - Israel office, Gedera</t>
        </is>
      </c>
      <c r="B61" s="2" t="inlineStr"/>
      <c r="C61" s="2" t="inlineStr">
        <is>
          <t>חברה-בת</t>
        </is>
      </c>
      <c r="D61" s="2" t="inlineStr">
        <is>
          <t>https://www.bruker.com</t>
        </is>
      </c>
      <c r="E61" s="2" t="n">
        <v>1</v>
      </c>
      <c r="F61" s="2" t="n">
        <v>5</v>
      </c>
      <c r="G61" s="2" t="inlineStr">
        <is>
          <t>Bruker Corporation</t>
        </is>
      </c>
      <c r="H61" s="2" t="inlineStr">
        <is>
          <t>mass-spectrometry (Bruker Daltonics) enquiries are directed to Bruker's own office in Gedera, Israel; legal entity name not shown on the page</t>
        </is>
      </c>
    </row>
    <row r="62">
      <c r="A62" s="2" t="inlineStr">
        <is>
          <t>Dinco Ltd.</t>
        </is>
      </c>
      <c r="B62" s="2" t="inlineStr"/>
      <c r="C62" s="2" t="inlineStr">
        <is>
          <t>מפיץ</t>
        </is>
      </c>
      <c r="D62" s="2" t="inlineStr"/>
      <c r="E62" s="2" t="n">
        <v>1</v>
      </c>
      <c r="F62" s="2" t="n">
        <v>7</v>
      </c>
      <c r="G62" s="2" t="inlineStr">
        <is>
          <t>Mettler-Toledo International</t>
        </is>
      </c>
      <c r="H62" s="2" t="inlineStr">
        <is>
          <t>product inspection (Safeline X-ray etc.); Tirat Carmel, +972 4 813 15 15</t>
        </is>
      </c>
    </row>
    <row r="63">
      <c r="A63" s="2" t="inlineStr">
        <is>
          <t>Dover Medical &amp; Scientific Equipment</t>
        </is>
      </c>
      <c r="B63" s="2" t="inlineStr"/>
      <c r="C63" s="2" t="inlineStr">
        <is>
          <t>מפיץ</t>
        </is>
      </c>
      <c r="D63" s="2" t="inlineStr"/>
      <c r="E63" s="2" t="n">
        <v>1</v>
      </c>
      <c r="F63" s="2" t="n">
        <v>59</v>
      </c>
      <c r="G63" s="2" t="inlineStr">
        <is>
          <t>Sysmex</t>
        </is>
      </c>
      <c r="H63" s="2" t="inlineStr">
        <is>
          <t>Sysmex distributor for Israel as listed in Sysmex Europe's official distributor directory (product-line scope not stated; presumably hematology/urinalysis in-vitro diagnostics)</t>
        </is>
      </c>
    </row>
    <row r="64">
      <c r="A64" s="2" t="inlineStr">
        <is>
          <t>Dr. Uri Golik Chemical Instrumentation</t>
        </is>
      </c>
      <c r="B64" s="2" t="inlineStr">
        <is>
          <t>ד"ר גוליק</t>
        </is>
      </c>
      <c r="C64" s="2" t="inlineStr">
        <is>
          <t>מפיץ</t>
        </is>
      </c>
      <c r="D64" s="2" t="inlineStr">
        <is>
          <t>https://www.golik.co.il</t>
        </is>
      </c>
      <c r="E64" s="2" t="n">
        <v>1</v>
      </c>
      <c r="F64" s="2" t="n">
        <v>41</v>
      </c>
      <c r="G64" s="2" t="inlineStr">
        <is>
          <t>Malvern Panalytical (Spectris)</t>
        </is>
      </c>
      <c r="H64" s="2" t="inlineStr">
        <is>
          <t>Malvern Panalytical particle/materials characterization (Zetasizer, Mastersizer 3000+, NanoSight, Morphologi 4, Archimedes, MicroCal); XRD line not seen on its pages</t>
        </is>
      </c>
    </row>
    <row r="65">
      <c r="A65" s="2" t="inlineStr">
        <is>
          <t>Dyn Diagnostics</t>
        </is>
      </c>
      <c r="B65" s="2" t="inlineStr"/>
      <c r="C65" s="2" t="inlineStr">
        <is>
          <t>מפיץ</t>
        </is>
      </c>
      <c r="D65" s="2" t="inlineStr">
        <is>
          <t>https://dyn.co.il</t>
        </is>
      </c>
      <c r="E65" s="2" t="n">
        <v>1</v>
      </c>
      <c r="F65" s="2" t="n">
        <v>55</v>
      </c>
      <c r="G65" s="2" t="inlineStr">
        <is>
          <t>Roche Diagnostics</t>
        </is>
      </c>
      <c r="H65" s="2" t="inlineStr">
        <is>
          <t>Roche Diabetes Care only (Accu-Chek home-care line) - not laboratory analyzers</t>
        </is>
      </c>
    </row>
    <row r="66">
      <c r="A66" s="2" t="inlineStr">
        <is>
          <t>Eisenberg Bros. Ltd.</t>
        </is>
      </c>
      <c r="B66" s="2" t="inlineStr"/>
      <c r="C66" s="2" t="inlineStr">
        <is>
          <t>מפיץ</t>
        </is>
      </c>
      <c r="D66" s="2" t="inlineStr">
        <is>
          <t>https://eisenbros.co.il</t>
        </is>
      </c>
      <c r="E66" s="2" t="n">
        <v>1</v>
      </c>
      <c r="F66" s="2" t="n">
        <v>34</v>
      </c>
      <c r="G66" s="2" t="inlineStr">
        <is>
          <t>Evident (ex-Olympus Scientific Solutions)</t>
        </is>
      </c>
      <c r="H66" s="2" t="inlineStr">
        <is>
          <t>Evident (ex-Olympus) microscopes: its 'Microscopy &amp; Imaging' catalogue lists Evident industrial/materials lines (BX53M, GX53, LEXT OLS, DSX, MX63/MX63L, SZ/SZX stereo) and OEM microscope components tagged EVIDENT (OLYMPUS); life-science confocal (FLUOVIEW FV4000/FV5000) demo events promoted by an Eisenberg applications specialist on LinkedIn. Olympus microscopes already listed in its 2009 IPS trade-fair profile.</t>
        </is>
      </c>
    </row>
    <row r="67">
      <c r="A67" s="2" t="inlineStr">
        <is>
          <t>Enco</t>
        </is>
      </c>
      <c r="B67" s="2" t="inlineStr"/>
      <c r="C67" s="2" t="inlineStr">
        <is>
          <t>מפיץ</t>
        </is>
      </c>
      <c r="D67" s="2" t="inlineStr">
        <is>
          <t>https://www.enco.co.il</t>
        </is>
      </c>
      <c r="E67" s="2" t="n">
        <v>1</v>
      </c>
      <c r="F67" s="2" t="n">
        <v>9</v>
      </c>
      <c r="G67" s="2" t="inlineStr">
        <is>
          <t>Revvity</t>
        </is>
      </c>
      <c r="H67" s="2" t="inlineStr">
        <is>
          <t>Revvity screening reagents and consumables (OptiPlate/SpectraPlate microplates, AlphaLISA SureFire Ultra kits) listed in Enco's online catalogue</t>
        </is>
      </c>
    </row>
    <row r="68">
      <c r="A68" s="2" t="inlineStr">
        <is>
          <t>GLOBUS Technical Equipment Ltd.</t>
        </is>
      </c>
      <c r="B68" s="2" t="inlineStr"/>
      <c r="C68" s="2" t="inlineStr">
        <is>
          <t>מפיץ</t>
        </is>
      </c>
      <c r="D68" s="2" t="inlineStr"/>
      <c r="E68" s="2" t="n">
        <v>1</v>
      </c>
      <c r="F68" s="2" t="n">
        <v>88</v>
      </c>
      <c r="G68" s="2" t="inlineStr">
        <is>
          <t>ZwickRoell</t>
        </is>
      </c>
      <c r="H68" s="2" t="inlineStr">
        <is>
          <t>ZwickRoell sales partner for Israel (materials testing machines); Kadima Industrial Zone</t>
        </is>
      </c>
    </row>
    <row r="69">
      <c r="A69" s="2" t="inlineStr">
        <is>
          <t>Hitachi High-Tech Israel, Ltd.</t>
        </is>
      </c>
      <c r="B69" s="2" t="inlineStr"/>
      <c r="C69" s="2" t="inlineStr">
        <is>
          <t>חברה-בת</t>
        </is>
      </c>
      <c r="D69" s="2" t="inlineStr"/>
      <c r="E69" s="2" t="n">
        <v>1</v>
      </c>
      <c r="F69" s="2" t="n">
        <v>37</v>
      </c>
      <c r="G69" s="2" t="inlineStr">
        <is>
          <t>Hitachi High-Tech</t>
        </is>
      </c>
      <c r="H69" s="2" t="inlineStr">
        <is>
          <t>Maintenance/service of semiconductor manufacturing and inspection equipment (Kiryat Gat office, P.O. Box 1000, MS: Hitachi LC2-3S, +972-8-666-6342); formerly H.H.T.A. Semiconductor Equipment Israel Ltd., renamed April 2020; 100% owned by Hitachi High-Tech. NOT confirmed as a sales channel for SEM/TEM/analytical instruments.</t>
        </is>
      </c>
    </row>
    <row r="70">
      <c r="A70" s="2" t="inlineStr">
        <is>
          <t>ISI Israel Scientific Instruments Ltd.</t>
        </is>
      </c>
      <c r="B70" s="2" t="inlineStr"/>
      <c r="C70" s="2" t="inlineStr">
        <is>
          <t>מפיץ</t>
        </is>
      </c>
      <c r="D70" s="2" t="inlineStr">
        <is>
          <t>https://www.isil.co.il</t>
        </is>
      </c>
      <c r="E70" s="2" t="n">
        <v>1</v>
      </c>
      <c r="F70" s="2" t="n">
        <v>10</v>
      </c>
      <c r="G70" s="2" t="inlineStr">
        <is>
          <t>PerkinElmer (New Mountain Capital)</t>
        </is>
      </c>
      <c r="H70" s="2" t="inlineStr">
        <is>
          <t>food testing / food quality products, as listed on PerkinElmer's site; Shacham St 32, Petach Tikva, +972 3-9232202 (site given as isil.co.il)</t>
        </is>
      </c>
    </row>
    <row r="71">
      <c r="A71" s="2" t="inlineStr">
        <is>
          <t>Ilex Medical Ltd.</t>
        </is>
      </c>
      <c r="B71" s="2" t="inlineStr"/>
      <c r="C71" s="2" t="inlineStr">
        <is>
          <t>מפיץ</t>
        </is>
      </c>
      <c r="D71" s="2" t="inlineStr">
        <is>
          <t>https://www.ilexmedical.com</t>
        </is>
      </c>
      <c r="E71" s="2" t="n">
        <v>1</v>
      </c>
      <c r="F71" s="2" t="n">
        <v>14</v>
      </c>
      <c r="G71" s="2" t="inlineStr">
        <is>
          <t>QIAGEN</t>
        </is>
      </c>
      <c r="H71" s="2" t="inlineStr">
        <is>
          <t>molecular diagnostics and research - QIAcuity digital PCR, Rotor-Gene Q qPCR, QIAxcel, nucleic-acid extraction, oncology and hematology assay kits (Ilex catalogue pages, c. 2024)</t>
        </is>
      </c>
    </row>
    <row r="72">
      <c r="A72" s="2" t="inlineStr">
        <is>
          <t>Illumina Israel</t>
        </is>
      </c>
      <c r="B72" s="2" t="inlineStr">
        <is>
          <t>אילומינה ישראל</t>
        </is>
      </c>
      <c r="C72" s="2" t="inlineStr">
        <is>
          <t>חברה-בת</t>
        </is>
      </c>
      <c r="D72" s="2" t="inlineStr"/>
      <c r="E72" s="2" t="n">
        <v>1</v>
      </c>
      <c r="F72" s="2" t="n">
        <v>15</v>
      </c>
      <c r="G72" s="2" t="inlineStr">
        <is>
          <t>Illumina</t>
        </is>
      </c>
      <c r="H72" s="2" t="inlineStr">
        <is>
          <t>R&amp;D / AI centre of excellence (~30 staff); not a sales channel</t>
        </is>
      </c>
    </row>
    <row r="73">
      <c r="A73" s="2" t="inlineStr">
        <is>
          <t>Israel Scientific Instruments Ltd.</t>
        </is>
      </c>
      <c r="B73" s="2" t="inlineStr">
        <is>
          <t>ISI – ישראל מכשור מדעי</t>
        </is>
      </c>
      <c r="C73" s="2" t="inlineStr">
        <is>
          <t>מפיץ</t>
        </is>
      </c>
      <c r="D73" s="2" t="inlineStr"/>
      <c r="E73" s="2" t="n">
        <v>1</v>
      </c>
      <c r="F73" s="2" t="n">
        <v>44</v>
      </c>
      <c r="G73" s="2" t="inlineStr">
        <is>
          <t>Metrohm</t>
        </is>
      </c>
      <c r="H73" s="2" t="inlineStr">
        <is>
          <t>official distributor of all Metrohm products and services in Israel from 17 July 2025 (Metrohm news page)</t>
        </is>
      </c>
    </row>
    <row r="74">
      <c r="A74" s="2" t="inlineStr">
        <is>
          <t>Medent - Scientific Equipment Ltd.</t>
        </is>
      </c>
      <c r="B74" s="2" t="inlineStr"/>
      <c r="C74" s="2" t="inlineStr">
        <is>
          <t>מפיץ</t>
        </is>
      </c>
      <c r="D74" s="2" t="inlineStr">
        <is>
          <t>https://www.medent.co.il</t>
        </is>
      </c>
      <c r="E74" s="2" t="n">
        <v>1</v>
      </c>
      <c r="F74" s="2" t="n">
        <v>85</v>
      </c>
      <c r="G74" s="2" t="inlineStr">
        <is>
          <t>INTEGRA Biosciences</t>
        </is>
      </c>
      <c r="H74" s="2" t="inlineStr">
        <is>
          <t>INTEGRA liquid-handling products (VIAFLO, ASSIST PLUS, VACUSAFE etc.) - listed as INTEGRA's distributor for Israel, Beer Sheva 84206</t>
        </is>
      </c>
    </row>
    <row r="75">
      <c r="A75" s="2" t="inlineStr">
        <is>
          <t>Mercury Scientific &amp; Industrial Products Ltd.</t>
        </is>
      </c>
      <c r="B75" s="2" t="inlineStr">
        <is>
          <t>מרקורי מוצרי מדע ותעשייה (גדות מרקורי)</t>
        </is>
      </c>
      <c r="C75" s="2" t="inlineStr">
        <is>
          <t>מפיץ</t>
        </is>
      </c>
      <c r="D75" s="2" t="inlineStr">
        <is>
          <t>https://www.mercury-ltd.co.il</t>
        </is>
      </c>
      <c r="E75" s="2" t="n">
        <v>1</v>
      </c>
      <c r="F75" s="2" t="n">
        <v>3</v>
      </c>
      <c r="G75" s="2" t="inlineStr">
        <is>
          <t>Merck KGaA – Life Science (MilliporeSigma / Sigma-Aldrich / Merck Millipore)</t>
        </is>
      </c>
      <c r="H75" s="2" t="inlineStr">
        <is>
          <t>self-described exclusive Israeli representative for Merck Milli-Q lab-water systems (sales + certified service since 2012) and distributor of Merck KGaA life-science and chemicals divisions (Millipore filtration, MQuant etc.)</t>
        </is>
      </c>
    </row>
    <row r="76">
      <c r="A76" s="2" t="inlineStr">
        <is>
          <t>Modcon Systems Ltd.</t>
        </is>
      </c>
      <c r="B76" s="2" t="inlineStr"/>
      <c r="C76" s="2" t="inlineStr">
        <is>
          <t>מפיץ</t>
        </is>
      </c>
      <c r="D76" s="2" t="inlineStr"/>
      <c r="E76" s="2" t="n">
        <v>1</v>
      </c>
      <c r="F76" s="2" t="n">
        <v>7</v>
      </c>
      <c r="G76" s="2" t="inlineStr">
        <is>
          <t>Mettler-Toledo International</t>
        </is>
      </c>
      <c r="H76" s="2" t="inlineStr">
        <is>
          <t>process analytics (Ingold sensors/transmitters); Akko, +972 4 9553955</t>
        </is>
      </c>
    </row>
    <row r="77">
      <c r="A77" s="2" t="inlineStr">
        <is>
          <t>New-Road Agencies Ltd.</t>
        </is>
      </c>
      <c r="B77" s="2" t="inlineStr"/>
      <c r="C77" s="2" t="inlineStr">
        <is>
          <t>מפיץ</t>
        </is>
      </c>
      <c r="D77" s="2" t="inlineStr"/>
      <c r="E77" s="2" t="n">
        <v>1</v>
      </c>
      <c r="F77" s="2" t="n">
        <v>40</v>
      </c>
      <c r="G77" s="2" t="inlineStr">
        <is>
          <t>HORIBA</t>
        </is>
      </c>
      <c r="H77" s="2" t="inlineStr">
        <is>
          <t>HORIBA Scientific instruments (marked 'scientific' on HORIBA's worldwide-locations page; Rosh Ha'Ayin) - exact product lines (Raman, particle size, fluorescence, elemental) not itemised; own website not found.</t>
        </is>
      </c>
    </row>
    <row r="78">
      <c r="A78" s="2" t="inlineStr">
        <is>
          <t>OpteamX Ltd.</t>
        </is>
      </c>
      <c r="B78" s="2" t="inlineStr"/>
      <c r="C78" s="2" t="inlineStr">
        <is>
          <t>מפיץ</t>
        </is>
      </c>
      <c r="D78" s="2" t="inlineStr"/>
      <c r="E78" s="2" t="n">
        <v>1</v>
      </c>
      <c r="F78" s="2" t="n">
        <v>33</v>
      </c>
      <c r="G78" s="2" t="inlineStr">
        <is>
          <t>Carl Zeiss AG – Research Microscopy Solutions</t>
        </is>
      </c>
      <c r="H78" s="2" t="inlineStr">
        <is>
          <t>ZEISS industrial camera lenses only (listed on ZEISS's industrial-lens distribution-partners page; 29 Ha'Metsuda St, Azor, info@opteamx.com) - NOT microscopes</t>
        </is>
      </c>
    </row>
    <row r="79">
      <c r="A79" s="2" t="inlineStr">
        <is>
          <t>Ornat BioChemicals &amp; Lab Equipment Ltd.</t>
        </is>
      </c>
      <c r="B79" s="2" t="inlineStr">
        <is>
          <t>אורנת</t>
        </is>
      </c>
      <c r="C79" s="2" t="inlineStr">
        <is>
          <t>מפיץ</t>
        </is>
      </c>
      <c r="D79" s="2" t="inlineStr">
        <is>
          <t>https://www.ornat.co.il</t>
        </is>
      </c>
      <c r="E79" s="2" t="n">
        <v>1</v>
      </c>
      <c r="F79" s="2" t="n">
        <v>24</v>
      </c>
      <c r="G79" s="2" t="inlineStr">
        <is>
          <t>New England Biolabs</t>
        </is>
      </c>
      <c r="H79" s="2" t="inlineStr">
        <is>
          <t>New England Biolabs reagents (per Ornat's brand list quoted on the FISEB vendors page)</t>
        </is>
      </c>
    </row>
    <row r="80">
      <c r="A80" s="2" t="inlineStr">
        <is>
          <t>PerkinElmer Israel Ltd.</t>
        </is>
      </c>
      <c r="B80" s="2" t="inlineStr"/>
      <c r="C80" s="2" t="inlineStr">
        <is>
          <t>חברה-בת</t>
        </is>
      </c>
      <c r="D80" s="2" t="inlineStr">
        <is>
          <t>https://www.perkinelmer.com</t>
        </is>
      </c>
      <c r="E80" s="2" t="n">
        <v>1</v>
      </c>
      <c r="F80" s="2" t="n">
        <v>10</v>
      </c>
      <c r="G80" s="2" t="inlineStr">
        <is>
          <t>PerkinElmer (New Mountain Capital)</t>
        </is>
      </c>
      <c r="H80" s="2" t="inlineStr">
        <is>
          <t>direct sales, service and support for analytical instruments (atomic spectroscopy/ICP-MS, chromatography, mass spectrometry, FTIR) and OneSource lab services; 4 HaSheizaf St., Ra'anana 4366411, +972 3655 8777</t>
        </is>
      </c>
    </row>
    <row r="81">
      <c r="A81" s="2" t="inlineStr">
        <is>
          <t>PicoTech Ltd.</t>
        </is>
      </c>
      <c r="B81" s="2" t="inlineStr"/>
      <c r="C81" s="2" t="inlineStr">
        <is>
          <t>מפיץ</t>
        </is>
      </c>
      <c r="D81" s="2" t="inlineStr"/>
      <c r="E81" s="2" t="n">
        <v>1</v>
      </c>
      <c r="F81" s="2" t="n">
        <v>38</v>
      </c>
      <c r="G81" s="2" t="inlineStr">
        <is>
          <t>TESCAN</t>
        </is>
      </c>
      <c r="H81" s="2" t="inlineStr">
        <is>
          <t>TESCAN SEM / FIB-SEM sales and after-sales support (PicoTech SEM division); Ha-Mefalsim St 17, Petah Tikva, +972-3-6356650, contact Nitzan Cafif per TESCAN's distributor page.</t>
        </is>
      </c>
    </row>
    <row r="82">
      <c r="A82" s="2" t="inlineStr">
        <is>
          <t>Rigaku Semiconductor Instruments Ltd.</t>
        </is>
      </c>
      <c r="B82" s="2" t="inlineStr"/>
      <c r="C82" s="2" t="inlineStr">
        <is>
          <t>חברה-בת</t>
        </is>
      </c>
      <c r="D82" s="2" t="inlineStr">
        <is>
          <t>https://rigaku.com/about/rigaku-divisions/rigaku-semiconductor-instruments-ltd</t>
        </is>
      </c>
      <c r="E82" s="2" t="n">
        <v>1</v>
      </c>
      <c r="F82" s="2" t="n">
        <v>39</v>
      </c>
      <c r="G82" s="2" t="inlineStr">
        <is>
          <t>Rigaku Holdings</t>
        </is>
      </c>
      <c r="H82" s="2" t="inlineStr">
        <is>
          <t>Rigaku Group company doing R&amp;D and manufacturing of X-ray semiconductor metrology tools (Ramat Gabriel Industrial Zone, 6 HaMehkar St, Migdal HaEmek; rsi@rigaku.com, +972-4-9951051); joined Rigaku 2019, renamed Dec 2024. Not a sales channel for analytical XRD/XRF.</t>
        </is>
      </c>
    </row>
    <row r="83">
      <c r="A83" s="2" t="inlineStr">
        <is>
          <t>Roche Pharmaceuticals Ltd. - Diagnostics division</t>
        </is>
      </c>
      <c r="B83" s="2" t="inlineStr"/>
      <c r="C83" s="2" t="inlineStr">
        <is>
          <t>חברה-בת</t>
        </is>
      </c>
      <c r="D83" s="2" t="inlineStr">
        <is>
          <t>https://www.roche.co.il</t>
        </is>
      </c>
      <c r="E83" s="2" t="n">
        <v>1</v>
      </c>
      <c r="F83" s="2" t="n">
        <v>55</v>
      </c>
      <c r="G83" s="2" t="inlineStr">
        <is>
          <t>Roche Diagnostics</t>
        </is>
      </c>
      <c r="H83" s="2" t="inlineStr">
        <is>
          <t>Roche Diagnostics business in Israel (cobas core-lab/molecular, point-of-care IVD instruments and reagents); diagnostics division of the Roche group's Israeli affiliate, 6 Hacharash St., Hod Hasharon 4524079</t>
        </is>
      </c>
    </row>
    <row r="84">
      <c r="A84" s="2" t="inlineStr">
        <is>
          <t>Sartorius Israel Ltd.</t>
        </is>
      </c>
      <c r="B84" s="2" t="inlineStr"/>
      <c r="C84" s="2" t="inlineStr">
        <is>
          <t>חברה-בת</t>
        </is>
      </c>
      <c r="D84" s="2" t="inlineStr">
        <is>
          <t>https://www.sartorius.com/en/general-contact/local-contact</t>
        </is>
      </c>
      <c r="E84" s="2" t="n">
        <v>1</v>
      </c>
      <c r="F84" s="2" t="n">
        <v>8</v>
      </c>
      <c r="G84" s="2" t="inlineStr">
        <is>
          <t>Sartorius AG</t>
        </is>
      </c>
      <c r="H84" s="2" t="inlineStr">
        <is>
          <t>Sartorius' Israeli company at Kibbutz Beit Haemek (ex-Biological Industries; cell-culture media production and local contact, info.israel@sartorius.com, +972-4-9960595); in-country sales representative advertised</t>
        </is>
      </c>
    </row>
    <row r="85">
      <c r="A85" s="2" t="inlineStr">
        <is>
          <t>Siemens Healthineers Israel</t>
        </is>
      </c>
      <c r="B85" s="2" t="inlineStr"/>
      <c r="C85" s="2" t="inlineStr">
        <is>
          <t>חברה-בת</t>
        </is>
      </c>
      <c r="D85" s="2" t="inlineStr">
        <is>
          <t>https://www.siemens-healthineers.com/il</t>
        </is>
      </c>
      <c r="E85" s="2" t="n">
        <v>1</v>
      </c>
      <c r="F85" s="2" t="n">
        <v>57</v>
      </c>
      <c r="G85" s="2" t="inlineStr">
        <is>
          <t>Siemens Healthineers – Diagnostics</t>
        </is>
      </c>
      <c r="H85" s="2" t="inlineStr">
        <is>
          <t>all Siemens Healthineers businesses in Israel, including a dedicated Diagnostics unit (a 'Head of Diagnostics, Siemens Healthineers Israel' is named on the company's Israeli site)</t>
        </is>
      </c>
    </row>
    <row r="86">
      <c r="A86" s="2" t="inlineStr">
        <is>
          <t>Sigma-Aldrich Israel Ltd.</t>
        </is>
      </c>
      <c r="B86" s="2" t="inlineStr"/>
      <c r="C86" s="2" t="inlineStr">
        <is>
          <t>חברה-בת</t>
        </is>
      </c>
      <c r="D86" s="2" t="inlineStr">
        <is>
          <t>https://www.sigmaaldrich.com/IL/en</t>
        </is>
      </c>
      <c r="E86" s="2" t="n">
        <v>1</v>
      </c>
      <c r="F86" s="2" t="n">
        <v>3</v>
      </c>
      <c r="G86" s="2" t="inlineStr">
        <is>
          <t>Merck KGaA – Life Science (MilliporeSigma / Sigma-Aldrich / Merck Millipore)</t>
        </is>
      </c>
      <c r="H86" s="2" t="inlineStr">
        <is>
          <t>Merck's own Israeli entity: sales/customer contact for Israel and production sites in Rehovot (antibodies, primers, peptides; 3 Plaut St.) and Jerusalem (Har Hotzvim)</t>
        </is>
      </c>
    </row>
    <row r="87">
      <c r="A87" s="2" t="inlineStr">
        <is>
          <t>Tamar Laboratory Supplies Ltd.</t>
        </is>
      </c>
      <c r="B87" s="2" t="inlineStr">
        <is>
          <t>תמר ציוד מעבדתי</t>
        </is>
      </c>
      <c r="C87" s="2" t="inlineStr">
        <is>
          <t>מפיץ</t>
        </is>
      </c>
      <c r="D87" s="2" t="inlineStr">
        <is>
          <t>https://www.tamar.co.il</t>
        </is>
      </c>
      <c r="E87" s="2" t="n">
        <v>1</v>
      </c>
      <c r="F87" s="2" t="n">
        <v>93</v>
      </c>
      <c r="G87" s="2" t="inlineStr">
        <is>
          <t>SARSTEDT</t>
        </is>
      </c>
      <c r="H87" s="2" t="inlineStr">
        <is>
          <t>Sarstedt consumables (tubes, cuvettes, pipette tips) – Sarstedt is on Tamar's represented-companies page</t>
        </is>
      </c>
    </row>
    <row r="88">
      <c r="A88" s="2" t="inlineStr">
        <is>
          <t>Waters Israel Ltd.</t>
        </is>
      </c>
      <c r="B88" s="2" t="inlineStr"/>
      <c r="C88" s="2" t="inlineStr">
        <is>
          <t>חברה-בת</t>
        </is>
      </c>
      <c r="D88" s="2" t="inlineStr"/>
      <c r="E88" s="2" t="n">
        <v>1</v>
      </c>
      <c r="F88" s="2" t="n">
        <v>4</v>
      </c>
      <c r="G88" s="2" t="inlineStr">
        <is>
          <t>Waters Corporation</t>
        </is>
      </c>
      <c r="H88" s="2" t="inlineStr">
        <is>
          <t>Israeli legal entity listed in Waters' 10-K subsidiaries exhibit; sales/service scope not established</t>
        </is>
      </c>
    </row>
    <row r="89">
      <c r="A89" s="2" t="inlineStr">
        <is>
          <t>ZEISS Israel / Carl Zeiss SMS Ltd.</t>
        </is>
      </c>
      <c r="B89" s="2" t="inlineStr"/>
      <c r="C89" s="2" t="inlineStr">
        <is>
          <t>חברה-בת</t>
        </is>
      </c>
      <c r="D89" s="2" t="inlineStr">
        <is>
          <t>https://www.zeiss.co.il</t>
        </is>
      </c>
      <c r="E89" s="2" t="n">
        <v>1</v>
      </c>
      <c r="F89" s="2" t="n">
        <v>33</v>
      </c>
      <c r="G89" s="2" t="inlineStr">
        <is>
          <t>Carl Zeiss AG – Research Microscopy Solutions</t>
        </is>
      </c>
      <c r="H89" s="2" t="inlineStr">
        <is>
          <t>Legal entity (publisher) behind the official ZEISS Israel website zeiss.co.il; HaDolev 3, Bar Lev Industrial Park, D.N. Misgav 2015600. The site's contact form lists 'Research Microscopy Solutions' among the product areas it takes inquiries for, but the entity itself is ZEISS's semiconductor (SMS/SMT) unit; a local ZEISS microscopy sales/service team was NOT confirmed.</t>
        </is>
      </c>
    </row>
  </sheetData>
  <autoFilter ref="A1:H8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9"/>
  <sheetViews>
    <sheetView rightToLeft="1" workbookViewId="0">
      <selection activeCell="A1" sqref="A1"/>
    </sheetView>
  </sheetViews>
  <sheetFormatPr baseColWidth="8" defaultRowHeight="15"/>
  <cols>
    <col width="44" customWidth="1" min="1" max="1"/>
    <col width="14" customWidth="1" min="2" max="2"/>
    <col width="60" customWidth="1" min="3" max="3"/>
  </cols>
  <sheetData>
    <row r="1">
      <c r="A1" s="5" t="inlineStr">
        <is>
          <t>סיכום / Summary</t>
        </is>
      </c>
    </row>
    <row r="2">
      <c r="A2" s="6" t="inlineStr">
        <is>
          <t>נוצר / Generated: 2026-10-15</t>
        </is>
      </c>
    </row>
    <row r="4">
      <c r="A4" s="7" t="inlineStr">
        <is>
          <t>סה״כ יצרנים / Manufacturers</t>
        </is>
      </c>
      <c r="B4" s="8">
        <f>COUNTA(Manufacturers!A2:A101)</f>
        <v/>
      </c>
      <c r="C4" s="9" t="inlineStr"/>
    </row>
    <row r="5">
      <c r="A5" s="7" t="inlineStr">
        <is>
          <t>חברה-בת / משרד של היצרן בישראל (subsidiary)</t>
        </is>
      </c>
      <c r="B5" s="8">
        <f>COUNTIF(Manufacturers!X2:X101,"subsidiary")</f>
        <v/>
      </c>
      <c r="C5" s="9" t="inlineStr"/>
    </row>
    <row r="6">
      <c r="A6" s="7" t="inlineStr">
        <is>
          <t>מפיץ / נציג ישראלי (distributor)</t>
        </is>
      </c>
      <c r="B6" s="8">
        <f>COUNTIF(Manufacturers!X2:X101,"distributor")</f>
        <v/>
      </c>
      <c r="C6" s="9" t="inlineStr"/>
    </row>
    <row r="7">
      <c r="A7" s="7" t="inlineStr">
        <is>
          <t>נמכר דרך החברה-האם בישראל (parent_subsidiary)</t>
        </is>
      </c>
      <c r="B7" s="8">
        <f>COUNTIF(Manufacturers!X2:X101,"parent_subsidiary")</f>
        <v/>
      </c>
      <c r="C7" s="9" t="inlineStr"/>
    </row>
    <row r="8">
      <c r="A8" s="7" t="inlineStr">
        <is>
          <t>לא נמצא ייצוג (none_found)</t>
        </is>
      </c>
      <c r="B8" s="8">
        <f>COUNTIF(Manufacturers!X2:X101,"none_found")</f>
        <v/>
      </c>
      <c r="C8" s="9" t="inlineStr"/>
    </row>
    <row r="9">
      <c r="A9" s="7" t="inlineStr">
        <is>
          <t>לא ברור (unclear)</t>
        </is>
      </c>
      <c r="B9" s="8">
        <f>COUNTIF(Manufacturers!X2:X101,"unclear")</f>
        <v/>
      </c>
      <c r="C9" s="9" t="inlineStr"/>
    </row>
    <row r="10">
      <c r="A10" s="7" t="inlineStr">
        <is>
          <t>טרם נבדק (pending)</t>
        </is>
      </c>
      <c r="B10" s="8">
        <f>COUNTIF(Manufacturers!X2:X101,"pending")</f>
        <v/>
      </c>
      <c r="C10" s="9" t="inlineStr"/>
    </row>
    <row r="11">
      <c r="A11" s="7" t="inlineStr">
        <is>
          <t>אימות: אומת ממקור (verified)</t>
        </is>
      </c>
      <c r="B11" s="8">
        <f>COUNTIF(Manufacturers!Z2:Z101,"verified")</f>
        <v/>
      </c>
      <c r="C11" s="9" t="inlineStr"/>
    </row>
    <row r="12">
      <c r="A12" s="7" t="inlineStr">
        <is>
          <t>אימות: חיפוש חלקי (ללא פתיחת אתרי היצרן/המפיץ) (partial)</t>
        </is>
      </c>
      <c r="B12" s="8">
        <f>COUNTIF(Manufacturers!Z2:Z101,"partial")</f>
        <v/>
      </c>
      <c r="C12" s="9" t="inlineStr"/>
    </row>
    <row r="13">
      <c r="A13" s="7" t="inlineStr">
        <is>
          <t>אימות: ידע קודם, לא אומת מקוון (unverified)</t>
        </is>
      </c>
      <c r="B13" s="8">
        <f>COUNTIF(Manufacturers!Z2:Z101,"unverified")</f>
        <v/>
      </c>
      <c r="C13" s="9" t="inlineStr"/>
    </row>
    <row r="14">
      <c r="A14" s="7" t="inlineStr">
        <is>
          <t>אימות: טרם נבדק (pending)</t>
        </is>
      </c>
      <c r="B14" s="8">
        <f>COUNTIF(Manufacturers!Z2:Z101,"pending")</f>
        <v/>
      </c>
      <c r="C14" s="9" t="inlineStr"/>
    </row>
    <row r="15">
      <c r="A15" s="7" t="inlineStr">
        <is>
          <t>יצרנים עם ייצוג כלשהו בישראל / Any Israeli channel</t>
        </is>
      </c>
      <c r="B15" s="8">
        <f>COUNTIF(Manufacturers!X2:X101,"subsidiary")+COUNTIF(Manufacturers!X2:X101,"distributor")+COUNTIF(Manufacturers!X2:X101,"parent_subsidiary")</f>
        <v/>
      </c>
      <c r="C15" s="9" t="inlineStr"/>
    </row>
    <row r="16">
      <c r="A16" s="7" t="inlineStr">
        <is>
          <t>סה״כ עובדים (היכן שדווח) / Employees total</t>
        </is>
      </c>
      <c r="B16" s="8">
        <f>SUM(Manufacturers!K2:K101)</f>
        <v/>
      </c>
      <c r="C16" s="9" t="inlineStr">
        <is>
          <t>sum of reported/estimated headcounts; parent-level figures inflate the total</t>
        </is>
      </c>
    </row>
    <row r="17">
      <c r="A17" s="7" t="inlineStr">
        <is>
          <t>חציון עובדים / Median employees</t>
        </is>
      </c>
      <c r="B17" s="8">
        <f>MEDIAN(Manufacturers!K2:K101)</f>
        <v/>
      </c>
      <c r="C17" s="9" t="inlineStr"/>
    </row>
    <row r="18">
      <c r="A18" s="7" t="inlineStr">
        <is>
          <t>סה״כ הכנסות מיליוני $ / Revenue USD M total</t>
        </is>
      </c>
      <c r="B18" s="8">
        <f>SUM(Manufacturers!P2:P101)</f>
        <v/>
      </c>
      <c r="C18" s="9" t="inlineStr">
        <is>
          <t>mixes company, segment, parent and estimated figures — indicative only</t>
        </is>
      </c>
    </row>
    <row r="19">
      <c r="A19" s="7" t="inlineStr">
        <is>
          <t>חציון הכנסות מיליוני $ / Median revenue USD M</t>
        </is>
      </c>
      <c r="B19" s="8">
        <f>MEDIAN(Manufacturers!P2:P101)</f>
        <v/>
      </c>
      <c r="C19" s="9" t="inlineStr"/>
    </row>
    <row r="20">
      <c r="A20" s="7" t="inlineStr">
        <is>
          <t>רמת ודאות גבוהה / High confidence</t>
        </is>
      </c>
      <c r="B20" s="8">
        <f>COUNTIF(Manufacturers!AD2:AD101,"high")</f>
        <v/>
      </c>
      <c r="C20" s="9" t="inlineStr"/>
    </row>
    <row r="21">
      <c r="A21" s="7" t="inlineStr">
        <is>
          <t>רמת ודאות בינונית / Medium confidence</t>
        </is>
      </c>
      <c r="B21" s="8">
        <f>COUNTIF(Manufacturers!AD2:AD101,"medium")</f>
        <v/>
      </c>
      <c r="C21" s="9" t="inlineStr"/>
    </row>
    <row r="22">
      <c r="A22" s="7" t="inlineStr">
        <is>
          <t>רמת ודאות נמוכה / Low confidence</t>
        </is>
      </c>
      <c r="B22" s="8">
        <f>COUNTIF(Manufacturers!AD2:AD101,"low")</f>
        <v/>
      </c>
      <c r="C22" s="9" t="inlineStr"/>
    </row>
    <row r="24">
      <c r="A24" s="7" t="inlineStr">
        <is>
          <t>הערות / Notes:</t>
        </is>
      </c>
    </row>
    <row r="25">
      <c r="A25" s="6" t="inlineStr">
        <is>
          <t>• revenue_usd_m: converted at approximate 2025 average FX rates (EUR 1.10, GBP 1.30, CHF 1.17, JPY 0.0067, CNY 0.139, SEK 0.098, SGD 0.76).</t>
        </is>
      </c>
    </row>
    <row r="26">
      <c r="A26" s="6" t="inlineStr">
        <is>
          <t>• size_basis = estimate: private company, figure is a public estimate (see revenue_note / employees_note).</t>
        </is>
      </c>
    </row>
    <row r="27">
      <c r="A27" s="6" t="inlineStr">
        <is>
          <t>• revenue_scope = parent / segment: figure is the parent group's or a business segment's, not the listed brand alone.</t>
        </is>
      </c>
    </row>
    <row r="28">
      <c r="A28" s="6" t="inlineStr">
        <is>
          <t>• israel_presence = none_found: no public evidence of an Israeli channel was found in the research — it does not prove there is none.</t>
        </is>
      </c>
    </row>
    <row r="29">
      <c r="A29" s="6" t="inlineStr">
        <is>
          <t>• Israeli representation changes often; verify with the manufacturer before relying on it commercially.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2026-10-15T05:54:12Z</dcterms:created>
  <dcterms:modified xmlns:dcterms="http://purl.org/dc/terms/" xmlns:xsi="http://www.w3.org/2001/XMLSchema-instance" xsi:type="dcterms:W3CDTF">2026-10-15T05:54:12Z</dcterms:modified>
</cp:coreProperties>
</file>