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facturers" sheetId="1" state="visible" r:id="rId1"/>
    <sheet xmlns:r="http://schemas.openxmlformats.org/officeDocument/2006/relationships" name="Israel entities" sheetId="2" state="visible" r:id="rId2"/>
    <sheet xmlns:r="http://schemas.openxmlformats.org/officeDocument/2006/relationships" name="Products" sheetId="3" state="visible" r:id="rId3"/>
    <sheet xmlns:r="http://schemas.openxmlformats.org/officeDocument/2006/relationships" name="By Israeli entity" sheetId="4" state="visible" r:id="rId4"/>
    <sheet xmlns:r="http://schemas.openxmlformats.org/officeDocument/2006/relationships" name="Summary" sheetId="5" state="visible" r:id="rId5"/>
  </sheets>
  <definedNames>
    <definedName name="_xlnm._FilterDatabase" localSheetId="0" hidden="1">'Manufacturers'!$A$1:$AK$101</definedName>
    <definedName name="_xlnm._FilterDatabase" localSheetId="1" hidden="1">'Israel entities'!$A$1:$M$147</definedName>
    <definedName name="_xlnm._FilterDatabase" localSheetId="2" hidden="1">'Products'!$A$1:$E$301</definedName>
    <definedName name="_xlnm._FilterDatabase" localSheetId="3" hidden="1">'By Israeli entity'!$A$1:$K$136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2"/>
    </font>
    <font>
      <name val="Arial"/>
      <b val="1"/>
      <sz val="10"/>
    </font>
    <font>
      <name val="Arial"/>
      <i val="1"/>
      <sz val="9"/>
    </font>
  </fonts>
  <fills count="3">
    <fill>
      <patternFill/>
    </fill>
    <fill>
      <patternFill patternType="gray125"/>
    </fill>
    <fill>
      <patternFill patternType="solid">
        <fgColor rgb="000B7285"/>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3" fontId="2" fillId="0" borderId="0" applyAlignment="1" pivotButton="0" quotePrefix="0" xfId="0">
      <alignment vertical="top" wrapText="1"/>
    </xf>
    <xf numFmtId="0" fontId="1" fillId="2" borderId="0" pivotButton="0" quotePrefix="0" xfId="0"/>
    <xf numFmtId="0" fontId="3" fillId="0" borderId="0" pivotButton="0" quotePrefix="0" xfId="0"/>
    <xf numFmtId="0" fontId="2" fillId="0" borderId="0" pivotButton="0" quotePrefix="0" xfId="0"/>
    <xf numFmtId="0" fontId="4" fillId="0" borderId="0" pivotButton="0" quotePrefix="0" xfId="0"/>
    <xf numFmtId="3"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0" customWidth="1" min="3" max="3"/>
    <col width="18" customWidth="1" min="4" max="4"/>
    <col width="12" customWidth="1" min="5" max="5"/>
    <col width="18" customWidth="1" min="6" max="6"/>
    <col width="24" customWidth="1" min="7" max="7"/>
    <col width="9" customWidth="1" min="8" max="8"/>
    <col width="28" customWidth="1" min="9" max="9"/>
    <col width="30" customWidth="1" min="10" max="10"/>
    <col width="11" customWidth="1" min="11" max="11"/>
    <col width="9" customWidth="1" min="12" max="12"/>
    <col width="10" customWidth="1" min="13" max="13"/>
    <col width="32" customWidth="1" min="14" max="14"/>
    <col width="20" customWidth="1" min="15" max="15"/>
    <col width="12" customWidth="1" min="16" max="16"/>
    <col width="12" customWidth="1" min="17" max="17"/>
    <col width="11" customWidth="1" min="18" max="18"/>
    <col width="32" customWidth="1" min="19" max="19"/>
    <col width="10" customWidth="1" min="20" max="20"/>
    <col width="36" customWidth="1" min="21" max="21"/>
    <col width="36" customWidth="1" min="22" max="22"/>
    <col width="36" customWidth="1" min="23" max="23"/>
    <col width="18" customWidth="1" min="24" max="24"/>
    <col width="26" customWidth="1" min="25" max="25"/>
    <col width="36" customWidth="1" min="26" max="26"/>
    <col width="34" customWidth="1" min="27" max="27"/>
    <col width="16" customWidth="1" min="28" max="28"/>
    <col width="16" customWidth="1" min="29" max="29"/>
    <col width="26" customWidth="1" min="30" max="30"/>
    <col width="11" customWidth="1" min="31" max="31"/>
    <col width="24" customWidth="1" min="32" max="32"/>
    <col width="48" customWidth="1" min="33" max="33"/>
    <col width="50" customWidth="1" min="34" max="34"/>
    <col width="10" customWidth="1" min="35" max="35"/>
    <col width="32" customWidth="1" min="36" max="36"/>
    <col width="60" customWidth="1" min="37" max="37"/>
  </cols>
  <sheetData>
    <row r="1" ht="32" customHeight="1">
      <c r="A1" s="1" t="inlineStr">
        <is>
          <t>#</t>
        </is>
      </c>
      <c r="B1" s="1" t="inlineStr">
        <is>
          <t>יצרן / Manufacturer</t>
        </is>
      </c>
      <c r="C1" s="1" t="inlineStr">
        <is>
          <t>מותגים / Brands</t>
        </is>
      </c>
      <c r="D1" s="1" t="inlineStr">
        <is>
          <t>עיר / HQ city</t>
        </is>
      </c>
      <c r="E1" s="1" t="inlineStr">
        <is>
          <t>מדינה / Country</t>
        </is>
      </c>
      <c r="F1" s="1" t="inlineStr">
        <is>
          <t>חברת-אם / Parent</t>
        </is>
      </c>
      <c r="G1" s="1" t="inlineStr">
        <is>
          <t>בעלות / Ownership</t>
        </is>
      </c>
      <c r="H1" s="1" t="inlineStr">
        <is>
          <t>שנת ייסוד / Founded</t>
        </is>
      </c>
      <c r="I1" s="1" t="inlineStr">
        <is>
          <t>אתר / Website</t>
        </is>
      </c>
      <c r="J1" s="1" t="inlineStr">
        <is>
          <t>קטגוריה / Category</t>
        </is>
      </c>
      <c r="K1" s="1" t="inlineStr">
        <is>
          <t>עובדים / Employees</t>
        </is>
      </c>
      <c r="L1" s="1" t="inlineStr">
        <is>
          <t>שנת נתון עובדים / Employees year</t>
        </is>
      </c>
      <c r="M1" s="1" t="inlineStr">
        <is>
          <t>היקף נתון העובדים / Employees scope</t>
        </is>
      </c>
      <c r="N1" s="1" t="inlineStr">
        <is>
          <t>הערת עובדים / Employees note</t>
        </is>
      </c>
      <c r="O1" s="1" t="inlineStr">
        <is>
          <t>הכנסות (מטבע מקורי) / Revenue</t>
        </is>
      </c>
      <c r="P1" s="1" t="inlineStr">
        <is>
          <t>הכנסות מיליוני $ / Revenue USD M</t>
        </is>
      </c>
      <c r="Q1" s="1" t="inlineStr">
        <is>
          <t>שנת כספים / Fiscal year</t>
        </is>
      </c>
      <c r="R1" s="1" t="inlineStr">
        <is>
          <t>היקף ההכנסות / Revenue scope</t>
        </is>
      </c>
      <c r="S1" s="1" t="inlineStr">
        <is>
          <t>הערת הכנסות / Revenue note</t>
        </is>
      </c>
      <c r="T1" s="1" t="inlineStr">
        <is>
          <t>בסיס הנתונים / Size basis</t>
        </is>
      </c>
      <c r="U1" s="1" t="inlineStr">
        <is>
          <t>מוצר מוביל 1 / Top product 1</t>
        </is>
      </c>
      <c r="V1" s="1" t="inlineStr">
        <is>
          <t>מוצר מוביל 2 / Top product 2</t>
        </is>
      </c>
      <c r="W1" s="1" t="inlineStr">
        <is>
          <t>מוצר מוביל 3 / Top product 3</t>
        </is>
      </c>
      <c r="X1" s="1" t="inlineStr">
        <is>
          <t>טלפון יצרן / Manufacturer phone</t>
        </is>
      </c>
      <c r="Y1" s="1" t="inlineStr">
        <is>
          <t>דוא״ל יצרן / Manufacturer email</t>
        </is>
      </c>
      <c r="Z1" s="1" t="inlineStr">
        <is>
          <t>כתובת יצרן / Manufacturer address</t>
        </is>
      </c>
      <c r="AA1" s="1" t="inlineStr">
        <is>
          <t>דף צור-קשר / Contact page</t>
        </is>
      </c>
      <c r="AB1" s="1" t="inlineStr">
        <is>
          <t>הערת קשר / Contact note</t>
        </is>
      </c>
      <c r="AC1" s="1" t="inlineStr">
        <is>
          <t>ייצוג בישראל / Israel presence</t>
        </is>
      </c>
      <c r="AD1" s="1" t="inlineStr">
        <is>
          <t>ייצוג בישראל (עברית)</t>
        </is>
      </c>
      <c r="AE1" s="1" t="inlineStr">
        <is>
          <t>סטטוס אימות / Verification</t>
        </is>
      </c>
      <c r="AF1" s="1" t="inlineStr">
        <is>
          <t>סטטוס אימות (עברית)</t>
        </is>
      </c>
      <c r="AG1" s="1" t="inlineStr">
        <is>
          <t>נציגים / מפיצים בישראל / Israeli entities</t>
        </is>
      </c>
      <c r="AH1" s="1" t="inlineStr">
        <is>
          <t>הערת ישראל / Israel note</t>
        </is>
      </c>
      <c r="AI1" s="1" t="inlineStr">
        <is>
          <t>רמת ודאות / Confidence</t>
        </is>
      </c>
      <c r="AJ1" s="1" t="inlineStr">
        <is>
          <t>הערת ודאות / Confidence note</t>
        </is>
      </c>
      <c r="AK1" s="1" t="inlineStr">
        <is>
          <t>מקורות / Sources</t>
        </is>
      </c>
    </row>
    <row r="2">
      <c r="A2" s="2" t="n">
        <v>1</v>
      </c>
      <c r="B2" s="2" t="inlineStr">
        <is>
          <t>Thermo Fisher Scientific</t>
        </is>
      </c>
      <c r="C2" s="2" t="inlineStr">
        <is>
          <t>Thermo Scientific, Fisher Scientific, Invitrogen, Applied Biosystems, Gibco, Patheon, PPD, Phadia, Oxoid, Olink</t>
        </is>
      </c>
      <c r="D2" s="2" t="inlineStr">
        <is>
          <t>Waltham, Massachusetts</t>
        </is>
      </c>
      <c r="E2" s="2" t="inlineStr">
        <is>
          <t>USA</t>
        </is>
      </c>
      <c r="F2" s="2" t="inlineStr"/>
      <c r="G2" s="2" t="inlineStr">
        <is>
          <t>Public (NYSE: TMO)</t>
        </is>
      </c>
      <c r="H2" s="2" t="n">
        <v>1956</v>
      </c>
      <c r="I2" s="2" t="inlineStr">
        <is>
          <t>https://www.thermofisher.com</t>
        </is>
      </c>
      <c r="J2" s="2" t="inlineStr">
        <is>
          <t>Diversified analytical &amp; life-science instruments</t>
        </is>
      </c>
      <c r="K2" s="3" t="n">
        <v>125000</v>
      </c>
      <c r="L2" s="2" t="n">
        <v>2025</v>
      </c>
      <c r="M2" s="2" t="inlineStr">
        <is>
          <t>company</t>
        </is>
      </c>
      <c r="N2" s="2" t="inlineStr">
        <is>
          <t>FY2025 Form 10-K: 'As of December 31, 2025, we employed approximately 125,000 colleagues globally' (~59,000 Americas, ~44,000 EMEA, ~22,000 Asia-Pacific).</t>
        </is>
      </c>
      <c r="O2" s="2" t="inlineStr">
        <is>
          <t>USD 44.56 billion</t>
        </is>
      </c>
      <c r="P2" s="3" t="n">
        <v>44560</v>
      </c>
      <c r="Q2" s="2" t="inlineStr">
        <is>
          <t>FY2025</t>
        </is>
      </c>
      <c r="R2" s="2" t="inlineStr">
        <is>
          <t>company</t>
        </is>
      </c>
      <c r="S2" s="2" t="inlineStr">
        <is>
          <t>FY2025 revenue USD 44.56 billion (+3.9% vs 2024) per StockAnalysis / AmericanCompanies summaries of the SEC 10-K; the 10-K itself (sec.gov link in sources) could not be opened in-session.</t>
        </is>
      </c>
      <c r="T2" s="2" t="inlineStr">
        <is>
          <t>reported</t>
        </is>
      </c>
      <c r="U2" s="2" t="inlineStr">
        <is>
          <t>Thermo Scientific Orbitrap Astral — high-resolution Orbitrap LC-MS mass spectrometer</t>
        </is>
      </c>
      <c r="V2" s="2" t="inlineStr">
        <is>
          <t>Applied Biosystems QuantStudio — real-time PCR (qPCR/dPCR) instrument family</t>
        </is>
      </c>
      <c r="W2" s="2" t="inlineStr">
        <is>
          <t>Thermo Scientific Krios cryo-TEM — cryo-electron microscope for structural biology</t>
        </is>
      </c>
      <c r="X2" s="2" t="inlineStr"/>
      <c r="Y2" s="2" t="inlineStr"/>
      <c r="Z2" s="2" t="inlineStr"/>
      <c r="AA2" s="2" t="inlineStr"/>
      <c r="AB2" s="2" t="inlineStr"/>
      <c r="AC2" s="2" t="inlineStr">
        <is>
          <t>subsidiary</t>
        </is>
      </c>
      <c r="AD2" s="2" t="inlineStr">
        <is>
          <t>חברה-בת / משרד של היצרן בישראל</t>
        </is>
      </c>
      <c r="AE2" s="2" t="inlineStr">
        <is>
          <t>verified</t>
        </is>
      </c>
      <c r="AF2" s="2" t="inlineStr">
        <is>
          <t>אומת ממקור</t>
        </is>
      </c>
      <c r="AG2" s="2" t="inlineStr">
        <is>
          <t>Thermo Fisher Integrated Solutions Israel Ltd. (תרמו פישר ישראל (רעננה)) [חברה-בת; direct life-science sales &amp; field service organisation being built out 2025-26] | Thermo Fisher Scientific Israel Ltd. (Kiryat Shmona) (תרמו פישר קריית שמונה) [חברה-בת; manufacturing / engineering site (ISO 9001/13485); not a sales channel] | Rhenium Ltd. (רניום) [מפיץ; Invitrogen / Applied Biosystems / Gibco (Life Technologies brands; evidence from 2011 – verify current scope)] | Gamidor Diagnostics (1984) Ltd. (גמידור דיאגנוסטיקה) [מפיץ; Thermo Scientific microbiology / diagnostics (non-exclusive distributor letter, Mar 2025–Mar 2026)] | Bargal Analytical Instruments Ltd. (ברגל) [מפיץ; chromatography &amp; mass spectrometry (2018-19 evidence – verify current scope)] | Danyel Biotech Ltd. (דניאל ביוטק) [מפיץ; Olink proteomics (a Thermo Fisher business)] | Thermo Fisher Scientific – EM service location, Airport City [שירות; electron-microscopy service &amp; support]</t>
        </is>
      </c>
      <c r="AH2" s="2" t="inlineStr">
        <is>
          <t>Established from search-result evidence only (WebFetch and curl were blocked by the environment's network policy, so manufacturer and distributor pages could not be opened). Searches run: '"Thermo Fisher" Israel distributor', '"Thermo Fisher Scientific" Israel office Ltd', '"Thermo Fisher" ישראל נציג יבואן', 'Rhenium Thermo Scientific Israel distributor', 'Invitrogen Applied Biosystems Gibco Israel distributor', '"Thermo Fisher Integrated Solutions Israel"', 'Bargal Analytical Instruments ... Thermo Scientific'. Picture: Thermo Fisher has its OWN Israeli presence (Thermo Fisher Israel Ltd. site in Kiryat Shmona with Israeli ISO certificates; an EM service location in Airport City, Lod; and a newly formed 'Thermo Fisher Integrated Solutions Israel' subsidiary in Ra'anana that is hiring key-account managers and building a field-service team - i.e. a move toward direct sales for life-science products), PLUS division-specific Israeli distributors: Gamidor Diagnostics (non-exclusive distributor letter valid to Mar 2026, likely diagnostics/microbiology), Danyel Biotech (Olink), Rhenium (Life Technologies brands since 2011 - stale, may have been superseded by the new direct subsidiary) and Bargal (chromatography, 2018-2019 letter - stale). Fisher Scientific channel / Phadia (ImmunoCAP) / Thermo Scientific lab-equipment distributors in Israel were NOT established (the Phadia-locations page exists but could not be read). The exact registered names of the Israeli entities are unconfirmed (job ads say 'Thermo Fisher Integrated Solutions Israel' / '...Integrated Solutions Ltd').</t>
        </is>
      </c>
      <c r="AI2" s="2" t="inlineStr">
        <is>
          <t>medium</t>
        </is>
      </c>
      <c r="AJ2" s="2" t="inlineStr">
        <is>
          <t>Size: official 10-K figures (high). Israel: own-subsidiary evidence rests on Thermo Fisher-hosted ISO certificates, a Thermo Fisher service-locations page and multiple Thermo Fisher job postings; distributor evidence is partly stale (Rhenium 2011, Bargal 2018-19) or scope-ambiguous (Gamidor 2025-26 tender letter). Manufacturer/distributor pages could not be opened to confirm.</t>
        </is>
      </c>
      <c r="AK2" s="2" t="inlineStr">
        <is>
          <t>https://www.sec.gov/Archives/edgar/data/97745/000009774526000018/tmo-20251231.htm ; https://stockanalysis.com/quote/tsx/TMO/revenue/ ; https://americancompanies.com/company/thermo-fisher-scientific-inc/ ; https://assets.thermofisher.com/TFS-Assets/CMD/certificate/Certificates-of-Quality/ISO-Certs/cert-iso-13485-sii-cert-92462-kiriyat-shemona-en.pdf ; https://assets.thermofisher.com/TFS-Assets/CMD/certificate/Certificates-of-Quality/ISO-Certs/cert-iso-9001-sii-cert-83393-kiriyat-shemona-en.pdf ; https://tfcom-global-nginx.commerceprod.thermofisher.com/us/en/home/electron-microscopy/services/service-locations.html ; https://slimpages.startupim.com/min_company_page/thermo-fisher-scientific ; https://www.drushim.co.il/job/36710416/aadcf5d4/ ; https://mygwork.com/jobs/thermo-fisher-scientific-head-of-field-services-6326719 ; https://wfh.team/job/14242-field-service-engineer-thermo-fisher-integrated-solutions-ltd ; https://onemainfinancial-veteranjobs.dejobs.org/raanana-isr/sr-manager-operations/B1F1C613DBEB494AAFE3164E9B663CD8/job ; https://www.prnewswire.co.uk/news-releases/life-technologies-chooses-rhenium-to-distribute-products-in-israel-144794695.html ; https://mr.gov.il/ilgstorefront/he/p/attachment/005056BF4DAB1EDB8098FCA0E2582123/%D7%A0%D7%A1%D7%A4%D7%97%D7%99%D7%9D%20%D7%9C%D7%A4%D7%A8%D7%95%D7%98%D7%95%D7%A7%D7%95%D7%9C ; https://mr.gov.il/ilgstorefront/he/p/attachment/005056BF4F1A1FE085945E85E8D5F2E9/%D7%9E%D7%A1%D7%9E%D7%9B%D7%99%20%D7%94%D7%9C%D7%99%D7%9A ; https://olink.com/services/worldwide-distributors ; https://www.tosohbioscience.com/EU-EN-separations/distributors/rhenium-bio-science ; https://www.biopac.com/distributor/bargal-analytical-instruments-ltd/ ; https://www.thermofisher.com/phadia-locations</t>
        </is>
      </c>
    </row>
    <row r="3">
      <c r="A3" s="2" t="n">
        <v>2</v>
      </c>
      <c r="B3" s="2" t="inlineStr">
        <is>
          <t>Agilent Technologies</t>
        </is>
      </c>
      <c r="C3" s="2" t="inlineStr">
        <is>
          <t>Agilent, BioTek, Dako, Agilent CrossLab</t>
        </is>
      </c>
      <c r="D3" s="2" t="inlineStr">
        <is>
          <t>Santa Clara, California</t>
        </is>
      </c>
      <c r="E3" s="2" t="inlineStr">
        <is>
          <t>USA</t>
        </is>
      </c>
      <c r="F3" s="2" t="inlineStr"/>
      <c r="G3" s="2" t="inlineStr">
        <is>
          <t>Public (NYSE: A)</t>
        </is>
      </c>
      <c r="H3" s="2" t="n">
        <v>1999</v>
      </c>
      <c r="I3" s="2" t="inlineStr">
        <is>
          <t>https://www.agilent.com</t>
        </is>
      </c>
      <c r="J3" s="2" t="inlineStr">
        <is>
          <t>Diversified analytical &amp; life-science instruments</t>
        </is>
      </c>
      <c r="K3" s="3" t="n">
        <v>18000</v>
      </c>
      <c r="L3" s="2" t="n">
        <v>2024</v>
      </c>
      <c r="M3" s="2" t="inlineStr">
        <is>
          <t>company</t>
        </is>
      </c>
      <c r="N3" s="2" t="inlineStr">
        <is>
          <t>Figure from model knowledge of the company's published report; could not be re-verified against a source in this session (search budget exhausted, network blocked). FY2024 Form 10-K: approximately 18,000 employees (FY2025 10-K figure not checked).</t>
        </is>
      </c>
      <c r="O3" s="2" t="inlineStr">
        <is>
          <t>USD 6.51 billion</t>
        </is>
      </c>
      <c r="P3" s="3" t="n">
        <v>6510</v>
      </c>
      <c r="Q3" s="2" t="inlineStr">
        <is>
          <t>FY2024 (ended 31 Oct 2024)</t>
        </is>
      </c>
      <c r="R3" s="2" t="inlineStr">
        <is>
          <t>company</t>
        </is>
      </c>
      <c r="S3" s="2" t="inlineStr">
        <is>
          <t>Figure from model knowledge of the company's published report; could not be re-verified against a source in this session (search budget exhausted, network blocked). FY2025 (ended 31 Oct 2025) revenue was reported around USD 6.9-7.0 billion but is not verified here.</t>
        </is>
      </c>
      <c r="T3" s="2" t="inlineStr">
        <is>
          <t>reported</t>
        </is>
      </c>
      <c r="U3" s="2" t="inlineStr">
        <is>
          <t>Agilent 1290 Infinity III LC — flagship UHPLC liquid chromatography system</t>
        </is>
      </c>
      <c r="V3" s="2" t="inlineStr">
        <is>
          <t>Agilent 8890 GC / 7010 Triple Quad GC/MS — gas chromatograph and GC-MS/MS systems</t>
        </is>
      </c>
      <c r="W3" s="2" t="inlineStr">
        <is>
          <t>Agilent BioTek Cytation — cell imaging multimode microplate reader</t>
        </is>
      </c>
      <c r="X3" s="2" t="inlineStr"/>
      <c r="Y3" s="2" t="inlineStr"/>
      <c r="Z3" s="2" t="inlineStr"/>
      <c r="AA3" s="2" t="inlineStr"/>
      <c r="AB3" s="2" t="inlineStr"/>
      <c r="AC3" s="2" t="inlineStr">
        <is>
          <t>distributor</t>
        </is>
      </c>
      <c r="AD3" s="2" t="inlineStr">
        <is>
          <t>מפיץ / נציג ישראלי</t>
        </is>
      </c>
      <c r="AE3" s="2" t="inlineStr">
        <is>
          <t>verified</t>
        </is>
      </c>
      <c r="AF3" s="2" t="inlineStr">
        <is>
          <t>אומת ממקור</t>
        </is>
      </c>
      <c r="AG3" s="2" t="inlineStr">
        <is>
          <t>Eldan Electronic Instruments Ltd. (Neopharm group) (אלדן) [מפיץ; Agilent authorised distributor for Israel (chromatography, spectroscopy, mass spectrometry, lab products)]</t>
        </is>
      </c>
      <c r="AH3" s="2" t="inlineStr">
        <is>
          <t>Agilent's own Israel contact page lists Eldan Electronic Instruments (Kiryat Gat / Petah Tikva, Neopharm group) as its authorised distributor; Eldan's site says it has represented Agilent for over four decades. Whether Agilent also has a direct office for genomics/cell analysis (BioTek) remains to be checked.</t>
        </is>
      </c>
      <c r="AI3" s="2" t="inlineStr">
        <is>
          <t>medium</t>
        </is>
      </c>
      <c r="AJ3" s="2" t="inlineStr">
        <is>
          <t>Israel: one official-source entity supplied by the brief, not re-verified and not checked for completeness. Low: identity/products from model knowledge; size figures recalled from published reports but not verified in-session; Israeli presence not researched (search budget exhausted, WebFetch/curl blocked). Needs a follow-up research run.</t>
        </is>
      </c>
      <c r="AK3" s="2" t="inlineStr">
        <is>
          <t>https://www.agilent.com/en/contact-us/israel</t>
        </is>
      </c>
    </row>
    <row r="4">
      <c r="A4" s="2" t="n">
        <v>3</v>
      </c>
      <c r="B4" s="2" t="inlineStr">
        <is>
          <t>Merck KGaA – Life Science (MilliporeSigma / Sigma-Aldrich / Merck Millipore)</t>
        </is>
      </c>
      <c r="C4" s="2" t="inlineStr">
        <is>
          <t>MilliporeSigma (USA/Canada), Sigma-Aldrich, Merck Millipore, Millipore, EMD Millipore, SAFC, Supelco, BioReliance</t>
        </is>
      </c>
      <c r="D4" s="2" t="inlineStr">
        <is>
          <t>Darmstadt</t>
        </is>
      </c>
      <c r="E4" s="2" t="inlineStr">
        <is>
          <t>Germany</t>
        </is>
      </c>
      <c r="F4" s="2" t="inlineStr">
        <is>
          <t>Merck KGaA</t>
        </is>
      </c>
      <c r="G4" s="2" t="inlineStr">
        <is>
          <t>Subsidiary/business sector of Merck KGaA (public, FWB: MRK; majority held by the Merck family via E. Merck KG)</t>
        </is>
      </c>
      <c r="H4" s="2" t="n">
        <v>1668</v>
      </c>
      <c r="I4" s="2" t="inlineStr">
        <is>
          <t>https://www.sigmaaldrich.com</t>
        </is>
      </c>
      <c r="J4" s="2" t="inlineStr">
        <is>
          <t>Life-science instruments &amp; reagents</t>
        </is>
      </c>
      <c r="K4" s="3" t="n">
        <v>62000</v>
      </c>
      <c r="L4" s="2" t="n">
        <v>2024</v>
      </c>
      <c r="M4" s="2" t="inlineStr">
        <is>
          <t>parent</t>
        </is>
      </c>
      <c r="N4" s="2" t="inlineStr">
        <is>
          <t>Merck KGaA group headcount (~62,000); the Life Science business sector employs roughly 28,000 (recalled, unverified).</t>
        </is>
      </c>
      <c r="O4" s="2" t="inlineStr">
        <is>
          <t>EUR 9.26 billion</t>
        </is>
      </c>
      <c r="P4" s="3" t="n">
        <v>10188</v>
      </c>
      <c r="Q4" s="2" t="inlineStr">
        <is>
          <t>FY2024</t>
        </is>
      </c>
      <c r="R4" s="2" t="inlineStr">
        <is>
          <t>segment</t>
        </is>
      </c>
      <c r="S4" s="2" t="inlineStr">
        <is>
          <t>Figure from model knowledge of the company's published report; could not be re-verified against a source in this session (search budget exhausted, network blocked). Life Science sector net sales ~EUR 9,262 million in 2024 (group net sales ~EUR 21.2 billion). FY2025 figures not verified. Converted at EUR 1.10.</t>
        </is>
      </c>
      <c r="T4" s="2" t="inlineStr">
        <is>
          <t>reported</t>
        </is>
      </c>
      <c r="U4" s="2" t="inlineStr">
        <is>
          <t>Milli-Q — laboratory ultrapure / pure water purification systems</t>
        </is>
      </c>
      <c r="V4" s="2" t="inlineStr">
        <is>
          <t>Millipore filtration (Millex, Stericup, Mobius) — lab filtration and single-use bioprocess products</t>
        </is>
      </c>
      <c r="W4" s="2" t="inlineStr">
        <is>
          <t>Sigma-Aldrich research chemicals — reagents, biochemicals and analytical standards</t>
        </is>
      </c>
      <c r="X4" s="2" t="inlineStr"/>
      <c r="Y4" s="2" t="inlineStr"/>
      <c r="Z4" s="2" t="inlineStr"/>
      <c r="AA4" s="2" t="inlineStr"/>
      <c r="AB4" s="2" t="inlineStr"/>
      <c r="AC4" s="2" t="inlineStr">
        <is>
          <t>subsidiary</t>
        </is>
      </c>
      <c r="AD4" s="2" t="inlineStr">
        <is>
          <t>חברה-בת / משרד של היצרן בישראל</t>
        </is>
      </c>
      <c r="AE4" s="2" t="inlineStr">
        <is>
          <t>verified</t>
        </is>
      </c>
      <c r="AF4" s="2" t="inlineStr">
        <is>
          <t>אומת ממקור</t>
        </is>
      </c>
      <c r="AG4" s="2" t="inlineStr">
        <is>
          <t>Sigma-Aldrich Israel Ltd. (affiliate of Merck KGaA, Darmstadt) [חברה-בת; Merck's own Israeli entity: sales/customer contact for Israel and production sites in Rehovot (antibodies, primers, peptides; 3 Plaut St.) and Jerusalem (Har Hotzvim)] | Mercury Scientific &amp; Industrial Products Ltd. (Gadot group) (מרקורי מוצרי מדע ותעשייה (גדות מרקורי)) [מפיץ; self-described exclusive Israeli representative for Merck Milli-Q lab-water systems (sales + certified service since 2012) and distributor of Merck KGaA life-science and chemicals divisions (Millipore filtration, MQuant etc.)]</t>
        </is>
      </c>
      <c r="AH4" s="2" t="inlineStr">
        <is>
          <t>Searched Sigma-Aldrich Israel/Rehovot generically, Merck/Milli-Q on Israeli distributor domains and sigmaaldrich.com/merckmillipore.com office pages. Sigma-Aldrich's contact page lists 'Sigma-Aldrich Israel Ltd., an affiliate of Merck KGaA, Darmstadt, Germany' at 3 Plaut St., Rehovot 7670603 (site self-assessment: operating since 1989, producing antibodies, primers and peptides), and Merck ISO certificates list a Jerusalem (Har Hotzvim) site, confirming Merck's own Israeli entity. For lab equipment, Mercury Scientific &amp; Industrial Products (part of Gadot since 2022) describes itself as the exclusive Israeli representative for Merck Milli-Q lab-water systems and distributor of Merck KGaA's life-science and chemicals divisions, so Milli-Q is sold via Mercury rather than direct; this is self-reported on Mercury's site and not independently confirmed by Merck.</t>
        </is>
      </c>
      <c r="AI4" s="2" t="inlineStr">
        <is>
          <t>high</t>
        </is>
      </c>
      <c r="AJ4" s="2" t="inlineStr">
        <is>
          <t>Subsidiary confirmed on the manufacturer's own contact page and certificates; Milli-Q distributor role is the distributor's own statement.</t>
        </is>
      </c>
      <c r="AK4" s="2" t="inlineStr">
        <is>
          <t>https://www.sigmaaldrich.com/US/en/collections/offices ; https://www.sigmaaldrich.com/content/dam/sigma-aldrich/docs/Sigma-Aldrich/General_Information/2/rehovot-site-self-assessment.pdf ; https://www.sigmaaldrich.com/deepweb/assets/sigmaaldrich/marketing/global/documents/164/028/certificate-iso-14001-123.pdf ; https://www.mercury-ltd.co.il/water_purification_1 ; https://eng.mercury-ltd.co.il/about_us ; https://eng.mercury-ltd.co.il/analytical_and_sample_preparation</t>
        </is>
      </c>
    </row>
    <row r="5">
      <c r="A5" s="2" t="n">
        <v>4</v>
      </c>
      <c r="B5" s="2" t="inlineStr">
        <is>
          <t>Waters Corporation</t>
        </is>
      </c>
      <c r="C5" s="2" t="inlineStr">
        <is>
          <t>TA Instruments, Wyatt Technology, Waters Biosciences (ex-BD Biosciences), Waters Advanced Diagnostics (ex-BD Diagnostic Solutions)</t>
        </is>
      </c>
      <c r="D5" s="2" t="inlineStr">
        <is>
          <t>Milford, Massachusetts</t>
        </is>
      </c>
      <c r="E5" s="2" t="inlineStr">
        <is>
          <t>USA</t>
        </is>
      </c>
      <c r="F5" s="2" t="inlineStr"/>
      <c r="G5" s="2" t="inlineStr">
        <is>
          <t>Public (NYSE: WAT)</t>
        </is>
      </c>
      <c r="H5" s="2" t="n">
        <v>1958</v>
      </c>
      <c r="I5" s="2" t="inlineStr">
        <is>
          <t>https://www.waters.com</t>
        </is>
      </c>
      <c r="J5" s="2" t="inlineStr">
        <is>
          <t>Analytical instruments (chromatography / mass spectrometry / spectroscopy)</t>
        </is>
      </c>
      <c r="K5" s="3" t="n">
        <v>7800</v>
      </c>
      <c r="L5" s="2" t="n">
        <v>2024</v>
      </c>
      <c r="M5" s="2" t="inlineStr">
        <is>
          <t>company</t>
        </is>
      </c>
      <c r="N5" s="2" t="inlineStr">
        <is>
          <t>Figure from model knowledge of the company's published report; could not be re-verified against a source in this session (search budget exhausted, network blocked). Stand-alone Waters, ~7,800 employees (2024 10-K). The combination with BD's Biosciences &amp; Diagnostic Solutions business (announced 14 Jul 2025, Reverse Morris Trust, ~USD 17.5 billion; expected to close around end of Q1 calendar 2026) roughly doubles headcount (~16,000) and revenue (~USD 6.5 billion pro forma) - closing status and combined figures NOT verified in this session.</t>
        </is>
      </c>
      <c r="O5" s="2" t="inlineStr">
        <is>
          <t>USD 2.96 billion</t>
        </is>
      </c>
      <c r="P5" s="3" t="n">
        <v>2958</v>
      </c>
      <c r="Q5" s="2" t="inlineStr">
        <is>
          <t>FY2024</t>
        </is>
      </c>
      <c r="R5" s="2" t="inlineStr">
        <is>
          <t>company</t>
        </is>
      </c>
      <c r="S5" s="2" t="inlineStr">
        <is>
          <t>FY2024 stand-alone figure. On 9 Feb 2026 Waters completed the Reverse Morris Trust combination with BD's Biosciences &amp; Diagnostic Solutions businesses; the combined company has pro-forma revenue of roughly USD 6.5 billion and ~16,000 employees (deal announcement, not re-verified).</t>
        </is>
      </c>
      <c r="T5" s="2" t="inlineStr">
        <is>
          <t>reported</t>
        </is>
      </c>
      <c r="U5" s="2" t="inlineStr">
        <is>
          <t>ACQUITY Premier UPLC — ultra-performance liquid chromatography systems</t>
        </is>
      </c>
      <c r="V5" s="2" t="inlineStr">
        <is>
          <t>Xevo TQ Absolute — tandem quadrupole LC-MS/MS mass spectrometer</t>
        </is>
      </c>
      <c r="W5" s="2" t="inlineStr">
        <is>
          <t>Empower CDS — chromatography data system software</t>
        </is>
      </c>
      <c r="X5" s="2" t="inlineStr"/>
      <c r="Y5" s="2" t="inlineStr"/>
      <c r="Z5" s="2" t="inlineStr"/>
      <c r="AA5" s="2" t="inlineStr"/>
      <c r="AB5" s="2" t="inlineStr"/>
      <c r="AC5" s="2" t="inlineStr">
        <is>
          <t>distributor</t>
        </is>
      </c>
      <c r="AD5" s="2" t="inlineStr">
        <is>
          <t>מפיץ / נציג ישראלי</t>
        </is>
      </c>
      <c r="AE5" s="2" t="inlineStr">
        <is>
          <t>verified</t>
        </is>
      </c>
      <c r="AF5" s="2" t="inlineStr">
        <is>
          <t>אומת ממקור</t>
        </is>
      </c>
      <c r="AG5" s="2" t="inlineStr">
        <is>
          <t>Waters (TC) Israel Ltd. [חברה-בת; Israeli legal entity listed in Waters' 10-K subsidiaries exhibit; sales/service scope not established] | Bargal Analytical Instruments Ltd. (ברגל) [מפיץ; TA Instruments (a Waters division) thermal analysis, rheology and microcalorimetry – listed in TA Instruments' Middle East directory]</t>
        </is>
      </c>
      <c r="AH5" s="2" t="inlineStr">
        <is>
          <t>Waters' 10-K Exhibit 21.1 lists an Israeli subsidiary, Waters (TC) Israel Ltd. (seen in a search excerpt; the page itself could not be opened). Whether LC/MS instruments are sold direct or through an Israeli distributor was not established – to verify in the next round. TA Instruments' Middle East directory lists Bargal (Shoham / Airport City) for thermal analysis, rheology, microcalorimetry, dilatometry and thermal conductivity.</t>
        </is>
      </c>
      <c r="AI5" s="2" t="inlineStr">
        <is>
          <t>medium</t>
        </is>
      </c>
      <c r="AJ5" s="2" t="inlineStr"/>
      <c r="AK5" s="2" t="inlineStr">
        <is>
          <t>https://www.tainstruments.com/events/middleeast-directory.html</t>
        </is>
      </c>
    </row>
    <row r="6">
      <c r="A6" s="2" t="n">
        <v>5</v>
      </c>
      <c r="B6" s="2" t="inlineStr">
        <is>
          <t>Bruker Corporation</t>
        </is>
      </c>
      <c r="C6" s="2" t="inlineStr">
        <is>
          <t>Bruker BioSpin, Bruker Daltonics, Bruker AXS, Bruker Nano, Bruker Optics, Bruker Cellular Analysis, NanoString, ELITechGroup</t>
        </is>
      </c>
      <c r="D6" s="2" t="inlineStr">
        <is>
          <t>Billerica, Massachusetts</t>
        </is>
      </c>
      <c r="E6" s="2" t="inlineStr">
        <is>
          <t>USA</t>
        </is>
      </c>
      <c r="F6" s="2" t="inlineStr"/>
      <c r="G6" s="2" t="inlineStr">
        <is>
          <t>Public (Nasdaq: BRKR)</t>
        </is>
      </c>
      <c r="H6" s="2" t="n">
        <v>1960</v>
      </c>
      <c r="I6" s="2" t="inlineStr">
        <is>
          <t>https://www.bruker.com</t>
        </is>
      </c>
      <c r="J6" s="2" t="inlineStr">
        <is>
          <t>Diversified analytical &amp; life-science instruments</t>
        </is>
      </c>
      <c r="K6" s="3" t="n">
        <v>9900</v>
      </c>
      <c r="L6" s="2" t="n">
        <v>2024</v>
      </c>
      <c r="M6" s="2" t="inlineStr">
        <is>
          <t>company</t>
        </is>
      </c>
      <c r="N6" s="2" t="inlineStr">
        <is>
          <t>Figure from model knowledge of the company's published report; could not be re-verified against a source in this session (search budget exhausted, network blocked). Approximately 9,900 employees (2024 10-K); 2025 figure not checked.</t>
        </is>
      </c>
      <c r="O6" s="2" t="inlineStr">
        <is>
          <t>USD 3.37 billion</t>
        </is>
      </c>
      <c r="P6" s="3" t="n">
        <v>3366</v>
      </c>
      <c r="Q6" s="2" t="inlineStr">
        <is>
          <t>FY2024</t>
        </is>
      </c>
      <c r="R6" s="2" t="inlineStr">
        <is>
          <t>company</t>
        </is>
      </c>
      <c r="S6" s="2" t="inlineStr">
        <is>
          <t>Figure from model knowledge of the company's published report; could not be re-verified against a source in this session (search budget exhausted, network blocked). FY2024 revenue USD 3,366 million; FY2025 (~USD 3.4-3.5 billion) not verified.</t>
        </is>
      </c>
      <c r="T6" s="2" t="inlineStr">
        <is>
          <t>reported</t>
        </is>
      </c>
      <c r="U6" s="2" t="inlineStr">
        <is>
          <t>AVANCE NEO NMR — high-field NMR spectrometers (BioSpin)</t>
        </is>
      </c>
      <c r="V6" s="2" t="inlineStr">
        <is>
          <t>timsTOF — trapped-ion-mobility Q-TOF mass spectrometers (Daltonics)</t>
        </is>
      </c>
      <c r="W6" s="2" t="inlineStr">
        <is>
          <t>D8 ADVANCE / Dimension AFM — X-ray diffraction and atomic force microscopy systems</t>
        </is>
      </c>
      <c r="X6" s="2" t="inlineStr"/>
      <c r="Y6" s="2" t="inlineStr"/>
      <c r="Z6" s="2" t="inlineStr"/>
      <c r="AA6" s="2" t="inlineStr"/>
      <c r="AB6" s="2" t="inlineStr"/>
      <c r="AC6" s="2" t="inlineStr">
        <is>
          <t>subsidiary</t>
        </is>
      </c>
      <c r="AD6" s="2" t="inlineStr">
        <is>
          <t>חברה-בת / משרד של היצרן בישראל</t>
        </is>
      </c>
      <c r="AE6" s="2" t="inlineStr">
        <is>
          <t>verified</t>
        </is>
      </c>
      <c r="AF6" s="2" t="inlineStr">
        <is>
          <t>אומת ממקור</t>
        </is>
      </c>
      <c r="AG6" s="2" t="inlineStr">
        <is>
          <t>Lapidot Medical Import and Marketing Ltd. [מפיץ; Bruker's official Israel contact/partner (Caesarea Industrial Park); the Bruker Israel page covers the Bruker business generally - no separate NMR / AXS / Nano / microCT listings were visible] | Bruker - Israel office, Gedera (mass spectrometry) [חברה-בת; mass-spectrometry (Bruker Daltonics) enquiries are directed to Bruker's own office in Gedera, Israel; legal entity name not shown on the page]</t>
        </is>
      </c>
      <c r="AH6" s="2" t="inlineStr">
        <is>
          <t>One scope-clarification search (Bruker + Israel + NMR/MS/AXS/Lapidot). Bruker's own Israel support page (English, Japanese and Spanish versions, 2025-2026) names Lapidot Medical Import and Marketing Ltd., Caesarea Industrial Park, as the Israel contact and says mass-spectrometry questions go to Bruker's office in Gedera, Israel. No division-specific (NMR/AXS/Nano/microCT) partner listings appeared, so Lapidot appears to be the general Israeli partner while MS is handled by Bruker's own local office; the Gedera entity's legal name and the exact split of duties were not visible and Lapidot's own site was not checked.</t>
        </is>
      </c>
      <c r="AI6" s="2" t="inlineStr">
        <is>
          <t>high</t>
        </is>
      </c>
      <c r="AJ6" s="2" t="inlineStr">
        <is>
          <t>Both Israeli entities come from Bruker's official support page; division-level scope and the Gedera entity name remain unconfirmed.</t>
        </is>
      </c>
      <c r="AK6" s="2" t="inlineStr">
        <is>
          <t>https://www.bruker.com/en/services/support/india-middleeast-africa/israel-caesarea.html ; https://www.bruker.com/en/services/support/office.india-middle-east-africa.israel-caesarea.html ; https://www.bruker.com/es/services/support/india-middleeast-africa/israel-caesarea.html</t>
        </is>
      </c>
    </row>
    <row r="7">
      <c r="A7" s="2" t="n">
        <v>6</v>
      </c>
      <c r="B7" s="2" t="inlineStr">
        <is>
          <t>Shimadzu Corporation</t>
        </is>
      </c>
      <c r="C7" s="2" t="inlineStr">
        <is>
          <t>Shimadzu Scientific Instruments, Shimadzu Europa, Shimadzu Analytical &amp; Measuring Instruments</t>
        </is>
      </c>
      <c r="D7" s="2" t="inlineStr">
        <is>
          <t>Kyoto</t>
        </is>
      </c>
      <c r="E7" s="2" t="inlineStr">
        <is>
          <t>Japan</t>
        </is>
      </c>
      <c r="F7" s="2" t="inlineStr"/>
      <c r="G7" s="2" t="inlineStr">
        <is>
          <t>Public (TSE: 7701)</t>
        </is>
      </c>
      <c r="H7" s="2" t="n">
        <v>1875</v>
      </c>
      <c r="I7" s="2" t="inlineStr">
        <is>
          <t>https://www.shimadzu.com</t>
        </is>
      </c>
      <c r="J7" s="2" t="inlineStr">
        <is>
          <t>Analytical instruments (chromatography / mass spectrometry / spectroscopy)</t>
        </is>
      </c>
      <c r="K7" s="3" t="n">
        <v>14600</v>
      </c>
      <c r="L7" s="2" t="n">
        <v>2025</v>
      </c>
      <c r="M7" s="2" t="inlineStr">
        <is>
          <t>company</t>
        </is>
      </c>
      <c r="N7" s="2" t="inlineStr">
        <is>
          <t>Figure from model knowledge of the company's published report; could not be re-verified against a source in this session (search budget exhausted, network blocked). Consolidated group headcount approx. 14,600 as of 31 Mar 2025 (approximate).</t>
        </is>
      </c>
      <c r="O7" s="2" t="inlineStr">
        <is>
          <t>JPY 511.9 billion</t>
        </is>
      </c>
      <c r="P7" s="3" t="n">
        <v>3430</v>
      </c>
      <c r="Q7" s="2" t="inlineStr">
        <is>
          <t>FY ending Mar-2025</t>
        </is>
      </c>
      <c r="R7" s="2" t="inlineStr">
        <is>
          <t>company</t>
        </is>
      </c>
      <c r="S7" s="2" t="inlineStr">
        <is>
          <t>Figure from model knowledge of the company's published report; could not be re-verified against a source in this session (search budget exhausted, network blocked). Consolidated net sales ~JPY 511.9 billion for FY2024 (ended 31 Mar 2025); FY ending Mar-2026 not verified. Converted at JPY 0.0067.</t>
        </is>
      </c>
      <c r="T7" s="2" t="inlineStr">
        <is>
          <t>reported</t>
        </is>
      </c>
      <c r="U7" s="2" t="inlineStr">
        <is>
          <t>Nexera UHPLC series — ultra-high-performance liquid chromatographs</t>
        </is>
      </c>
      <c r="V7" s="2" t="inlineStr">
        <is>
          <t>LCMS-8060NX / LCMS-9050 — triple-quadrupole and Q-TOF LC-MS/MS systems</t>
        </is>
      </c>
      <c r="W7" s="2" t="inlineStr">
        <is>
          <t>GCMS-QP2050 — single-quadrupole GC-MS system</t>
        </is>
      </c>
      <c r="X7" s="2" t="inlineStr"/>
      <c r="Y7" s="2" t="inlineStr"/>
      <c r="Z7" s="2" t="inlineStr"/>
      <c r="AA7" s="2" t="inlineStr"/>
      <c r="AB7" s="2" t="inlineStr"/>
      <c r="AC7" s="2" t="inlineStr">
        <is>
          <t>distributor</t>
        </is>
      </c>
      <c r="AD7" s="2" t="inlineStr">
        <is>
          <t>מפיץ / נציג ישראלי</t>
        </is>
      </c>
      <c r="AE7" s="2" t="inlineStr">
        <is>
          <t>verified</t>
        </is>
      </c>
      <c r="AF7" s="2" t="inlineStr">
        <is>
          <t>אומת ממקור</t>
        </is>
      </c>
      <c r="AG7" s="2" t="inlineStr">
        <is>
          <t>Agentek (1987) Ltd. (אגנטק) [מפיץ; analytical instruments - HPLC/UHPLC (i-Series LC-2070/LC-2080), LC-MS (LCMS-9050, LCMS-8065XE), GC (Nexis GC-2060), XRF (ALTRACE) per Agentek's product pages]</t>
        </is>
      </c>
      <c r="AH7" s="2" t="inlineStr">
        <is>
          <t>Searched 'Shimadzu' Israel distributor/representative/נציג/יבואן, then restricted to Israeli distributor domains and to shimadzu.com. Agentek's own site has a dedicated Shimadzu representative page, lists Shimadzu on its vendors page and carries current Shimadzu product pages (i-Series LC, LCMS-9050, Nexis GC-2060, ALTRACE XRF). Shimadzu's global contact-search page lists Israel among its Middle East &amp; Africa countries but the local partner's name was not visible in the snippets, so manufacturer-side confirmation and exclusivity (and any separate partner for medical/X-ray or balances) remain unverified; no Shimadzu Israeli subsidiary was found. Agentek's own vendors page (agentek.co.il/vendors) lists the brand among the manufacturers it represents in Israel (seen in a search excerpt; the manufacturer's own distributor page was not opened).</t>
        </is>
      </c>
      <c r="AI7" s="2" t="inlineStr">
        <is>
          <t>medium</t>
        </is>
      </c>
      <c r="AJ7" s="2" t="inlineStr">
        <is>
          <t>Distributor's own brand page with current products; not confirmed on Shimadzu's site.</t>
        </is>
      </c>
      <c r="AK7" s="2" t="inlineStr">
        <is>
          <t>https://agentek.co.il/representative/shimadzu/ ; https://agentek.co.il/vendors/ ; https://agentek.co.il/products/shimadzu-i-series/ ; https://www.shimadzu.com/med/contactsearch/index.html ; https://www.shimadzu.com/an/contact/index.html</t>
        </is>
      </c>
    </row>
    <row r="8">
      <c r="A8" s="2" t="n">
        <v>7</v>
      </c>
      <c r="B8" s="2" t="inlineStr">
        <is>
          <t>Mettler-Toledo International</t>
        </is>
      </c>
      <c r="C8" s="2" t="inlineStr">
        <is>
          <t>Mettler Toledo, Rainin, Ohaus, Thornton, Safeline, Hi-Speed</t>
        </is>
      </c>
      <c r="D8" s="2" t="inlineStr">
        <is>
          <t>Columbus, Ohio (operational HQ Greifensee, Switzerland)</t>
        </is>
      </c>
      <c r="E8" s="2" t="inlineStr">
        <is>
          <t>USA</t>
        </is>
      </c>
      <c r="F8" s="2" t="inlineStr"/>
      <c r="G8" s="2" t="inlineStr">
        <is>
          <t>Public (NYSE: MTD)</t>
        </is>
      </c>
      <c r="H8" s="2" t="n">
        <v>1945</v>
      </c>
      <c r="I8" s="2" t="inlineStr">
        <is>
          <t>https://www.mt.com</t>
        </is>
      </c>
      <c r="J8" s="2" t="inlineStr">
        <is>
          <t>Lab balances &amp; weighing</t>
        </is>
      </c>
      <c r="K8" s="3" t="n">
        <v>17000</v>
      </c>
      <c r="L8" s="2" t="n">
        <v>2024</v>
      </c>
      <c r="M8" s="2" t="inlineStr">
        <is>
          <t>company</t>
        </is>
      </c>
      <c r="N8" s="2" t="inlineStr">
        <is>
          <t>Figure from model knowledge of the company's published report; could not be re-verified against a source in this session (search budget exhausted, network blocked). Approximately 17,000 employees (2024 10-K).</t>
        </is>
      </c>
      <c r="O8" s="2" t="inlineStr">
        <is>
          <t>USD 3.87 billion</t>
        </is>
      </c>
      <c r="P8" s="3" t="n">
        <v>3872</v>
      </c>
      <c r="Q8" s="2" t="inlineStr">
        <is>
          <t>FY2024</t>
        </is>
      </c>
      <c r="R8" s="2" t="inlineStr">
        <is>
          <t>company</t>
        </is>
      </c>
      <c r="S8" s="2" t="inlineStr">
        <is>
          <t>Figure from model knowledge of the company's published report; could not be re-verified against a source in this session (search budget exhausted, network blocked). FY2024 net sales USD 3,872 million; FY2025 (~USD 3.9-4.0 billion) not verified.</t>
        </is>
      </c>
      <c r="T8" s="2" t="inlineStr">
        <is>
          <t>reported</t>
        </is>
      </c>
      <c r="U8" s="2" t="inlineStr">
        <is>
          <t>XPR analytical &amp; micro balances — high-precision laboratory balances</t>
        </is>
      </c>
      <c r="V8" s="2" t="inlineStr">
        <is>
          <t>Rainin Pipet-Lite XLS / E4 XLS — manual and electronic pipettes</t>
        </is>
      </c>
      <c r="W8" s="2" t="inlineStr">
        <is>
          <t>Excellence Titrators &amp; SevenExcellence meters — titration and pH/ion analysis</t>
        </is>
      </c>
      <c r="X8" s="2" t="inlineStr"/>
      <c r="Y8" s="2" t="inlineStr"/>
      <c r="Z8" s="2" t="inlineStr"/>
      <c r="AA8" s="2" t="inlineStr"/>
      <c r="AB8" s="2" t="inlineStr"/>
      <c r="AC8" s="2" t="inlineStr">
        <is>
          <t>distributor</t>
        </is>
      </c>
      <c r="AD8" s="2" t="inlineStr">
        <is>
          <t>מפיץ / נציג ישראלי</t>
        </is>
      </c>
      <c r="AE8" s="2" t="inlineStr">
        <is>
          <t>verified</t>
        </is>
      </c>
      <c r="AF8" s="2" t="inlineStr">
        <is>
          <t>אומת ממקור</t>
        </is>
      </c>
      <c r="AG8" s="2" t="inlineStr">
        <is>
          <t>Agentek (1987) Ltd. (אגנטק) [מפיץ; laboratory weighing (balances) per mt.com Israel page; Agentek's own site also shows Rainin pipettes (distributing since replacing Gilson), titration/automated chemistry (reactor sampling), FreeWeigh.NET and industrial scales; Euro Park Yakum, sales +972 9 9657000, service +972 9 9657007] | Modcon Systems Ltd. [מפיץ; process analytics (Ingold sensors/transmitters); Akko, +972 4 9553955] | Dinco Ltd. [מפיץ; product inspection (Safeline X-ray etc.); Tirat Carmel, +972 4 813 15 15]</t>
        </is>
      </c>
      <c r="AH8" s="2" t="inlineStr">
        <is>
          <t>Searched Mettler-Toledo Israel distributor/נציג/יבואן, Israeli distributor domains, and mt.com. Mettler-Toledo's own Israel page (mt.com/il) lists three partner companies instead of a direct office: Agentek (1987) Ltd. for laboratory weighing, Modcon Systems Ltd. for process analytics and Dinco Ltd. for product inspection. Agentek's site independently confirms it with a Mettler Toledo representative page, a news item that it distributes Mettler-Toledo Rainin pipettes, and balance/titration/scale product pages. No Mettler-Toledo Israeli subsidiary was found; phone numbers and the exact scope split were taken from search snippets and not re-checked on the live page. Agentek's own vendors page (agentek.co.il/vendors) lists the brand among the manufacturers it represents in Israel (seen in a search excerpt; the manufacturer's own distributor page was not opened).</t>
        </is>
      </c>
      <c r="AI8" s="2" t="inlineStr">
        <is>
          <t>high</t>
        </is>
      </c>
      <c r="AJ8" s="2" t="inlineStr">
        <is>
          <t>Manufacturer's own Israel page plus the distributor's own site agree.</t>
        </is>
      </c>
      <c r="AK8" s="2" t="inlineStr">
        <is>
          <t>https://www.mt.com/il/en/home.html ; https://agentek.co.il/representative/mettler-toledo/ ; https://agentek.co.il/news/agntq-mthilh-lwvvq-at-mvcri-rainin ; https://agentek.co.il/products/mettler-toledo-e4-electronic-pipette-lts-e4-10xls/ ; https://agentek.co.il/?p=104 ; https://agentek.co.il/vendors/</t>
        </is>
      </c>
    </row>
    <row r="9">
      <c r="A9" s="2" t="n">
        <v>8</v>
      </c>
      <c r="B9" s="2" t="inlineStr">
        <is>
          <t>Sartorius AG</t>
        </is>
      </c>
      <c r="C9" s="2" t="inlineStr">
        <is>
          <t>Sartorius Stedim Biotech, Sartorius Lab Instruments, Octet (ex-ForteBio), BIA Separations, Biological Industries</t>
        </is>
      </c>
      <c r="D9" s="2" t="inlineStr">
        <is>
          <t>Göttingen</t>
        </is>
      </c>
      <c r="E9" s="2" t="inlineStr">
        <is>
          <t>Germany</t>
        </is>
      </c>
      <c r="F9" s="2" t="inlineStr"/>
      <c r="G9" s="2" t="inlineStr">
        <is>
          <t>Public (FWB: SRT / SRT3)</t>
        </is>
      </c>
      <c r="H9" s="2" t="n">
        <v>1870</v>
      </c>
      <c r="I9" s="2" t="inlineStr">
        <is>
          <t>https://www.sartorius.com</t>
        </is>
      </c>
      <c r="J9" s="2" t="inlineStr">
        <is>
          <t>Bioprocess &amp; filtration</t>
        </is>
      </c>
      <c r="K9" s="3" t="n">
        <v>13500</v>
      </c>
      <c r="L9" s="2" t="n">
        <v>2024</v>
      </c>
      <c r="M9" s="2" t="inlineStr">
        <is>
          <t>company</t>
        </is>
      </c>
      <c r="N9" s="2" t="inlineStr">
        <is>
          <t>Figure from model knowledge of the company's published report; could not be re-verified against a source in this session (search budget exhausted, network blocked). Group headcount approx. 13,500 at end-2024 (approximate).</t>
        </is>
      </c>
      <c r="O9" s="2" t="inlineStr">
        <is>
          <t>EUR 3.38 billion</t>
        </is>
      </c>
      <c r="P9" s="3" t="n">
        <v>3719</v>
      </c>
      <c r="Q9" s="2" t="inlineStr">
        <is>
          <t>FY2024</t>
        </is>
      </c>
      <c r="R9" s="2" t="inlineStr">
        <is>
          <t>company</t>
        </is>
      </c>
      <c r="S9" s="2" t="inlineStr">
        <is>
          <t>Figure from model knowledge of the company's published report; could not be re-verified against a source in this session (search budget exhausted, network blocked). FY2024 sales revenue EUR 3,381 million; FY2025 (~EUR 3.5-3.6 billion) not verified. Converted at EUR 1.10.</t>
        </is>
      </c>
      <c r="T9" s="2" t="inlineStr">
        <is>
          <t>reported</t>
        </is>
      </c>
      <c r="U9" s="2" t="inlineStr">
        <is>
          <t>Octet BLI systems — label-free bio-layer interferometry analyzers</t>
        </is>
      </c>
      <c r="V9" s="2" t="inlineStr">
        <is>
          <t>Biostat STR — single-use stirred-tank bioreactors</t>
        </is>
      </c>
      <c r="W9" s="2" t="inlineStr">
        <is>
          <t>Cubis II balances — modular premium laboratory balances</t>
        </is>
      </c>
      <c r="X9" s="2" t="inlineStr"/>
      <c r="Y9" s="2" t="inlineStr"/>
      <c r="Z9" s="2" t="inlineStr"/>
      <c r="AA9" s="2" t="inlineStr"/>
      <c r="AB9" s="2" t="inlineStr"/>
      <c r="AC9" s="2" t="inlineStr">
        <is>
          <t>subsidiary</t>
        </is>
      </c>
      <c r="AD9" s="2" t="inlineStr">
        <is>
          <t>חברה-בת / משרד של היצרן בישראל</t>
        </is>
      </c>
      <c r="AE9" s="2" t="inlineStr">
        <is>
          <t>verified</t>
        </is>
      </c>
      <c r="AF9" s="2" t="inlineStr">
        <is>
          <t>אומת ממקור</t>
        </is>
      </c>
      <c r="AG9" s="2" t="inlineStr">
        <is>
          <t>Sartorius Israel Ltd. [חברה-בת; Sartorius' Israeli company at Kibbutz Beit Haemek (ex-Biological Industries; cell-culture media production and local contact, info.israel@sartorius.com, +972-4-9960595); in-country sales representative advertised] | Labotal Scientific Equipment (לבוטל) [מפיץ; self-described exclusive Sartorius representative in Israel for weighing (Cubis II balances) and lab products incl. pipettes]</t>
        </is>
      </c>
      <c r="AH9" s="2" t="inlineStr">
        <is>
          <t>Searched Sartorius Israel/Beit HaEmek generically, Sartorius on Israeli distributor domains, sartorius.com and labotal.co.il. Sartorius' 'local contact' page lists Sartorius Israel at Kibbutz Beit Haemek 2511500, its list of companies includes Sartorius Israel Ltd., press releases confirm the majority acquisition of Biological Industries (2019) and the June 2021 opening of the Beit Haemek cell-culture-media plant, and a Sartorius job ad for a home-office sales representative in Israel shows in-country sales staff. Lab products: Labotal describes itself on its own site as the exclusive Sartorius representative in Israel for weighing (Cubis II balances) and lists Sartorius pipettes; the filtration channel was not seen. Caveat: a Sartorius Stedim Biotech financial-statement note refers to 'Sartorius Israel Ltd. (51%)' as not consolidated for materiality, so the legal entity may be a small, partly-owned company distinct from the Beit Haemek production business.</t>
        </is>
      </c>
      <c r="AI9" s="2" t="inlineStr">
        <is>
          <t>high</t>
        </is>
      </c>
      <c r="AJ9" s="2" t="inlineStr">
        <is>
          <t>Israeli entity confirmed on manufacturer's contact and subsidiaries pages; Labotal's exclusivity for balances is self-reported.</t>
        </is>
      </c>
      <c r="AK9" s="2" t="inlineStr">
        <is>
          <t>https://www.sartorius.com/en/general-contact/local-contact ; https://www.sartorius.com/en/sartorius-companies ; https://www.sartorius.com/en/company/newsroom/corporate-news/370526-370526 ; https://www.sartorius.com/en/company/newsroom/corporate-news/sartorius-opens-new-cell-culture-media-production-site-in-beit-haemek-808526 ; https://www.sartorius.com/en/company/careers/vacancies-job-opportunities/sales-representative-home-office-israel-743862 ; https://www.sartorius.com/download/1525608/2-consolidated-financial-statements-and-notes-en-data.pdf ; https://labotal.co.il/המדריך-המקיף-לבחירת-מאזניים-אנליטיים/ ; https://labotal.co.il/firms/?lang=en</t>
        </is>
      </c>
    </row>
    <row r="10">
      <c r="A10" s="2" t="n">
        <v>9</v>
      </c>
      <c r="B10" s="2" t="inlineStr">
        <is>
          <t>Revvity</t>
        </is>
      </c>
      <c r="C10" s="2" t="inlineStr">
        <is>
          <t>formerly PerkinElmer, Inc. (renamed May 2023); EUROIMMUN, BioLegend, Horizon Discovery, Nexcelom, Oxford Immunotec, Cisbio/HTRF, Dharmacon, Omni</t>
        </is>
      </c>
      <c r="D10" s="2" t="inlineStr">
        <is>
          <t>Waltham, Massachusetts</t>
        </is>
      </c>
      <c r="E10" s="2" t="inlineStr">
        <is>
          <t>USA</t>
        </is>
      </c>
      <c r="F10" s="2" t="inlineStr"/>
      <c r="G10" s="2" t="inlineStr">
        <is>
          <t>Public (NYSE: RVTY)</t>
        </is>
      </c>
      <c r="H10" s="2" t="n">
        <v>1937</v>
      </c>
      <c r="I10" s="2" t="inlineStr">
        <is>
          <t>https://www.revvity.com</t>
        </is>
      </c>
      <c r="J10" s="2" t="inlineStr">
        <is>
          <t>Life-science instruments &amp; reagents</t>
        </is>
      </c>
      <c r="K10" s="3" t="n">
        <v>11000</v>
      </c>
      <c r="L10" s="2" t="n">
        <v>2025</v>
      </c>
      <c r="M10" s="2" t="inlineStr">
        <is>
          <t>company</t>
        </is>
      </c>
      <c r="N10" s="2" t="inlineStr">
        <is>
          <t>11,000+ employees per Revvity 2025 Corporate Fact Sheet (March 2025)</t>
        </is>
      </c>
      <c r="O10" s="2" t="inlineStr">
        <is>
          <t>USD 2.76 billion</t>
        </is>
      </c>
      <c r="P10" s="3" t="n">
        <v>2755</v>
      </c>
      <c r="Q10" s="2" t="inlineStr">
        <is>
          <t>FY2024</t>
        </is>
      </c>
      <c r="R10" s="2" t="inlineStr">
        <is>
          <t>company</t>
        </is>
      </c>
      <c r="S10" s="2" t="inlineStr">
        <is>
          <t>Figure from model knowledge of the company's published report; could not be re-verified against a source in this session (search budget exhausted, network blocked). FY2024 revenue USD 2,755 million; FY2025 (~USD 2.8 billion) not verified.</t>
        </is>
      </c>
      <c r="T10" s="2" t="inlineStr">
        <is>
          <t>reported</t>
        </is>
      </c>
      <c r="U10" s="2" t="inlineStr">
        <is>
          <t>EnVision Nexus — multimode microplate reader for HTS</t>
        </is>
      </c>
      <c r="V10" s="2" t="inlineStr">
        <is>
          <t>Opera Phenix Plus — high-content screening / imaging system</t>
        </is>
      </c>
      <c r="W10" s="2" t="inlineStr">
        <is>
          <t>BioLegend antibodies &amp; reagents — research antibodies, immunoassays and proteins</t>
        </is>
      </c>
      <c r="X10" s="2" t="inlineStr"/>
      <c r="Y10" s="2" t="inlineStr"/>
      <c r="Z10" s="2" t="inlineStr"/>
      <c r="AA10" s="2" t="inlineStr"/>
      <c r="AB10" s="2" t="inlineStr"/>
      <c r="AC10" s="2" t="inlineStr">
        <is>
          <t>distributor</t>
        </is>
      </c>
      <c r="AD10" s="2" t="inlineStr">
        <is>
          <t>מפיץ / נציג ישראלי</t>
        </is>
      </c>
      <c r="AE10" s="2" t="inlineStr">
        <is>
          <t>verified</t>
        </is>
      </c>
      <c r="AF10" s="2" t="inlineStr">
        <is>
          <t>אומת ממקור</t>
        </is>
      </c>
      <c r="AG10" s="2" t="inlineStr">
        <is>
          <t>Gamidor Diagnostics (גאמידור בע"מ) [מפיץ; reproductive health / prenatal screening immunoassays (PAPP-A, free beta-hCG, AFP, hCG, uE3, inhibin, PlGF) - Gamidor states it has represented Revvity (ex-PerkinElmer/Wallac) in prenatal screening since 1984] | Enco (אנקו) [מפיץ; Revvity screening reagents and consumables (OptiPlate/SpectraPlate microplates, AlphaLISA SureFire Ultra kits) listed in Enco's online catalogue]</t>
        </is>
      </c>
      <c r="AH10" s="2" t="inlineStr">
        <is>
          <t>Searched Revvity Israel distributor/נציג/יבואן, Israeli distributor domains (Revvity OR PerkinElmer), revvity.com and a 'Revvity Israel' entity search. No Revvity Israeli subsidiary or office was found: revvity.com's office/distributor listing and the 2023 SEC Exhibit 21 subsidiary list show no Israel entity, and the 2013 'PerkinElmer establishes direct operations in Israel' release (now on ir.revvity.com) refers to the Ra'anana office that today is listed by PerkinElmer (the analytical company), not Revvity. Gamidor's own site says it represents Revvity for prenatal screening and Enco's catalogue sells Revvity plates/reagents; no Israeli partner was found for Revvity life-science instruments (EnVision, Opera Phenix) or for newborn-screening instruments, which may be sold directly from abroad or via an unidentified channel. Enco's suppliers page lists Revvity and its catalogue carries Revvity screening reagents.</t>
        </is>
      </c>
      <c r="AI10" s="2" t="inlineStr">
        <is>
          <t>medium</t>
        </is>
      </c>
      <c r="AJ10" s="2" t="inlineStr">
        <is>
          <t>Distributor-site evidence for diagnostics reagents and consumables; coverage of instruments and newborn screening unverified; no manufacturer-side confirmation.</t>
        </is>
      </c>
      <c r="AK10" s="2" t="inlineStr">
        <is>
          <t>https://gamidor.co.il/en/genetics/ ; https://www.enco.co.il/screening_reagents/optiplate384_f_hb200b/6005529/ ; https://www.revvity.com/office-locations-and-authorized-distributors ; https://www.revvity.com/contact-us/contact-distributor ; https://ir.revvity.com/news/investor-news/news-details/2013/PerkinElmer-Establishes-Direct-Operations-in-Israel-08-01-2013/default.aspx ; https://www.sec.gov/Archives/edgar/data/31791/000003179124000004/a2023exhibit21.htm ; https://s202.q4cdn.com/908952201/files/doc_downloads/2025/2025-Corporate-Fact-Sheet_March-2025.pdf ; https://www.enco.co.il/suppliers.php</t>
        </is>
      </c>
    </row>
    <row r="11">
      <c r="A11" s="2" t="n">
        <v>10</v>
      </c>
      <c r="B11" s="2" t="inlineStr">
        <is>
          <t>PerkinElmer (New Mountain Capital)</t>
        </is>
      </c>
      <c r="C11" s="2" t="inlineStr">
        <is>
          <t>PerkinElmer analytical, enterprise &amp; food businesses carved out of the former PerkinElmer (now Revvity) in 2023; NexION, Avio, Spectrum, Lambda, Pyris, OneSource</t>
        </is>
      </c>
      <c r="D11" s="2" t="inlineStr">
        <is>
          <t>Shelton, Connecticut</t>
        </is>
      </c>
      <c r="E11" s="2" t="inlineStr">
        <is>
          <t>USA</t>
        </is>
      </c>
      <c r="F11" s="2" t="inlineStr">
        <is>
          <t>New Mountain Capital</t>
        </is>
      </c>
      <c r="G11" s="2" t="inlineStr">
        <is>
          <t>Private equity (New Mountain Capital, since March 2023)</t>
        </is>
      </c>
      <c r="H11" s="2" t="n">
        <v>1937</v>
      </c>
      <c r="I11" s="2" t="inlineStr">
        <is>
          <t>https://www.perkinelmer.com</t>
        </is>
      </c>
      <c r="J11" s="2" t="inlineStr">
        <is>
          <t>Analytical instruments (chromatography / mass spectrometry / spectroscopy)</t>
        </is>
      </c>
      <c r="K11" s="3" t="n">
        <v>6000</v>
      </c>
      <c r="L11" s="2" t="n">
        <v>2024</v>
      </c>
      <c r="M11" s="2" t="inlineStr">
        <is>
          <t>company</t>
        </is>
      </c>
      <c r="N11" s="2" t="inlineStr">
        <is>
          <t>'more than 6,000 employees' per March 2024 Chromatography Online interview with PerkinElmer's CEO and CCO (company statement, not an annual report)</t>
        </is>
      </c>
      <c r="O11" s="2" t="inlineStr">
        <is>
          <t>USD 1.3 billion (estimate)</t>
        </is>
      </c>
      <c r="P11" s="3" t="n">
        <v>1300</v>
      </c>
      <c r="Q11" s="2" t="inlineStr">
        <is>
          <t>FY2022 (at carve-out)</t>
        </is>
      </c>
      <c r="R11" s="2" t="inlineStr">
        <is>
          <t>estimate</t>
        </is>
      </c>
      <c r="S11" s="2" t="inlineStr">
        <is>
          <t>ESTIMATE: the divested PerkinElmer analytical/enterprise/food businesses were described as roughly USD 1.3 billion in annual revenue when the sale to New Mountain Capital was announced (Aug 2022, closed Mar 2023). Private company; no published current revenue; not verified in this session.</t>
        </is>
      </c>
      <c r="T11" s="2" t="inlineStr">
        <is>
          <t>estimate</t>
        </is>
      </c>
      <c r="U11" s="2" t="inlineStr">
        <is>
          <t>NexION ICP-MS — inductively coupled plasma mass spectrometers</t>
        </is>
      </c>
      <c r="V11" s="2" t="inlineStr">
        <is>
          <t>Avio ICP-OES — ICP optical emission spectrometers for elemental analysis</t>
        </is>
      </c>
      <c r="W11" s="2" t="inlineStr">
        <is>
          <t>Spectrum 3 / Lambda / Pyris — FT-IR, UV-Vis and thermal analysis instruments</t>
        </is>
      </c>
      <c r="X11" s="2" t="inlineStr"/>
      <c r="Y11" s="2" t="inlineStr"/>
      <c r="Z11" s="2" t="inlineStr"/>
      <c r="AA11" s="2" t="inlineStr"/>
      <c r="AB11" s="2" t="inlineStr"/>
      <c r="AC11" s="2" t="inlineStr">
        <is>
          <t>subsidiary</t>
        </is>
      </c>
      <c r="AD11" s="2" t="inlineStr">
        <is>
          <t>חברה-בת / משרד של היצרן בישראל</t>
        </is>
      </c>
      <c r="AE11" s="2" t="inlineStr">
        <is>
          <t>verified</t>
        </is>
      </c>
      <c r="AF11" s="2" t="inlineStr">
        <is>
          <t>אומת ממקור</t>
        </is>
      </c>
      <c r="AG11" s="2" t="inlineStr">
        <is>
          <t>PerkinElmer Israel Ltd. [חברה-בת; direct sales, service and support for analytical instruments (atomic spectroscopy/ICP-MS, chromatography, mass spectrometry, FTIR) and OneSource lab services; 4 HaSheizaf St., Ra'anana 4366411, +972 3655 8777] | ISI Israel Scientific Instruments Ltd. [מפיץ; food testing / food quality products, as listed on PerkinElmer's site; Shacham St 32, Petach Tikva, +972 3-9232202 (site given as isil.co.il)]</t>
        </is>
      </c>
      <c r="AH11" s="2" t="inlineStr">
        <is>
          <t>Searched PerkinElmer Israel distributor/נציג/יבואן (ICP/GC/FTIR), perkinelmer.com office/distributor pages and a 2024-2026 'PerkinElmer Israel Ltd' news search. PerkinElmer set up direct sales/service operations in Israel in August 2013 (press release; GM Aaron Geist named in 2015) and perkinelmer.com currently lists a PerkinElmer Israel office/PerkinElmer Israel Ltd. in Ra'anana plus ISI Israel Scientific Instruments Ltd. (Petach Tikva) as an Israeli partner for food testing. After the 2023 split the Israel entity stayed with the analytical company (now New Mountain Capital-owned PerkinElmer) rather than Revvity; no 2024-2026 Israel-specific news was found, so current staffing/scope of the Ra'anana office rests on the manufacturer's current listing only.</t>
        </is>
      </c>
      <c r="AI11" s="2" t="inlineStr">
        <is>
          <t>high</t>
        </is>
      </c>
      <c r="AJ11" s="2" t="inlineStr">
        <is>
          <t>Manufacturer's own office-locations page names the Israeli subsidiary and partner; no recent independent confirmation.</t>
        </is>
      </c>
      <c r="AK11" s="2" t="inlineStr">
        <is>
          <t>https://www.perkinelmer.com/be/contactus/officelocations?location=IL ; https://www.perkinelmer.com/node/3901 ; https://www.perkinelmer.com/node/10826 ; https://ir.perkinelmer.com/news-releases/news-release-details/perkinelmer-establishes-direct-operations-israel ; https://news.revvity.com/press-announcements/press-releases/press-release-details/2015/PerkinElmer-to-Display-Laboratory-Instruments-Informatics-and-Services-at-Isranalytica-2015-01-05-2015/default.aspx ; https://www.chromatographyonline.com/a-conversation-with-the-ceo-and-cco-of-perkinelmer</t>
        </is>
      </c>
    </row>
    <row r="12">
      <c r="A12" s="2" t="n">
        <v>11</v>
      </c>
      <c r="B12" s="2" t="inlineStr">
        <is>
          <t>Bio-Rad Laboratories</t>
        </is>
      </c>
      <c r="C12" s="2" t="inlineStr">
        <is>
          <t>Bio-Rad; DiaMed (immunohematology)</t>
        </is>
      </c>
      <c r="D12" s="2" t="inlineStr">
        <is>
          <t>Hercules, California</t>
        </is>
      </c>
      <c r="E12" s="2" t="inlineStr">
        <is>
          <t>USA</t>
        </is>
      </c>
      <c r="F12" s="2" t="inlineStr"/>
      <c r="G12" s="2" t="inlineStr">
        <is>
          <t>Public (NYSE: BIO)</t>
        </is>
      </c>
      <c r="H12" s="2" t="n">
        <v>1952</v>
      </c>
      <c r="I12" s="2" t="inlineStr">
        <is>
          <t>https://www.bio-rad.com</t>
        </is>
      </c>
      <c r="J12" s="2" t="inlineStr">
        <is>
          <t>Life-science instruments &amp; reagents</t>
        </is>
      </c>
      <c r="K12" s="3" t="n">
        <v>7450</v>
      </c>
      <c r="L12" s="2" t="n">
        <v>2025</v>
      </c>
      <c r="M12" s="2" t="inlineStr">
        <is>
          <t>company</t>
        </is>
      </c>
      <c r="N12" s="2" t="inlineStr">
        <is>
          <t>Third-party aggregator figure (company profiles citing FY2025 data); the FY2025 10-K could not be opened in this session (fetch tool failure) and aggregators range from ~7,450 to ~8,300. Treat as approximate.</t>
        </is>
      </c>
      <c r="O12" s="2" t="inlineStr">
        <is>
          <t>USD 2.58 billion</t>
        </is>
      </c>
      <c r="P12" s="3" t="n">
        <v>2580</v>
      </c>
      <c r="Q12" s="2" t="inlineStr">
        <is>
          <t>FY2025</t>
        </is>
      </c>
      <c r="R12" s="2" t="inlineStr">
        <is>
          <t>company</t>
        </is>
      </c>
      <c r="S12" s="2" t="inlineStr">
        <is>
          <t>EDGAR-derived aggregator figure (edgar.tools: USD 2.58B for FY ending 2025-12-31); another summary says USD 2.55B. 10-K itself not opened. Two segments: Life Science and Clinical Diagnostics.</t>
        </is>
      </c>
      <c r="T12" s="2" t="inlineStr">
        <is>
          <t>mixed</t>
        </is>
      </c>
      <c r="U12" s="2" t="inlineStr">
        <is>
          <t>QX600 Droplet Digital PCR — ddPCR absolute nucleic-acid quantification system</t>
        </is>
      </c>
      <c r="V12" s="2" t="inlineStr">
        <is>
          <t>CFX Opus Real-Time PCR — qPCR detection systems</t>
        </is>
      </c>
      <c r="W12" s="2" t="inlineStr">
        <is>
          <t>ChemiDoc MP — gel and western-blot imaging system</t>
        </is>
      </c>
      <c r="X12" s="2" t="inlineStr"/>
      <c r="Y12" s="2" t="inlineStr"/>
      <c r="Z12" s="2" t="inlineStr"/>
      <c r="AA12" s="2" t="inlineStr"/>
      <c r="AB12" s="2" t="inlineStr"/>
      <c r="AC12" s="2" t="inlineStr">
        <is>
          <t>subsidiary</t>
        </is>
      </c>
      <c r="AD12" s="2" t="inlineStr">
        <is>
          <t>חברה-בת / משרד של היצרן בישראל</t>
        </is>
      </c>
      <c r="AE12" s="2" t="inlineStr">
        <is>
          <t>verified</t>
        </is>
      </c>
      <c r="AF12" s="2" t="inlineStr">
        <is>
          <t>אומת ממקור</t>
        </is>
      </c>
      <c r="AG12" s="2" t="inlineStr">
        <is>
          <t>Bio-Rad Israel Ltd. (Bio-Rad Laboratories (Rishon)) (ביו-ראד ישראל) [חברה-בת; direct sales &amp; service of life-science and clinical-diagnostics products (Rishon LeZion; branch since 1991)] | Bio-Rad Haifa Ltd. (ביו-ראד חיפה) [חברה-בת; R&amp;D site (ex-ProteOptics, 2006); not a sales channel]</t>
        </is>
      </c>
      <c r="AH12" s="2" t="inlineStr">
        <is>
          <t>Own subsidiary confirmed. Bio-Rad's careers site has a dedicated Israel page and job postings under 'Bio-Rad Israel Ltd' with work location 'Bio-Rad Laboratories Ltd, Rishon Le Zion, Israel, 75655'. Bio-Rad's SEC Exhibit 21.1 (FY2019 and FY2021 10-Ks) lists 'Bio-Rad Laboratories (Rishon), Inc.' (f/k/a Bio-Rad Laboratories (Israel), Inc., California jurisdiction) and 'Bio-Rad Haifa Ltd.' (Israel). A company directory (startupim) gives the Rishon LeZion address as 14 HaHoma St. and says the Israeli sales branch was established in 1991; Bio-Rad Haifa is the R&amp;D centre created from the 2006 ProteOptics acquisition. Sources conflict on the exact legal form of the Rishon entity (Israeli 'Ltd' vs California 'Inc.'). Direct sales via the own subsidiary is the channel; no independent distributor surfaced. Limitation: bio-rad.com contact page could not be opened (fetch tool failure) and the search budget ran out before a domain-restricted check.</t>
        </is>
      </c>
      <c r="AI12" s="2" t="inlineStr">
        <is>
          <t>medium</t>
        </is>
      </c>
      <c r="AJ12" s="2" t="inlineStr">
        <is>
          <t>Israeli subsidiary is well supported (own careers site + SEC subsidiary exhibit). Size figures come from aggregators, not the 10-K itself, because page fetching failed in this session.</t>
        </is>
      </c>
      <c r="AK12" s="2" t="inlineStr">
        <is>
          <t>https://careers.bio-rad.com/israel ; https://careers.bio-rad.com/zh/jobs/field-service-eng-rishon-le-zion-israel ; https://www.sec.gov/Archives/edgar/data/12208/000001220822000011/ex211123121.htm ; https://www.sec.gov/Archives/edgar/data/12208/000001220820000012/ex211123119.htm ; https://slimpages.startupim.com/company_page/bio-rad-laboratories ; https://app.edgar.tools/companies/BIO ; https://bitscale.ai/directory/bio-rad-laboratories ; https://www.reveliolabs.com/companies/bio-rad-laboratories/employees</t>
        </is>
      </c>
    </row>
    <row r="13">
      <c r="A13" s="2" t="n">
        <v>12</v>
      </c>
      <c r="B13" s="2" t="inlineStr">
        <is>
          <t>Avantor (incl. VWR)</t>
        </is>
      </c>
      <c r="C13" s="2" t="inlineStr">
        <is>
          <t>VWR; J.T.Baker; Macron Fine Chemicals; NuSil; Masterflex</t>
        </is>
      </c>
      <c r="D13" s="2" t="inlineStr">
        <is>
          <t>Radnor, Pennsylvania</t>
        </is>
      </c>
      <c r="E13" s="2" t="inlineStr">
        <is>
          <t>USA</t>
        </is>
      </c>
      <c r="F13" s="2" t="inlineStr"/>
      <c r="G13" s="2" t="inlineStr">
        <is>
          <t>Public (NYSE: AVTR)</t>
        </is>
      </c>
      <c r="H13" s="2" t="n">
        <v>1904</v>
      </c>
      <c r="I13" s="2" t="inlineStr">
        <is>
          <t>https://www.avantorsciences.com</t>
        </is>
      </c>
      <c r="J13" s="2" t="inlineStr">
        <is>
          <t>Lab distribution &amp; own-brand products</t>
        </is>
      </c>
      <c r="K13" s="3" t="n">
        <v>13500</v>
      </c>
      <c r="L13" s="2" t="n">
        <v>2025</v>
      </c>
      <c r="M13" s="2" t="inlineStr">
        <is>
          <t>company</t>
        </is>
      </c>
      <c r="N13" s="2" t="inlineStr">
        <is>
          <t>Figure shown consistently by PitchBook, Tracenable and Motley Fool (likely from the FY2025 10-K human-capital section); Revelio Labs shows ~14,600. The 10-K (sec.gov avtr-20251231.htm) could not be opened (fetch failure).</t>
        </is>
      </c>
      <c r="O13" s="2" t="inlineStr">
        <is>
          <t>USD 6.55 billion</t>
        </is>
      </c>
      <c r="P13" s="3" t="n">
        <v>6552</v>
      </c>
      <c r="Q13" s="2" t="inlineStr">
        <is>
          <t>FY2025</t>
        </is>
      </c>
      <c r="R13" s="2" t="inlineStr">
        <is>
          <t>company</t>
        </is>
      </c>
      <c r="S13" s="2" t="inlineStr">
        <is>
          <t>Company Q4/FY2025 press release: net sales USD 6.55B, down 3% (organic -3%); net loss USD 530M. EDGAR-derived figure 6,552 (USD millions) vs 6,784 in FY2024.</t>
        </is>
      </c>
      <c r="T13" s="2" t="inlineStr">
        <is>
          <t>reported</t>
        </is>
      </c>
      <c r="U13" s="2" t="inlineStr">
        <is>
          <t>VWR-brand consumables and lab supplies — lab products sold through the VWR distribution channel</t>
        </is>
      </c>
      <c r="V13" s="2" t="inlineStr">
        <is>
          <t>J.T.Baker chemicals — high-purity lab chemicals and solvents</t>
        </is>
      </c>
      <c r="W13" s="2" t="inlineStr">
        <is>
          <t>NuSil silicones — medical- and implant-grade silicone materials</t>
        </is>
      </c>
      <c r="X13" s="2" t="inlineStr"/>
      <c r="Y13" s="2" t="inlineStr"/>
      <c r="Z13" s="2" t="inlineStr"/>
      <c r="AA13" s="2" t="inlineStr"/>
      <c r="AB13" s="2" t="inlineStr"/>
      <c r="AC13" s="2" t="inlineStr">
        <is>
          <t>none_found</t>
        </is>
      </c>
      <c r="AD13" s="2" t="inlineStr">
        <is>
          <t>לא נמצא ייצוג</t>
        </is>
      </c>
      <c r="AE13" s="2" t="inlineStr">
        <is>
          <t>partial</t>
        </is>
      </c>
      <c r="AF13" s="2" t="inlineStr">
        <is>
          <t>חיפוש חלקי (ללא פתיחת אתרי היצרן/המפיץ)</t>
        </is>
      </c>
      <c r="AG13" s="2" t="inlineStr"/>
      <c r="AH13" s="2" t="inlineStr">
        <is>
          <t>חיפוש רשת בלבד; דפי ״מפיצים״ של היצרן ואתרי המפיצים לא נפתחו (חסימת רשת). Round 3 ran four searches: the brand restricted to the 40 Israeli distributor domains (only SEC filings surfaced; no Israeli lab-supply site mentions VWR or Avantor), a Hebrew-only query 'VWR Avantor יבואן נציגות בישראל ציוד מעבדה' (only acquisition news and a VWR International GmbH exhibitor listing that cites a Dubai hub), an 'Israel' query restricted to vwr.com/avantorsciences.com (no Israel page) and an extended English query (no Israeli partner named). VWR describes itself as Avantor's direct selling channel serving customers in ~180 countries, so Israel is probably served directly from Avantor/VWR Europe or through unnamed local resellers, but no Israeli entity could be identified.</t>
        </is>
      </c>
      <c r="AI13" s="2" t="inlineStr">
        <is>
          <t>low</t>
        </is>
      </c>
      <c r="AJ13" s="2" t="inlineStr">
        <is>
          <t>Absence of evidence only; no source names an Israeli VWR/Avantor subsidiary or distributor.</t>
        </is>
      </c>
      <c r="AK13" s="2" t="inlineStr">
        <is>
          <t>https://www.sec.gov/Archives/edgar/data/1722482/000162828026007118/avtr-20251231.htm ; https://seekingalpha.com/pr/20395342 ; https://pitchbook.com/profiles/company/43001-47 ; https://www.reveliolabs.com/companies/avantor/employees/ ; https://gqp.avantorsciences.com/pages/en/vwr-part-of-avantor ; https://www.chemie.de/firmen/12501/vwr-international-gmbh.html ; https://www.sec.gov/Archives/edgar/data/1722482/000130817926000162/avtr015027-arsa.pdf ; https://corporate.avantorsciences.com/in/en/about/who-we-are ; https://arablab.german-pavilion.com/en/sites/exhibitors/98661 ; https://en.wikipedia.org/wiki/Avantor</t>
        </is>
      </c>
    </row>
    <row r="14">
      <c r="A14" s="2" t="n">
        <v>13</v>
      </c>
      <c r="B14" s="2" t="inlineStr">
        <is>
          <t>Eppendorf SE</t>
        </is>
      </c>
      <c r="C14" s="2" t="inlineStr">
        <is>
          <t>Eppendorf AG (until 2021); New Brunswick (brand)</t>
        </is>
      </c>
      <c r="D14" s="2" t="inlineStr">
        <is>
          <t>Hamburg</t>
        </is>
      </c>
      <c r="E14" s="2" t="inlineStr">
        <is>
          <t>Germany</t>
        </is>
      </c>
      <c r="F14" s="2" t="inlineStr"/>
      <c r="G14" s="2" t="inlineStr">
        <is>
          <t>Private (family-owned)</t>
        </is>
      </c>
      <c r="H14" s="2" t="n">
        <v>1945</v>
      </c>
      <c r="I14" s="2" t="inlineStr">
        <is>
          <t>https://www.eppendorf.com</t>
        </is>
      </c>
      <c r="J14" s="2" t="inlineStr">
        <is>
          <t>Liquid handling &amp; lab automation</t>
        </is>
      </c>
      <c r="K14" s="3" t="n">
        <v>4125</v>
      </c>
      <c r="L14" s="2" t="n">
        <v>2025</v>
      </c>
      <c r="M14" s="2" t="inlineStr">
        <is>
          <t>company</t>
        </is>
      </c>
      <c r="N14" s="2" t="inlineStr">
        <is>
          <t>Annual average full-time equivalents 2025 per Eppendorf Group Annual Report 2025 key-figures table (2024: 4,658 FTE).</t>
        </is>
      </c>
      <c r="O14" s="2" t="inlineStr">
        <is>
          <t>EUR 924 million</t>
        </is>
      </c>
      <c r="P14" s="3" t="n">
        <v>1016</v>
      </c>
      <c r="Q14" s="2" t="inlineStr">
        <is>
          <t>FY2025</t>
        </is>
      </c>
      <c r="R14" s="2" t="inlineStr">
        <is>
          <t>company</t>
        </is>
      </c>
      <c r="S14" s="2" t="inlineStr">
        <is>
          <t>Eppendorf Group consolidated revenue EUR 924.0M in FY2025 (prior year EUR 980M, -5.7%); EBIT EUR 95.6M. Converted at EUR 1.10.</t>
        </is>
      </c>
      <c r="T14" s="2" t="inlineStr">
        <is>
          <t>reported</t>
        </is>
      </c>
      <c r="U14" s="2" t="inlineStr">
        <is>
          <t>Eppendorf Research plus — manual mechanical pipettes</t>
        </is>
      </c>
      <c r="V14" s="2" t="inlineStr">
        <is>
          <t>Centrifuge 5430 / 5910 Ri — benchtop refrigerated centrifuges</t>
        </is>
      </c>
      <c r="W14" s="2" t="inlineStr">
        <is>
          <t>epMotion — automated liquid-handling workstations</t>
        </is>
      </c>
      <c r="X14" s="2" t="inlineStr"/>
      <c r="Y14" s="2" t="inlineStr"/>
      <c r="Z14" s="2" t="inlineStr"/>
      <c r="AA14" s="2" t="inlineStr"/>
      <c r="AB14" s="2" t="inlineStr"/>
      <c r="AC14" s="2" t="inlineStr">
        <is>
          <t>distributor</t>
        </is>
      </c>
      <c r="AD14" s="2" t="inlineStr">
        <is>
          <t>מפיץ / נציג ישראלי</t>
        </is>
      </c>
      <c r="AE14" s="2" t="inlineStr">
        <is>
          <t>verified</t>
        </is>
      </c>
      <c r="AF14" s="2" t="inlineStr">
        <is>
          <t>אומת ממקור</t>
        </is>
      </c>
      <c r="AG14" s="2" t="inlineStr">
        <is>
          <t>Lumitron Ltd. (Comtel Technologies &amp; Engineering group) (לומיטרון) [מפיץ; Eppendorf importer / distributor (centrifuges, pipettes, consumables)]</t>
        </is>
      </c>
      <c r="AH14" s="2" t="inlineStr">
        <is>
          <t>Evidence is indirect: a Hebrew LinkedIn post (Nili Krool, Israel) announcing the Israeli launch (6 March) of the Eppendorf SpinPro 6 R centrifuge directs enquiries to Lumitron (לומיטרון), described as part of the Comtel Technologies &amp; Engineering group (קומטל) and an importer of laboratory equipment and consumables - implying Lumitron markets Eppendorf in Israel, although the post does not state the distributorship explicitly. Eppendorf's corporate site says it has subsidiaries in 33 countries and is represented elsewhere by distribution partners; no 'Eppendorf Israel' subsidiary surfaced. Searched 'Eppendorf Israel distributor' and 'אפנדורף Eppendorf נציג בישראל'. The eppendorf.com distributor/contact page and Lumitron's own site could not be opened (fetch failure; search budget exhausted), so this needs confirmation.</t>
        </is>
      </c>
      <c r="AI14" s="2" t="inlineStr">
        <is>
          <t>medium</t>
        </is>
      </c>
      <c r="AJ14" s="2" t="inlineStr">
        <is>
          <t>Size figures are official (Annual Report 2025). The Israeli distributor attribution rests on a single Hebrew LinkedIn post and was not confirmed on Eppendorf's or Lumitron's own site.</t>
        </is>
      </c>
      <c r="AK14" s="2" t="inlineStr">
        <is>
          <t>https://annual-report.eppendorf.com/EN/Eppendorf_GB2025_e_editorial.pdf ; https://annual-report.eppendorf.com/EN/Eppendorf_GB2025_e_vorwort.pdf ; https://en.wikipedia.org/wiki/Eppendorf_(company) ; https://corporate.eppendorf.com ; https://il.linkedin.com/in/nili-krool</t>
        </is>
      </c>
    </row>
    <row r="15">
      <c r="A15" s="2" t="n">
        <v>14</v>
      </c>
      <c r="B15" s="2" t="inlineStr">
        <is>
          <t>QIAGEN</t>
        </is>
      </c>
      <c r="C15" s="2" t="inlineStr">
        <is>
          <t>QIAGEN; QIAstat-Dx; QuantiFERON; Genoox</t>
        </is>
      </c>
      <c r="D15" s="2" t="inlineStr">
        <is>
          <t>Venlo (statutory seat); operational HQ Hilden, Germany</t>
        </is>
      </c>
      <c r="E15" s="2" t="inlineStr">
        <is>
          <t>Netherlands</t>
        </is>
      </c>
      <c r="F15" s="2" t="inlineStr"/>
      <c r="G15" s="2" t="inlineStr">
        <is>
          <t>Public (NYSE: QGEN; Frankfurt: QIA)</t>
        </is>
      </c>
      <c r="H15" s="2" t="n">
        <v>1984</v>
      </c>
      <c r="I15" s="2" t="inlineStr">
        <is>
          <t>https://www.qiagen.com</t>
        </is>
      </c>
      <c r="J15" s="2" t="inlineStr">
        <is>
          <t>Life-science instruments &amp; reagents</t>
        </is>
      </c>
      <c r="K15" s="3" t="n">
        <v>6000</v>
      </c>
      <c r="L15" s="2" t="n">
        <v>2025</v>
      </c>
      <c r="M15" s="2" t="inlineStr">
        <is>
          <t>company</t>
        </is>
      </c>
      <c r="N15" s="2" t="inlineStr">
        <is>
          <t>Approximate: QIAGEN's corporate boilerplate states 'more than 6,000 employees'; the exact 2025 annual-report figure was not retrieved in this session (search budget exhausted). Company materials seen describe 35 subsidiaries in 25+ countries and distribution partners in 60+ countries.</t>
        </is>
      </c>
      <c r="O15" s="2" t="inlineStr">
        <is>
          <t>USD 2.09 billion</t>
        </is>
      </c>
      <c r="P15" s="3" t="n">
        <v>2090</v>
      </c>
      <c r="Q15" s="2" t="inlineStr">
        <is>
          <t>FY2025</t>
        </is>
      </c>
      <c r="R15" s="2" t="inlineStr">
        <is>
          <t>company</t>
        </is>
      </c>
      <c r="S15" s="2" t="inlineStr">
        <is>
          <t>FY2025 net sales USD 2.09B vs USD 1.98B in 2024 (~+5% CER); net income USD 424.9M (360Dx/GenomeWeb coverage of the Q4 2025 release). QIAGEN reports in USD.</t>
        </is>
      </c>
      <c r="T15" s="2" t="inlineStr">
        <is>
          <t>mixed</t>
        </is>
      </c>
      <c r="U15" s="2" t="inlineStr">
        <is>
          <t>QIAcube Connect — automated nucleic-acid extraction instrument</t>
        </is>
      </c>
      <c r="V15" s="2" t="inlineStr">
        <is>
          <t>QIAstat-Dx — syndromic molecular diagnostic panel system</t>
        </is>
      </c>
      <c r="W15" s="2" t="inlineStr">
        <is>
          <t>QuantiFERON-TB Gold Plus — interferon-gamma TB blood test</t>
        </is>
      </c>
      <c r="X15" s="2" t="inlineStr"/>
      <c r="Y15" s="2" t="inlineStr"/>
      <c r="Z15" s="2" t="inlineStr"/>
      <c r="AA15" s="2" t="inlineStr"/>
      <c r="AB15" s="2" t="inlineStr"/>
      <c r="AC15" s="2" t="inlineStr">
        <is>
          <t>distributor</t>
        </is>
      </c>
      <c r="AD15" s="2" t="inlineStr">
        <is>
          <t>מפיץ / נציג ישראלי</t>
        </is>
      </c>
      <c r="AE15" s="2" t="inlineStr">
        <is>
          <t>verified</t>
        </is>
      </c>
      <c r="AF15" s="2" t="inlineStr">
        <is>
          <t>אומת ממקור</t>
        </is>
      </c>
      <c r="AG15" s="2" t="inlineStr">
        <is>
          <t>Ilex Medical Ltd. [מפיץ; molecular diagnostics and research - QIAcuity digital PCR, Rotor-Gene Q qPCR, QIAxcel, nucleic-acid extraction, oncology and hematology assay kits (Ilex catalogue pages, c. 2024)] | Eldan Electronic Instruments (Neopharm group) [מפיץ; listed QIAGEN among the manufacturers it represents in Israel (life-science research) on a 2014 page and showed QIAGEN products at ISM/IIS meetings in 2015-2016; current status unconfirmed] | Lifegene Ltd. (לייפג'ין) [מפיץ; https://www.lifegene.co.il]</t>
        </is>
      </c>
      <c r="AH15" s="2" t="inlineStr">
        <is>
          <t>Searched QIAGEN Israel distributor/נציג/יבואן, Israeli distributor domains and qiagen.com. Ilex Medical's own catalogue lists QIAGEN instruments and kits (QIAcuity, Rotor-Gene Q, QIAxcel, extraction, oncology), while Eldan's site named QIAGEN as a represented manufacturer in 2014 and exhibited QIAGEN products in 2015-2016 - stale, so Eldan may no longer carry the line or may cover research-only products. QIAGEN's own pages route Israel to 'a commercial partner in your country' without naming one (a 2000 handbook named Westburg (Israel) Ltd., obsolete), and no QIAGEN Israeli subsidiary was found; QIAGEN's acquisition of Israeli start-up Genoox is an R&amp;D deal, not a sales channel. No source was seen for QIAsymphony/QIAstat-Dx specifically. Lifegene's catalogue lists QIAGEN as supplier and brand for enzymes; Ilex Medical (per round 2) covers the QIAGEN instrument/kit line.</t>
        </is>
      </c>
      <c r="AI15" s="2" t="inlineStr">
        <is>
          <t>medium</t>
        </is>
      </c>
      <c r="AJ15" s="2" t="inlineStr">
        <is>
          <t>Distributor-site evidence (Ilex current, Eldan stale); no confirmation on QIAGEN's site and the research-vs-clinical split between distributors is unverified.</t>
        </is>
      </c>
      <c r="AK15" s="2" t="inlineStr">
        <is>
          <t>https://www.360dx.com/business-news/qiagen-q4-revenue-rises-4-percent-sample-tech-diagnostic-sales-growth ; https://www.genomeweb.com/business-news/qiagen-q4-revenue-rises-4-percent-sample-tech-diagnostic-sales-growth ; https://www.ice.co.il/digital-140/news/article/1064369 ; https://qiagen.com/es/about-us ; https://www.qiagen.com/az/about-us/our-global-presence ; https://weforum.org/organizations/qiagen-nv ; https://www.ilexmedical.com/catalog_products/qpcr-dpcr/ ; https://www.ilexmedical.com/catalog_products/%D7%94%D7%9E%D7%98%D7%95-%D7%90%D7%95%D7%A0%D7%A7%D7%95%D7%9C%D7%95%D7%92%D7%99%D7%94-2/ ; https://eldan.biz/?p=1052 ; https://eldan.biz/the-annual-meeting-of-the-israel-society-for-microbiology-ism/ ; https://www.qiagen.com/us/contact-us/global-contacts ; https://www.qiagen.com/us/about-us/our-global-presence ; https://www.lifegene.co.il/page_30153</t>
        </is>
      </c>
    </row>
    <row r="16">
      <c r="A16" s="2" t="n">
        <v>15</v>
      </c>
      <c r="B16" s="2" t="inlineStr">
        <is>
          <t>Illumina</t>
        </is>
      </c>
      <c r="C16" s="2" t="inlineStr">
        <is>
          <t>Solexa (legacy); Emedgene (Israeli subsidiary)</t>
        </is>
      </c>
      <c r="D16" s="2" t="inlineStr">
        <is>
          <t>San Diego, California</t>
        </is>
      </c>
      <c r="E16" s="2" t="inlineStr">
        <is>
          <t>USA</t>
        </is>
      </c>
      <c r="F16" s="2" t="inlineStr"/>
      <c r="G16" s="2" t="inlineStr">
        <is>
          <t>Public (NASDAQ: ILMN)</t>
        </is>
      </c>
      <c r="H16" s="2" t="n">
        <v>1998</v>
      </c>
      <c r="I16" s="2" t="inlineStr">
        <is>
          <t>https://www.illumina.com</t>
        </is>
      </c>
      <c r="J16" s="2" t="inlineStr">
        <is>
          <t>Genomics / sequencing</t>
        </is>
      </c>
      <c r="K16" s="3" t="n">
        <v>8600</v>
      </c>
      <c r="L16" s="2" t="n">
        <v>2025</v>
      </c>
      <c r="M16" s="2" t="inlineStr">
        <is>
          <t>company</t>
        </is>
      </c>
      <c r="N16" s="2" t="inlineStr">
        <is>
          <t>FY2025 10-K: ~8,600 full-time employees as of 28 Dec 2025 (plus ~50 part-time and ~1,430 contingent workers); 8,970 a year earlier. Regional split: ~4,740 Americas, ~1,280 Europe, ~2,350 AMEA, ~290 Greater China.</t>
        </is>
      </c>
      <c r="O16" s="2" t="inlineStr">
        <is>
          <t>USD 4.34 billion</t>
        </is>
      </c>
      <c r="P16" s="3" t="n">
        <v>4343</v>
      </c>
      <c r="Q16" s="2" t="inlineStr">
        <is>
          <t>FY2025</t>
        </is>
      </c>
      <c r="R16" s="2" t="inlineStr">
        <is>
          <t>company</t>
        </is>
      </c>
      <c r="S16" s="2" t="inlineStr">
        <is>
          <t>Third-party summary of the FY2025 10-K: revenue USD 4,343M, down 1% from USD 4,372M in FY2024 (~74% consumables, 11% instruments, 15% services). Income-statement page of the 10-K not opened directly.</t>
        </is>
      </c>
      <c r="T16" s="2" t="inlineStr">
        <is>
          <t>reported</t>
        </is>
      </c>
      <c r="U16" s="2" t="inlineStr">
        <is>
          <t>NovaSeq X Series — high-throughput production-scale sequencers</t>
        </is>
      </c>
      <c r="V16" s="2" t="inlineStr">
        <is>
          <t>NextSeq 1000/2000 — mid-throughput benchtop sequencers</t>
        </is>
      </c>
      <c r="W16" s="2" t="inlineStr">
        <is>
          <t>MiSeq i100 — compact benchtop sequencer</t>
        </is>
      </c>
      <c r="X16" s="2" t="inlineStr"/>
      <c r="Y16" s="2" t="inlineStr"/>
      <c r="Z16" s="2" t="inlineStr"/>
      <c r="AA16" s="2" t="inlineStr"/>
      <c r="AB16" s="2" t="inlineStr"/>
      <c r="AC16" s="2" t="inlineStr">
        <is>
          <t>distributor</t>
        </is>
      </c>
      <c r="AD16" s="2" t="inlineStr">
        <is>
          <t>מפיץ / נציג ישראלי</t>
        </is>
      </c>
      <c r="AE16" s="2" t="inlineStr">
        <is>
          <t>verified</t>
        </is>
      </c>
      <c r="AF16" s="2" t="inlineStr">
        <is>
          <t>אומת ממקור</t>
        </is>
      </c>
      <c r="AG16" s="2" t="inlineStr">
        <is>
          <t>Danyel Biotech Ltd. (Gamida for Life group) (דניאל ביוטק) [מפיץ; Illumina sequencers, arrays and reagents (long-standing distributor; 2020 evidence – verify current status)] | Illumina Israel (ex-Emedgene, Tel Aviv) (אילומינה ישראל) [חברה-בת; R&amp;D / AI centre of excellence (~30 staff); not a sales channel]</t>
        </is>
      </c>
      <c r="AH16" s="2" t="inlineStr">
        <is>
          <t>Distributor: Danyel Biotech (Rehovot, founded 1998, part of the Gamida for Life group) is described in a January 2020 Saphetor/VarSome press release as 'a leading distributor providing innovative solutions such as Illumina, ArcherDx etc.' in Israel. That evidence is from 2020 and could not be re-verified on danyel.co.il or illumina.com's distributor page (fetch failure; search budget exhausted). Own entity: Illumina runs an Israeli R&amp;D/AI centre of excellence in Tel Aviv (~30 employees, headed by Einat Metzer) built on Emedgene, 'an Illumina company' (acquired 2022), per Calcalist and Israeli job listings; a third-party profile dates Illumina's Israeli presence to January 2022. No evidence was found that Illumina sells instruments or consumables directly in Israel, so the commercial channel is recorded as distributor with the own entity as R&amp;D only. Searched 'Illumina Israel distributor Danyel Biotech' and 'אילומינה Illumina ישראל נציג יבואן'.</t>
        </is>
      </c>
      <c r="AI16" s="2" t="inlineStr">
        <is>
          <t>medium</t>
        </is>
      </c>
      <c r="AJ16" s="2" t="inlineStr">
        <is>
          <t>Headcount is from the FY2025 10-K; revenue from a 10-K summary. Danyel distributorship rests on a 2020 third-party press release and was not re-confirmed on either company's site.</t>
        </is>
      </c>
      <c r="AK16" s="2" t="inlineStr">
        <is>
          <t>https://www.sec.gov/Archives/edgar/data/1110803/000111080326000024/ilmn-20251228.htm ; https://www.hudson-labs.com/research/illumina-stock-analysis-ilmn ; https://news.varsome.com/en/danyel-biotech-to-distribute-varsome-clinical-in-israel ; https://blog.varsome.com/danyel-biotech-to-distribute-varsome-clinical-in-israel ; https://www.cbinsights.com/company/danyel-biotech ; https://alumni.weizmann.ac.il/companies/biotech/ ; https://www.calcalist.co.il/calcalistech/article/rjxksl5e9 ; https://jobify360.co.il/jobs/3853084682-in ; https://startupim.com/company/illumina</t>
        </is>
      </c>
    </row>
    <row r="17">
      <c r="A17" s="2" t="n">
        <v>16</v>
      </c>
      <c r="B17" s="2" t="inlineStr">
        <is>
          <t>Beckman Coulter (Danaher)</t>
        </is>
      </c>
      <c r="C17" s="2" t="inlineStr">
        <is>
          <t>Beckman Coulter Life Sciences; Beckman Coulter Diagnostics; Beckman Instruments; Coulter Corporation</t>
        </is>
      </c>
      <c r="D17" s="2" t="inlineStr">
        <is>
          <t>Brea, California (Diagnostics); Indianapolis, Indiana (Life Sciences)</t>
        </is>
      </c>
      <c r="E17" s="2" t="inlineStr">
        <is>
          <t>USA</t>
        </is>
      </c>
      <c r="F17" s="2" t="inlineStr">
        <is>
          <t>Danaher Corporation</t>
        </is>
      </c>
      <c r="G17" s="2" t="inlineStr">
        <is>
          <t>Subsidiary of Danaher Corporation (public, NYSE: DHR)</t>
        </is>
      </c>
      <c r="H17" s="2" t="n">
        <v>1935</v>
      </c>
      <c r="I17" s="2" t="inlineStr">
        <is>
          <t>https://www.beckmancoulter.com</t>
        </is>
      </c>
      <c r="J17" s="2" t="inlineStr">
        <is>
          <t>Clinical / IVD laboratory analyzers</t>
        </is>
      </c>
      <c r="K17" s="3" t="n">
        <v>12000</v>
      </c>
      <c r="L17" s="2" t="n">
        <v>2025</v>
      </c>
      <c r="M17" s="2" t="inlineStr">
        <is>
          <t>estimate</t>
        </is>
      </c>
      <c r="N17" s="2" t="inlineStr">
        <is>
          <t>Approximate combined headcount of Beckman Coulter Diagnostics (~11,000 per company statements) and Beckman Coulter Life Sciences; Danaher does not disclose operating-company headcount (parent ~60,000). Figures recalled from company statements / filings and not re-verified online in this session.</t>
        </is>
      </c>
      <c r="O17" s="2" t="inlineStr">
        <is>
          <t>USD ~9.9 billion (Danaher Diagnostics segment, FY2025)</t>
        </is>
      </c>
      <c r="P17" s="3" t="n">
        <v>9900</v>
      </c>
      <c r="Q17" s="2" t="inlineStr">
        <is>
          <t>FY2025</t>
        </is>
      </c>
      <c r="R17" s="2" t="inlineStr">
        <is>
          <t>segment</t>
        </is>
      </c>
      <c r="S17" s="2" t="inlineStr">
        <is>
          <t>Danaher's Diagnostics segment (Beckman Coulter Dx, Cepheid, Leica Biosystems, Radiometer); Beckman Coulter Life Sciences sits in the Life Sciences segment (~USD 7.3B). Beckman alone is not disclosed.</t>
        </is>
      </c>
      <c r="T17" s="2" t="inlineStr">
        <is>
          <t>mixed</t>
        </is>
      </c>
      <c r="U17" s="2" t="inlineStr">
        <is>
          <t>DxH 900 — hematology analyzer (Diagnostics)</t>
        </is>
      </c>
      <c r="V17" s="2" t="inlineStr">
        <is>
          <t>DxI 9000 Access — immunoassay analyzer (Diagnostics)</t>
        </is>
      </c>
      <c r="W17" s="2" t="inlineStr">
        <is>
          <t>CytoFLEX — benchtop flow cytometers (Life Sciences)</t>
        </is>
      </c>
      <c r="X17" s="2" t="inlineStr"/>
      <c r="Y17" s="2" t="inlineStr"/>
      <c r="Z17" s="2" t="inlineStr"/>
      <c r="AA17" s="2" t="inlineStr"/>
      <c r="AB17" s="2" t="inlineStr"/>
      <c r="AC17" s="2" t="inlineStr">
        <is>
          <t>distributor</t>
        </is>
      </c>
      <c r="AD17" s="2" t="inlineStr">
        <is>
          <t>מפיץ / נציג ישראלי</t>
        </is>
      </c>
      <c r="AE17" s="2" t="inlineStr">
        <is>
          <t>verified</t>
        </is>
      </c>
      <c r="AF17" s="2" t="inlineStr">
        <is>
          <t>אומת ממקור</t>
        </is>
      </c>
      <c r="AG17" s="2" t="inlineStr">
        <is>
          <t>Rhenium Ltd. (רניום) [מפיץ; Beckman Coulter Life Sciences (official Israel contact page: Rhenium, 20 Hasatat St, Modi'in); the Diagnostics channel may be a different partner – to verify]</t>
        </is>
      </c>
      <c r="AH17" s="2" t="inlineStr">
        <is>
          <t>Life Sciences: Beckman Coulter Life Sciences' own contact page for Israel (beckman.com/contact-us/israel, mirrored on mybeckman.vn) lists 'Rhenium Ltd (Distributor), 20 Hasatat, P.O.B. 180, Modi'in 7171101, Israel, +972 8 955 8888'. A 2009 Israel Physical Society trade-fair listing also names Beckman Coulter among the brands Rhenium represents. Diagnostics: no Israeli distributor or office was identified - the search ('Beckman Coulter diagnostics Israel distributor hematology DxH AU analyzer') returned only regulatory recall records listing Israel among AU5800 distribution countries; the Hebrew query and a beckmancoulter.com domain search were blocked by the search budget and the Diagnostics site could not be opened (fetch failure). The Diagnostics channel therefore remains unverified and may be a different Israeli partner (the brief's hints Ilex Medical / Dyn Diagnostics were not checked). Agentek appeared in results but shows no Beckman Coulter link.</t>
        </is>
      </c>
      <c r="AI17" s="2" t="inlineStr">
        <is>
          <t>medium</t>
        </is>
      </c>
      <c r="AJ17" s="2" t="inlineStr">
        <is>
          <t>Life Sciences distributor comes from Beckman's official contact page (high). Diagnostics channel unknown; size data are parent-level secondary figures.</t>
        </is>
      </c>
      <c r="AK17" s="2" t="inlineStr">
        <is>
          <t>https://www.beckman.com/contact-us/israel ; https://mybeckman.vn/contact-us/israel ; https://archive.israelphysicalsociety.org/ips-conference-2009/fairs/rhenium-ltd.html ; https://www.sec.gov/Archives/edgar/data/313616/000031361626000062/dhr-20251231.htm ; https://hudson-labs.com/research/danaher-corporation-dhr-equity-initiation-report ; https://tickerleague.com/companies/DHR/employee-count ; https://www.excedr.com/blog/featured-manufacturer-beckman-coulter-diagnostics</t>
        </is>
      </c>
    </row>
    <row r="18">
      <c r="A18" s="2" t="n">
        <v>17</v>
      </c>
      <c r="B18" s="2" t="inlineStr">
        <is>
          <t>Cytiva (Danaher)</t>
        </is>
      </c>
      <c r="C18" s="2" t="inlineStr">
        <is>
          <t>GE Healthcare Life Sciences (former); Amersham; Whatman; HyClone; Pall life sciences (merged 2023)</t>
        </is>
      </c>
      <c r="D18" s="2" t="inlineStr">
        <is>
          <t>Marlborough, Massachusetts</t>
        </is>
      </c>
      <c r="E18" s="2" t="inlineStr">
        <is>
          <t>USA</t>
        </is>
      </c>
      <c r="F18" s="2" t="inlineStr">
        <is>
          <t>Danaher Corporation</t>
        </is>
      </c>
      <c r="G18" s="2" t="inlineStr">
        <is>
          <t>Subsidiary of Danaher Corporation (public, NYSE: DHR)</t>
        </is>
      </c>
      <c r="H18" s="2" t="n">
        <v>2020</v>
      </c>
      <c r="I18" s="2" t="inlineStr">
        <is>
          <t>https://www.cytivalifesciences.com</t>
        </is>
      </c>
      <c r="J18" s="2" t="inlineStr">
        <is>
          <t>Bioprocess &amp; filtration</t>
        </is>
      </c>
      <c r="K18" s="3" t="n">
        <v>16000</v>
      </c>
      <c r="L18" s="2" t="n">
        <v>2025</v>
      </c>
      <c r="M18" s="2" t="inlineStr">
        <is>
          <t>estimate</t>
        </is>
      </c>
      <c r="N18" s="2" t="inlineStr">
        <is>
          <t>Cytiva states 16,000+ associates after absorbing Pall's life-science business (2023). Figures recalled from company statements / filings and not re-verified online in this session.</t>
        </is>
      </c>
      <c r="O18" s="2" t="inlineStr">
        <is>
          <t>USD 7.3 billion (Danaher Biotechnology segment)</t>
        </is>
      </c>
      <c r="P18" s="3" t="n">
        <v>7300</v>
      </c>
      <c r="Q18" s="2" t="inlineStr">
        <is>
          <t>FY2025</t>
        </is>
      </c>
      <c r="R18" s="2" t="inlineStr">
        <is>
          <t>segment</t>
        </is>
      </c>
      <c r="S18" s="2" t="inlineStr">
        <is>
          <t>Danaher Biotechnology segment (Cytiva incl. Pall life sciences) ~USD 7.3B FY2025; Cytiva alone not disclosed.</t>
        </is>
      </c>
      <c r="T18" s="2" t="inlineStr">
        <is>
          <t>mixed</t>
        </is>
      </c>
      <c r="U18" s="2" t="inlineStr">
        <is>
          <t>AKTA — protein purification chromatography systems</t>
        </is>
      </c>
      <c r="V18" s="2" t="inlineStr">
        <is>
          <t>MabSelect / Capto resins — chromatography resins for biologics manufacturing</t>
        </is>
      </c>
      <c r="W18" s="2" t="inlineStr">
        <is>
          <t>Biacore — surface plasmon resonance interaction analysis</t>
        </is>
      </c>
      <c r="X18" s="2" t="inlineStr"/>
      <c r="Y18" s="2" t="inlineStr"/>
      <c r="Z18" s="2" t="inlineStr"/>
      <c r="AA18" s="2" t="inlineStr"/>
      <c r="AB18" s="2" t="inlineStr"/>
      <c r="AC18" s="2" t="inlineStr">
        <is>
          <t>distributor</t>
        </is>
      </c>
      <c r="AD18" s="2" t="inlineStr">
        <is>
          <t>מפיץ / נציג ישראלי</t>
        </is>
      </c>
      <c r="AE18" s="2" t="inlineStr">
        <is>
          <t>verified</t>
        </is>
      </c>
      <c r="AF18" s="2" t="inlineStr">
        <is>
          <t>אומת ממקור</t>
        </is>
      </c>
      <c r="AG18" s="2" t="inlineStr">
        <is>
          <t>Danyel Biotech [מפיץ; Cytiva chromatography (ÄKTA pure) and Biacore; other Cytiva lines (Whatman, Amersham, Pall) not confirmed] | Lifegene Ltd. (לייפג'ין) [מפיץ; Whatman filtration products (a Cytiva brand) sold through the Lifegene catalogue]</t>
        </is>
      </c>
      <c r="AH18" s="2" t="inlineStr">
        <is>
          <t>Searched generic queries (incl. ÄKTA/Whatman/Amersham), 27 Israeli distributor domains, cytivalifesciences.com and a Whatman-specific query. Danyel Biotech's own site has a Cytiva brand page (ÄKTA pure chromatography; Biacore listed as a Cytiva supplier), so Danyel is a current Israeli channel. Cytiva's 'find a distributor' page lists Israel as a selectable country but the partner name was not visible in snippets, and Cytiva's terms document lists Israel under its international contracting entity Pall Austria Filter Ges.m.b.H., i.e. direct contracts are also written from abroad. The 2009 Rhenium-for-Whatman listing could not be re-confirmed and no current Israeli Whatman/Amersham channel was found. Lifegene's catalogue carries Whatman (Cytiva) filtration products; Danyel Biotech has Cytiva brand pages for ÄKTA and Biacore.</t>
        </is>
      </c>
      <c r="AI18" s="2" t="inlineStr">
        <is>
          <t>medium</t>
        </is>
      </c>
      <c r="AJ18" s="2" t="inlineStr">
        <is>
          <t>Distributor evidence is the distributor's own brand page; manufacturer-side naming of the Israeli partner was not visible and the scope across Cytiva's many brands is unclear.</t>
        </is>
      </c>
      <c r="AK18" s="2" t="inlineStr">
        <is>
          <t>https://archive.israelphysicalsociety.org/ips-conference-2009/fairs/rhenium-ltd.html ; https://www.bccresearch.com/company-index/profile/danaher-corp ; https://www.sec.gov/Archives/edgar/data/313616/000031361626000062/dhr-20251231.htm ; https://hudson-labs.com/research/danaher-corporation-dhr-equity-initiation-report ; https://tickerleague.com/companies/DHR/employee-count ; https://www.merckmillipore.com/AL/en/products/labware/labware-partners/cytiva ; https://www.danyel.co.il/cytiva/ ; https://www.danyel.co.il/ ; https://www.cytivalifesciences.com/en/us/support/find-a-distributor ; https://cdn.cytivalifesciences.com/api/public/content/-MImMANCxU2x6jtGoYWcjA-pdf?v=9a570e4d ; https://www.analytics-shop.com/us/filters-filtration/filters-by-manufacturer/whatman-filters ; https://lifegene.co.il/product/puradisc-13-syringe-filter-045µm-polypropylene-100-pk/</t>
        </is>
      </c>
    </row>
    <row r="19">
      <c r="A19" s="2" t="n">
        <v>18</v>
      </c>
      <c r="B19" s="2" t="inlineStr">
        <is>
          <t>Leica Microsystems (Danaher)</t>
        </is>
      </c>
      <c r="C19" s="2" t="inlineStr">
        <is>
          <t>Leica Microsystems GmbH; Leitz (heritage)</t>
        </is>
      </c>
      <c r="D19" s="2" t="inlineStr">
        <is>
          <t>Wetzlar</t>
        </is>
      </c>
      <c r="E19" s="2" t="inlineStr">
        <is>
          <t>Germany</t>
        </is>
      </c>
      <c r="F19" s="2" t="inlineStr">
        <is>
          <t>Danaher Corporation</t>
        </is>
      </c>
      <c r="G19" s="2" t="inlineStr">
        <is>
          <t>Subsidiary of Danaher Corporation (public, NYSE: DHR)</t>
        </is>
      </c>
      <c r="H19" s="2" t="n">
        <v>1849</v>
      </c>
      <c r="I19" s="2" t="inlineStr">
        <is>
          <t>https://www.leica-microsystems.com</t>
        </is>
      </c>
      <c r="J19" s="2" t="inlineStr">
        <is>
          <t>Light microscopy &amp; imaging</t>
        </is>
      </c>
      <c r="K19" s="3" t="n">
        <v>3500</v>
      </c>
      <c r="L19" s="2" t="n">
        <v>2025</v>
      </c>
      <c r="M19" s="2" t="inlineStr">
        <is>
          <t>estimate</t>
        </is>
      </c>
      <c r="N19" s="2" t="inlineStr">
        <is>
          <t>Approximate Leica Microsystems headcount (company statements cite several thousand employees); parent Danaher ~60,000. Figures recalled from company statements / filings and not re-verified online in this session.</t>
        </is>
      </c>
      <c r="O19" s="2" t="inlineStr">
        <is>
          <t>USD 7.3 billion (Danaher Life Sciences segment)</t>
        </is>
      </c>
      <c r="P19" s="3" t="n">
        <v>7300</v>
      </c>
      <c r="Q19" s="2" t="inlineStr">
        <is>
          <t>FY2025</t>
        </is>
      </c>
      <c r="R19" s="2" t="inlineStr">
        <is>
          <t>segment</t>
        </is>
      </c>
      <c r="S19" s="2" t="inlineStr">
        <is>
          <t>Danaher Life Sciences segment ~USD 7.3B FY2025 (Leica Microsystems, SCIEX, Molecular Devices, Beckman LS, Abcam, IDT, Aldevron…); Leica alone not disclosed.</t>
        </is>
      </c>
      <c r="T19" s="2" t="inlineStr">
        <is>
          <t>mixed</t>
        </is>
      </c>
      <c r="U19" s="2" t="inlineStr">
        <is>
          <t>STELLARIS — confocal microscopy platform</t>
        </is>
      </c>
      <c r="V19" s="2" t="inlineStr">
        <is>
          <t>Mica — automated widefield/confocal imaging microhub</t>
        </is>
      </c>
      <c r="W19" s="2" t="inlineStr">
        <is>
          <t>THUNDER Imagers — computational-clearing widefield imaging systems</t>
        </is>
      </c>
      <c r="X19" s="2" t="inlineStr"/>
      <c r="Y19" s="2" t="inlineStr"/>
      <c r="Z19" s="2" t="inlineStr"/>
      <c r="AA19" s="2" t="inlineStr"/>
      <c r="AB19" s="2" t="inlineStr"/>
      <c r="AC19" s="2" t="inlineStr">
        <is>
          <t>distributor</t>
        </is>
      </c>
      <c r="AD19" s="2" t="inlineStr">
        <is>
          <t>מפיץ / נציג ישראלי</t>
        </is>
      </c>
      <c r="AE19" s="2" t="inlineStr">
        <is>
          <t>verified</t>
        </is>
      </c>
      <c r="AF19" s="2" t="inlineStr">
        <is>
          <t>אומת ממקור</t>
        </is>
      </c>
      <c r="AG19" s="2" t="inlineStr">
        <is>
          <t>Lapidot Group (Ophthalmic Surgery Unit) [מפיץ; Leica surgical microscopes (ophthalmology, neurosurgery, ENT; floor- and ceiling-mounted) — Leica Microsystems medical division only] | Rhenium Ltd. [מפיץ; research microscopes — per a 2009 Israel Physical Society trade-fair listing only (exclusive representative then); NOT re-confirmed in 2026]</t>
        </is>
      </c>
      <c r="AH19" s="2" t="inlineStr">
        <is>
          <t>Searched generic queries, 27 Israeli distributor domains, leica-microsystems.com, lapidot.com and rhenium.co.il. Lapidot Group's own partner and eye-surgery pages show it markets Leica surgical microscopes in Israel, i.e. the Leica Microsystems medical division. For research microscopes (confocal, stereo, cryo-EM sample prep) the only evidence remains the 2009 Israel Physical Society listing naming Rhenium as exclusive representative; a 2026 search restricted to rhenium.co.il returned nothing, and Leica's site shows no Israeli office (country selector only, 'contact your local representative'). The research-microscope channel is therefore unconfirmed and the Rhenium entry is stale.</t>
        </is>
      </c>
      <c r="AI19" s="2" t="inlineStr">
        <is>
          <t>medium</t>
        </is>
      </c>
      <c r="AJ19" s="2" t="inlineStr">
        <is>
          <t>Surgical-microscope channel verified on the distributor's own site; research-microscope channel rests on a 2009 listing and could not be re-verified.</t>
        </is>
      </c>
      <c r="AK19" s="2" t="inlineStr">
        <is>
          <t>https://archive.israelphysicalsociety.org/ips-conference-2009/fairs/rhenium-ltd.html ; https://archive.israelphysicalsociety.org/content/ips-conference-2009/trade_fair/21.html ; https://craft.co/leica-microsystems ; https://hcy2020.syskonf.pl/Cellservice ; https://www.sec.gov/Archives/edgar/data/313616/000031361626000062/dhr-20251231.htm ; https://hudson-labs.com/research/danaher-corporation-dhr-equity-initiation-report ; https://tickerleague.com/companies/DHR/employee-count ; https://www.lapidot.com/en/partners/ ; https://www.lapidot.com/en/eye-surgery/ ; https://www.leica-microsystems.com/contact/contact-us-online/ ; https://www.leica-microsystems.com/company/about-us/</t>
        </is>
      </c>
    </row>
    <row r="20">
      <c r="A20" s="2" t="n">
        <v>19</v>
      </c>
      <c r="B20" s="2" t="inlineStr">
        <is>
          <t>SCIEX (Danaher)</t>
        </is>
      </c>
      <c r="C20" s="2" t="inlineStr">
        <is>
          <t>AB SCIEX; Applied Biosystems/MDS Sciex</t>
        </is>
      </c>
      <c r="D20" s="2" t="inlineStr">
        <is>
          <t>Framingham, Massachusetts</t>
        </is>
      </c>
      <c r="E20" s="2" t="inlineStr">
        <is>
          <t>USA</t>
        </is>
      </c>
      <c r="F20" s="2" t="inlineStr">
        <is>
          <t>Danaher Corporation</t>
        </is>
      </c>
      <c r="G20" s="2" t="inlineStr">
        <is>
          <t>Subsidiary of Danaher Corporation (public, NYSE: DHR)</t>
        </is>
      </c>
      <c r="H20" s="2" t="n">
        <v>1969</v>
      </c>
      <c r="I20" s="2" t="inlineStr">
        <is>
          <t>https://sciex.com</t>
        </is>
      </c>
      <c r="J20" s="2" t="inlineStr">
        <is>
          <t>Analytical instruments (chromatography / mass spectrometry / spectroscopy)</t>
        </is>
      </c>
      <c r="K20" s="3" t="n">
        <v>2000</v>
      </c>
      <c r="L20" s="2" t="n">
        <v>2025</v>
      </c>
      <c r="M20" s="2" t="inlineStr">
        <is>
          <t>estimate</t>
        </is>
      </c>
      <c r="N20" s="2" t="inlineStr">
        <is>
          <t>Approximate SCIEX headcount (~2,000); parent Danaher ~60,000. Figures recalled from company statements / filings and not re-verified online in this session.</t>
        </is>
      </c>
      <c r="O20" s="2" t="inlineStr">
        <is>
          <t>USD 7.3 billion (Danaher Life Sciences segment)</t>
        </is>
      </c>
      <c r="P20" s="3" t="n">
        <v>7300</v>
      </c>
      <c r="Q20" s="2" t="inlineStr">
        <is>
          <t>FY2025</t>
        </is>
      </c>
      <c r="R20" s="2" t="inlineStr">
        <is>
          <t>segment</t>
        </is>
      </c>
      <c r="S20" s="2" t="inlineStr">
        <is>
          <t>Danaher Life Sciences segment ~USD 7.3B FY2025; SCIEX alone not disclosed.</t>
        </is>
      </c>
      <c r="T20" s="2" t="inlineStr">
        <is>
          <t>mixed</t>
        </is>
      </c>
      <c r="U20" s="2" t="inlineStr">
        <is>
          <t>ZenoTOF 7600+ — QTOF LC-MS/MS mass spectrometer</t>
        </is>
      </c>
      <c r="V20" s="2" t="inlineStr">
        <is>
          <t>SCIEX 7500+ (Triple Quad) — triple-quadrupole LC-MS/MS system</t>
        </is>
      </c>
      <c r="W20" s="2" t="inlineStr">
        <is>
          <t>Echo MS+ — acoustic-ejection mass spectrometry system</t>
        </is>
      </c>
      <c r="X20" s="2" t="inlineStr"/>
      <c r="Y20" s="2" t="inlineStr"/>
      <c r="Z20" s="2" t="inlineStr"/>
      <c r="AA20" s="2" t="inlineStr"/>
      <c r="AB20" s="2" t="inlineStr"/>
      <c r="AC20" s="2" t="inlineStr">
        <is>
          <t>distributor</t>
        </is>
      </c>
      <c r="AD20" s="2" t="inlineStr">
        <is>
          <t>מפיץ / נציג ישראלי</t>
        </is>
      </c>
      <c r="AE20" s="2" t="inlineStr">
        <is>
          <t>verified</t>
        </is>
      </c>
      <c r="AF20" s="2" t="inlineStr">
        <is>
          <t>אומת ממקור</t>
        </is>
      </c>
      <c r="AG20" s="2" t="inlineStr">
        <is>
          <t>Rhenium Group (רניום) [מפיץ; SCIEX mass spectrometry – Israeli distributor since 1 April 2025 (took over from Agentek)]</t>
        </is>
      </c>
      <c r="AH20" s="2" t="inlineStr">
        <is>
          <t>Rhenium announced it became SCIEX's Israeli distributor effective 1 April 2025 (Rhenium site + LinkedIn posts); Agentek (1987) Ltd. was the previous distributor. Not confirmed on sciex.com (page could not be opened).</t>
        </is>
      </c>
      <c r="AI20" s="2" t="inlineStr">
        <is>
          <t>medium</t>
        </is>
      </c>
      <c r="AJ20" s="2" t="inlineStr">
        <is>
          <t>Distributor change is well described by the new distributor (Rhenium) and a SCIEX-visit post, but not confirmed on sciex.com; size data are parent/segment secondary figures.</t>
        </is>
      </c>
      <c r="AK20" s="2" t="inlineStr">
        <is>
          <t>https://il.linkedin.com/in/niv-yardeny ; https://agentek.co.il/about-us/ ; https://bitscale.ai/directory/sciex ; https://www.sec.gov/Archives/edgar/data/313616/000031361626000062/dhr-20251231.htm ; https://hudson-labs.com/research/danaher-corporation-dhr-equity-initiation-report ; https://tickerleague.com/companies/DHR/employee-count</t>
        </is>
      </c>
    </row>
    <row r="21">
      <c r="A21" s="2" t="n">
        <v>20</v>
      </c>
      <c r="B21" s="2" t="inlineStr">
        <is>
          <t>Molecular Devices (Danaher)</t>
        </is>
      </c>
      <c r="C21" s="2" t="inlineStr">
        <is>
          <t>Molecular Devices, LLC; Axon Instruments (patch clamp)</t>
        </is>
      </c>
      <c r="D21" s="2" t="inlineStr">
        <is>
          <t>San Jose, California</t>
        </is>
      </c>
      <c r="E21" s="2" t="inlineStr">
        <is>
          <t>USA</t>
        </is>
      </c>
      <c r="F21" s="2" t="inlineStr">
        <is>
          <t>Danaher Corporation</t>
        </is>
      </c>
      <c r="G21" s="2" t="inlineStr">
        <is>
          <t>Subsidiary of Danaher Corporation (public, NYSE: DHR)</t>
        </is>
      </c>
      <c r="H21" s="2" t="n">
        <v>1983</v>
      </c>
      <c r="I21" s="2" t="inlineStr">
        <is>
          <t>https://www.moleculardevices.com</t>
        </is>
      </c>
      <c r="J21" s="2" t="inlineStr">
        <is>
          <t>Microplate readers &amp; detection</t>
        </is>
      </c>
      <c r="K21" s="3" t="n">
        <v>1000</v>
      </c>
      <c r="L21" s="2" t="n">
        <v>2025</v>
      </c>
      <c r="M21" s="2" t="inlineStr">
        <is>
          <t>estimate</t>
        </is>
      </c>
      <c r="N21" s="2" t="inlineStr">
        <is>
          <t>Approximate Molecular Devices headcount (~1,000); parent Danaher ~60,000. Figures recalled from company statements / filings and not re-verified online in this session.</t>
        </is>
      </c>
      <c r="O21" s="2" t="inlineStr">
        <is>
          <t>USD 7.3 billion (Danaher Life Sciences segment)</t>
        </is>
      </c>
      <c r="P21" s="3" t="n">
        <v>7300</v>
      </c>
      <c r="Q21" s="2" t="inlineStr">
        <is>
          <t>FY2025</t>
        </is>
      </c>
      <c r="R21" s="2" t="inlineStr">
        <is>
          <t>segment</t>
        </is>
      </c>
      <c r="S21" s="2" t="inlineStr">
        <is>
          <t>Danaher Life Sciences segment ~USD 7.3B FY2025; Molecular Devices alone not disclosed.</t>
        </is>
      </c>
      <c r="T21" s="2" t="inlineStr">
        <is>
          <t>mixed</t>
        </is>
      </c>
      <c r="U21" s="2" t="inlineStr">
        <is>
          <t>SpectraMax iD5 / i3x — multi-mode microplate readers</t>
        </is>
      </c>
      <c r="V21" s="2" t="inlineStr">
        <is>
          <t>ImageXpress Confocal HT.ai — high-content imaging and analysis system</t>
        </is>
      </c>
      <c r="W21" s="2" t="inlineStr">
        <is>
          <t>FLIPR Penta — kinetic cellular screening (calcium/ion channel) system</t>
        </is>
      </c>
      <c r="X21" s="2" t="inlineStr"/>
      <c r="Y21" s="2" t="inlineStr"/>
      <c r="Z21" s="2" t="inlineStr"/>
      <c r="AA21" s="2" t="inlineStr"/>
      <c r="AB21" s="2" t="inlineStr"/>
      <c r="AC21" s="2" t="inlineStr">
        <is>
          <t>unclear</t>
        </is>
      </c>
      <c r="AD21" s="2" t="inlineStr">
        <is>
          <t>לא ברור</t>
        </is>
      </c>
      <c r="AE21" s="2" t="inlineStr">
        <is>
          <t>partial</t>
        </is>
      </c>
      <c r="AF21" s="2" t="inlineStr">
        <is>
          <t>חיפוש חלקי (ללא פתיחת אתרי היצרן/המפיץ)</t>
        </is>
      </c>
      <c r="AG21" s="2" t="inlineStr">
        <is>
          <t>Eisenberg Bros. Ltd. (Eisenberg Brothers) - candidate [מפיץ; Hosts a Molecular Devices FLIPR Penta high-throughput cellular screening system brochure on its own site (uploaded March 2026) - probable reseller of Molecular Devices screening/plate-reader instruments; no explicit distributor statement seen]</t>
        </is>
      </c>
      <c r="AH21" s="2" t="inlineStr">
        <is>
          <t>חיפוש רשת בלבד; דפי ״מפיצים״ של היצרן ואתרי המפיצים לא נפתחו (חסימת רשת). The 40-domain sweep surfaced a Molecular Devices FLIPR Penta product brochure hosted on Eisenberg Brothers' own site (eisenbros.co.il/wp-content/uploads/2026/03/...), which indicates Eisenberg Bros. markets at least the FLIPR line in Israel. A follow-up search for 'Eisenberg Brothers' + 'Molecular Devices' found no explicit distributor statement (its older supplier lists name PerkinElmer, Thermo Fisher, Lonza, Affymetrix and Fluidigm), a second domain-restricted SpectraMax/FLIPR query returned only patents, and no other Israeli distributor site mentions SpectraMax. Marked 'unclear' because the only evidence is the hosted brochure rather than a statement by Eisenberg Bros. or by Molecular Devices.</t>
        </is>
      </c>
      <c r="AI21" s="2" t="inlineStr">
        <is>
          <t>low</t>
        </is>
      </c>
      <c r="AJ21" s="2" t="inlineStr">
        <is>
          <t>Indirect evidence only (brochure on the distributor's site, March 2026); neither party states the relationship.</t>
        </is>
      </c>
      <c r="AK21" s="2" t="inlineStr">
        <is>
          <t>https://www.biotechniques.com/companies/molecular-devices-2 ; https://www.labroots.com/companies/molecular-devices/products/spectramax-abs-and-abs-plus-absorbance-elisa-microplate-readers ; https://v1.israelphysicalsociety.org/ips-conference-2009/fairs/agentek-ltd ; https://www.sec.gov/Archives/edgar/data/313616/000031361626000062/dhr-20251231.htm ; https://hudson-labs.com/research/danaher-corporation-dhr-equity-initiation-report ; https://tickerleague.com/companies/DHR/employee-count ; https://eisenbros.co.il/wp-content/uploads/2026/03/flipr-penta-high-throughput-cellular-screening-system.pdf ; https://archive.israelphysicalsociety.org/fairs/eisenberg-bros-ltd.html ; https://www.biospace.com/fluidigm-corporation-and-b-eisenberg-brothers-ltd-b-join-forces-in-israel-distribution-deal</t>
        </is>
      </c>
    </row>
    <row r="22">
      <c r="A22" s="2" t="n">
        <v>21</v>
      </c>
      <c r="B22" s="2" t="inlineStr">
        <is>
          <t>BD Biosciences &amp; BD Diagnostic Solutions (part of Waters since Feb 2026)</t>
        </is>
      </c>
      <c r="C22" s="2" t="inlineStr">
        <is>
          <t>BD Biosciences, BD Diagnostic Solutions, Becton Dickinson Life Sciences, FACS, FACSymphony, FACSDiscover, BACTEC, BD MAX, Phoenix, Kiestra; since Feb 2026: Waters Biosciences, Waters Advanced Diagnostics</t>
        </is>
      </c>
      <c r="D22" s="2" t="inlineStr">
        <is>
          <t>Milford, Massachusetts (Waters Corp.); former BD Biosciences HQ San Jose, California; BD corporate HQ Franklin Lakes, New Jersey</t>
        </is>
      </c>
      <c r="E22" s="2" t="inlineStr">
        <is>
          <t>USA</t>
        </is>
      </c>
      <c r="F22" s="2" t="inlineStr">
        <is>
          <t>Waters Corporation (since 9 Feb 2026; previously Becton Dickinson)</t>
        </is>
      </c>
      <c r="G22" s="2" t="inlineStr">
        <is>
          <t>Divisions of Waters Corporation (public, NYSE: WAT) after the Reverse Morris Trust with BD</t>
        </is>
      </c>
      <c r="H22" s="2" t="n">
        <v>1897</v>
      </c>
      <c r="I22" s="2" t="inlineStr">
        <is>
          <t>https://www.bdbiosciences.com</t>
        </is>
      </c>
      <c r="J22" s="2" t="inlineStr">
        <is>
          <t>Cell analysis (flow cytometry / cell sorting)</t>
        </is>
      </c>
      <c r="K22" s="3" t="n">
        <v>8000</v>
      </c>
      <c r="L22" s="2" t="n">
        <v>2025</v>
      </c>
      <c r="M22" s="2" t="inlineStr">
        <is>
          <t>estimate</t>
        </is>
      </c>
      <c r="N22" s="2" t="inlineStr">
        <is>
          <t>Rough share of the ~16,000 combined Waters/ex-BD headcount cited at the deal announcement; the ex-BD businesses alone were not disclosed. Figures recalled from company statements / filings and not re-verified online in this session.</t>
        </is>
      </c>
      <c r="O22" s="2" t="inlineStr">
        <is>
          <t>USD 3.4 billion</t>
        </is>
      </c>
      <c r="P22" s="3" t="n">
        <v>3400</v>
      </c>
      <c r="Q22" s="2" t="inlineStr">
        <is>
          <t>CY2025E (basis used in the Jul-2025 deal announcement)</t>
        </is>
      </c>
      <c r="R22" s="2" t="inlineStr">
        <is>
          <t>segment</t>
        </is>
      </c>
      <c r="S22" s="2" t="inlineStr">
        <is>
          <t>Approx. USD 3.4 billion annual revenue for the combined BD Biosciences &amp; Diagnostic Solutions business, as disclosed by Waters/BD at the 14 Jul 2025 announcement (recalled; not re-verified this session). Parent Waters Corporation stand-alone FY2025 revenue was roughly USD 3.1-3.2 billion (recalled). Post-combination Waters pro-forma revenue ~USD 6.5 billion (announcement figure, recalled).</t>
        </is>
      </c>
      <c r="T22" s="2" t="inlineStr">
        <is>
          <t>reported</t>
        </is>
      </c>
      <c r="U22" s="2" t="inlineStr">
        <is>
          <t>BD FACSDiscover S8 — spectral cell sorter with real-time cell imaging</t>
        </is>
      </c>
      <c r="V22" s="2" t="inlineStr">
        <is>
          <t>BD FACSymphony A5 SE / A1 — high-parameter spectral flow cytometry analyzers</t>
        </is>
      </c>
      <c r="W22" s="2" t="inlineStr">
        <is>
          <t>BD BACTEC FX, BD MAX, BD Phoenix — blood-culture, molecular IVD and ID/AST systems</t>
        </is>
      </c>
      <c r="X22" s="2" t="inlineStr"/>
      <c r="Y22" s="2" t="inlineStr"/>
      <c r="Z22" s="2" t="inlineStr"/>
      <c r="AA22" s="2" t="inlineStr"/>
      <c r="AB22" s="2" t="inlineStr"/>
      <c r="AC22" s="2" t="inlineStr">
        <is>
          <t>subsidiary</t>
        </is>
      </c>
      <c r="AD22" s="2" t="inlineStr">
        <is>
          <t>חברה-בת / משרד של היצרן בישראל</t>
        </is>
      </c>
      <c r="AE22" s="2" t="inlineStr">
        <is>
          <t>verified</t>
        </is>
      </c>
      <c r="AF22" s="2" t="inlineStr">
        <is>
          <t>אומת ממקור</t>
        </is>
      </c>
      <c r="AG22" s="2" t="inlineStr">
        <is>
          <t>Augusta Life Sciences Israel Ltd. (Waters subsidiary, ex-BD Biosciences &amp; Diagnostic Solutions) [חברה-בת; Israeli entity of the acquired BD Biosciences &amp; Diagnostic Solutions business (flow cytometry, BD MAX, BACTEC, Phoenix lines), listed by Waters among the SpinCo entities wholly owned by Waters since 9 Feb 2026; Harduf HaNehalim St 2, Caesarea 3079857] | BD Israel (Becton Dickinson) [חברה-בת; BD's own Israeli office and technical service, 14 Hashita St., Caesarea; +972-73-229-0850 (priceisrael@bd.com), technical service +972-73-229-0830 (TSBDISRAEL@bd.com); after the split this entity belongs to the remaining BD (medical) group] | Lapidot Group (Lapidot Medical) (לפידות) [מפיץ; lists BD as a business partner ('global medical technology company'); product scope not stated - likely BD Medical lines, not confirmed for Biosciences/Diagnostics]</t>
        </is>
      </c>
      <c r="AH22" s="2" t="inlineStr">
        <is>
          <t>Searched BD Biosciences/BD Israel/Becton Dickinson Israel distributor/נציג/יבואן, Israeli distributor domains (BD, FACSymphony, FACSLyric, BD MAX, BACTEC), bd.com/waters.com, and the Waters-BD combination. bd.com's Israel pages show BD's own office and technical-service line in Caesarea, and Waters' BD-transaction legal page (dated 9 Feb 2026) lists Augusta Life Sciences Israel Ltd., Caesarea, among the acquired SpinCo entities now wholly owned by Waters - i.e. the ex-BD Biosciences &amp; Diagnostic Solutions business has its own Israeli entity under Waters. Waters states there are 'no changes for customers at this time' and that BD remains legal manufacturer of certain regulated products until registrations transfer, so sales/service of FACS, BD MAX and BACTEC in Israel presumably continue from the Caesarea operation, but no page spelled out the post-combination commercial arrangement; no independent Israeli distributor for BD flow cytometers or BD diagnostics was found (Almog Diagnostic distributes competing Cytek/Miltenyi/Slingshot lines; Lapidot lists BD without product scope). Lapidot's history page says it became BD's local representative in 1992; whether this covers the former BD Biosciences / Diagnostic Solutions lines after the Feb-2026 Waters combination is not stated.</t>
        </is>
      </c>
      <c r="AI22" s="2" t="inlineStr">
        <is>
          <t>medium</t>
        </is>
      </c>
      <c r="AJ22" s="2" t="inlineStr">
        <is>
          <t>Entities verified on bd.com and waters.com; the operating split between BD Israel and the Waters-owned Augusta entity after Feb 2026 is inferred, not documented.</t>
        </is>
      </c>
      <c r="AK22" s="2" t="inlineStr">
        <is>
          <t>https://www.biospace.com/press-releases/waters-completes-combination-with-bds-biosciences-diagnostic-solutions-businesses ; https://tools.prnewswire.com/en-us/live/20823/release/20260209EN83221 ; https://pulse2.com/waters-completes-combination-with-bd-biosciences-and-diagnostic-solutions-and-forms-four-new-divisions ; https://www.analytica-world.com/en/news/1188060/waters-completes-combination-with-bd-s-biosciences-diagnostic-solutions-businesses.html ; https://jobs.bd.com/location-israel ; https://www.sec.gov/Archives/edgar/data/1000697/000119312524047491/d691142dex211.htm ; https://www.sec.gov/Archives/edgar/data/1000697/000119312523050827/d412746dex211.htm ; https://innovationisrael.org.il/en/calls_for_proposal/call-for-proposals-no-5-bd/ ; https://www.bdbiosciences.com/en-in/products/instruments/flow-cytometers ; https://www.enco.co.il/about.php ; https://v1.israelphysicalsociety.org/ips-conference-2009/fairs/rhenium-ltd ; https://www.bd.com/en-il/support/customer-support-contacts/bd-israel ; https://www.bd.com/en-il/support/contact-us ; https://www.waters.com/nextgen/us/en/about-waters/corporate-governance/legal-and-privacy-notices/bdtransaction.html ; https://ir.waters.com/News--Events/newsroom/news-details/2026/Waters-Completes-Combination-with-BDs-Biosciences--Diagnostic-Solutions-Businesses/default.aspx ; https://www.sec.gov/Archives/edgar/data/0001000697/000119312526344691/d170082d10q.htm ; https://www.lapidot.com/en/partners/ ; https://www.businesswire.com/news/home/20220626005007/en/Slingshot-Biosciences-Inc.-Partners-With-Almog-Diagnostic-to-Distribute-Synthetic-Cells-Throughout-Israel ; https://www.lapidot.com/en/about/</t>
        </is>
      </c>
    </row>
    <row r="23">
      <c r="A23" s="2" t="n">
        <v>22</v>
      </c>
      <c r="B23" s="2" t="inlineStr">
        <is>
          <t>Corning Life Sciences (Corning Inc.)</t>
        </is>
      </c>
      <c r="C23" s="2" t="inlineStr">
        <is>
          <t>Corning, Falcon, Axygen, PYREX, Costar, Corning Matrigel, Mediatech/Cellgro, Gosselin</t>
        </is>
      </c>
      <c r="D23" s="2" t="inlineStr">
        <is>
          <t>Corning, New York</t>
        </is>
      </c>
      <c r="E23" s="2" t="inlineStr">
        <is>
          <t>USA</t>
        </is>
      </c>
      <c r="F23" s="2" t="inlineStr">
        <is>
          <t>Corning Incorporated</t>
        </is>
      </c>
      <c r="G23" s="2" t="inlineStr">
        <is>
          <t>Division/segment of Corning Incorporated (public, NYSE: GLW)</t>
        </is>
      </c>
      <c r="H23" s="2" t="n">
        <v>1851</v>
      </c>
      <c r="I23" s="2" t="inlineStr">
        <is>
          <t>https://www.corning.com/worldwide/en/products/life-sciences.html</t>
        </is>
      </c>
      <c r="J23" s="2" t="inlineStr">
        <is>
          <t>Labware &amp; consumables (plastic &amp; glass)</t>
        </is>
      </c>
      <c r="K23" s="3" t="n">
        <v>55500</v>
      </c>
      <c r="L23" s="2" t="n">
        <v>2024</v>
      </c>
      <c r="M23" s="2" t="inlineStr">
        <is>
          <t>parent</t>
        </is>
      </c>
      <c r="N23" s="2" t="inlineStr">
        <is>
          <t>Corning Incorporated group headcount; the Life Sciences segment is not broken out.</t>
        </is>
      </c>
      <c r="O23" s="2" t="inlineStr">
        <is>
          <t>USD 979 million</t>
        </is>
      </c>
      <c r="P23" s="3" t="n">
        <v>979</v>
      </c>
      <c r="Q23" s="2" t="inlineStr">
        <is>
          <t>FY2024</t>
        </is>
      </c>
      <c r="R23" s="2" t="inlineStr">
        <is>
          <t>segment</t>
        </is>
      </c>
      <c r="S23" s="2" t="inlineStr">
        <is>
          <t>Corning Life Sciences segment net sales FY2024 ~USD 979 million (Corning 10-K/segment reporting; recalled, not re-verified). Parent Corning Inc. FY2024 GAAP net sales ~USD 13.1 billion (core sales ~USD 14.5 billion). FY2025 results (published Jan 2026, Life Sciences roughly USD 1.0 billion) could not be verified in this session.</t>
        </is>
      </c>
      <c r="T23" s="2" t="inlineStr">
        <is>
          <t>reported</t>
        </is>
      </c>
      <c r="U23" s="2" t="inlineStr">
        <is>
          <t>Falcon — conical tubes, cell-culture plasticware, serological pipets</t>
        </is>
      </c>
      <c r="V23" s="2" t="inlineStr">
        <is>
          <t>Corning Matrigel Matrix — basement-membrane extract for 3D cell culture</t>
        </is>
      </c>
      <c r="W23" s="2" t="inlineStr">
        <is>
          <t>Axygen — pipette tips, PCR tubes/plates, genomics consumables</t>
        </is>
      </c>
      <c r="X23" s="2" t="inlineStr"/>
      <c r="Y23" s="2" t="inlineStr"/>
      <c r="Z23" s="2" t="inlineStr"/>
      <c r="AA23" s="2" t="inlineStr"/>
      <c r="AB23" s="2" t="inlineStr"/>
      <c r="AC23" s="2" t="inlineStr">
        <is>
          <t>distributor</t>
        </is>
      </c>
      <c r="AD23" s="2" t="inlineStr">
        <is>
          <t>מפיץ / נציג ישראלי</t>
        </is>
      </c>
      <c r="AE23" s="2" t="inlineStr">
        <is>
          <t>verified</t>
        </is>
      </c>
      <c r="AF23" s="2" t="inlineStr">
        <is>
          <t>אומת ממקור</t>
        </is>
      </c>
      <c r="AG23" s="2" t="inlineStr">
        <is>
          <t>Getter Group (Getter Bio-Med) (קבוצת גטר) [מפיץ; Corning – Getter Group states it is Corning's exclusive representative (page ~2 years old; life-science vs. other Corning lines not specified)]</t>
        </is>
      </c>
      <c r="AH23" s="2" t="inlineStr">
        <is>
          <t>Getter Group's about page says it exclusively represents Corning, Olympus and Zeiss in Israel (seen in a search excerpt; ~2 years old). Getter Group's brand page and about page name Corning among the brands it exclusively represents.</t>
        </is>
      </c>
      <c r="AI23" s="2" t="inlineStr">
        <is>
          <t>medium</t>
        </is>
      </c>
      <c r="AJ23" s="2" t="inlineStr"/>
      <c r="AK23" s="2" t="inlineStr">
        <is>
          <t>https://www.corning.com/au/en/products/life-sciences/config/Distributors/CLS-APAC-Distributors.html ; https://www.corning.com/emea/en/products/life-sciences/config/Distributors/CLS-NA-Distributors.html ; https://www.corning.com/au/en/products/life-sciences/config/Distributors.html ; https://www.corning.com/worldwide/en/products/life-sciences/resources/brands.html ; https://www.corning.com/asean/en/products/life-sciences/resources/brands/axygen-brand-products.html ; https://www.corning.com/worldwide/en/products/life-sciences/resources/digital-campaign/life-sciences.html ; https://www.getter.co.il/about-en/ ; https://www.getter.co.il/brands/</t>
        </is>
      </c>
    </row>
    <row r="24">
      <c r="A24" s="2" t="n">
        <v>23</v>
      </c>
      <c r="B24" s="2" t="inlineStr">
        <is>
          <t>Promega Corporation</t>
        </is>
      </c>
      <c r="C24" s="2" t="inlineStr">
        <is>
          <t>Promega; brands Maxwell, GloMax, CellTiter-Glo, GoTaq, PowerPlex, NanoLuc, HaloTag</t>
        </is>
      </c>
      <c r="D24" s="2" t="inlineStr">
        <is>
          <t>Madison (Fitchburg), Wisconsin</t>
        </is>
      </c>
      <c r="E24" s="2" t="inlineStr">
        <is>
          <t>USA</t>
        </is>
      </c>
      <c r="F24" s="2" t="inlineStr"/>
      <c r="G24" s="2" t="inlineStr">
        <is>
          <t>Private (founder-controlled; William A. Linton)</t>
        </is>
      </c>
      <c r="H24" s="2" t="n">
        <v>1978</v>
      </c>
      <c r="I24" s="2" t="inlineStr">
        <is>
          <t>https://www.promega.com</t>
        </is>
      </c>
      <c r="J24" s="2" t="inlineStr">
        <is>
          <t>Life-science instruments &amp; reagents</t>
        </is>
      </c>
      <c r="K24" s="3" t="n">
        <v>2000</v>
      </c>
      <c r="L24" s="2" t="n">
        <v>2024</v>
      </c>
      <c r="M24" s="2" t="inlineStr">
        <is>
          <t>company</t>
        </is>
      </c>
      <c r="N24" s="2" t="inlineStr">
        <is>
          <t>Approximately 2,000 employees worldwide, with direct branches in 16 countries and 50+ distributors (branch/distributor counts seen on Promega regional sites; headcount recalled from Promega corporate communications, not re-verified).</t>
        </is>
      </c>
      <c r="O24" s="2" t="inlineStr">
        <is>
          <t>USD ~650 million (trade estimate; private)</t>
        </is>
      </c>
      <c r="P24" s="3" t="n">
        <v>650</v>
      </c>
      <c r="Q24" s="2" t="inlineStr">
        <is>
          <t>2024 (estimate)</t>
        </is>
      </c>
      <c r="R24" s="2" t="inlineStr">
        <is>
          <t>estimate</t>
        </is>
      </c>
      <c r="S24" s="2" t="inlineStr">
        <is>
          <t>Promega does not publish revenue; it has described itself as a &gt;USD 500M company and trade estimates put 2024 revenue around USD 600-700M. Figures recalled from company statements / filings and not re-verified online in this session.</t>
        </is>
      </c>
      <c r="T24" s="2" t="inlineStr">
        <is>
          <t>estimate</t>
        </is>
      </c>
      <c r="U24" s="2" t="inlineStr">
        <is>
          <t>Maxwell RSC — automated nucleic acid purification instrument</t>
        </is>
      </c>
      <c r="V24" s="2" t="inlineStr">
        <is>
          <t>GloMax — multimode microplate readers and luminometers</t>
        </is>
      </c>
      <c r="W24" s="2" t="inlineStr">
        <is>
          <t>CellTiter-Glo / Dual-Luciferase — bioluminescent cell-viability and reporter assays</t>
        </is>
      </c>
      <c r="X24" s="2" t="inlineStr"/>
      <c r="Y24" s="2" t="inlineStr"/>
      <c r="Z24" s="2" t="inlineStr"/>
      <c r="AA24" s="2" t="inlineStr"/>
      <c r="AB24" s="2" t="inlineStr"/>
      <c r="AC24" s="2" t="inlineStr">
        <is>
          <t>distributor</t>
        </is>
      </c>
      <c r="AD24" s="2" t="inlineStr">
        <is>
          <t>מפיץ / נציג ישראלי</t>
        </is>
      </c>
      <c r="AE24" s="2" t="inlineStr">
        <is>
          <t>verified</t>
        </is>
      </c>
      <c r="AF24" s="2" t="inlineStr">
        <is>
          <t>אומת ממקור</t>
        </is>
      </c>
      <c r="AG24" s="2" t="inlineStr">
        <is>
          <t>IM Beit Haemek (as listed on Promega's contact page; Kibbutz Beit HaEmek) [מפיץ; Promega products - marketing area Israel (Promega 'Contact Promega' distributor listing; e-mail info@bemek.co.il)]</t>
        </is>
      </c>
      <c r="AH24" s="2" t="inlineStr">
        <is>
          <t>Promega's own 'Contact Promega' page lists one Israel distributor: 'IM Beit Haemek', Kibbutz Beit Ha'Emek, marketing area Israel, with phone/fax, e-mail info@bemek.co.il and website bemek.co.il. A follow-up search could not resolve what 'IM Beit Haemek'/bemek.co.il is: the only Beit HaEmek life-science company found is Biological Industries Israel Beit-Haemek Ltd. (Sartorius group), whose own 'BI Worldwide' page lists Promega among its strategic partnerships, so the listed distributor is probably a Beit HaEmek entity related to BI, but that link and the listing's date are unconfirmed. The 40-domain sweep and the Hebrew query ('Promega יבואן ישראל ריאגנטים נציגות') found no other Israeli reseller claiming Promega.</t>
        </is>
      </c>
      <c r="AI24" s="2" t="inlineStr">
        <is>
          <t>medium</t>
        </is>
      </c>
      <c r="AJ24" s="2" t="inlineStr">
        <is>
          <t>Named on the manufacturer's own contact page, but the entity's identity and website could not be independently verified.</t>
        </is>
      </c>
      <c r="AK24" s="2" t="inlineStr">
        <is>
          <t>https://at.promega.com/products/ ; https://ch.promega.com/products/ ; https://worldwide.promega.com/promega-ai-information-page/ ; https://en.wikipedia.org/wiki/Promega ; https://www.biorn.org/member/promega-gmbh ; https://www.biospace.com/promega-corporation-and-b-mybio-b-sign-exclusive-distribution-agreement-for-b-republic-of-ireland-b-and-northern-ireland ; https://www.promega.com/support/contact-promega/ ; https://worldwide.promega.com/country.aspx ; https://bioind.com/worldwide/about/bi-worldwide ; https://www.developmentaid.org/organizations/view/443494/biological-industries-israel-beit-haemek</t>
        </is>
      </c>
    </row>
    <row r="25">
      <c r="A25" s="2" t="n">
        <v>24</v>
      </c>
      <c r="B25" s="2" t="inlineStr">
        <is>
          <t>New England Biolabs</t>
        </is>
      </c>
      <c r="C25" s="2" t="inlineStr">
        <is>
          <t>NEB; brands Q5, NEBNext, Monarch, Luna, NEBuilder, NEBExpress</t>
        </is>
      </c>
      <c r="D25" s="2" t="inlineStr">
        <is>
          <t>Ipswich, Massachusetts</t>
        </is>
      </c>
      <c r="E25" s="2" t="inlineStr">
        <is>
          <t>USA</t>
        </is>
      </c>
      <c r="F25" s="2" t="inlineStr"/>
      <c r="G25" s="2" t="inlineStr">
        <is>
          <t>Private</t>
        </is>
      </c>
      <c r="H25" s="2" t="n">
        <v>1974</v>
      </c>
      <c r="I25" s="2" t="inlineStr">
        <is>
          <t>https://www.neb.com</t>
        </is>
      </c>
      <c r="J25" s="2" t="inlineStr">
        <is>
          <t>Life-science instruments &amp; reagents</t>
        </is>
      </c>
      <c r="K25" s="3" t="n">
        <v>1000</v>
      </c>
      <c r="L25" s="2" t="n">
        <v>2024</v>
      </c>
      <c r="M25" s="2" t="inlineStr">
        <is>
          <t>estimate</t>
        </is>
      </c>
      <c r="N25" s="2" t="inlineStr">
        <is>
          <t>Approximately 1,000 employees worldwide (company statements). Figures recalled from company statements / filings and not re-verified online in this session.</t>
        </is>
      </c>
      <c r="O25" s="2" t="inlineStr">
        <is>
          <t>USD ~500 million (trade estimate; private)</t>
        </is>
      </c>
      <c r="P25" s="3" t="n">
        <v>500</v>
      </c>
      <c r="Q25" s="2" t="inlineStr">
        <is>
          <t>2024 (estimate)</t>
        </is>
      </c>
      <c r="R25" s="2" t="inlineStr">
        <is>
          <t>estimate</t>
        </is>
      </c>
      <c r="S25" s="2" t="inlineStr">
        <is>
          <t>NEB is privately held and does not publish revenue; trade estimates are in the USD 400-600M range.</t>
        </is>
      </c>
      <c r="T25" s="2" t="inlineStr">
        <is>
          <t>estimate</t>
        </is>
      </c>
      <c r="U25" s="2" t="inlineStr">
        <is>
          <t>Q5 High-Fidelity DNA Polymerase — high-fidelity PCR enzyme and master mixes</t>
        </is>
      </c>
      <c r="V25" s="2" t="inlineStr">
        <is>
          <t>NEBNext — NGS library-preparation kits</t>
        </is>
      </c>
      <c r="W25" s="2" t="inlineStr">
        <is>
          <t>Monarch — nucleic acid purification kits</t>
        </is>
      </c>
      <c r="X25" s="2" t="inlineStr"/>
      <c r="Y25" s="2" t="inlineStr"/>
      <c r="Z25" s="2" t="inlineStr"/>
      <c r="AA25" s="2" t="inlineStr"/>
      <c r="AB25" s="2" t="inlineStr"/>
      <c r="AC25" s="2" t="inlineStr">
        <is>
          <t>distributor</t>
        </is>
      </c>
      <c r="AD25" s="2" t="inlineStr">
        <is>
          <t>מפיץ / נציג ישראלי</t>
        </is>
      </c>
      <c r="AE25" s="2" t="inlineStr">
        <is>
          <t>verified</t>
        </is>
      </c>
      <c r="AF25" s="2" t="inlineStr">
        <is>
          <t>אומת ממקור</t>
        </is>
      </c>
      <c r="AG25" s="2" t="inlineStr">
        <is>
          <t>Ornat BioChemicals &amp; Lab Equipment Ltd. (אורנת) [מפיץ; New England Biolabs reagents (per Ornat's brand list quoted on the FISEB vendors page)]</t>
        </is>
      </c>
      <c r="AH25" s="2" t="inlineStr">
        <is>
          <t>Search '"New England Biolabs" Israel distributor' returned the FISEB (Federation of Israeli Societies of Experimental Biology) vendors page, where Ornat BioChemicals &amp; Lab Equipment describes itself as a privately owned Israeli life-science sales company (25+ years) representing 'top international brands such as New England Biolabs (NEB)'. NEB's own international ordering-support page states NEB sells abroad through exclusive distributors, agents and subsidiaries with a per-country list; the Israel entry was not visible in search snippets and the page could not be fetched, so the Ornat-NEB link rests on the Ornat/FISEB source (consistent with the brief's hint list, where Ornat appears). Hebrew search could not be run (budget exhausted). Tool limits in this session: the shared web-search budget was exhausted after the first round of searches and all page fetches (WebFetch/curl) were blocked, so manufacturer distributor/contact pages could not be opened and some Hebrew searches could not be run. Size figures marked 'recalled' come from company filings/pages as known to the researcher (knowledge to mid-2026) and were not re-verified against a fetched source.</t>
        </is>
      </c>
      <c r="AI25" s="2" t="inlineStr">
        <is>
          <t>medium</t>
        </is>
      </c>
      <c r="AJ25" s="2" t="inlineStr">
        <is>
          <t>Israel distributor (Ornat) is supported by one credible third-party listing quoting the distributor itself, not by NEB's own country list; size figures unavailable (private).</t>
        </is>
      </c>
      <c r="AK25" s="2" t="inlineStr">
        <is>
          <t>https://www.fiseb.org/vendors/ ; https://www.neb.com/en-us/support/international-ordering-support ; https://www.neb.com/en/about-neb/news-and-press-releases/collaborations-with-bioke-and-imperial-life-sciences ; https://www.genomeweb.com/archive/new-england-biolabs-inks-distribution-deals</t>
        </is>
      </c>
    </row>
    <row r="26">
      <c r="A26" s="2" t="n">
        <v>25</v>
      </c>
      <c r="B26" s="2" t="inlineStr">
        <is>
          <t>Bio-Techne</t>
        </is>
      </c>
      <c r="C26" s="2" t="inlineStr">
        <is>
          <t>R&amp;D Systems, Novus Biologicals, Tocris Bioscience, ProteinSimple, Advanced Cell Diagnostics (ACD / RNAscope), Asuragen, Lunaphore, ExosomeDx</t>
        </is>
      </c>
      <c r="D26" s="2" t="inlineStr">
        <is>
          <t>Minneapolis, Minnesota</t>
        </is>
      </c>
      <c r="E26" s="2" t="inlineStr">
        <is>
          <t>USA</t>
        </is>
      </c>
      <c r="F26" s="2" t="inlineStr"/>
      <c r="G26" s="2" t="inlineStr">
        <is>
          <t>Public (NASDAQ: TECH)</t>
        </is>
      </c>
      <c r="H26" s="2" t="n">
        <v>1976</v>
      </c>
      <c r="I26" s="2" t="inlineStr">
        <is>
          <t>https://www.bio-techne.com</t>
        </is>
      </c>
      <c r="J26" s="2" t="inlineStr">
        <is>
          <t>Life-science instruments &amp; reagents</t>
        </is>
      </c>
      <c r="K26" s="3" t="n">
        <v>3100</v>
      </c>
      <c r="L26" s="2" t="n">
        <v>2025</v>
      </c>
      <c r="M26" s="2" t="inlineStr">
        <is>
          <t>company</t>
        </is>
      </c>
      <c r="N26" s="2" t="inlineStr">
        <is>
          <t>Approximately 3,100 employees (Bio-Techne 10-K for FY ended 30 Jun 2025; recalled, not re-verified).</t>
        </is>
      </c>
      <c r="O26" s="2" t="inlineStr">
        <is>
          <t>USD 1.2 billion</t>
        </is>
      </c>
      <c r="P26" s="3" t="n">
        <v>1200</v>
      </c>
      <c r="Q26" s="2" t="inlineStr">
        <is>
          <t>FY2025 (ended 30 Jun 2025)</t>
        </is>
      </c>
      <c r="R26" s="2" t="inlineStr">
        <is>
          <t>company</t>
        </is>
      </c>
      <c r="S26" s="2" t="inlineStr">
        <is>
          <t>FY2025 net sales approx. USD 1.2 billion (about USD 1.21-1.22 bn; recalled from company results, not re-verified). FY2026 (ended Jun 2026) results released Aug 2026 were not accessible in this session.</t>
        </is>
      </c>
      <c r="T26" s="2" t="inlineStr">
        <is>
          <t>reported</t>
        </is>
      </c>
      <c r="U26" s="2" t="inlineStr">
        <is>
          <t>ProteinSimple Jess / Simple Western — automated capillary western-blot immunoassay systems</t>
        </is>
      </c>
      <c r="V26" s="2" t="inlineStr">
        <is>
          <t>R&amp;D Systems proteins, antibodies &amp; Quantikine ELISAs — recombinant proteins, antibodies, immunoassay kits</t>
        </is>
      </c>
      <c r="W26" s="2" t="inlineStr">
        <is>
          <t>RNAscope (ACD) — in situ hybridization assays for RNA detection</t>
        </is>
      </c>
      <c r="X26" s="2" t="inlineStr"/>
      <c r="Y26" s="2" t="inlineStr"/>
      <c r="Z26" s="2" t="inlineStr"/>
      <c r="AA26" s="2" t="inlineStr"/>
      <c r="AB26" s="2" t="inlineStr"/>
      <c r="AC26" s="2" t="inlineStr">
        <is>
          <t>distributor</t>
        </is>
      </c>
      <c r="AD26" s="2" t="inlineStr">
        <is>
          <t>מפיץ / נציג ישראלי</t>
        </is>
      </c>
      <c r="AE26" s="2" t="inlineStr">
        <is>
          <t>partial</t>
        </is>
      </c>
      <c r="AF26" s="2" t="inlineStr">
        <is>
          <t>חיפוש חלקי (ללא פתיחת אתרי היצרן/המפיץ)</t>
        </is>
      </c>
      <c r="AG26" s="2" t="inlineStr">
        <is>
          <t>Israeli distributor listed on Novus Biologicals' distributor page (name not visible in the search excerpt) - 6 Hasadna St., P.O. Box 8006, Kfar Saba 4442405 [מפיץ; Novus Biologicals antibodies (Bio-Techne brand); coverage of R&amp;D Systems / Tocris / ProteinSimple not shown] | Getter Bio-Med (Getter Group) (גטר ביו-מד) [מפיץ; Lunaphore (a Bio-Techne brand) spatial-biology platforms – Getter describes itself as the official Israeli representative (LinkedIn)]</t>
        </is>
      </c>
      <c r="AH26" s="2" t="inlineStr">
        <is>
          <t>חיפוש רשת בלבד; דפי ״מפיצים״ של היצרן ואתרי המפיצים לא נפתחו (חסימת רשת). Bio-Techne's Novus Biologicals distributor page lists an Israeli distributor at 6 Hasadna St., P.O. Box 8006, Kfar Saba 4442405 with phone and e-mail, but the company name was not in the excerpt and a follow-up search for that address did not identify it; the R&amp;D Systems distributor locator exists but showed no Israel entry in the snippets. The 40-domain sweep surfaced ENCO (self-described official Israeli distributor of 250+ antibody/protein suppliers) and Danyel, Gamidor and HyLabs pages, none of which mention R&amp;D Systems, Novus, Tocris or ProteinSimple in any snippet. Bio-Techne's FY2025 10-K states it 'has not historically had significant business in Russia, Ukraine or Israel'. Getter Bio-Med's posts describe it as the official Israeli representative of Lunaphore, a Bio-Techne brand; no channel found for R&amp;D Systems / ProteinSimple products.</t>
        </is>
      </c>
      <c r="AI26" s="2" t="inlineStr">
        <is>
          <t>low</t>
        </is>
      </c>
      <c r="AJ26" s="2" t="inlineStr">
        <is>
          <t>The manufacturer's own page shows an Israeli distributor exists (Kfar Saba address) but its name was not captured; ENCO is a plausible but unconfirmed candidate.</t>
        </is>
      </c>
      <c r="AK26" s="2" t="inlineStr">
        <is>
          <t>https://www.rndsystems.com/distributors ; https://bio-techne.com/distributors ; https://bio-techne.com/about/about-bio-techne ; https://investors.bio-techne.com/press-releases/detail/459/bio-techne-announces-new-distribution-agreement-with ; https://www.rndsystems.com/contact-us-cms ; https://www.novusbio.com/distributors/www.novusbio.com ; https://investors.bio-techne.com/all-sec-filings/content/0001558370-25-011716/0001558370-25-011716.pdf ; https://www.enco.co.il/suppliers.php ; https://www.enco.co.il/about.php ; https://www.getter.co.il/about-en/</t>
        </is>
      </c>
    </row>
    <row r="27">
      <c r="A27" s="2" t="n">
        <v>26</v>
      </c>
      <c r="B27" s="2" t="inlineStr">
        <is>
          <t>Miltenyi Biotec</t>
        </is>
      </c>
      <c r="C27" s="2" t="inlineStr">
        <is>
          <t>Miltenyi Biotec; MACS, CliniMACS, CliniMACS Prodigy, MACSQuant, autoMACS, gentleMACS, MACSima</t>
        </is>
      </c>
      <c r="D27" s="2" t="inlineStr">
        <is>
          <t>Bergisch Gladbach</t>
        </is>
      </c>
      <c r="E27" s="2" t="inlineStr">
        <is>
          <t>Germany</t>
        </is>
      </c>
      <c r="F27" s="2" t="inlineStr"/>
      <c r="G27" s="2" t="inlineStr">
        <is>
          <t>Private (founder-owned, Stefan Miltenyi)</t>
        </is>
      </c>
      <c r="H27" s="2" t="n">
        <v>1989</v>
      </c>
      <c r="I27" s="2" t="inlineStr">
        <is>
          <t>https://www.miltenyibiotec.com</t>
        </is>
      </c>
      <c r="J27" s="2" t="inlineStr">
        <is>
          <t>Cell analysis (flow cytometry / cell sorting)</t>
        </is>
      </c>
      <c r="K27" s="3" t="n">
        <v>4700</v>
      </c>
      <c r="L27" s="2" t="n"/>
      <c r="M27" s="2" t="inlineStr">
        <is>
          <t>company</t>
        </is>
      </c>
      <c r="N27" s="2" t="inlineStr">
        <is>
          <t>'More than 4,700 employees in 23 countries' per an undated chemie.de company profile seen in search results; the company's current website states more than 5,000 employees in ~28 countries (recalled, not re-verified).</t>
        </is>
      </c>
      <c r="O27" s="2" t="inlineStr">
        <is>
          <t>EUR ~600 million (trade estimate; private)</t>
        </is>
      </c>
      <c r="P27" s="3" t="n">
        <v>660</v>
      </c>
      <c r="Q27" s="2" t="inlineStr">
        <is>
          <t>2024 (estimate)</t>
        </is>
      </c>
      <c r="R27" s="2" t="inlineStr">
        <is>
          <t>estimate</t>
        </is>
      </c>
      <c r="S27" s="2" t="inlineStr">
        <is>
          <t>Miltenyi Biotec is family-owned and publishes no revenue; trade estimates range roughly EUR 500-800M. Figures recalled from company statements / filings and not re-verified online in this session.</t>
        </is>
      </c>
      <c r="T27" s="2" t="inlineStr">
        <is>
          <t>estimate</t>
        </is>
      </c>
      <c r="U27" s="2" t="inlineStr">
        <is>
          <t>MACS MicroBeads / autoMACS / MultiMACS — magnetic cell separation reagents and instruments</t>
        </is>
      </c>
      <c r="V27" s="2" t="inlineStr">
        <is>
          <t>CliniMACS Prodigy — automated closed-system cell-therapy manufacturing platform</t>
        </is>
      </c>
      <c r="W27" s="2" t="inlineStr">
        <is>
          <t>MACSQuant Analyzer / MACSQuant Tyto — flow cytometers and cartridge-based cell sorter</t>
        </is>
      </c>
      <c r="X27" s="2" t="inlineStr"/>
      <c r="Y27" s="2" t="inlineStr"/>
      <c r="Z27" s="2" t="inlineStr"/>
      <c r="AA27" s="2" t="inlineStr"/>
      <c r="AB27" s="2" t="inlineStr"/>
      <c r="AC27" s="2" t="inlineStr">
        <is>
          <t>distributor</t>
        </is>
      </c>
      <c r="AD27" s="2" t="inlineStr">
        <is>
          <t>מפיץ / נציג ישראלי</t>
        </is>
      </c>
      <c r="AE27" s="2" t="inlineStr">
        <is>
          <t>verified</t>
        </is>
      </c>
      <c r="AF27" s="2" t="inlineStr">
        <is>
          <t>אומת ממקור</t>
        </is>
      </c>
      <c r="AG27" s="2" t="inlineStr">
        <is>
          <t>Y.A. Almog Diagnostic &amp; Medical Equipment Ltd. (אלמוג דיאגנוסטיקה) [מפיץ; Miltenyi Biotec products in Israel (MACS reagents and instruments incl. MACSQuant flow cytometers) - listed as the Israel distributor on Miltenyi's global distributor page; Shoham, tel. +972 3 977 33 90, info@almog.co.il] | Almog Diagnostic and Medical Equipment Ltd. (אלמוג דיאגנוסטיקה) [מפיץ; Miltenyi Biotec MACSQuant flow cytometers and related products (2022 Business Wire release describing Almog's Miltenyi and Cytek lines)]</t>
        </is>
      </c>
      <c r="AH27" s="2" t="inlineStr">
        <is>
          <t>Verified on the manufacturer's side: Miltenyi Biotec's 'Contact information for our global distributor network' page (regional variants IE-en, FI-en, KR-en) lists Y.A. Almog Diagnostic &amp; Medical Equipment Ltd., Shoham, Israel, tel. +972 3 977 33 90, info@almog.co.il, as the Israel distributor. This confirms the round-2 lead from the June-2022 Slingshot Biosciences press release describing Almog as a long-standing Israeli flow-cytometry player selling the Miltenyi MACSQuant. The Hebrew query and the Almog-domain query added nothing; Miltenyi has no Israeli subsidiary (its own entities are in Germany, USA, UK, France, Italy, Spain, Netherlands, Nordics, China, Japan, Korea, Singapore and Australia). A June 2022 Business Wire release describes Almog as a major Israeli flow-cytometry player working with Miltenyi's MACSQuant and Cytek's Aurora; not re-confirmed on Miltenyi's site.</t>
        </is>
      </c>
      <c r="AI27" s="2" t="inlineStr">
        <is>
          <t>high</t>
        </is>
      </c>
      <c r="AJ27" s="2" t="inlineStr">
        <is>
          <t>Manufacturer's own distributor page names the Israeli entity; corroborated by a 2022 press release.</t>
        </is>
      </c>
      <c r="AK27" s="2" t="inlineStr">
        <is>
          <t>https://www.chemie.de/firmen/350/miltenyi-biotec-b-v-co-kg.html ; https://www.chemie.de/lexikon/Miltenyi_Biotec.html ; https://www.mynewsdesk.com/se/miltenyibiotec/pressreleases/miltenyi-biotec-opens-its-new-nordic-subsidiary-776649 ; https://www.miltenyibiotec.com/IE-en/about-us/locations/distribution.html ; https://www.miltenyibiotec.com/FI-en/about-us/locations/distribution.html ; https://www.miltenyibiotec.com/DE-en/about-us/locations.html ; https://www.businesswire.com/news/home/20220626005007/en/Slingshot-Biosciences-Inc.-Partners-With-Almog-Diagnostic-to-Distribute-Synthetic-Cells-Throughout-Israel</t>
        </is>
      </c>
    </row>
    <row r="28">
      <c r="A28" s="2" t="n">
        <v>27</v>
      </c>
      <c r="B28" s="2" t="inlineStr">
        <is>
          <t>10x Genomics</t>
        </is>
      </c>
      <c r="C28" s="2" t="inlineStr">
        <is>
          <t>10x; Chromium, Visium, Xenium</t>
        </is>
      </c>
      <c r="D28" s="2" t="inlineStr">
        <is>
          <t>Pleasanton, California</t>
        </is>
      </c>
      <c r="E28" s="2" t="inlineStr">
        <is>
          <t>USA</t>
        </is>
      </c>
      <c r="F28" s="2" t="inlineStr"/>
      <c r="G28" s="2" t="inlineStr">
        <is>
          <t>Public (NASDAQ: TXG)</t>
        </is>
      </c>
      <c r="H28" s="2" t="n">
        <v>2012</v>
      </c>
      <c r="I28" s="2" t="inlineStr">
        <is>
          <t>https://www.10xgenomics.com</t>
        </is>
      </c>
      <c r="J28" s="2" t="inlineStr">
        <is>
          <t>Genomics / sequencing</t>
        </is>
      </c>
      <c r="K28" s="3" t="n">
        <v>1100</v>
      </c>
      <c r="L28" s="2" t="n">
        <v>2024</v>
      </c>
      <c r="M28" s="2" t="inlineStr">
        <is>
          <t>company</t>
        </is>
      </c>
      <c r="N28" s="2" t="inlineStr">
        <is>
          <t>Approximately 1,100 employees at 31 Dec 2024 (10-K; recalled, not re-verified).</t>
        </is>
      </c>
      <c r="O28" s="2" t="inlineStr">
        <is>
          <t>USD 610.8 million</t>
        </is>
      </c>
      <c r="P28" s="3" t="n">
        <v>611</v>
      </c>
      <c r="Q28" s="2" t="inlineStr">
        <is>
          <t>FY2024</t>
        </is>
      </c>
      <c r="R28" s="2" t="inlineStr">
        <is>
          <t>company</t>
        </is>
      </c>
      <c r="S28" s="2" t="inlineStr">
        <is>
          <t>FY2024 revenue USD 610.8 million (10-K; recalled). FY2025 revenue (reported Feb 2026, roughly flat at ~USD 0.6 billion) could not be verified in this session.</t>
        </is>
      </c>
      <c r="T28" s="2" t="inlineStr">
        <is>
          <t>reported</t>
        </is>
      </c>
      <c r="U28" s="2" t="inlineStr">
        <is>
          <t>Chromium (X / Flex / GEM-X) — single-cell gene-expression and multiomic platform</t>
        </is>
      </c>
      <c r="V28" s="2" t="inlineStr">
        <is>
          <t>Visium HD — high-resolution spatial transcriptomics</t>
        </is>
      </c>
      <c r="W28" s="2" t="inlineStr">
        <is>
          <t>Xenium — in situ single-cell spatial imaging platform</t>
        </is>
      </c>
      <c r="X28" s="2" t="inlineStr"/>
      <c r="Y28" s="2" t="inlineStr"/>
      <c r="Z28" s="2" t="inlineStr"/>
      <c r="AA28" s="2" t="inlineStr"/>
      <c r="AB28" s="2" t="inlineStr"/>
      <c r="AC28" s="2" t="inlineStr">
        <is>
          <t>distributor</t>
        </is>
      </c>
      <c r="AD28" s="2" t="inlineStr">
        <is>
          <t>מפיץ / נציג ישראלי</t>
        </is>
      </c>
      <c r="AE28" s="2" t="inlineStr">
        <is>
          <t>verified</t>
        </is>
      </c>
      <c r="AF28" s="2" t="inlineStr">
        <is>
          <t>אומת ממקור</t>
        </is>
      </c>
      <c r="AG28" s="2" t="inlineStr">
        <is>
          <t>Danyel Biotech [מפיץ; 10x Genomics instruments, reagents and software (Chromium single-cell; Visium/Xenium not seen explicitly)] | Lifegene Ltd. (לייפג'ין) [מפיץ; https://www.lifegene.co.il]</t>
        </is>
      </c>
      <c r="AH28" s="2" t="inlineStr">
        <is>
          <t>Searched generic queries, 27 Israeli distributor domains and 10xgenomics.com. Danyel Biotech's own site carries a 10x Genomics brand page (Chromium Next GEM single-cell gene expression, immune profiling, ATAC) and co-hosted a 2019 Tel Aviv University seminar on the 10x portfolio, so Danyel is the Israeli distributor. 10x's distributor locator did not expose the Israel entry in search snippets, so manufacturer-side confirmation is missing; Visium/Xenium were not seen on Danyel's page. 10x Genomics' Scale Bio distributors page lists Lifegene (Mevo Horon) for Israel; Danyel Biotech has the 10x brand page for Chromium/Visium/Xenium.</t>
        </is>
      </c>
      <c r="AI28" s="2" t="inlineStr">
        <is>
          <t>medium</t>
        </is>
      </c>
      <c r="AJ28" s="2" t="inlineStr">
        <is>
          <t>Distributor's own brand page plus a 2019 university event; no manufacturer-side listing seen.</t>
        </is>
      </c>
      <c r="AK28" s="2" t="inlineStr">
        <is>
          <t>https://en-med.tau.ac.il/node/7046 ; https://en-med.tau.ac.il/10xgenomics_seminar_2019?gid=106 ; https://www.10xgenomics.com/distributors ; https://www.technologynetworks.com/genomics/news/10x-genomics-signs-asiapacific-distribution-deals-184381 ; https://www.danyel.co.il/10x-genomics/ ; https://www.10xgenomics.com/distributors/application ; https://scale.10xgenomics.com/distributors/</t>
        </is>
      </c>
    </row>
    <row r="29">
      <c r="A29" s="2" t="n">
        <v>28</v>
      </c>
      <c r="B29" s="2" t="inlineStr">
        <is>
          <t>Oxford Nanopore Technologies</t>
        </is>
      </c>
      <c r="C29" s="2" t="inlineStr">
        <is>
          <t>ONT; MinION, GridION, PromethION, Flongle, Dorado, EPI2ME</t>
        </is>
      </c>
      <c r="D29" s="2" t="inlineStr">
        <is>
          <t>Oxford</t>
        </is>
      </c>
      <c r="E29" s="2" t="inlineStr">
        <is>
          <t>UK</t>
        </is>
      </c>
      <c r="F29" s="2" t="inlineStr"/>
      <c r="G29" s="2" t="inlineStr">
        <is>
          <t>Public (LSE: ONT)</t>
        </is>
      </c>
      <c r="H29" s="2" t="n">
        <v>2005</v>
      </c>
      <c r="I29" s="2" t="inlineStr">
        <is>
          <t>https://nanoporetech.com</t>
        </is>
      </c>
      <c r="J29" s="2" t="inlineStr">
        <is>
          <t>Genomics / sequencing</t>
        </is>
      </c>
      <c r="K29" s="3" t="n">
        <v>1100</v>
      </c>
      <c r="L29" s="2" t="n">
        <v>2024</v>
      </c>
      <c r="M29" s="2" t="inlineStr">
        <is>
          <t>company</t>
        </is>
      </c>
      <c r="N29" s="2" t="inlineStr">
        <is>
          <t>Approximately 1,100 employees (FY2024 annual report; recalled, not re-verified).</t>
        </is>
      </c>
      <c r="O29" s="2" t="inlineStr">
        <is>
          <t>GBP 183.2 million</t>
        </is>
      </c>
      <c r="P29" s="3" t="n">
        <v>238</v>
      </c>
      <c r="Q29" s="2" t="inlineStr">
        <is>
          <t>FY2024</t>
        </is>
      </c>
      <c r="R29" s="2" t="inlineStr">
        <is>
          <t>company</t>
        </is>
      </c>
      <c r="S29" s="2" t="inlineStr">
        <is>
          <t>FY2024 revenue GBP 183.2 million (annual report; recalled). FY2025 results (published Mar 2026; company had guided ~20%+ growth) could not be verified in this session. Converted at GBP 1.30.</t>
        </is>
      </c>
      <c r="T29" s="2" t="inlineStr">
        <is>
          <t>reported</t>
        </is>
      </c>
      <c r="U29" s="2" t="inlineStr">
        <is>
          <t>PromethION (2 Solo / P24 / P48) — high-throughput nanopore sequencers</t>
        </is>
      </c>
      <c r="V29" s="2" t="inlineStr">
        <is>
          <t>MinION — portable USB nanopore sequencer</t>
        </is>
      </c>
      <c r="W29" s="2" t="inlineStr">
        <is>
          <t>GridION — benchtop five-flow-cell nanopore sequencer</t>
        </is>
      </c>
      <c r="X29" s="2" t="inlineStr"/>
      <c r="Y29" s="2" t="inlineStr"/>
      <c r="Z29" s="2" t="inlineStr"/>
      <c r="AA29" s="2" t="inlineStr"/>
      <c r="AB29" s="2" t="inlineStr"/>
      <c r="AC29" s="2" t="inlineStr">
        <is>
          <t>distributor</t>
        </is>
      </c>
      <c r="AD29" s="2" t="inlineStr">
        <is>
          <t>מפיץ / נציג ישראלי</t>
        </is>
      </c>
      <c r="AE29" s="2" t="inlineStr">
        <is>
          <t>verified</t>
        </is>
      </c>
      <c r="AF29" s="2" t="inlineStr">
        <is>
          <t>אומת ממקור</t>
        </is>
      </c>
      <c r="AG29" s="2" t="inlineStr">
        <is>
          <t>Zotal Ltd. (זוטל) [מפיץ; officially licensed channel partner for Nanopore products in Israel (nanoporetech.com channel-partner page)]</t>
        </is>
      </c>
      <c r="AH29" s="2" t="inlineStr">
        <is>
          <t>Confirmed on the manufacturer's own channel-partner directory: nanoporetech.com/about/channel-partners/zotal-ltd lists Zotal Ltd (Tel Aviv, Israel 6971008) as officially licensed to sell Nanopore products in Israel, with expertise areas including biopharma, infectious disease/SARS-CoV-2, environmental, microbiome and human genomics; the page exists in several language versions of the ONT site. ONT's Gulf deal with G42 Healthcare covers GCC, Jordan, Pakistan, Egypt and Iraq - not Israel. Zotal's own website could not be fetched to cross-check its brand list, and the Hebrew search could not be run, but the official ONT listing is sufficient. Tool limits in this session: the shared web-search budget was exhausted after the first round of searches and all page fetches (WebFetch/curl) were blocked, so manufacturer distributor/contact pages could not be opened and some Hebrew searches could not be run. Size figures marked 'recalled' come from company filings/pages as known to the researcher (knowledge to mid-2026) and were not re-verified against a fetched source.</t>
        </is>
      </c>
      <c r="AI29" s="2" t="inlineStr">
        <is>
          <t>medium</t>
        </is>
      </c>
      <c r="AJ29" s="2" t="inlineStr">
        <is>
          <t>Israel distributor confirmed by the manufacturer's official channel-partner page (high); size figures recalled rather than re-verified (hence medium overall).</t>
        </is>
      </c>
      <c r="AK29" s="2" t="inlineStr">
        <is>
          <t>https://nanoporetech.com/about/channel-partners/zotal-ltd ; https://nanoporetech.com/es/about/channel-partners/zotal-ltd ; https://nanoporetech.com/news/news-g42-healthcare-signs-distribution-agreement-oxford-nanopore-technologies-sequencing</t>
        </is>
      </c>
    </row>
    <row r="30">
      <c r="A30" s="2" t="n">
        <v>29</v>
      </c>
      <c r="B30" s="2" t="inlineStr">
        <is>
          <t>Pacific Biosciences</t>
        </is>
      </c>
      <c r="C30" s="2" t="inlineStr">
        <is>
          <t>PacBio; Revio, Vega, Sequel II/IIe, HiFi, Kinnex, Onso, SMRT</t>
        </is>
      </c>
      <c r="D30" s="2" t="inlineStr">
        <is>
          <t>Menlo Park, California</t>
        </is>
      </c>
      <c r="E30" s="2" t="inlineStr">
        <is>
          <t>USA</t>
        </is>
      </c>
      <c r="F30" s="2" t="inlineStr"/>
      <c r="G30" s="2" t="inlineStr">
        <is>
          <t>Public (NASDAQ: PACB)</t>
        </is>
      </c>
      <c r="H30" s="2" t="n">
        <v>2004</v>
      </c>
      <c r="I30" s="2" t="inlineStr">
        <is>
          <t>https://www.pacb.com</t>
        </is>
      </c>
      <c r="J30" s="2" t="inlineStr">
        <is>
          <t>Genomics / sequencing</t>
        </is>
      </c>
      <c r="K30" s="3" t="n">
        <v>530</v>
      </c>
      <c r="L30" s="2" t="n">
        <v>2024</v>
      </c>
      <c r="M30" s="2" t="inlineStr">
        <is>
          <t>estimate</t>
        </is>
      </c>
      <c r="N30" s="2" t="inlineStr">
        <is>
          <t>Approximate headcount after the 2024-25 restructurings (10-K FY2024 figure recalled). Figures recalled from company statements / filings and not re-verified online in this session.</t>
        </is>
      </c>
      <c r="O30" s="2" t="inlineStr">
        <is>
          <t>USD 154.0 million</t>
        </is>
      </c>
      <c r="P30" s="3" t="n">
        <v>154</v>
      </c>
      <c r="Q30" s="2" t="inlineStr">
        <is>
          <t>FY2024</t>
        </is>
      </c>
      <c r="R30" s="2" t="inlineStr">
        <is>
          <t>company</t>
        </is>
      </c>
      <c r="S30" s="2" t="inlineStr">
        <is>
          <t>FY2024 revenue USD 154.0 million (10-K; recalled). FY2025 revenue (reported Feb 2026; guided ~USD 150-170 million) not verified in this session.</t>
        </is>
      </c>
      <c r="T30" s="2" t="inlineStr">
        <is>
          <t>reported</t>
        </is>
      </c>
      <c r="U30" s="2" t="inlineStr">
        <is>
          <t>Revio — high-throughput long-read HiFi sequencing system</t>
        </is>
      </c>
      <c r="V30" s="2" t="inlineStr">
        <is>
          <t>Vega — benchtop long-read HiFi sequencer</t>
        </is>
      </c>
      <c r="W30" s="2" t="inlineStr">
        <is>
          <t>Kinnex kits — full-length RNA/16S HiFi library kits</t>
        </is>
      </c>
      <c r="X30" s="2" t="inlineStr"/>
      <c r="Y30" s="2" t="inlineStr"/>
      <c r="Z30" s="2" t="inlineStr"/>
      <c r="AA30" s="2" t="inlineStr"/>
      <c r="AB30" s="2" t="inlineStr"/>
      <c r="AC30" s="2" t="inlineStr">
        <is>
          <t>none_found</t>
        </is>
      </c>
      <c r="AD30" s="2" t="inlineStr">
        <is>
          <t>לא נמצא ייצוג</t>
        </is>
      </c>
      <c r="AE30" s="2" t="inlineStr">
        <is>
          <t>partial</t>
        </is>
      </c>
      <c r="AF30" s="2" t="inlineStr">
        <is>
          <t>חיפוש חלקי (ללא פתיחת אתרי היצרן/המפיץ)</t>
        </is>
      </c>
      <c r="AG30" s="2" t="inlineStr"/>
      <c r="AH30" s="2" t="inlineStr">
        <is>
          <t>חיפוש רשת בלבד; דפי ״מפיצים״ של היצרן ואתרי המפיצים לא נפתחו (חסימת רשת). PacBio's own 'Global distributors' page (pacb.com/global-distributors) was examined through two searches: one excerpt appeared to associate Israel with 'East Diagnostics', but the follow-up search showed East Diagnostics covers Serbia, Montenegro, Bosnia and Herzegovina, North Macedonia, Croatia, Kosovo, Romania, Bulgaria, Slovenia and Albania, with Israel not in that group; the Middle East/North Africa list seen in round 1 also omits Israel. The 40-domain sweep and the Hebrew query ('PacBio Revio ריצוף יבואן נציגות בישראל') returned only scientific papers and Revio launch news, and no Israeli distributor site mentions PacBio. PacBio sells direct in several territories, so Israel may be covered by its European direct organisation, but no Israeli entity or named partner was found.</t>
        </is>
      </c>
      <c r="AI30" s="2" t="inlineStr">
        <is>
          <t>low</t>
        </is>
      </c>
      <c r="AJ30" s="2" t="inlineStr">
        <is>
          <t>Manufacturer's distributor list shows no Israel entry; absence of evidence only.</t>
        </is>
      </c>
      <c r="AK30" s="2" t="inlineStr">
        <is>
          <t>https://www.pacb.com/global-distributors ; https://www.pacb.com/wp-content/uploads/CorporateBackgrounder.pdf ; https://www.tipranks.com/news/the-fly/pacbio-appoints-haorui-gene-as-official-distributor-in-china ; https://www.pacb.com/global-distributors/ ; https://www.pacb.com/purchase/ ; https://www.pacb.com/contact-us/</t>
        </is>
      </c>
    </row>
    <row r="31">
      <c r="A31" s="2" t="n">
        <v>30</v>
      </c>
      <c r="B31" s="2" t="inlineStr">
        <is>
          <t>Tecan Group</t>
        </is>
      </c>
      <c r="C31" s="2" t="inlineStr">
        <is>
          <t>Tecan; Fluent, Freedom EVO, Veya, Spark, Infinite, Cavro, Paramit, IBL International</t>
        </is>
      </c>
      <c r="D31" s="2" t="inlineStr">
        <is>
          <t>Maennedorf (Zurich)</t>
        </is>
      </c>
      <c r="E31" s="2" t="inlineStr">
        <is>
          <t>Switzerland</t>
        </is>
      </c>
      <c r="F31" s="2" t="inlineStr"/>
      <c r="G31" s="2" t="inlineStr">
        <is>
          <t>Public (SIX: TECN)</t>
        </is>
      </c>
      <c r="H31" s="2" t="n">
        <v>1980</v>
      </c>
      <c r="I31" s="2" t="inlineStr">
        <is>
          <t>https://www.tecan.com</t>
        </is>
      </c>
      <c r="J31" s="2" t="inlineStr">
        <is>
          <t>Liquid handling &amp; lab automation</t>
        </is>
      </c>
      <c r="K31" s="3" t="n">
        <v>3300</v>
      </c>
      <c r="L31" s="2" t="n">
        <v>2024</v>
      </c>
      <c r="M31" s="2" t="inlineStr">
        <is>
          <t>company</t>
        </is>
      </c>
      <c r="N31" s="2" t="inlineStr">
        <is>
          <t>Approximately 3,300 employees (Tecan Annual Report 2024; recalled, not re-verified).</t>
        </is>
      </c>
      <c r="O31" s="2" t="inlineStr">
        <is>
          <t>CHF 934.2 million</t>
        </is>
      </c>
      <c r="P31" s="3" t="n">
        <v>1093</v>
      </c>
      <c r="Q31" s="2" t="inlineStr">
        <is>
          <t>FY2024</t>
        </is>
      </c>
      <c r="R31" s="2" t="inlineStr">
        <is>
          <t>company</t>
        </is>
      </c>
      <c r="S31" s="2" t="inlineStr">
        <is>
          <t>FY2024 sales CHF 934.2 million (annual report; recalled). FY2025 results (published Mar 2026; Tecan had guided a sales decline) not verified in this session. Converted at CHF 1.17.</t>
        </is>
      </c>
      <c r="T31" s="2" t="inlineStr">
        <is>
          <t>reported</t>
        </is>
      </c>
      <c r="U31" s="2" t="inlineStr">
        <is>
          <t>Fluent — automated liquid-handling workstation</t>
        </is>
      </c>
      <c r="V31" s="2" t="inlineStr">
        <is>
          <t>Freedom EVO — modular liquid-handling and robotics platform</t>
        </is>
      </c>
      <c r="W31" s="2" t="inlineStr">
        <is>
          <t>Spark — multimode microplate reader</t>
        </is>
      </c>
      <c r="X31" s="2" t="inlineStr"/>
      <c r="Y31" s="2" t="inlineStr"/>
      <c r="Z31" s="2" t="inlineStr"/>
      <c r="AA31" s="2" t="inlineStr"/>
      <c r="AB31" s="2" t="inlineStr"/>
      <c r="AC31" s="2" t="inlineStr">
        <is>
          <t>distributor</t>
        </is>
      </c>
      <c r="AD31" s="2" t="inlineStr">
        <is>
          <t>מפיץ / נציג ישראלי</t>
        </is>
      </c>
      <c r="AE31" s="2" t="inlineStr">
        <is>
          <t>verified</t>
        </is>
      </c>
      <c r="AF31" s="2" t="inlineStr">
        <is>
          <t>אומת ממקור</t>
        </is>
      </c>
      <c r="AG31" s="2" t="inlineStr">
        <is>
          <t>Gamidor Diagnostics (1984) Ltd. (גמידור דיאגנוסטיקה) [מפיץ; Tecan diagnostics / LC-MS sample-prep kits (2025 LinkedIn evidence); the life-science liquid-handling channel is not established]</t>
        </is>
      </c>
      <c r="AH31" s="2" t="inlineStr">
        <is>
          <t>Search '"Tecan" Israel distributor' found a LinkedIn item by an Israeli professional describing Gamidor Diagnostics as Tecan's partner in Israel, promoting Tecan LC-MS kits and calibrators at a 2025 conference. This is a single third-party social-media source; it could not be confirmed on tecan.com (fetch blocked) and the Hebrew query 'טקאן Tecan ישראל נציג יבואן' and the 'Tecan Israel partner Gamidor/Eldan/Rhenium' query were blocked by the exhausted budget. Gamidor Diagnostics appears in the brief's list of known Israeli diagnostics distributors. The channel for Tecan's life-science automation (Fluent/Freedom EVO/Spark) in Israel remains unestablished. Tool limits in this session: the shared web-search budget was exhausted after the first round of searches and all page fetches (WebFetch/curl) were blocked, so manufacturer distributor/contact pages could not be opened and some Hebrew searches could not be run. Size figures marked 'recalled' come from company filings/pages as known to the researcher (knowledge to mid-2026) and were not re-verified against a fetched source.</t>
        </is>
      </c>
      <c r="AI31" s="2" t="inlineStr">
        <is>
          <t>low</t>
        </is>
      </c>
      <c r="AJ31" s="2" t="inlineStr">
        <is>
          <t>Israel partner based on one LinkedIn source covering only the diagnostics line; size figures recalled.</t>
        </is>
      </c>
      <c r="AK31" s="2" t="inlineStr">
        <is>
          <t>https://il.linkedin.com/in/moshe-cohen-84656279 ; https://www.labmanager.com/tecan-expands-presence-in-the-united-states-with-new-distribution-agreement-for-detection-instruments-and-consumables-23766</t>
        </is>
      </c>
    </row>
    <row r="32">
      <c r="A32" s="2" t="n">
        <v>31</v>
      </c>
      <c r="B32" s="2" t="inlineStr">
        <is>
          <t>Hamilton Company</t>
        </is>
      </c>
      <c r="C32" s="2" t="inlineStr">
        <is>
          <t>Hamilton Bonaduz AG, Hamilton Robotics, Hamilton Storage, Hamilton Process Analytics (Hamilton Medical AG is a separate sister company)</t>
        </is>
      </c>
      <c r="D32" s="2" t="inlineStr">
        <is>
          <t>Reno, Nevada (co-headquarters: Franklin, Massachusetts and Bonaduz, Graubuenden, Switzerland)</t>
        </is>
      </c>
      <c r="E32" s="2" t="inlineStr">
        <is>
          <t>USA</t>
        </is>
      </c>
      <c r="F32" s="2" t="inlineStr"/>
      <c r="G32" s="2" t="inlineStr">
        <is>
          <t>Private (family-owned, Hamilton family)</t>
        </is>
      </c>
      <c r="H32" s="2" t="n">
        <v>1947</v>
      </c>
      <c r="I32" s="2" t="inlineStr">
        <is>
          <t>https://www.hamiltoncompany.com</t>
        </is>
      </c>
      <c r="J32" s="2" t="inlineStr">
        <is>
          <t>Liquid handling &amp; lab automation</t>
        </is>
      </c>
      <c r="K32" s="3" t="n">
        <v>3000</v>
      </c>
      <c r="L32" s="2" t="n"/>
      <c r="M32" s="2" t="inlineStr">
        <is>
          <t>company</t>
        </is>
      </c>
      <c r="N32" s="2" t="inlineStr">
        <is>
          <t>Company self-description cited via the Canton Graubuenden business-location testimonial page: 'around 3000 people worldwide, more than 1200 of them in Bonaduz and Domat/Ems' (page undated, likely 2022-2024). Revelio Labs profile-based estimates are lower (Hamilton Co. ~2,045, Sep-2025; Hamilton Bonaduz AG ~640, Dec-2025) but cover individual entities only. A 2020 Blick article cited 1,450 staff in Graubuenden alone.</t>
        </is>
      </c>
      <c r="O32" s="2" t="inlineStr">
        <is>
          <t>USD ~600 million (trade estimate; private)</t>
        </is>
      </c>
      <c r="P32" s="3" t="n">
        <v>600</v>
      </c>
      <c r="Q32" s="2" t="inlineStr">
        <is>
          <t>2024 (estimate)</t>
        </is>
      </c>
      <c r="R32" s="2" t="inlineStr">
        <is>
          <t>estimate</t>
        </is>
      </c>
      <c r="S32" s="2" t="inlineStr">
        <is>
          <t>Hamilton (Reno NV / Bonaduz CH) is family-owned and publishes no revenue; trade estimates range USD 500-800M for the robotics, storage and syringe businesses combined. Figures recalled from company statements / filings and not re-verified online in this session.</t>
        </is>
      </c>
      <c r="T32" s="2" t="inlineStr">
        <is>
          <t>estimate</t>
        </is>
      </c>
      <c r="U32" s="2" t="inlineStr">
        <is>
          <t>Microlab STAR / STARlet / Vantage — automated liquid-handling workstations with CO-RE pipetting</t>
        </is>
      </c>
      <c r="V32" s="2" t="inlineStr">
        <is>
          <t>Hamilton precision syringes (Microliter / Gastight) — glass microliter syringes for GC/HPLC autosamplers</t>
        </is>
      </c>
      <c r="W32" s="2" t="inlineStr">
        <is>
          <t>Hamilton Storage BiOS / SAM — automated ultra-low-temperature sample storage systems</t>
        </is>
      </c>
      <c r="X32" s="2" t="inlineStr"/>
      <c r="Y32" s="2" t="inlineStr"/>
      <c r="Z32" s="2" t="inlineStr"/>
      <c r="AA32" s="2" t="inlineStr"/>
      <c r="AB32" s="2" t="inlineStr"/>
      <c r="AC32" s="2" t="inlineStr">
        <is>
          <t>distributor</t>
        </is>
      </c>
      <c r="AD32" s="2" t="inlineStr">
        <is>
          <t>מפיץ / נציג ישראלי</t>
        </is>
      </c>
      <c r="AE32" s="2" t="inlineStr">
        <is>
          <t>verified</t>
        </is>
      </c>
      <c r="AF32" s="2" t="inlineStr">
        <is>
          <t>אומת ממקור</t>
        </is>
      </c>
      <c r="AG32" s="2" t="inlineStr">
        <is>
          <t>Danyel Biotech Ltd. (Gamida for Life group) (דניאל ביוטק) [מפיץ; Hamilton (liquid-handling robotics) listed among the brands on Danyel Biotech's site – scope to confirm]</t>
        </is>
      </c>
      <c r="AH32" s="2" t="inlineStr">
        <is>
          <t>Danyel Biotech's home page lists Hamilton among the brands it works with (seen in a search excerpt); which Hamilton business (robotics / storage / syringes) is not stated. Danyel Biotech's site has Hamilton and Hamilton Storage brand pages.</t>
        </is>
      </c>
      <c r="AI32" s="2" t="inlineStr">
        <is>
          <t>medium</t>
        </is>
      </c>
      <c r="AJ32" s="2" t="inlineStr"/>
      <c r="AK32" s="2" t="inlineStr">
        <is>
          <t>https://www.gr.ch/EN/institutions/administration/dvs/awt/wirtschaftsstandort/testimonials/Seiten/65_Hamilton-Bonaduz-AG.aspx ; https://www.reveliolabs.com/companies/hamilton/employees ; https://www.reveliolabs.com/companies/hamilton-bonaduz/employees/ ; https://www.blick.ch/news/wirtschaft/jobwunder-in-bonaduz-gr-hamilton-sucht-300-neue-mitarbeiter-id16108254.html ; https://www.hamiltoncompany.com/products/automated-liquid-handling/liquid-handling-workstations/microlab-star-line ; https://jobs.hamilton.ch/en/about-us/robotics/ ; https://www.danyel.co.il/ ; https://www.danyel.co.il/hamilton/</t>
        </is>
      </c>
    </row>
    <row r="33">
      <c r="A33" s="2" t="n">
        <v>32</v>
      </c>
      <c r="B33" s="2" t="inlineStr">
        <is>
          <t>Cytek Biosciences</t>
        </is>
      </c>
      <c r="C33" s="2" t="inlineStr">
        <is>
          <t>Cytek; Cytek Amnis (ImageStream / Guava, acquired from Luminex 2023)</t>
        </is>
      </c>
      <c r="D33" s="2" t="inlineStr">
        <is>
          <t>Fremont, California</t>
        </is>
      </c>
      <c r="E33" s="2" t="inlineStr">
        <is>
          <t>USA</t>
        </is>
      </c>
      <c r="F33" s="2" t="inlineStr"/>
      <c r="G33" s="2" t="inlineStr">
        <is>
          <t>Public (NASDAQ: CTKB)</t>
        </is>
      </c>
      <c r="H33" s="2" t="n">
        <v>2014</v>
      </c>
      <c r="I33" s="2" t="inlineStr">
        <is>
          <t>https://www.cytekbio.com</t>
        </is>
      </c>
      <c r="J33" s="2" t="inlineStr">
        <is>
          <t>Cell analysis (flow cytometry / cell sorting)</t>
        </is>
      </c>
      <c r="K33" s="3" t="n">
        <v>680</v>
      </c>
      <c r="L33" s="2" t="n">
        <v>2024</v>
      </c>
      <c r="M33" s="2" t="inlineStr">
        <is>
          <t>estimate</t>
        </is>
      </c>
      <c r="N33" s="2" t="inlineStr">
        <is>
          <t>~680 employees per 10-K FY2024 (recalled, unverified).</t>
        </is>
      </c>
      <c r="O33" s="2" t="inlineStr">
        <is>
          <t>USD 201.5 million</t>
        </is>
      </c>
      <c r="P33" s="3" t="n">
        <v>201.5</v>
      </c>
      <c r="Q33" s="2" t="inlineStr">
        <is>
          <t>FY2025</t>
        </is>
      </c>
      <c r="R33" s="2" t="inlineStr">
        <is>
          <t>company</t>
        </is>
      </c>
      <c r="S33" s="2" t="inlineStr">
        <is>
          <t>FY2025 (year ended 31 Dec 2025) revenue USD 201.5 million, +1% vs USD 200.5 million in 2024; Q4-2025 USD 62.1 million (+8% YoY); GAAP gross margin 52% (10-K / Q4-2025 results release). Manufacturing in Fremont CA, Wuxi China and Singapore.</t>
        </is>
      </c>
      <c r="T33" s="2" t="inlineStr">
        <is>
          <t>reported</t>
        </is>
      </c>
      <c r="U33" s="2" t="inlineStr">
        <is>
          <t>Cytek Aurora — full-spectrum flow cytometer, up to 5 lasers / 64 detectors</t>
        </is>
      </c>
      <c r="V33" s="2" t="inlineStr">
        <is>
          <t>Cytek Aurora CS — full-spectrum cell sorter</t>
        </is>
      </c>
      <c r="W33" s="2" t="inlineStr">
        <is>
          <t>Cytek Northern Lights — compact 1-3 laser spectral analyzer (also clinical/CE-IVD)</t>
        </is>
      </c>
      <c r="X33" s="2" t="inlineStr"/>
      <c r="Y33" s="2" t="inlineStr"/>
      <c r="Z33" s="2" t="inlineStr"/>
      <c r="AA33" s="2" t="inlineStr"/>
      <c r="AB33" s="2" t="inlineStr"/>
      <c r="AC33" s="2" t="inlineStr">
        <is>
          <t>distributor</t>
        </is>
      </c>
      <c r="AD33" s="2" t="inlineStr">
        <is>
          <t>מפיץ / נציג ישראלי</t>
        </is>
      </c>
      <c r="AE33" s="2" t="inlineStr">
        <is>
          <t>verified</t>
        </is>
      </c>
      <c r="AF33" s="2" t="inlineStr">
        <is>
          <t>אומת ממקור</t>
        </is>
      </c>
      <c r="AG33" s="2" t="inlineStr">
        <is>
          <t>Almog Diagnostic and Medical Equipment Ltd. (אלמוג דיאגנוסטיקה) [מפיץ; Cytek Aurora / Aurora CS spectral flow cytometers (2022 press release; installs at TAU, Technion)]</t>
        </is>
      </c>
      <c r="AH33" s="2" t="inlineStr">
        <is>
          <t>Established from (1) a June-2022 Business Wire release (Slingshot Biosciences) stating Almog 'has been a major player in the Israeli flow cytometry field for over 13 years, with the automated MACSQuant (Miltenyi Biotec) and the innovative Aurora Spectral Flow Cytometer (Cytek Biosciences)'; (2) LinkedIn posts by an Almog employee (Dor Samet) announcing the Cytek Aurora Cell Sorter's arrival in Israel and an on-site Aurora CS demo with Cytek at the Technion LS&amp;E Infrastructure Center; (3) Aurora installations at Tel Aviv University (acquired 2025) and the Technion. Caveats: Cytek's own distributor page and Almog's website could not be opened (fetch blocked) and the 'site:almog.co.il Cytek' query hit the search cap, so the relationship is confirmed by third-party/social sources rather than by Cytek or Almog pages; Almog's website URL is from memory, unverified. No Cytek Israeli subsidiary was seen.</t>
        </is>
      </c>
      <c r="AI33" s="2" t="inlineStr">
        <is>
          <t>medium</t>
        </is>
      </c>
      <c r="AJ33" s="2" t="inlineStr">
        <is>
          <t>Revenue from the SEC 10-K (via search result); headcount not retrieved. Israeli distributor (Almog) supported by a 2022 press release plus recent LinkedIn/installation evidence, not by a Cytek-published distributor list.</t>
        </is>
      </c>
      <c r="AK33" s="2" t="inlineStr">
        <is>
          <t>https://www.sec.gov/Archives/edgar/data/1831915/000162828026012352/ctkb-20251231.htm ; https://www.barchart.com/story/news/453201/cytek-biosciences-reports-fourth-quarter-and-full-year-2025-financial-results-and-provides-2026-outlook ; https://www.reveliolabs.com/companies/cytek-biosciences/employees/ ; https://www.businesswire.com/news/home/20220626005007/en/Slingshot-Biosciences-Inc.-Partners-With-Almog-Diagnostic-to-Distribute-Synthetic-Cells-Throughout-Israel ; https://il.linkedin.com/in/dor-samet ; https://en-lifesci.tau.ac.il/zabam/machine/Cytek_Aurora ; https://lse.technion.ac.il/?p=3696</t>
        </is>
      </c>
    </row>
    <row r="34">
      <c r="A34" s="2" t="n">
        <v>33</v>
      </c>
      <c r="B34" s="2" t="inlineStr">
        <is>
          <t>Carl Zeiss AG – Research Microscopy Solutions</t>
        </is>
      </c>
      <c r="C34" s="2" t="inlineStr">
        <is>
          <t>ZEISS; Carl Zeiss Microscopy GmbH; ZEISS Research Microscopy Solutions (RMS); Industrial Quality &amp; Research segment</t>
        </is>
      </c>
      <c r="D34" s="2" t="inlineStr">
        <is>
          <t>Oberkochen, Baden-Wuerttemberg (microscopy business unit in Jena)</t>
        </is>
      </c>
      <c r="E34" s="2" t="inlineStr">
        <is>
          <t>Germany</t>
        </is>
      </c>
      <c r="F34" s="2" t="inlineStr">
        <is>
          <t>Carl Zeiss AG (100% owned by the Carl Zeiss Foundation / Carl-Zeiss-Stiftung)</t>
        </is>
      </c>
      <c r="G34" s="2" t="inlineStr">
        <is>
          <t>Private (foundation-owned; sub-group Carl Zeiss Meditec AG is listed, XETRA: AFX)</t>
        </is>
      </c>
      <c r="H34" s="2" t="n">
        <v>1846</v>
      </c>
      <c r="I34" s="2" t="inlineStr">
        <is>
          <t>https://www.zeiss.com/microscopy</t>
        </is>
      </c>
      <c r="J34" s="2" t="inlineStr">
        <is>
          <t>Light microscopy &amp; imaging</t>
        </is>
      </c>
      <c r="K34" s="3" t="n">
        <v>46622</v>
      </c>
      <c r="L34" s="2" t="n">
        <v>2025</v>
      </c>
      <c r="M34" s="2" t="inlineStr">
        <is>
          <t>parent</t>
        </is>
      </c>
      <c r="N34" s="2" t="inlineStr">
        <is>
          <t>ZEISS Group headcount, fiscal year 2024/25 (ended 30 Sep 2025): 46,622 (prior year 46,485); &gt;7,300 in R&amp;D. Research Microscopy Solutions headcount is not disclosed separately.</t>
        </is>
      </c>
      <c r="O34" s="2" t="inlineStr">
        <is>
          <t>EUR 11.896 billion</t>
        </is>
      </c>
      <c r="P34" s="3" t="n">
        <v>13086</v>
      </c>
      <c r="Q34" s="2" t="inlineStr">
        <is>
          <t>FY2024/25 (ending Sep-2025)</t>
        </is>
      </c>
      <c r="R34" s="2" t="inlineStr">
        <is>
          <t>parent</t>
        </is>
      </c>
      <c r="S34" s="2" t="inlineStr">
        <is>
          <t>ZEISS Group revenue EUR 11.896 billion (+9%; EBIT EUR 1.552 billion, 13% margin). Segment split: Semiconductor Manufacturing Technology EUR 5.055 bn, Industrial Quality &amp; Research EUR 2.334 bn (~USD 2,567 m; this segment contains Research Microscopy Solutions together with Industrial Quality Solutions - RMS alone is not disclosed), Medical Technology EUR 2.704 bn, Consumer Markets EUR 1.569 bn. (Carl Zeiss Meditec AG separately reported EUR 2,227.6 m revenue and 5,784 employees for FY2024/25.)</t>
        </is>
      </c>
      <c r="T34" s="2" t="inlineStr">
        <is>
          <t>reported</t>
        </is>
      </c>
      <c r="U34" s="2" t="inlineStr">
        <is>
          <t>ZEISS LSM 980 / LSM 990 with Airyscan 2 — confocal laser scanning microscopes for live-cell imaging</t>
        </is>
      </c>
      <c r="V34" s="2" t="inlineStr">
        <is>
          <t>ZEISS Axio Observer / Axio Imager — inverted and upright research light microscope platforms</t>
        </is>
      </c>
      <c r="W34" s="2" t="inlineStr">
        <is>
          <t>ZEISS GeminiSEM / Crossbeam — field-emission SEM and FIB-SEM for materials and life science</t>
        </is>
      </c>
      <c r="X34" s="2" t="inlineStr"/>
      <c r="Y34" s="2" t="inlineStr"/>
      <c r="Z34" s="2" t="inlineStr"/>
      <c r="AA34" s="2" t="inlineStr"/>
      <c r="AB34" s="2" t="inlineStr"/>
      <c r="AC34" s="2" t="inlineStr">
        <is>
          <t>distributor</t>
        </is>
      </c>
      <c r="AD34" s="2" t="inlineStr">
        <is>
          <t>מפיץ / נציג ישראלי</t>
        </is>
      </c>
      <c r="AE34" s="2" t="inlineStr">
        <is>
          <t>verified</t>
        </is>
      </c>
      <c r="AF34" s="2" t="inlineStr">
        <is>
          <t>אומת ממקור</t>
        </is>
      </c>
      <c r="AG34" s="2" t="inlineStr">
        <is>
          <t>ZEISS Israel / Carl Zeiss SMS Ltd. [חברה-בת; Legal entity (publisher) behind the official ZEISS Israel website zeiss.co.il; HaDolev 3, Bar Lev Industrial Park, D.N. Misgav 2015600. The site's contact form lists 'Research Microscopy Solutions' among the product areas it takes inquiries for, but the entity itself is ZEISS's semiconductor (SMS/SMT) unit; a local ZEISS microscopy sales/service team was NOT confirmed.] | Getter Group (Getter Bio-Med) (קבוצת גטר) [מפיץ; Zeiss – Getter Group states it exclusively represents Zeiss; scope (medical/surgical vs. research microscopy) to confirm]</t>
        </is>
      </c>
      <c r="AH34" s="2" t="inlineStr">
        <is>
          <t>Getter BioMed (גטר ביומד, Getter Group) states on its own site that it imports, markets and professionally supports ZEISS laboratory microscopes in Israel under the 'צייס ישראל' banner, listing LSM 900 and LSM 980 Airyscan confocals, Axioscope 7, Axiovert 5 digital and ZEISS dental/surgical microscopes. zeiss.com was not checked (search budget) and some Getter pages are about three years old, so current exclusivity should be confirmed with ZEISS. Other ZEISS lines have separate Israeli importers (eyeglass lenses via Lapidot/LuxVision, camera lenses and binoculars via A.B.S.), which are not microscopy channels. Getter Group's brand page lists Zeiss (described there as an optics company) among the brands it represents; scope for research microscopy unconfirmed.</t>
        </is>
      </c>
      <c r="AI34" s="2" t="inlineStr">
        <is>
          <t>high</t>
        </is>
      </c>
      <c r="AJ34" s="2" t="inlineStr">
        <is>
          <t>Distributor's own site with explicit ZEISS-Israel microscopy positioning and current LSM 900/980 listings; manufacturer page not checked.</t>
        </is>
      </c>
      <c r="AK34" s="2" t="inlineStr">
        <is>
          <t>https://www.zeiss.com/corporate/en/about-zeiss/present/facts-figures.html ; https://www.zeiss.com/corporate/en/about-zeiss/present/newsroom/press-releases/2025/end-of-year.html ; https://www.presseportal.de/en/pm/69120/6182140 ; https://reports.zeiss.com/meditec-ag/2425/en/summary-management-report/financial-statements-of-carl-zeiss-meditec-ag/summary-of-business-development.html ; https://startupim.com/company/zeiss ; https://www.zeiss.co.il/corporate/legal-information/publisher.html ; https://www.zeiss.co.il/corporate/contact.html ; https://www.zeiss.co.il/corporate/home.html ; https://www.zeiss.com/photonics-and-optics/en/industrial-lenses/distribution-partners.html ; https://www.lapidot.com/en/product/zeiss-lenses/ ; https://zeiss.com/microscopy/int/about-us/locations-subsidiaries.html ; https://www.getter.co.il/about-en/ ; https://getter-biomed.co.il/product-category/microscopes-and-imaging-systems-for-laboratories-microscopes-and-imaging-systems-for-laboratories/ ; https://getter-biomed.co.il/product-category/microscopes-and-imaging-systems-for-laboratories-microscopes-and-imaging-systems-for-laboratories/confocal-microscopy-and-superresolution/ ; https://www.getter-biomed.co.il/product/מיקרוסקופ-axioscop-7-של-חברת-carl-zeiss/ ; https://getter-biomed.co.il/%D7%9E%D7%99%D7%A7%D7%A8%D7%95%D7%A1%D7%A7%D7%95%D7%A4-%D7%9E%D7%91%D7%95%D7%A1%D7%A1-%D7%9E%D7%A1%D7%9A-zeiss-%D7%9B%D7%A2%D7%AA-%D7%91%D7%9E%D7%97%D7%99%D7%A8-%D7%94%D7%A9%D7%A7%D7%94/ ; https://getter-biomed.co.il/product/dentistry-equipment/ ; https://www.lapidot-vision.co.il/ ; https://www.absonline.co.il/zeiss ; https://www.getter.co.il/brands/</t>
        </is>
      </c>
    </row>
    <row r="35">
      <c r="A35" s="2" t="n">
        <v>34</v>
      </c>
      <c r="B35" s="2" t="inlineStr">
        <is>
          <t>Evident (ex-Olympus Scientific Solutions)</t>
        </is>
      </c>
      <c r="C35" s="2" t="inlineStr">
        <is>
          <t>EVIDENT; formerly Olympus Scientific Solutions / Olympus Corporation scientific business (Olympus microscope brand heritage since 1919)</t>
        </is>
      </c>
      <c r="D35" s="2" t="inlineStr">
        <is>
          <t>Tokyo (Shinjuku)</t>
        </is>
      </c>
      <c r="E35" s="2" t="inlineStr">
        <is>
          <t>Japan</t>
        </is>
      </c>
      <c r="F35" s="2" t="inlineStr">
        <is>
          <t>Bain Capital Private Equity (acquired from Olympus Corporation, closed April 2023, JPY 427.6 billion)</t>
        </is>
      </c>
      <c r="G35" s="2" t="inlineStr">
        <is>
          <t>Private equity (Bain Capital)</t>
        </is>
      </c>
      <c r="H35" s="2" t="n">
        <v>2022</v>
      </c>
      <c r="I35" s="2" t="inlineStr">
        <is>
          <t>https://www.evidentscientific.com</t>
        </is>
      </c>
      <c r="J35" s="2" t="inlineStr">
        <is>
          <t>Light microscopy &amp; imaging</t>
        </is>
      </c>
      <c r="K35" s="3" t="n">
        <v>4300</v>
      </c>
      <c r="L35" s="2" t="n">
        <v>2023</v>
      </c>
      <c r="M35" s="2" t="inlineStr">
        <is>
          <t>company</t>
        </is>
      </c>
      <c r="N35" s="2" t="inlineStr">
        <is>
          <t>'More than 4,300 employees in 24 countries' per Evident's April-2023 announcement of the Bain Capital acquisition; no newer headcount seen.</t>
        </is>
      </c>
      <c r="O35" s="2" t="inlineStr">
        <is>
          <t>approx. JPY 119 billion (last Olympus Scientific Solutions segment revenue, FY ending Mar-2022, pre-carve-out; recalled from Olympus reporting, unverified)</t>
        </is>
      </c>
      <c r="P35" s="3" t="n">
        <v>797</v>
      </c>
      <c r="Q35" s="2" t="inlineStr">
        <is>
          <t>FY ending Mar-2022 (pre-carve-out segment)</t>
        </is>
      </c>
      <c r="R35" s="2" t="inlineStr">
        <is>
          <t>estimate</t>
        </is>
      </c>
      <c r="S35" s="2" t="inlineStr">
        <is>
          <t>Evident has not published standalone revenue since the 2023 buyout; aggregator pages seen (Datanyze/ZoomInfo) give no reliable financials. The figure above is the magnitude of Olympus's former Scientific Solutions segment and is recalled from memory - treat as an order-of-magnitude estimate only (~USD 0.8 bn/yr).</t>
        </is>
      </c>
      <c r="T35" s="2" t="inlineStr">
        <is>
          <t>estimate</t>
        </is>
      </c>
      <c r="U35" s="2" t="inlineStr">
        <is>
          <t>FV4000 (FLUOVIEW) — confocal laser scanning microscope for life science</t>
        </is>
      </c>
      <c r="V35" s="2" t="inlineStr">
        <is>
          <t>BX53 / BX63 and IXplore (IX83) systems — upright and inverted research microscope platforms</t>
        </is>
      </c>
      <c r="W35" s="2" t="inlineStr">
        <is>
          <t>OmniScan X3 and Vanta — phased-array ultrasonic flaw detector; handheld XRF analyzers (NDT)</t>
        </is>
      </c>
      <c r="X35" s="2" t="inlineStr"/>
      <c r="Y35" s="2" t="inlineStr"/>
      <c r="Z35" s="2" t="inlineStr"/>
      <c r="AA35" s="2" t="inlineStr"/>
      <c r="AB35" s="2" t="inlineStr"/>
      <c r="AC35" s="2" t="inlineStr">
        <is>
          <t>distributor</t>
        </is>
      </c>
      <c r="AD35" s="2" t="inlineStr">
        <is>
          <t>מפיץ / נציג ישראלי</t>
        </is>
      </c>
      <c r="AE35" s="2" t="inlineStr">
        <is>
          <t>verified</t>
        </is>
      </c>
      <c r="AF35" s="2" t="inlineStr">
        <is>
          <t>אומת ממקור</t>
        </is>
      </c>
      <c r="AG35" s="2" t="inlineStr">
        <is>
          <t>Eisenberg Bros. Ltd. [מפיץ; Evident (ex-Olympus) microscopes: its 'Microscopy &amp; Imaging' catalogue lists Evident industrial/materials lines (BX53M, GX53, LEXT OLS, DSX, MX63/MX63L, SZ/SZX stereo) and OEM microscope components tagged EVIDENT (OLYMPUS); life-science confocal (FLUOVIEW FV4000/FV5000) demo events promoted by an Eisenberg applications specialist on LinkedIn. Olympus microscopes already listed in its 2009 IPS trade-fair profile.] | Getter Group (Getter Bio-Med) (קבוצת גטר) [מפיץ; Olympus (now Evident) – Getter Group states it exclusively represents Olympus; scope (microscopy vs. medical endoscopy) to confirm]</t>
        </is>
      </c>
      <c r="AH35" s="2" t="inlineStr">
        <is>
          <t>Searched 'Evident/Olympus microscope Israel distributor/נציג/יבואן', 'Eisenberg Olympus/Evident', Hebrew 'אייזנברג Olympus/Evident', the brand across the Israeli distributor domains and evidentscientific.com. Eisenberg Bros. Ltd. (eisenbros.co.il) carries the Evident range on its own site (industrial microscopes BX53M/GX53/LEXT/DSX/MX63/SZX plus Evident OEM components), consistent with its 2009 listing as Olympus microscope supplier and with a LinkedIn post by an Eisenberg applications specialist promoting Evident FV5000/FV4000 confocal demos in Israel. Evident's own locations page has no Israel office and its distributor network is not listed by country, so no manufacturer-side confirmation was seen; the 2009 Eisenberg hint is therefore still true as of the distributor's current website. Evident is owned by Bain Capital since Jan 2023. Getter Group's about page lists Olympus among the brands it exclusively represents in Israel (~2 years old); whether this covers Evident research microscopes or only Olympus medical products is not stated.</t>
        </is>
      </c>
      <c r="AI35" s="2" t="inlineStr">
        <is>
          <t>medium</t>
        </is>
      </c>
      <c r="AJ35" s="2" t="inlineStr">
        <is>
          <t>Distributor's own current product pages verify the relationship; no Evident-side distributor listing for Israel was found, and the exact status (exclusive/authorized) is not stated.</t>
        </is>
      </c>
      <c r="AK35" s="2" t="inlineStr">
        <is>
          <t>https://evidentscientific.com/en/news/evident-baincapital ; https://www.medtechdive.com/news/Olympus-Bain-evident-acquisition/646656/ ; https://qualitymag.com/articles/97356-evident-acquired-by-bain-capital ; https://archive.israelphysicalsociety.org/ips-conference-2009/fairs/eisenberg-bros-ltd.html ; https://il.linkedin.com/in/avi-jacob ; https://www.flanders.bio/news/analis-now-official-benelux-distributor-evident-microscopes-formerly-olympus ; https://eisenbros.co.il/product-category/microscopy-imaging/ ; https://eisenbros.co.il/product/oem-microscope-components/ ; https://evidentscientific.com/en/locations ; https://evidentscientific.com/en/news/evident-olympus ; https://www.getter.co.il/about-en/</t>
        </is>
      </c>
    </row>
    <row r="36">
      <c r="A36" s="2" t="n">
        <v>35</v>
      </c>
      <c r="B36" s="2" t="inlineStr">
        <is>
          <t>Nikon – Healthcare Business (Nikon Instruments)</t>
        </is>
      </c>
      <c r="C36" s="2" t="inlineStr">
        <is>
          <t>Nikon Instruments Inc.; Nikon Europe B.V. Healthcare; Nikon Solutions; Optos (retinal imaging, Nikon subsidiary)</t>
        </is>
      </c>
      <c r="D36" s="2" t="inlineStr">
        <is>
          <t>Tokyo (Shinagawa)</t>
        </is>
      </c>
      <c r="E36" s="2" t="inlineStr">
        <is>
          <t>Japan</t>
        </is>
      </c>
      <c r="F36" s="2" t="inlineStr">
        <is>
          <t>Nikon Corporation</t>
        </is>
      </c>
      <c r="G36" s="2" t="inlineStr">
        <is>
          <t>Public (TSE: 7731)</t>
        </is>
      </c>
      <c r="H36" s="2" t="n">
        <v>1917</v>
      </c>
      <c r="I36" s="2" t="inlineStr">
        <is>
          <t>https://www.microscope.healthcare.nikon.com</t>
        </is>
      </c>
      <c r="J36" s="2" t="inlineStr">
        <is>
          <t>Light microscopy &amp; imaging</t>
        </is>
      </c>
      <c r="K36" s="3" t="n">
        <v>18790</v>
      </c>
      <c r="L36" s="2" t="n">
        <v>2024</v>
      </c>
      <c r="M36" s="2" t="inlineStr">
        <is>
          <t>parent</t>
        </is>
      </c>
      <c r="N36" s="2" t="inlineStr">
        <is>
          <t>Nikon group consolidated headcount (approx. 18,800 as of Mar-2024); Healthcare Business headcount not disclosed. Figures recalled from company reports, NOT verified in this session (web tools unavailable) - verify before use.</t>
        </is>
      </c>
      <c r="O36" s="2" t="inlineStr">
        <is>
          <t>JPY 715.0 billion (Nikon group)</t>
        </is>
      </c>
      <c r="P36" s="3" t="n">
        <v>4791</v>
      </c>
      <c r="Q36" s="2" t="inlineStr">
        <is>
          <t>FY ending Mar-2025</t>
        </is>
      </c>
      <c r="R36" s="2" t="inlineStr">
        <is>
          <t>parent</t>
        </is>
      </c>
      <c r="S36" s="2" t="inlineStr">
        <is>
          <t>Nikon group revenue; the Healthcare Business segment (microscopes, cell-culture observation, retinal imaging) is roughly JPY 110-120 billion (recalled, unverified).</t>
        </is>
      </c>
      <c r="T36" s="2" t="inlineStr">
        <is>
          <t>reported</t>
        </is>
      </c>
      <c r="U36" s="2" t="inlineStr">
        <is>
          <t>ECLIPSE Ti2 — inverted research microscope platform for live-cell imaging</t>
        </is>
      </c>
      <c r="V36" s="2" t="inlineStr">
        <is>
          <t>AX / AX R with NSPARC — high-resolution confocal microscope systems</t>
        </is>
      </c>
      <c r="W36" s="2" t="inlineStr">
        <is>
          <t>ECLIPSE Ji — AI-driven smart imaging/cell-analysis system</t>
        </is>
      </c>
      <c r="X36" s="2" t="inlineStr"/>
      <c r="Y36" s="2" t="inlineStr"/>
      <c r="Z36" s="2" t="inlineStr"/>
      <c r="AA36" s="2" t="inlineStr"/>
      <c r="AB36" s="2" t="inlineStr"/>
      <c r="AC36" s="2" t="inlineStr">
        <is>
          <t>distributor</t>
        </is>
      </c>
      <c r="AD36" s="2" t="inlineStr">
        <is>
          <t>מפיץ / נציג ישראלי</t>
        </is>
      </c>
      <c r="AE36" s="2" t="inlineStr">
        <is>
          <t>verified</t>
        </is>
      </c>
      <c r="AF36" s="2" t="inlineStr">
        <is>
          <t>אומת ממקור</t>
        </is>
      </c>
      <c r="AG36" s="2" t="inlineStr">
        <is>
          <t>Agentek Ltd. (אגנטק) [מפיץ; Nikon research microscopes (AX/AXR confocal, AXR MP multiphoton, ECLIPSE Ji, CFI60 objectives); listed as Nikon's Israel contact in Nikon Healthcare's microscope contact directory (Atidim Scientific Park Bldg 2, Tel Aviv, +972-3-649-3111, sales1@agentek.co.il) and has a Nikon 'representative' page on its own site.]</t>
        </is>
      </c>
      <c r="AH36" s="2" t="inlineStr">
        <is>
          <t>Searched 'Nikon microscope Israel distributor/נציג/יבואן' and the brand across the Israeli distributor domains. Nikon's microscope (Healthcare) contact directory lists Agentek Ltd. in Tel Aviv under Israel, and Agentek's own site has a Nikon representative page with current product pages (AX/AXR, AXR MP, ECLIPSE Ji, objectives). Nikon's corporate global-network page assigns Israel (biological and industrial microscopes) to Nikon Europe B.V., i.e. the regional subsidiary serves Israel through the local dealer Agentek. Both sides of the relationship are documented. Agentek's own vendors page (agentek.co.il/vendors) lists the brand among the manufacturers it represents in Israel (seen in a search excerpt; the manufacturer's own distributor page was not opened).</t>
        </is>
      </c>
      <c r="AI36" s="2" t="inlineStr">
        <is>
          <t>high</t>
        </is>
      </c>
      <c r="AJ36" s="2" t="inlineStr">
        <is>
          <t>Manufacturer's contact directory and distributor's own brand page agree.</t>
        </is>
      </c>
      <c r="AK36" s="2" t="inlineStr">
        <is>
          <t>https://www.microscope.healthcare.nikon.com/pt_EU/Contact ; https://agentek.co.il/representative/nikon/ ; https://agentek.co.il/products/nikon-eclipse-ji/ ; https://www.nikon.com/network/israel.html ; https://agentek.co.il/vendors/</t>
        </is>
      </c>
    </row>
    <row r="37">
      <c r="A37" s="2" t="n">
        <v>36</v>
      </c>
      <c r="B37" s="2" t="inlineStr">
        <is>
          <t>JEOL</t>
        </is>
      </c>
      <c r="C37" s="2" t="inlineStr">
        <is>
          <t>Japan Electron Optics Laboratory; JEOL USA, JEOL (Europe), JEOL (UK)</t>
        </is>
      </c>
      <c r="D37" s="2" t="inlineStr">
        <is>
          <t>Akishima, Tokyo</t>
        </is>
      </c>
      <c r="E37" s="2" t="inlineStr">
        <is>
          <t>Japan</t>
        </is>
      </c>
      <c r="F37" s="2" t="inlineStr"/>
      <c r="G37" s="2" t="inlineStr">
        <is>
          <t>Public (TSE: 6951)</t>
        </is>
      </c>
      <c r="H37" s="2" t="n">
        <v>1949</v>
      </c>
      <c r="I37" s="2" t="inlineStr">
        <is>
          <t>https://www.jeol.com</t>
        </is>
      </c>
      <c r="J37" s="2" t="inlineStr">
        <is>
          <t>Electron microscopy &amp; X-ray / materials characterization</t>
        </is>
      </c>
      <c r="K37" s="3" t="n">
        <v>3900</v>
      </c>
      <c r="L37" s="2" t="n">
        <v>2024</v>
      </c>
      <c r="M37" s="2" t="inlineStr">
        <is>
          <t>company</t>
        </is>
      </c>
      <c r="N37" s="2" t="inlineStr">
        <is>
          <t>Consolidated headcount approx. 3,900 (as of Mar-2024). Figures recalled from company reports, NOT verified in this session (web tools unavailable) - verify before use.</t>
        </is>
      </c>
      <c r="O37" s="2" t="inlineStr">
        <is>
          <t>JPY 171.6 billion</t>
        </is>
      </c>
      <c r="P37" s="3" t="n">
        <v>1150</v>
      </c>
      <c r="Q37" s="2" t="inlineStr">
        <is>
          <t>FY ending Mar-2024</t>
        </is>
      </c>
      <c r="R37" s="2" t="inlineStr">
        <is>
          <t>company</t>
        </is>
      </c>
      <c r="S37" s="2" t="inlineStr">
        <is>
          <t>Consolidated net sales approx. JPY 171.6 billion for the year ended 31 Mar 2024 (record at the time); FY ending Mar-2025 (reportedly higher, ~JPY 180+ bn) and Mar-2026 not verified. Figures recalled from company reports, NOT verified in this session (web tools unavailable) - verify before use.</t>
        </is>
      </c>
      <c r="T37" s="2" t="inlineStr">
        <is>
          <t>reported</t>
        </is>
      </c>
      <c r="U37" s="2" t="inlineStr">
        <is>
          <t>JEM-ARM300F2 GRAND ARM2 — atomic-resolution aberration-corrected TEM/STEM</t>
        </is>
      </c>
      <c r="V37" s="2" t="inlineStr">
        <is>
          <t>JSM-IT800 / JSM-7900F — field-emission scanning electron microscopes</t>
        </is>
      </c>
      <c r="W37" s="2" t="inlineStr">
        <is>
          <t>JNM-ECZ Luminous (ECZL) — NMR spectrometer series</t>
        </is>
      </c>
      <c r="X37" s="2" t="inlineStr"/>
      <c r="Y37" s="2" t="inlineStr"/>
      <c r="Z37" s="2" t="inlineStr"/>
      <c r="AA37" s="2" t="inlineStr"/>
      <c r="AB37" s="2" t="inlineStr"/>
      <c r="AC37" s="2" t="inlineStr">
        <is>
          <t>distributor</t>
        </is>
      </c>
      <c r="AD37" s="2" t="inlineStr">
        <is>
          <t>מפיץ / נציג ישראלי</t>
        </is>
      </c>
      <c r="AE37" s="2" t="inlineStr">
        <is>
          <t>verified</t>
        </is>
      </c>
      <c r="AF37" s="2" t="inlineStr">
        <is>
          <t>אומת ממקור</t>
        </is>
      </c>
      <c r="AG37" s="2" t="inlineStr">
        <is>
          <t>Bargal Analytical Instruments Ltd. (ברגל ציוד אנליטי) [מפיץ; JEOL electron microscopes (SEM: JSM-IT200/IT510/IT710HR, benchtop JCM-7000; TEM: JEM-F200, JEM-1400Flash; cryo-EM: CRYO ARM 300/300 II) - sales and service; listed on jeol.com as the Israel office (Shaked St 10, Shoham, +972-3-9796-533; JEOL UK as alternate contact). NMR/MS lines not confirmed.]</t>
        </is>
      </c>
      <c r="AH37" s="2" t="inlineStr">
        <is>
          <t>Searched 'JEOL Israel distributor/נציג/יבואן', the brand across the Israeli distributor domains and jeol.com. JEOL's Service &amp; Support page names Bargal Analytical Instruments (Shoham) as the Israel sales/service contact, and Bargal's site carries a full JEOL electron-microscopy catalogue plus a news item saying it became JEOL's new representative in Israel. The jeol.com page is a few years old but matches Bargal's current site. Whether Bargal also covers JEOL NMR and mass spectrometry was not seen.</t>
        </is>
      </c>
      <c r="AI37" s="2" t="inlineStr">
        <is>
          <t>high</t>
        </is>
      </c>
      <c r="AJ37" s="2" t="inlineStr">
        <is>
          <t>Manufacturer page and distributor's own product pages agree.</t>
        </is>
      </c>
      <c r="AK37" s="2" t="inlineStr">
        <is>
          <t>https://www.jeol.com/service_support/ ; https://bargal.co.il/product-category/electron-microscopy/ ; https://bargal.co.il/product/benchtop-scanning-electron-microscope-sem-jcm-7000-neoscope/ ; https://bargal.co.il/product/cryo-arm-300-jem-z300fsc-field-emission-cryo-electron-microscope/ ; https://bargal.co.il/%D7%97%D7%93%D7%A9%D7%95%D7%AA-%D7%95%D7%90%D7%99%D7%A8%D7%95%D7%A2%D7%99%D7%9D/</t>
        </is>
      </c>
    </row>
    <row r="38">
      <c r="A38" s="2" t="n">
        <v>37</v>
      </c>
      <c r="B38" s="2" t="inlineStr">
        <is>
          <t>Hitachi High-Tech</t>
        </is>
      </c>
      <c r="C38" s="2" t="inlineStr">
        <is>
          <t>Hitachi High-Technologies (name until 2020); Hitachi High-Tech Science; Hitachi High-Tech Analytical Science; Nissei Sangyo (original name)</t>
        </is>
      </c>
      <c r="D38" s="2" t="inlineStr">
        <is>
          <t>Tokyo (Minato, Toranomon)</t>
        </is>
      </c>
      <c r="E38" s="2" t="inlineStr">
        <is>
          <t>Japan</t>
        </is>
      </c>
      <c r="F38" s="2" t="inlineStr">
        <is>
          <t>Hitachi, Ltd. (wholly owned since the 2020 tender offer and delisting)</t>
        </is>
      </c>
      <c r="G38" s="2" t="inlineStr">
        <is>
          <t>Subsidiary of Hitachi, Ltd. (public, TSE: 6501)</t>
        </is>
      </c>
      <c r="H38" s="2" t="n">
        <v>1947</v>
      </c>
      <c r="I38" s="2" t="inlineStr">
        <is>
          <t>https://www.hitachi-hightech.com</t>
        </is>
      </c>
      <c r="J38" s="2" t="inlineStr">
        <is>
          <t>Electron microscopy &amp; X-ray / materials characterization</t>
        </is>
      </c>
      <c r="K38" s="3" t="n">
        <v>12400</v>
      </c>
      <c r="L38" s="2" t="n">
        <v>2025</v>
      </c>
      <c r="M38" s="2" t="inlineStr">
        <is>
          <t>estimate</t>
        </is>
      </c>
      <c r="N38" s="2" t="inlineStr">
        <is>
          <t>Consolidated headcount ~12,000-12,500 (recalled, unverified).</t>
        </is>
      </c>
      <c r="O38" s="2" t="inlineStr">
        <is>
          <t>JPY ~750 billion (estimate)</t>
        </is>
      </c>
      <c r="P38" s="3" t="n">
        <v>5000</v>
      </c>
      <c r="Q38" s="2" t="inlineStr">
        <is>
          <t>FY ending Mar-2025 (estimate)</t>
        </is>
      </c>
      <c r="R38" s="2" t="inlineStr">
        <is>
          <t>estimate</t>
        </is>
      </c>
      <c r="S38" s="2" t="inlineStr">
        <is>
          <t>Hitachi High-Tech has been wholly owned by Hitachi, Ltd. since 2020 and no longer publishes stand-alone results; order of magnitude from its last public filings and Hitachi segment data. Figures recalled from company statements / filings and not re-verified online in this session.</t>
        </is>
      </c>
      <c r="T38" s="2" t="inlineStr">
        <is>
          <t>estimate</t>
        </is>
      </c>
      <c r="U38" s="2" t="inlineStr">
        <is>
          <t>Regulus / SU series FE-SEM (e.g. SU8600, SU7000) — field-emission scanning electron microscopes</t>
        </is>
      </c>
      <c r="V38" s="2" t="inlineStr">
        <is>
          <t>TM4000Plus II — tabletop scanning electron microscope</t>
        </is>
      </c>
      <c r="W38" s="2" t="inlineStr">
        <is>
          <t>LABOSPECT clinical chemistry analyzers — high-throughput clinical analyzers (also OEM cobas c for Roche)</t>
        </is>
      </c>
      <c r="X38" s="2" t="inlineStr"/>
      <c r="Y38" s="2" t="inlineStr"/>
      <c r="Z38" s="2" t="inlineStr"/>
      <c r="AA38" s="2" t="inlineStr"/>
      <c r="AB38" s="2" t="inlineStr"/>
      <c r="AC38" s="2" t="inlineStr">
        <is>
          <t>unclear</t>
        </is>
      </c>
      <c r="AD38" s="2" t="inlineStr">
        <is>
          <t>לא ברור</t>
        </is>
      </c>
      <c r="AE38" s="2" t="inlineStr">
        <is>
          <t>verified</t>
        </is>
      </c>
      <c r="AF38" s="2" t="inlineStr">
        <is>
          <t>אומת ממקור</t>
        </is>
      </c>
      <c r="AG38" s="2" t="inlineStr">
        <is>
          <t>Hitachi High-Tech Israel, Ltd. (היטאצ'י היי-טק ישראל בע"מ) [חברה-בת; Maintenance/service of semiconductor manufacturing and inspection equipment (Kiryat Gat office, P.O. Box 1000, MS: Hitachi LC2-3S, +972-8-666-6342); formerly H.H.T.A. Semiconductor Equipment Israel Ltd., renamed April 2020; 100% owned by Hitachi High-Tech. NOT confirmed as a sales channel for SEM/TEM/analytical instruments.]</t>
        </is>
      </c>
      <c r="AH38" s="2" t="inlineStr">
        <is>
          <t>Hitachi High-Tech's global-network page lists Hitachi High-Tech Israel, Ltd. (Kiryat Gat office, P.O. Box 1000, MS: Hitachi LC2-3S, Kiryat Gat 82109), renamed in 2020 from H.H.T.A. Semiconductor Equipment Israel Ltd.; the Dunsguide entry (היטאצ'י היי-טק ישראל) classifies it under semiconductors/electronic components in Tel Aviv. This subsidiary supports semiconductor process equipment and no source shows it selling SEM/TEM or analytical (XRF, spectrophotometer) products; Hitachi High-Tech Analytical Science's contact page says inquiries are routed to a regional distributor, and the Israeli distributor was not identified (Bargal, which sells SEM/TEM in Israel, represents JEOL). The lab-instrument channel therefore stays unclear although the Israeli entity is verified.</t>
        </is>
      </c>
      <c r="AI38" s="2" t="inlineStr">
        <is>
          <t>low</t>
        </is>
      </c>
      <c r="AJ38" s="2" t="inlineStr">
        <is>
          <t>Subsidiary verified on hitachi-hightech.com but it is semiconductor-focused; SEM/TEM/analytical distributor not found.</t>
        </is>
      </c>
      <c r="AK38" s="2" t="inlineStr">
        <is>
          <t>https://www.hitachi-hightech.com/global/network/israel.html ; https://www.hitachi-hightech.com/global/en/company/group/ ; https://www.hitachi-hightech.com/file/global/pdf/about/ir/ir_library/ar2011_all.pdf ; https://hha.hitachi-hightech.com/en/contact-us ; https://qd-europe.com/il/en/news/latest-updates/newsdetails/quantum-design-and-hitachi-strong-partners-for-electron-microscopy--1403/ ; https://hitachi-hightech.com/global/network/israel.html ; https://www.hitachi-hightech.com/global/en/company/history.html ; https://www.dunsguide.co.il/Cbb1f8bb487930de25836c244c98d6697_%D7%97%D7%91%D7%A8%D7%95%D7%AA_%D7%94%D7%99%D7%99%D7%98%D7%A7_%D7%95%D7%9E%D7%99%D7%97%D7%A9%D7%95%D7%91/%D7%94%D7%99%D7%98%D7%90%D7%A6%D7%99_%D7%94%D7%99%D7%99_%D7%98%D7%A7_%D7%99%D7%A9%D7%A8%D7%90%D7%9C/ ; https://bargal.co.il/product/jsm-it200-scanning-electron-microscope-sem/</t>
        </is>
      </c>
    </row>
    <row r="39">
      <c r="A39" s="2" t="n">
        <v>38</v>
      </c>
      <c r="B39" s="2" t="inlineStr">
        <is>
          <t>TESCAN</t>
        </is>
      </c>
      <c r="C39" s="2" t="inlineStr">
        <is>
          <t>TESCAN; TESCAN ORSAY HOLDING; TESCAN Brno; TESCAN XRE (micro-CT, Belgium)</t>
        </is>
      </c>
      <c r="D39" s="2" t="inlineStr">
        <is>
          <t>Brno</t>
        </is>
      </c>
      <c r="E39" s="2" t="inlineStr">
        <is>
          <t>Czech Republic</t>
        </is>
      </c>
      <c r="F39" s="2" t="inlineStr">
        <is>
          <t>Shimadzu Corporation (acquisition completed 10 Jul 2026)</t>
        </is>
      </c>
      <c r="G39" s="2" t="inlineStr">
        <is>
          <t>Subsidiary of Shimadzu Corporation (public, TSE: 7701) since July 2026</t>
        </is>
      </c>
      <c r="H39" s="2" t="n">
        <v>1991</v>
      </c>
      <c r="I39" s="2" t="inlineStr">
        <is>
          <t>https://www.tescan.com</t>
        </is>
      </c>
      <c r="J39" s="2" t="inlineStr">
        <is>
          <t>Electron microscopy &amp; X-ray / materials characterization</t>
        </is>
      </c>
      <c r="K39" s="3" t="n">
        <v>800</v>
      </c>
      <c r="L39" s="2" t="n">
        <v>2024</v>
      </c>
      <c r="M39" s="2" t="inlineStr">
        <is>
          <t>estimate</t>
        </is>
      </c>
      <c r="N39" s="2" t="inlineStr">
        <is>
          <t>Approximately 700-800 employees worldwide (company statements, recalled).</t>
        </is>
      </c>
      <c r="O39" s="2" t="inlineStr">
        <is>
          <t>EUR ~130 million (trade estimate; private)</t>
        </is>
      </c>
      <c r="P39" s="3" t="n">
        <v>143</v>
      </c>
      <c r="Q39" s="2" t="inlineStr">
        <is>
          <t>2024 (estimate)</t>
        </is>
      </c>
      <c r="R39" s="2" t="inlineStr">
        <is>
          <t>estimate</t>
        </is>
      </c>
      <c r="S39" s="2" t="inlineStr">
        <is>
          <t>TESCAN Group (Brno) is privately held; revenue estimate from trade press / Czech register figures. Figures recalled from company statements / filings and not re-verified online in this session.</t>
        </is>
      </c>
      <c r="T39" s="2" t="inlineStr">
        <is>
          <t>estimate</t>
        </is>
      </c>
      <c r="U39" s="2" t="inlineStr">
        <is>
          <t>TESCAN CLARA / MIRA — ultra-high-resolution field-emission SEMs</t>
        </is>
      </c>
      <c r="V39" s="2" t="inlineStr">
        <is>
          <t>TESCAN AMBER X / SOLARIS X — Xe plasma FIB-SEM for large-volume milling</t>
        </is>
      </c>
      <c r="W39" s="2" t="inlineStr">
        <is>
          <t>TESCAN TENSOR — 4D-STEM for nanoscale materials analysis</t>
        </is>
      </c>
      <c r="X39" s="2" t="inlineStr"/>
      <c r="Y39" s="2" t="inlineStr"/>
      <c r="Z39" s="2" t="inlineStr"/>
      <c r="AA39" s="2" t="inlineStr"/>
      <c r="AB39" s="2" t="inlineStr"/>
      <c r="AC39" s="2" t="inlineStr">
        <is>
          <t>distributor</t>
        </is>
      </c>
      <c r="AD39" s="2" t="inlineStr">
        <is>
          <t>מפיץ / נציג ישראלי</t>
        </is>
      </c>
      <c r="AE39" s="2" t="inlineStr">
        <is>
          <t>verified</t>
        </is>
      </c>
      <c r="AF39" s="2" t="inlineStr">
        <is>
          <t>אומת ממקור</t>
        </is>
      </c>
      <c r="AG39" s="2" t="inlineStr">
        <is>
          <t>PicoTech Ltd. [מפיץ; TESCAN SEM / FIB-SEM sales and after-sales support (PicoTech SEM division); Ha-Mefalsim St 17, Petah Tikva, +972-3-6356650, contact Nitzan Cafif per TESCAN's distributor page.]</t>
        </is>
      </c>
      <c r="AH39" s="2" t="inlineStr">
        <is>
          <t>Searched 'TESCAN Israel distributor/נציג/יבואן', the brand across the Israeli distributor domains, tescan.com and 'PicoTech TESCAN'. TESCAN's own distributor directory lists PicoTech Ltd. (Petah Tikva) for Israel, and a PicoTech SEM-division sales engineer's LinkedIn post reports the first TESCAN/WITec Raman-SEM installed in Israel. Corporate change: Shimadzu completed the acquisition of all shares of TESCAN GROUP on 10 July 2026 (TESCAN is now a wholly owned Shimadzu subsidiary), which could affect the Israeli channel; PicoTech's own website URL was not captured in search snippets.</t>
        </is>
      </c>
      <c r="AI39" s="2" t="inlineStr">
        <is>
          <t>high</t>
        </is>
      </c>
      <c r="AJ39" s="2" t="inlineStr">
        <is>
          <t>Named on the manufacturer's official distributor page; corroborated by LinkedIn.</t>
        </is>
      </c>
      <c r="AK39" s="2" t="inlineStr">
        <is>
          <t>https://tescan.com/distributors/picotech-ltd ; https://dev.tescan.com/Distributors/Israel ; https://tescan.com/distributors ; https://il.linkedin.com/in/guy-barak-90a54377 ; https://shimadzu.com/news/2026/j97cvpy4m18o8cm3.html ; https://tescan.com/about-tescan/</t>
        </is>
      </c>
    </row>
    <row r="40">
      <c r="A40" s="2" t="n">
        <v>39</v>
      </c>
      <c r="B40" s="2" t="inlineStr">
        <is>
          <t>Rigaku Holdings</t>
        </is>
      </c>
      <c r="C40" s="2" t="inlineStr">
        <is>
          <t>Rigaku Corporation; Rigaku Americas; Rigaku Europe SE; Applied Rigaku Technologies</t>
        </is>
      </c>
      <c r="D40" s="2" t="inlineStr">
        <is>
          <t>Akishima, Tokyo</t>
        </is>
      </c>
      <c r="E40" s="2" t="inlineStr">
        <is>
          <t>Japan</t>
        </is>
      </c>
      <c r="F40" s="2" t="inlineStr"/>
      <c r="G40" s="2" t="inlineStr">
        <is>
          <t>Public (TSE Prime: 268A; IPO Oct 2023, previously Carlyle-controlled)</t>
        </is>
      </c>
      <c r="H40" s="2" t="n">
        <v>1951</v>
      </c>
      <c r="I40" s="2" t="inlineStr">
        <is>
          <t>https://www.rigaku.com</t>
        </is>
      </c>
      <c r="J40" s="2" t="inlineStr">
        <is>
          <t>Electron microscopy &amp; X-ray / materials characterization</t>
        </is>
      </c>
      <c r="K40" s="3" t="n">
        <v>2000</v>
      </c>
      <c r="L40" s="2" t="n">
        <v>2024</v>
      </c>
      <c r="M40" s="2" t="inlineStr">
        <is>
          <t>estimate</t>
        </is>
      </c>
      <c r="N40" s="2" t="inlineStr">
        <is>
          <t>Approximately 2,000 employees (IPO prospectus, recalled).</t>
        </is>
      </c>
      <c r="O40" s="2" t="inlineStr">
        <is>
          <t>JPY ~100 billion (estimate)</t>
        </is>
      </c>
      <c r="P40" s="3" t="n">
        <v>670</v>
      </c>
      <c r="Q40" s="2" t="inlineStr">
        <is>
          <t>FY2024 (estimate)</t>
        </is>
      </c>
      <c r="R40" s="2" t="inlineStr">
        <is>
          <t>estimate</t>
        </is>
      </c>
      <c r="S40" s="2" t="inlineStr">
        <is>
          <t>Rigaku Holdings (TSE Prime 268A, listed Oct 2023) reported revenue of roughly JPY 95-100 billion for FY2024 (recalled, unverified).</t>
        </is>
      </c>
      <c r="T40" s="2" t="inlineStr">
        <is>
          <t>estimate</t>
        </is>
      </c>
      <c r="U40" s="2" t="inlineStr">
        <is>
          <t>SmartLab — multipurpose high-resolution X-ray diffractometer</t>
        </is>
      </c>
      <c r="V40" s="2" t="inlineStr">
        <is>
          <t>MiniFlex — benchtop powder X-ray diffractometer</t>
        </is>
      </c>
      <c r="W40" s="2" t="inlineStr">
        <is>
          <t>XtaLAB Synergy — single-crystal X-ray diffraction systems</t>
        </is>
      </c>
      <c r="X40" s="2" t="inlineStr"/>
      <c r="Y40" s="2" t="inlineStr"/>
      <c r="Z40" s="2" t="inlineStr"/>
      <c r="AA40" s="2" t="inlineStr"/>
      <c r="AB40" s="2" t="inlineStr"/>
      <c r="AC40" s="2" t="inlineStr">
        <is>
          <t>distributor</t>
        </is>
      </c>
      <c r="AD40" s="2" t="inlineStr">
        <is>
          <t>מפיץ / נציג ישראלי</t>
        </is>
      </c>
      <c r="AE40" s="2" t="inlineStr">
        <is>
          <t>verified</t>
        </is>
      </c>
      <c r="AF40" s="2" t="inlineStr">
        <is>
          <t>אומת ממקור</t>
        </is>
      </c>
      <c r="AG40" s="2" t="inlineStr">
        <is>
          <t>Rigaku Semiconductor Instruments Ltd. (formerly XwinSys Technology Development Ltd.) [חברה-בת; Rigaku Group company doing R&amp;D and manufacturing of X-ray semiconductor metrology tools (Ramat Gabriel Industrial Zone, 6 HaMehkar St, Migdal HaEmek; rsi@rigaku.com, +972-4-9951051); joined Rigaku 2019, renamed Dec 2024. Not a sales channel for analytical XRD/XRF.] | Yarden Biotec [מפיץ; Rigaku ED-XRF analysers (e.g. NEX DE VS); XRD channel not confirmed]</t>
        </is>
      </c>
      <c r="AH40" s="2" t="inlineStr">
        <is>
          <t>Yarden Biotec (yarden-biotec.co.il) markets Rigaku ED-XRF analysers (e.g. NEX DE VS) in Israel on its own site, which is the only sales channel found for Rigaku lab instruments; no Israeli distributor for Rigaku XRD (MiniFlex, SmartLab, XtaLAB) was identified. Rigaku also owns Rigaku Semiconductor Instruments Ltd. in Migdal HaEmek (the former XwinSys, acquired 2019), listed on rigaku.com as a division for semiconductor metrology rather than an XRD/XRF sales office. Rigaku's EMEA service page lists Israel as served through partners/distributors (Service.Europe@rigaku.com).</t>
        </is>
      </c>
      <c r="AI40" s="2" t="inlineStr">
        <is>
          <t>medium</t>
        </is>
      </c>
      <c r="AJ40" s="2" t="inlineStr">
        <is>
          <t>XRF channel verified on distributor site; XRD channel unknown; subsidiary verified on rigaku.com but out of scope for lab sales.</t>
        </is>
      </c>
      <c r="AK40" s="2" t="inlineStr">
        <is>
          <t>https://archive.israelphysicalsociety.org/ips-conference-2009/fairs/rhenium-ltd.html ; https://rigaku.com/about/rigaku-divisions/rigaku-semiconductor-instruments-ltd ; https://rigaku.com/about/rigaku-divisions ; https://businesswire.com/news/home/20241216662726/en/5762344/The-Rigaku-Group%e2%80%99s-XwinSys-Changes-its-Name-to-Rigaku-Semiconductor-Instruments ; https://rigaku.com/about/contact-us ; https://www.yarden-biotec.co.il/lab-products/xrf-analyzers ; https://service.rigaku.com/emea/contact ; https://www.cbinsights.com/company/xwinsys/</t>
        </is>
      </c>
    </row>
    <row r="41">
      <c r="A41" s="2" t="n">
        <v>40</v>
      </c>
      <c r="B41" s="2" t="inlineStr">
        <is>
          <t>HORIBA</t>
        </is>
      </c>
      <c r="C41" s="2" t="inlineStr">
        <is>
          <t>HORIBA Scientific; HORIBA Jobin Yvon; HORIBA ABX (medical); HORIBA STEC; HORIBA Advanced Techno</t>
        </is>
      </c>
      <c r="D41" s="2" t="inlineStr">
        <is>
          <t>Kyoto</t>
        </is>
      </c>
      <c r="E41" s="2" t="inlineStr">
        <is>
          <t>Japan</t>
        </is>
      </c>
      <c r="F41" s="2" t="inlineStr"/>
      <c r="G41" s="2" t="inlineStr">
        <is>
          <t>Public (TSE: 6856)</t>
        </is>
      </c>
      <c r="H41" s="2" t="n">
        <v>1945</v>
      </c>
      <c r="I41" s="2" t="inlineStr">
        <is>
          <t>https://www.horiba.com</t>
        </is>
      </c>
      <c r="J41" s="2" t="inlineStr">
        <is>
          <t>Analytical instruments (chromatography / mass spectrometry / spectroscopy)</t>
        </is>
      </c>
      <c r="K41" s="3" t="n">
        <v>9000</v>
      </c>
      <c r="L41" s="2" t="n">
        <v>2024</v>
      </c>
      <c r="M41" s="2" t="inlineStr">
        <is>
          <t>company</t>
        </is>
      </c>
      <c r="N41" s="2" t="inlineStr">
        <is>
          <t>Consolidated group headcount approx. 9,000 (end-2024). Figures recalled from company reports, NOT verified in this session (web tools unavailable) - verify before use.</t>
        </is>
      </c>
      <c r="O41" s="2" t="inlineStr">
        <is>
          <t>JPY 306 billion</t>
        </is>
      </c>
      <c r="P41" s="3" t="n">
        <v>2050</v>
      </c>
      <c r="Q41" s="2" t="inlineStr">
        <is>
          <t>FY2024 (Dec-2024)</t>
        </is>
      </c>
      <c r="R41" s="2" t="inlineStr">
        <is>
          <t>company</t>
        </is>
      </c>
      <c r="S41" s="2" t="inlineStr">
        <is>
          <t>Consolidated net sales approx. JPY 306 billion in FY2024 (record; segments: Energy &amp; Environment/automotive, Bio &amp; Healthcare, Materials &amp; Semiconductor incl. HORIBA STEC). FY2025 (Dec-2025) results not checked. Figures recalled from company reports, NOT verified in this session (web tools unavailable) - verify before use.</t>
        </is>
      </c>
      <c r="T41" s="2" t="inlineStr">
        <is>
          <t>reported</t>
        </is>
      </c>
      <c r="U41" s="2" t="inlineStr">
        <is>
          <t>LabRAM Soleil / LabRAM Odyssey — Raman microscopes and spectrometers</t>
        </is>
      </c>
      <c r="V41" s="2" t="inlineStr">
        <is>
          <t>Partica LA-960V2 — laser-diffraction particle size analyzer</t>
        </is>
      </c>
      <c r="W41" s="2" t="inlineStr">
        <is>
          <t>Yumizen H500 / H1500 — hematology analyzers (HORIBA Medical)</t>
        </is>
      </c>
      <c r="X41" s="2" t="inlineStr"/>
      <c r="Y41" s="2" t="inlineStr"/>
      <c r="Z41" s="2" t="inlineStr"/>
      <c r="AA41" s="2" t="inlineStr"/>
      <c r="AB41" s="2" t="inlineStr"/>
      <c r="AC41" s="2" t="inlineStr">
        <is>
          <t>distributor</t>
        </is>
      </c>
      <c r="AD41" s="2" t="inlineStr">
        <is>
          <t>מפיץ / נציג ישראלי</t>
        </is>
      </c>
      <c r="AE41" s="2" t="inlineStr">
        <is>
          <t>verified</t>
        </is>
      </c>
      <c r="AF41" s="2" t="inlineStr">
        <is>
          <t>אומת ממקור</t>
        </is>
      </c>
      <c r="AG41" s="2" t="inlineStr">
        <is>
          <t>Agrolan Ltd. [מפיץ; HORIBA water-quality / LAQUA electrochemistry instruments only (Moshav Nov 45, Ramat HaGolan); listed on HORIBA's water-quality distributor page for Israel and marked 'water quality' on HORIBA's worldwide-locations page.] | New-Road Agencies Ltd. [מפיץ; HORIBA Scientific instruments (marked 'scientific' on HORIBA's worldwide-locations page; Rosh Ha'Ayin) - exact product lines (Raman, particle size, fluorescence, elemental) not itemised; own website not found.]</t>
        </is>
      </c>
      <c r="AH41" s="2" t="inlineStr">
        <is>
          <t>Searched 'HORIBA Israel distributor/נציג/יבואן', the brand across the Israeli distributor domains, horiba.com, 'HORIBA Medical/ABX/Yumizen Israel' and 'New-Road Agencies'. HORIBA's worldwide-locations page lists two Israeli partners: Agrolan Ltd (water quality only; also on the LAQUA distributor page for Israel) and New-Road Agencies Ltd (scientific); HORIBA has no Israeli office (its only Middle East base is HORIBA Middle East in the UAE, created June 2026 by acquiring distributor FANDA). No Israeli distributor for HORIBA Medical (hematology) was found. Caveat: the HORIBA pages are roughly 3-4 years old and neither distributor's own site was seen, so current status should be confirmed.</t>
        </is>
      </c>
      <c r="AI41" s="2" t="inlineStr">
        <is>
          <t>medium</t>
        </is>
      </c>
      <c r="AJ41" s="2" t="inlineStr">
        <is>
          <t>Both entities named on HORIBA's own pages, but the listings are dated, no distributor-side confirmation, and the medical division channel is unknown.</t>
        </is>
      </c>
      <c r="AK41" s="2" t="inlineStr">
        <is>
          <t>https://www.horiba.com/int/contact/worldwide-locations/ ; https://www.horiba.com/int/water-quality/contact/distributors/ ; http://www-origin.horiba.com/application/material-property-characterization/water-analysis/water-quality-electrochemistry-instrumentation/distributors/israel/ ; https://www.horiba.com/esp/company/group-companies/ ; https://www.horiba.com/int/company/events/detail/news/6/2026/20260625hme/ ; https://www.horiba.com/medical/products/hematology</t>
        </is>
      </c>
    </row>
    <row r="42">
      <c r="A42" s="2" t="n">
        <v>41</v>
      </c>
      <c r="B42" s="2" t="inlineStr">
        <is>
          <t>Malvern Panalytical (Spectris)</t>
        </is>
      </c>
      <c r="C42" s="2" t="inlineStr">
        <is>
          <t>Malvern Instruments, PANalytical (Philips Analytical heritage); Spectris Scientific division</t>
        </is>
      </c>
      <c r="D42" s="2" t="inlineStr">
        <is>
          <t>Malvern, Worcestershire (second HQ: Almelo, Netherlands)</t>
        </is>
      </c>
      <c r="E42" s="2" t="inlineStr">
        <is>
          <t>UK</t>
        </is>
      </c>
      <c r="F42" s="2" t="inlineStr">
        <is>
          <t>Spectris (owned by KKR since December 2025)</t>
        </is>
      </c>
      <c r="G42" s="2" t="inlineStr">
        <is>
          <t>Subsidiary of Spectris — Private equity (KKR; GBP 4.7bn take-private completed December 2025, Spectris delisted 5 Dec 2025)</t>
        </is>
      </c>
      <c r="H42" s="2" t="n">
        <v>2017</v>
      </c>
      <c r="I42" s="2" t="inlineStr">
        <is>
          <t>https://www.malvernpanalytical.com</t>
        </is>
      </c>
      <c r="J42" s="2" t="inlineStr">
        <is>
          <t>Electron microscopy &amp; X-ray / materials characterization</t>
        </is>
      </c>
      <c r="K42" s="3" t="n">
        <v>7600</v>
      </c>
      <c r="L42" s="2" t="n">
        <v>2025</v>
      </c>
      <c r="M42" s="2" t="inlineStr">
        <is>
          <t>parent</t>
        </is>
      </c>
      <c r="N42" s="2" t="inlineStr">
        <is>
          <t>Spectris group headcount (~7,600, per 2025 take-private coverage). Malvern Panalytical's own headcount was not obtained from a source in this session (it is generally described as roughly 2,000+ staff).</t>
        </is>
      </c>
      <c r="O42" s="2" t="inlineStr">
        <is>
          <t>GBP 776.7 million</t>
        </is>
      </c>
      <c r="P42" s="3" t="n">
        <v>1010</v>
      </c>
      <c r="Q42" s="2" t="inlineStr">
        <is>
          <t>FY2024</t>
        </is>
      </c>
      <c r="R42" s="2" t="inlineStr">
        <is>
          <t>segment</t>
        </is>
      </c>
      <c r="S42" s="2" t="inlineStr">
        <is>
          <t>Spectris Scientific segment (Malvern Panalytical + Servomex etc.) FY2024; Spectris was taken private by KKR in Dec 2025 and no longer reports.</t>
        </is>
      </c>
      <c r="T42" s="2" t="inlineStr">
        <is>
          <t>reported</t>
        </is>
      </c>
      <c r="U42" s="2" t="inlineStr">
        <is>
          <t>Mastersizer 3000+ — laser-diffraction particle size analyzer</t>
        </is>
      </c>
      <c r="V42" s="2" t="inlineStr">
        <is>
          <t>Zetasizer Advance — DLS nanoparticle size &amp; zeta potential analyzer</t>
        </is>
      </c>
      <c r="W42" s="2" t="inlineStr">
        <is>
          <t>Empyrean — multipurpose X-ray diffractometer (XRD)</t>
        </is>
      </c>
      <c r="X42" s="2" t="inlineStr"/>
      <c r="Y42" s="2" t="inlineStr"/>
      <c r="Z42" s="2" t="inlineStr"/>
      <c r="AA42" s="2" t="inlineStr"/>
      <c r="AB42" s="2" t="inlineStr"/>
      <c r="AC42" s="2" t="inlineStr">
        <is>
          <t>distributor</t>
        </is>
      </c>
      <c r="AD42" s="2" t="inlineStr">
        <is>
          <t>מפיץ / נציג ישראלי</t>
        </is>
      </c>
      <c r="AE42" s="2" t="inlineStr">
        <is>
          <t>verified</t>
        </is>
      </c>
      <c r="AF42" s="2" t="inlineStr">
        <is>
          <t>אומת ממקור</t>
        </is>
      </c>
      <c r="AG42" s="2" t="inlineStr">
        <is>
          <t>Dr. Uri Golik Chemical Instrumentation (ד"ר גוליק) [מפיץ; Malvern Panalytical particle/materials characterization (Zetasizer, Mastersizer 3000+, NanoSight, Morphologi 4, Archimedes, MicroCal); XRD line not seen on its pages]</t>
        </is>
      </c>
      <c r="AH42" s="2" t="inlineStr">
        <is>
          <t>Searched generic queries, 27 Israeli distributor domains and malvernpanalytical.com. Dr. Uri Golik Chemical Instrumentation has a current 'Malvern Panalytical' manufacturer page and product pages for Zetasizer Pro, Mastersizer 3000+, NanoSight NS300, Morphologi 4, Archimedes and MicroCal PEAQ-DSC; Malvern's own 2013 Isranalytica article calls Dr Golik its distributor (best-supplier award, CEO Dorit Bilman Golik) and a 2011 Malvern contact sheet attached to an Israeli government tender lists Golik, Tel Aviv, as Israel sales/service. Caveat: the manufacturer-side confirmations pre-date the 2017 Malvern/PANalytical merger, and XRD (ex-PANalytical) products were not seen on Golik's pages.</t>
        </is>
      </c>
      <c r="AI42" s="2" t="inlineStr">
        <is>
          <t>high</t>
        </is>
      </c>
      <c r="AJ42" s="2" t="inlineStr">
        <is>
          <t>Current distributor brand page corroborated by the manufacturer's own (older) article and contact sheet.</t>
        </is>
      </c>
      <c r="AK42" s="2" t="inlineStr">
        <is>
          <t>https://mr.gov.il/ilgstorefront/he/p/attachment/005056BF4DAB1EDA94D7D2CC42F7011B/נספחים לפרוטוקול ; https://www.malvernpanalytical.com/en/learn/knowledge-center/insights/isranalytica-2013-annual-meeting-of-the-israel-analytical-chemistry-society ; https://www.biospace.com/malvern-instruments-specialists-present-three-papers-at-b-isranalytica-b-2010 ; https://www.malvernpanalytical.com/en/about-us/contact-us/distributors ; https://businesscloud.co.uk/news/kkr-completes-4-7bn-acquisition-of-spectris/ ; https://en.wikipedia.org/wiki/Spectris ; https://www.malvernpanalytical.com/en/learn/knowledge-center/insights/about ; https://www.golik.co.il/manufacturers/malvern-panalytical ; https://www.golik.co.il/productsv3/Zetasizer-Pro ; https://golik.co.il/products/mastersizer-range/</t>
        </is>
      </c>
    </row>
    <row r="43">
      <c r="A43" s="2" t="n">
        <v>42</v>
      </c>
      <c r="B43" s="2" t="inlineStr">
        <is>
          <t>Oxford Instruments</t>
        </is>
      </c>
      <c r="C43" s="2" t="inlineStr">
        <is>
          <t>Andor Technology, Oxford Instruments NanoAnalysis, Asylum Research, WITec, Oxford Instruments Plasma Technology, Magnetic Resonance; NanoScience (quantum business, sale agreed 2025)</t>
        </is>
      </c>
      <c r="D43" s="2" t="inlineStr">
        <is>
          <t>Abingdon, Oxfordshire</t>
        </is>
      </c>
      <c r="E43" s="2" t="inlineStr">
        <is>
          <t>UK</t>
        </is>
      </c>
      <c r="F43" s="2" t="inlineStr"/>
      <c r="G43" s="2" t="inlineStr">
        <is>
          <t>Public (LSE: OXIG)</t>
        </is>
      </c>
      <c r="H43" s="2" t="n">
        <v>1959</v>
      </c>
      <c r="I43" s="2" t="inlineStr">
        <is>
          <t>https://www.oxinst.com</t>
        </is>
      </c>
      <c r="J43" s="2" t="inlineStr">
        <is>
          <t>Electron microscopy &amp; X-ray / materials characterization</t>
        </is>
      </c>
      <c r="K43" s="3" t="n">
        <v>2200</v>
      </c>
      <c r="L43" s="2" t="n">
        <v>2025</v>
      </c>
      <c r="M43" s="2" t="inlineStr">
        <is>
          <t>company</t>
        </is>
      </c>
      <c r="N43" s="2" t="inlineStr">
        <is>
          <t>Annual Report 2025 'at a glance' reads as '2,200+ employees' (text extraction ambiguous); operations in 23 countries, 27 base locations. Third-party aggregators show ~2,000.</t>
        </is>
      </c>
      <c r="O43" s="2" t="inlineStr">
        <is>
          <t>GBP 500.6 million</t>
        </is>
      </c>
      <c r="P43" s="3" t="n">
        <v>651</v>
      </c>
      <c r="Q43" s="2" t="inlineStr">
        <is>
          <t>FY ending Mar-2025</t>
        </is>
      </c>
      <c r="R43" s="2" t="inlineStr">
        <is>
          <t>company</t>
        </is>
      </c>
      <c r="S43" s="2" t="inlineStr">
        <is>
          <t>FY2024/25 group revenue GBP 500.6m (prior year 470.4m), adjusted operating profit GBP 82.2m. NanoScience (quantum/cryogenics) contributed ~GBP 59m revenue and ~GBP 1m adjusted operating profit in FY25. FY2025/26 results (year to Mar-2026) were not retrieved in this session.</t>
        </is>
      </c>
      <c r="T43" s="2" t="inlineStr">
        <is>
          <t>reported</t>
        </is>
      </c>
      <c r="U43" s="2" t="inlineStr">
        <is>
          <t>AZtec with Ultim Max (NanoAnalysis) — EDS/EBSD microanalysis systems for SEM/TEM</t>
        </is>
      </c>
      <c r="V43" s="2" t="inlineStr">
        <is>
          <t>Andor iXon / Sona / Dragonfly — scientific EMCCD/sCMOS cameras &amp; confocal imaging</t>
        </is>
      </c>
      <c r="W43" s="2" t="inlineStr">
        <is>
          <t>PlasmaPro 100 (Plasma Technology) — plasma etch &amp; deposition tools for semiconductors</t>
        </is>
      </c>
      <c r="X43" s="2" t="inlineStr"/>
      <c r="Y43" s="2" t="inlineStr"/>
      <c r="Z43" s="2" t="inlineStr"/>
      <c r="AA43" s="2" t="inlineStr"/>
      <c r="AB43" s="2" t="inlineStr"/>
      <c r="AC43" s="2" t="inlineStr">
        <is>
          <t>none_found</t>
        </is>
      </c>
      <c r="AD43" s="2" t="inlineStr">
        <is>
          <t>לא נמצא ייצוג</t>
        </is>
      </c>
      <c r="AE43" s="2" t="inlineStr">
        <is>
          <t>partial</t>
        </is>
      </c>
      <c r="AF43" s="2" t="inlineStr">
        <is>
          <t>חיפוש חלקי (ללא פתיחת אתרי היצרן/המפיץ)</t>
        </is>
      </c>
      <c r="AG43" s="2" t="inlineStr"/>
      <c r="AH43" s="2" t="inlineStr">
        <is>
          <t>חיפוש רשת בלבד; דפי ״מפיצים״ של היצרן ואתרי המפיצים לא נפתחו (חסימת רשת). Nothing credible found after four angles: the brand restricted to 43 Israeli distributor domains, a Hebrew importer/representative query, a search restricted to oxinst.com / andor.oxinst.com / nano.oxinst.com (Israel appears only as a country option in the Andor, Imaris and WITec contact forms; the WITec page says to contact HQ where no official representative exists), and an Israeli sole-supplier (ספק יחיד) tender query. No source seen names an Israeli distributor for Andor cameras, NanoAnalysis EDS/EBSD or WITec Raman; the Israeli channel may be direct from the UK/EU or via a company outside the domain list. Status remains none_found.</t>
        </is>
      </c>
      <c r="AI43" s="2" t="inlineStr">
        <is>
          <t>low</t>
        </is>
      </c>
      <c r="AJ43" s="2" t="inlineStr">
        <is>
          <t>Four different search angles found no Israeli entity; absence of evidence only.</t>
        </is>
      </c>
      <c r="AK43" s="2" t="inlineStr">
        <is>
          <t>https://www.oxinst.com/assets/uploads/Investor/Oxford Instruments plc – Annual Report 2025.pdf ; https://www.oxinst.com/news/full-year-results-strong-results-and-good-momentum,-strategic-execution-on-track-and-sale-of-quantum-business/ ; https://www.oxinst.com/news/sale-of-oxford-instruments’-quantum-business,-nanoscience/ ; https://thequantuminsider.com/2025/06/10/oxford-instruments-to-sell-its-nanoscience-business-to-quantum-design-international/ ; https://www.oxinst.com/business-overview ; https://nano.oxinst.com/campaigns/event-resource ; https://nanoporetech.com/zh/about/channel-partners/zotal-ltd ; https://andor.oxinst.com/contact/ ; https://imaris.oxinst.com/contact/ ; https://raman.oxinst.com/contact ; https://www.oxinst.com/contact-us ; https://nano.oxinst.com/</t>
        </is>
      </c>
    </row>
    <row r="44">
      <c r="A44" s="2" t="n">
        <v>43</v>
      </c>
      <c r="B44" s="2" t="inlineStr">
        <is>
          <t>Anton Paar</t>
        </is>
      </c>
      <c r="C44" s="2" t="inlineStr">
        <is>
          <t>Anton Paar Group AG; Quantachrome Instruments (acquired 2018, now Anton Paar QuantaTec); Brabender (acquired 2023)</t>
        </is>
      </c>
      <c r="D44" s="2" t="inlineStr">
        <is>
          <t>Graz</t>
        </is>
      </c>
      <c r="E44" s="2" t="inlineStr">
        <is>
          <t>Austria</t>
        </is>
      </c>
      <c r="F44" s="2" t="inlineStr">
        <is>
          <t>Anton Paar Group AG (owned by the charitable Santner Foundation)</t>
        </is>
      </c>
      <c r="G44" s="2" t="inlineStr">
        <is>
          <t>Private (foundation-owned — Santner Foundation)</t>
        </is>
      </c>
      <c r="H44" s="2" t="n">
        <v>1922</v>
      </c>
      <c r="I44" s="2" t="inlineStr">
        <is>
          <t>https://www.anton-paar.com</t>
        </is>
      </c>
      <c r="J44" s="2" t="inlineStr">
        <is>
          <t>Diversified analytical &amp; life-science instruments</t>
        </is>
      </c>
      <c r="K44" s="3" t="n">
        <v>4500</v>
      </c>
      <c r="L44" s="2" t="n">
        <v>2025</v>
      </c>
      <c r="M44" s="2" t="inlineStr">
        <is>
          <t>company</t>
        </is>
      </c>
      <c r="N44" s="2" t="inlineStr">
        <is>
          <t>'4,500+ employees' per the company factsheet (dated June 2026) and Wikipedia; Revelio Labs shows 2,816 (Sept 2025) for a narrower legal-entity scope.</t>
        </is>
      </c>
      <c r="O44" s="2" t="inlineStr">
        <is>
          <t>EUR 629 million</t>
        </is>
      </c>
      <c r="P44" s="3" t="n">
        <v>692</v>
      </c>
      <c r="Q44" s="2" t="inlineStr">
        <is>
          <t>FY2025</t>
        </is>
      </c>
      <c r="R44" s="2" t="inlineStr">
        <is>
          <t>company</t>
        </is>
      </c>
      <c r="S44" s="2" t="inlineStr">
        <is>
          <t>Net sales revenue 2025 EUR 629m per Anton Paar factsheet (June 2026); 14.5% of turnover invested in R&amp;D.</t>
        </is>
      </c>
      <c r="T44" s="2" t="inlineStr">
        <is>
          <t>reported</t>
        </is>
      </c>
      <c r="U44" s="2" t="inlineStr">
        <is>
          <t>DMA density meters (e.g. DMA 5000 M) — laboratory density &amp; concentration measurement</t>
        </is>
      </c>
      <c r="V44" s="2" t="inlineStr">
        <is>
          <t>MCR rheometer series (e.g. MCR 702e) — rotational &amp; oscillatory rheometers</t>
        </is>
      </c>
      <c r="W44" s="2" t="inlineStr">
        <is>
          <t>Multiwave 5000 / 7000 — microwave sample digestion systems</t>
        </is>
      </c>
      <c r="X44" s="2" t="inlineStr"/>
      <c r="Y44" s="2" t="inlineStr"/>
      <c r="Z44" s="2" t="inlineStr"/>
      <c r="AA44" s="2" t="inlineStr"/>
      <c r="AB44" s="2" t="inlineStr"/>
      <c r="AC44" s="2" t="inlineStr">
        <is>
          <t>distributor</t>
        </is>
      </c>
      <c r="AD44" s="2" t="inlineStr">
        <is>
          <t>מפיץ / נציג ישראלי</t>
        </is>
      </c>
      <c r="AE44" s="2" t="inlineStr">
        <is>
          <t>verified</t>
        </is>
      </c>
      <c r="AF44" s="2" t="inlineStr">
        <is>
          <t>אומת ממקור</t>
        </is>
      </c>
      <c r="AG44" s="2" t="inlineStr">
        <is>
          <t>Prime Lab Scientific Instruments Ltd. (פריים לאב) [מפיץ; Anton Paar instruments (density meters, rheometers, viscometers, SAXS); import, installation, IQ/OQ/PQ, calibration and after-sales service per distributor site]</t>
        </is>
      </c>
      <c r="AH44" s="2" t="inlineStr">
        <is>
          <t>Prime Lab Scientific Instruments Ltd. (Kfar Saba) lists Anton Paar GmbH among its partner manufacturers on its own site, hosts an Anton Paar SAXS product page, and describes itself as the local partner/distributor offering import, installation, IQ/OQ/PQ, calibration and after-sales service. The BioFindly directory independently names Prime Lab as the single Israeli representative handling sales, service and quotes for Anton Paar. Not cross-checked on anton-paar.com (search budget), so exclusivity and the full product scope are stated by the distributor and a directory rather than by the manufacturer.</t>
        </is>
      </c>
      <c r="AI44" s="2" t="inlineStr">
        <is>
          <t>medium</t>
        </is>
      </c>
      <c r="AJ44" s="2" t="inlineStr">
        <is>
          <t>Distributor's own site plus an Israeli directory; manufacturer's distributor page not seen.</t>
        </is>
      </c>
      <c r="AK44" s="2" t="inlineStr">
        <is>
          <t>https://www.anton-paar.com/fileadmin/About_Us/Media_relations/20260603_EN_Anton_Paar_Factsheet.pdf ; https://en.wikipedia.org/wiki/Anton_Paar ; https://www.reveliolabs.com/companies/anton-paar/employees ; https://il.linkedin.com/in/keren-tenenbaum-8b476a19a ; https://www.anton-paar.com/ca-en/about-us/newsroom/news/detail/anton-paar-opens-subsidiaries-in-spain-and-taiwan ; https://primelab.co.il/about-us/ ; https://primelab.co.il/ ; https://primelab.co.il/products/nanostructure-solutions-saxs/ ; https://biofindly.co.il/manufacturer/anton-paar/</t>
        </is>
      </c>
    </row>
    <row r="45">
      <c r="A45" s="2" t="n">
        <v>44</v>
      </c>
      <c r="B45" s="2" t="inlineStr">
        <is>
          <t>Metrohm</t>
        </is>
      </c>
      <c r="C45" s="2" t="inlineStr">
        <is>
          <t>Metrohm Autolab, Metrohm Applikon (process analyzers), Metrohm DropSens, Metrohm Raman; Metrohm Middle East FZC (regional subsidiary)</t>
        </is>
      </c>
      <c r="D45" s="2" t="inlineStr">
        <is>
          <t>Herisau</t>
        </is>
      </c>
      <c r="E45" s="2" t="inlineStr">
        <is>
          <t>Switzerland</t>
        </is>
      </c>
      <c r="F45" s="2" t="inlineStr">
        <is>
          <t>Metrohm Foundation (Metrohm Stiftung)</t>
        </is>
      </c>
      <c r="G45" s="2" t="inlineStr">
        <is>
          <t>Private (foundation-owned — Metrohm Foundation)</t>
        </is>
      </c>
      <c r="H45" s="2" t="n">
        <v>1943</v>
      </c>
      <c r="I45" s="2" t="inlineStr">
        <is>
          <t>https://www.metrohm.com</t>
        </is>
      </c>
      <c r="J45" s="2" t="inlineStr">
        <is>
          <t>Water &amp; electrochemical analysis</t>
        </is>
      </c>
      <c r="K45" s="3" t="n">
        <v>3000</v>
      </c>
      <c r="L45" s="2" t="n">
        <v>2024</v>
      </c>
      <c r="M45" s="2" t="inlineStr">
        <is>
          <t>estimate</t>
        </is>
      </c>
      <c r="N45" s="2" t="inlineStr">
        <is>
          <t>Metrohm states around 3,000 employees worldwide (recalled, unverified).</t>
        </is>
      </c>
      <c r="O45" s="2" t="inlineStr">
        <is>
          <t>CHF ~550 million (trade estimate; foundation-owned)</t>
        </is>
      </c>
      <c r="P45" s="3" t="n">
        <v>640</v>
      </c>
      <c r="Q45" s="2" t="inlineStr">
        <is>
          <t>2024 (estimate)</t>
        </is>
      </c>
      <c r="R45" s="2" t="inlineStr">
        <is>
          <t>estimate</t>
        </is>
      </c>
      <c r="S45" s="2" t="inlineStr">
        <is>
          <t>Metrohm is owned by the Metrohm Foundation and publishes no revenue; trade estimates range CHF 500-600M. Figures recalled from company statements / filings and not re-verified online in this session.</t>
        </is>
      </c>
      <c r="T45" s="2" t="inlineStr">
        <is>
          <t>estimate</t>
        </is>
      </c>
      <c r="U45" s="2" t="inlineStr">
        <is>
          <t>OMNIS — modular automated titration platform</t>
        </is>
      </c>
      <c r="V45" s="2" t="inlineStr">
        <is>
          <t>940 Professional IC Vario / Eco IC — ion chromatography systems</t>
        </is>
      </c>
      <c r="W45" s="2" t="inlineStr">
        <is>
          <t>Autolab PGSTAT204 / PGSTAT302N — potentiostat/galvanostat electrochemistry workstations</t>
        </is>
      </c>
      <c r="X45" s="2" t="inlineStr"/>
      <c r="Y45" s="2" t="inlineStr"/>
      <c r="Z45" s="2" t="inlineStr"/>
      <c r="AA45" s="2" t="inlineStr"/>
      <c r="AB45" s="2" t="inlineStr"/>
      <c r="AC45" s="2" t="inlineStr">
        <is>
          <t>distributor</t>
        </is>
      </c>
      <c r="AD45" s="2" t="inlineStr">
        <is>
          <t>מפיץ / נציג ישראלי</t>
        </is>
      </c>
      <c r="AE45" s="2" t="inlineStr">
        <is>
          <t>verified</t>
        </is>
      </c>
      <c r="AF45" s="2" t="inlineStr">
        <is>
          <t>אומת ממקור</t>
        </is>
      </c>
      <c r="AG45" s="2" t="inlineStr">
        <is>
          <t>Israel Scientific Instruments Ltd. (ISI) (ISI – ישראל מכשור מדעי) [מפיץ; official distributor of all Metrohm products and services in Israel from 17 July 2025 (Metrohm news page)]</t>
        </is>
      </c>
      <c r="AH45" s="2" t="inlineStr">
        <is>
          <t>Metrohm's own news item 'New Metrohm distributor in Israel' (17 July 2025) states: 'Israel Scientific Instruments Ltd. (ISI) becomes the official distributor of Metrohm products and services in Israel', effective immediately. Seen via the search-engine excerpt of the official page; the page itself could not be opened (host denied by egress proxy), so the previous distributor and ISI's website were not captured. Metrohm Middle East FZC (Dubai) is the regional subsidiary for MENA; Israel is not among its listed authorised distributors. Hebrew search and ISI's own site were not checked (search budget exhausted).</t>
        </is>
      </c>
      <c r="AI45" s="2" t="inlineStr">
        <is>
          <t>medium</t>
        </is>
      </c>
      <c r="AJ45" s="2" t="inlineStr">
        <is>
          <t>Israeli distributor comes from the manufacturer's own 2025 announcement (strong); size figures could not be sourced.</t>
        </is>
      </c>
      <c r="AK45" s="2" t="inlineStr">
        <is>
          <t>https://www.metrohm.com/en/discover/news/2025/new-metrohm-distributor-in-israel.html ; https://en.wikipedia.org/wiki/Metrohm ; https://www.terrapinn.com/exhibition/arablab-live/exhibitor-metrohm-middle-east-fzc.stm</t>
        </is>
      </c>
    </row>
    <row r="46">
      <c r="A46" s="2" t="n">
        <v>45</v>
      </c>
      <c r="B46" s="2" t="inlineStr">
        <is>
          <t>LECO Corporation</t>
        </is>
      </c>
      <c r="C46" s="2" t="inlineStr">
        <is>
          <t>LECO (Laboratory Equipment Corporation); Pegasus, TruSpec, ChromaTOF, LECO Europe (Mönchengladbach)</t>
        </is>
      </c>
      <c r="D46" s="2" t="inlineStr">
        <is>
          <t>St. Joseph, Michigan</t>
        </is>
      </c>
      <c r="E46" s="2" t="inlineStr">
        <is>
          <t>USA</t>
        </is>
      </c>
      <c r="F46" s="2" t="inlineStr"/>
      <c r="G46" s="2" t="inlineStr">
        <is>
          <t>Private (family-owned — Warren family)</t>
        </is>
      </c>
      <c r="H46" s="2" t="n">
        <v>1936</v>
      </c>
      <c r="I46" s="2" t="inlineStr">
        <is>
          <t>https://www.leco.com</t>
        </is>
      </c>
      <c r="J46" s="2" t="inlineStr">
        <is>
          <t>Elemental &amp; materials analysis</t>
        </is>
      </c>
      <c r="K46" s="3" t="n">
        <v>1000</v>
      </c>
      <c r="L46" s="2" t="n">
        <v>2024</v>
      </c>
      <c r="M46" s="2" t="inlineStr">
        <is>
          <t>estimate</t>
        </is>
      </c>
      <c r="N46" s="2" t="inlineStr">
        <is>
          <t>Roughly 1,000 employees worldwide (recalled, unverified).</t>
        </is>
      </c>
      <c r="O46" s="2" t="inlineStr">
        <is>
          <t>USD ~250 million (trade estimate; private)</t>
        </is>
      </c>
      <c r="P46" s="3" t="n">
        <v>250</v>
      </c>
      <c r="Q46" s="2" t="inlineStr">
        <is>
          <t>2024 (estimate)</t>
        </is>
      </c>
      <c r="R46" s="2" t="inlineStr">
        <is>
          <t>estimate</t>
        </is>
      </c>
      <c r="S46" s="2" t="inlineStr">
        <is>
          <t>LECO (St. Joseph, MI) is family-owned; trade estimates USD 200-300M. Figures recalled from company statements / filings and not re-verified online in this session.</t>
        </is>
      </c>
      <c r="T46" s="2" t="inlineStr">
        <is>
          <t>estimate</t>
        </is>
      </c>
      <c r="U46" s="2" t="inlineStr">
        <is>
          <t>828 / 928 Series — combustion CHN/CHNS/O macro elemental analyzers</t>
        </is>
      </c>
      <c r="V46" s="2" t="inlineStr">
        <is>
          <t>Pegasus BT 4D — GCxGC time-of-flight mass spectrometer</t>
        </is>
      </c>
      <c r="W46" s="2" t="inlineStr">
        <is>
          <t>836 Series (ONH836) — oxygen/nitrogen/hydrogen inert-gas-fusion analyzer</t>
        </is>
      </c>
      <c r="X46" s="2" t="inlineStr"/>
      <c r="Y46" s="2" t="inlineStr"/>
      <c r="Z46" s="2" t="inlineStr"/>
      <c r="AA46" s="2" t="inlineStr"/>
      <c r="AB46" s="2" t="inlineStr"/>
      <c r="AC46" s="2" t="inlineStr">
        <is>
          <t>distributor</t>
        </is>
      </c>
      <c r="AD46" s="2" t="inlineStr">
        <is>
          <t>מפיץ / נציג ישראלי</t>
        </is>
      </c>
      <c r="AE46" s="2" t="inlineStr">
        <is>
          <t>verified</t>
        </is>
      </c>
      <c r="AF46" s="2" t="inlineStr">
        <is>
          <t>אומת ממקור</t>
        </is>
      </c>
      <c r="AG46" s="2" t="inlineStr">
        <is>
          <t>Agentek (1987) Ltd. (אגנטק) [מפיץ; LECO analytical instruments, mass spectrometers and metallography (Agentek LECO representative page)]</t>
        </is>
      </c>
      <c r="AH46" s="2" t="inlineStr">
        <is>
          <t>Agentek's own vendors page (agentek.co.il/vendors) lists the brand among the manufacturers it represents in Israel (seen in a search excerpt; the manufacturer's own distributor page was not opened).</t>
        </is>
      </c>
      <c r="AI46" s="2" t="inlineStr">
        <is>
          <t>medium</t>
        </is>
      </c>
      <c r="AJ46" s="2" t="inlineStr"/>
      <c r="AK46" s="2" t="inlineStr">
        <is>
          <t>https://eu.leco.com/contact/authorised-distributors ; https://en.wikipedia.org/wiki/LECO_Corporation ; https://leco.com/contact/usa ; https://www.leco.com/?p=3266 ; https://agentek.co.il/representative/leco/</t>
        </is>
      </c>
    </row>
    <row r="47">
      <c r="A47" s="2" t="n">
        <v>46</v>
      </c>
      <c r="B47" s="2" t="inlineStr">
        <is>
          <t>JASCO Corporation</t>
        </is>
      </c>
      <c r="C47" s="2" t="inlineStr">
        <is>
          <t>Japan Spectroscopic Co.; JASCO International, JASCO Inc. (Easton, MD, USA), JASCO Europe, JASCO Deutschland</t>
        </is>
      </c>
      <c r="D47" s="2" t="inlineStr">
        <is>
          <t>Hachioji, Tokyo</t>
        </is>
      </c>
      <c r="E47" s="2" t="inlineStr">
        <is>
          <t>Japan</t>
        </is>
      </c>
      <c r="F47" s="2" t="inlineStr"/>
      <c r="G47" s="2" t="inlineStr">
        <is>
          <t>Private</t>
        </is>
      </c>
      <c r="H47" s="2" t="n">
        <v>1958</v>
      </c>
      <c r="I47" s="2" t="inlineStr">
        <is>
          <t>https://www.jasco-global.com</t>
        </is>
      </c>
      <c r="J47" s="2" t="inlineStr">
        <is>
          <t>Analytical instruments (chromatography / mass spectrometry / spectroscopy)</t>
        </is>
      </c>
      <c r="K47" s="3" t="n">
        <v>400</v>
      </c>
      <c r="L47" s="2" t="n">
        <v>2024</v>
      </c>
      <c r="M47" s="2" t="inlineStr">
        <is>
          <t>estimate</t>
        </is>
      </c>
      <c r="N47" s="2" t="inlineStr">
        <is>
          <t>Roughly 400 employees in Japan plus overseas subsidiaries (recalled, unverified).</t>
        </is>
      </c>
      <c r="O47" s="2" t="inlineStr">
        <is>
          <t>JPY ~12 billion (trade estimate; private)</t>
        </is>
      </c>
      <c r="P47" s="3" t="n">
        <v>80</v>
      </c>
      <c r="Q47" s="2" t="inlineStr">
        <is>
          <t>FY2024 (estimate)</t>
        </is>
      </c>
      <c r="R47" s="2" t="inlineStr">
        <is>
          <t>estimate</t>
        </is>
      </c>
      <c r="S47" s="2" t="inlineStr">
        <is>
          <t>JASCO (Hachioji, Tokyo) is privately held; order-of-magnitude estimate. Figures recalled from company statements / filings and not re-verified online in this session.</t>
        </is>
      </c>
      <c r="T47" s="2" t="inlineStr">
        <is>
          <t>estimate</t>
        </is>
      </c>
      <c r="U47" s="2" t="inlineStr">
        <is>
          <t>J-1500 — circular dichroism (CD) spectrometer</t>
        </is>
      </c>
      <c r="V47" s="2" t="inlineStr">
        <is>
          <t>FT/IR-4X / FT/IR-6X — FTIR spectrometers</t>
        </is>
      </c>
      <c r="W47" s="2" t="inlineStr">
        <is>
          <t>V-700 series (V-780) — UV-Vis/NIR spectrophotometers</t>
        </is>
      </c>
      <c r="X47" s="2" t="inlineStr"/>
      <c r="Y47" s="2" t="inlineStr"/>
      <c r="Z47" s="2" t="inlineStr"/>
      <c r="AA47" s="2" t="inlineStr"/>
      <c r="AB47" s="2" t="inlineStr"/>
      <c r="AC47" s="2" t="inlineStr">
        <is>
          <t>distributor</t>
        </is>
      </c>
      <c r="AD47" s="2" t="inlineStr">
        <is>
          <t>מפיץ / נציג ישראלי</t>
        </is>
      </c>
      <c r="AE47" s="2" t="inlineStr">
        <is>
          <t>verified</t>
        </is>
      </c>
      <c r="AF47" s="2" t="inlineStr">
        <is>
          <t>אומת ממקור</t>
        </is>
      </c>
      <c r="AG47" s="2" t="inlineStr">
        <is>
          <t>Ophir Analytical Ltd. [מפיץ; JASCO spectroscopy and chromatography products (listed as JASCO's distributor for Israel; Rosh Ha'ayin, +972 3-9022277, ophir-ana@bezeqint.net)]</t>
        </is>
      </c>
      <c r="AH47" s="2" t="inlineStr">
        <is>
          <t>JASCO's own 'Where to buy' and 'Worldwide Locations' pages (jascoeurope.com, jasco.de, jasco-global.com, jascoinc.com) list Ophir Analytical Ltd., Rosh Ha'ayin, as the distributor for Israel; JASCO Europe is responsible for sales, service and support across Europe, the Middle East and Africa. The listing is at most about nine months old per the search index. Ophir Analytical's own site was not opened, and the earlier distributor-domain and Hebrew searches missed it because it is not in the known-distributor list.</t>
        </is>
      </c>
      <c r="AI47" s="2" t="inlineStr">
        <is>
          <t>high</t>
        </is>
      </c>
      <c r="AJ47" s="2" t="inlineStr">
        <is>
          <t>Named on the manufacturer's own where-to-buy / locations pages.</t>
        </is>
      </c>
      <c r="AK47" s="2" t="inlineStr">
        <is>
          <t>https://jascoinc.com/?p=1712 ; https://photonics.com/Buyers_Guide/JASCO_Inc/c7300 ; https://www.ebay.de/itm/293667324097 ; https://www.jascoeurope.com/where-to-buy/ ; https://www.jasco.de/where-to-buy/ ; https://www.jasco-global.com/about-us/jasco-global-locations/ ; https://jascoinc.com/about-us/jasco-global-locations/ ; https://www.jascoeurope.com/contact-us/</t>
        </is>
      </c>
    </row>
    <row r="48">
      <c r="A48" s="2" t="n">
        <v>47</v>
      </c>
      <c r="B48" s="2" t="inlineStr">
        <is>
          <t>SPECTRO Analytical Instruments (AMETEK)</t>
        </is>
      </c>
      <c r="C48" s="2" t="inlineStr">
        <is>
          <t>SPECTRO (AMETEK Materials Analysis Division); SPECTRO ARCOS, SPECTROBLUE, SPECTROGREEN, SPECTRO XEPOS, SPECTROMAXx, SPECTRO MS</t>
        </is>
      </c>
      <c r="D48" s="2" t="inlineStr">
        <is>
          <t>Kleve</t>
        </is>
      </c>
      <c r="E48" s="2" t="inlineStr">
        <is>
          <t>Germany</t>
        </is>
      </c>
      <c r="F48" s="2" t="inlineStr">
        <is>
          <t>AMETEK, Inc.</t>
        </is>
      </c>
      <c r="G48" s="2" t="inlineStr">
        <is>
          <t>Subsidiary of AMETEK (public, NYSE: AME) — acquired 2005</t>
        </is>
      </c>
      <c r="H48" s="2" t="n">
        <v>1979</v>
      </c>
      <c r="I48" s="2" t="inlineStr">
        <is>
          <t>https://www.spectro.com</t>
        </is>
      </c>
      <c r="J48" s="2" t="inlineStr">
        <is>
          <t>Elemental &amp; materials analysis</t>
        </is>
      </c>
      <c r="K48" s="3" t="n">
        <v>500</v>
      </c>
      <c r="L48" s="2" t="n">
        <v>2024</v>
      </c>
      <c r="M48" s="2" t="inlineStr">
        <is>
          <t>estimate</t>
        </is>
      </c>
      <c r="N48" s="2" t="inlineStr">
        <is>
          <t>SPECTRO (Kleve) employs roughly 400-500; parent AMETEK ~21,500 (recalled, unverified).</t>
        </is>
      </c>
      <c r="O48" s="2" t="inlineStr">
        <is>
          <t>USD 6.94 billion</t>
        </is>
      </c>
      <c r="P48" s="3" t="n">
        <v>6940</v>
      </c>
      <c r="Q48" s="2" t="inlineStr">
        <is>
          <t>FY2024</t>
        </is>
      </c>
      <c r="R48" s="2" t="inlineStr">
        <is>
          <t>parent</t>
        </is>
      </c>
      <c r="S48" s="2" t="inlineStr">
        <is>
          <t>AMETEK group revenue (parent); SPECTRO alone is not disclosed (order of EUR 100-150M, trade estimate).</t>
        </is>
      </c>
      <c r="T48" s="2" t="inlineStr">
        <is>
          <t>mixed</t>
        </is>
      </c>
      <c r="U48" s="2" t="inlineStr">
        <is>
          <t>SPECTRO ARCOS — high-resolution ICP-OES spectrometer</t>
        </is>
      </c>
      <c r="V48" s="2" t="inlineStr">
        <is>
          <t>SPECTRO XEPOS — energy-dispersive XRF spectrometer</t>
        </is>
      </c>
      <c r="W48" s="2" t="inlineStr">
        <is>
          <t>SPECTROMAXx — arc/spark OES metals analyzer</t>
        </is>
      </c>
      <c r="X48" s="2" t="inlineStr"/>
      <c r="Y48" s="2" t="inlineStr"/>
      <c r="Z48" s="2" t="inlineStr"/>
      <c r="AA48" s="2" t="inlineStr"/>
      <c r="AB48" s="2" t="inlineStr"/>
      <c r="AC48" s="2" t="inlineStr">
        <is>
          <t>unclear</t>
        </is>
      </c>
      <c r="AD48" s="2" t="inlineStr">
        <is>
          <t>לא ברור</t>
        </is>
      </c>
      <c r="AE48" s="2" t="inlineStr">
        <is>
          <t>partial</t>
        </is>
      </c>
      <c r="AF48" s="2" t="inlineStr">
        <is>
          <t>חיפוש חלקי (ללא פתיחת אתרי היצרן/המפיץ)</t>
        </is>
      </c>
      <c r="AG48" s="2" t="inlineStr"/>
      <c r="AH48" s="2" t="inlineStr">
        <is>
          <t>חיפוש רשת בלבד; דפי ״מפיצים״ של היצרן ואתרי המפיצים לא נפתחו (חסימת רשת). No source seen names an Israeli distributor or office for SPECTRO Analytical Instruments: spectro.com's 'SPECTRO Worldwide' locator and AMETEK's global-locations page surfaced only a Middle East office in Dubai, and the distributor-domain, Hebrew and tender-angle queries returned nothing. One lead needs verification: Spectro (Israel) Ltd., Rishon LeZion (spectro.co.il, est. 1994), an independent analytical-instrument distributor that claims about 50% of the Israeli ICP-OES market and is Elementar's listed Israeli distributor; its name and ICP-OES focus suggest a possible link to SPECTRO, but the pages seen (its own site and LinkedIn) confirm only SYKAM, so it is NOT recorded here as a SPECTRO representative. A newroad.co.il 'XRF &amp; GDS elemental analysers in Israel' page also surfaced without naming SPECTRO.</t>
        </is>
      </c>
      <c r="AI48" s="2" t="inlineStr">
        <is>
          <t>low</t>
        </is>
      </c>
      <c r="AJ48" s="2" t="inlineStr">
        <is>
          <t>No confirming source; the Spectro (Israel) Ltd. lead is unverified and may be a coincidence of names.</t>
        </is>
      </c>
      <c r="AK48" s="2" t="inlineStr">
        <is>
          <t>https://agentek.co.il/?p=2540 ; https://agentek.co.il/about-us/ ; https://2019.isranalytica.com/320-agentek ; https://v1.israelphysicalsociety.org/ips-conference-2009/fairs/agentek-ltd ; https://photonics.com/Buyers_Guide/SPECTRO_Analytical_Instruments/c14004 ; https://agentek.co.il/catalog/ ; https://agentek.co.il/vendors/?___from_store=he&amp;___store=en ; https://agentek.co.il/representative/shimadzu/ ; https://www.spectro.com/about-us/spectro-worldwide ; https://www.ametek.com/contact-us/global-locations ; http://www.spectro.co.il/index.php?language=eng ; https://www.linkedin.com/in/spectro-israel-ltd-b753901aa/ ; https://newroad.co.il/technologies/elemental-analyzer/</t>
        </is>
      </c>
    </row>
    <row r="49">
      <c r="A49" s="2" t="n">
        <v>48</v>
      </c>
      <c r="B49" s="2" t="inlineStr">
        <is>
          <t>Analytik Jena (Endress+Hauser)</t>
        </is>
      </c>
      <c r="C49" s="2" t="inlineStr">
        <is>
          <t>Analytik Jena AG (former listed name); Biometra, CyBio; part of the Endress+Hauser Group</t>
        </is>
      </c>
      <c r="D49" s="2" t="inlineStr">
        <is>
          <t>Jena</t>
        </is>
      </c>
      <c r="E49" s="2" t="inlineStr">
        <is>
          <t>Germany</t>
        </is>
      </c>
      <c r="F49" s="2" t="inlineStr">
        <is>
          <t>Endress+Hauser Group</t>
        </is>
      </c>
      <c r="G49" s="2" t="inlineStr">
        <is>
          <t>Subsidiary of Endress+Hauser Group (private, family-owned, Switzerland)</t>
        </is>
      </c>
      <c r="H49" s="2" t="n">
        <v>1990</v>
      </c>
      <c r="I49" s="2" t="inlineStr">
        <is>
          <t>https://www.analytik-jena.com</t>
        </is>
      </c>
      <c r="J49" s="2" t="inlineStr">
        <is>
          <t>Analytical instruments (chromatography / mass spectrometry / spectroscopy)</t>
        </is>
      </c>
      <c r="K49" s="3" t="n">
        <v>1000</v>
      </c>
      <c r="L49" s="2" t="n">
        <v>2024</v>
      </c>
      <c r="M49" s="2" t="inlineStr">
        <is>
          <t>estimate</t>
        </is>
      </c>
      <c r="N49" s="2" t="inlineStr">
        <is>
          <t>Roughly 1,000 employees (recalled, unverified).</t>
        </is>
      </c>
      <c r="O49" s="2" t="inlineStr">
        <is>
          <t>EUR ~180 million (trade estimate)</t>
        </is>
      </c>
      <c r="P49" s="3" t="n">
        <v>200</v>
      </c>
      <c r="Q49" s="2" t="inlineStr">
        <is>
          <t>2024 (estimate)</t>
        </is>
      </c>
      <c r="R49" s="2" t="inlineStr">
        <is>
          <t>estimate</t>
        </is>
      </c>
      <c r="S49" s="2" t="inlineStr">
        <is>
          <t>Part of the privately held Endress+Hauser Group (~EUR 3.9B group revenue); Analytik Jena alone is not disclosed. Figures recalled from company statements / filings and not re-verified online in this session.</t>
        </is>
      </c>
      <c r="T49" s="2" t="inlineStr">
        <is>
          <t>estimate</t>
        </is>
      </c>
      <c r="U49" s="2" t="inlineStr">
        <is>
          <t>PlasmaQuant 9100 / PlasmaQuant MS — ICP-OES and ICP-MS spectrometers</t>
        </is>
      </c>
      <c r="V49" s="2" t="inlineStr">
        <is>
          <t>contrAA 800 — high-resolution continuum-source AAS</t>
        </is>
      </c>
      <c r="W49" s="2" t="inlineStr">
        <is>
          <t>multi N/C series — TOC/TNb analyzers</t>
        </is>
      </c>
      <c r="X49" s="2" t="inlineStr"/>
      <c r="Y49" s="2" t="inlineStr"/>
      <c r="Z49" s="2" t="inlineStr"/>
      <c r="AA49" s="2" t="inlineStr"/>
      <c r="AB49" s="2" t="inlineStr"/>
      <c r="AC49" s="2" t="inlineStr">
        <is>
          <t>distributor</t>
        </is>
      </c>
      <c r="AD49" s="2" t="inlineStr">
        <is>
          <t>מפיץ / נציג ישראלי</t>
        </is>
      </c>
      <c r="AE49" s="2" t="inlineStr">
        <is>
          <t>verified</t>
        </is>
      </c>
      <c r="AF49" s="2" t="inlineStr">
        <is>
          <t>אומת ממקור</t>
        </is>
      </c>
      <c r="AG49" s="2" t="inlineStr">
        <is>
          <t>Lifegene [מפיץ; Biometra thermal cyclers (TOne, TAdvanced) and PCR instrumentation] | Tamar Laboratory Supplies [מפיץ; qTOWER³ real-time PCR thermal cycler] | Lumitron (לומיטרון) [מפיץ; UVP bio-imaging systems (UVP, a part of Analytik Jena)]</t>
        </is>
      </c>
      <c r="AH49" s="2" t="inlineStr">
        <is>
          <t>Three Israeli distributors carry Analytik Jena life-science lines on their own sites: Lifegene (Biometra TOne and TAdvanced thermal cyclers), Tamar Laboratory Supplies (qTOWER³ real-time PCR) and Lumitron (UVP bio-imaging, described as 'a part of Analytik Jena'). The BioFindly directory also lists one Israeli representative for Analytik Jena tied to qPCR/spectrophotometers (text garbled in the snippet). The chemical-analysis portfolio (AAS, ICP-OES/MS, TOC, mercury) has no confirmed Israeli channel: analytik-jena.com's partner finder did not expose an Israel entry in search snippets.</t>
        </is>
      </c>
      <c r="AI49" s="2" t="inlineStr">
        <is>
          <t>medium</t>
        </is>
      </c>
      <c r="AJ49" s="2" t="inlineStr">
        <is>
          <t>Life-science lines verified on distributor sites; analytical-chemistry channel unknown; manufacturer partner page not visible.</t>
        </is>
      </c>
      <c r="AK49" s="2" t="inlineStr">
        <is>
          <t>https://www.labroots.com/companies/analytik-jena ; https://v1.israelphysicalsociety.org/ips-conference-2009/fairs/agentek-ltd ; https://www.analytik-jena.com/contact/ ; https://www.lifegene.co.il/biometra_tone_pcr ; https://www.lifegene.co.il/biometra_tadvanced_pcr ; https://www.lifegene.co.il/pcr_instrumentation ; http://www.tamar.co.il/qtower%C2%B3/ ; https://www.lumitron.co.il/about-us/ ; https://biofindly.co.il/manufacturer/analytik-jena/ ; https://www.analytik-jena.com/company/partners/</t>
        </is>
      </c>
    </row>
    <row r="50">
      <c r="A50" s="2" t="n">
        <v>49</v>
      </c>
      <c r="B50" s="2" t="inlineStr">
        <is>
          <t>Elementar Analysensysteme</t>
        </is>
      </c>
      <c r="C50" s="2" t="inlineStr">
        <is>
          <t>Elementar; Isoprime (IRMS, acquired 2016); elemental-analysis heritage of Heraeus</t>
        </is>
      </c>
      <c r="D50" s="2" t="inlineStr">
        <is>
          <t>Langenselbold (near Frankfurt)</t>
        </is>
      </c>
      <c r="E50" s="2" t="inlineStr">
        <is>
          <t>Germany</t>
        </is>
      </c>
      <c r="F50" s="2" t="inlineStr"/>
      <c r="G50" s="2" t="inlineStr">
        <is>
          <t>Private (family/management-owned; spun out of Heraeus in 1990)</t>
        </is>
      </c>
      <c r="H50" s="2" t="n">
        <v>1990</v>
      </c>
      <c r="I50" s="2" t="inlineStr">
        <is>
          <t>https://www.elementar.com</t>
        </is>
      </c>
      <c r="J50" s="2" t="inlineStr">
        <is>
          <t>Elemental &amp; materials analysis</t>
        </is>
      </c>
      <c r="K50" s="3" t="n">
        <v>400</v>
      </c>
      <c r="L50" s="2" t="n">
        <v>2024</v>
      </c>
      <c r="M50" s="2" t="inlineStr">
        <is>
          <t>estimate</t>
        </is>
      </c>
      <c r="N50" s="2" t="inlineStr">
        <is>
          <t>Roughly 400 employees (recalled, unverified).</t>
        </is>
      </c>
      <c r="O50" s="2" t="inlineStr">
        <is>
          <t>EUR ~70 million (trade estimate; private)</t>
        </is>
      </c>
      <c r="P50" s="3" t="n">
        <v>77</v>
      </c>
      <c r="Q50" s="2" t="inlineStr">
        <is>
          <t>2024 (estimate)</t>
        </is>
      </c>
      <c r="R50" s="2" t="inlineStr">
        <is>
          <t>estimate</t>
        </is>
      </c>
      <c r="S50" s="2" t="inlineStr">
        <is>
          <t>Family-owned (Langenselbold); order-of-magnitude estimate. Figures recalled from company statements / filings and not re-verified online in this session.</t>
        </is>
      </c>
      <c r="T50" s="2" t="inlineStr">
        <is>
          <t>estimate</t>
        </is>
      </c>
      <c r="U50" s="2" t="inlineStr">
        <is>
          <t>UNICUBE / vario EL cube — CHNS/O combustion elemental analyzers</t>
        </is>
      </c>
      <c r="V50" s="2" t="inlineStr">
        <is>
          <t>isoprime precisION — isotope ratio mass spectrometer (IRMS)</t>
        </is>
      </c>
      <c r="W50" s="2" t="inlineStr">
        <is>
          <t>vario TOC cube — total organic carbon analyzer</t>
        </is>
      </c>
      <c r="X50" s="2" t="inlineStr"/>
      <c r="Y50" s="2" t="inlineStr"/>
      <c r="Z50" s="2" t="inlineStr"/>
      <c r="AA50" s="2" t="inlineStr"/>
      <c r="AB50" s="2" t="inlineStr"/>
      <c r="AC50" s="2" t="inlineStr">
        <is>
          <t>distributor</t>
        </is>
      </c>
      <c r="AD50" s="2" t="inlineStr">
        <is>
          <t>מפיץ / נציג ישראלי</t>
        </is>
      </c>
      <c r="AE50" s="2" t="inlineStr">
        <is>
          <t>verified</t>
        </is>
      </c>
      <c r="AF50" s="2" t="inlineStr">
        <is>
          <t>אומת ממקור</t>
        </is>
      </c>
      <c r="AG50" s="2" t="inlineStr">
        <is>
          <t>Spectro (Israel) Ltd. [מפיץ; Elementar's listed distributor for Israel (10 Sacharov St., Rishon LeZion, +972 3 9693014, spectro@spectro.co.il)]</t>
        </is>
      </c>
      <c r="AH50" s="2" t="inlineStr">
        <is>
          <t>Elementar's own 'Contact worldwide / contact local' pages list Spectro Israel Ltd., 10 Sacharov St., Rishon LeZion (+972 3 9693014, spectro@spectro.co.il, spectro.co.il) as its Israeli distributor. Spectro (Israel) Ltd. is an independent Israeli analytical-instrument distributor founded in 1994 (ICP-OES focus, also SYKAM HPLC/IC/amino-acid analysers), with no shown relation to SPECTRO Analytical/AMETEK. The product scope in Israel (CHNS/O, TOC, nitrogen/protein, IRMS) is implied by the manufacturer listing rather than itemised.</t>
        </is>
      </c>
      <c r="AI50" s="2" t="inlineStr">
        <is>
          <t>high</t>
        </is>
      </c>
      <c r="AJ50" s="2" t="inlineStr">
        <is>
          <t>Named on the manufacturer's own worldwide-contacts page; distributor's site confirms the company exists at that address.</t>
        </is>
      </c>
      <c r="AK50" s="2" t="inlineStr">
        <is>
          <t>https://en.wikipedia.org/wiki/Elementar ; https://www.spectaris.de/en/verband/members/address/elementar-analysensysteme-gmbh ; https://www.elementar.com/en/contact ; https://www.elementar.com/en/contact/contact-worldwide ; https://www.elementar.com/en-us/contact/contact-local ; http://www.spectro.co.il/index.php?language=eng ; https://www.linkedin.com/in/spectro-israel-ltd-b753901aa/</t>
        </is>
      </c>
    </row>
    <row r="51">
      <c r="A51" s="2" t="n">
        <v>50</v>
      </c>
      <c r="B51" s="2" t="inlineStr">
        <is>
          <t>NETZSCH Analyzing &amp; Testing</t>
        </is>
      </c>
      <c r="C51" s="2" t="inlineStr">
        <is>
          <t>NETZSCH-Gerätebau GmbH; NETZSCH Group business unit; brands DSC Caliris, STA Jupiter, TG Libra, LFA HyperFlash, DMA Eplexor, Kinexus rheometers</t>
        </is>
      </c>
      <c r="D51" s="2" t="inlineStr">
        <is>
          <t>Selb, Bavaria</t>
        </is>
      </c>
      <c r="E51" s="2" t="inlineStr">
        <is>
          <t>Germany</t>
        </is>
      </c>
      <c r="F51" s="2" t="inlineStr">
        <is>
          <t>NETZSCH Group (Erich NETZSCH GmbH &amp; Co. Holding KG)</t>
        </is>
      </c>
      <c r="G51" s="2" t="inlineStr">
        <is>
          <t>Subsidiary of NETZSCH Group (private, family-owned, owner-managed)</t>
        </is>
      </c>
      <c r="H51" s="2" t="n">
        <v>1962</v>
      </c>
      <c r="I51" s="2" t="inlineStr">
        <is>
          <t>https://analyzing-testing.netzsch.com</t>
        </is>
      </c>
      <c r="J51" s="2" t="inlineStr">
        <is>
          <t>Thermal analysis &amp; materials testing</t>
        </is>
      </c>
      <c r="K51" s="3" t="n">
        <v>700</v>
      </c>
      <c r="L51" s="2" t="n">
        <v>2024</v>
      </c>
      <c r="M51" s="2" t="inlineStr">
        <is>
          <t>estimate</t>
        </is>
      </c>
      <c r="N51" s="2" t="inlineStr">
        <is>
          <t>Analyzing &amp; Testing business unit only (~700); NETZSCH Group ~4,000 employees (recalled, unverified).</t>
        </is>
      </c>
      <c r="O51" s="2" t="inlineStr">
        <is>
          <t>EUR ~150 million (A&amp;T business unit; trade estimate)</t>
        </is>
      </c>
      <c r="P51" s="3" t="n">
        <v>165</v>
      </c>
      <c r="Q51" s="2" t="inlineStr">
        <is>
          <t>2024 (estimate)</t>
        </is>
      </c>
      <c r="R51" s="2" t="inlineStr">
        <is>
          <t>estimate</t>
        </is>
      </c>
      <c r="S51" s="2" t="inlineStr">
        <is>
          <t>NETZSCH Group (Selb) is family-owned with ~EUR 800M group revenue; the Analyzing &amp; Testing unit alone is an estimate. Figures recalled from company statements / filings and not re-verified online in this session.</t>
        </is>
      </c>
      <c r="T51" s="2" t="inlineStr">
        <is>
          <t>estimate</t>
        </is>
      </c>
      <c r="U51" s="2" t="inlineStr">
        <is>
          <t>DSC 300 Caliris — differential scanning calorimeter</t>
        </is>
      </c>
      <c r="V51" s="2" t="inlineStr">
        <is>
          <t>STA 509 Jupiter — simultaneous TGA-DSC thermal analyzer</t>
        </is>
      </c>
      <c r="W51" s="2" t="inlineStr">
        <is>
          <t>LFA 467 HyperFlash — laser-flash thermal diffusivity/conductivity analyzer</t>
        </is>
      </c>
      <c r="X51" s="2" t="inlineStr"/>
      <c r="Y51" s="2" t="inlineStr"/>
      <c r="Z51" s="2" t="inlineStr"/>
      <c r="AA51" s="2" t="inlineStr"/>
      <c r="AB51" s="2" t="inlineStr"/>
      <c r="AC51" s="2" t="inlineStr">
        <is>
          <t>distributor</t>
        </is>
      </c>
      <c r="AD51" s="2" t="inlineStr">
        <is>
          <t>מפיץ / נציג ישראלי</t>
        </is>
      </c>
      <c r="AE51" s="2" t="inlineStr">
        <is>
          <t>verified</t>
        </is>
      </c>
      <c r="AF51" s="2" t="inlineStr">
        <is>
          <t>אומת ממקור</t>
        </is>
      </c>
      <c r="AG51" s="2" t="inlineStr">
        <is>
          <t>Medent Scientific Instruments (מדנט מכשור מדעי) [מפיץ; NETZSCH thermal analysis (DSC 204 F1 Phoenix, DSC 404 F1 Pegasus, DSC 3500 Sirius, STA 449 F5 Jupiter, STA 409 CD / QMS 403 coupling)]</t>
        </is>
      </c>
      <c r="AH51" s="2" t="inlineStr">
        <is>
          <t>Medent Scientific Instruments (מדנט מכשור מדעי) lists NETZSCH thermal-analysis instruments on its own site with a dedicated 'NETZSCH - Germany' supplier page and DSC/STA categories (DSC 204 F1 Phoenix, DSC 404 F1 Pegasus, DSC 3500 Sirius, STA 449 F5 Jupiter, STA 409 CD with QMS 403 skimmer coupling). Some listings are old (one about 11 years), but models such as the DSC 3500 Sirius and STA 449 F5 date the catalogue to at least the mid/late 2010s. Not cross-checked on analyzing-testing.netzsch.com (search budget), so whether Medent is the current exclusive representative is unconfirmed.</t>
        </is>
      </c>
      <c r="AI51" s="2" t="inlineStr">
        <is>
          <t>medium</t>
        </is>
      </c>
      <c r="AJ51" s="2" t="inlineStr">
        <is>
          <t>Distributor's own site only; some pages stale; manufacturer page not checked.</t>
        </is>
      </c>
      <c r="AK51" s="2" t="inlineStr">
        <is>
          <t>https://www.dutcotennant.com/blog/check-out-netzschs-futuristic-range-of-thermal-analysis-products-at-arablab ; https://www.bayern-international.de/en/company-database/company-details/netzsch-geraetebau-gmbh-5371 ; https://analyzing-testing.netzsch.com/en/contact ; https://www.medent.co.il/scientific.equipment/store/product/netzsch/ ; https://medent.co.il/scientific.equipment/product-tag/netzsch-thermal-analysis/ ; https://medent.co.il/scientific.equipment/product-category/אנליזה-תרמית/dsc-differential-scanning-calorimetry/ ; https://www.medent.co.il/scientific.equipment/product-category/%D7%90%D7%A0%D7%9C%D7%99%D7%96%D7%94-%D7%AA%D7%A8%D7%9E%D7%99%D7%AA/sta-simultaneous-tg-dsc/ ; https://medent.co.il/scientific.equipment/product/dsc-sirius-3500-differential-scanning-calorimeter-netzsch-germany/ ; https://medent.co.il/scientific.equipment/product/qms-4035-skimmer-coupling-system-netzsch-germany/</t>
        </is>
      </c>
    </row>
    <row r="52">
      <c r="A52" s="2" t="n">
        <v>51</v>
      </c>
      <c r="B52" s="2" t="inlineStr">
        <is>
          <t>Biotage</t>
        </is>
      </c>
      <c r="C52" s="2" t="inlineStr">
        <is>
          <t>Biotage; Astrea Bioseparations; formerly Pyrosequencing AB (Biotage brand founded 1989 in the USA); Selekt, Sfär, Isolera, Extrahera, Initiator, Alstra</t>
        </is>
      </c>
      <c r="D52" s="2" t="inlineStr">
        <is>
          <t>Uppsala</t>
        </is>
      </c>
      <c r="E52" s="2" t="inlineStr">
        <is>
          <t>Sweden</t>
        </is>
      </c>
      <c r="F52" s="2" t="inlineStr">
        <is>
          <t>KKR (via RWK BidCo AB)</t>
        </is>
      </c>
      <c r="G52" s="2" t="inlineStr">
        <is>
          <t>Private equity (KKR) — public cash offer of SEK 145/share (SEK 11.6 bn / ~USD 1.2 bn) announced April 2025, completion reported June 2025; previously public (Nasdaq Stockholm: BIOT), now delisted</t>
        </is>
      </c>
      <c r="H52" s="2" t="n">
        <v>1997</v>
      </c>
      <c r="I52" s="2" t="inlineStr">
        <is>
          <t>https://www.biotage.com</t>
        </is>
      </c>
      <c r="J52" s="2" t="inlineStr">
        <is>
          <t>Analytical instruments (chromatography / mass spectrometry / spectroscopy)</t>
        </is>
      </c>
      <c r="K52" s="3" t="n">
        <v>700</v>
      </c>
      <c r="L52" s="2" t="n">
        <v>2025</v>
      </c>
      <c r="M52" s="2" t="inlineStr">
        <is>
          <t>company</t>
        </is>
      </c>
      <c r="N52" s="2" t="inlineStr">
        <is>
          <t>Approx. 700 employees per Biotage's own company description (April 2025 release: 'operates globally with 700 employees and serves customers in 80 countries'); third-party trackers show ~620-680. Founding year caveat: Swedish listed entity (Pyrosequencing AB) 1997; some databases (Yahoo profile) show 1969; the Biotage brand/US company dates to 1989.</t>
        </is>
      </c>
      <c r="O52" s="2" t="inlineStr">
        <is>
          <t>SEK 2,056 million</t>
        </is>
      </c>
      <c r="P52" s="3" t="n">
        <v>201</v>
      </c>
      <c r="Q52" s="2" t="inlineStr">
        <is>
          <t>FY2024</t>
        </is>
      </c>
      <c r="R52" s="2" t="inlineStr">
        <is>
          <t>company</t>
        </is>
      </c>
      <c r="S52" s="2" t="inlineStr">
        <is>
          <t>Year-end report Jan-Dec 2024: net sales SEK 2,056 m (SEK 1,862 m in 2023), +10.5% reported / +1.0% organic. No FY2025 public report expected after the KKR take-private.</t>
        </is>
      </c>
      <c r="T52" s="2" t="inlineStr">
        <is>
          <t>reported</t>
        </is>
      </c>
      <c r="U52" s="2" t="inlineStr">
        <is>
          <t>Biotage Selekt (with Sfär columns) — flash chromatography purification system and columns</t>
        </is>
      </c>
      <c r="V52" s="2" t="inlineStr">
        <is>
          <t>Biotage Extrahera — automated SPE/SLE sample-preparation workstation</t>
        </is>
      </c>
      <c r="W52" s="2" t="inlineStr">
        <is>
          <t>Biotage Initiator+ / Alstra+ — microwave organic and peptide synthesizers</t>
        </is>
      </c>
      <c r="X52" s="2" t="inlineStr"/>
      <c r="Y52" s="2" t="inlineStr"/>
      <c r="Z52" s="2" t="inlineStr"/>
      <c r="AA52" s="2" t="inlineStr"/>
      <c r="AB52" s="2" t="inlineStr"/>
      <c r="AC52" s="2" t="inlineStr">
        <is>
          <t>distributor</t>
        </is>
      </c>
      <c r="AD52" s="2" t="inlineStr">
        <is>
          <t>מפיץ / נציג ישראלי</t>
        </is>
      </c>
      <c r="AE52" s="2" t="inlineStr">
        <is>
          <t>verified</t>
        </is>
      </c>
      <c r="AF52" s="2" t="inlineStr">
        <is>
          <t>אומת ממקור</t>
        </is>
      </c>
      <c r="AG52" s="2" t="inlineStr">
        <is>
          <t>Bargal Analytical Instruments Ltd. (ברגל) [מפיץ; Biotage distributor for Israel (listed on Biotage's contact page)]</t>
        </is>
      </c>
      <c r="AH52" s="2" t="inlineStr">
        <is>
          <t>Biotage's own contact/distributor page (biotage.com/contact) lists 'BARGAL' with the e-mail sales@bargal.co.il among its distributor contacts — seen via a search-engine extract of that page; the page itself and bargal.co.il could not be opened this session (WebFetch DNS failure; direct HTTPS blocked by the session proxy), so the listing was not confirmed on the distributor's own site. No Biotage Israeli office found: Biotage's own offices are in Sweden, USA, UK, China, Japan, South Korea and India and its corporate page says the Middle East is served through distributors. Searches run: 'Biotage Israel distributor', 'Biotage ישראל נציג', 'Biotage site:co.il'.</t>
        </is>
      </c>
      <c r="AI52" s="2" t="inlineStr">
        <is>
          <t>medium</t>
        </is>
      </c>
      <c r="AJ52" s="2" t="inlineStr">
        <is>
          <t>Size figures from the 2024 year-end report and company description (seen via search extracts). Israeli distributor rests on a search-engine extract of Biotage's own contact page, not confirmed on Bargal's site. KKR completion seen only in a secondary M&amp;A roundup (27 June 2025), not in a Biotage/KKR release.</t>
        </is>
      </c>
      <c r="AK52" s="2" t="inlineStr">
        <is>
          <t>https://biotage.com/contact ; https://biotage.com/this-is-biotage ; https://www.inderes.se/releases/biotage-ab-publ-year-end-report-january-december-2024 ; https://www.pharmaceutical-technology.com/news/kkr-offers-1-2bn-to-buy-swedish-life-sciences-group-biotage/ ; https://news.mergerlinks.com/daily-review/apollo-backed-new-home-completes-the-acquisition-of-landsea-homes-for-$-1-2bn</t>
        </is>
      </c>
    </row>
    <row r="53">
      <c r="A53" s="2" t="n">
        <v>52</v>
      </c>
      <c r="B53" s="2" t="inlineStr">
        <is>
          <t>Hach (Veralto)</t>
        </is>
      </c>
      <c r="C53" s="2" t="inlineStr">
        <is>
          <t>Hach; Hach Lange / HACH LANGE GmbH (Europe); formerly a Danaher Water Quality operating company</t>
        </is>
      </c>
      <c r="D53" s="2" t="inlineStr">
        <is>
          <t>Loveland, Colorado</t>
        </is>
      </c>
      <c r="E53" s="2" t="inlineStr">
        <is>
          <t>USA</t>
        </is>
      </c>
      <c r="F53" s="2" t="inlineStr">
        <is>
          <t>Veralto Corporation</t>
        </is>
      </c>
      <c r="G53" s="2" t="inlineStr">
        <is>
          <t>Subsidiary of Veralto Corporation (public, NYSE: VLTO; Veralto was spun off from Danaher in October 2023)</t>
        </is>
      </c>
      <c r="H53" s="2" t="n">
        <v>1947</v>
      </c>
      <c r="I53" s="2" t="inlineStr">
        <is>
          <t>https://www.hach.com</t>
        </is>
      </c>
      <c r="J53" s="2" t="inlineStr">
        <is>
          <t>Water &amp; electrochemical analysis</t>
        </is>
      </c>
      <c r="K53" s="3" t="n">
        <v>17000</v>
      </c>
      <c r="L53" s="2" t="n">
        <v>2024</v>
      </c>
      <c r="M53" s="2" t="inlineStr">
        <is>
          <t>company</t>
        </is>
      </c>
      <c r="N53" s="2" t="inlineStr">
        <is>
          <t>Parent Veralto headcount, approx. (Veralto reports roughly 16,000-17,000 associates in its recent 10-Ks; figure from memory, not verified this session). Hach's own headcount is not disclosed separately.</t>
        </is>
      </c>
      <c r="O53" s="2" t="inlineStr">
        <is>
          <t>USD 3.16 billion (Veralto Water Quality segment, approx.)</t>
        </is>
      </c>
      <c r="P53" s="3" t="n">
        <v>3160</v>
      </c>
      <c r="Q53" s="2" t="inlineStr">
        <is>
          <t>FY2024</t>
        </is>
      </c>
      <c r="R53" s="2" t="inlineStr">
        <is>
          <t>segment</t>
        </is>
      </c>
      <c r="S53" s="2" t="inlineStr">
        <is>
          <t>Hach is the largest business in Veralto's Water Quality segment (which also includes Trojan Technologies, ChemTreat, OTT HydroMet, Sea-Bird, McCrometer); Hach-only revenue is not disclosed. Segment figure (~USD 3.16 bn of Veralto's ~USD 5.23 bn FY2024 sales) is from memory of Veralto's FY2024 10-K and could not be verified this session (search budget exhausted, fetch failures) — verify before use.</t>
        </is>
      </c>
      <c r="T53" s="2" t="inlineStr">
        <is>
          <t>mixed</t>
        </is>
      </c>
      <c r="U53" s="2" t="inlineStr">
        <is>
          <t>DR3900 / DR6000 — benchtop VIS / UV-VIS spectrophotometers for water analysis</t>
        </is>
      </c>
      <c r="V53" s="2" t="inlineStr">
        <is>
          <t>TNTplus — barcoded reagent-vial test chemistries</t>
        </is>
      </c>
      <c r="W53" s="2" t="inlineStr">
        <is>
          <t>HQ series (HQ1100/HQ4300) with Intellical probes — portable and benchtop pH / DO / conductivity meters</t>
        </is>
      </c>
      <c r="X53" s="2" t="inlineStr"/>
      <c r="Y53" s="2" t="inlineStr"/>
      <c r="Z53" s="2" t="inlineStr"/>
      <c r="AA53" s="2" t="inlineStr"/>
      <c r="AB53" s="2" t="inlineStr"/>
      <c r="AC53" s="2" t="inlineStr">
        <is>
          <t>distributor</t>
        </is>
      </c>
      <c r="AD53" s="2" t="inlineStr">
        <is>
          <t>מפיץ / נציג ישראלי</t>
        </is>
      </c>
      <c r="AE53" s="2" t="inlineStr">
        <is>
          <t>verified</t>
        </is>
      </c>
      <c r="AF53" s="2" t="inlineStr">
        <is>
          <t>אומת ממקור</t>
        </is>
      </c>
      <c r="AG53" s="2" t="inlineStr">
        <is>
          <t>Modotec Ltd. [מפיץ; Hach Flow (flow-measurement) products only, per Hach Flow distributor page (Akko; modotec@modotec.co.il); page ~5 years old]</t>
        </is>
      </c>
      <c r="AH53" s="2" t="inlineStr">
        <is>
          <t>Hach's own 'Hach Flow' distributor page (nz.hach.com/flow, about five years old) lists Modotec Ltd., Akko (modotec@modotec.co.il) under Israel for Hach Flow products. No Israeli distributor was found for Hach's core lab/water-analysis lines (DR spectrophotometers, HQ meters, 2100Q turbidimeters): searches across 43 Israeli distributor domains, Hebrew queries, hach.com's global-distributor pages and model-number queries surfaced nothing, and Hach's regional contact is Hach Middle East &amp; Africa in Dubai (+971 4 303 1700). Treat the Modotec listing as stale and partial in scope, and verify.</t>
        </is>
      </c>
      <c r="AI53" s="2" t="inlineStr">
        <is>
          <t>low</t>
        </is>
      </c>
      <c r="AJ53" s="2" t="inlineStr">
        <is>
          <t>Only a ~5-year-old manufacturer page for the Flow line; core lab line channel unknown.</t>
        </is>
      </c>
      <c r="AK53" s="2" t="inlineStr">
        <is>
          <t>https://en.wikipedia.org/wiki/Hach_Company ; https://veralto.com/company/hach ; https://nz.hach.com/flow ; https://au.hach.com/flow ; https://my.hach.com/global-distributor-support ; https://www.hach.com/resources/faq ; https://mena.hach.com/contact</t>
        </is>
      </c>
    </row>
    <row r="54">
      <c r="A54" s="2" t="n">
        <v>53</v>
      </c>
      <c r="B54" s="2" t="inlineStr">
        <is>
          <t>Hanna Instruments</t>
        </is>
      </c>
      <c r="C54" s="2" t="inlineStr">
        <is>
          <t>HANNA; Hanna Instruments Italia (Villafranca Padovana); edge, Checker, HALO, HI-series</t>
        </is>
      </c>
      <c r="D54" s="2" t="inlineStr">
        <is>
          <t>Woonsocket, Rhode Island</t>
        </is>
      </c>
      <c r="E54" s="2" t="inlineStr">
        <is>
          <t>USA</t>
        </is>
      </c>
      <c r="F54" s="2" t="inlineStr"/>
      <c r="G54" s="2" t="inlineStr">
        <is>
          <t>Private (family-owned — founded in Italy by Oscar and Anna Nardo; led by Martino and Pamela Nardo)</t>
        </is>
      </c>
      <c r="H54" s="2" t="n">
        <v>1978</v>
      </c>
      <c r="I54" s="2" t="inlineStr">
        <is>
          <t>https://www.hannainst.com</t>
        </is>
      </c>
      <c r="J54" s="2" t="inlineStr">
        <is>
          <t>Water &amp; electrochemical analysis</t>
        </is>
      </c>
      <c r="K54" s="3" t="n">
        <v>1500</v>
      </c>
      <c r="L54" s="2" t="n">
        <v>2024</v>
      </c>
      <c r="M54" s="2" t="inlineStr">
        <is>
          <t>estimate</t>
        </is>
      </c>
      <c r="N54" s="2" t="inlineStr">
        <is>
          <t>Roughly 1,500 employees worldwide (recalled, unverified).</t>
        </is>
      </c>
      <c r="O54" s="2" t="inlineStr">
        <is>
          <t>USD ~150 million (trade estimate; private)</t>
        </is>
      </c>
      <c r="P54" s="3" t="n">
        <v>150</v>
      </c>
      <c r="Q54" s="2" t="inlineStr">
        <is>
          <t>2024 (estimate)</t>
        </is>
      </c>
      <c r="R54" s="2" t="inlineStr">
        <is>
          <t>estimate</t>
        </is>
      </c>
      <c r="S54" s="2" t="inlineStr">
        <is>
          <t>Hanna (Woonsocket RI / Italy) is family-owned; order-of-magnitude estimate. Figures recalled from company statements / filings and not re-verified online in this session.</t>
        </is>
      </c>
      <c r="T54" s="2" t="inlineStr">
        <is>
          <t>estimate</t>
        </is>
      </c>
      <c r="U54" s="2" t="inlineStr">
        <is>
          <t>HI931 / HI932 — automatic potentiometric titrators</t>
        </is>
      </c>
      <c r="V54" s="2" t="inlineStr">
        <is>
          <t>edge (HI2020) — benchtop/portable pH, EC and DO meter</t>
        </is>
      </c>
      <c r="W54" s="2" t="inlineStr">
        <is>
          <t>HI83300 series &amp; Checker HC — multiparameter photometers and handheld colorimeters</t>
        </is>
      </c>
      <c r="X54" s="2" t="inlineStr"/>
      <c r="Y54" s="2" t="inlineStr"/>
      <c r="Z54" s="2" t="inlineStr"/>
      <c r="AA54" s="2" t="inlineStr"/>
      <c r="AB54" s="2" t="inlineStr"/>
      <c r="AC54" s="2" t="inlineStr">
        <is>
          <t>distributor</t>
        </is>
      </c>
      <c r="AD54" s="2" t="inlineStr">
        <is>
          <t>מפיץ / נציג ישראלי</t>
        </is>
      </c>
      <c r="AE54" s="2" t="inlineStr">
        <is>
          <t>verified</t>
        </is>
      </c>
      <c r="AF54" s="2" t="inlineStr">
        <is>
          <t>אומת ממקור</t>
        </is>
      </c>
      <c r="AG54" s="2" t="inlineStr">
        <is>
          <t>Medent Scientific Instruments (מדנט מכשור מדעי) [מפיץ; Hanna pH/EC/TDS meters, electrodes, photometers (extensive catalogue on own site, prices in ILS)] | BioAnalytics [מפיץ; Hanna pool/spa and food (bread/dough) pH testers] | Cannadepot [מפיץ; online retailer; Hanna portable pH/EC/TDS testers]</t>
        </is>
      </c>
      <c r="AH54" s="2" t="inlineStr">
        <is>
          <t>Hanna products are sold in Israel by Medent Scientific Instruments (מדנט מכשור מדעי; an extensive Hanna catalogue of pH/EC/TDS meters, electrodes and photometers on its own site), BioAnalytics (bioanalytics.co.il; Hanna pool/spa and food pH testers) and the online retailer Cannadepot (Hanna portable testers). Hanna's own 'Find My Hanna' page lists Israel, but the local contact was not visible in search snippets, so the official importer or exclusive distributor is not established; the companies above may be resellers of that importer.</t>
        </is>
      </c>
      <c r="AI54" s="2" t="inlineStr">
        <is>
          <t>medium</t>
        </is>
      </c>
      <c r="AJ54" s="2" t="inlineStr">
        <is>
          <t>Resale verified on three Israeli sites; official importer not identified.</t>
        </is>
      </c>
      <c r="AK54" s="2" t="inlineStr">
        <is>
          <t>https://healthmanagement.org/site/p/hanna-instruments-inc ; https://hannaservice.eu/about-us ; https://www.tradearabia.com/news/IND_214894.html ; https://www.medent.co.il/scientific.equipment/store/product-tag/hanna-instruments/ ; https://www.medent.co.il/scientific.equipment/wp-content/uploads/2019/09/Hanna-Instruments-HI99161-1.pdf ; https://www.bioanalytics.co.il/products/hannah-pool-line-ph-tester-according-to-6223-israeli-standard/ ; https://www.bioanalytics.co.il/products/hi-9810382-bread-and-dough-ph-tester/ ; https://cannadepot.co.il/product-category/%D7%9E%D7%93%D7%99%D7%93%D7%94-%D7%95%D7%91%D7%A7%D7%A8%D7%94/hanna-instruments-%D7%9E%D7%9B%D7%A9%D7%99%D7%A8%D7%99%D7%9D-%D7%94%D7%90%D7%A0%D7%94/ ; https://pages.hannainst.com/find-my-hanna ; https://hannainst.com/contact-us-international-inquiry/</t>
        </is>
      </c>
    </row>
    <row r="55">
      <c r="A55" s="2" t="n">
        <v>54</v>
      </c>
      <c r="B55" s="2" t="inlineStr">
        <is>
          <t>VELP Scientifica</t>
        </is>
      </c>
      <c r="C55" s="2" t="inlineStr">
        <is>
          <t>VELP</t>
        </is>
      </c>
      <c r="D55" s="2" t="inlineStr">
        <is>
          <t>Usmate Velate (Monza e Brianza)</t>
        </is>
      </c>
      <c r="E55" s="2" t="inlineStr">
        <is>
          <t>Italy</t>
        </is>
      </c>
      <c r="F55" s="2" t="inlineStr"/>
      <c r="G55" s="2" t="inlineStr">
        <is>
          <t>Private</t>
        </is>
      </c>
      <c r="H55" s="2" t="n">
        <v>1983</v>
      </c>
      <c r="I55" s="2" t="inlineStr">
        <is>
          <t>https://www.velp.com</t>
        </is>
      </c>
      <c r="J55" s="2" t="inlineStr">
        <is>
          <t>General lab equipment (incubators, ovens, baths, shakers, stirrers)</t>
        </is>
      </c>
      <c r="K55" s="3" t="n">
        <v>200</v>
      </c>
      <c r="L55" s="2" t="n">
        <v>2024</v>
      </c>
      <c r="M55" s="2" t="inlineStr">
        <is>
          <t>estimate</t>
        </is>
      </c>
      <c r="N55" s="2" t="inlineStr">
        <is>
          <t>Roughly 200 employees (recalled, unverified).</t>
        </is>
      </c>
      <c r="O55" s="2" t="inlineStr">
        <is>
          <t>EUR ~40 million (trade estimate; private)</t>
        </is>
      </c>
      <c r="P55" s="3" t="n">
        <v>44</v>
      </c>
      <c r="Q55" s="2" t="inlineStr">
        <is>
          <t>2024 (estimate)</t>
        </is>
      </c>
      <c r="R55" s="2" t="inlineStr">
        <is>
          <t>estimate</t>
        </is>
      </c>
      <c r="S55" s="2" t="inlineStr">
        <is>
          <t>VELP (Usmate Velate, Italy) is family-owned; order-of-magnitude estimate. Figures recalled from company statements / filings and not re-verified online in this session.</t>
        </is>
      </c>
      <c r="T55" s="2" t="inlineStr">
        <is>
          <t>estimate</t>
        </is>
      </c>
      <c r="U55" s="2" t="inlineStr">
        <is>
          <t>UDK 169 / UDK 139 — automatic Kjeldahl distillation and titration units</t>
        </is>
      </c>
      <c r="V55" s="2" t="inlineStr">
        <is>
          <t>NDA 702 Dumas analyzer — nitrogen/protein determination by combustion</t>
        </is>
      </c>
      <c r="W55" s="2" t="inlineStr">
        <is>
          <t>AREX-6 / ARE hotplate stirrers and DKL digesters — magnetic stirrers, hotplates and Kjeldahl digestion units</t>
        </is>
      </c>
      <c r="X55" s="2" t="inlineStr"/>
      <c r="Y55" s="2" t="inlineStr"/>
      <c r="Z55" s="2" t="inlineStr"/>
      <c r="AA55" s="2" t="inlineStr"/>
      <c r="AB55" s="2" t="inlineStr"/>
      <c r="AC55" s="2" t="inlineStr">
        <is>
          <t>distributor</t>
        </is>
      </c>
      <c r="AD55" s="2" t="inlineStr">
        <is>
          <t>מפיץ / נציג ישראלי</t>
        </is>
      </c>
      <c r="AE55" s="2" t="inlineStr">
        <is>
          <t>verified</t>
        </is>
      </c>
      <c r="AF55" s="2" t="inlineStr">
        <is>
          <t>אומת ממקור</t>
        </is>
      </c>
      <c r="AG55" s="2" t="inlineStr">
        <is>
          <t>Labotal (לבוטל) [מפיץ; exclusive representative for VELP's analytical product line in Israel since 2024 (UDK Kjeldahl distillers, DKL digesters, NDA 702 Dumas N/protein analyser, fibre/fat extractors, oxidation testers)]</t>
        </is>
      </c>
      <c r="AH55" s="2" t="inlineStr">
        <is>
          <t>Labotal (לבוטל) states on its own VELP supplier page that during 2024 it became the exclusive representative for VELP's analytical product line in Israel (UDK Kjeldahl distillers, DKL digesters, NDA 702 Dumas nitrogen/protein analyser, fibre/fat extractors), and the BioFindly directory lists Labotal under VELP. The statement covers the analytical line only; VELP's general lab equipment (stirrers, shakers, hotplates) may have a different Israeli channel, which was not found. velp.com was not checked (search budget).</t>
        </is>
      </c>
      <c r="AI55" s="2" t="inlineStr">
        <is>
          <t>high</t>
        </is>
      </c>
      <c r="AJ55" s="2" t="inlineStr">
        <is>
          <t>Explicit, dated statement on the distributor's own site plus directory corroboration; manufacturer page not checked.</t>
        </is>
      </c>
      <c r="AK55" s="2" t="inlineStr">
        <is>
          <t>https://www.velp.com/en-ww/who-we-are.aspx ; https://www.directindustry.com/pt/soc/velp-15378.html ; https://labotal.co.il/firms/velp/?lang=en ; https://labotal.co.il/product/velp-scientifica-nda-702-nitrogen-and-protein-analyzer/ ; https://labotal.co.il/product-category/analytical-instruments/kjeldahl-analyzers/ ; https://biofindly.co.il/distributor/labotal/</t>
        </is>
      </c>
    </row>
    <row r="56">
      <c r="A56" s="2" t="n">
        <v>55</v>
      </c>
      <c r="B56" s="2" t="inlineStr">
        <is>
          <t>Roche Diagnostics</t>
        </is>
      </c>
      <c r="C56" s="2" t="inlineStr">
        <is>
          <t>Roche Diagnostics International Ltd; cobas; Elecsys; LightCycler; Ventana; Foundation Medicine; Accu-Chek</t>
        </is>
      </c>
      <c r="D56" s="2" t="inlineStr">
        <is>
          <t>Rotkreuz (division HQ) / Basel (group HQ)</t>
        </is>
      </c>
      <c r="E56" s="2" t="inlineStr">
        <is>
          <t>Switzerland</t>
        </is>
      </c>
      <c r="F56" s="2" t="inlineStr">
        <is>
          <t>Roche Holding AG</t>
        </is>
      </c>
      <c r="G56" s="2" t="inlineStr">
        <is>
          <t>Division of Roche Holding AG (public, SIX: ROG / RO; OTCQX: RHHBY)</t>
        </is>
      </c>
      <c r="H56" s="2" t="n">
        <v>1968</v>
      </c>
      <c r="I56" s="2" t="inlineStr">
        <is>
          <t>https://diagnostics.roche.com</t>
        </is>
      </c>
      <c r="J56" s="2" t="inlineStr">
        <is>
          <t>Clinical / IVD laboratory analyzers</t>
        </is>
      </c>
      <c r="K56" s="3" t="n">
        <v>103600</v>
      </c>
      <c r="L56" s="2" t="n">
        <v>2024</v>
      </c>
      <c r="M56" s="2" t="inlineStr">
        <is>
          <t>company</t>
        </is>
      </c>
      <c r="N56" s="2" t="inlineStr">
        <is>
          <t>Roche Group headcount (~103,600 at end-2024, Roche Annual Report 2024) — from memory, not verified this session; Diagnostics Division headcount not separately recorded. Founded: Roche 1896; diagnostics activities since 1968 (Boehringer Mannheim acquired 1998).</t>
        </is>
      </c>
      <c r="O56" s="2" t="inlineStr">
        <is>
          <t>CHF 14.3 billion (Diagnostics Division, approx.)</t>
        </is>
      </c>
      <c r="P56" s="3" t="n">
        <v>16731</v>
      </c>
      <c r="Q56" s="2" t="inlineStr">
        <is>
          <t>FY2024</t>
        </is>
      </c>
      <c r="R56" s="2" t="inlineStr">
        <is>
          <t>segment</t>
        </is>
      </c>
      <c r="S56" s="2" t="inlineStr">
        <is>
          <t>Roche Diagnostics Division sales FY2024 ≈ CHF 14.3 bn (Roche Group ≈ CHF 60.5 bn). FY2025 (reported Jan 2026) was broadly similar in CHF (low-single-digit CER growth, strong-franc headwind) — exact FY2025 figure not verified this session. All figures from memory of Roche results releases; no source could be opened (search budget exhausted, fetch failures) — verify.</t>
        </is>
      </c>
      <c r="T56" s="2" t="inlineStr">
        <is>
          <t>reported</t>
        </is>
      </c>
      <c r="U56" s="2" t="inlineStr">
        <is>
          <t>cobas pro integrated solutions (c 503 / e 801) — high-throughput clinical chemistry and immunoassay analyzers</t>
        </is>
      </c>
      <c r="V56" s="2" t="inlineStr">
        <is>
          <t>cobas 6800 / 8800 and cobas 5800 Systems — automated PCR molecular diagnostics platforms</t>
        </is>
      </c>
      <c r="W56" s="2" t="inlineStr">
        <is>
          <t>LightCycler 480 / LightCycler PRO — real-time PCR instruments</t>
        </is>
      </c>
      <c r="X56" s="2" t="inlineStr"/>
      <c r="Y56" s="2" t="inlineStr"/>
      <c r="Z56" s="2" t="inlineStr"/>
      <c r="AA56" s="2" t="inlineStr"/>
      <c r="AB56" s="2" t="inlineStr"/>
      <c r="AC56" s="2" t="inlineStr">
        <is>
          <t>parent_subsidiary</t>
        </is>
      </c>
      <c r="AD56" s="2" t="inlineStr">
        <is>
          <t>נמכר דרך החברה-האם בישראל</t>
        </is>
      </c>
      <c r="AE56" s="2" t="inlineStr">
        <is>
          <t>verified</t>
        </is>
      </c>
      <c r="AF56" s="2" t="inlineStr">
        <is>
          <t>אומת ממקור</t>
        </is>
      </c>
      <c r="AG56" s="2" t="inlineStr">
        <is>
          <t>Roche Pharmaceuticals (Israel) Ltd. - Diagnostics division ("Roche Diagnostics Israel") [חברה-בת; Roche Diagnostics business in Israel (cobas core-lab/molecular, point-of-care IVD instruments and reagents); diagnostics division of the Roche group's Israeli affiliate, 6 Hacharash St., Hod Hasharon 4524079] | Gamidor Diagnostics (גאמידור) [מפיץ; Roche Tissue Diagnostics only (VENTANA automated IHC/ISH slide stainers) - not cobas/LightCycler] | Dyn Diagnostics [מפיץ; Roche Diabetes Care only (Accu-Chek home-care line) - not laboratory analyzers]</t>
        </is>
      </c>
      <c r="AH56" s="2" t="inlineStr">
        <is>
          <t>Searched '"Roche Diagnostics" Israel distributor/נציג/יבואן', Hebrew 'רוש דיאגנוסטיקה', the 29 Israeli distributor domains, mr.gov.il tenders and roche.com/diagnostics.roche.com. Roche's own diagnostics safety-officer page lists 'Roche Diagnostics Israel' at 6 Hacharash St., Hod Hasharon, and Roche Diagnostics' office-locations page lists Roche Pharmaceuticals (Israel) Ltd. at the same address; a Hod Hasharon job ad for a Point-of-Care Specialist selling IVD instruments and a Sheba Medical Center tender appendix listing a cobas e801 corroborate direct activity. No independent distributor for cobas/LightCycler was found; Gamidor (VENTANA tissue diagnostics) and Dyn (Diabetes Care) handle only narrow Roche Diagnostics sub-lines. Caveat: no tender award document naming the Israeli affiliate as the cobas supplier was seen.</t>
        </is>
      </c>
      <c r="AI56" s="2" t="inlineStr">
        <is>
          <t>high</t>
        </is>
      </c>
      <c r="AJ56" s="2" t="inlineStr">
        <is>
          <t>Israel finding only: entity named on two official Roche pages; the direct-sales channel for cobas/LightCycler is inferred from the affiliate's IVD sales roles and the absence of any distributor, not from an explicit statement.</t>
        </is>
      </c>
      <c r="AK56" s="2" t="inlineStr">
        <is>
          <t>https://www.roche.com/solutions/diagnostics/safety-officers ; https://diagnostics.roche.com/global/en/about/roche-diagnostics-locations.html ; https://ichgcp.net/pharma-list/office/84-roche ; https://jobify360.co.il/jobs/3780808610-in ; https://il.linkedin.com/in/miri-levy-ml ; https://mr.gov.il/ilgstorefront/en/p/attachment/005056BF4DAB1EDD8BE98F48448B8144/%D7%97%D7%95%D7%91%D7%A8%D7%AA%20%D7%94%D7%9E%D7%9B%D7%A8%D7%96 ; https://gamidor.co.il/en/tissue-diagnostics-2/ ; https://dyn.co.il/home-care-en</t>
        </is>
      </c>
    </row>
    <row r="57">
      <c r="A57" s="2" t="n">
        <v>56</v>
      </c>
      <c r="B57" s="2" t="inlineStr">
        <is>
          <t>Abbott Diagnostics</t>
        </is>
      </c>
      <c r="C57" s="2" t="inlineStr">
        <is>
          <t>Abbott Core Laboratory Diagnostics; Abbott Rapid Diagnostics; Alinity; ARCHITECT; i-STAT; ID NOW; BinaxNOW; Panbio; Cell-Dyn</t>
        </is>
      </c>
      <c r="D57" s="2" t="inlineStr">
        <is>
          <t>Abbott Park, Illinois</t>
        </is>
      </c>
      <c r="E57" s="2" t="inlineStr">
        <is>
          <t>USA</t>
        </is>
      </c>
      <c r="F57" s="2" t="inlineStr">
        <is>
          <t>Abbott Laboratories</t>
        </is>
      </c>
      <c r="G57" s="2" t="inlineStr">
        <is>
          <t>Division of Abbott Laboratories (public, NYSE: ABT)</t>
        </is>
      </c>
      <c r="H57" s="2" t="n">
        <v>1972</v>
      </c>
      <c r="I57" s="2" t="inlineStr">
        <is>
          <t>https://www.corelaboratory.abbott</t>
        </is>
      </c>
      <c r="J57" s="2" t="inlineStr">
        <is>
          <t>Clinical / IVD laboratory analyzers</t>
        </is>
      </c>
      <c r="K57" s="3" t="n">
        <v>114000</v>
      </c>
      <c r="L57" s="2" t="n">
        <v>2024</v>
      </c>
      <c r="M57" s="2" t="inlineStr">
        <is>
          <t>company</t>
        </is>
      </c>
      <c r="N57" s="2" t="inlineStr">
        <is>
          <t>Abbott Laboratories total headcount (~114,000, Abbott 10-K for FY2024) — from memory, not verified this session; Diagnostics division headcount not disclosed. Founded: Abbott 1888; Diagnostics Division established 1972.</t>
        </is>
      </c>
      <c r="O57" s="2" t="inlineStr">
        <is>
          <t>USD 9.3 billion (Diagnostic Products segment, approx.)</t>
        </is>
      </c>
      <c r="P57" s="3" t="n">
        <v>9300</v>
      </c>
      <c r="Q57" s="2" t="inlineStr">
        <is>
          <t>FY2024</t>
        </is>
      </c>
      <c r="R57" s="2" t="inlineStr">
        <is>
          <t>segment</t>
        </is>
      </c>
      <c r="S57" s="2" t="inlineStr">
        <is>
          <t>Abbott Diagnostic Products segment sales FY2024 ≈ USD 9.3 bn (Abbott total ≈ USD 42.0 bn); FY2025 Diagnostics ≈ USD 9 bn (lower COVID testing; approx., reported Jan 2026). From memory of Abbott 10-K / earnings releases; could not be verified this session (search budget exhausted, fetch failures) — verify.</t>
        </is>
      </c>
      <c r="T57" s="2" t="inlineStr">
        <is>
          <t>reported</t>
        </is>
      </c>
      <c r="U57" s="2" t="inlineStr">
        <is>
          <t>Alinity ci-series — integrated clinical chemistry and immunoassay analyzers</t>
        </is>
      </c>
      <c r="V57" s="2" t="inlineStr">
        <is>
          <t>Alinity m — automated molecular (PCR) diagnostics system</t>
        </is>
      </c>
      <c r="W57" s="2" t="inlineStr">
        <is>
          <t>ARCHITECT i2000SR / c8000 — legacy immunoassay and chemistry analyzers</t>
        </is>
      </c>
      <c r="X57" s="2" t="inlineStr"/>
      <c r="Y57" s="2" t="inlineStr"/>
      <c r="Z57" s="2" t="inlineStr"/>
      <c r="AA57" s="2" t="inlineStr"/>
      <c r="AB57" s="2" t="inlineStr"/>
      <c r="AC57" s="2" t="inlineStr">
        <is>
          <t>parent_subsidiary</t>
        </is>
      </c>
      <c r="AD57" s="2" t="inlineStr">
        <is>
          <t>נמכר דרך החברה-האם בישראל</t>
        </is>
      </c>
      <c r="AE57" s="2" t="inlineStr">
        <is>
          <t>verified</t>
        </is>
      </c>
      <c r="AF57" s="2" t="inlineStr">
        <is>
          <t>אומת ממקור</t>
        </is>
      </c>
      <c r="AG57" s="2" t="inlineStr">
        <is>
          <t>Abbott Medical Laboratories Ltd. (אבוט מעבדות רפואיות בע"מ) [חברה-בת; Abbott's Israeli affiliate for nutrition, pharmaceuticals and diagnostics (core laboratory, molecular and point-of-care), Atidim Science Park Bldg. 4, Tel Aviv; about 160 employees incl. the Haifa (STARLIMS/Abbott Informatics) development center] | Ilex Medical Ltd. (אילקס מדיקל) [מפיץ; Abbott diagnostics products (Ilex company profiles list Abbott among its partners; Abbott also has its own Israeli affiliate)]</t>
        </is>
      </c>
      <c r="AH57" s="2" t="inlineStr">
        <is>
          <t>Searched '"Abbott" Israel Alinity/Architect distributor/יבואן', Hebrew 'אבוט מעבדות רפואיות', the 29 Israeli distributor domains, mr.gov.il and Abbott's own domains. Abbott's global-locations page lists Abbott Medical Laboratories Ltd. in Tel Aviv under 'Nutrition, Pharmaceuticals and Diagnostics', and the Hebrew 'Abbott in Israel' page (il.abbott) says the affiliate has ~160 employees and that its diagnostics work in Israel covers molecular and laboratory tests; Globes reported the representative office opened in 2004 and Abbott's later expansion in Israel. No Israeli distributor for Alinity/Architect appeared on any distributor site. Caveat: no source states explicitly that the analyzers are sold and serviced by the affiliate itself, and the only tender hits concern Abbott Informatics (STARLIMS), not analyzers. Ilex Medical's profiles (SID Israel directory, Globes) list Abbott among the diagnostics companies it represents, alongside Abbott's own Israeli affiliate.</t>
        </is>
      </c>
      <c r="AI57" s="2" t="inlineStr">
        <is>
          <t>high</t>
        </is>
      </c>
      <c r="AJ57" s="2" t="inlineStr">
        <is>
          <t>Israel finding only: entity named on Abbott's own pages; direct channel for Alinity/Architect inferred from the affiliate's diagnostics scope and absence of a distributor.</t>
        </is>
      </c>
      <c r="AK57" s="2" t="inlineStr">
        <is>
          <t>https://en.globes.co.il/en/article-1000531243 ; https://www.sec.gov/Archives/edgar/data/1800/000110465922025141/abt-20211231x10k.htm ; https://www.abbott.com/en-us/global-locations-contacts/israel ; https://www.il.abbott/about-us/abbott-in-israel.html ; https://en.globes.co.il/en/article-1000722459 ; https://mr.gov.il/ilgstorefront/he/p/attachment/005056BF19AF1EDC94819F5224C14143/%D7%A4%D7%A8%D7%95%D7%98%D7%95%D7%A7%D7%95%D7%9C%20%D7%95%D7%A2%D7%93%D7%94 ; https://www.sid-israel.org/en/index/ilex-medical-ltd</t>
        </is>
      </c>
    </row>
    <row r="58">
      <c r="A58" s="2" t="n">
        <v>57</v>
      </c>
      <c r="B58" s="2" t="inlineStr">
        <is>
          <t>Siemens Healthineers – Diagnostics</t>
        </is>
      </c>
      <c r="C58" s="2" t="inlineStr">
        <is>
          <t>Siemens Healthcare Diagnostics Inc. (Tarrytown, NY); formerly Bayer Diagnostics, Dade Behring, DPC; Atellica, ADVIA, Dimension, RAPIDPoint, epoc, Aptio</t>
        </is>
      </c>
      <c r="D58" s="2" t="inlineStr">
        <is>
          <t>Erlangen (group HQ); Tarrytown, New York (Diagnostics segment HQ)</t>
        </is>
      </c>
      <c r="E58" s="2" t="inlineStr">
        <is>
          <t>Germany</t>
        </is>
      </c>
      <c r="F58" s="2" t="inlineStr">
        <is>
          <t>Siemens AG</t>
        </is>
      </c>
      <c r="G58" s="2" t="inlineStr">
        <is>
          <t>Public (Xetra/FWB: SHL), majority-owned by Siemens AG (~75%); Siemens announced in Nov 2025 a plan to spin off ~30% of SHL shares to Siemens shareholders and deconsolidate Healthineers — completion status as of Oct 2026 not verified this session</t>
        </is>
      </c>
      <c r="H58" s="2" t="n">
        <v>2015</v>
      </c>
      <c r="I58" s="2" t="inlineStr">
        <is>
          <t>https://www.siemens-healthineers.com</t>
        </is>
      </c>
      <c r="J58" s="2" t="inlineStr">
        <is>
          <t>Clinical / IVD laboratory analyzers</t>
        </is>
      </c>
      <c r="K58" s="3" t="n">
        <v>73000</v>
      </c>
      <c r="L58" s="2" t="n">
        <v>2025</v>
      </c>
      <c r="M58" s="2" t="inlineStr">
        <is>
          <t>company</t>
        </is>
      </c>
      <c r="N58" s="2" t="inlineStr">
        <is>
          <t>Siemens Healthineers group headcount (~73,000 at end of FY2025, approx.; from memory of the FY2025 annual report) — Diagnostics segment headcount not separately disclosed. Founded: Siemens Healthcare GmbH established as separately managed company in 2015 (Healthineers brand 2016, IPO 2018); medical-technology roots date to 1896 (Siemens-Reiniger).</t>
        </is>
      </c>
      <c r="O58" s="2" t="inlineStr">
        <is>
          <t>EUR 4.4 billion (Diagnostics segment, approx.)</t>
        </is>
      </c>
      <c r="P58" s="3" t="n">
        <v>4840</v>
      </c>
      <c r="Q58" s="2" t="inlineStr">
        <is>
          <t>FY2025 (Oct-2024 to Sep-2025)</t>
        </is>
      </c>
      <c r="R58" s="2" t="inlineStr">
        <is>
          <t>segment</t>
        </is>
      </c>
      <c r="S58" s="2" t="inlineStr">
        <is>
          <t>Diagnostics segment revenue ≈ EUR 4.4 bn in both FY2024 and FY2025 (group revenue ≈ EUR 22.4 bn FY2024, ≈ EUR 23-24 bn FY2025). From memory of Siemens Healthineers annual reports; not verified this session — verify.</t>
        </is>
      </c>
      <c r="T58" s="2" t="inlineStr">
        <is>
          <t>reported</t>
        </is>
      </c>
      <c r="U58" s="2" t="inlineStr">
        <is>
          <t>Atellica Solution (CH 930 / IM 1300-1600) — integrated chemistry &amp; immunoassay analyzers with sample automation</t>
        </is>
      </c>
      <c r="V58" s="2" t="inlineStr">
        <is>
          <t>Atellica CI 1900 — compact integrated chemistry/immunoassay analyzer</t>
        </is>
      </c>
      <c r="W58" s="2" t="inlineStr">
        <is>
          <t>Aptio Automation — track-based total laboratory automation</t>
        </is>
      </c>
      <c r="X58" s="2" t="inlineStr"/>
      <c r="Y58" s="2" t="inlineStr"/>
      <c r="Z58" s="2" t="inlineStr"/>
      <c r="AA58" s="2" t="inlineStr"/>
      <c r="AB58" s="2" t="inlineStr"/>
      <c r="AC58" s="2" t="inlineStr">
        <is>
          <t>subsidiary</t>
        </is>
      </c>
      <c r="AD58" s="2" t="inlineStr">
        <is>
          <t>חברה-בת / משרד של היצרן בישראל</t>
        </is>
      </c>
      <c r="AE58" s="2" t="inlineStr">
        <is>
          <t>verified</t>
        </is>
      </c>
      <c r="AF58" s="2" t="inlineStr">
        <is>
          <t>אומת ממקור</t>
        </is>
      </c>
      <c r="AG58" s="2" t="inlineStr">
        <is>
          <t>Siemens Healthineers Israel (legal entity name believed to be Siemens Healthcare Ltd., Israel — not verified) [חברה-בת; all Siemens Healthineers businesses in Israel, including a dedicated Diagnostics unit (a 'Head of Diagnostics, Siemens Healthineers Israel' is named on the company's Israeli site)]</t>
        </is>
      </c>
      <c r="AH58" s="2" t="inlineStr">
        <is>
          <t>Siemens Healthineers sells its diagnostics in Israel through its own local organisation. The company's Israeli site (siemens-healthineers.com/il) documents a September-2019 Atellica Solution customer event in Israel hosted by 'Mr. Haim Regev, General Manager, Siemens Healthineers Israel' and 'Mrs. Inbal Kinamon, Head of Diagnostics, Siemens Healthineers Israel' (seen via a search-engine extract of that page; the page itself could not be opened this session). A GlobalData note on Atellica selling prices in Israel (2022) also indicates ongoing local sales. Legal entity name, address and current management were not verified; evidence dates from 2019 but there is no indication of a change. Searches run: 'Siemens Healthineers Israel diagnostics Atellica'; contact page fetch failed.</t>
        </is>
      </c>
      <c r="AI58" s="2" t="inlineStr">
        <is>
          <t>medium</t>
        </is>
      </c>
      <c r="AJ58" s="2" t="inlineStr">
        <is>
          <t>Israeli subsidiary evidenced by the company's own Israeli web pages (via search extract, 2019); size figures from memory of annual reports, unverified this session.</t>
        </is>
      </c>
      <c r="AK58" s="2" t="inlineStr">
        <is>
          <t>https://www.siemens-healthineers.com/il/news-and-events/conferences-events-new/israel-local-events/atellica-solution-event-2019 ; https://www.medicaldevice-network.com/?p=133652</t>
        </is>
      </c>
    </row>
    <row r="59">
      <c r="A59" s="2" t="n">
        <v>58</v>
      </c>
      <c r="B59" s="2" t="inlineStr">
        <is>
          <t>bioMérieux</t>
        </is>
      </c>
      <c r="C59" s="2" t="inlineStr">
        <is>
          <t>BioFire Diagnostics; VITEK; BACT/ALERT; VIDAS; BIOFIRE FILMARRAY; SPOTFIRE; Specific Diagnostics</t>
        </is>
      </c>
      <c r="D59" s="2" t="inlineStr">
        <is>
          <t>Marcy-l'Étoile (Lyon)</t>
        </is>
      </c>
      <c r="E59" s="2" t="inlineStr">
        <is>
          <t>France</t>
        </is>
      </c>
      <c r="F59" s="2" t="inlineStr">
        <is>
          <t>Institut Mérieux (controlling shareholder)</t>
        </is>
      </c>
      <c r="G59" s="2" t="inlineStr">
        <is>
          <t>Public (Euronext Paris: BIM); majority-controlled by Institut Mérieux (Mérieux family)</t>
        </is>
      </c>
      <c r="H59" s="2" t="n">
        <v>1963</v>
      </c>
      <c r="I59" s="2" t="inlineStr">
        <is>
          <t>https://www.biomerieux.com</t>
        </is>
      </c>
      <c r="J59" s="2" t="inlineStr">
        <is>
          <t>Clinical / IVD laboratory analyzers</t>
        </is>
      </c>
      <c r="K59" s="3" t="n">
        <v>14000</v>
      </c>
      <c r="L59" s="2" t="n">
        <v>2024</v>
      </c>
      <c r="M59" s="2" t="inlineStr">
        <is>
          <t>company</t>
        </is>
      </c>
      <c r="N59" s="2" t="inlineStr">
        <is>
          <t>Approx. 14,000 employees in ~45 countries (bioMérieux 2024 reporting) — from memory, not verified this session.</t>
        </is>
      </c>
      <c r="O59" s="2" t="inlineStr">
        <is>
          <t>EUR 3.98 billion (approx.)</t>
        </is>
      </c>
      <c r="P59" s="3" t="n">
        <v>4378</v>
      </c>
      <c r="Q59" s="2" t="inlineStr">
        <is>
          <t>FY2024</t>
        </is>
      </c>
      <c r="R59" s="2" t="inlineStr">
        <is>
          <t>company</t>
        </is>
      </c>
      <c r="S59" s="2" t="inlineStr">
        <is>
          <t>FY2024 sales ≈ EUR 3.98 bn (double-digit organic growth driven by BIOFIRE); FY2025 ≈ EUR 4.1-4.2 bn (approx., reported early 2026). From memory of bioMérieux results releases; not verified this session — verify.</t>
        </is>
      </c>
      <c r="T59" s="2" t="inlineStr">
        <is>
          <t>reported</t>
        </is>
      </c>
      <c r="U59" s="2" t="inlineStr">
        <is>
          <t>VITEK 2 / VITEK MS PRIME — automated microbial ID/AST and MALDI-TOF identification</t>
        </is>
      </c>
      <c r="V59" s="2" t="inlineStr">
        <is>
          <t>BACT/ALERT VIRTUO — automated blood-culture system</t>
        </is>
      </c>
      <c r="W59" s="2" t="inlineStr">
        <is>
          <t>BIOFIRE FILMARRAY TORCH / SPOTFIRE — syndromic multiplex PCR panels</t>
        </is>
      </c>
      <c r="X59" s="2" t="inlineStr"/>
      <c r="Y59" s="2" t="inlineStr"/>
      <c r="Z59" s="2" t="inlineStr"/>
      <c r="AA59" s="2" t="inlineStr"/>
      <c r="AB59" s="2" t="inlineStr"/>
      <c r="AC59" s="2" t="inlineStr">
        <is>
          <t>distributor</t>
        </is>
      </c>
      <c r="AD59" s="2" t="inlineStr">
        <is>
          <t>מפיץ / נציג ישראלי</t>
        </is>
      </c>
      <c r="AE59" s="2" t="inlineStr">
        <is>
          <t>verified</t>
        </is>
      </c>
      <c r="AF59" s="2" t="inlineStr">
        <is>
          <t>אומת ממקור</t>
        </is>
      </c>
      <c r="AG59" s="2" t="inlineStr">
        <is>
          <t>Accellix (bioMérieux company), Jerusalem [חברה-בת; R&amp;D/manufacturing site of Accellix (automated flow-cytometry QC for pharma), acquired by bioMérieux in 2025 - not a sales office for VITEK/BACT/ALERT/BIOFIRE] | Ilex Medical Ltd. (אילקס מדיקל) [מפיץ; BIOFIRE (FilmArray) nested multiplex PCR panels - respiratory, meningitis/CSF, gastrointestinal, positive blood culture ID, joint infection - offered to Israeli clinical labs (Ilex catalogue page, c. early 2024); VITEK / BACT/ALERT channel not shown]</t>
        </is>
      </c>
      <c r="AH59" s="2" t="inlineStr">
        <is>
          <t>An extended Hebrew/English query surfaced Ilex Medical's own catalogue page 'BIOFIRE - Ilex Medical', which states that Ilex offers bioMérieux's BioFire nested multiplex PCR panels (respiratory, CSF, gastro, positive blood culture, joint infection) to Israeli customers; the page is roughly 2.5 years old, so current status should be confirmed. No source names the Israeli channel for VITEK or BACT/ALERT: the 40-domain sweep, a Hebrew tender query ('מכרז VITEK 2 ביומרייה') and an 'Israel' query restricted to biomerieux.com returned only clinical papers, foreign contract news and unrelated pages. bioMérieux's only Israeli entity remains Accellix (Jerusalem R&amp;D/manufacturing, acquired 2025); upgraded from 'unclear' to 'distributor' on the strength of the Ilex page. Ilex Medical's company profile (SID Israel directory) lists bioMérieux with Abbott, Hologic, Grifols, IL and Sebia among the companies it represents; not re-confirmed on biomerieux.com.</t>
        </is>
      </c>
      <c r="AI59" s="2" t="inlineStr">
        <is>
          <t>medium</t>
        </is>
      </c>
      <c r="AJ59" s="2" t="inlineStr">
        <is>
          <t>Distributor's own site confirms the BIOFIRE line; the VITEK/BACT/ALERT distributor is still unidentified and the Ilex page dates from ~2024.</t>
        </is>
      </c>
      <c r="AK59" s="2" t="inlineStr">
        <is>
          <t>https://es.medicaldevices.icij.org/devices/usa-immunology-and-microbiology-devices-vitek-2-gram-negative-susceptibility-card-astgn23 ; https://es.medicaldevices.icij.org/devices/usa-immunology-and-microbiology-devices-vitek-2-gram-negative-susceptibility-card-astgn36 ; https://www.biomerieux.com/corp/en/who-we-are/biomerieux-worldwide.html ; https://biomerieux.com/en/supply-and-distribution ; https://www.biomerieux.com/corp/en/our-offer/clinical-products/bact-alert-virtuo.html ; https://www.biomerieux.com/us/en/journalists/press-releases/acquisition-accellix-pharma-quality-control.html ; https://gamidor.co.il/en ; https://gamidor.co.il/en/central-laboratory/ ; https://www.ilexmedical.com/catalog_products/biofire/ ; https://www.rapidmicrobiology.com/supplier/biomerieux ; https://en.wikipedia.org/wiki/BioM%C3%A9rieux ; https://www.sid-israel.org/en/index/ilex-medical-ltd</t>
        </is>
      </c>
    </row>
    <row r="60">
      <c r="A60" s="2" t="n">
        <v>59</v>
      </c>
      <c r="B60" s="2" t="inlineStr">
        <is>
          <t>Sysmex</t>
        </is>
      </c>
      <c r="C60" s="2" t="inlineStr">
        <is>
          <t>Sysmex; formerly TOA Medical Electronics (renamed 1998); XN-Series, XR-Series, UN-Series, CN-Series</t>
        </is>
      </c>
      <c r="D60" s="2" t="inlineStr">
        <is>
          <t>Kobe (Hyogo)</t>
        </is>
      </c>
      <c r="E60" s="2" t="inlineStr">
        <is>
          <t>Japan</t>
        </is>
      </c>
      <c r="F60" s="2" t="inlineStr"/>
      <c r="G60" s="2" t="inlineStr">
        <is>
          <t>Public (TSE Prime: 6869)</t>
        </is>
      </c>
      <c r="H60" s="2" t="n">
        <v>1968</v>
      </c>
      <c r="I60" s="2" t="inlineStr">
        <is>
          <t>https://www.sysmex.co.jp/en/</t>
        </is>
      </c>
      <c r="J60" s="2" t="inlineStr">
        <is>
          <t>Clinical / IVD laboratory analyzers</t>
        </is>
      </c>
      <c r="K60" s="3" t="n">
        <v>11000</v>
      </c>
      <c r="L60" s="2" t="n">
        <v>2025</v>
      </c>
      <c r="M60" s="2" t="inlineStr">
        <is>
          <t>company</t>
        </is>
      </c>
      <c r="N60" s="2" t="inlineStr">
        <is>
          <t>Consolidated headcount ≈ 11,000 as of March 2025 (approx.; from memory of Sysmex's integrated report, not verified this session).</t>
        </is>
      </c>
      <c r="O60" s="2" t="inlineStr">
        <is>
          <t>JPY 511.4 billion</t>
        </is>
      </c>
      <c r="P60" s="3" t="n">
        <v>3426</v>
      </c>
      <c r="Q60" s="2" t="inlineStr">
        <is>
          <t>FY ending Mar-2025</t>
        </is>
      </c>
      <c r="R60" s="2" t="inlineStr">
        <is>
          <t>company</t>
        </is>
      </c>
      <c r="S60" s="2" t="inlineStr">
        <is>
          <t>Net sales for the fiscal year ended 31 March 2025 ≈ JPY 511 bn (from memory of Sysmex's results; not verified this session). Results for FY ending Mar-2026 (published May 2026) were not verified.</t>
        </is>
      </c>
      <c r="T60" s="2" t="inlineStr">
        <is>
          <t>reported</t>
        </is>
      </c>
      <c r="U60" s="2" t="inlineStr">
        <is>
          <t>XN-Series (XN-1000 to XN-9100) — automated hematology analyzers and lines</t>
        </is>
      </c>
      <c r="V60" s="2" t="inlineStr">
        <is>
          <t>XR-Series — next-generation automated hematology analyzers</t>
        </is>
      </c>
      <c r="W60" s="2" t="inlineStr">
        <is>
          <t>UN-Series (UF-5000 / UD-10) — automated urinalysis systems</t>
        </is>
      </c>
      <c r="X60" s="2" t="inlineStr"/>
      <c r="Y60" s="2" t="inlineStr"/>
      <c r="Z60" s="2" t="inlineStr"/>
      <c r="AA60" s="2" t="inlineStr"/>
      <c r="AB60" s="2" t="inlineStr"/>
      <c r="AC60" s="2" t="inlineStr">
        <is>
          <t>distributor</t>
        </is>
      </c>
      <c r="AD60" s="2" t="inlineStr">
        <is>
          <t>מפיץ / נציג ישראלי</t>
        </is>
      </c>
      <c r="AE60" s="2" t="inlineStr">
        <is>
          <t>verified</t>
        </is>
      </c>
      <c r="AF60" s="2" t="inlineStr">
        <is>
          <t>אומת ממקור</t>
        </is>
      </c>
      <c r="AG60" s="2" t="inlineStr">
        <is>
          <t>Dover Medical &amp; Scientific Equipment [מפיץ; Sysmex distributor for Israel as listed in Sysmex Europe's official distributor directory (product-line scope not stated; presumably hematology/urinalysis in-vitro diagnostics)]</t>
        </is>
      </c>
      <c r="AH60" s="2" t="inlineStr">
        <is>
          <t>Searched '"Sysmex" Israel distributor/נציג/יבואן', Hebrew 'סיסמקס', the 29 Israeli distributor domains, mr.gov.il/gov.il and sysmex-europe.com. Sysmex Europe SE's distributor directory lists 'DOVER MEDICAL &amp; SCIENTIFIC EQUIPMENT' under Israel (Sysmex EMEA works through affiliates and local partners, with Sysmex Middle East FZ-LLC in Dubai as the regional hub). GlobalData names Sysmex the leading hematology-analyzer vendor in Israel (2023), and an ISRAC accreditation document lists Siemens/Sysmex CS coagulation analyzers, which Siemens Healthineers distributes under its own brand. Caveats: the Dover entry was seen only as a directory snippet and was not cross-checked on Dover's own site; Dover is not among the 29 hinted distributors; Jobify posts list 'Sysmex America, Inc.' roles in Tel Aviv, which could not be explained.</t>
        </is>
      </c>
      <c r="AI60" s="2" t="inlineStr">
        <is>
          <t>medium</t>
        </is>
      </c>
      <c r="AJ60" s="2" t="inlineStr">
        <is>
          <t>Single official Sysmex source (distributor directory), not corroborated by the distributor's site or a tender document.</t>
        </is>
      </c>
      <c r="AK60" s="2" t="inlineStr">
        <is>
          <t>https://www.medicaldevice-network.com/data-insights/market-share-analysis-hematology-analyzers-israel/ ; https://mobile.labmedica.com/industry-news/articles/294740233/sysmex-and-roche-extend-hematology-alliance.html ; https://www.sysmex-europe.com/company/contacts/distributors/ ; https://www.sysmex-europe.com/company/sysmex-in-emea/ ; https://connections.medlabme.com/event/medlab-middle-east-2025/exhibitor/RXhoaWJpdG9yXzIwNDE3NTU= ; https://www.israc.gov.il/_Uploads/dbsLabs/AK0115-27.pdf ; https://jobify360.co.il/jobs/4220936142-in</t>
        </is>
      </c>
    </row>
    <row r="61">
      <c r="A61" s="2" t="n">
        <v>60</v>
      </c>
      <c r="B61" s="2" t="inlineStr">
        <is>
          <t>Mindray</t>
        </is>
      </c>
      <c r="C61" s="2" t="inlineStr">
        <is>
          <t>Mindray; DiaSys Diagnostic Systems (75% owned since 2024); HyTest</t>
        </is>
      </c>
      <c r="D61" s="2" t="inlineStr">
        <is>
          <t>Shenzhen</t>
        </is>
      </c>
      <c r="E61" s="2" t="inlineStr">
        <is>
          <t>China</t>
        </is>
      </c>
      <c r="F61" s="2" t="inlineStr"/>
      <c r="G61" s="2" t="inlineStr">
        <is>
          <t>Public (SZSE ChiNext: 300760)</t>
        </is>
      </c>
      <c r="H61" s="2" t="n">
        <v>1991</v>
      </c>
      <c r="I61" s="2" t="inlineStr">
        <is>
          <t>https://www.mindray.com</t>
        </is>
      </c>
      <c r="J61" s="2" t="inlineStr">
        <is>
          <t>Clinical / IVD laboratory analyzers</t>
        </is>
      </c>
      <c r="K61" s="3" t="n">
        <v>20000</v>
      </c>
      <c r="L61" s="2" t="n">
        <v>2024</v>
      </c>
      <c r="M61" s="2" t="inlineStr">
        <is>
          <t>company</t>
        </is>
      </c>
      <c r="N61" s="2" t="inlineStr">
        <is>
          <t>Approx. 20,000 employees (Mindray 2024 annual report; from memory, not verified this session). Company states subsidiaries in 31 countries.</t>
        </is>
      </c>
      <c r="O61" s="2" t="inlineStr">
        <is>
          <t>CNY 36.73 billion</t>
        </is>
      </c>
      <c r="P61" s="3" t="n">
        <v>5105</v>
      </c>
      <c r="Q61" s="2" t="inlineStr">
        <is>
          <t>FY2024</t>
        </is>
      </c>
      <c r="R61" s="2" t="inlineStr">
        <is>
          <t>company</t>
        </is>
      </c>
      <c r="S61" s="2" t="inlineStr">
        <is>
          <t>FY2024 revenue ≈ CNY 36.7 bn (+5%); FY2025 (reported April 2026) was lower after an ~18% H1-2025 decline in domestic sales — exact FY2025 figure not verified this session. Figures from memory of Mindray's annual reports — verify.</t>
        </is>
      </c>
      <c r="T61" s="2" t="inlineStr">
        <is>
          <t>reported</t>
        </is>
      </c>
      <c r="U61" s="2" t="inlineStr">
        <is>
          <t>BC-6800Plus / BC-7500 CRP — automated hematology analyzers</t>
        </is>
      </c>
      <c r="V61" s="2" t="inlineStr">
        <is>
          <t>CL-8000i — chemiluminescence immunoassay analyzer</t>
        </is>
      </c>
      <c r="W61" s="2" t="inlineStr">
        <is>
          <t>BS-2000M / M9000 — modular clinical chemistry analyzer and integrated lab automation</t>
        </is>
      </c>
      <c r="X61" s="2" t="inlineStr"/>
      <c r="Y61" s="2" t="inlineStr"/>
      <c r="Z61" s="2" t="inlineStr"/>
      <c r="AA61" s="2" t="inlineStr"/>
      <c r="AB61" s="2" t="inlineStr"/>
      <c r="AC61" s="2" t="inlineStr">
        <is>
          <t>distributor</t>
        </is>
      </c>
      <c r="AD61" s="2" t="inlineStr">
        <is>
          <t>מפיץ / נציג ישראלי</t>
        </is>
      </c>
      <c r="AE61" s="2" t="inlineStr">
        <is>
          <t>verified</t>
        </is>
      </c>
      <c r="AF61" s="2" t="inlineStr">
        <is>
          <t>אומת ממקור</t>
        </is>
      </c>
      <c r="AG61" s="2" t="inlineStr">
        <is>
          <t>Eldan Electronic Instruments (אלדן) [מפיץ; Mindray IVD line - hematology analyzers and reagents (clinical diagnostics division)] | Bepex [מפיץ; Mindray hospital beds and clinical lighting only (per LinkedIn post; unverified)]</t>
        </is>
      </c>
      <c r="AH61" s="2" t="inlineStr">
        <is>
          <t>Searched '"Mindray" Israel distributor/נציג/יבואן', Hebrew 'מיינדריי', the 29 Israeli distributor domains and eldan.biz alone. Eldan's own site returned pages offering Mindray hematology analyzers and reagents, which is the only distributor-site evidence; a LinkedIn post says Bepex holds Mindray distribution rights for hospital beds and clinical lighting, and another LinkedIn post reports Mindray monitors in all Sheba ICUs without naming the channel. No 'Mindray Medical Israel' entity or Mindray office in Israel surfaced, and the Israeli channel for patient monitoring/ultrasound was not established; the Eldan scope beyond hematology is unknown.</t>
        </is>
      </c>
      <c r="AI61" s="2" t="inlineStr">
        <is>
          <t>medium</t>
        </is>
      </c>
      <c r="AJ61" s="2" t="inlineStr">
        <is>
          <t>Eldan confirmed only from its own site snippets for the hematology/IVD line; no manufacturer-side confirmation and the rest of the portfolio's channel is unresolved.</t>
        </is>
      </c>
      <c r="AK61" s="2" t="inlineStr">
        <is>
          <t>https://www.mindray.com/en/media-center/news/mindray-has-agreed-to-acquire-75-percent-in-diasys ; https://www.mindray.com/na/news-and-events/news/mindray-acquires-majority-stake-in-diaSys-diagnostic-systems-gmbh/ ; https://eldan.biz/?p=4734 ; https://eldan.biz/?p=1052 ; https://www.eldan.biz/diagnostics-kits-and-consumables/ ; https://il.linkedin.com/in/ido-gruber-808189a ; https://www.medicaldevice-network.com/data-insights/market-share-analysis-hematology-analyzers-israel/</t>
        </is>
      </c>
    </row>
    <row r="62">
      <c r="A62" s="2" t="n">
        <v>61</v>
      </c>
      <c r="B62" s="2" t="inlineStr">
        <is>
          <t>BINDER</t>
        </is>
      </c>
      <c r="C62" s="2" t="inlineStr">
        <is>
          <t>BINDER Inc. (North America)</t>
        </is>
      </c>
      <c r="D62" s="2" t="inlineStr">
        <is>
          <t>Tuttlingen</t>
        </is>
      </c>
      <c r="E62" s="2" t="inlineStr">
        <is>
          <t>Germany</t>
        </is>
      </c>
      <c r="F62" s="2" t="inlineStr"/>
      <c r="G62" s="2" t="inlineStr">
        <is>
          <t>Private (family-owned)</t>
        </is>
      </c>
      <c r="H62" s="2" t="n">
        <v>1983</v>
      </c>
      <c r="I62" s="2" t="inlineStr">
        <is>
          <t>https://www.binder-world.com</t>
        </is>
      </c>
      <c r="J62" s="2" t="inlineStr">
        <is>
          <t>General lab equipment (incubators, ovens, baths, shakers, stirrers)</t>
        </is>
      </c>
      <c r="K62" s="3" t="n">
        <v>400</v>
      </c>
      <c r="L62" s="2" t="n">
        <v>2022</v>
      </c>
      <c r="M62" s="2" t="inlineStr">
        <is>
          <t>company</t>
        </is>
      </c>
      <c r="N62" s="2" t="inlineStr">
        <is>
          <t>Company news item (Sept 2022, opening of Competence Factory II) states 400 employees; aggregators range 159-490 (Datanyze 490, ZoomInfo 201-500, Owler 250-500). ~22,000 units/year made solely in Tuttlingen, sold in 135 countries.</t>
        </is>
      </c>
      <c r="O62" s="2" t="inlineStr">
        <is>
          <t>USD ~110-133 million (aggregator estimates: Prospeo ~110.5M, ZoomInfo/Datanyze ~133.1M)</t>
        </is>
      </c>
      <c r="P62" s="3" t="n">
        <v>120</v>
      </c>
      <c r="Q62" s="2" t="inlineStr">
        <is>
          <t>undated aggregator estimates (c. 2024)</t>
        </is>
      </c>
      <c r="R62" s="2" t="inlineStr">
        <is>
          <t>estimate</t>
        </is>
      </c>
      <c r="S62" s="2" t="inlineStr">
        <is>
          <t>No official revenue published; private company. Figure is the midpoint of third-party aggregator estimates, not reported.</t>
        </is>
      </c>
      <c r="T62" s="2" t="inlineStr">
        <is>
          <t>mixed</t>
        </is>
      </c>
      <c r="U62" s="2" t="inlineStr">
        <is>
          <t>KBF / KBF P series — constant climate chambers for ICH stability testing</t>
        </is>
      </c>
      <c r="V62" s="2" t="inlineStr">
        <is>
          <t>CB / CB-S series — CO2 incubators with hot-air sterilisation</t>
        </is>
      </c>
      <c r="W62" s="2" t="inlineStr">
        <is>
          <t>FD / FED / FP series — drying and heating chambers (lab ovens)</t>
        </is>
      </c>
      <c r="X62" s="2" t="inlineStr"/>
      <c r="Y62" s="2" t="inlineStr"/>
      <c r="Z62" s="2" t="inlineStr"/>
      <c r="AA62" s="2" t="inlineStr"/>
      <c r="AB62" s="2" t="inlineStr"/>
      <c r="AC62" s="2" t="inlineStr">
        <is>
          <t>distributor</t>
        </is>
      </c>
      <c r="AD62" s="2" t="inlineStr">
        <is>
          <t>מפיץ / נציג ישראלי</t>
        </is>
      </c>
      <c r="AE62" s="2" t="inlineStr">
        <is>
          <t>verified</t>
        </is>
      </c>
      <c r="AF62" s="2" t="inlineStr">
        <is>
          <t>אומת ממקור</t>
        </is>
      </c>
      <c r="AG62" s="2" t="inlineStr">
        <is>
          <t>Labotal Scientific Equipment Ltd. (לבוטל) [מפיץ; Binder incubators, drying ovens and climate chambers (Labotal 'firms/binder' page and product pages)]</t>
        </is>
      </c>
      <c r="AH62" s="2" t="inlineStr">
        <is>
          <t>Labotal's own site lists the brand among the firms it represents and sells its products in Israel (some Labotal pages are several years old; the manufacturer's distributor page was not opened).</t>
        </is>
      </c>
      <c r="AI62" s="2" t="inlineStr">
        <is>
          <t>medium</t>
        </is>
      </c>
      <c r="AJ62" s="2" t="inlineStr"/>
      <c r="AK62" s="2" t="inlineStr">
        <is>
          <t>https://www.binder-world.com/us-en/company/news/detail/binder-opens-doors ; https://www.binder-world.com/us-en/company/news/detail/spatenstich-competence-factory-ii ; https://www.chemie.de/news/165142/binder-baut-firmensitz-in-tuttlingen-aus.html ; https://www.chemie.de/firmen/562/ ; https://www.zoominfo.com/c/binder/21352556 ; https://www.datanyze.com/companies/binder/21352556 ; https://prospeo.io/c/binder-revenue ; https://www.owler.com/company/binder-world ; https://labotal.co.il/firms/binder/</t>
        </is>
      </c>
    </row>
    <row r="63">
      <c r="A63" s="2" t="n">
        <v>62</v>
      </c>
      <c r="B63" s="2" t="inlineStr">
        <is>
          <t>Memmert</t>
        </is>
      </c>
      <c r="C63" s="2" t="inlineStr"/>
      <c r="D63" s="2" t="inlineStr">
        <is>
          <t>Schwabach (Bavaria); second plant in Büchenbach</t>
        </is>
      </c>
      <c r="E63" s="2" t="inlineStr">
        <is>
          <t>Germany</t>
        </is>
      </c>
      <c r="F63" s="2" t="inlineStr"/>
      <c r="G63" s="2" t="inlineStr">
        <is>
          <t>Private (family-owned)</t>
        </is>
      </c>
      <c r="H63" s="2" t="n">
        <v>1933</v>
      </c>
      <c r="I63" s="2" t="inlineStr">
        <is>
          <t>https://www.memmert.com</t>
        </is>
      </c>
      <c r="J63" s="2" t="inlineStr">
        <is>
          <t>General lab equipment (incubators, ovens, baths, shakers, stirrers)</t>
        </is>
      </c>
      <c r="K63" s="3" t="n">
        <v>550</v>
      </c>
      <c r="L63" s="2" t="n">
        <v>2024</v>
      </c>
      <c r="M63" s="2" t="inlineStr">
        <is>
          <t>company</t>
        </is>
      </c>
      <c r="N63" s="2" t="inlineStr">
        <is>
          <t>Memmert job advert (StepStone, c. 2024/25): 'rund 550 Menschen aus etwa 30 Nationen'; older chemie.de profile says &gt;400 at two sites; Prospeo's 101-200 is an automated estimate.</t>
        </is>
      </c>
      <c r="O63" s="2" t="inlineStr">
        <is>
          <t>EUR 84.7 million</t>
        </is>
      </c>
      <c r="P63" s="3" t="n">
        <v>93.2</v>
      </c>
      <c r="Q63" s="2" t="inlineStr">
        <is>
          <t>FY2024</t>
        </is>
      </c>
      <c r="R63" s="2" t="inlineStr">
        <is>
          <t>company</t>
        </is>
      </c>
      <c r="S63" s="2" t="inlineStr">
        <is>
          <t>Figure from Craft.co financial profile (EUR 84.7M revenue, EUR 1.7M net income for 2024), which draws on German register filings; the Bundesanzeiger filing itself was not opened. Older Wirtschaftsforum interview cited ~EUR 55M.</t>
        </is>
      </c>
      <c r="T63" s="2" t="inlineStr">
        <is>
          <t>mixed</t>
        </is>
      </c>
      <c r="U63" s="2" t="inlineStr">
        <is>
          <t>UN / UF series — universal heating and drying ovens</t>
        </is>
      </c>
      <c r="V63" s="2" t="inlineStr">
        <is>
          <t>IN / IF / ICO series — incubators, cooled and CO2 incubators</t>
        </is>
      </c>
      <c r="W63" s="2" t="inlineStr">
        <is>
          <t>HPP / ICH series — constant climate and stability test chambers</t>
        </is>
      </c>
      <c r="X63" s="2" t="inlineStr"/>
      <c r="Y63" s="2" t="inlineStr"/>
      <c r="Z63" s="2" t="inlineStr"/>
      <c r="AA63" s="2" t="inlineStr"/>
      <c r="AB63" s="2" t="inlineStr"/>
      <c r="AC63" s="2" t="inlineStr">
        <is>
          <t>distributor</t>
        </is>
      </c>
      <c r="AD63" s="2" t="inlineStr">
        <is>
          <t>מפיץ / נציג ישראלי</t>
        </is>
      </c>
      <c r="AE63" s="2" t="inlineStr">
        <is>
          <t>verified</t>
        </is>
      </c>
      <c r="AF63" s="2" t="inlineStr">
        <is>
          <t>אומת ממקור</t>
        </is>
      </c>
      <c r="AG63" s="2" t="inlineStr">
        <is>
          <t>Medent Scientific Instruments (מדנט מכשור מדעי) [מפיץ; Memmert CO2 incubators (e.g. INC108ivf), cooled incubators (IPP/IPS), vacuum ovens (VO), drying ovens (UF/UN) and incubators (IF/IN) listed with Hebrew product pages]</t>
        </is>
      </c>
      <c r="AH63" s="2" t="inlineStr">
        <is>
          <t>A search for 'Memmert' restricted to Israeli lab-distributor domains returned a series of Medent (מדנט מכשור מדעי) product pages that explicitly describe the items as 'made by MEMMERT Germany' (CO2 incubator INC108ivf, IPP/IPS cooled incubators, VO vacuum ovens, UF/UN drying ovens), so Medent is recorded as an Israeli distributor on the strength of its own site. A .co.il-wide search also found a Memmert UF260 datasheet (2017) hosted on kimron.co.il, which is a possible second reseller but is not recorded as an entity because no product or brand page was seen. Memmert's own distributor locator (memmert.com) was not searched within the budget, so this is distributor-side evidence only; a Labotal 2026 incubator buyer's guide mentions Memmert's IPPeco Peltier models but Labotal is a Binder partner and was not seen offering Memmert.</t>
        </is>
      </c>
      <c r="AI63" s="2" t="inlineStr">
        <is>
          <t>medium</t>
        </is>
      </c>
      <c r="AJ63" s="2" t="inlineStr">
        <is>
          <t>Israeli distributor established from the distributor's own product pages (several, current); no confirmation from Memmert's side.</t>
        </is>
      </c>
      <c r="AK63" s="2" t="inlineStr">
        <is>
          <t>https://craft.co/memmert ; https://www.wirtschaftsforum.de/fileadmin/wirtschaftsforum/cpaper/pdf/memmert.pdf ; https://www.stepstone.de/results/auto/in-b%c3%bcchenbach ; https://www.chemie.de/firmen/338/ ; https://www.ihk-nuernberg.de/wim-wirtschaft-in-mittelfranken/ihk-magazin-wim-04-052024/details/memmert-prima-klima-in-edelstahl ; https://implisense.com/en/companies/memmert-gmbh-co-kg-buechenbach-DE3X2CLG8I96 ; https://www.machinio.com/incubators/central-district ; https://medent.co.il/scientific.equipment/product/איקובטור-co2-בנפח-108-ליטר-תוצרת-memmert-גרמניה-דג-2/ ; https://medent.co.il/scientific.equipment/product-category/תנורים-מעבדתיים/תנורי-וואקום/ ; https://www.medent.co.il/scientific.equipment/product-category/אינקובטורים/אינקובטור-co2/ ; https://www.medent.co.il/scientific.equipment/product-category/אינקובטורים/אינקובטור-מקורר/ ; https://kimron.co.il/en/wp-content/uploads/2017/04/UF260.pdf ; https://labotal.co.il/אינקובטורים-מומלצים-לשנת-2026-סקירת-דגמי/</t>
        </is>
      </c>
    </row>
    <row r="64">
      <c r="A64" s="2" t="n">
        <v>63</v>
      </c>
      <c r="B64" s="2" t="inlineStr">
        <is>
          <t>IKA</t>
        </is>
      </c>
      <c r="C64" s="2" t="inlineStr">
        <is>
          <t>IKA, IKA Works, IKA Labortechnik, Janke &amp; Kunkel</t>
        </is>
      </c>
      <c r="D64" s="2" t="inlineStr">
        <is>
          <t>Staufen im Breisgau</t>
        </is>
      </c>
      <c r="E64" s="2" t="inlineStr">
        <is>
          <t>Germany</t>
        </is>
      </c>
      <c r="F64" s="2" t="inlineStr"/>
      <c r="G64" s="2" t="inlineStr">
        <is>
          <t>Private (family-owned)</t>
        </is>
      </c>
      <c r="H64" s="2" t="n">
        <v>1910</v>
      </c>
      <c r="I64" s="2" t="inlineStr">
        <is>
          <t>https://www.ika.com</t>
        </is>
      </c>
      <c r="J64" s="2" t="inlineStr">
        <is>
          <t>General lab equipment (incubators, ovens, baths, shakers, stirrers)</t>
        </is>
      </c>
      <c r="K64" s="3" t="n">
        <v>900</v>
      </c>
      <c r="L64" s="2" t="n">
        <v>2024</v>
      </c>
      <c r="M64" s="2" t="inlineStr">
        <is>
          <t>company</t>
        </is>
      </c>
      <c r="N64" s="2" t="inlineStr">
        <is>
          <t>Company/exhibitor profiles: 'over 900 employees' at 16 locations on five continents (group figure); Revelio Labs estimates ~1,060-1,120 (2025). Year approximate (recent exhibitor profile).</t>
        </is>
      </c>
      <c r="O64" s="2" t="inlineStr">
        <is>
          <t>USD ~250-273 million (aggregator estimates: Prospeo 250M, ZoomInfo 272.7M); last company-stated figure &gt;EUR 100 million (2014)</t>
        </is>
      </c>
      <c r="P64" s="3" t="n">
        <v>260</v>
      </c>
      <c r="Q64" s="2" t="inlineStr">
        <is>
          <t>undated aggregator estimates (c. 2024)</t>
        </is>
      </c>
      <c r="R64" s="2" t="inlineStr">
        <is>
          <t>estimate</t>
        </is>
      </c>
      <c r="S64" s="2" t="inlineStr">
        <is>
          <t>No current official figure; IKA stated &gt;EUR 100M sales with ~800 staff for 2014 (Scientist Live). Current number is an aggregator estimate.</t>
        </is>
      </c>
      <c r="T64" s="2" t="inlineStr">
        <is>
          <t>mixed</t>
        </is>
      </c>
      <c r="U64" s="2" t="inlineStr">
        <is>
          <t>RCT basic / C-MAG HS — magnetic hotplate stirrers</t>
        </is>
      </c>
      <c r="V64" s="2" t="inlineStr">
        <is>
          <t>ULTRA-TURRAX T 25 / T 50 — high-shear dispersers / homogenisers</t>
        </is>
      </c>
      <c r="W64" s="2" t="inlineStr">
        <is>
          <t>EUROSTAR / MICROSTAR — overhead laboratory stirrers</t>
        </is>
      </c>
      <c r="X64" s="2" t="inlineStr"/>
      <c r="Y64" s="2" t="inlineStr"/>
      <c r="Z64" s="2" t="inlineStr"/>
      <c r="AA64" s="2" t="inlineStr"/>
      <c r="AB64" s="2" t="inlineStr"/>
      <c r="AC64" s="2" t="inlineStr">
        <is>
          <t>distributor</t>
        </is>
      </c>
      <c r="AD64" s="2" t="inlineStr">
        <is>
          <t>מפיץ / נציג ישראלי</t>
        </is>
      </c>
      <c r="AE64" s="2" t="inlineStr">
        <is>
          <t>verified</t>
        </is>
      </c>
      <c r="AF64" s="2" t="inlineStr">
        <is>
          <t>אומת ממקור</t>
        </is>
      </c>
      <c r="AG64" s="2" t="inlineStr">
        <is>
          <t>Medent Scientific Instruments (מדנט מכשור מדעי) [מפיץ; IKA brand page ('IKA - Germany'): mixing, heating, distilling, crushing; Medent states it imports IKA viscometers; product categories for magnetic stirrers with heating, vortex mixers, chillers (RC 2/RC 5) and drying ovens (Oven 125)] | Labotal Scientific Equipment Ltd. (לבוטל ציוד למעבדות) [מפיץ; overhead and magnetic stirrers - Labotal's overhead-stirrer category page names IKA among the brands it stocks (scope beyond stirrers not seen)]</t>
        </is>
      </c>
      <c r="AH64" s="2" t="inlineStr">
        <is>
          <t>Medent's own site has a dedicated 'IKA - Germany' manufacturer page and Hebrew product categories listing IKA RCT hot-plate stirrers, vortex mixers, RC 2/RC 5 chillers and the Oven 125, and it says it imports IKA viscometers; Labotal's overhead-stirrer page names IKA among the brands it stocks, so both are recorded as Israeli distributors. A .co.il-wide search additionally surfaced a 2012 IKA magnetic-stirrer catalogue hosted on master-cold.co.il, which is too old and indirect to record as an entity. IKA's own dealer locator (ika.com) was not searched within the budget, so the exclusivity or split between Medent and Labotal is unknown.</t>
        </is>
      </c>
      <c r="AI64" s="2" t="inlineStr">
        <is>
          <t>medium</t>
        </is>
      </c>
      <c r="AJ64" s="2" t="inlineStr">
        <is>
          <t>Two distributors established from their own sites (Medent brand page; Labotal category page); no confirmation from IKA's side.</t>
        </is>
      </c>
      <c r="AK64" s="2" t="inlineStr">
        <is>
          <t>https://www.scientistlive.com/node/10900 ; https://www.terrapinn.com/exhibition/arablabksa/exhibitor-ika-werke-gmbh--co-kg.stm ; https://kihe-almaty.german-pavilion.com/ru/sites/exhibitors/137481 ; https://www.bionity.com/en/companies/7616/ ; https://www.zoominfo.com/c/ika/18776667 ; https://prospeo.io/c/ika-laboratory-analytical-and-process-technology-revenue ; https://www.reveliolabs.com/companies/ika-werke/employees/ ; https://www.medent.co.il/en/project/ika-germany/ ; https://www.medent.co.il/scientific.equipment/product-category/בוחשים-מגנטיים/בוחשים-מגנטיים-עם-חימום/ ; https://www.medent.co.il/scientific.equipment/product-category/וורטקס/ ; https://labotal.co.il/product-category/hot-plate-and-stirrers/overhead-stirrers/?lang=en ; https://labotal.co.il/product-category/hot-plate-and-stirrers/magnetic-stirrers/?lang=en ; http://master-cold.co.il/wp-content/uploads/2012/01/Magnetic%20stirrers%20hotplates.pdf</t>
        </is>
      </c>
    </row>
    <row r="65">
      <c r="A65" s="2" t="n">
        <v>64</v>
      </c>
      <c r="B65" s="2" t="inlineStr">
        <is>
          <t>Heidolph Instruments (ATS Corporation)</t>
        </is>
      </c>
      <c r="C65" s="2" t="inlineStr">
        <is>
          <t>Hans Heidolph GmbH, Heidolph Group, Heidolph North America</t>
        </is>
      </c>
      <c r="D65" s="2" t="inlineStr">
        <is>
          <t>Schwabach</t>
        </is>
      </c>
      <c r="E65" s="2" t="inlineStr">
        <is>
          <t>Germany</t>
        </is>
      </c>
      <c r="F65" s="2" t="inlineStr">
        <is>
          <t>ATS Corporation (Cambridge, Ontario, Canada)</t>
        </is>
      </c>
      <c r="G65" s="2" t="inlineStr">
        <is>
          <t>Subsidiary of ATS Corporation (public, TSX/NYSE: ATS)</t>
        </is>
      </c>
      <c r="H65" s="2" t="n">
        <v>1938</v>
      </c>
      <c r="I65" s="2" t="inlineStr">
        <is>
          <t>https://heidolph.com</t>
        </is>
      </c>
      <c r="J65" s="2" t="inlineStr">
        <is>
          <t>General lab equipment (incubators, ovens, baths, shakers, stirrers)</t>
        </is>
      </c>
      <c r="K65" s="3" t="n">
        <v>200</v>
      </c>
      <c r="L65" s="2" t="n">
        <v>2024</v>
      </c>
      <c r="M65" s="2" t="inlineStr">
        <is>
          <t>company</t>
        </is>
      </c>
      <c r="N65" s="2" t="inlineStr">
        <is>
          <t>ATS acquisition release (Aug 2024): 'more than 200 employees' across Germany, USA, South Korea and China; IMAP cites ~250 at four locations; Bayern International lists ~120 at the Schwabach site only.</t>
        </is>
      </c>
      <c r="O65" s="2" t="inlineStr">
        <is>
          <t>EUR ~50 million</t>
        </is>
      </c>
      <c r="P65" s="3" t="n">
        <v>55</v>
      </c>
      <c r="Q65" s="2" t="inlineStr">
        <is>
          <t>FY ending Mar-2024</t>
        </is>
      </c>
      <c r="R65" s="2" t="inlineStr">
        <is>
          <t>company</t>
        </is>
      </c>
      <c r="S65" s="2" t="inlineStr">
        <is>
          <t>Approximate figure disclosed by acquirer ATS in its Aug 2024 announcement. Heidolph filed for insolvency in late May 2024; ATS bought the group out of insolvency.</t>
        </is>
      </c>
      <c r="T65" s="2" t="inlineStr">
        <is>
          <t>reported</t>
        </is>
      </c>
      <c r="U65" s="2" t="inlineStr">
        <is>
          <t>Hei-VAP series — rotary evaporators (Core, Expert, Ultimate)</t>
        </is>
      </c>
      <c r="V65" s="2" t="inlineStr">
        <is>
          <t>Hei-TORQUE series — overhead stirrers</t>
        </is>
      </c>
      <c r="W65" s="2" t="inlineStr">
        <is>
          <t>Hei-PLATE / Hei-Tec — magnetic hotplate stirrers</t>
        </is>
      </c>
      <c r="X65" s="2" t="inlineStr"/>
      <c r="Y65" s="2" t="inlineStr"/>
      <c r="Z65" s="2" t="inlineStr"/>
      <c r="AA65" s="2" t="inlineStr"/>
      <c r="AB65" s="2" t="inlineStr"/>
      <c r="AC65" s="2" t="inlineStr">
        <is>
          <t>distributor</t>
        </is>
      </c>
      <c r="AD65" s="2" t="inlineStr">
        <is>
          <t>מפיץ / נציג ישראלי</t>
        </is>
      </c>
      <c r="AE65" s="2" t="inlineStr">
        <is>
          <t>verified</t>
        </is>
      </c>
      <c r="AF65" s="2" t="inlineStr">
        <is>
          <t>אומת ממקור</t>
        </is>
      </c>
      <c r="AG65" s="2" t="inlineStr">
        <is>
          <t>Labotal Scientific Equipment Ltd. (לבוטל) [מפיץ; Heidolph rotary evaporators, stirrers and shakers (Labotal joined Heidolph's premium distributor programme)]</t>
        </is>
      </c>
      <c r="AH65" s="2" t="inlineStr">
        <is>
          <t>Labotal's own site lists the brand among the firms it represents and sells its products in Israel (some Labotal pages are several years old; the manufacturer's distributor page was not opened).</t>
        </is>
      </c>
      <c r="AI65" s="2" t="inlineStr">
        <is>
          <t>medium</t>
        </is>
      </c>
      <c r="AJ65" s="2" t="inlineStr"/>
      <c r="AK65" s="2" t="inlineStr">
        <is>
          <t>https://www.businesswire.com/news/home/20240807352286/en ; https://www.analytica-world.com/en/news/1184197 ; https://mergr.com/company/heidolph ; https://imap.com/ba-bs/transactions/ats-corporation-heidolph-instruments-gmbh-and-co-kg-and-hans-heidolph-gmbh~t ; https://www.bayern-international.de/en/company-database/company-details/heidolph-instruments-gmbh-co-kg-3084 ; https://heidolph.com/emea/en/Contact/WorldWideExperts ; https://www.heidolph-instruments.com/com/en/company ; https://labotal.co.il/company-news/?lang=en</t>
        </is>
      </c>
    </row>
    <row r="66">
      <c r="A66" s="2" t="n">
        <v>65</v>
      </c>
      <c r="B66" s="2" t="inlineStr">
        <is>
          <t>JULABO</t>
        </is>
      </c>
      <c r="C66" s="2" t="inlineStr">
        <is>
          <t>JULABO USA Inc.</t>
        </is>
      </c>
      <c r="D66" s="2" t="inlineStr">
        <is>
          <t>Seelbach (Black Forest)</t>
        </is>
      </c>
      <c r="E66" s="2" t="inlineStr">
        <is>
          <t>Germany</t>
        </is>
      </c>
      <c r="F66" s="2" t="inlineStr"/>
      <c r="G66" s="2" t="inlineStr">
        <is>
          <t>Private (family-owned)</t>
        </is>
      </c>
      <c r="H66" s="2" t="n">
        <v>1967</v>
      </c>
      <c r="I66" s="2" t="inlineStr">
        <is>
          <t>https://www.julabo.com</t>
        </is>
      </c>
      <c r="J66" s="2" t="inlineStr">
        <is>
          <t>General lab equipment (incubators, ovens, baths, shakers, stirrers)</t>
        </is>
      </c>
      <c r="K66" s="3" t="n">
        <v>423</v>
      </c>
      <c r="L66" s="2" t="n">
        <v>2023</v>
      </c>
      <c r="M66" s="2" t="inlineStr">
        <is>
          <t>company</t>
        </is>
      </c>
      <c r="N66" s="2" t="inlineStr">
        <is>
          <t>Implisense business register profile: 423 employees (2023); company site says 'more than 400 employees worldwide'.</t>
        </is>
      </c>
      <c r="O66" s="2" t="inlineStr">
        <is>
          <t>EUR 65.3 million</t>
        </is>
      </c>
      <c r="P66" s="3" t="n">
        <v>71.8</v>
      </c>
      <c r="Q66" s="2" t="inlineStr">
        <is>
          <t>FY2023</t>
        </is>
      </c>
      <c r="R66" s="2" t="inlineStr">
        <is>
          <t>company</t>
        </is>
      </c>
      <c r="S66" s="2" t="inlineStr">
        <is>
          <t>EUR 65,258,199 for 2023 per Implisense (register-derived); company history page confirms &gt;EUR 50M reached in 2018 (Craft: EUR 52.2M FY2018). Primary filing not opened.</t>
        </is>
      </c>
      <c r="T66" s="2" t="inlineStr">
        <is>
          <t>mixed</t>
        </is>
      </c>
      <c r="U66" s="2" t="inlineStr">
        <is>
          <t>PRESTO — highly dynamic process temperature control systems</t>
        </is>
      </c>
      <c r="V66" s="2" t="inlineStr">
        <is>
          <t>CORIO / DYNEO / MAGIO — refrigerated and heating circulators</t>
        </is>
      </c>
      <c r="W66" s="2" t="inlineStr">
        <is>
          <t>FL / FC series — recirculating coolers (chillers)</t>
        </is>
      </c>
      <c r="X66" s="2" t="inlineStr"/>
      <c r="Y66" s="2" t="inlineStr"/>
      <c r="Z66" s="2" t="inlineStr"/>
      <c r="AA66" s="2" t="inlineStr"/>
      <c r="AB66" s="2" t="inlineStr"/>
      <c r="AC66" s="2" t="inlineStr">
        <is>
          <t>distributor</t>
        </is>
      </c>
      <c r="AD66" s="2" t="inlineStr">
        <is>
          <t>מפיץ / נציג ישראלי</t>
        </is>
      </c>
      <c r="AE66" s="2" t="inlineStr">
        <is>
          <t>verified</t>
        </is>
      </c>
      <c r="AF66" s="2" t="inlineStr">
        <is>
          <t>אומת ממקור</t>
        </is>
      </c>
      <c r="AG66" s="2" t="inlineStr">
        <is>
          <t>Labotal Scientific Equipment Ltd. (לבוטל) [מפיץ; JULABO circulators, chillers and baths – Labotal states it is JULABO's exclusive representative in Israel]</t>
        </is>
      </c>
      <c r="AH66" s="2" t="inlineStr">
        <is>
          <t>Labotal's own site lists the brand among the firms it represents and sells its products in Israel (some Labotal pages are several years old; the manufacturer's distributor page was not opened).</t>
        </is>
      </c>
      <c r="AI66" s="2" t="inlineStr">
        <is>
          <t>medium</t>
        </is>
      </c>
      <c r="AJ66" s="2" t="inlineStr"/>
      <c r="AK66" s="2" t="inlineStr">
        <is>
          <t>https://www.julabo.com/en/company/history ; https://julabo.com/en/company ; https://implisense.com/en/companies/julabo-gmbh-seelbach-DE05KOSOGF38 ; https://craft.co/julabo ; https://www.analytica-world.com/en/news/144857/after-75-years-gerhard-juchheim-takes-a-look-back-at-a-lifetime-of-accomplishments.html ; https://prospeo.io/c/julabo-revenue ; https://labotal.co.il/product/julabo-magio-ms-and-mx-heating-circulatorsideal-for-demanding-external-applications/</t>
        </is>
      </c>
    </row>
    <row r="67">
      <c r="A67" s="2" t="n">
        <v>66</v>
      </c>
      <c r="B67" s="2" t="inlineStr">
        <is>
          <t>LAUDA</t>
        </is>
      </c>
      <c r="C67" s="2" t="inlineStr">
        <is>
          <t>LAUDA</t>
        </is>
      </c>
      <c r="D67" s="2" t="inlineStr">
        <is>
          <t>Lauda-Königshofen</t>
        </is>
      </c>
      <c r="E67" s="2" t="inlineStr">
        <is>
          <t>Germany</t>
        </is>
      </c>
      <c r="F67" s="2" t="inlineStr"/>
      <c r="G67" s="2" t="inlineStr">
        <is>
          <t>Private (family-owned, Wobser family)</t>
        </is>
      </c>
      <c r="H67" s="2" t="n">
        <v>1956</v>
      </c>
      <c r="I67" s="2" t="inlineStr">
        <is>
          <t>https://www.lauda.de</t>
        </is>
      </c>
      <c r="J67" s="2" t="inlineStr">
        <is>
          <t>General lab equipment (incubators, ovens, baths, shakers, stirrers)</t>
        </is>
      </c>
      <c r="K67" s="3" t="n">
        <v>600</v>
      </c>
      <c r="L67" s="2" t="n">
        <v>2025</v>
      </c>
      <c r="M67" s="2" t="inlineStr">
        <is>
          <t>company</t>
        </is>
      </c>
      <c r="N67" s="2" t="inlineStr">
        <is>
          <t>Company press release (Presseportal, April 2025): '600 employees today'; 2023 release cited 580 worldwide.</t>
        </is>
      </c>
      <c r="O67" s="2" t="inlineStr">
        <is>
          <t>EUR ~100 million (group)</t>
        </is>
      </c>
      <c r="P67" s="3" t="n">
        <v>110</v>
      </c>
      <c r="Q67" s="2" t="inlineStr">
        <is>
          <t>FY2024</t>
        </is>
      </c>
      <c r="R67" s="2" t="inlineStr">
        <is>
          <t>company</t>
        </is>
      </c>
      <c r="S67" s="2" t="inlineStr">
        <is>
          <t>April 2025 company press release: group turnover of 'around 100 million euros' in 2024. Earlier release reported ~EUR 121M consolidated for 2022; the sources do not explain the difference (rounding or decline).</t>
        </is>
      </c>
      <c r="T67" s="2" t="inlineStr">
        <is>
          <t>reported</t>
        </is>
      </c>
      <c r="U67" s="2" t="inlineStr">
        <is>
          <t>Integral — process thermostats for heating and cooling</t>
        </is>
      </c>
      <c r="V67" s="2" t="inlineStr">
        <is>
          <t>PRO / ECO / Alpha — laboratory heating and cooling thermostats</t>
        </is>
      </c>
      <c r="W67" s="2" t="inlineStr">
        <is>
          <t>Ultracool / Variocool — process circulation chillers</t>
        </is>
      </c>
      <c r="X67" s="2" t="inlineStr"/>
      <c r="Y67" s="2" t="inlineStr"/>
      <c r="Z67" s="2" t="inlineStr"/>
      <c r="AA67" s="2" t="inlineStr"/>
      <c r="AB67" s="2" t="inlineStr"/>
      <c r="AC67" s="2" t="inlineStr">
        <is>
          <t>distributor</t>
        </is>
      </c>
      <c r="AD67" s="2" t="inlineStr">
        <is>
          <t>מפיץ / נציג ישראלי</t>
        </is>
      </c>
      <c r="AE67" s="2" t="inlineStr">
        <is>
          <t>verified</t>
        </is>
      </c>
      <c r="AF67" s="2" t="inlineStr">
        <is>
          <t>אומת ממקור</t>
        </is>
      </c>
      <c r="AG67" s="2" t="inlineStr">
        <is>
          <t>Medent Scientific Instruments (מדנט מכשור מדעי) [מפיץ; LAUDA brand page ('Lauda - Germany') and a Hebrew product category 'LAUDA baths, circulators and chillers'; GFL-brand (LAUDA) water stills and lab refrigerators also listed] | Citrine Solutions (סיטרין) [מפיץ; reseller listing LAUDA Variocool VC 1200 and Ultracool UC2 circulation chillers and an MGW MS heating circulator (new and used lab equipment dealer; authorisation not stated)] | Avni &amp; Son [מפיץ; LAUDA Ultracool process circulation chillers - Avni &amp; Son's site hosts the 2026 LAUDA Ultracool brochure (uploaded April 2026); the nature of the relationship was not stated in the snippet]</t>
        </is>
      </c>
      <c r="AH67" s="2" t="inlineStr">
        <is>
          <t>Medent's own site has a 'Lauda - Germany' manufacturer page describing LAUDA as the global leader in constant-temperature equipment plus a Hebrew product category for LAUDA baths, circulators and chillers, so Medent is the clearest Israeli distributor for the laboratory range. A .co.il-wide search also found Citrine Solutions selling LAUDA Variocool VC 1200, Ultracool UC2 and MGW MS units, and Avni &amp; Son hosting the 2026 LAUDA Ultracool (process chiller) brochure, which suggests an industrial-side partner; both are recorded with caveats because neither page states an authorised-distributor relationship. LAUDA's own locator (lauda.de) was not searched within the budget.</t>
        </is>
      </c>
      <c r="AI67" s="2" t="inlineStr">
        <is>
          <t>medium</t>
        </is>
      </c>
      <c r="AJ67" s="2" t="inlineStr">
        <is>
          <t>Medent established from its own brand page; Citrine and Avni &amp; Son are reseller/brochure-host evidence only; no manufacturer-side confirmation.</t>
        </is>
      </c>
      <c r="AK67" s="2" t="inlineStr">
        <is>
          <t>https://www.presseportal.de/en/pm/169683/6011832 ; https://www.lauda.de/en/company/news/detail/all-eyes-on-growth ; https://www.presseportal.de/en/pm/169683/5854642 ; https://www.presseportal.de/en/pm/169683/5928829 ; https://www.lauda.de/en/company/news/detail/strong-axis-from-burgwedel-to-lauda-koenigshofen ; https://www.medent.co.il/en/project/lauda-germany/ ; https://www.medent.co.il/scientific.equipment/product-category/lauda-אמבטים-סירקולטורים-וצילרים/צילרים/ ; https://citrinesolutions.co.il/?c_id=30&amp;item_id=5&amp;module=product&amp;p_id=444 ; https://citrinesolutions.co.il/?c_id=1&amp;item_id=5&amp;module=product&amp;p_id=349 ; https://www.citrinesolutions.co.il/userfiles/documents/Lauda%20E100%20bath_Staredition_2010-06-18_Internet.pdf ; https://avni-son.co.il/wp-content/uploads/2026/04/LAUDA-Ultracool-2026-EN-4-web.pdf</t>
        </is>
      </c>
    </row>
    <row r="68">
      <c r="A68" s="2" t="n">
        <v>67</v>
      </c>
      <c r="B68" s="2" t="inlineStr">
        <is>
          <t>Peter Huber Kältemaschinenbau</t>
        </is>
      </c>
      <c r="C68" s="2" t="inlineStr">
        <is>
          <t>Huber Kältemaschinenbau, Huber USA</t>
        </is>
      </c>
      <c r="D68" s="2" t="inlineStr">
        <is>
          <t>Offenburg</t>
        </is>
      </c>
      <c r="E68" s="2" t="inlineStr">
        <is>
          <t>Germany</t>
        </is>
      </c>
      <c r="F68" s="2" t="inlineStr"/>
      <c r="G68" s="2" t="inlineStr">
        <is>
          <t>Private (family-owned, Huber family)</t>
        </is>
      </c>
      <c r="H68" s="2" t="n">
        <v>1968</v>
      </c>
      <c r="I68" s="2" t="inlineStr">
        <is>
          <t>https://www.huber-online.com</t>
        </is>
      </c>
      <c r="J68" s="2" t="inlineStr">
        <is>
          <t>General lab equipment (incubators, ovens, baths, shakers, stirrers)</t>
        </is>
      </c>
      <c r="K68" s="3" t="n">
        <v>420</v>
      </c>
      <c r="L68" s="2" t="n"/>
      <c r="M68" s="2" t="inlineStr">
        <is>
          <t>company</t>
        </is>
      </c>
      <c r="N68" s="2" t="inlineStr">
        <is>
          <t>Undated company news page on huber-online.com: 'over 420 people at its headquarters'; a 2017 TOP 100 award listed it in the &gt;200-employee class; job listing gives a 51-500 band. Year not established.</t>
        </is>
      </c>
      <c r="O68" s="2" t="inlineStr">
        <is>
          <t>EUR ~75 million (trade estimate; private)</t>
        </is>
      </c>
      <c r="P68" s="3" t="n">
        <v>83</v>
      </c>
      <c r="Q68" s="2" t="inlineStr">
        <is>
          <t>2024 (estimate)</t>
        </is>
      </c>
      <c r="R68" s="2" t="inlineStr">
        <is>
          <t>estimate</t>
        </is>
      </c>
      <c r="S68" s="2" t="inlineStr">
        <is>
          <t>Huber (Offenburg) is family-owned and publishes no revenue; order-of-magnitude estimate from headcount (~420) and trade press. Figures recalled from company statements / filings and not re-verified online in this session.</t>
        </is>
      </c>
      <c r="T68" s="2" t="inlineStr">
        <is>
          <t>estimate</t>
        </is>
      </c>
      <c r="U68" s="2" t="inlineStr">
        <is>
          <t>Unistat — highly dynamic temperature control systems (-125 to +425 C)</t>
        </is>
      </c>
      <c r="V68" s="2" t="inlineStr">
        <is>
          <t>Unichiller — recirculating chillers</t>
        </is>
      </c>
      <c r="W68" s="2" t="inlineStr">
        <is>
          <t>Ministat / Petite Fleur / CC series — compact bath and circulation thermostats</t>
        </is>
      </c>
      <c r="X68" s="2" t="inlineStr"/>
      <c r="Y68" s="2" t="inlineStr"/>
      <c r="Z68" s="2" t="inlineStr"/>
      <c r="AA68" s="2" t="inlineStr"/>
      <c r="AB68" s="2" t="inlineStr"/>
      <c r="AC68" s="2" t="inlineStr">
        <is>
          <t>distributor</t>
        </is>
      </c>
      <c r="AD68" s="2" t="inlineStr">
        <is>
          <t>מפיץ / נציג ישראלי</t>
        </is>
      </c>
      <c r="AE68" s="2" t="inlineStr">
        <is>
          <t>verified</t>
        </is>
      </c>
      <c r="AF68" s="2" t="inlineStr">
        <is>
          <t>אומת ממקור</t>
        </is>
      </c>
      <c r="AG68" s="2" t="inlineStr">
        <is>
          <t>S.L. Moran Ltd. (ש.ל מורן) [מפיץ; Huber circulation baths, thermostats and chillers (Unistat, Ministat etc.) - S.L. Moran's heating/cooling-bath category lists Huber units and the site hosts the Huber general catalogue 2025/2026 and the CS-Chiller brochure] | Master-Cold [מפיץ; lists Huber Ministat 230-cc-NR and a Unistat CC (the Unistat appears to be a used unit); authorised status unverified]</t>
        </is>
      </c>
      <c r="AH68" s="2" t="inlineStr">
        <is>
          <t>A .co.il-wide search for 'Huber Unistat Ministat' found S.L. Moran (ש.ל מורן, Jerusalem) hosting the Huber 'Inspired by temperature' general catalogue 2025/2026 (uploaded September 2025) and listing Huber circulation baths and chillers in its heating/cooling-bath category, and a follow-up search restricted to slmoran.co.il confirmed those pages plus a Huber CS-Chiller brochure, so S.L. Moran is recorded as the Israeli distributor. Master-Cold (master-cold.co.il) lists a Ministat 230 and a used Unistat CC and is recorded as a secondary reseller with low confidence. Huber's own site (huber-online.com) returned only its generic locations/contact pages with no Israel entry visible, and the earlier distributor-domain search found only a Labotal reactor article mentioning Huber in passing.</t>
        </is>
      </c>
      <c r="AI68" s="2" t="inlineStr">
        <is>
          <t>medium</t>
        </is>
      </c>
      <c r="AJ68" s="2" t="inlineStr">
        <is>
          <t>S.L. Moran established from its own site (current catalogue + product category); no confirmation from Huber's locator; Master-Cold is weak evidence.</t>
        </is>
      </c>
      <c r="AK68" s="2" t="inlineStr">
        <is>
          <t>https://www.huber-online.com/en/company/news-/-exhibitions/detail-view/mehrfach-ausgezeichneter-marktfuehrer-mit-innovationskraft ; https://www.chemie.de/news/1155794/unternehmensgruender-peter-huber-verstorben.html ; https://www.chemie.de/news/1164068/ ; https://www.chemie.de/news/163856/huber-kaeltemaschinenbau-als-innovator-des-jahres-ausgezeichnet.html ; https://implisense.com/en/companies/peter-huber-kaeltemaschinenbau-se-offenburg-DENBS5XY4L31 ; https://www.make-it-in-germany.com/en/working-in-germany/job-listings/job/job-19927-k59655.1014-S ; https://www.selectscience.net/article/peter-huber-obituary-farewell-to-refrigeration-pioneer ; https://slmoran.co.il/wp-content/uploads/2025/09/Huber_Katalog_2025-2026_EN.pdf ; https://slmoran.co.il/products_cat/אמבטי-חימום-קירור-סירקולטור/ ; https://slmoran.co.il/ספקים/ ; https://slmoran.co.il/wp-content/uploads/2022/04/Broschure_CS_EN_low.pdf ; http://master-cold.co.il/1579/products/ministat-230-cc-nr ; http://master-cold.co.il/1634/products/unistat-cc ; https://www.huber-online.com/en/company/locations</t>
        </is>
      </c>
    </row>
    <row r="69">
      <c r="A69" s="2" t="n">
        <v>68</v>
      </c>
      <c r="B69" s="2" t="inlineStr">
        <is>
          <t>BÜCHI Labortechnik</t>
        </is>
      </c>
      <c r="C69" s="2" t="inlineStr">
        <is>
          <t>BUCHI, Büchi</t>
        </is>
      </c>
      <c r="D69" s="2" t="inlineStr">
        <is>
          <t>Flawil (St. Gallen)</t>
        </is>
      </c>
      <c r="E69" s="2" t="inlineStr">
        <is>
          <t>Switzerland</t>
        </is>
      </c>
      <c r="F69" s="2" t="inlineStr"/>
      <c r="G69" s="2" t="inlineStr">
        <is>
          <t>Private (family-owned)</t>
        </is>
      </c>
      <c r="H69" s="2" t="n">
        <v>1939</v>
      </c>
      <c r="I69" s="2" t="inlineStr">
        <is>
          <t>https://www.buchi.com</t>
        </is>
      </c>
      <c r="J69" s="2" t="inlineStr">
        <is>
          <t>General lab equipment (incubators, ovens, baths, shakers, stirrers)</t>
        </is>
      </c>
      <c r="K69" s="3" t="n">
        <v>800</v>
      </c>
      <c r="L69" s="2" t="n">
        <v>2025</v>
      </c>
      <c r="M69" s="2" t="inlineStr">
        <is>
          <t>company</t>
        </is>
      </c>
      <c r="N69" s="2" t="inlineStr">
        <is>
          <t>Switzerland Global Enterprise success story (Nov 2025): ~800 employees worldwide, about two-thirds outside Switzerland; present in &gt;100 countries; 97% of sales abroad. Aggregators give 421-785.</t>
        </is>
      </c>
      <c r="O69" s="2" t="inlineStr">
        <is>
          <t>USD ~204 million (aggregator estimate; other aggregators range from USD 8M to USD 750M)</t>
        </is>
      </c>
      <c r="P69" s="3" t="n">
        <v>204</v>
      </c>
      <c r="Q69" s="2" t="inlineStr">
        <is>
          <t>undated aggregator estimate (c. 2024)</t>
        </is>
      </c>
      <c r="R69" s="2" t="inlineStr">
        <is>
          <t>estimate</t>
        </is>
      </c>
      <c r="S69" s="2" t="inlineStr">
        <is>
          <t>No official revenue published (private). Aggregator estimates conflict by orders of magnitude (bitscale/a-leads/ZoomInfo); the ~USD 204M figure is retained only as the mid-range cited value and should not be treated as reported.</t>
        </is>
      </c>
      <c r="T69" s="2" t="inlineStr">
        <is>
          <t>mixed</t>
        </is>
      </c>
      <c r="U69" s="2" t="inlineStr">
        <is>
          <t>Rotavapor R-300 — modular rotary evaporator system</t>
        </is>
      </c>
      <c r="V69" s="2" t="inlineStr">
        <is>
          <t>Mini Spray Dryer S-300 / B-290 — laboratory spray dryers</t>
        </is>
      </c>
      <c r="W69" s="2" t="inlineStr">
        <is>
          <t>KjelMaster K-375 / Kjeldahl line — nitrogen and protein determination systems</t>
        </is>
      </c>
      <c r="X69" s="2" t="inlineStr"/>
      <c r="Y69" s="2" t="inlineStr"/>
      <c r="Z69" s="2" t="inlineStr"/>
      <c r="AA69" s="2" t="inlineStr"/>
      <c r="AB69" s="2" t="inlineStr"/>
      <c r="AC69" s="2" t="inlineStr">
        <is>
          <t>distributor</t>
        </is>
      </c>
      <c r="AD69" s="2" t="inlineStr">
        <is>
          <t>מפיץ / נציג ישראלי</t>
        </is>
      </c>
      <c r="AE69" s="2" t="inlineStr">
        <is>
          <t>verified</t>
        </is>
      </c>
      <c r="AF69" s="2" t="inlineStr">
        <is>
          <t>אומת ממקור</t>
        </is>
      </c>
      <c r="AG69" s="2" t="inlineStr">
        <is>
          <t>Dr. Golik Scientific Solutions (ד"ר גוליק) [מפיץ; BUCHI laboratory evaporation (Rotavapor R-80, R-300, R-220 Pro, R-220/R-250 EX) - dedicated BUCHI manufacturer page and 'Dr. Golik - BUCHI - Laboratory Evaporation' page; other BUCHI lines not seen in snippets]</t>
        </is>
      </c>
      <c r="AH69" s="2" t="inlineStr">
        <is>
          <t>A search for 'Buchi Rotavapor' restricted to Israeli distributor domains returned Dr. Golik's own BUCHI manufacturer page, its 'Dr. Golik - BUCHI - Laboratory Evaporation' page and a Hebrew Rotavapor product page (noting the R-100 discontinuation and pointing to R-80/R-300), so Dr. Golik (ד"ר גוליק) is recorded as the Israeli distributor. MRC pages in the same results concern MRC's own-brand rotary evaporators, not BUCHI. BUCHI's own distributor locator (buchi.com) was not searched within the budget, so whether Dr. Golik also carries BUCHI's extraction, Kjeldahl, NIR or spray-drying lines is unconfirmed.</t>
        </is>
      </c>
      <c r="AI69" s="2" t="inlineStr">
        <is>
          <t>medium</t>
        </is>
      </c>
      <c r="AJ69" s="2" t="inlineStr">
        <is>
          <t>Distributor established from its own dedicated BUCHI pages; manufacturer-side confirmation not obtained.</t>
        </is>
      </c>
      <c r="AK69" s="2" t="inlineStr">
        <is>
          <t>https://www.s-ge.com/export/de/artikel/success-stories/buechi-labortechnik-konsequente-go-market-strategie ; https://www.zoominfo.com/c/buchi/5783630 ; https://bitscale.ai/directory/buchi-laboratory-equipment ; https://www.a-leads.co/company/20279059_4c358ef4 ; https://prospeo.io/c/buchi-laboratory-equipment ; https://www.pharmaceutical-technology.com/contractors/lab_equip/buchi/ ; https://www.golik.co.il/manufacturers/buchi ; https://www.golik.co.il/laboratory-evaporation ; https://golik.co.il/products/rotavapor-מערכות-נידוף/ ; https://golik.co.il/?lang=en</t>
        </is>
      </c>
    </row>
    <row r="70">
      <c r="A70" s="2" t="n">
        <v>69</v>
      </c>
      <c r="B70" s="2" t="inlineStr">
        <is>
          <t>Andreas Hettich</t>
        </is>
      </c>
      <c r="C70" s="2" t="inlineStr">
        <is>
          <t>Hettich Lab Technology, Hettich Group</t>
        </is>
      </c>
      <c r="D70" s="2" t="inlineStr">
        <is>
          <t>Tuttlingen</t>
        </is>
      </c>
      <c r="E70" s="2" t="inlineStr">
        <is>
          <t>Germany</t>
        </is>
      </c>
      <c r="F70" s="2" t="inlineStr">
        <is>
          <t>Bregal Unternehmerkapital (investor via 2024 growth partnership; stake size not verified)</t>
        </is>
      </c>
      <c r="G70" s="2" t="inlineStr">
        <is>
          <t>Private equity (Bregal Unternehmerkapital growth partnership since 2024; Hettich family remains involved)</t>
        </is>
      </c>
      <c r="H70" s="2" t="n">
        <v>1904</v>
      </c>
      <c r="I70" s="2" t="inlineStr">
        <is>
          <t>https://www.hettichlab.com</t>
        </is>
      </c>
      <c r="J70" s="2" t="inlineStr">
        <is>
          <t>Centrifuges</t>
        </is>
      </c>
      <c r="K70" s="3" t="n">
        <v>500</v>
      </c>
      <c r="L70" s="2" t="n">
        <v>2025</v>
      </c>
      <c r="M70" s="2" t="inlineStr">
        <is>
          <t>company</t>
        </is>
      </c>
      <c r="N70" s="2" t="inlineStr">
        <is>
          <t>Company website: approximately 500 employees (group head office Tuttlingen, ~18,000 m2 site). Older third-party profiles give 342 (SelectScience) and ~450 (MedicalExpo).</t>
        </is>
      </c>
      <c r="O70" s="2" t="inlineStr">
        <is>
          <t>EUR ~100 million</t>
        </is>
      </c>
      <c r="P70" s="3" t="n">
        <v>110</v>
      </c>
      <c r="Q70" s="2" t="inlineStr">
        <is>
          <t>FY2023</t>
        </is>
      </c>
      <c r="R70" s="2" t="inlineStr">
        <is>
          <t>estimate</t>
        </is>
      </c>
      <c r="S70" s="2" t="inlineStr">
        <is>
          <t>Life-sciences-europe business directory lists annual sales EUR 100,000,000 (revenue date 2023-12-31) - a rounded, unaudited directory figure; Prospeo estimates only USD 25M. Treat as estimate.</t>
        </is>
      </c>
      <c r="T70" s="2" t="inlineStr">
        <is>
          <t>mixed</t>
        </is>
      </c>
      <c r="U70" s="2" t="inlineStr">
        <is>
          <t>UNIVERSAL 320 / 320 R — benchtop laboratory centrifuge</t>
        </is>
      </c>
      <c r="V70" s="2" t="inlineStr">
        <is>
          <t>ROTINA 380 / 420 (R) — high-capacity benchtop centrifuges</t>
        </is>
      </c>
      <c r="W70" s="2" t="inlineStr">
        <is>
          <t>HettCube — microbiological incubators</t>
        </is>
      </c>
      <c r="X70" s="2" t="inlineStr"/>
      <c r="Y70" s="2" t="inlineStr"/>
      <c r="Z70" s="2" t="inlineStr"/>
      <c r="AA70" s="2" t="inlineStr"/>
      <c r="AB70" s="2" t="inlineStr"/>
      <c r="AC70" s="2" t="inlineStr">
        <is>
          <t>distributor</t>
        </is>
      </c>
      <c r="AD70" s="2" t="inlineStr">
        <is>
          <t>מפיץ / נציג ישראלי</t>
        </is>
      </c>
      <c r="AE70" s="2" t="inlineStr">
        <is>
          <t>verified</t>
        </is>
      </c>
      <c r="AF70" s="2" t="inlineStr">
        <is>
          <t>אומת ממקור</t>
        </is>
      </c>
      <c r="AG70" s="2" t="inlineStr">
        <is>
          <t>Eldan Electronic Instruments Ltd. (Neopharm group) (אלדן) [מפיץ; Hettich centrifuges – Eldan states it offers the whole Hettich range in Israel (eldan.biz page; verify currency)]</t>
        </is>
      </c>
      <c r="AH70" s="2" t="inlineStr">
        <is>
          <t>Search '"Hettich" centrifuge Israel distributor' returned Eldan's own page 'Hettich Lab Technology' (https://eldan.biz/?p=9327, Neopharm Group) stating 'Eldan offers in Israel the whole product range by Hettich'; the page sits in Eldan's 2016 archive (eldan.biz/2016/page/3), so the relationship is documented as of 2016 and its current status should be re-confirmed. Not cross-checked on hettichlab.com (page could not be opened). A Sigma-Aldrich Israel catalogue entry for a Hettich item also appeared but is a global catalogue listing, not distribution evidence. Hebrew search 'Hettich צנטריפוגה יבואן ישראל אלדן' added nothing. Tooling caveat: in this session WebFetch failed with DNS errors on every host, direct HTTPS was policy-blocked by the proxy, and the shared per-turn WebSearch budget ran out before .co.il-restricted and manufacturer-site-restricted searches could run. Steps (b) manufacturer distributor page and (c) Israeli distributor site check were therefore NOT completed; only step (a) searches were done.</t>
        </is>
      </c>
      <c r="AI70" s="2" t="inlineStr">
        <is>
          <t>medium</t>
        </is>
      </c>
      <c r="AJ70" s="2" t="inlineStr">
        <is>
          <t>Israeli distributor evidenced by the distributor's own site (2016-dated, not re-confirmed by manufacturer); revenue is a directory estimate; ownership details (Bregal stake) not verified in a primary source.</t>
        </is>
      </c>
      <c r="AK70" s="2" t="inlineStr">
        <is>
          <t>https://eldan.biz/?p=9327 ; https://eldan.biz/2016/page/3 ; https://hettichlab.com/about-us/company/ ; https://www.hettichlab.com/about-us/company/history/ ; https://www.life-sciences-europe.com/organisation/hettich-group-tuttlingen-baden-wuerttemberg-federal-state-germany-2001-19542.html ; https://www.selectscience.net/company/andreas-hettich-gmbh ; https://www.medicalexpo.com/ja/soc/andreas-hettich-gmbh-cokg-67600.html ; https://prospeo.io/c/andreas-hettich-revenue ; https://b2b.sigmaaldrich.com/IL/en/product/sigma/z631116</t>
        </is>
      </c>
    </row>
    <row r="71">
      <c r="A71" s="2" t="n">
        <v>70</v>
      </c>
      <c r="B71" s="2" t="inlineStr">
        <is>
          <t>Esco Lifesciences</t>
        </is>
      </c>
      <c r="C71" s="2" t="inlineStr">
        <is>
          <t>Esco Micro Pte Ltd, Esco Technologies Inc (USA), Esco Medical, Esco Aster, Esco Global</t>
        </is>
      </c>
      <c r="D71" s="2" t="inlineStr">
        <is>
          <t>Singapore (Changi South)</t>
        </is>
      </c>
      <c r="E71" s="2" t="inlineStr">
        <is>
          <t>Singapore</t>
        </is>
      </c>
      <c r="F71" s="2" t="inlineStr"/>
      <c r="G71" s="2" t="inlineStr">
        <is>
          <t>Private (founder-family and investors)</t>
        </is>
      </c>
      <c r="H71" s="2" t="n">
        <v>1978</v>
      </c>
      <c r="I71" s="2" t="inlineStr">
        <is>
          <t>https://www.escolifesciences.com</t>
        </is>
      </c>
      <c r="J71" s="2" t="inlineStr">
        <is>
          <t>Biosafety cabinets &amp; clean-air equipment</t>
        </is>
      </c>
      <c r="K71" s="3" t="n">
        <v>1600</v>
      </c>
      <c r="L71" s="2" t="n">
        <v>2025</v>
      </c>
      <c r="M71" s="2" t="inlineStr">
        <is>
          <t>company</t>
        </is>
      </c>
      <c r="N71" s="2" t="inlineStr">
        <is>
          <t>Company website: '1600+ employees, 42 locations in 24 countries incl. 8 R&amp;D and manufacturing sites'; JobStreet profile '&gt;1,500 worldwide'; Revelio estimates ~1,970 for Esco Micro Pte Ltd.</t>
        </is>
      </c>
      <c r="O71" s="2" t="inlineStr">
        <is>
          <t>USD ~115 million (aggregator estimate; RocketReach gives USD 18.5M)</t>
        </is>
      </c>
      <c r="P71" s="3" t="n">
        <v>115</v>
      </c>
      <c r="Q71" s="2" t="inlineStr">
        <is>
          <t>undated aggregator estimate (c. 2024)</t>
        </is>
      </c>
      <c r="R71" s="2" t="inlineStr">
        <is>
          <t>estimate</t>
        </is>
      </c>
      <c r="S71" s="2" t="inlineStr">
        <is>
          <t>Privately held with limited disclosure; a-leads/builtin estimate USD 115M. A Q1 2025 CEO update reportedly cited revenue +6% but no primary source was seen.</t>
        </is>
      </c>
      <c r="T71" s="2" t="inlineStr">
        <is>
          <t>mixed</t>
        </is>
      </c>
      <c r="U71" s="2" t="inlineStr">
        <is>
          <t>Airstream Class II (Gen 3) — biological safety cabinets</t>
        </is>
      </c>
      <c r="V71" s="2" t="inlineStr">
        <is>
          <t>CelCulture — CO2 incubators</t>
        </is>
      </c>
      <c r="W71" s="2" t="inlineStr">
        <is>
          <t>Isoclean / Streamline isolators — aseptic and containment isolators</t>
        </is>
      </c>
      <c r="X71" s="2" t="inlineStr"/>
      <c r="Y71" s="2" t="inlineStr"/>
      <c r="Z71" s="2" t="inlineStr"/>
      <c r="AA71" s="2" t="inlineStr"/>
      <c r="AB71" s="2" t="inlineStr"/>
      <c r="AC71" s="2" t="inlineStr">
        <is>
          <t>distributor</t>
        </is>
      </c>
      <c r="AD71" s="2" t="inlineStr">
        <is>
          <t>מפיץ / נציג ישראלי</t>
        </is>
      </c>
      <c r="AE71" s="2" t="inlineStr">
        <is>
          <t>verified</t>
        </is>
      </c>
      <c r="AF71" s="2" t="inlineStr">
        <is>
          <t>אומת ממקור</t>
        </is>
      </c>
      <c r="AG71" s="2" t="inlineStr">
        <is>
          <t>Danyel Biotech [מפיץ; Esco Life Sciences division: biological safety cabinets (Airstream Class I/III, Labculture Class II A2/B1/B2), fume hoods, incubators and ULT freezers - dedicated Esco page on Danyel's site]</t>
        </is>
      </c>
      <c r="AH71" s="2" t="inlineStr">
        <is>
          <t>A search for 'Esco biosafety cabinet' restricted to Israeli distributor domains returned Danyel Biotech's dedicated Esco page (danyel.co.il/esco), which describes Esco's Life Sciences division range (biological safety cabinets, fume hoods, incubators, ULT freezers) with model families such as Airstream and Labculture; the same page surfaced again in two later .co.il-wide searches. Danyel Biotech is therefore recorded as the Israeli distributor. Esco's own distributor locator (escolifesciences.com) was not searched within the budget, so Esco's Medical/pharma-isolator lines may have a different Israeli channel.</t>
        </is>
      </c>
      <c r="AI71" s="2" t="inlineStr">
        <is>
          <t>medium</t>
        </is>
      </c>
      <c r="AJ71" s="2" t="inlineStr">
        <is>
          <t>Distributor established from its own dedicated Esco page; no manufacturer-side confirmation.</t>
        </is>
      </c>
      <c r="AK71" s="2" t="inlineStr">
        <is>
          <t>https://escolifesciences.com/about-us/overview ; https://www.escolifesciences.com/about-us/our-story ; https://my.jobstreet.com/companies/esco-lifesciences-group-168554036945479 ; https://a-leads.co/company/6196714_bbf95de2 ; https://builtin.com/company/esco ; https://rocketreach.co/esco-profile_b5c791adf42e0d75 ; https://www.reveliolabs.com/companies/esco-micro/employees/ ; https://www.escolifesciences.com/pdf/9010395_Esco_BSC_LFC_Service_Tri-fold brochure_A4_vB_LR.pdf ; https://www.danyel.co.il/esco/</t>
        </is>
      </c>
    </row>
    <row r="72">
      <c r="A72" s="2" t="n">
        <v>71</v>
      </c>
      <c r="B72" s="2" t="inlineStr">
        <is>
          <t>Labconco</t>
        </is>
      </c>
      <c r="C72" s="2" t="inlineStr">
        <is>
          <t>Laboratory Construction Company (original name); brands: Protector, FreeZone, Purifier, CentriVap, RapidVap</t>
        </is>
      </c>
      <c r="D72" s="2" t="inlineStr">
        <is>
          <t>Kansas City, Missouri</t>
        </is>
      </c>
      <c r="E72" s="2" t="inlineStr">
        <is>
          <t>USA</t>
        </is>
      </c>
      <c r="F72" s="2" t="inlineStr"/>
      <c r="G72" s="2" t="inlineStr">
        <is>
          <t>Private</t>
        </is>
      </c>
      <c r="H72" s="2" t="n">
        <v>1925</v>
      </c>
      <c r="I72" s="2" t="inlineStr">
        <is>
          <t>https://www.labconco.com</t>
        </is>
      </c>
      <c r="J72" s="2" t="inlineStr">
        <is>
          <t>Lab furniture &amp; fume hoods</t>
        </is>
      </c>
      <c r="K72" s="3" t="n">
        <v>375</v>
      </c>
      <c r="L72" s="2" t="n"/>
      <c r="M72" s="2" t="inlineStr">
        <is>
          <t>company</t>
        </is>
      </c>
      <c r="N72" s="2" t="inlineStr">
        <is>
          <t>Third-party estimate only: IBISWorld SupplierIQ ~375; LinkedIn band 201-500; another directory 222-275; Labconco's own older statement says 'over 200 associates' at two Kansas City-area facilities. No official current figure found.</t>
        </is>
      </c>
      <c r="O72" s="2" t="inlineStr">
        <is>
          <t>approx. USD 42.6 million (third-party estimate)</t>
        </is>
      </c>
      <c r="P72" s="3" t="n">
        <v>42.6</v>
      </c>
      <c r="Q72" s="2" t="inlineStr">
        <is>
          <t>n/a (aggregator estimate seen Oct 2026)</t>
        </is>
      </c>
      <c r="R72" s="2" t="inlineStr">
        <is>
          <t>estimate</t>
        </is>
      </c>
      <c r="S72" s="2" t="inlineStr">
        <is>
          <t>Private company, no published figure. A market-report profile surfaced in search gives ~USD 42.6M; Indeed lists a USD 25M-100M band. Treat as a rough estimate; a D&amp;B/PitchBook figure may differ.</t>
        </is>
      </c>
      <c r="T72" s="2" t="inlineStr">
        <is>
          <t>estimate</t>
        </is>
      </c>
      <c r="U72" s="2" t="inlineStr">
        <is>
          <t>Protector fume hoods (XStream / Premier) — ducted and ductless chemical fume hoods</t>
        </is>
      </c>
      <c r="V72" s="2" t="inlineStr">
        <is>
          <t>FreeZone freeze dryers — benchtop and console laboratory lyophilizers</t>
        </is>
      </c>
      <c r="W72" s="2" t="inlineStr">
        <is>
          <t>Purifier Logic+ biosafety cabinets — Class II A2/B2/C1 biological safety cabinets</t>
        </is>
      </c>
      <c r="X72" s="2" t="inlineStr"/>
      <c r="Y72" s="2" t="inlineStr"/>
      <c r="Z72" s="2" t="inlineStr"/>
      <c r="AA72" s="2" t="inlineStr"/>
      <c r="AB72" s="2" t="inlineStr"/>
      <c r="AC72" s="2" t="inlineStr">
        <is>
          <t>distributor</t>
        </is>
      </c>
      <c r="AD72" s="2" t="inlineStr">
        <is>
          <t>מפיץ / נציג ישראלי</t>
        </is>
      </c>
      <c r="AE72" s="2" t="inlineStr">
        <is>
          <t>verified</t>
        </is>
      </c>
      <c r="AF72" s="2" t="inlineStr">
        <is>
          <t>אומת ממקור</t>
        </is>
      </c>
      <c r="AG72" s="2" t="inlineStr">
        <is>
          <t>Labotal Scientific Equipment Ltd. (לבוטל) [מפיץ; Labconco biosafety cabinets and CentriVap concentrators (Labotal product pages)]</t>
        </is>
      </c>
      <c r="AH72" s="2" t="inlineStr">
        <is>
          <t>Labotal's own site lists the brand among the firms it represents and sells its products in Israel (some Labotal pages are several years old; the manufacturer's distributor page was not opened).</t>
        </is>
      </c>
      <c r="AI72" s="2" t="inlineStr">
        <is>
          <t>medium</t>
        </is>
      </c>
      <c r="AJ72" s="2" t="inlineStr"/>
      <c r="AK72" s="2" t="inlineStr">
        <is>
          <t>https://www.ibisworld.com/united-states/supplieriq/labconco/406844 ; https://linkedin.com/company/labconco ; https://www.indeed.com/cmp/Labconco-Corporation ; https://my.labconco.com/centennial-timeline ; https://labconco.com/distributors ; https://labconco.com/sales-and-support/international-sales ; https://www.labconco.com/faq ; https://labotal.co.il/sitemap/?lang=en</t>
        </is>
      </c>
    </row>
    <row r="73">
      <c r="A73" s="2" t="n">
        <v>72</v>
      </c>
      <c r="B73" s="2" t="inlineStr">
        <is>
          <t>NuAire</t>
        </is>
      </c>
      <c r="C73" s="2" t="inlineStr">
        <is>
          <t>NuAire Laboratory Equipment; brands: LabGard, In-VitroCell, Glacier, AireGard, NuWind</t>
        </is>
      </c>
      <c r="D73" s="2" t="inlineStr">
        <is>
          <t>Plymouth, Minnesota</t>
        </is>
      </c>
      <c r="E73" s="2" t="inlineStr">
        <is>
          <t>USA</t>
        </is>
      </c>
      <c r="F73" s="2" t="inlineStr">
        <is>
          <t>Kewaunee Scientific (since Nov 2024)</t>
        </is>
      </c>
      <c r="G73" s="2" t="inlineStr">
        <is>
          <t>Subsidiary of Kewaunee Scientific (public, NASDAQ: KEQU)</t>
        </is>
      </c>
      <c r="H73" s="2" t="n">
        <v>1971</v>
      </c>
      <c r="I73" s="2" t="inlineStr">
        <is>
          <t>https://www.nuaire.com</t>
        </is>
      </c>
      <c r="J73" s="2" t="inlineStr">
        <is>
          <t>Biosafety cabinets &amp; clean-air equipment</t>
        </is>
      </c>
      <c r="K73" s="3" t="n">
        <v>300</v>
      </c>
      <c r="L73" s="2" t="n"/>
      <c r="M73" s="2" t="inlineStr">
        <is>
          <t>company</t>
        </is>
      </c>
      <c r="N73" s="2" t="inlineStr">
        <is>
          <t>Third-party estimates: PitchBook ~300, Datanyze 267, ZoomInfo 201-500, other directories 114-200. NuAire's site says it 'supports 350 Minnesota families' (three facilities in Plymouth and Long Lake, MN, &gt;300,000 sq ft). PitchBook labels ownership 'Acquired/Merged (Operating Subsidiary)' without naming a parent; no parent found in sources seen.</t>
        </is>
      </c>
      <c r="O73" s="2" t="inlineStr">
        <is>
          <t>approx. USD 96 million (third-party estimate)</t>
        </is>
      </c>
      <c r="P73" s="3" t="n">
        <v>96</v>
      </c>
      <c r="Q73" s="2" t="inlineStr">
        <is>
          <t>n/a (aggregator estimate seen Oct 2026)</t>
        </is>
      </c>
      <c r="R73" s="2" t="inlineStr">
        <is>
          <t>estimate</t>
        </is>
      </c>
      <c r="S73" s="2" t="inlineStr">
        <is>
          <t>Datanyze and ZoomInfo both list ~USD 96M; Visual Visitor gives USD 10-50M. No published figure (private company).</t>
        </is>
      </c>
      <c r="T73" s="2" t="inlineStr">
        <is>
          <t>estimate</t>
        </is>
      </c>
      <c r="U73" s="2" t="inlineStr">
        <is>
          <t>LabGard ES NU-540 / NU-543 — Class II Type A2 biosafety cabinets</t>
        </is>
      </c>
      <c r="V73" s="2" t="inlineStr">
        <is>
          <t>In-VitroCell NU-5800 series — direct-heat CO2 incubators</t>
        </is>
      </c>
      <c r="W73" s="2" t="inlineStr">
        <is>
          <t>Glacier NU-99xxx series — -86C ultralow temperature freezers</t>
        </is>
      </c>
      <c r="X73" s="2" t="inlineStr"/>
      <c r="Y73" s="2" t="inlineStr"/>
      <c r="Z73" s="2" t="inlineStr"/>
      <c r="AA73" s="2" t="inlineStr"/>
      <c r="AB73" s="2" t="inlineStr"/>
      <c r="AC73" s="2" t="inlineStr">
        <is>
          <t>distributor</t>
        </is>
      </c>
      <c r="AD73" s="2" t="inlineStr">
        <is>
          <t>מפיץ / נציג ישראלי</t>
        </is>
      </c>
      <c r="AE73" s="2" t="inlineStr">
        <is>
          <t>verified</t>
        </is>
      </c>
      <c r="AF73" s="2" t="inlineStr">
        <is>
          <t>אומת ממקור</t>
        </is>
      </c>
      <c r="AG73" s="2" t="inlineStr">
        <is>
          <t>Ormir Lab Equipment [מפיץ; NuAire biosafety cabinets, laminar-flow hoods, CO2 incubators (NU-5731), ULT freezers and PharmaGard compounding isolators (NU-NTE800) - NuAire listed on Ormir's manufacturers page with product pages] | Citrine Solutions (סיטרין) [מפיץ; NuAire AutoFlow CO2 incubators (NU-4750/4850/4950/5510) - catalogue PDF hosted on Citrine's site and addressed 'to Citrine customers'; authorised status not stated]</t>
        </is>
      </c>
      <c r="AH73" s="2" t="inlineStr">
        <is>
          <t>A .co.il-wide search for 'NuAire biosafety cabinet CO2 incubator' found Ormir (ormir.co.il) with a NU-5731 CO2 incubator product page and a manufacturers page describing NuAire as a leading provider of biosafety cabinets, laminar flow hoods, CO2 incubators and ULT freezers; a follow-up search restricted to ormir.co.il confirmed further NuAire pages (PharmaGard ES NU-NTE800 isolator, biological safety cabinets), so Ormir is recorded as the Israeli distributor. Citrine Solutions hosts a NuAire AutoFlow CO2-incubator catalogue labelled for its customers and is recorded as a secondary reseller. NuAire's own site (nuaire.com) only offers a sales-partner locator whose entries are not indexed, so no manufacturer-side confirmation was obtained; the earlier Hebrew and distributor-domain searches had found nothing.</t>
        </is>
      </c>
      <c r="AI73" s="2" t="inlineStr">
        <is>
          <t>medium</t>
        </is>
      </c>
      <c r="AJ73" s="2" t="inlineStr">
        <is>
          <t>Ormir established from several of its own NuAire product pages; Citrine from a hosted catalogue only; NuAire's locator could not be read.</t>
        </is>
      </c>
      <c r="AK73" s="2" t="inlineStr">
        <is>
          <t>https://pitchbook.com/profiles/company/359603-56 ; https://www.datanyze.com/companies/nuaire/42124692 ; https://zoominfo.com/c/nuaire/42124692 ; https://nuaire.com/about/history ; https://www.nuaire.com/?p=17172 ; https://www.nuaire.co.uk/international/international-distributors ; https://ormir.co.il/product/co2-incubator-nu-5731/ ; https://ormir.co.il/card-with-image/ ; https://ormir.co.il/product/pharmagard-es-nu-nte800-total-exhaust-compounding-aseptic-containment-isolator/ ; https://ormir.co.il/product/biological-safety-cabinets-enclosures/ ; https://www.citrinesolutions.co.il/userfiles/documents/AutoFlow_CO2_Incubators%20ללקוחות%20סיטרין.pdf ; https://www.nuaire.com/sales-and-support/sales-locator</t>
        </is>
      </c>
    </row>
    <row r="74">
      <c r="A74" s="2" t="n">
        <v>73</v>
      </c>
      <c r="B74" s="2" t="inlineStr">
        <is>
          <t>PHC Holdings (PHCbi)</t>
        </is>
      </c>
      <c r="C74" s="2" t="inlineStr">
        <is>
          <t>PHCbi; formerly Panasonic Healthcare / Panasonic Biomedical / Sanyo Biomedical; group brands Epredia, LSI Medience, Wemex, Ascensia</t>
        </is>
      </c>
      <c r="D74" s="2" t="inlineStr">
        <is>
          <t>Tokyo (Minato-ku)</t>
        </is>
      </c>
      <c r="E74" s="2" t="inlineStr">
        <is>
          <t>Japan</t>
        </is>
      </c>
      <c r="F74" s="2" t="inlineStr"/>
      <c r="G74" s="2" t="inlineStr">
        <is>
          <t>Public (TSE: 6523)</t>
        </is>
      </c>
      <c r="H74" s="2" t="n">
        <v>1969</v>
      </c>
      <c r="I74" s="2" t="inlineStr">
        <is>
          <t>https://www.phchd.com</t>
        </is>
      </c>
      <c r="J74" s="2" t="inlineStr">
        <is>
          <t>Lab refrigeration &amp; cold storage</t>
        </is>
      </c>
      <c r="K74" s="3" t="n">
        <v>9041</v>
      </c>
      <c r="L74" s="2" t="n">
        <v>2025</v>
      </c>
      <c r="M74" s="2" t="inlineStr">
        <is>
          <t>parent</t>
        </is>
      </c>
      <c r="N74" s="2" t="inlineStr">
        <is>
          <t>Consolidated PHC Holdings group headcount (Simply Wall St / TradingView, shown as of Dec 2025, presumably from the FY2024 report). The PHCbi biomedical business's own headcount is not disclosed in sources seen. Founding year 1969 refers to PHC Corporation's origin (Matsushita Kotobuki Electronics); PHC Holdings itself was established 2014 when KKR acquired Panasonic Healthcare.</t>
        </is>
      </c>
      <c r="O74" s="2" t="inlineStr">
        <is>
          <t>JPY 361.6 billion</t>
        </is>
      </c>
      <c r="P74" s="3" t="n">
        <v>2423</v>
      </c>
      <c r="Q74" s="2" t="inlineStr">
        <is>
          <t>FY2024 (ending Mar-2025)</t>
        </is>
      </c>
      <c r="R74" s="2" t="inlineStr">
        <is>
          <t>parent</t>
        </is>
      </c>
      <c r="S74" s="2" t="inlineStr">
        <is>
          <t>Group revenue JPY 361.6bn (+2.2% YoY) per the CFO message in PHC's Integrated Report 2025. The Diagnostics &amp; Life Sciences segment (Epredia + PHCbi biomedical) was JPY 130.9bn (~USD 877M, +1.0%); the biomedical (PHCbi) sub-segment alone is not broken out in sources seen. PitchBook shows TTM revenue ~USD 2.42bn to Sep-2025. FY2025 (ending Mar-2026) results were not retrieved.</t>
        </is>
      </c>
      <c r="T74" s="2" t="inlineStr">
        <is>
          <t>reported</t>
        </is>
      </c>
      <c r="U74" s="2" t="inlineStr">
        <is>
          <t>MDF-DU702VH VIP ECO — -86C ultra-low temperature freezer</t>
        </is>
      </c>
      <c r="V74" s="2" t="inlineStr">
        <is>
          <t>MCO-170AIC / MCO-230AIC IncuSafe — CO2 incubators with H2O2 decontamination</t>
        </is>
      </c>
      <c r="W74" s="2" t="inlineStr">
        <is>
          <t>MPR / MBR series — pharmaceutical refrigerators and biomedical freezers</t>
        </is>
      </c>
      <c r="X74" s="2" t="inlineStr"/>
      <c r="Y74" s="2" t="inlineStr"/>
      <c r="Z74" s="2" t="inlineStr"/>
      <c r="AA74" s="2" t="inlineStr"/>
      <c r="AB74" s="2" t="inlineStr"/>
      <c r="AC74" s="2" t="inlineStr">
        <is>
          <t>distributor</t>
        </is>
      </c>
      <c r="AD74" s="2" t="inlineStr">
        <is>
          <t>מפיץ / נציג ישראלי</t>
        </is>
      </c>
      <c r="AE74" s="2" t="inlineStr">
        <is>
          <t>verified</t>
        </is>
      </c>
      <c r="AF74" s="2" t="inlineStr">
        <is>
          <t>אומת ממקור</t>
        </is>
      </c>
      <c r="AG74" s="2" t="inlineStr">
        <is>
          <t>Eldan Electronic Instruments [מפיץ; PHCbi CO2 and multigas incubators (incl. Cell-IQ) and PHCbi biomedical/pharmaceutical freezers] | Lumitron Ltd. (לומיטרון) [מפיץ; PHCbi (ultralow freezers, incubators) listed on Lumitron's 'Our brands' page]</t>
        </is>
      </c>
      <c r="AH74" s="2" t="inlineStr">
        <is>
          <t>Searched generic queries, 27 Israeli distributor domains, phchd.com and enco.co.il. Eldan Electronic Instruments' laboratory-instruments page lists PHCbi CO2/multigas incubators (incl. Cell-IQ) and PHCbi biomedical/pharmaceutical freezers alongside Hettich, so Eldan is a current Israeli channel; the Enco lead could not be confirmed (a search restricted to enco.co.il returned no PHC content). PHCbi's own 'where to buy' lists partners for APAC and PHC Europe B.V. for Europe but Israel was not visible, and it states it is not recruiting new distributors. Lumitron's own 'Our brands' page lists PHCbi among the brands it distributes in Israel (seen in a search excerpt).</t>
        </is>
      </c>
      <c r="AI74" s="2" t="inlineStr">
        <is>
          <t>medium</t>
        </is>
      </c>
      <c r="AJ74" s="2" t="inlineStr">
        <is>
          <t>Distributor's own product page names PHCbi; manufacturer-side listing for Israel not seen.</t>
        </is>
      </c>
      <c r="AK74" s="2" t="inlineStr">
        <is>
          <t>https://www.phchd.com/global/sustainability/integratedreport2025/strategy/cfomessage ; https://simplywall.st/stock/TSE/6523 ; https://in.tradingview.com/symbols/OTC-PHCCF ; https://pitchbook.com/profiles/company/56367-46 ; https://www.phchd.com/global/biomedical/service-downloads/faq/general-questions-for-phcbi ; https://www.phchd.com/global/biomedical/preservation/biomedical-freezers ; https://www.enco.co.il/about.php ; https://www.eldan.biz/laboratory-instruments/ ; https://www.phchd.com/global/biomedical/where-to-buy ; https://phceu.phcbi.phchd.com/ ; https://www.enco.co.il/antibodies/mki67ki67_antibody_aa28152928_lsc295028/ls-c295028/ ; https://www.lumitron.co.il/our-brands-heb/?lang=en</t>
        </is>
      </c>
    </row>
    <row r="75">
      <c r="A75" s="2" t="n">
        <v>74</v>
      </c>
      <c r="B75" s="2" t="inlineStr">
        <is>
          <t>Haier Biomedical</t>
        </is>
      </c>
      <c r="C75" s="2" t="inlineStr">
        <is>
          <t>Haier Biomedical; 海尔生物; Haier Biomedical UK; brands: Biobank, Smart Vaccine, DW ULT freezers</t>
        </is>
      </c>
      <c r="D75" s="2" t="inlineStr">
        <is>
          <t>Qingdao, Shandong</t>
        </is>
      </c>
      <c r="E75" s="2" t="inlineStr">
        <is>
          <t>China</t>
        </is>
      </c>
      <c r="F75" s="2" t="inlineStr">
        <is>
          <t>Haier Group (controlling shareholder)</t>
        </is>
      </c>
      <c r="G75" s="2" t="inlineStr">
        <is>
          <t>Public (SSE STAR Market: 688139); controlled by Haier Group</t>
        </is>
      </c>
      <c r="H75" s="2" t="n">
        <v>2005</v>
      </c>
      <c r="I75" s="2" t="inlineStr">
        <is>
          <t>https://www.haiermedical.com</t>
        </is>
      </c>
      <c r="J75" s="2" t="inlineStr">
        <is>
          <t>Lab refrigeration &amp; cold storage</t>
        </is>
      </c>
      <c r="K75" s="3" t="n">
        <v>2800</v>
      </c>
      <c r="L75" s="2" t="n">
        <v>2024</v>
      </c>
      <c r="M75" s="2" t="inlineStr">
        <is>
          <t>estimate</t>
        </is>
      </c>
      <c r="N75" s="2" t="inlineStr">
        <is>
          <t>Roughly 2,500-3,000 employees (annual report, recalled).</t>
        </is>
      </c>
      <c r="O75" s="2" t="inlineStr">
        <is>
          <t>CNY 2.32 billion (2,316 million)</t>
        </is>
      </c>
      <c r="P75" s="3" t="n">
        <v>322</v>
      </c>
      <c r="Q75" s="2" t="inlineStr">
        <is>
          <t>FY2025</t>
        </is>
      </c>
      <c r="R75" s="2" t="inlineStr">
        <is>
          <t>company</t>
        </is>
      </c>
      <c r="S75" s="2" t="inlineStr">
        <is>
          <t>Company press release (30 Apr 2026) on the 2025 annual report: revenue ~CNY 2.33bn (company's own conversion USD 340.8M), overseas revenue CNY 840M = record 36% share; new businesses (smart medication, blood technology, lab solutions) 48.5% of revenue; R&amp;D CNY 320M. StockAnalysis lists FY2025 operating revenue CNY 2,316M vs CNY 2,274M in FY2024 (~+2%). USD figure uses the brief's 0.139 rate.</t>
        </is>
      </c>
      <c r="T75" s="2" t="inlineStr">
        <is>
          <t>reported</t>
        </is>
      </c>
      <c r="U75" s="2" t="inlineStr">
        <is>
          <t>DW-86L series — -86C ultra-low temperature freezers</t>
        </is>
      </c>
      <c r="V75" s="2" t="inlineStr">
        <is>
          <t>Automated Biobank — automated -80C / LN2 sample storage systems</t>
        </is>
      </c>
      <c r="W75" s="2" t="inlineStr">
        <is>
          <t>HXC / HYC series — blood bank and pharmacy/vaccine refrigerators</t>
        </is>
      </c>
      <c r="X75" s="2" t="inlineStr"/>
      <c r="Y75" s="2" t="inlineStr"/>
      <c r="Z75" s="2" t="inlineStr"/>
      <c r="AA75" s="2" t="inlineStr"/>
      <c r="AB75" s="2" t="inlineStr"/>
      <c r="AC75" s="2" t="inlineStr">
        <is>
          <t>distributor</t>
        </is>
      </c>
      <c r="AD75" s="2" t="inlineStr">
        <is>
          <t>מפיץ / נציג ישראלי</t>
        </is>
      </c>
      <c r="AE75" s="2" t="inlineStr">
        <is>
          <t>verified</t>
        </is>
      </c>
      <c r="AF75" s="2" t="inlineStr">
        <is>
          <t>אומת ממקור</t>
        </is>
      </c>
      <c r="AG75" s="2" t="inlineStr">
        <is>
          <t>Ex-Lab (אקס-לאב) [מפיץ; named by Haier Biomedical as its partner exhibiting Haier Biomedical laboratory equipment at a university expo hosted by the Weizmann Institute and the Technion; product scope, legal name and website not found]</t>
        </is>
      </c>
      <c r="AH75" s="2" t="inlineStr">
        <is>
          <t>A search restricted to haiermedical.com surfaced the news item 'HB Showcases Cutting-Edge Innovations at Israel Expo', whose snippet says Haier Biomedical's partner Ex-Lab presented its lineup of laboratory equipment at a university expo hosted by the Weizmann Institute and the Technion, so Ex-Lab is recorded as the Israeli partner on the manufacturer's own word. Two follow-up searches (unrestricted and .co.il-wide) could not locate Ex-Lab's website or any Israeli page selling Haier Biomedical ULT freezers (results were Eppendorf, Nordiclab/BDL, Kalstein and household Haier retail), and the distributor-domain search returned nothing. The date of the expo is not visible in the snippet, so the partnership's current status is unconfirmed. Haier Biomedical's own news page names Ex-Lab (Petah Tikva) as its Israeli partner; a directory profile says EX-LAB also carries Daihan, DLab, Heal Force, Frimed and Marathon.</t>
        </is>
      </c>
      <c r="AI75" s="2" t="inlineStr">
        <is>
          <t>medium</t>
        </is>
      </c>
      <c r="AJ75" s="2" t="inlineStr">
        <is>
          <t>Entity named only in a manufacturer news snippet; could not identify the company, its website or the date.</t>
        </is>
      </c>
      <c r="AK75" s="2" t="inlineStr">
        <is>
          <t>https://www.aap.com.au/aapreleases/cision20260430ae47721/ ; https://stockanalysis.com/quote/sha/688139/financials/income-statement/ ; https://www.sse.com.cn/star/en/marketdata/snapshot/c/5485106.shtml ; https://www.biospace.com/press-releases/haier-biomedical-achieves-double-no-1-ranking-in-euromonitors-global-life-science-lab-equipment-report-caps-three-phase-global-expansion ; https://onenucleus.com/haier-biomedical ; https://www.haiermedical.com/News/HB-Showcases-Cutting-Edge-Innovations-at-Israel-Expo ; https://www.haiermedical.com/news/Haier-Biomedical-Distributor-Conference-Concluded.html</t>
        </is>
      </c>
    </row>
    <row r="76">
      <c r="A76" s="2" t="n">
        <v>75</v>
      </c>
      <c r="B76" s="2" t="inlineStr">
        <is>
          <t>Antylia Scientific (ex-Cole-Parmer)</t>
        </is>
      </c>
      <c r="C76" s="2" t="inlineStr">
        <is>
          <t>formerly Cole-Parmer Instrument Company (renamed 2021); brands: Cole-Parmer, Environmental Express, Jenway, Stuart, Techne, Oakton, Traceable, SPEX, Digi-Sense; Masterflex bioprocessing business sold to Avantor in 2021</t>
        </is>
      </c>
      <c r="D76" s="2" t="inlineStr">
        <is>
          <t>Vernon Hills, Illinois</t>
        </is>
      </c>
      <c r="E76" s="2" t="inlineStr">
        <is>
          <t>USA</t>
        </is>
      </c>
      <c r="F76" s="2" t="inlineStr">
        <is>
          <t>Brookfield Business Partners &amp; CDPQ (since May 2025)</t>
        </is>
      </c>
      <c r="G76" s="2" t="inlineStr">
        <is>
          <t>Private equity (Brookfield Business Partners / CDPQ; previously GTCR)</t>
        </is>
      </c>
      <c r="H76" s="2" t="n">
        <v>1955</v>
      </c>
      <c r="I76" s="2" t="inlineStr">
        <is>
          <t>https://www.antylia.com</t>
        </is>
      </c>
      <c r="J76" s="2" t="inlineStr">
        <is>
          <t>Lab distribution &amp; own-brand products</t>
        </is>
      </c>
      <c r="K76" s="3" t="n">
        <v>2000</v>
      </c>
      <c r="L76" s="2" t="n">
        <v>2024</v>
      </c>
      <c r="M76" s="2" t="inlineStr">
        <is>
          <t>estimate</t>
        </is>
      </c>
      <c r="N76" s="2" t="inlineStr">
        <is>
          <t>Roughly 2,000 employees (recalled, unverified).</t>
        </is>
      </c>
      <c r="O76" s="2" t="inlineStr">
        <is>
          <t>approx. USD 400 million (third-party directory estimate)</t>
        </is>
      </c>
      <c r="P76" s="3" t="n">
        <v>400</v>
      </c>
      <c r="Q76" s="2" t="inlineStr">
        <is>
          <t>n/a (directory estimate seen Oct 2026)</t>
        </is>
      </c>
      <c r="R76" s="2" t="inlineStr">
        <is>
          <t>estimate</t>
        </is>
      </c>
      <c r="S76" s="2" t="inlineStr">
        <is>
          <t>Bitscale directory lists ~USD 400M revenue (low reliability). Context: Brookfield/CDPQ paid ~USD 1.3-1.34bn for the company (May 2025); the Masterflex business sold to Avantor in 2021 for USD 2.9bn had ~USD 300M revenue and is no longer part of Antylia.</t>
        </is>
      </c>
      <c r="T76" s="2" t="inlineStr">
        <is>
          <t>estimate</t>
        </is>
      </c>
      <c r="U76" s="2" t="inlineStr">
        <is>
          <t>Jenway spectrophotometers — UV/Vis and visible benchtop spectrophotometers</t>
        </is>
      </c>
      <c r="V76" s="2" t="inlineStr">
        <is>
          <t>Environmental Express HotBlock — sample digestion and prep for environmental testing</t>
        </is>
      </c>
      <c r="W76" s="2" t="inlineStr">
        <is>
          <t>Stuart / Techne benchtop equipment — stirrers, shakers, hotplates, dry blocks, thermal cyclers</t>
        </is>
      </c>
      <c r="X76" s="2" t="inlineStr"/>
      <c r="Y76" s="2" t="inlineStr"/>
      <c r="Z76" s="2" t="inlineStr"/>
      <c r="AA76" s="2" t="inlineStr"/>
      <c r="AB76" s="2" t="inlineStr"/>
      <c r="AC76" s="2" t="inlineStr">
        <is>
          <t>none_found</t>
        </is>
      </c>
      <c r="AD76" s="2" t="inlineStr">
        <is>
          <t>לא נמצא ייצוג</t>
        </is>
      </c>
      <c r="AE76" s="2" t="inlineStr">
        <is>
          <t>partial</t>
        </is>
      </c>
      <c r="AF76" s="2" t="inlineStr">
        <is>
          <t>חיפוש חלקי (ללא פתיחת אתרי היצרן/המפיץ)</t>
        </is>
      </c>
      <c r="AG76" s="2" t="inlineStr"/>
      <c r="AH76" s="2" t="inlineStr">
        <is>
          <t>חיפוש רשת בלבד; דפי ״מפיצים״ של היצרן ואתרי המפיצים לא נפתחו (חסימת רשת). Searched '"Antylia" OR "Cole-Parmer" Israel distributor Masterflex'. Results showed only Antylia's Italy and USA distributor entries and John Morris Group (Australia/NZ); no Israel mention. The antylia.com distributors page could not be opened, and the Hebrew and site:co.il searches for Cole-Parmer/Jenway/Stuart were not possible (search budget exhausted). Note Masterflex is an Avantor brand since 2021, so any Israeli Masterflex reseller would be an Avantor/VWR channel, not Antylia. No Israeli entity identified.</t>
        </is>
      </c>
      <c r="AI76" s="2" t="inlineStr">
        <is>
          <t>low</t>
        </is>
      </c>
      <c r="AJ76" s="2" t="inlineStr">
        <is>
          <t>Ownership change is well sourced; size figures are weak estimates; Israel check incomplete.</t>
        </is>
      </c>
      <c r="AK76" s="2" t="inlineStr">
        <is>
          <t>https://www.privsource.com/acquisitions/deal/brookfield-asset-management-and-cdpq-acquire-antylia-scientific-from-gtcr-aYSA2b ; https://www.preqin.com/data/profile/asset/antylia-scientific/146061 ; https://news.avantorsciences.com/2021-09-07-Avantor-R-to-Acquire-Masterflex-R-Expands-Proprietary-Single-Use-Offering-for-Bioproduction ; https://bitscale.ai/directory/antylia-scientific ; https://wellfound.com/company/antylia-scientific-2 ; https://www.biospectrumasia.com/news/106/17664/cole-parmer-is-now-antylia-scientific.html ; https://www.idex-hs.com/contact/fluidics-distributors/cole-parmer</t>
        </is>
      </c>
    </row>
    <row r="77">
      <c r="A77" s="2" t="n">
        <v>76</v>
      </c>
      <c r="B77" s="2" t="inlineStr">
        <is>
          <t>Verder Scientific (Retsch, Carbolite Gero, Eltra, Microtrac MRB, QATM)</t>
        </is>
      </c>
      <c r="C77" s="2" t="inlineStr">
        <is>
          <t>Verder Group scientific division; brands: Retsch, Carbolite Gero, Eltra, Microtrac MRB, QATM, ERWEKA</t>
        </is>
      </c>
      <c r="D77" s="2" t="inlineStr">
        <is>
          <t>Haan (North Rhine-Westphalia)</t>
        </is>
      </c>
      <c r="E77" s="2" t="inlineStr">
        <is>
          <t>Germany</t>
        </is>
      </c>
      <c r="F77" s="2" t="inlineStr">
        <is>
          <t>Verder International B.V. (Verder Group, Vleuten/Utrecht, Netherlands)</t>
        </is>
      </c>
      <c r="G77" s="2" t="inlineStr">
        <is>
          <t>Subsidiary of Verder Group (private, family-owned)</t>
        </is>
      </c>
      <c r="H77" s="2" t="n">
        <v>1959</v>
      </c>
      <c r="I77" s="2" t="inlineStr">
        <is>
          <t>https://www.verder-scientific.com</t>
        </is>
      </c>
      <c r="J77" s="2" t="inlineStr">
        <is>
          <t>Elemental &amp; materials analysis</t>
        </is>
      </c>
      <c r="K77" s="3" t="n">
        <v>1000</v>
      </c>
      <c r="L77" s="2" t="n">
        <v>2024</v>
      </c>
      <c r="M77" s="2" t="inlineStr">
        <is>
          <t>estimate</t>
        </is>
      </c>
      <c r="N77" s="2" t="inlineStr">
        <is>
          <t>Verder Scientific division ~1,000 (ZoomInfo 501-1,000); Verder Group ~2,000+ (recalled, unverified).</t>
        </is>
      </c>
      <c r="O77" s="2" t="inlineStr">
        <is>
          <t>approx. USD 271 million (ZoomInfo estimate)</t>
        </is>
      </c>
      <c r="P77" s="3" t="n">
        <v>271</v>
      </c>
      <c r="Q77" s="2" t="inlineStr">
        <is>
          <t>n/a (aggregator estimate seen Oct 2026)</t>
        </is>
      </c>
      <c r="R77" s="2" t="inlineStr">
        <is>
          <t>estimate</t>
        </is>
      </c>
      <c r="S77" s="2" t="inlineStr">
        <is>
          <t>No official divisional figure found; Verder Group does not publish segment revenue in sources seen. Implisense shows unlabeled register figures not relied upon.</t>
        </is>
      </c>
      <c r="T77" s="2" t="inlineStr">
        <is>
          <t>estimate</t>
        </is>
      </c>
      <c r="U77" s="2" t="inlineStr">
        <is>
          <t>Retsch mills and sieve shakers — planetary ball mills, cutting mills, AS 200 sieving</t>
        </is>
      </c>
      <c r="V77" s="2" t="inlineStr">
        <is>
          <t>Carbolite Gero furnaces — laboratory chamber, tube and high-temperature furnaces</t>
        </is>
      </c>
      <c r="W77" s="2" t="inlineStr">
        <is>
          <t>Microtrac MRB particle analyzers — laser diffraction and image particle characterization</t>
        </is>
      </c>
      <c r="X77" s="2" t="inlineStr"/>
      <c r="Y77" s="2" t="inlineStr"/>
      <c r="Z77" s="2" t="inlineStr"/>
      <c r="AA77" s="2" t="inlineStr"/>
      <c r="AB77" s="2" t="inlineStr"/>
      <c r="AC77" s="2" t="inlineStr">
        <is>
          <t>none_found</t>
        </is>
      </c>
      <c r="AD77" s="2" t="inlineStr">
        <is>
          <t>לא נמצא ייצוג</t>
        </is>
      </c>
      <c r="AE77" s="2" t="inlineStr">
        <is>
          <t>partial</t>
        </is>
      </c>
      <c r="AF77" s="2" t="inlineStr">
        <is>
          <t>חיפוש חלקי (ללא פתיחת אתרי היצרן/המפיץ)</t>
        </is>
      </c>
      <c r="AG77" s="2" t="inlineStr"/>
      <c r="AH77" s="2" t="inlineStr">
        <is>
          <t>חיפוש רשת בלבד; דפי ״מפיצים״ של היצרן ואתרי המפיצים לא נפתחו (חסימת רשת). Searched '"Retsch" Israel distributor'. Results: Retsch says it sells via subsidiaries and trained distributors and offers a 'Your local contact' page (not openable); RSTECH (rstech.co.il) surfaced but its principals are Gore, Tsubaki, JAE (unrelated); Agentek surfaced generically without a Retsch mention; a machineseeker listing for an unrelated Retsch Maschinen GmbH mentions Israel. Hebrew and site:co.il searches for Retsch/Carbolite/Verder Scientific were not possible (budget exhausted) and Israeli distributor sites could not be opened. No Israeli entity identified.</t>
        </is>
      </c>
      <c r="AI77" s="2" t="inlineStr">
        <is>
          <t>low</t>
        </is>
      </c>
      <c r="AJ77" s="2" t="inlineStr">
        <is>
          <t>Size figures are aggregator estimates; Israel check incomplete.</t>
        </is>
      </c>
      <c r="AK77" s="2" t="inlineStr">
        <is>
          <t>https://www.verder-scientific.com/company/ ; https://verder-scientific.com/company/company-history ; https://www.zoominfo.com/c/verder-scientific/145735748 ; https://www.stepstone.de/jobs/laborleiter-in/in-ratingen ; https://retsch.com/contact ; https://www.rstech.co.il/en/about</t>
        </is>
      </c>
    </row>
    <row r="78">
      <c r="A78" s="2" t="n">
        <v>77</v>
      </c>
      <c r="B78" s="2" t="inlineStr">
        <is>
          <t>Yamato Scientific</t>
        </is>
      </c>
      <c r="C78" s="2" t="inlineStr">
        <is>
          <t>ヤマト科学; originally Sosuke Morikawa &amp; Company (1889); subsidiary Yamato Scientific America (1989)</t>
        </is>
      </c>
      <c r="D78" s="2" t="inlineStr">
        <is>
          <t>Tokyo (Chuo-ku, Nihonbashi)</t>
        </is>
      </c>
      <c r="E78" s="2" t="inlineStr">
        <is>
          <t>Japan</t>
        </is>
      </c>
      <c r="F78" s="2" t="inlineStr"/>
      <c r="G78" s="2" t="inlineStr">
        <is>
          <t>Private</t>
        </is>
      </c>
      <c r="H78" s="2" t="n">
        <v>1889</v>
      </c>
      <c r="I78" s="2" t="inlineStr">
        <is>
          <t>https://www.yamato-scientific.com</t>
        </is>
      </c>
      <c r="J78" s="2" t="inlineStr">
        <is>
          <t>General lab equipment (incubators, ovens, baths, shakers, stirrers)</t>
        </is>
      </c>
      <c r="K78" s="3" t="n">
        <v>600</v>
      </c>
      <c r="L78" s="2" t="n">
        <v>2024</v>
      </c>
      <c r="M78" s="2" t="inlineStr">
        <is>
          <t>estimate</t>
        </is>
      </c>
      <c r="N78" s="2" t="inlineStr">
        <is>
          <t>Roughly 600 employees (recalled, unverified).</t>
        </is>
      </c>
      <c r="O78" s="2" t="inlineStr">
        <is>
          <t>JPY ~25 billion (trade estimate; private)</t>
        </is>
      </c>
      <c r="P78" s="3" t="n">
        <v>170</v>
      </c>
      <c r="Q78" s="2" t="inlineStr">
        <is>
          <t>FY2024 (estimate)</t>
        </is>
      </c>
      <c r="R78" s="2" t="inlineStr">
        <is>
          <t>estimate</t>
        </is>
      </c>
      <c r="S78" s="2" t="inlineStr">
        <is>
          <t>Yamato Scientific (Tokyo, founded 1889) is privately held; order-of-magnitude estimate. Figures recalled from company statements / filings and not re-verified online in this session.</t>
        </is>
      </c>
      <c r="T78" s="2" t="inlineStr">
        <is>
          <t>estimate</t>
        </is>
      </c>
      <c r="U78" s="2" t="inlineStr">
        <is>
          <t>DKN / DKM constant temperature ovens — forced-convection laboratory drying ovens</t>
        </is>
      </c>
      <c r="V78" s="2" t="inlineStr">
        <is>
          <t>SM / SQ series autoclaves — benchtop and vertical steam sterilizers</t>
        </is>
      </c>
      <c r="W78" s="2" t="inlineStr">
        <is>
          <t>Auto Pure WL series — laboratory water purification systems</t>
        </is>
      </c>
      <c r="X78" s="2" t="inlineStr"/>
      <c r="Y78" s="2" t="inlineStr"/>
      <c r="Z78" s="2" t="inlineStr"/>
      <c r="AA78" s="2" t="inlineStr"/>
      <c r="AB78" s="2" t="inlineStr"/>
      <c r="AC78" s="2" t="inlineStr">
        <is>
          <t>distributor</t>
        </is>
      </c>
      <c r="AD78" s="2" t="inlineStr">
        <is>
          <t>מפיץ / נציג ישראלי</t>
        </is>
      </c>
      <c r="AE78" s="2" t="inlineStr">
        <is>
          <t>verified</t>
        </is>
      </c>
      <c r="AF78" s="2" t="inlineStr">
        <is>
          <t>אומת ממקור</t>
        </is>
      </c>
      <c r="AG78" s="2" t="inlineStr">
        <is>
          <t>S.L. Moran Ltd. (ש.ל מורן) [מפיץ; listed as Yamato Scientific's sales representative for Israel on Yamato's global partners page (Shatner Center bldg 7, Givat Shaul, Jerusalem, +972-74-7029898); no Yamato products seen on S.L. Moran's own site]</t>
        </is>
      </c>
      <c r="AH78" s="2" t="inlineStr">
        <is>
          <t>A search restricted to Yamato's own domains returned its global partners page (yamato-scientific.com/global/), whose snippet lists S.L. Moran Ltd, Shatner Center building 7, Givat Shaul, Jerusalem, with a +972 phone number as the Israel representative; the search tool flagged the page as roughly 3,000 days old, so the listing may be stale. A follow-up search restricted to slmoran.co.il returned no Yamato content (only a Van der Heijden catalogue and the about page), and a .co.il-wide search found only a BioFindly directory entry describing Yamato without naming an Israeli agent. S.L. Moran is an active Israeli lab-equipment importer (it hosts 2025 Huber material), so the listing is plausible but unconfirmed from the distributor side.</t>
        </is>
      </c>
      <c r="AI78" s="2" t="inlineStr">
        <is>
          <t>low</t>
        </is>
      </c>
      <c r="AJ78" s="2" t="inlineStr">
        <is>
          <t>Manufacturer's own partner page names the entity, but the page appears old and the distributor's site shows no Yamato products.</t>
        </is>
      </c>
      <c r="AK78" s="2" t="inlineStr">
        <is>
          <t>https://app.dealroom.co/companies/yamato_scientific ; https://www.bioprocessonline.com/doc/yamato-scientific-0001 ; https://www.pharmaceutical-tech.com/suppliers/yamato-scientific-america-inc ; https://parkesscientific.com/m/yamato-scientific ; https://agentek.co.il/?p=2540 ; https://www.yamato-scientific.com/global/ ; https://www.yamato-scientific.com/company/location/ ; https://slmoran.co.il/about/ ; https://biofindly.co.il/distributor-category/analytical-chemistry/</t>
        </is>
      </c>
    </row>
    <row r="79">
      <c r="A79" s="2" t="n">
        <v>78</v>
      </c>
      <c r="B79" s="2" t="inlineStr">
        <is>
          <t>Azenta Life Sciences</t>
        </is>
      </c>
      <c r="C79" s="2" t="inlineStr">
        <is>
          <t>Azenta Life Sciences; formerly Brooks Automation (renamed 2021); brands: GENEWIZ, FluidX, Ziath, 4titude, Limfinity, FreezerPro, Barkey; B Medical Systems (divestiture agreed Dec 2025)</t>
        </is>
      </c>
      <c r="D79" s="2" t="inlineStr">
        <is>
          <t>Burlington, Massachusetts</t>
        </is>
      </c>
      <c r="E79" s="2" t="inlineStr">
        <is>
          <t>USA</t>
        </is>
      </c>
      <c r="F79" s="2" t="inlineStr"/>
      <c r="G79" s="2" t="inlineStr">
        <is>
          <t>Public (NASDAQ: AZTA)</t>
        </is>
      </c>
      <c r="H79" s="2" t="n">
        <v>1978</v>
      </c>
      <c r="I79" s="2" t="inlineStr">
        <is>
          <t>https://www.azenta.com</t>
        </is>
      </c>
      <c r="J79" s="2" t="inlineStr">
        <is>
          <t>Lab refrigeration &amp; cold storage</t>
        </is>
      </c>
      <c r="K79" s="3" t="n">
        <v>2700</v>
      </c>
      <c r="L79" s="2" t="n">
        <v>2025</v>
      </c>
      <c r="M79" s="2" t="inlineStr">
        <is>
          <t>estimate</t>
        </is>
      </c>
      <c r="N79" s="2" t="inlineStr">
        <is>
          <t>Roughly 2,700 employees in continuing operations after the B Medical Systems divestiture (recalled, unverified).</t>
        </is>
      </c>
      <c r="O79" s="2" t="inlineStr">
        <is>
          <t>approx. USD 585 million (FY2025 continuing operations; Q1-Q3 reported USD 435M, Q4 extrapolated)</t>
        </is>
      </c>
      <c r="P79" s="3" t="n">
        <v>585</v>
      </c>
      <c r="Q79" s="2" t="inlineStr">
        <is>
          <t>FY2025 (ended Sep-2025)</t>
        </is>
      </c>
      <c r="R79" s="2" t="inlineStr">
        <is>
          <t>estimate</t>
        </is>
      </c>
      <c r="S79" s="2" t="inlineStr">
        <is>
          <t>Reported quarterly revenue from continuing operations: Q1 USD 148M (+4%), Q2 USD 143M (+5%), Q3 USD 144M (flat) per Azenta press releases; the Q4/full-year figure was not retrieved, so the ~USD 585M full-year number is an extrapolation and must not be cited as reported. B Medical Systems is reported as discontinued operations (FY2025 revenue USD 68.0M vs 83.1M FY2024 and 113.1M FY2023; FY2025 net loss USD 79.5M mainly from the estimated loss on assets held for sale).</t>
        </is>
      </c>
      <c r="T79" s="2" t="inlineStr">
        <is>
          <t>mixed</t>
        </is>
      </c>
      <c r="U79" s="2" t="inlineStr">
        <is>
          <t>BioStore III Cryo — automated LN2 cryogenic sample storage system</t>
        </is>
      </c>
      <c r="V79" s="2" t="inlineStr">
        <is>
          <t>FluidX / Ziath tubes and readers — 2D-barcoded sample tubes and rack scanners</t>
        </is>
      </c>
      <c r="W79" s="2" t="inlineStr">
        <is>
          <t>GENEWIZ services — Sanger/NGS sequencing and gene synthesis services</t>
        </is>
      </c>
      <c r="X79" s="2" t="inlineStr"/>
      <c r="Y79" s="2" t="inlineStr"/>
      <c r="Z79" s="2" t="inlineStr"/>
      <c r="AA79" s="2" t="inlineStr"/>
      <c r="AB79" s="2" t="inlineStr"/>
      <c r="AC79" s="2" t="inlineStr">
        <is>
          <t>distributor</t>
        </is>
      </c>
      <c r="AD79" s="2" t="inlineStr">
        <is>
          <t>מפיץ / נציג ישראלי</t>
        </is>
      </c>
      <c r="AE79" s="2" t="inlineStr">
        <is>
          <t>verified</t>
        </is>
      </c>
      <c r="AF79" s="2" t="inlineStr">
        <is>
          <t>אומת ממקור</t>
        </is>
      </c>
      <c r="AG79" s="2" t="inlineStr">
        <is>
          <t>HyLabs (Hy Laboratories Ltd.) [מפיץ; Azenta Life Sciences (GENEWIZ) genomics services - gene synthesis, gBlock-type DNA fragments, CRISPR gRNA constructs, oligo pools, plasmid preparation - resold to Israeli research and clinical customers (HyLabs 'AZENTA - GENOMICS SERVICES' pages)] | Tamar Laboratory Supplies Ltd. (תמר ציוד מעבדתי) [מפיץ; Azenta's FluidX tube capping/decapping systems (IntelliXcap, Aperio) and 4titude (Azenta Life Sciences UK) plates, tubes and seals - listed on Tamar's represented-companies and tube-capping pages]</t>
        </is>
      </c>
      <c r="AH79" s="2" t="inlineStr">
        <is>
          <t>The 40-domain sweep returned HyLabs' own 'AZENTA - GENOMICS SERVICES' service page and 'AZENTA (GENEWIZ)' product-category pages (research and clinical), showing that HyLabs resells Azenta/GENEWIZ genomics services (gene synthesis, CRISPR gRNA, oligo pools, plasmid prep) in Israel; a HyLabs blog post also describes a BIRD-Foundation microbiome project run with Genewiz. Tamar Laboratory Supplies' 'Represented companies' and 'Tube Capping &amp; Decapping' pages list Azenta's FluidX cappers/decappers and 4titude consumables. The HyLabs page is about 1.5 years old; Azenta's automated sample-store instruments (BioStore/Brooks lines) were not seen on any Israeli site and Azenta's own distributor page was not searched within the budget.</t>
        </is>
      </c>
      <c r="AI79" s="2" t="inlineStr">
        <is>
          <t>medium</t>
        </is>
      </c>
      <c r="AJ79" s="2" t="inlineStr">
        <is>
          <t>Two distributors' own pages; manufacturer confirmation not seen; scope differs by distributor (services vs. consumables/cappers).</t>
        </is>
      </c>
      <c r="AK79" s="2" t="inlineStr">
        <is>
          <t>https://www.sec.gov/Archives/edgar/data/933974/000143774925036931/azta20250930_10k.htm ; https://investors.azenta.com/2025-02-05-Azenta-Reports-First-Quarter-Results-for-Fiscal-2025,-Ended-December-31,-2024 ; https://investors.azenta.com/2025-05-07-Azenta-Reports-Second-Quarter-Results-for-Fiscal-2025,-Ended-March-31,-2025 ; https://investors.azenta.com/2025-08-05-Azenta-Reports-Third-Quarter-Results-for-Fiscal-2025,-Ended-June-30,-2025-Reiterates-Full-Year-Fiscal-2025-Guidance ; https://investors.azenta.com/2025-12-29-Azenta-Enters-Definitive-Agreement-for-the-Sale-of-its-B-Medical-Systems-Business-to-THELEMA-S-A-R-L?asPDF=1 ; https://www.taylorwessing.com/de/insights-and-events/news/media-centre/press-releases/2026/01/advising-azenta ; https://en.wikipedia.org/wiki/Azenta ; https://www.hylabs.co.il/services/genewiz-genomics-services/ ; https://www.hylabs.co.il/product-cat/research/custom-made-products/azenta-genomics-services/ ; https://www.hylabs.co.il/product-cat/clinical-veterinary-diagnostic/custom-made-products-clinical/azenta-genomics-services-clinical/ ; https://www.hylabs.co.il/products/fragment-gene-gblock/ ; https://www.hylabs.co.il/blog/microbiome-and-next-generation-sequencing/ ; https://www.tamar.co.il/represented-companies/ ; https://www.tamar.co.il/tube-cappping-decapping/</t>
        </is>
      </c>
    </row>
    <row r="80">
      <c r="A80" s="2" t="n">
        <v>79</v>
      </c>
      <c r="B80" s="2" t="inlineStr">
        <is>
          <t>Opentrons Labworks</t>
        </is>
      </c>
      <c r="C80" s="2" t="inlineStr">
        <is>
          <t>Opentrons; products Flex, OT-2</t>
        </is>
      </c>
      <c r="D80" s="2" t="inlineStr">
        <is>
          <t>Long Island City (Queens), New York</t>
        </is>
      </c>
      <c r="E80" s="2" t="inlineStr">
        <is>
          <t>USA</t>
        </is>
      </c>
      <c r="F80" s="2" t="inlineStr"/>
      <c r="G80" s="2" t="inlineStr">
        <is>
          <t>Private (venture-backed; SoftBank-led USD 200M round in 2021 at USD 1.8bn valuation; SOSV/HAX alumnus)</t>
        </is>
      </c>
      <c r="H80" s="2" t="n">
        <v>2014</v>
      </c>
      <c r="I80" s="2" t="inlineStr">
        <is>
          <t>https://opentrons.com</t>
        </is>
      </c>
      <c r="J80" s="2" t="inlineStr">
        <is>
          <t>Liquid handling &amp; lab automation</t>
        </is>
      </c>
      <c r="K80" s="3" t="n">
        <v>208</v>
      </c>
      <c r="L80" s="2" t="n">
        <v>2026</v>
      </c>
      <c r="M80" s="2" t="inlineStr">
        <is>
          <t>company</t>
        </is>
      </c>
      <c r="N80" s="2" t="inlineStr">
        <is>
          <t>Latka estimate (~208 in 2026, down from ~300 in 2024); other aggregators range from 100 to 501-1,000. Location sources: Prospeo says Queens, NY; a 2021 SOSV article says Brooklyn (pre-move).</t>
        </is>
      </c>
      <c r="O80" s="2" t="inlineStr">
        <is>
          <t>approx. USD 45 million (2024, Latka estimate)</t>
        </is>
      </c>
      <c r="P80" s="3" t="n">
        <v>45</v>
      </c>
      <c r="Q80" s="2" t="inlineStr">
        <is>
          <t>2024</t>
        </is>
      </c>
      <c r="R80" s="2" t="inlineStr">
        <is>
          <t>estimate</t>
        </is>
      </c>
      <c r="S80" s="2" t="inlineStr">
        <is>
          <t>Aggregator estimates conflict: Latka USD 45M (2024) vs Prospeo USD 12.3M. CB Insights lists a Series C-II of USD 20.1M on 5 Dec 2025; total funding estimates USD 233-271M. TrueUp shows a secondary-market valuation estimate of ~USD 0.2bn versus the 2021 USD 1.8bn headline.</t>
        </is>
      </c>
      <c r="T80" s="2" t="inlineStr">
        <is>
          <t>estimate</t>
        </is>
      </c>
      <c r="U80" s="2" t="inlineStr">
        <is>
          <t>Opentrons Flex — benchtop liquid-handling robot with 96-channel head and gripper</t>
        </is>
      </c>
      <c r="V80" s="2" t="inlineStr">
        <is>
          <t>OT-2 — low-cost open-source pipetting robot</t>
        </is>
      </c>
      <c r="W80" s="2" t="inlineStr">
        <is>
          <t>Flex modules — thermocycler, heater-shaker, magnetic block, plate reader</t>
        </is>
      </c>
      <c r="X80" s="2" t="inlineStr"/>
      <c r="Y80" s="2" t="inlineStr"/>
      <c r="Z80" s="2" t="inlineStr"/>
      <c r="AA80" s="2" t="inlineStr"/>
      <c r="AB80" s="2" t="inlineStr"/>
      <c r="AC80" s="2" t="inlineStr">
        <is>
          <t>distributor</t>
        </is>
      </c>
      <c r="AD80" s="2" t="inlineStr">
        <is>
          <t>מפיץ / נציג ישראלי</t>
        </is>
      </c>
      <c r="AE80" s="2" t="inlineStr">
        <is>
          <t>verified</t>
        </is>
      </c>
      <c r="AF80" s="2" t="inlineStr">
        <is>
          <t>אומת ממקור</t>
        </is>
      </c>
      <c r="AG80" s="2" t="inlineStr">
        <is>
          <t>Lifegene Ltd. (לייפג'ין) [מפיץ; Opentrons OT-2 and Opentrons Flex liquid-handling robots - 'Opentrons solutions are available at Lifegene with full professional support and scientific assistance' (Lifegene automated liquid handler page)]</t>
        </is>
      </c>
      <c r="AH80" s="2" t="inlineStr">
        <is>
          <t>The 40-domain sweep returned Lifegene's own Hebrew page 'מערכות אוטומטיות לטיפול בנוזלים' (lifegene.co.il/automated_liquid_handler), which lists both the Opentrons OT-2 and the Opentrons Flex (positioned for NGS library prep, magnetic-bead clean-up and tagmentation) and states that Opentrons solutions are available at Lifegene with full professional support - this is the distributor the user flagged as missing. No other Israeli distributor site mentioned Opentrons (the Eldan, Lumitron and Tamar hits concern Agilent, Eppendorf epMotion and Myra), and Opentrons' own distributor page was not searched within the budget, so exclusivity is unknown. Lifegene's own site has an Opentrons brand page.</t>
        </is>
      </c>
      <c r="AI80" s="2" t="inlineStr">
        <is>
          <t>medium</t>
        </is>
      </c>
      <c r="AJ80" s="2" t="inlineStr">
        <is>
          <t>Distributor's own product page; manufacturer confirmation not seen.</t>
        </is>
      </c>
      <c r="AK80" s="2" t="inlineStr">
        <is>
          <t>https://sosv.com/sosv-hax-alum-opentrons-raises-200-million-reaching-1-8-billion-valuation/ ; https://www.cbinsights.com/company/opentrons/financials ; https://getlatka.com/companies/opentrons.com ; https://prospeo.io/c/opentrons-labworks ; https://www.trueup.io/co/opentrons ; https://www.businesswire.com/news/home/20250313930267/en/Copia-Scientific-Announces-Strategic-Distribution-Agreement-with-Opentrons ; https://en.wikipedia.org/wiki/Opentrons ; https://www.lifegene.co.il/automated_liquid_handler ; https://lifegene.co.il/b-r-a-n-d/opentrons/</t>
        </is>
      </c>
    </row>
    <row r="81">
      <c r="A81" s="2" t="n">
        <v>80</v>
      </c>
      <c r="B81" s="2" t="inlineStr">
        <is>
          <t>SPT Labtech</t>
        </is>
      </c>
      <c r="C81" s="2" t="inlineStr">
        <is>
          <t>formerly TTP Labtech (spun out of TTP Group in 2018); brands: mosquito, dragonfly, firefly, apricot, comPOUND, arktic, chameleon, BioMicroLab</t>
        </is>
      </c>
      <c r="D81" s="2" t="inlineStr">
        <is>
          <t>Melbourn (Melbourn Science Park), Cambridgeshire</t>
        </is>
      </c>
      <c r="E81" s="2" t="inlineStr">
        <is>
          <t>UK</t>
        </is>
      </c>
      <c r="F81" s="2" t="inlineStr">
        <is>
          <t>EQT Private Equity (EQT IX, since 2022)</t>
        </is>
      </c>
      <c r="G81" s="2" t="inlineStr">
        <is>
          <t>Private equity (EQT)</t>
        </is>
      </c>
      <c r="H81" s="2" t="n">
        <v>1997</v>
      </c>
      <c r="I81" s="2" t="inlineStr">
        <is>
          <t>https://www.sptlabtech.com</t>
        </is>
      </c>
      <c r="J81" s="2" t="inlineStr">
        <is>
          <t>Liquid handling &amp; lab automation</t>
        </is>
      </c>
      <c r="K81" s="3" t="n">
        <v>500</v>
      </c>
      <c r="L81" s="2" t="n">
        <v>2024</v>
      </c>
      <c r="M81" s="2" t="inlineStr">
        <is>
          <t>estimate</t>
        </is>
      </c>
      <c r="N81" s="2" t="inlineStr">
        <is>
          <t>Roughly 500 employees (recalled, unverified).</t>
        </is>
      </c>
      <c r="O81" s="2" t="inlineStr">
        <is>
          <t>GBP 51.9 million (FY2023, per Craft aggregator)</t>
        </is>
      </c>
      <c r="P81" s="3" t="n">
        <v>67.5</v>
      </c>
      <c r="Q81" s="2" t="inlineStr">
        <is>
          <t>FY2023 (year to Dec-2023)</t>
        </is>
      </c>
      <c r="R81" s="2" t="inlineStr">
        <is>
          <t>estimate</t>
        </is>
      </c>
      <c r="S81" s="2" t="inlineStr">
        <is>
          <t>Craft lists GBP 51.9M revenue and GBP 5.9M net income for FY2023 (probably taken from the UK statutory accounts of the Ltd entity, so it may not cover the whole group). Companies House shows accounts filed to 31 Dec 2024 and FY2025 accounts due by 30 Sep 2026; neither could be opened.</t>
        </is>
      </c>
      <c r="T81" s="2" t="inlineStr">
        <is>
          <t>estimate</t>
        </is>
      </c>
      <c r="U81" s="2" t="inlineStr">
        <is>
          <t>mosquito — nanolitre positive-displacement liquid handler</t>
        </is>
      </c>
      <c r="V81" s="2" t="inlineStr">
        <is>
          <t>dragonfly discovery — non-contact low-volume reagent dispenser</t>
        </is>
      </c>
      <c r="W81" s="2" t="inlineStr">
        <is>
          <t>firefly — NGS library-prep liquid handling platform</t>
        </is>
      </c>
      <c r="X81" s="2" t="inlineStr"/>
      <c r="Y81" s="2" t="inlineStr"/>
      <c r="Z81" s="2" t="inlineStr"/>
      <c r="AA81" s="2" t="inlineStr"/>
      <c r="AB81" s="2" t="inlineStr"/>
      <c r="AC81" s="2" t="inlineStr">
        <is>
          <t>distributor</t>
        </is>
      </c>
      <c r="AD81" s="2" t="inlineStr">
        <is>
          <t>מפיץ / נציג ישראלי</t>
        </is>
      </c>
      <c r="AE81" s="2" t="inlineStr">
        <is>
          <t>verified</t>
        </is>
      </c>
      <c r="AF81" s="2" t="inlineStr">
        <is>
          <t>אומת ממקור</t>
        </is>
      </c>
      <c r="AG81" s="2" t="inlineStr">
        <is>
          <t>Agentek (1987) Ltd. (אגנטק) [מפיץ; SPT Labtech distributor for Israel (listed on sptlabtech.com/distributors; Agentek has an SPT Labtech brand page)]</t>
        </is>
      </c>
      <c r="AH81" s="2" t="inlineStr">
        <is>
          <t>Established from SPT Labtech's official distributor page, which lists Agentek (1987) Ltd., Greenwork Yakum Business Park, Building A, Yakum, tel. +972 09-9657000 for Israel; Agentek's own site has a dedicated SPT Labtech representative page (https://agentek.co.il/representative/spt-labtech/) describing the brand's liquid-handling and sample-prep focus. Both facts come from search-result summaries of those two pages; the pages themselves could not be opened for a verbatim quote, and the Hebrew spelling of Agentek is the company's standard rendering rather than text seen on the page. No SPT Labtech subsidiary in Israel found.</t>
        </is>
      </c>
      <c r="AI81" s="2" t="inlineStr">
        <is>
          <t>medium</t>
        </is>
      </c>
      <c r="AJ81" s="2" t="inlineStr">
        <is>
          <t>Israeli distributor confirmed by both the manufacturer's distributor page and the distributor's own page (via search summaries); size figures are aggregator estimates only.</t>
        </is>
      </c>
      <c r="AK81" s="2" t="inlineStr">
        <is>
          <t>https://www.sptlabtech.com/distributors ; https://agentek.co.il/representative/spt-labtech/ ; https://find-and-update.company-information.service.gov.uk/company/03300999 ; https://craft.co/spt-labtech ; https://www.sptlabtech.com/news/spt-labtech-announces-acquisition-by-eqt-private-equity-from-battery-ventures ; https://eqtgroup.com/about/current-portfolio/spt-labtech</t>
        </is>
      </c>
    </row>
    <row r="82">
      <c r="A82" s="2" t="n">
        <v>81</v>
      </c>
      <c r="B82" s="2" t="inlineStr">
        <is>
          <t>OHAUS (Mettler-Toledo)</t>
        </is>
      </c>
      <c r="C82" s="2" t="inlineStr">
        <is>
          <t>Ohaus, Ohaus Scale Corporation</t>
        </is>
      </c>
      <c r="D82" s="2" t="inlineStr">
        <is>
          <t>Parsippany, New Jersey</t>
        </is>
      </c>
      <c r="E82" s="2" t="inlineStr">
        <is>
          <t>USA</t>
        </is>
      </c>
      <c r="F82" s="2" t="inlineStr">
        <is>
          <t>Mettler-Toledo International Inc.</t>
        </is>
      </c>
      <c r="G82" s="2" t="inlineStr">
        <is>
          <t>Subsidiary of Mettler-Toledo International (public, NYSE: MTD)</t>
        </is>
      </c>
      <c r="H82" s="2" t="n">
        <v>1907</v>
      </c>
      <c r="I82" s="2" t="inlineStr">
        <is>
          <t>https://www.ohaus.com</t>
        </is>
      </c>
      <c r="J82" s="2" t="inlineStr">
        <is>
          <t>Lab balances &amp; weighing</t>
        </is>
      </c>
      <c r="K82" s="3" t="n">
        <v>1000</v>
      </c>
      <c r="L82" s="2" t="n">
        <v>2024</v>
      </c>
      <c r="M82" s="2" t="inlineStr">
        <is>
          <t>estimate</t>
        </is>
      </c>
      <c r="N82" s="2" t="inlineStr">
        <is>
          <t>Roughly 1,000 employees (aggregator range 189-1,000; recalled, unverified); parent Mettler-Toledo ~17,000.</t>
        </is>
      </c>
      <c r="O82" s="2" t="inlineStr">
        <is>
          <t>USD 3.87 billion (parent Mettler-Toledo, FY2024; recalled, unverified this run)</t>
        </is>
      </c>
      <c r="P82" s="3" t="n">
        <v>3872</v>
      </c>
      <c r="Q82" s="2" t="inlineStr">
        <is>
          <t>FY2024</t>
        </is>
      </c>
      <c r="R82" s="2" t="inlineStr">
        <is>
          <t>parent</t>
        </is>
      </c>
      <c r="S82" s="2" t="inlineStr">
        <is>
          <t>Mettler-Toledo group revenue (parent); OHAUS alone is not disclosed (trade estimate order of USD 100-200M).</t>
        </is>
      </c>
      <c r="T82" s="2" t="inlineStr">
        <is>
          <t>estimate</t>
        </is>
      </c>
      <c r="U82" s="2" t="inlineStr">
        <is>
          <t>Explorer series — analytical &amp; precision laboratory balances</t>
        </is>
      </c>
      <c r="V82" s="2" t="inlineStr">
        <is>
          <t>Pioneer / Adventurer balances — mid-range analytical and precision balances</t>
        </is>
      </c>
      <c r="W82" s="2" t="inlineStr">
        <is>
          <t>Frontier series centrifuges — benchtop micro, multi-pro and high-speed centrifuges</t>
        </is>
      </c>
      <c r="X82" s="2" t="inlineStr"/>
      <c r="Y82" s="2" t="inlineStr"/>
      <c r="Z82" s="2" t="inlineStr"/>
      <c r="AA82" s="2" t="inlineStr"/>
      <c r="AB82" s="2" t="inlineStr"/>
      <c r="AC82" s="2" t="inlineStr">
        <is>
          <t>distributor</t>
        </is>
      </c>
      <c r="AD82" s="2" t="inlineStr">
        <is>
          <t>מפיץ / נציג ישראלי</t>
        </is>
      </c>
      <c r="AE82" s="2" t="inlineStr">
        <is>
          <t>verified</t>
        </is>
      </c>
      <c r="AF82" s="2" t="inlineStr">
        <is>
          <t>אומת ממקור</t>
        </is>
      </c>
      <c r="AG82" s="2" t="inlineStr">
        <is>
          <t>Labotal Scientific Equipment Ltd. (לבוטל) [מפיץ; OHAUS balances (listed among Labotal's represented firms)]</t>
        </is>
      </c>
      <c r="AH82" s="2" t="inlineStr">
        <is>
          <t>Labotal's own site lists the brand among the firms it represents and sells its products in Israel (some Labotal pages are several years old; the manufacturer's distributor page was not opened).</t>
        </is>
      </c>
      <c r="AI82" s="2" t="inlineStr">
        <is>
          <t>medium</t>
        </is>
      </c>
      <c r="AJ82" s="2" t="inlineStr"/>
      <c r="AK82" s="2" t="inlineStr">
        <is>
          <t>https://www.wikipedia.org/wiki/Ohaus ; https://jobs.mt.com/ja/ジョブ/-/ohaus-dealer-manager/36870/76449528720 ; https://jobs.mt.com/de/stellenbeschreibung/parsippany/national-key-accounts-manager/36870/78723135792 ; https://a-leads.co/company/6090780_cb9d18c6 ; https://zoominfo.com/pic/ohaus/169361837 ; https://www.owler.com/company/ohaus ; https://labotal.co.il/sitemap/?lang=en</t>
        </is>
      </c>
    </row>
    <row r="83">
      <c r="A83" s="2" t="n">
        <v>82</v>
      </c>
      <c r="B83" s="2" t="inlineStr">
        <is>
          <t>KERN &amp; SOHN</t>
        </is>
      </c>
      <c r="C83" s="2" t="inlineStr">
        <is>
          <t>KERN, Kern &amp; Sohn, SAUTER (force measurement brand)</t>
        </is>
      </c>
      <c r="D83" s="2" t="inlineStr">
        <is>
          <t>Balingen</t>
        </is>
      </c>
      <c r="E83" s="2" t="inlineStr">
        <is>
          <t>Germany</t>
        </is>
      </c>
      <c r="F83" s="2" t="inlineStr"/>
      <c r="G83" s="2" t="inlineStr">
        <is>
          <t>Private (family-owned)</t>
        </is>
      </c>
      <c r="H83" s="2" t="n">
        <v>1844</v>
      </c>
      <c r="I83" s="2" t="inlineStr">
        <is>
          <t>https://www.kern-sohn.com</t>
        </is>
      </c>
      <c r="J83" s="2" t="inlineStr">
        <is>
          <t>Lab balances &amp; weighing</t>
        </is>
      </c>
      <c r="K83" s="3" t="n">
        <v>200</v>
      </c>
      <c r="L83" s="2" t="n">
        <v>2023</v>
      </c>
      <c r="M83" s="2" t="inlineStr">
        <is>
          <t>company</t>
        </is>
      </c>
      <c r="N83" s="2" t="inlineStr">
        <is>
          <t>Approx. 200 employees per English Wikipedia (2023 figures); other aggregators give bands of 51-200 / 51-250.</t>
        </is>
      </c>
      <c r="O83" s="2" t="inlineStr">
        <is>
          <t>EUR 44.4 million</t>
        </is>
      </c>
      <c r="P83" s="3" t="n">
        <v>48.8</v>
      </c>
      <c r="Q83" s="2" t="inlineStr">
        <is>
          <t>FY2023</t>
        </is>
      </c>
      <c r="R83" s="2" t="inlineStr">
        <is>
          <t>company</t>
        </is>
      </c>
      <c r="S83" s="2" t="inlineStr">
        <is>
          <t>EUR 44.4 million 2023 revenue and &gt;50% equity ratio per English Wikipedia (seen via search snippet); the underlying company report could not be opened this run.</t>
        </is>
      </c>
      <c r="T83" s="2" t="inlineStr">
        <is>
          <t>reported</t>
        </is>
      </c>
      <c r="U83" s="2" t="inlineStr">
        <is>
          <t>KERN ABT / ABS analytical balances — 0.1 mg laboratory analytical balances</t>
        </is>
      </c>
      <c r="V83" s="2" t="inlineStr">
        <is>
          <t>KERN test weights — OIML E1-M3 calibration weights and weight sets</t>
        </is>
      </c>
      <c r="W83" s="2" t="inlineStr">
        <is>
          <t>KERN OBN / OBE microscopes — laboratory and educational light microscopes</t>
        </is>
      </c>
      <c r="X83" s="2" t="inlineStr"/>
      <c r="Y83" s="2" t="inlineStr"/>
      <c r="Z83" s="2" t="inlineStr"/>
      <c r="AA83" s="2" t="inlineStr"/>
      <c r="AB83" s="2" t="inlineStr"/>
      <c r="AC83" s="2" t="inlineStr">
        <is>
          <t>distributor</t>
        </is>
      </c>
      <c r="AD83" s="2" t="inlineStr">
        <is>
          <t>מפיץ / נציג ישראלי</t>
        </is>
      </c>
      <c r="AE83" s="2" t="inlineStr">
        <is>
          <t>verified</t>
        </is>
      </c>
      <c r="AF83" s="2" t="inlineStr">
        <is>
          <t>אומת ממקור</t>
        </is>
      </c>
      <c r="AG83" s="2" t="inlineStr">
        <is>
          <t>BDL (bdl.co.il) [מפיץ; KERN precision balances (EW-N / EG-N series, e.g. EW 220-3NM, EG 620-3NM) and Kern &amp; Sohn GmbH printers for KERN balances (YKN-01) listed on BDL's online catalogue with EUR prices; company's full name and authorised status not seen]</t>
        </is>
      </c>
      <c r="AH83" s="2" t="inlineStr">
        <is>
          <t>A .co.il-wide search for 'KERN &amp; SOHN balances scales' found BDL (bdl.co.il) listing KERN EW-N/EG-N precision balances and Kern &amp; Sohn GmbH matrix printers for KERN balances, and a follow-up search restricted to bdl.co.il confirmed those listings; BDL is recorded as an Israeli reseller/distributor, although its catalogue-style site (EUR prices, many European lab brands) suggests an import catalogue rather than an exclusive agency. Searches restricted to kern-sohn.com returned only corporate pages with no Israel dealer entry, and the two distributor-domain searches returned nothing (the first was polluted by 'kernel balancing' papers). KERN's own dealer locator could not be read, so other Israeli channels may exist.</t>
        </is>
      </c>
      <c r="AI83" s="2" t="inlineStr">
        <is>
          <t>medium</t>
        </is>
      </c>
      <c r="AJ83" s="2" t="inlineStr">
        <is>
          <t>Reseller established from its own product listings; identity of BDL and manufacturer-side confirmation not obtained.</t>
        </is>
      </c>
      <c r="AK83" s="2" t="inlineStr">
        <is>
          <t>https://en.wikipedia.org/wiki/Kern_%26_Sohn ; https://implisense.com/en/companies/kern-sohn-gmbh-balingen-DEUABVS71440 ; https://www.bioregio-stern.de/en/node/443 ; https://www.bdl.co.il/Item.aspx?Name=Precision+balances+type+EW-N+and+EG-N&amp;SID=19921 ; https://www.bdl.co.il/Item.aspx?Name=Printers+for+KERN+balances&amp;SID=250492 ; https://www.bdl.co.il/Item.aspx?Name=Matrix+needle+printer+YKN-01,+for+KERN+balances&amp;SID=230233 ; https://www.kern-sohn.com/shop/en/kern-intern/kontakt/</t>
        </is>
      </c>
    </row>
    <row r="84">
      <c r="A84" s="2" t="n">
        <v>83</v>
      </c>
      <c r="B84" s="2" t="inlineStr">
        <is>
          <t>A&amp;D Company (A&amp;D HOLON Holdings)</t>
        </is>
      </c>
      <c r="C84" s="2" t="inlineStr">
        <is>
          <t>A&amp;D Company, Limited; A&amp;D Weighing; A&amp;D Instruments; A&amp;D Engineering; Holon Create</t>
        </is>
      </c>
      <c r="D84" s="2" t="inlineStr">
        <is>
          <t>Toshima-ku, Tokyo</t>
        </is>
      </c>
      <c r="E84" s="2" t="inlineStr">
        <is>
          <t>Japan</t>
        </is>
      </c>
      <c r="F84" s="2" t="inlineStr"/>
      <c r="G84" s="2" t="inlineStr">
        <is>
          <t>Public (TSE: 7745)</t>
        </is>
      </c>
      <c r="H84" s="2" t="n">
        <v>1977</v>
      </c>
      <c r="I84" s="2" t="inlineStr">
        <is>
          <t>https://www.aandd.jp</t>
        </is>
      </c>
      <c r="J84" s="2" t="inlineStr">
        <is>
          <t>Lab balances &amp; weighing</t>
        </is>
      </c>
      <c r="K84" s="3" t="n">
        <v>2438</v>
      </c>
      <c r="L84" s="2" t="n">
        <v>2025</v>
      </c>
      <c r="M84" s="2" t="inlineStr">
        <is>
          <t>company</t>
        </is>
      </c>
      <c r="N84" s="2" t="inlineStr">
        <is>
          <t>Consolidated A&amp;D HOLON Holdings headcount per Simply Wall St (2,438); TipRanks lists 2,471 for an earlier period. A&amp;D HOLON Holdings became the holding company of A&amp;D Company and Holon Create in 2023; balances are made by the A&amp;D Company subsidiary (Measurement &amp; Weighing segment).</t>
        </is>
      </c>
      <c r="O84" s="2" t="inlineStr">
        <is>
          <t>JPY 69,326 million</t>
        </is>
      </c>
      <c r="P84" s="3" t="n">
        <v>464.5</v>
      </c>
      <c r="Q84" s="2" t="inlineStr">
        <is>
          <t>FY ending Mar-2026</t>
        </is>
      </c>
      <c r="R84" s="2" t="inlineStr">
        <is>
          <t>company</t>
        </is>
      </c>
      <c r="S84" s="2" t="inlineStr">
        <is>
          <t>Consolidated net sales JPY 69,326 million (+3.3% YoY) per stockanalysis.com / envalith.com / logmi; operating income JPY 9,210 million. Segment net sales: Measurement &amp; Weighing JPY 31,545 million, Medical &amp; Health JPY 26,667 million, Semiconductor-related JPY 11,114 million.</t>
        </is>
      </c>
      <c r="T84" s="2" t="inlineStr">
        <is>
          <t>reported</t>
        </is>
      </c>
      <c r="U84" s="2" t="inlineStr">
        <is>
          <t>Apollo GX-A / GF-A series — precision balances with impact-shock detection</t>
        </is>
      </c>
      <c r="V84" s="2" t="inlineStr">
        <is>
          <t>HR-A / HR-AZ series — 0.1 mg analytical balances</t>
        </is>
      </c>
      <c r="W84" s="2" t="inlineStr">
        <is>
          <t>MX-50 / MS-70 moisture analyzers — halogen-lamp moisture balances</t>
        </is>
      </c>
      <c r="X84" s="2" t="inlineStr"/>
      <c r="Y84" s="2" t="inlineStr"/>
      <c r="Z84" s="2" t="inlineStr"/>
      <c r="AA84" s="2" t="inlineStr"/>
      <c r="AB84" s="2" t="inlineStr"/>
      <c r="AC84" s="2" t="inlineStr">
        <is>
          <t>none_found</t>
        </is>
      </c>
      <c r="AD84" s="2" t="inlineStr">
        <is>
          <t>לא נמצא ייצוג</t>
        </is>
      </c>
      <c r="AE84" s="2" t="inlineStr">
        <is>
          <t>partial</t>
        </is>
      </c>
      <c r="AF84" s="2" t="inlineStr">
        <is>
          <t>חיפוש חלקי (ללא פתיחת אתרי היצרן/המפיץ)</t>
        </is>
      </c>
      <c r="AG84" s="2" t="inlineStr"/>
      <c r="AH84" s="2" t="inlineStr">
        <is>
          <t>חיפוש רשת בלבד; דפי ״מפיצים״ של היצרן ואתרי המפיצים לא נפתחו (חסימת רשת). Four approaches found no Israeli entity: 'A&amp;D balance' and 'A&amp;D Company Japan balances GX GF' restricted to the Israeli distributor domain list (only generic MRC balance guides), 'A&amp;D Israel distributor' restricted to aandd.jp (corporate pages only; the global network page's Israel entry, if any, is not indexed), and two .co.il-wide searches ('A&amp;D analytical balance Japan GX-A HR-A', 'A&amp;D Weighing') that returned Labotal/MRC/Ohaus/Precisa balance pages and unrelated hits. The brand name is hard to search (ampersand) and A&amp;D may be sold in Israel through a weighing/industrial-scale importer rather than a lab distributor, or supplied from abroad; no credible lead was seen. Result: none_found after English, Hebrew-domain and manufacturer-site searches.</t>
        </is>
      </c>
      <c r="AI84" s="2" t="inlineStr">
        <is>
          <t>low</t>
        </is>
      </c>
      <c r="AJ84" s="2" t="inlineStr">
        <is>
          <t>No Israeli entity found; the negative result may reflect search limitations rather than true absence.</t>
        </is>
      </c>
      <c r="AK84" s="2" t="inlineStr">
        <is>
          <t>https://stockanalysis.com/quote/tyo/7745/financials/income-statement/ ; https://envalith.com/en/companies/7745/overview ; https://envalith.com/en/companies/7745/segments ; https://simplywall.st/stock/tse/7745 ; https://finance.logmi.jp/companies/3343 ; https://www.tipranks.com/stocks/jp:7745/revenue ; https://global.aandd.jp/ ; https://www.aandd.jp/company/company_profile.html ; https://labotal.co.il/product-category/balances/0-01mg-balances/ ; https://www.mrclab.co.il/Media/Doc/Balances_Catalog2017.pdf</t>
        </is>
      </c>
    </row>
    <row r="85">
      <c r="A85" s="2" t="n">
        <v>84</v>
      </c>
      <c r="B85" s="2" t="inlineStr">
        <is>
          <t>Gilson</t>
        </is>
      </c>
      <c r="C85" s="2" t="inlineStr">
        <is>
          <t>Gilson Incorporated, PIPETMAN, Gilson Medical Electronics</t>
        </is>
      </c>
      <c r="D85" s="2" t="inlineStr">
        <is>
          <t>Middleton, Wisconsin</t>
        </is>
      </c>
      <c r="E85" s="2" t="inlineStr">
        <is>
          <t>USA</t>
        </is>
      </c>
      <c r="F85" s="2" t="inlineStr"/>
      <c r="G85" s="2" t="inlineStr">
        <is>
          <t>Private</t>
        </is>
      </c>
      <c r="H85" s="2" t="n">
        <v>1948</v>
      </c>
      <c r="I85" s="2" t="inlineStr">
        <is>
          <t>https://www.gilson.com</t>
        </is>
      </c>
      <c r="J85" s="2" t="inlineStr">
        <is>
          <t>Liquid handling &amp; lab automation</t>
        </is>
      </c>
      <c r="K85" s="3" t="n">
        <v>800</v>
      </c>
      <c r="L85" s="2" t="n">
        <v>2024</v>
      </c>
      <c r="M85" s="2" t="inlineStr">
        <is>
          <t>estimate</t>
        </is>
      </c>
      <c r="N85" s="2" t="inlineStr">
        <is>
          <t>Roughly 800 employees worldwide (recalled, unverified).</t>
        </is>
      </c>
      <c r="O85" s="2" t="inlineStr">
        <is>
          <t>USD ~200 million (trade estimate; private)</t>
        </is>
      </c>
      <c r="P85" s="3" t="n">
        <v>200</v>
      </c>
      <c r="Q85" s="2" t="inlineStr">
        <is>
          <t>2024 (estimate)</t>
        </is>
      </c>
      <c r="R85" s="2" t="inlineStr">
        <is>
          <t>estimate</t>
        </is>
      </c>
      <c r="S85" s="2" t="inlineStr">
        <is>
          <t>Gilson (Middleton WI / Villiers-le-Bel) is family-owned; order-of-magnitude estimate. Figures recalled from company statements / filings and not re-verified online in this session.</t>
        </is>
      </c>
      <c r="T85" s="2" t="inlineStr">
        <is>
          <t>estimate</t>
        </is>
      </c>
      <c r="U85" s="2" t="inlineStr">
        <is>
          <t>PIPETMAN L / G / P — manual air-displacement micropipettes</t>
        </is>
      </c>
      <c r="V85" s="2" t="inlineStr">
        <is>
          <t>PLC 2050 / 2250 purification systems — preparative HPLC / flash purification</t>
        </is>
      </c>
      <c r="W85" s="2" t="inlineStr">
        <is>
          <t>GX-271 / GX-274 ASPEC — liquid-handling and SPE automation platforms</t>
        </is>
      </c>
      <c r="X85" s="2" t="inlineStr"/>
      <c r="Y85" s="2" t="inlineStr"/>
      <c r="Z85" s="2" t="inlineStr"/>
      <c r="AA85" s="2" t="inlineStr"/>
      <c r="AB85" s="2" t="inlineStr"/>
      <c r="AC85" s="2" t="inlineStr">
        <is>
          <t>distributor</t>
        </is>
      </c>
      <c r="AD85" s="2" t="inlineStr">
        <is>
          <t>מפיץ / נציג ישראלי</t>
        </is>
      </c>
      <c r="AE85" s="2" t="inlineStr">
        <is>
          <t>verified</t>
        </is>
      </c>
      <c r="AF85" s="2" t="inlineStr">
        <is>
          <t>אומת ממקור</t>
        </is>
      </c>
      <c r="AG85" s="2" t="inlineStr">
        <is>
          <t>Agentek (1987) Ltd. (אגנטק) [מפיץ; Gilson liquid handling (per Agentek vendors list)] | Lifegene Ltd. (לייפג'ין) [מפיץ; https://www.lifegene.co.il]</t>
        </is>
      </c>
      <c r="AH85" s="2" t="inlineStr">
        <is>
          <t>Searched '"Gilson" PIPETMAN Israel distributor/נציג/יבואן', Hebrew 'גילסון פיפטות יבואן', the 29 Israeli distributor domains and gilson.com. Gilson's site says it sells through distribution partners in many countries via a country lookup on its 'Worldwide Distributors' page, but no snippet names an Israeli partner, and no Israeli distributor site returned a Gilson brand page (Ornat's pipettes category and Tamar's 'Pipetman-compatible tips' page appeared, neither evidencing representation). Result: no Israeli entity identified; the manufacturer's country selector probably lists one but could not be read through search snippets. Agentek's own vendors page (agentek.co.il/vendors) lists the brand among the manufacturers it represents in Israel (seen in a search excerpt; the manufacturer's own distributor page was not opened). Lifegene's own site has Gilson brand and category pages (PIPETMAN Classic/Neo, PLATEMASTER); Agentek's vendors list also names Gilson, so there appear to be two Israeli channels.</t>
        </is>
      </c>
      <c r="AI85" s="2" t="inlineStr">
        <is>
          <t>medium</t>
        </is>
      </c>
      <c r="AJ85" s="2" t="inlineStr">
        <is>
          <t>No Israeli entity found; absence of evidence only.</t>
        </is>
      </c>
      <c r="AK85" s="2" t="inlineStr">
        <is>
          <t>https://www.gilson.com/worldwide-distributors ; https://www.gilson.com/default/about/our-company.html ; https://ornat.co.il/category/instruments/pipettes/ ; http://www.tamar.co.il/plasticware-gloves/tubes-tips/gel-loading-tips/ ; https://www.thomassci.com/scientific-supplies/Pipetman ; https://agentek.co.il/vendors/ ; https://lifegene.co.il/product-category/instrumentation/pipettes/gilson/</t>
        </is>
      </c>
    </row>
    <row r="86">
      <c r="A86" s="2" t="n">
        <v>85</v>
      </c>
      <c r="B86" s="2" t="inlineStr">
        <is>
          <t>INTEGRA Biosciences</t>
        </is>
      </c>
      <c r="C86" s="2" t="inlineStr">
        <is>
          <t>INTEGRA, VIAFLO, VOYAGER, ASSIST PLUS, VACUSAFE, MEDIACLAVE</t>
        </is>
      </c>
      <c r="D86" s="2" t="inlineStr">
        <is>
          <t>Zizers</t>
        </is>
      </c>
      <c r="E86" s="2" t="inlineStr">
        <is>
          <t>Switzerland</t>
        </is>
      </c>
      <c r="F86" s="2" t="inlineStr"/>
      <c r="G86" s="2" t="inlineStr">
        <is>
          <t>Private</t>
        </is>
      </c>
      <c r="H86" s="2" t="n">
        <v>1965</v>
      </c>
      <c r="I86" s="2" t="inlineStr">
        <is>
          <t>https://www.integra-biosciences.com</t>
        </is>
      </c>
      <c r="J86" s="2" t="inlineStr">
        <is>
          <t>Liquid handling &amp; lab automation</t>
        </is>
      </c>
      <c r="K86" s="3" t="n">
        <v>1000</v>
      </c>
      <c r="L86" s="2" t="n">
        <v>2024</v>
      </c>
      <c r="M86" s="2" t="inlineStr">
        <is>
          <t>estimate</t>
        </is>
      </c>
      <c r="N86" s="2" t="inlineStr">
        <is>
          <t>INTEGRA states roughly 1,000 employees (recalled, unverified).</t>
        </is>
      </c>
      <c r="O86" s="2" t="inlineStr">
        <is>
          <t>CHF ~250 million (trade estimate; private)</t>
        </is>
      </c>
      <c r="P86" s="3" t="n">
        <v>290</v>
      </c>
      <c r="Q86" s="2" t="inlineStr">
        <is>
          <t>2024 (estimate)</t>
        </is>
      </c>
      <c r="R86" s="2" t="inlineStr">
        <is>
          <t>estimate</t>
        </is>
      </c>
      <c r="S86" s="2" t="inlineStr">
        <is>
          <t>INTEGRA (Zizers) is privately held; order-of-magnitude estimate. Figures recalled from company statements / filings and not re-verified online in this session.</t>
        </is>
      </c>
      <c r="T86" s="2" t="inlineStr">
        <is>
          <t>estimate</t>
        </is>
      </c>
      <c r="U86" s="2" t="inlineStr">
        <is>
          <t>VIAFLO / VOYAGER — electronic single- and multichannel pipettes</t>
        </is>
      </c>
      <c r="V86" s="2" t="inlineStr">
        <is>
          <t>ASSIST PLUS — benchtop pipetting robot for electronic pipettes</t>
        </is>
      </c>
      <c r="W86" s="2" t="inlineStr">
        <is>
          <t>VACUSAFE / MEDIACLAVE — aspiration system and media sterilizer/preparator</t>
        </is>
      </c>
      <c r="X86" s="2" t="inlineStr"/>
      <c r="Y86" s="2" t="inlineStr"/>
      <c r="Z86" s="2" t="inlineStr"/>
      <c r="AA86" s="2" t="inlineStr"/>
      <c r="AB86" s="2" t="inlineStr"/>
      <c r="AC86" s="2" t="inlineStr">
        <is>
          <t>distributor</t>
        </is>
      </c>
      <c r="AD86" s="2" t="inlineStr">
        <is>
          <t>מפיץ / נציג ישראלי</t>
        </is>
      </c>
      <c r="AE86" s="2" t="inlineStr">
        <is>
          <t>verified</t>
        </is>
      </c>
      <c r="AF86" s="2" t="inlineStr">
        <is>
          <t>אומת ממקור</t>
        </is>
      </c>
      <c r="AG86" s="2" t="inlineStr">
        <is>
          <t>Medent - Scientific Equipment Ltd. [מפיץ; INTEGRA liquid-handling products (VIAFLO, ASSIST PLUS, VACUSAFE etc.) - listed as INTEGRA's distributor for Israel, Beer Sheva 84206]</t>
        </is>
      </c>
      <c r="AH86" s="2" t="inlineStr">
        <is>
          <t>Searched '"INTEGRA Biosciences" Israel distributor/נציג/יבואן', the 29 Israeli distributor domains and integra-biosciences.com. INTEGRA's own 'Where to buy' country selector lists Medent - Scientific Equipment Ltd. (Beer Sheva, medent.co.il) as its distributor for Israel; an older indexed copy of the same page shows the same entry. INTEGRA has no Israeli subsidiary (its own offices are in Europe, North America and Asia-Pacific). Caveat: Medent's own site was not checked and the listing was indexed roughly five months before today.</t>
        </is>
      </c>
      <c r="AI86" s="2" t="inlineStr">
        <is>
          <t>high</t>
        </is>
      </c>
      <c r="AJ86" s="2" t="inlineStr">
        <is>
          <t>Israel finding only: named on the manufacturer's official distributor page.</t>
        </is>
      </c>
      <c r="AK86" s="2" t="inlineStr">
        <is>
          <t>https://www.integra-biosciences.com/global/en/where-buy ; https://www.integra-biosciences.com/united-kingdom/en/where-buy?field_distributor_country_target_id=All&amp;page=7 ; https://www.integra-biosciences.com/global/en/support/contacts</t>
        </is>
      </c>
    </row>
    <row r="87">
      <c r="A87" s="2" t="n">
        <v>86</v>
      </c>
      <c r="B87" s="2" t="inlineStr">
        <is>
          <t>BMG LABTECH</t>
        </is>
      </c>
      <c r="C87" s="2" t="inlineStr">
        <is>
          <t>BMG Labtech, CLARIOstar, PHERAstar, FLUOstar Omega</t>
        </is>
      </c>
      <c r="D87" s="2" t="inlineStr">
        <is>
          <t>Ortenberg</t>
        </is>
      </c>
      <c r="E87" s="2" t="inlineStr">
        <is>
          <t>Germany</t>
        </is>
      </c>
      <c r="F87" s="2" t="inlineStr"/>
      <c r="G87" s="2" t="inlineStr">
        <is>
          <t>Private</t>
        </is>
      </c>
      <c r="H87" s="2" t="n">
        <v>1989</v>
      </c>
      <c r="I87" s="2" t="inlineStr">
        <is>
          <t>https://www.bmglabtech.com</t>
        </is>
      </c>
      <c r="J87" s="2" t="inlineStr">
        <is>
          <t>Microplate readers &amp; detection</t>
        </is>
      </c>
      <c r="K87" s="3" t="n">
        <v>300</v>
      </c>
      <c r="L87" s="2" t="n">
        <v>2024</v>
      </c>
      <c r="M87" s="2" t="inlineStr">
        <is>
          <t>estimate</t>
        </is>
      </c>
      <c r="N87" s="2" t="inlineStr">
        <is>
          <t>Roughly 300 employees worldwide (recalled, unverified).</t>
        </is>
      </c>
      <c r="O87" s="2" t="inlineStr">
        <is>
          <t>EUR ~70 million (trade estimate; private)</t>
        </is>
      </c>
      <c r="P87" s="3" t="n">
        <v>77</v>
      </c>
      <c r="Q87" s="2" t="inlineStr">
        <is>
          <t>2024 (estimate)</t>
        </is>
      </c>
      <c r="R87" s="2" t="inlineStr">
        <is>
          <t>estimate</t>
        </is>
      </c>
      <c r="S87" s="2" t="inlineStr">
        <is>
          <t>BMG LABTECH (Ortenberg) is family-owned; order-of-magnitude estimate. Figures recalled from company statements / filings and not re-verified online in this session.</t>
        </is>
      </c>
      <c r="T87" s="2" t="inlineStr">
        <is>
          <t>estimate</t>
        </is>
      </c>
      <c r="U87" s="2" t="inlineStr">
        <is>
          <t>CLARIOstar Plus — monochromator-based multi-mode microplate reader</t>
        </is>
      </c>
      <c r="V87" s="2" t="inlineStr">
        <is>
          <t>PHERAstar FSX — high-throughput screening multi-mode plate reader</t>
        </is>
      </c>
      <c r="W87" s="2" t="inlineStr">
        <is>
          <t>Omega series (FLUOstar / POLARstar / SPECTROstar Nano) — filter-based and absorbance microplate readers</t>
        </is>
      </c>
      <c r="X87" s="2" t="inlineStr"/>
      <c r="Y87" s="2" t="inlineStr"/>
      <c r="Z87" s="2" t="inlineStr"/>
      <c r="AA87" s="2" t="inlineStr"/>
      <c r="AB87" s="2" t="inlineStr"/>
      <c r="AC87" s="2" t="inlineStr">
        <is>
          <t>distributor</t>
        </is>
      </c>
      <c r="AD87" s="2" t="inlineStr">
        <is>
          <t>מפיץ / נציג ישראלי</t>
        </is>
      </c>
      <c r="AE87" s="2" t="inlineStr">
        <is>
          <t>verified</t>
        </is>
      </c>
      <c r="AF87" s="2" t="inlineStr">
        <is>
          <t>אומת ממקור</t>
        </is>
      </c>
      <c r="AG87" s="2" t="inlineStr">
        <is>
          <t>Zotal Ltd. [מפיץ; BMG LABTECH microplate readers (CLARIOstar, PHERAstar etc.) - listed as BMG's Israel sales &amp; support contact, 4 Habarzel St., Tel Aviv 69710, sales@zotal.co.il]</t>
        </is>
      </c>
      <c r="AH87" s="2" t="inlineStr">
        <is>
          <t>Searched '"BMG LABTECH" Israel distributor/נציג/יבואן', the 29 Israeli distributor domains and bmglabtech.com. BMG LABTECH's 'Sales &amp; Support Offices' page lists Zotal Ltd. (Tel Aviv) as the Israel contact, and Zotal's own site has a BMG LABTECH brand page plus microplate-reader product pages (luminescence, fluorescence polarization, TR-FRET, AlphaScreen, LVF monochromator). BMG has no Israeli subsidiary; its own offices are in Germany, USA, UK, Australia, Japan and France. No caveats beyond BMG's page not labelling Zotal explicitly as 'distributor' versus office.</t>
        </is>
      </c>
      <c r="AI87" s="2" t="inlineStr">
        <is>
          <t>high</t>
        </is>
      </c>
      <c r="AJ87" s="2" t="inlineStr">
        <is>
          <t>Israel finding only: confirmed on both the manufacturer's and the distributor's sites.</t>
        </is>
      </c>
      <c r="AK87" s="2" t="inlineStr">
        <is>
          <t>https://www.bmglabtech.com/en/sales-and-support-offices/ ; https://www.zotal.co.il/product_brands/bmg-labtech/ ; http://www.zotal.co.il/products/life-sciences/cell-biology-instrumentation/microplate-readers/luminometers-0 ; https://www.bmglabtech.com/en/sales-and-support/</t>
        </is>
      </c>
    </row>
    <row r="88">
      <c r="A88" s="2" t="n">
        <v>87</v>
      </c>
      <c r="B88" s="2" t="inlineStr">
        <is>
          <t>Repligen</t>
        </is>
      </c>
      <c r="C88" s="2" t="inlineStr">
        <is>
          <t>TangenX, Spectrum Labs (KrosFlo), CTech / C Technologies, ARTeSYN, Avitide, Metenova, Tantti, OPUS</t>
        </is>
      </c>
      <c r="D88" s="2" t="inlineStr">
        <is>
          <t>Waltham, Massachusetts</t>
        </is>
      </c>
      <c r="E88" s="2" t="inlineStr">
        <is>
          <t>USA</t>
        </is>
      </c>
      <c r="F88" s="2" t="inlineStr"/>
      <c r="G88" s="2" t="inlineStr">
        <is>
          <t>Public (NASDAQ: RGEN)</t>
        </is>
      </c>
      <c r="H88" s="2" t="n">
        <v>1981</v>
      </c>
      <c r="I88" s="2" t="inlineStr">
        <is>
          <t>https://www.repligen.com</t>
        </is>
      </c>
      <c r="J88" s="2" t="inlineStr">
        <is>
          <t>Bioprocess &amp; filtration</t>
        </is>
      </c>
      <c r="K88" s="3" t="n">
        <v>1900</v>
      </c>
      <c r="L88" s="2" t="n">
        <v>2024</v>
      </c>
      <c r="M88" s="2" t="inlineStr">
        <is>
          <t>company</t>
        </is>
      </c>
      <c r="N88" s="2" t="inlineStr">
        <is>
          <t>Approx. 1,900 employees as recalled from Repligen's FY2024 Form 10-K; could not be re-verified this run (WebFetch/proxy unavailable), so treat as approximate.</t>
        </is>
      </c>
      <c r="O88" s="2" t="inlineStr">
        <is>
          <t>USD 634.5 million (recalled, unverified this run)</t>
        </is>
      </c>
      <c r="P88" s="3" t="n">
        <v>634.5</v>
      </c>
      <c r="Q88" s="2" t="inlineStr">
        <is>
          <t>FY2024</t>
        </is>
      </c>
      <c r="R88" s="2" t="inlineStr">
        <is>
          <t>company</t>
        </is>
      </c>
      <c r="S88" s="2" t="inlineStr">
        <is>
          <t>FY2024 10-K figure (recalled; FY2025 revenue was guided at roughly USD 700M). Figures recalled from company statements / filings and not re-verified online in this session.</t>
        </is>
      </c>
      <c r="T88" s="2" t="inlineStr">
        <is>
          <t>reported</t>
        </is>
      </c>
      <c r="U88" s="2" t="inlineStr">
        <is>
          <t>XCell ATF — alternating tangential flow cell-retention systems</t>
        </is>
      </c>
      <c r="V88" s="2" t="inlineStr">
        <is>
          <t>OPUS pre-packed columns — ready-to-use chromatography columns</t>
        </is>
      </c>
      <c r="W88" s="2" t="inlineStr">
        <is>
          <t>CTech FlowVPX / SoloVPE — variable-pathlength UV concentration analytics</t>
        </is>
      </c>
      <c r="X88" s="2" t="inlineStr"/>
      <c r="Y88" s="2" t="inlineStr"/>
      <c r="Z88" s="2" t="inlineStr"/>
      <c r="AA88" s="2" t="inlineStr"/>
      <c r="AB88" s="2" t="inlineStr"/>
      <c r="AC88" s="2" t="inlineStr">
        <is>
          <t>none_found</t>
        </is>
      </c>
      <c r="AD88" s="2" t="inlineStr">
        <is>
          <t>לא נמצא ייצוג</t>
        </is>
      </c>
      <c r="AE88" s="2" t="inlineStr">
        <is>
          <t>partial</t>
        </is>
      </c>
      <c r="AF88" s="2" t="inlineStr">
        <is>
          <t>חיפוש חלקי (ללא פתיחת אתרי היצרן/המפיץ)</t>
        </is>
      </c>
      <c r="AG88" s="2" t="inlineStr"/>
      <c r="AH88" s="2" t="inlineStr">
        <is>
          <t>חיפוש רשת בלבד; דפי ״מפיצים״ של היצרן ואתרי המפיצים לא נפתחו (חסימת רשת). Round 3 ran the brand restricted to the 40 Israeli distributor domains (only SEC filings surfaced; no Israeli site mentions Repligen, XCell ATF, OPUS, TangenX, KrosFlo or SoloVPE), a Hebrew-only query ('Repligen יבואן נציגות בישראל ביופרוסס') and an 'Israel distributor' query restricted to repligen.com; none named an Israeli distributor or office. Repligen's distributors page repeats that products are marketed through a direct commercial organisation in the US, Europe and Asia plus strategic partners and distributors in select markets, and its locations page lists only US sites and Bengaluru. Result unchanged from round 2: no Israeli entity identified; Israel is most likely served directly from Repligen Europe or by an unnamed partner.</t>
        </is>
      </c>
      <c r="AI88" s="2" t="inlineStr">
        <is>
          <t>low</t>
        </is>
      </c>
      <c r="AJ88" s="2" t="inlineStr">
        <is>
          <t>Absence of evidence only.</t>
        </is>
      </c>
      <c r="AK88" s="2" t="inlineStr">
        <is>
          <t>https://repligen.com/company/distributors ; https://www.repligen.com/support/contact-overview ; https://store.repligen.com/ ; https://www.sec.gov/Archives/edgar/data/730272/000119312524083464/d803642dars.pdf ; https://www.repligen.com/company/distributors ; https://www.repligen.com/company/locations ; https://www.repligen.com/company ; https://www.sec.gov/Archives/edgar/data/730272/000095017025105166/rgen-20250630.htm</t>
        </is>
      </c>
    </row>
    <row r="89">
      <c r="A89" s="2" t="n">
        <v>88</v>
      </c>
      <c r="B89" s="2" t="inlineStr">
        <is>
          <t>ZwickRoell</t>
        </is>
      </c>
      <c r="C89" s="2" t="inlineStr">
        <is>
          <t>Zwick, Roell, Zwick Roell, Indentec, ZwickRoell Group</t>
        </is>
      </c>
      <c r="D89" s="2" t="inlineStr">
        <is>
          <t>Ulm</t>
        </is>
      </c>
      <c r="E89" s="2" t="inlineStr">
        <is>
          <t>Germany</t>
        </is>
      </c>
      <c r="F89" s="2" t="inlineStr"/>
      <c r="G89" s="2" t="inlineStr">
        <is>
          <t>Private (family-owned)</t>
        </is>
      </c>
      <c r="H89" s="2" t="n">
        <v>1854</v>
      </c>
      <c r="I89" s="2" t="inlineStr">
        <is>
          <t>https://www.zwickroell.com</t>
        </is>
      </c>
      <c r="J89" s="2" t="inlineStr">
        <is>
          <t>Thermal analysis &amp; materials testing</t>
        </is>
      </c>
      <c r="K89" s="3" t="n">
        <v>1900</v>
      </c>
      <c r="L89" s="2" t="n">
        <v>2024</v>
      </c>
      <c r="M89" s="2" t="inlineStr">
        <is>
          <t>estimate</t>
        </is>
      </c>
      <c r="N89" s="2" t="inlineStr">
        <is>
          <t>ZwickRoell group cites ~1,900-2,000 employees (recalled, unverified).</t>
        </is>
      </c>
      <c r="O89" s="2" t="inlineStr">
        <is>
          <t>EUR ~300 million (group, trade estimate; private)</t>
        </is>
      </c>
      <c r="P89" s="3" t="n">
        <v>330</v>
      </c>
      <c r="Q89" s="2" t="inlineStr">
        <is>
          <t>2024 (estimate)</t>
        </is>
      </c>
      <c r="R89" s="2" t="inlineStr">
        <is>
          <t>estimate</t>
        </is>
      </c>
      <c r="S89" s="2" t="inlineStr">
        <is>
          <t>ZwickRoell (Ulm) is family-owned; group revenue around EUR 300M per its own press material. Figures recalled from company statements / filings and not re-verified online in this session.</t>
        </is>
      </c>
      <c r="T89" s="2" t="inlineStr">
        <is>
          <t>estimate</t>
        </is>
      </c>
      <c r="U89" s="2" t="inlineStr">
        <is>
          <t>AllroundLine / ProLine (Z-series) — universal static materials testing machines</t>
        </is>
      </c>
      <c r="V89" s="2" t="inlineStr">
        <is>
          <t>testXpert III — materials testing software platform</t>
        </is>
      </c>
      <c r="W89" s="2" t="inlineStr">
        <is>
          <t>HIT pendulum impact testers &amp; ZHU/DuraScan hardness testers — impact and hardness testing instruments</t>
        </is>
      </c>
      <c r="X89" s="2" t="inlineStr"/>
      <c r="Y89" s="2" t="inlineStr"/>
      <c r="Z89" s="2" t="inlineStr"/>
      <c r="AA89" s="2" t="inlineStr"/>
      <c r="AB89" s="2" t="inlineStr"/>
      <c r="AC89" s="2" t="inlineStr">
        <is>
          <t>distributor</t>
        </is>
      </c>
      <c r="AD89" s="2" t="inlineStr">
        <is>
          <t>מפיץ / נציג ישראלי</t>
        </is>
      </c>
      <c r="AE89" s="2" t="inlineStr">
        <is>
          <t>verified</t>
        </is>
      </c>
      <c r="AF89" s="2" t="inlineStr">
        <is>
          <t>אומת ממקור</t>
        </is>
      </c>
      <c r="AG89" s="2" t="inlineStr">
        <is>
          <t>GLOBUS Technical Equipment Ltd. [מפיץ; ZwickRoell sales partner for Israel (materials testing machines); Kadima Industrial Zone]</t>
        </is>
      </c>
      <c r="AH89" s="2" t="inlineStr">
        <is>
          <t>Searched the brand generically (English/Hebrew), across 27 Israeli lab-distributor domains, on zwickroell.com and for the partner's own name. ZwickRoell's own 'Locations around the world' page names GLOBUS Technical Equipment Ltd. in the Kadima Industrial Zone as its Israeli partner (phone number and contact form). No website for Globus was found and it does not appear on any of the usual Israeli lab-distributor sites, so it is an industrial/technical-equipment agent rather than a lab-supply house.</t>
        </is>
      </c>
      <c r="AI89" s="2" t="inlineStr">
        <is>
          <t>high</t>
        </is>
      </c>
      <c r="AJ89" s="2" t="inlineStr">
        <is>
          <t>Israeli partner named on the manufacturer's official locations page; only the partner's website could not be located.</t>
        </is>
      </c>
      <c r="AK89" s="2" t="inlineStr">
        <is>
          <t>https://www.zwickroell.com/company/locations-around-the-world/ ; https://www.zwickroell.com/contact/ ; https://www.zwickroell.com/fr-fr/about-us</t>
        </is>
      </c>
    </row>
    <row r="90">
      <c r="A90" s="2" t="n">
        <v>89</v>
      </c>
      <c r="B90" s="2" t="inlineStr">
        <is>
          <t>Kewaunee Scientific</t>
        </is>
      </c>
      <c r="C90" s="2" t="inlineStr">
        <is>
          <t>Kewaunee, Nu Aire / NuAire (subsidiary since Nov 2024), Kewaunee Labway India</t>
        </is>
      </c>
      <c r="D90" s="2" t="inlineStr">
        <is>
          <t>Statesville, North Carolina</t>
        </is>
      </c>
      <c r="E90" s="2" t="inlineStr">
        <is>
          <t>USA</t>
        </is>
      </c>
      <c r="F90" s="2" t="inlineStr"/>
      <c r="G90" s="2" t="inlineStr">
        <is>
          <t>Public (NASDAQ: KEQU)</t>
        </is>
      </c>
      <c r="H90" s="2" t="n">
        <v>1906</v>
      </c>
      <c r="I90" s="2" t="inlineStr">
        <is>
          <t>https://www.kewaunee.com</t>
        </is>
      </c>
      <c r="J90" s="2" t="inlineStr">
        <is>
          <t>Lab furniture &amp; fume hoods</t>
        </is>
      </c>
      <c r="K90" s="3" t="n">
        <v>2800</v>
      </c>
      <c r="L90" s="2" t="n">
        <v>2025</v>
      </c>
      <c r="M90" s="2" t="inlineStr">
        <is>
          <t>estimate</t>
        </is>
      </c>
      <c r="N90" s="2" t="inlineStr">
        <is>
          <t>Roughly 2,800 employees incl. India operations and Nu Aire (acquired Nov 2024); recalled, unverified.</t>
        </is>
      </c>
      <c r="O90" s="2" t="inlineStr">
        <is>
          <t>USD ~246 million</t>
        </is>
      </c>
      <c r="P90" s="3" t="n">
        <v>246</v>
      </c>
      <c r="Q90" s="2" t="inlineStr">
        <is>
          <t>FY2025 (ended Apr-2025)</t>
        </is>
      </c>
      <c r="R90" s="2" t="inlineStr">
        <is>
          <t>company</t>
        </is>
      </c>
      <c r="S90" s="2" t="inlineStr">
        <is>
          <t>FY2025 (fiscal year ended April 30, 2025) net sales of roughly USD 246 million as recalled from Kewaunee's FY2025 10-K/earnings release (includes Nu Aire from Nov 2024); FY2026 results (reported mid-2026) could not be retrieved. Flagged 'estimate' because it could not be re-verified against a source this run.</t>
        </is>
      </c>
      <c r="T90" s="2" t="inlineStr">
        <is>
          <t>mixed</t>
        </is>
      </c>
      <c r="U90" s="2" t="inlineStr">
        <is>
          <t>Supreme Air fume hoods — low-velocity / high-performance laboratory fume hoods</t>
        </is>
      </c>
      <c r="V90" s="2" t="inlineStr">
        <is>
          <t>Evolution / Research Collection casework — adaptable steel and wood laboratory furniture</t>
        </is>
      </c>
      <c r="W90" s="2" t="inlineStr">
        <is>
          <t>NuAire biosafety cabinets (LabGard) — Class II biological safety cabinets (NuAire subsidiary)</t>
        </is>
      </c>
      <c r="X90" s="2" t="inlineStr"/>
      <c r="Y90" s="2" t="inlineStr"/>
      <c r="Z90" s="2" t="inlineStr"/>
      <c r="AA90" s="2" t="inlineStr"/>
      <c r="AB90" s="2" t="inlineStr"/>
      <c r="AC90" s="2" t="inlineStr">
        <is>
          <t>none_found</t>
        </is>
      </c>
      <c r="AD90" s="2" t="inlineStr">
        <is>
          <t>לא נמצא ייצוג</t>
        </is>
      </c>
      <c r="AE90" s="2" t="inlineStr">
        <is>
          <t>partial</t>
        </is>
      </c>
      <c r="AF90" s="2" t="inlineStr">
        <is>
          <t>חיפוש חלקי (ללא פתיחת אתרי היצרן/המפיץ)</t>
        </is>
      </c>
      <c r="AG90" s="2" t="inlineStr"/>
      <c r="AH90" s="2" t="inlineStr">
        <is>
          <t>חיפוש רשת בלבד; דפי ״מפיצים״ של היצרן ואתרי המפיצים לא נפתחו (חסימת רשת). Searched generic English/Hebrew queries, 27 Israeli distributor domains, kewaunee.com and nuaire.com, a NuAire-Israel query and Israeli lab-furniture tender documents. Nothing names an Israeli dealer: Kewaunee lists sales offices only in the USA, India, Saudi Arabia and Singapore; its FY2026 annual report says 28% of revenue comes from outside the USA and that Nu Aire added distribution partners in new regions without naming them; a D&amp;B profile says the Singapore/India subsidiaries cover Asia and the Middle East. NuAire's site shows only an 'Israel outlet (Type H)' plug option. Israel is therefore most likely served, if at all, from the Singapore/India/Saudi offices; no Israeli dealer could be identified.</t>
        </is>
      </c>
      <c r="AI90" s="2" t="inlineStr">
        <is>
          <t>medium</t>
        </is>
      </c>
      <c r="AJ90" s="2" t="inlineStr">
        <is>
          <t>Five searches including the manufacturer's own site and the Nu Aire subsidiary found no Israeli entity; absence is well supported but a small dealer could still exist offline.</t>
        </is>
      </c>
      <c r="AK90" s="2" t="inlineStr">
        <is>
          <t>https://kewaunee.com/about/ ; https://kewaunee.com/wp-content/uploads/2026/07/FY26-Annual-Report-R062026-Web-FINAL.pdf ; https://www.dnb.com/business-directory/company-profiles.kewaunee_scientific_corporation.a3375a4cdcfa0bc54d035b8604567ee1.html ; https://www.nuaire.com/ ; https://nuaire.com/products/biosafety-cabinets/labgard-nu-560-class-ii-type-b2-biosafety-cabinet</t>
        </is>
      </c>
    </row>
    <row r="91">
      <c r="A91" s="2" t="n">
        <v>90</v>
      </c>
      <c r="B91" s="2" t="inlineStr">
        <is>
          <t>WALDNER Laboreinrichtungen</t>
        </is>
      </c>
      <c r="C91" s="2" t="inlineStr">
        <is>
          <t>WALDNER, Waldner Group (Hermann WALDNER GmbH &amp; Co. KG, WALDNER Dosomat, Hohenloher Spezialmöbelwerk)</t>
        </is>
      </c>
      <c r="D91" s="2" t="inlineStr">
        <is>
          <t>Wangen im Allgäu</t>
        </is>
      </c>
      <c r="E91" s="2" t="inlineStr">
        <is>
          <t>Germany</t>
        </is>
      </c>
      <c r="F91" s="2" t="inlineStr">
        <is>
          <t>WALDNER Group (Hermann WALDNER GmbH &amp; Co. KG)</t>
        </is>
      </c>
      <c r="G91" s="2" t="inlineStr">
        <is>
          <t>Private (family-owned)</t>
        </is>
      </c>
      <c r="H91" s="2" t="n">
        <v>1908</v>
      </c>
      <c r="I91" s="2" t="inlineStr">
        <is>
          <t>https://www.waldner.de</t>
        </is>
      </c>
      <c r="J91" s="2" t="inlineStr">
        <is>
          <t>Lab furniture &amp; fume hoods</t>
        </is>
      </c>
      <c r="K91" s="3" t="n">
        <v>1300</v>
      </c>
      <c r="L91" s="2" t="n">
        <v>2024</v>
      </c>
      <c r="M91" s="2" t="inlineStr">
        <is>
          <t>estimate</t>
        </is>
      </c>
      <c r="N91" s="2" t="inlineStr">
        <is>
          <t>WALDNER group ~1,300 employees (recalled, unverified).</t>
        </is>
      </c>
      <c r="O91" s="2" t="inlineStr">
        <is>
          <t>EUR ~200 million (group, trade estimate; private)</t>
        </is>
      </c>
      <c r="P91" s="3" t="n">
        <v>220</v>
      </c>
      <c r="Q91" s="2" t="inlineStr">
        <is>
          <t>2024 (estimate)</t>
        </is>
      </c>
      <c r="R91" s="2" t="inlineStr">
        <is>
          <t>estimate</t>
        </is>
      </c>
      <c r="S91" s="2" t="inlineStr">
        <is>
          <t>WALDNER (Wangen im Allgäu) is family-owned; order-of-magnitude estimate. Figures recalled from company statements / filings and not re-verified online in this session.</t>
        </is>
      </c>
      <c r="T91" s="2" t="inlineStr">
        <is>
          <t>estimate</t>
        </is>
      </c>
      <c r="U91" s="2" t="inlineStr">
        <is>
          <t>SCALA — modular laboratory furniture system</t>
        </is>
      </c>
      <c r="V91" s="2" t="inlineStr">
        <is>
          <t>SECUFLOW — energy-saving laboratory fume hoods</t>
        </is>
      </c>
      <c r="W91" s="2" t="inlineStr">
        <is>
          <t>Media ceilings &amp; service modules — ceiling-mounted lab utility supply systems</t>
        </is>
      </c>
      <c r="X91" s="2" t="inlineStr"/>
      <c r="Y91" s="2" t="inlineStr"/>
      <c r="Z91" s="2" t="inlineStr"/>
      <c r="AA91" s="2" t="inlineStr"/>
      <c r="AB91" s="2" t="inlineStr"/>
      <c r="AC91" s="2" t="inlineStr">
        <is>
          <t>none_found</t>
        </is>
      </c>
      <c r="AD91" s="2" t="inlineStr">
        <is>
          <t>לא נמצא ייצוג</t>
        </is>
      </c>
      <c r="AE91" s="2" t="inlineStr">
        <is>
          <t>partial</t>
        </is>
      </c>
      <c r="AF91" s="2" t="inlineStr">
        <is>
          <t>חיפוש חלקי (ללא פתיחת אתרי היצרן/המפיץ)</t>
        </is>
      </c>
      <c r="AG91" s="2" t="inlineStr"/>
      <c r="AH91" s="2" t="inlineStr">
        <is>
          <t>חיפוש רשת בלבד; דפי ״מפיצים״ של היצרן ואתרי המפיצים לא נפתחו (חסימת רשת). Searched generic English/Hebrew queries, 27 Israeli distributor domains, waldner.de (worldwide/company pages), a Hebrew lab-furniture query and Israeli tender documents (HUJI 2026 lab-furniture framework tender, TAU). Waldner's 'Worldwide' page describes 13 subsidiaries and more than 100 branches and partners (Singapore and USA offices appear in snippets) but no Israeli partner surfaced, and no Israeli distributor site lists the brand (Labotal and Lumitron sell Labconco/Faster hoods instead). Caveat: only search snippets of the Waldner worldwide page were visible, so an Israel entry on the full partner list cannot be excluded.</t>
        </is>
      </c>
      <c r="AI91" s="2" t="inlineStr">
        <is>
          <t>medium</t>
        </is>
      </c>
      <c r="AJ91" s="2" t="inlineStr">
        <is>
          <t>No Israeli entity in five searches including the manufacturer's worldwide page; the full partner list itself was not readable.</t>
        </is>
      </c>
      <c r="AK91" s="2" t="inlineStr">
        <is>
          <t>https://www.waldner.de/en/about-us/company/worldwide/ ; https://www.waldner.de/en/about-us/company/ ; https://2024.minexasia.com/exhibitors/waldner/ ; https://tenders.huji.ac.il/wp-content/uploads/2026/07/מכרז-מסגרת-ריהוט-מעבדתי-מסמכי-מכרז.pdf</t>
        </is>
      </c>
    </row>
    <row r="92">
      <c r="A92" s="2" t="n">
        <v>91</v>
      </c>
      <c r="B92" s="2" t="inlineStr">
        <is>
          <t>DWK Life Sciences</t>
        </is>
      </c>
      <c r="C92" s="2" t="inlineStr">
        <is>
          <t>DURAN, WHEATON, KIMBLE, KIMAX; formed from Duran Group, Wheaton Industries and Kimble Chase</t>
        </is>
      </c>
      <c r="D92" s="2" t="inlineStr">
        <is>
          <t>Mainz (sources also cite Wertheim; US headquarters Millville, New Jersey)</t>
        </is>
      </c>
      <c r="E92" s="2" t="inlineStr">
        <is>
          <t>Germany</t>
        </is>
      </c>
      <c r="F92" s="2" t="inlineStr">
        <is>
          <t>One Equity Partners (portfolio company)</t>
        </is>
      </c>
      <c r="G92" s="2" t="inlineStr">
        <is>
          <t>Private equity (One Equity Partners)</t>
        </is>
      </c>
      <c r="H92" s="2" t="n">
        <v>2017</v>
      </c>
      <c r="I92" s="2" t="inlineStr">
        <is>
          <t>https://www.dwk.com</t>
        </is>
      </c>
      <c r="J92" s="2" t="inlineStr">
        <is>
          <t>Labware &amp; consumables (plastic &amp; glass)</t>
        </is>
      </c>
      <c r="K92" s="3" t="n">
        <v>1800</v>
      </c>
      <c r="L92" s="2" t="n">
        <v>2025</v>
      </c>
      <c r="M92" s="2" t="inlineStr">
        <is>
          <t>company</t>
        </is>
      </c>
      <c r="N92" s="2" t="inlineStr">
        <is>
          <t>'Over 1,800 employees worldwide' per DWK's own careers page (current); 12 manufacturing sites, presence in 50+ countries (ChromatographyToday profile). Third-party directories give 470-1,900.</t>
        </is>
      </c>
      <c r="O92" s="2" t="inlineStr">
        <is>
          <t>USD 105.7 million</t>
        </is>
      </c>
      <c r="P92" s="3" t="n">
        <v>106</v>
      </c>
      <c r="Q92" s="2" t="inlineStr">
        <is>
          <t>FY2023</t>
        </is>
      </c>
      <c r="R92" s="2" t="inlineStr">
        <is>
          <t>estimate</t>
        </is>
      </c>
      <c r="S92" s="2" t="inlineStr">
        <is>
          <t>Preqin database figure (revenue c. USD 105.72M, EBITDA c. USD 11.51M, 2023); scope unclear and probably a single legal entity rather than the whole group. Other third-party estimates range from USD 50-100M (Seamless.AI), USD 101.8M (RocketReach) to USD 350M (Prospeo). No company-published revenue found.</t>
        </is>
      </c>
      <c r="T92" s="2" t="inlineStr">
        <is>
          <t>mixed</t>
        </is>
      </c>
      <c r="U92" s="2" t="inlineStr">
        <is>
          <t>DURAN laboratory glass bottles — GL 45 borosilicate 3.3 bottles &amp; lab glassware</t>
        </is>
      </c>
      <c r="V92" s="2" t="inlineStr">
        <is>
          <t>WHEATON vials &amp; serum bottles — glass vials, serum bottles, packaging</t>
        </is>
      </c>
      <c r="W92" s="2" t="inlineStr">
        <is>
          <t>KIMBLE KIMAX glassware — volumetric &amp; general laboratory glassware</t>
        </is>
      </c>
      <c r="X92" s="2" t="inlineStr"/>
      <c r="Y92" s="2" t="inlineStr"/>
      <c r="Z92" s="2" t="inlineStr"/>
      <c r="AA92" s="2" t="inlineStr"/>
      <c r="AB92" s="2" t="inlineStr"/>
      <c r="AC92" s="2" t="inlineStr">
        <is>
          <t>distributor</t>
        </is>
      </c>
      <c r="AD92" s="2" t="inlineStr">
        <is>
          <t>מפיץ / נציג ישראלי</t>
        </is>
      </c>
      <c r="AE92" s="2" t="inlineStr">
        <is>
          <t>verified</t>
        </is>
      </c>
      <c r="AF92" s="2" t="inlineStr">
        <is>
          <t>אומת ממקור</t>
        </is>
      </c>
      <c r="AG92" s="2" t="inlineStr">
        <is>
          <t>Danyel Biotech Ltd. (Gamida for Life group) (דניאל ביוטק) [מפיץ; SciLabware ('a DWK Life Sciences company', UK): Pyrex borosilicate and Quickfit jointed glassware, MBL volumetric ware, Azlon plasticware and Wheaton packaging/dropper bottles - per Danyel's SciLabware brand page; DURAN and KIMBLE lines not shown]</t>
        </is>
      </c>
      <c r="AH92" s="2" t="inlineStr">
        <is>
          <t>Danyel Biotech's own brand page 'SciLabware - Danyel Biotech' presents SciLabware as 'a DWK Life Sciences company' and lists its 6,000+ products (Pyrex borosilicate and Quickfit jointed glassware, MBL volumetric ware, Azlon plasticware, Wheaton packaging and dropper bottles), so Danyel represents at least DWK's UK SciLabware/Wheaton range in Israel. Searches for DURAN, Wheaton and Kimble across the 40 Israeli distributor domains and a Hebrew query ('DURAN בקבוקי זכוכית מעבדה יבואן ישראל') found no Israeli site naming DURAN or KIMBLE, so the channel for those lines (possibly general lab-supply houses or VWR/Thermo catalogues) remains unidentified. DWK's own site was not searched within the budget.</t>
        </is>
      </c>
      <c r="AI92" s="2" t="inlineStr">
        <is>
          <t>medium</t>
        </is>
      </c>
      <c r="AJ92" s="2" t="inlineStr">
        <is>
          <t>Distributor's own brand page; scope limited to the SciLabware/Wheaton range; manufacturer's page not seen.</t>
        </is>
      </c>
      <c r="AK92" s="2" t="inlineStr">
        <is>
          <t>https://www.dwk.com/careers-europe ; https://www.chromatographytoday.com/buyers-guide/profile/14925/dwk-life-sciences-gmbh ; https://oneequity.com/portfolio/dwk-life-sciences ; https://www.preqin.com/data/profile/asset/dwk-life-sciences-gmbh/226945 ; https://rocketreach.co/dwk-life-sciences-profile_b455fd2cfc8bc717 ; https://prospeo.io/c/dwk-life-sciences ; https://www.reatorg.ru/eng/about/news/reatorg-distribyutor-dwk-duran-wheaton-kimble/ ; https://www.chamber.org.il/37679/40433/52076/?id=86053 ; https://www.danyel.co.il/scilabware/ ; https://en.wikipedia.org/wiki/Duran_(glass)</t>
        </is>
      </c>
    </row>
    <row r="93">
      <c r="A93" s="2" t="n">
        <v>92</v>
      </c>
      <c r="B93" s="2" t="inlineStr">
        <is>
          <t>Greiner Bio-One</t>
        </is>
      </c>
      <c r="C93" s="2" t="inlineStr">
        <is>
          <t>Greiner Bio-One International GmbH; VACUETTE, CELLSTAR, Sapphire, µClear; formerly Greiner Labortechnik</t>
        </is>
      </c>
      <c r="D93" s="2" t="inlineStr">
        <is>
          <t>Kremsmünster</t>
        </is>
      </c>
      <c r="E93" s="2" t="inlineStr">
        <is>
          <t>Austria</t>
        </is>
      </c>
      <c r="F93" s="2" t="inlineStr">
        <is>
          <t>Greiner AG</t>
        </is>
      </c>
      <c r="G93" s="2" t="inlineStr">
        <is>
          <t>Subsidiary of Greiner AG (private, family-owned)</t>
        </is>
      </c>
      <c r="H93" s="2" t="n">
        <v>1963</v>
      </c>
      <c r="I93" s="2" t="inlineStr">
        <is>
          <t>https://www.gbo.com</t>
        </is>
      </c>
      <c r="J93" s="2" t="inlineStr">
        <is>
          <t>Labware &amp; consumables (plastic &amp; glass)</t>
        </is>
      </c>
      <c r="K93" s="3" t="n">
        <v>2624</v>
      </c>
      <c r="L93" s="2" t="n">
        <v>2024</v>
      </c>
      <c r="M93" s="2" t="inlineStr">
        <is>
          <t>company</t>
        </is>
      </c>
      <c r="N93" s="2" t="inlineStr">
        <is>
          <t>Greiner Bio-One division: 29 locations and 2,624 employees in 2024 (Greiner AG 2024 results release). Greiner AG group: 10,242 employees in 2025 (10,318 in 2024). Division headcount for 2025 not found.</t>
        </is>
      </c>
      <c r="O93" s="2" t="inlineStr">
        <is>
          <t>EUR 637 million</t>
        </is>
      </c>
      <c r="P93" s="3" t="n">
        <v>701</v>
      </c>
      <c r="Q93" s="2" t="inlineStr">
        <is>
          <t>FY2025</t>
        </is>
      </c>
      <c r="R93" s="2" t="inlineStr">
        <is>
          <t>segment</t>
        </is>
      </c>
      <c r="S93" s="2" t="inlineStr">
        <is>
          <t>Greiner Bio-One division sales c. EUR 637M in 2025, down from EUR 666M in 2024 (+4.5% that year), per Greiner AG financial-year 2025 release; cites regulatory requirements and slower growth in core markets, especially the USA. Greiner Mediscan to be run as an independent division from 2026.</t>
        </is>
      </c>
      <c r="T93" s="2" t="inlineStr">
        <is>
          <t>reported</t>
        </is>
      </c>
      <c r="U93" s="2" t="inlineStr">
        <is>
          <t>VACUETTE — evacuated blood collection tubes &amp; safety needles</t>
        </is>
      </c>
      <c r="V93" s="2" t="inlineStr">
        <is>
          <t>CELLSTAR — cell culture flasks, dishes &amp; plates</t>
        </is>
      </c>
      <c r="W93" s="2" t="inlineStr">
        <is>
          <t>Sapphire tips &amp; µClear microplates — pipette tips, PCR &amp; assay microplates</t>
        </is>
      </c>
      <c r="X93" s="2" t="inlineStr"/>
      <c r="Y93" s="2" t="inlineStr"/>
      <c r="Z93" s="2" t="inlineStr"/>
      <c r="AA93" s="2" t="inlineStr"/>
      <c r="AB93" s="2" t="inlineStr"/>
      <c r="AC93" s="2" t="inlineStr">
        <is>
          <t>distributor</t>
        </is>
      </c>
      <c r="AD93" s="2" t="inlineStr">
        <is>
          <t>מפיץ / נציג ישראלי</t>
        </is>
      </c>
      <c r="AE93" s="2" t="inlineStr">
        <is>
          <t>verified</t>
        </is>
      </c>
      <c r="AF93" s="2" t="inlineStr">
        <is>
          <t>אומת ממקור</t>
        </is>
      </c>
      <c r="AG93" s="2" t="inlineStr">
        <is>
          <t>Danyel Biotech Ltd. (Gamida for Life group) (דניאל ביוטק) [מפיץ; Greiner Bio-One plates, tubes and consumables (Danyel brand page)]</t>
        </is>
      </c>
      <c r="AH93" s="2" t="inlineStr">
        <is>
          <t>Danyel Biotech's own site has a Greiner Bio-One brand page and lists Greiner among the companies it represents in Israel.</t>
        </is>
      </c>
      <c r="AI93" s="2" t="inlineStr">
        <is>
          <t>medium</t>
        </is>
      </c>
      <c r="AJ93" s="2" t="inlineStr"/>
      <c r="AK93" s="2" t="inlineStr">
        <is>
          <t>https://www.greiner.com/en/blog/detail/financial-year-2025-greiner-strengthens-its-resilience-and-invests-in-the-future-despite-a-challenging-environment/ ; https://www.gbo.com/en-us/press-events/press/article/financial-year-2025 ; https://www.gbo.com/en-at/press-events/press/article/greiner-achieved-stable-total-sales-and-growth-in-core-areas-in-2024 ; https://www.greiner.com/en/divisions/greiner-bio-one/ ; https://www.gbo.com/en-us/press-events/press/article/greiner-bio-one-opens-new-sales-office-in-dubai ; https://www.selectscience.net/company/greiner-bio-one-gmbh ; https://www.danyel.co.il/greiner-bio-one/</t>
        </is>
      </c>
    </row>
    <row r="94">
      <c r="A94" s="2" t="n">
        <v>93</v>
      </c>
      <c r="B94" s="2" t="inlineStr">
        <is>
          <t>SARSTEDT</t>
        </is>
      </c>
      <c r="C94" s="2" t="inlineStr">
        <is>
          <t>SARSTEDT Group; S-Monovette, Safety-Multifly, Microvette, Salivette</t>
        </is>
      </c>
      <c r="D94" s="2" t="inlineStr">
        <is>
          <t>Nümbrecht</t>
        </is>
      </c>
      <c r="E94" s="2" t="inlineStr">
        <is>
          <t>Germany</t>
        </is>
      </c>
      <c r="F94" s="2" t="inlineStr"/>
      <c r="G94" s="2" t="inlineStr">
        <is>
          <t>Private (family-owned)</t>
        </is>
      </c>
      <c r="H94" s="2" t="n">
        <v>1961</v>
      </c>
      <c r="I94" s="2" t="inlineStr">
        <is>
          <t>https://www.sarstedt.com</t>
        </is>
      </c>
      <c r="J94" s="2" t="inlineStr">
        <is>
          <t>Labware &amp; consumables (plastic &amp; glass)</t>
        </is>
      </c>
      <c r="K94" s="3" t="n">
        <v>3000</v>
      </c>
      <c r="L94" s="2" t="n">
        <v>2025</v>
      </c>
      <c r="M94" s="2" t="inlineStr">
        <is>
          <t>company</t>
        </is>
      </c>
      <c r="N94" s="2" t="inlineStr">
        <is>
          <t>'More than 3,000 employees' per sarstedt.com and the corporate brochure dated Oct 2025 (and Mar 2026 edition); 34 sales organisations and 13 production sites. Revelio Labs counts c. 1,354 for the German KG entity alone.</t>
        </is>
      </c>
      <c r="O94" s="2" t="inlineStr">
        <is>
          <t>USD 814.7 million</t>
        </is>
      </c>
      <c r="P94" s="3" t="n">
        <v>815</v>
      </c>
      <c r="Q94" s="2" t="inlineStr">
        <is>
          <t>undated (database estimate)</t>
        </is>
      </c>
      <c r="R94" s="2" t="inlineStr">
        <is>
          <t>estimate</t>
        </is>
      </c>
      <c r="S94" s="2" t="inlineStr">
        <is>
          <t>No company-published revenue found. Datanyze lists USD 814.7M (no year/source); Prospeo estimates USD 480M. Treat as rough third-party estimates.</t>
        </is>
      </c>
      <c r="T94" s="2" t="inlineStr">
        <is>
          <t>mixed</t>
        </is>
      </c>
      <c r="U94" s="2" t="inlineStr">
        <is>
          <t>S-Monovette — venous blood collection system</t>
        </is>
      </c>
      <c r="V94" s="2" t="inlineStr">
        <is>
          <t>Microvette &amp; Salivette — capillary blood and saliva collection</t>
        </is>
      </c>
      <c r="W94" s="2" t="inlineStr">
        <is>
          <t>Lab consumables (tubes, tips, cell culture) — screw-cap tubes, pipette tips, plates</t>
        </is>
      </c>
      <c r="X94" s="2" t="inlineStr"/>
      <c r="Y94" s="2" t="inlineStr"/>
      <c r="Z94" s="2" t="inlineStr"/>
      <c r="AA94" s="2" t="inlineStr"/>
      <c r="AB94" s="2" t="inlineStr"/>
      <c r="AC94" s="2" t="inlineStr">
        <is>
          <t>distributor</t>
        </is>
      </c>
      <c r="AD94" s="2" t="inlineStr">
        <is>
          <t>מפיץ / נציג ישראלי</t>
        </is>
      </c>
      <c r="AE94" s="2" t="inlineStr">
        <is>
          <t>verified</t>
        </is>
      </c>
      <c r="AF94" s="2" t="inlineStr">
        <is>
          <t>אומת ממקור</t>
        </is>
      </c>
      <c r="AG94" s="2" t="inlineStr">
        <is>
          <t>Tamar Laboratory Supplies Ltd. (תמר ציוד מעבדתי) [מפיץ; Sarstedt consumables (tubes, cuvettes, pipette tips) – Sarstedt is on Tamar's represented-companies page]</t>
        </is>
      </c>
      <c r="AH94" s="2" t="inlineStr">
        <is>
          <t>Tamar Laboratory Supplies' 'Represented companies' page lists Sarstedt, and Tamar sells Sarstedt tubes and cuvettes in Israel.</t>
        </is>
      </c>
      <c r="AI94" s="2" t="inlineStr">
        <is>
          <t>medium</t>
        </is>
      </c>
      <c r="AJ94" s="2" t="inlineStr"/>
      <c r="AK94" s="2" t="inlineStr">
        <is>
          <t>https://www.sarstedt.com/en/the-company/about-us/about-us ; https://about.sarstedt.com/media/bro_10_984_0300_100_nf_corporate_0126.pdf ; https://about.sarstedt.com/media/bro_20_984_0400_200_nf_corporate_0326.pdf ; https://healthmanagement.org/company/view/219173 ; https://www.reveliolabs.com/companies/sarstedt/employees ; https://www.datanyze.com/companies/sarstedt/89735421 ; https://prospeo.io/c/sarstedt-group-revenue ; https://galen.ru/uploads/files/file/Catalog_Sarstedt_20162017_EN.pdf ; https://www.tamar.co.il/represented-companies/</t>
        </is>
      </c>
    </row>
    <row r="95">
      <c r="A95" s="2" t="n">
        <v>94</v>
      </c>
      <c r="B95" s="2" t="inlineStr">
        <is>
          <t>BRAND (incl. VACUUBRAND)</t>
        </is>
      </c>
      <c r="C95" s="2" t="inlineStr">
        <is>
          <t>BRAND Group; BRANDTECH Scientific (USA/Canada); VACUUBRAND; VITLAB; Transferpette, Dispensette, BLAUBRAND</t>
        </is>
      </c>
      <c r="D95" s="2" t="inlineStr">
        <is>
          <t>Wertheim</t>
        </is>
      </c>
      <c r="E95" s="2" t="inlineStr">
        <is>
          <t>Germany</t>
        </is>
      </c>
      <c r="F95" s="2" t="inlineStr"/>
      <c r="G95" s="2" t="inlineStr">
        <is>
          <t>Private (family-owned)</t>
        </is>
      </c>
      <c r="H95" s="2" t="n">
        <v>1949</v>
      </c>
      <c r="I95" s="2" t="inlineStr">
        <is>
          <t>https://www.brand.de</t>
        </is>
      </c>
      <c r="J95" s="2" t="inlineStr">
        <is>
          <t>Liquid handling &amp; lab automation</t>
        </is>
      </c>
      <c r="K95" s="3" t="n">
        <v>1000</v>
      </c>
      <c r="L95" s="2" t="n">
        <v>2025</v>
      </c>
      <c r="M95" s="2" t="inlineStr">
        <is>
          <t>company</t>
        </is>
      </c>
      <c r="N95" s="2" t="inlineStr">
        <is>
          <t>BRAND Group c. 1,000 employees worldwide (incl. VACUUBRAND, Wertheim, and VITLAB, Grossostheim) per company profile; c. 500 develop and manufacture at BRAND's Wertheim site per company job ads; IBISWorld estimates c. 500 for the KG itself.</t>
        </is>
      </c>
      <c r="O95" s="2" t="inlineStr">
        <is>
          <t>EUR ~150 million (group, trade estimate; private)</t>
        </is>
      </c>
      <c r="P95" s="3" t="n">
        <v>165</v>
      </c>
      <c r="Q95" s="2" t="inlineStr">
        <is>
          <t>2024 (estimate)</t>
        </is>
      </c>
      <c r="R95" s="2" t="inlineStr">
        <is>
          <t>estimate</t>
        </is>
      </c>
      <c r="S95" s="2" t="inlineStr">
        <is>
          <t>BRAND group (BRAND + VACUUBRAND, Wertheim) is family-owned and publishes no revenue; order-of-magnitude estimate from ~1,000 employees. Figures recalled from company statements / filings and not re-verified online in this session.</t>
        </is>
      </c>
      <c r="T95" s="2" t="inlineStr">
        <is>
          <t>estimate</t>
        </is>
      </c>
      <c r="U95" s="2" t="inlineStr">
        <is>
          <t>Transferpette S / electronic — single- and multichannel air-displacement pipettes</t>
        </is>
      </c>
      <c r="V95" s="2" t="inlineStr">
        <is>
          <t>Dispensette S &amp; HandyStep — bottle-top dispensers and repetitive pipettes</t>
        </is>
      </c>
      <c r="W95" s="2" t="inlineStr">
        <is>
          <t>BLAUBRAND volumetric glassware — Class A flasks, pipettes, burettes</t>
        </is>
      </c>
      <c r="X95" s="2" t="inlineStr"/>
      <c r="Y95" s="2" t="inlineStr"/>
      <c r="Z95" s="2" t="inlineStr"/>
      <c r="AA95" s="2" t="inlineStr"/>
      <c r="AB95" s="2" t="inlineStr"/>
      <c r="AC95" s="2" t="inlineStr">
        <is>
          <t>distributor</t>
        </is>
      </c>
      <c r="AD95" s="2" t="inlineStr">
        <is>
          <t>מפיץ / נציג ישראלי</t>
        </is>
      </c>
      <c r="AE95" s="2" t="inlineStr">
        <is>
          <t>verified</t>
        </is>
      </c>
      <c r="AF95" s="2" t="inlineStr">
        <is>
          <t>אומת ממקור</t>
        </is>
      </c>
      <c r="AG95" s="2" t="inlineStr">
        <is>
          <t>Labotal Scientific Equipment Ltd. (לבוטל) [מפיץ; BRAND liquid handling (Transferpette S / electronic / alpha pipettes; carried since 2018) and VACUUBRAND diaphragm and ATEX vacuum pumps - Labotal states it is an authorised VACUUBRAND distributor for the laboratory segment]</t>
        </is>
      </c>
      <c r="AH95" s="2" t="inlineStr">
        <is>
          <t>The 40-domain sweep returned Labotal's own product and news pages: a 'Brand Pipettors, New Series: Transferpette α' page, single-channel pipettor category pages, VACUUBRAND ME 2 NT, ME 4 NT and MV-10C-EX pump pages, and a company-news page stating that Labotal is an authorised VACUUBRAND distributor for the laboratory segment and began carrying BRAND liquid-handling products in 2018. No other Israeli distributor site mentioned BRAND or VACUUBRAND. The manufacturers' own distributor pages (brand.de, vacuubrand.com) were not searched within the budget, so exclusivity and other channels (e.g. BRAND consumables via general lab-supply houses) are unknown.</t>
        </is>
      </c>
      <c r="AI95" s="2" t="inlineStr">
        <is>
          <t>medium</t>
        </is>
      </c>
      <c r="AJ95" s="2" t="inlineStr">
        <is>
          <t>Distributor's own site is explicit about both brands; manufacturer confirmation not seen.</t>
        </is>
      </c>
      <c r="AK95" s="2" t="inlineStr">
        <is>
          <t>https://brand.de/en/company/history ; https://brand.de/es/company/newsroom/brand-gruppe ; https://www.spectaris.de/en/verband/members/address/brand-gmbh-co-kg ; https://www.brandtech.com/about-us/news-and-events/default-7c49f2f8450cc894e258b05c8eac039e-1 ; https://www.ibisworld.com/united-states/supplieriq/brand-gmbh-co-kg/426747/ ; https://www.stepstone.de/cmp/de/brand-gmbh-%2b-co-kg-40514/jobs ; https://arablab.german-pavilion.com/en/sites/exhibitors/98692 ; https://labotal.co.il/company-news/?lang=en ; https://labotal.co.il/product/brand-pipettors-new-series-transferpette-%CE%B1/ ; https://labotal.co.il/product/vacuubrand-me2-nt-new-diaphragm-vacuum-pump/ ; https://labotal.co.il/product/vacuubrand-me-4-nt-diaphragm-vacuum-pump/ ; https://labotal.co.il/product/vacuubrand-mv-10c-ex-atex-approved-vacuum-pump/ ; https://labotal.co.il/product-category/liquid-handling/single-channel-pipettors/?lang=en</t>
        </is>
      </c>
    </row>
    <row r="96">
      <c r="A96" s="2" t="n">
        <v>95</v>
      </c>
      <c r="B96" s="2" t="inlineStr">
        <is>
          <t>Berthold Technologies</t>
        </is>
      </c>
      <c r="C96" s="2" t="inlineStr">
        <is>
          <t>Berthold Technologies GmbH &amp; Co. KG; formerly EG&amp;G Berthold / PerkinElmer; Mithras, Tristar, Lumat, NightOWL</t>
        </is>
      </c>
      <c r="D96" s="2" t="inlineStr">
        <is>
          <t>Bad Wildbad</t>
        </is>
      </c>
      <c r="E96" s="2" t="inlineStr">
        <is>
          <t>Germany</t>
        </is>
      </c>
      <c r="F96" s="2" t="inlineStr"/>
      <c r="G96" s="2" t="inlineStr">
        <is>
          <t>Private (family-owned; Berthold family with Hans J. Oberhofer bought it back from PerkinElmer in 2000)</t>
        </is>
      </c>
      <c r="H96" s="2" t="n">
        <v>1949</v>
      </c>
      <c r="I96" s="2" t="inlineStr">
        <is>
          <t>https://www.berthold.com</t>
        </is>
      </c>
      <c r="J96" s="2" t="inlineStr">
        <is>
          <t>Microplate readers &amp; detection</t>
        </is>
      </c>
      <c r="K96" s="3" t="n">
        <v>360</v>
      </c>
      <c r="L96" s="2" t="n">
        <v>2024</v>
      </c>
      <c r="M96" s="2" t="inlineStr">
        <is>
          <t>company</t>
        </is>
      </c>
      <c r="N96" s="2" t="inlineStr">
        <is>
          <t>'More than 360 employees' per the 75-year anniversary message from managing director Marco Gauger on berthold.com; company boilerplate elsewhere says c. 350 worldwide. Subsidiaries in Austria, Belgium, France, UK, Italy, Switzerland and USA.</t>
        </is>
      </c>
      <c r="O96" s="2" t="inlineStr">
        <is>
          <t>EUR 77 million</t>
        </is>
      </c>
      <c r="P96" s="3" t="n">
        <v>85</v>
      </c>
      <c r="Q96" s="2" t="inlineStr">
        <is>
          <t>FY2017</t>
        </is>
      </c>
      <c r="R96" s="2" t="inlineStr">
        <is>
          <t>company</t>
        </is>
      </c>
      <c r="S96" s="2" t="inlineStr">
        <is>
          <t>Only figure found: 2017 sales of EUR 77M with 330 employees (EverybodyWiki, secondary source); no newer figure located.</t>
        </is>
      </c>
      <c r="T96" s="2" t="inlineStr">
        <is>
          <t>mixed</t>
        </is>
      </c>
      <c r="U96" s="2" t="inlineStr">
        <is>
          <t>Tristar 5 / Mithras² — multimode microplate readers</t>
        </is>
      </c>
      <c r="V96" s="2" t="inlineStr">
        <is>
          <t>Lumat³ LB 9508 / Centro — tube and microplate luminometers</t>
        </is>
      </c>
      <c r="W96" s="2" t="inlineStr">
        <is>
          <t>LB 124 SCINT &amp; process gauges — contamination monitors, level/density gauges</t>
        </is>
      </c>
      <c r="X96" s="2" t="inlineStr"/>
      <c r="Y96" s="2" t="inlineStr"/>
      <c r="Z96" s="2" t="inlineStr"/>
      <c r="AA96" s="2" t="inlineStr"/>
      <c r="AB96" s="2" t="inlineStr"/>
      <c r="AC96" s="2" t="inlineStr">
        <is>
          <t>distributor</t>
        </is>
      </c>
      <c r="AD96" s="2" t="inlineStr">
        <is>
          <t>מפיץ / נציג ישראלי</t>
        </is>
      </c>
      <c r="AE96" s="2" t="inlineStr">
        <is>
          <t>verified</t>
        </is>
      </c>
      <c r="AF96" s="2" t="inlineStr">
        <is>
          <t>אומת ממקור</t>
        </is>
      </c>
      <c r="AG96" s="2" t="inlineStr">
        <is>
          <t>Danyel Biotech Ltd. (Gamida for Life group) (דניאל ביוטק) [מפיץ; Berthold Technologies bioanalytical instruments - Mithras LB 940 multimode reader, TriStar² LB 942, Lumat³ LB 9508 / MiniLumat luminometers, NightOWL in-vivo imager (Danyel brand page)]</t>
        </is>
      </c>
      <c r="AH96" s="2" t="inlineStr">
        <is>
          <t>The 40-domain sweep returned Danyel Biotech's own 'Berthold Technologies - Danyel Biotech' brand page listing Berthold's Mithras LB 940 (luminescence/BRET/FRET/AlphaScreen/HTRF reader), NightOWL imaging system, TriStar² and Lumat³ luminometers, i.e. Danyel represents Berthold's bioanalytical line in Israel (Danyel also carries the competing Hidex readers). No other Israeli distributor site mentioned Berthold, and Berthold's own distributor page was not searched within the budget. Berthold's radiation-protection and process-control divisions may have a different Israeli channel, which was not investigated.</t>
        </is>
      </c>
      <c r="AI96" s="2" t="inlineStr">
        <is>
          <t>medium</t>
        </is>
      </c>
      <c r="AJ96" s="2" t="inlineStr">
        <is>
          <t>Distributor's own brand page; manufacturer confirmation not seen.</t>
        </is>
      </c>
      <c r="AK96" s="2" t="inlineStr">
        <is>
          <t>https://berthold.com/en-us/75-years/greetings-from-marco-gauger ; https://berthold.com/en/company ; https://speciation.net/Appl/Companies/company.html?id=539 ; https://pharmasource.global/directory/berthold-technologies/ ; https://en.everybodywiki.com/Berthold_Technologies ; https://www.scientistlive.com/node/10874 ; https://www.danyel.co.il/berthold-technologies/ ; https://www.danyel.co.il/hidex/</t>
        </is>
      </c>
    </row>
    <row r="97">
      <c r="A97" s="2" t="n">
        <v>96</v>
      </c>
      <c r="B97" s="2" t="inlineStr">
        <is>
          <t>INFORS HT</t>
        </is>
      </c>
      <c r="C97" s="2" t="inlineStr">
        <is>
          <t>Infors AG; Multitron, Minifors, Labfors, eve bioprocess platform</t>
        </is>
      </c>
      <c r="D97" s="2" t="inlineStr">
        <is>
          <t>Bottmingen (Basel-Land)</t>
        </is>
      </c>
      <c r="E97" s="2" t="inlineStr">
        <is>
          <t>Switzerland</t>
        </is>
      </c>
      <c r="F97" s="2" t="inlineStr"/>
      <c r="G97" s="2" t="inlineStr">
        <is>
          <t>Private (family-owned)</t>
        </is>
      </c>
      <c r="H97" s="2" t="n">
        <v>1965</v>
      </c>
      <c r="I97" s="2" t="inlineStr">
        <is>
          <t>https://www.infors-ht.com</t>
        </is>
      </c>
      <c r="J97" s="2" t="inlineStr">
        <is>
          <t>Bioprocess &amp; filtration</t>
        </is>
      </c>
      <c r="K97" s="3" t="n">
        <v>200</v>
      </c>
      <c r="L97" s="2" t="n">
        <v>2015</v>
      </c>
      <c r="M97" s="2" t="inlineStr">
        <is>
          <t>company</t>
        </is>
      </c>
      <c r="N97" s="2" t="inlineStr">
        <is>
          <t>'About 200 staff' reported at the company's 50th anniversary (Technology Networks, 2015); Built In lists 179; other directories 100-250. Nine offices (CH, DE, UK, FR, NL, US, BR, CN, MY).</t>
        </is>
      </c>
      <c r="O97" s="2" t="inlineStr">
        <is>
          <t>CHF ~60 million (trade estimate; private)</t>
        </is>
      </c>
      <c r="P97" s="3" t="n">
        <v>70</v>
      </c>
      <c r="Q97" s="2" t="inlineStr">
        <is>
          <t>2024 (estimate)</t>
        </is>
      </c>
      <c r="R97" s="2" t="inlineStr">
        <is>
          <t>estimate</t>
        </is>
      </c>
      <c r="S97" s="2" t="inlineStr">
        <is>
          <t>INFORS HT (Bottmingen) is family-owned; a database figure of USD 17.5M looks too low for ~200 staff, so an order-of-magnitude estimate from headcount is used. Figures recalled from company statements / filings and not re-verified online in this session.</t>
        </is>
      </c>
      <c r="T97" s="2" t="inlineStr">
        <is>
          <t>estimate</t>
        </is>
      </c>
      <c r="U97" s="2" t="inlineStr">
        <is>
          <t>Multitron — stackable incubator shaker for cell culture</t>
        </is>
      </c>
      <c r="V97" s="2" t="inlineStr">
        <is>
          <t>Minifors 2 / Labfors 5 — benchtop bioreactors &amp; fermenters</t>
        </is>
      </c>
      <c r="W97" s="2" t="inlineStr">
        <is>
          <t>eve — bioprocess platform software</t>
        </is>
      </c>
      <c r="X97" s="2" t="inlineStr"/>
      <c r="Y97" s="2" t="inlineStr"/>
      <c r="Z97" s="2" t="inlineStr"/>
      <c r="AA97" s="2" t="inlineStr"/>
      <c r="AB97" s="2" t="inlineStr"/>
      <c r="AC97" s="2" t="inlineStr">
        <is>
          <t>distributor</t>
        </is>
      </c>
      <c r="AD97" s="2" t="inlineStr">
        <is>
          <t>מפיץ / נציג ישראלי</t>
        </is>
      </c>
      <c r="AE97" s="2" t="inlineStr">
        <is>
          <t>verified</t>
        </is>
      </c>
      <c r="AF97" s="2" t="inlineStr">
        <is>
          <t>אומת ממקור</t>
        </is>
      </c>
      <c r="AG97" s="2" t="inlineStr">
        <is>
          <t>Rhenium Research Laboratory Equipment Ltd. (Rhenium Group) (רניום) [מפיץ; INFORS HT incubator shakers, bioreactors and bioprocess software - listed as the Israel distributor (Modi'in) on INFORS HT's locations page]</t>
        </is>
      </c>
      <c r="AH97" s="2" t="inlineStr">
        <is>
          <t>Verified on the manufacturer's side: INFORS HT's 'Locations' page (infors-ht.com/en/infors-locations), which covers its 8 subsidiaries, 2 partners and 53+ distributors, names Rhenium Research Laboratory Equipment Ltd., Modi'in, as its Israeli distributor. The 40-domain sweep (only MRC generic shaker pages) and the Hebrew query ('Infors HT שייקר אינקובטור ביוריאקטור יבואן') found nothing, and Rhenium's own site did not surface in the snippets, so the distributor-side listing was not seen. INFORS HT has no Israeli subsidiary.</t>
        </is>
      </c>
      <c r="AI97" s="2" t="inlineStr">
        <is>
          <t>high</t>
        </is>
      </c>
      <c r="AJ97" s="2" t="inlineStr">
        <is>
          <t>Manufacturer's own locations page names the Israeli distributor; Rhenium's own page not seen.</t>
        </is>
      </c>
      <c r="AK97" s="2" t="inlineStr">
        <is>
          <t>https://www.technologynetworks.com/biopharma/news/infors-ht-celebrates-its-50th-anniversary-198205 ; https://builtin.com/company/infors-ht ; https://www.owler.com/company/infors-ht ; https://prospeo.io/c/infors-ht-revenue ; https://pharmasource.global/?p=33512 ; https://www.americanpharmaceuticalreview.com/1315-News/152847-INFORS-HT-Opens-New-Offices-in-the-USA/ ; https://infors-ht.com/en/infors-locations ; https://infors-ht.com/en/about-us</t>
        </is>
      </c>
    </row>
    <row r="98">
      <c r="A98" s="2" t="n">
        <v>97</v>
      </c>
      <c r="B98" s="2" t="inlineStr">
        <is>
          <t>Nabertherm</t>
        </is>
      </c>
      <c r="C98" s="2" t="inlineStr">
        <is>
          <t>Nabertherm GmbH; Nabertherm Inc. (USA)</t>
        </is>
      </c>
      <c r="D98" s="2" t="inlineStr">
        <is>
          <t>Lilienthal (near Bremen)</t>
        </is>
      </c>
      <c r="E98" s="2" t="inlineStr">
        <is>
          <t>Germany</t>
        </is>
      </c>
      <c r="F98" s="2" t="inlineStr"/>
      <c r="G98" s="2" t="inlineStr">
        <is>
          <t>Private</t>
        </is>
      </c>
      <c r="H98" s="2" t="n">
        <v>1947</v>
      </c>
      <c r="I98" s="2" t="inlineStr">
        <is>
          <t>https://nabertherm.com</t>
        </is>
      </c>
      <c r="J98" s="2" t="inlineStr">
        <is>
          <t>General lab equipment (incubators, ovens, baths, shakers, stirrers)</t>
        </is>
      </c>
      <c r="K98" s="3" t="n">
        <v>600</v>
      </c>
      <c r="L98" s="2" t="n">
        <v>2026</v>
      </c>
      <c r="M98" s="2" t="inlineStr">
        <is>
          <t>company</t>
        </is>
      </c>
      <c r="N98" s="2" t="inlineStr">
        <is>
          <t>'About 600 employees worldwide' per a 2026 Nabertherm product brochure; 2022 anniversary releases said c. 500 (English) / c. 550 in Lilienthal (German). Own subsidiaries in UK, Spain, France, Netherlands, Switzerland, Italy, China, USA.</t>
        </is>
      </c>
      <c r="O98" s="2" t="inlineStr">
        <is>
          <t>EUR 65 million</t>
        </is>
      </c>
      <c r="P98" s="3" t="n">
        <v>72</v>
      </c>
      <c r="Q98" s="2" t="inlineStr">
        <is>
          <t>FY2021</t>
        </is>
      </c>
      <c r="R98" s="2" t="inlineStr">
        <is>
          <t>company</t>
        </is>
      </c>
      <c r="S98" s="2" t="inlineStr">
        <is>
          <t>Company's 75th-anniversary press release (Sept 2022) gives c. EUR 65M revenue for 2021; Craft.co lists EUR 77.6M for FY2022 (unsourced). No 2024/2025 figure found.</t>
        </is>
      </c>
      <c r="T98" s="2" t="inlineStr">
        <is>
          <t>reported</t>
        </is>
      </c>
      <c r="U98" s="2" t="inlineStr">
        <is>
          <t>L / LE / LT muffle furnaces — laboratory muffle furnaces up to 1,300 °C</t>
        </is>
      </c>
      <c r="V98" s="2" t="inlineStr">
        <is>
          <t>RT / RS tube furnaces — compact and rotary tube furnaces</t>
        </is>
      </c>
      <c r="W98" s="2" t="inlineStr">
        <is>
          <t>LHT / HTC high-temperature furnaces — chamber furnaces up to 1,800 °C</t>
        </is>
      </c>
      <c r="X98" s="2" t="inlineStr"/>
      <c r="Y98" s="2" t="inlineStr"/>
      <c r="Z98" s="2" t="inlineStr"/>
      <c r="AA98" s="2" t="inlineStr"/>
      <c r="AB98" s="2" t="inlineStr"/>
      <c r="AC98" s="2" t="inlineStr">
        <is>
          <t>distributor</t>
        </is>
      </c>
      <c r="AD98" s="2" t="inlineStr">
        <is>
          <t>מפיץ / נציג ישראלי</t>
        </is>
      </c>
      <c r="AE98" s="2" t="inlineStr">
        <is>
          <t>verified</t>
        </is>
      </c>
      <c r="AF98" s="2" t="inlineStr">
        <is>
          <t>אומת ממקור</t>
        </is>
      </c>
      <c r="AG98" s="2" t="inlineStr">
        <is>
          <t>Electrotherm Marketing 1978 Ltd. (אלקטרוטרם) [מפיץ; Nabertherm agent for Israel per Nabertherm's World-Wide Sales page (I.Z. Ramat Gabriel, P.O. Box 232, Migdal Haemek; sales@electrotherm.co.il; +972-77-8660777 / +972-4-8590900); Electrotherm's own site sells Nabertherm laboratory, high-temperature, melting, tube and drying furnaces and controllers]</t>
        </is>
      </c>
      <c r="AH98" s="2" t="inlineStr">
        <is>
          <t>A search restricted to nabertherm.com returned the official World-Wide Sales page whose snippet names Electrotherm Marketing 1978 Ltd, Migdal Haemek (sales@electrotherm.co.il), as the agent for Israel. A follow-up search restricted to electrotherm.co.il confirmed the distributor's own Hebrew site (אלקטרוטרם) with Nabertherm product pages for melting furnaces (K 180/12), high-temperature furnaces, chamber/drying ovens (NA 1000/45 LS, 4500 WK), ceramic kilns, tube furnaces and the B400/C440/P470 controller documentation. Both the manufacturer's locator and the distributor's site therefore agree; the earlier round-1 locator snippet simply had not shown the Israel entry.</t>
        </is>
      </c>
      <c r="AI98" s="2" t="inlineStr">
        <is>
          <t>high</t>
        </is>
      </c>
      <c r="AJ98" s="2" t="inlineStr">
        <is>
          <t>Named on Nabertherm's official sales locator and confirmed by the distributor's own Nabertherm product pages.</t>
        </is>
      </c>
      <c r="AK98" s="2" t="inlineStr">
        <is>
          <t>https://nabertherm.com/en/contact/world-wide-sales ; https://nabertherm.com/sites/default/files/2022-09/Pressetext%2075%20Jahre%20NT_german.pdf ; https://www.metal-powder.tech/?p=274416 ; https://nabertherm.com/sites/default/files/2026-04/dental-facts-french.pdf ; https://nabertherm.com/en/company/history ; https://craft.co/nabertherm ; https://www.ebay.de/itm/266636471736 ; https://www.electrotherm.co.il/תנורים-לטמפרטורה-גבוהה-cat87 ; https://www.electrotherm.co.il/תנור-התכה-Nabertherm-K-18012-item2899 ; https://www.electrotherm.co.il/userfiles/files/7275.pdf ; https://www.electrotherm.co.il/תנורי-התכה-מעבדתיים-cat137</t>
        </is>
      </c>
    </row>
    <row r="99">
      <c r="A99" s="2" t="n">
        <v>98</v>
      </c>
      <c r="B99" s="2" t="inlineStr">
        <is>
          <t>ELGA LabWater (Veolia)</t>
        </is>
      </c>
      <c r="C99" s="2" t="inlineStr">
        <is>
          <t>ELGA Veolia; ELGA Process Water (historic); PURELAB, MEDICA, CENTRA</t>
        </is>
      </c>
      <c r="D99" s="2" t="inlineStr">
        <is>
          <t>High Wycombe (Lane End), Buckinghamshire</t>
        </is>
      </c>
      <c r="E99" s="2" t="inlineStr">
        <is>
          <t>UK</t>
        </is>
      </c>
      <c r="F99" s="2" t="inlineStr">
        <is>
          <t>Veolia Water Technologies (Veolia Environnement)</t>
        </is>
      </c>
      <c r="G99" s="2" t="inlineStr">
        <is>
          <t>Subsidiary of Veolia Water Technologies (Veolia, public, Euronext Paris: VIE)</t>
        </is>
      </c>
      <c r="H99" s="2" t="n">
        <v>1937</v>
      </c>
      <c r="I99" s="2" t="inlineStr">
        <is>
          <t>https://www.elgalabwater.com</t>
        </is>
      </c>
      <c r="J99" s="2" t="inlineStr">
        <is>
          <t>Lab water purification</t>
        </is>
      </c>
      <c r="K99" s="3" t="n">
        <v>350</v>
      </c>
      <c r="L99" s="2" t="n">
        <v>2024</v>
      </c>
      <c r="M99" s="2" t="inlineStr">
        <is>
          <t>estimate</t>
        </is>
      </c>
      <c r="N99" s="2" t="inlineStr">
        <is>
          <t>ELGA LabWater itself employs roughly 300-400; parent Veolia &gt;200,000 (recalled, unverified).</t>
        </is>
      </c>
      <c r="O99" s="2" t="inlineStr">
        <is>
          <t>USD 39.2 million</t>
        </is>
      </c>
      <c r="P99" s="3" t="n">
        <v>39</v>
      </c>
      <c r="Q99" s="2" t="inlineStr">
        <is>
          <t>undated (database estimate)</t>
        </is>
      </c>
      <c r="R99" s="2" t="inlineStr">
        <is>
          <t>estimate</t>
        </is>
      </c>
      <c r="S99" s="2" t="inlineStr">
        <is>
          <t>ELGA-specific revenue not disclosed by Veolia; Prospeo third-party estimate c. USD 39.2M. Veolia group revenue is in the tens of billions of euros (only a dated EUR 22.3bn 2013 figure was seen in this run).</t>
        </is>
      </c>
      <c r="T99" s="2" t="inlineStr">
        <is>
          <t>estimate</t>
        </is>
      </c>
      <c r="U99" s="2" t="inlineStr">
        <is>
          <t>PURELAB flex / Quest — Type I ultrapure lab water systems</t>
        </is>
      </c>
      <c r="V99" s="2" t="inlineStr">
        <is>
          <t>PURELAB Chorus — modular Type I/II/III purification range</t>
        </is>
      </c>
      <c r="W99" s="2" t="inlineStr">
        <is>
          <t>MEDICA — clinical analyzer feed-water systems</t>
        </is>
      </c>
      <c r="X99" s="2" t="inlineStr"/>
      <c r="Y99" s="2" t="inlineStr"/>
      <c r="Z99" s="2" t="inlineStr"/>
      <c r="AA99" s="2" t="inlineStr"/>
      <c r="AB99" s="2" t="inlineStr"/>
      <c r="AC99" s="2" t="inlineStr">
        <is>
          <t>distributor</t>
        </is>
      </c>
      <c r="AD99" s="2" t="inlineStr">
        <is>
          <t>מפיץ / נציג ישראלי</t>
        </is>
      </c>
      <c r="AE99" s="2" t="inlineStr">
        <is>
          <t>verified</t>
        </is>
      </c>
      <c r="AF99" s="2" t="inlineStr">
        <is>
          <t>אומת ממקור</t>
        </is>
      </c>
      <c r="AG99" s="2" t="inlineStr">
        <is>
          <t>Lumitron Ltd. (לומיטרון) [מפיץ; ELGA approved partner for Israel (ELGA 'Approved Partners' directory, tel. 972-52-525-6287)]</t>
        </is>
      </c>
      <c r="AH99" s="2" t="inlineStr">
        <is>
          <t>ELGA's own 'Where to buy ELGA products / Approved Partners' directory (elgalabwater.com and us.elgalabwater.com, page 2) lists Lumitron under Israel with phone 972-52-525-6287 — seen in the search-result excerpt of that page. The Approved Partners page itself and Lumitron's own website could not be opened to confirm scope (WebFetch DNS failures), and the Hebrew search 'ELGA LabWater ישראל Lumitron' returned nothing further. Xylem is also described as an ELGA distributor on generic regional pages, but not for Israel.</t>
        </is>
      </c>
      <c r="AI99" s="2" t="inlineStr">
        <is>
          <t>medium</t>
        </is>
      </c>
      <c r="AJ99" s="2" t="inlineStr">
        <is>
          <t>Israeli partner comes from ELGA's official directory (seen via search excerpt only); ELGA-specific size figures are third-party estimates.</t>
        </is>
      </c>
      <c r="AK99" s="2" t="inlineStr">
        <is>
          <t>https://www.elgalabwater.com/about-us/approved-partners?page=2 ; https://us.elgalabwater.com/about-us/approved-partners?page=2 ; https://www.elgalabwater.com/about-us/approved-partners?page=1 ; https://en.wikipedia.org/wiki/ELGA_LabWater ; https://www.selectscience.net/company/elga-labwater ; https://www.eco-business.com/ms/press-releases/elga-delivers-75-years-of-technology-and-innovation-firsts/ ; https://prospeo.io/c/elga-labwater</t>
        </is>
      </c>
    </row>
    <row r="100">
      <c r="A100" s="2" t="n">
        <v>99</v>
      </c>
      <c r="B100" s="2" t="inlineStr">
        <is>
          <t>ATS Scientific Products (ex-SP Industries)</t>
        </is>
      </c>
      <c r="C100" s="2" t="inlineStr">
        <is>
          <t>SP Industries; SP Scientific; ATS Life Sciences Scientific Products; SP VirTis, SP Hull, SP Genevac, SP Bel-Art, SP Wilmad-LabGlass, SP PennTech, FTS Systems, Hotpack</t>
        </is>
      </c>
      <c r="D100" s="2" t="inlineStr">
        <is>
          <t>Warminster, Pennsylvania</t>
        </is>
      </c>
      <c r="E100" s="2" t="inlineStr">
        <is>
          <t>USA</t>
        </is>
      </c>
      <c r="F100" s="2" t="inlineStr">
        <is>
          <t>ATS Corporation</t>
        </is>
      </c>
      <c r="G100" s="2" t="inlineStr">
        <is>
          <t>Subsidiary of ATS Corporation (public, TSX/NYSE: ATS)</t>
        </is>
      </c>
      <c r="H100" s="2" t="n"/>
      <c r="I100" s="2" t="inlineStr">
        <is>
          <t>https://www.scientificproducts.com</t>
        </is>
      </c>
      <c r="J100" s="2" t="inlineStr">
        <is>
          <t>General lab equipment (incubators, ovens, baths, shakers, stirrers)</t>
        </is>
      </c>
      <c r="K100" s="3" t="n">
        <v>700</v>
      </c>
      <c r="L100" s="2" t="n">
        <v>2021</v>
      </c>
      <c r="M100" s="2" t="inlineStr">
        <is>
          <t>company</t>
        </is>
      </c>
      <c r="N100" s="2" t="inlineStr">
        <is>
          <t>c. 700 employees across nine manufacturing facilities/locations in the US, UK and Spain at the time ATS agreed to acquire SP Industries (Nov 2021 ATS announcement); no newer division-level figure found.</t>
        </is>
      </c>
      <c r="O100" s="2" t="inlineStr">
        <is>
          <t>USD 179 million</t>
        </is>
      </c>
      <c r="P100" s="3" t="n">
        <v>179</v>
      </c>
      <c r="Q100" s="2" t="inlineStr">
        <is>
          <t>TTM ending Sep-2021</t>
        </is>
      </c>
      <c r="R100" s="2" t="inlineStr">
        <is>
          <t>company</t>
        </is>
      </c>
      <c r="S100" s="2" t="inlineStr">
        <is>
          <t>Revenue USD 179M and adjusted EBITDA USD 29M for the twelve months ended 30 Sep 2021 per the ATS acquisition announcement (price c. USD 445M / C$550M; c. 70% North America, c. 73% biopharma &amp; life-science equipment). Some coverage cited c. USD 223M. ATS does not report Scientific Products separately since.</t>
        </is>
      </c>
      <c r="T100" s="2" t="inlineStr">
        <is>
          <t>reported</t>
        </is>
      </c>
      <c r="U100" s="2" t="inlineStr">
        <is>
          <t>SP VirTis &amp; SP Hull freeze dryers — lab-to-production lyophilizers (LyoStar, Genesis, AdVantage)</t>
        </is>
      </c>
      <c r="V100" s="2" t="inlineStr">
        <is>
          <t>SP Genevac EZ-2 / HT series — centrifugal solvent evaporators</t>
        </is>
      </c>
      <c r="W100" s="2" t="inlineStr">
        <is>
          <t>SP Bel-Art &amp; Wilmad-LabGlass — plastic labware, desiccators, NMR tubes</t>
        </is>
      </c>
      <c r="X100" s="2" t="inlineStr"/>
      <c r="Y100" s="2" t="inlineStr"/>
      <c r="Z100" s="2" t="inlineStr"/>
      <c r="AA100" s="2" t="inlineStr"/>
      <c r="AB100" s="2" t="inlineStr"/>
      <c r="AC100" s="2" t="inlineStr">
        <is>
          <t>none_found</t>
        </is>
      </c>
      <c r="AD100" s="2" t="inlineStr">
        <is>
          <t>לא נמצא ייצוג</t>
        </is>
      </c>
      <c r="AE100" s="2" t="inlineStr">
        <is>
          <t>partial</t>
        </is>
      </c>
      <c r="AF100" s="2" t="inlineStr">
        <is>
          <t>חיפוש חלקי (ללא פתיחת אתרי היצרן/המפיץ)</t>
        </is>
      </c>
      <c r="AG100" s="2" t="inlineStr"/>
      <c r="AH100" s="2" t="inlineStr">
        <is>
          <t>חיפוש רשת בלבד; דפי ״מפיצים״ של היצרן ואתרי המפיצים לא נפתחו (חסימת רשת). Searched: '"ATS Scientific Products" OR "SP Scientific" Israel distributor' and Hebrew 'VirTis Genevac SP Scientific ישראל נציג'. No Israeli distributor or representative was named (only corporate-history results and used-equipment resellers). Note the unrelated Canadian firm ATS Scientific Inc. appears in results. Tooling caveat: the manufacturer's own distributor/contact page could not be opened because the WebFetch tool returned DNS errors for every host during this run, and the shared WebSearch budget was exhausted before domain-restricted follow-up searches could run. Result reflects the English and Hebrew web searches only.</t>
        </is>
      </c>
      <c r="AI100" s="2" t="inlineStr">
        <is>
          <t>low</t>
        </is>
      </c>
      <c r="AJ100" s="2" t="inlineStr">
        <is>
          <t>Size figures official but dated to the 2021 acquisition; Israeli channel not established.</t>
        </is>
      </c>
      <c r="AK100" s="2" t="inlineStr">
        <is>
          <t>https://www.pharmaceuticalonline.com/doc/ats-acquires-biopharma-processing-laboratory-equipment-and-labware-provider-sp-industries-0001 ; https://www.canadianlawyermag.com/practice-areas/crossborder/life-sciences-deal-ats-acquires-us-biopharma-supplier-sp-industries-for-550-million/361594 ; https://www.lincolninternational.com/transactions/harbour-group-has-sold-sp-industries-to-ats-automation-tooling-systems-tsxata/ ; https://www.manufacturingchemist.com/sp-industries-rebrands-as-ats-life-sciences-scientific-products-206786 ; https://employer.circaworks.com/company/profile/ats-scientific-products/cd999259105c44388f5741ecc114a38b ; https://www.labmanager.com/sp-industries-announces-new-name-19868</t>
        </is>
      </c>
    </row>
    <row r="101">
      <c r="A101" s="2" t="n">
        <v>100</v>
      </c>
      <c r="B101" s="2" t="inlineStr">
        <is>
          <t>RADWAG</t>
        </is>
      </c>
      <c r="C101" s="2" t="inlineStr">
        <is>
          <t>RADWAG Wagi Elektroniczne; Radwag Balances and Scales</t>
        </is>
      </c>
      <c r="D101" s="2" t="inlineStr">
        <is>
          <t>Radom</t>
        </is>
      </c>
      <c r="E101" s="2" t="inlineStr">
        <is>
          <t>Poland</t>
        </is>
      </c>
      <c r="F101" s="2" t="inlineStr"/>
      <c r="G101" s="2" t="inlineStr">
        <is>
          <t>Private (family-owned)</t>
        </is>
      </c>
      <c r="H101" s="2" t="n">
        <v>1984</v>
      </c>
      <c r="I101" s="2" t="inlineStr">
        <is>
          <t>https://radwag.com</t>
        </is>
      </c>
      <c r="J101" s="2" t="inlineStr">
        <is>
          <t>Lab balances &amp; weighing</t>
        </is>
      </c>
      <c r="K101" s="3" t="n">
        <v>500</v>
      </c>
      <c r="L101" s="2" t="n">
        <v>2024</v>
      </c>
      <c r="M101" s="2" t="inlineStr">
        <is>
          <t>company</t>
        </is>
      </c>
      <c r="N101" s="2" t="inlineStr">
        <is>
          <t>'Nearly 500 people' per RADWAG's 40-years company profile; the company's English 'about us' page lists 403 employees and a 2017-era presentation says 400+ incl. 100 in R&amp;D.</t>
        </is>
      </c>
      <c r="O101" s="2" t="inlineStr">
        <is>
          <t>PLN 100 million</t>
        </is>
      </c>
      <c r="P101" s="3" t="n">
        <v>26</v>
      </c>
      <c r="Q101" s="2" t="inlineStr">
        <is>
          <t>FY2017</t>
        </is>
      </c>
      <c r="R101" s="2" t="inlineStr">
        <is>
          <t>company</t>
        </is>
      </c>
      <c r="S101" s="2" t="inlineStr">
        <is>
          <t>Sales value of c. PLN 100M in 2017 per a presentation by founder Witold Lewandowski (saippw.pl); converted at c. USD 0.26/PLN. No newer figure found; KRS filings would give current numbers.</t>
        </is>
      </c>
      <c r="T101" s="2" t="inlineStr">
        <is>
          <t>mixed</t>
        </is>
      </c>
      <c r="U101" s="2" t="inlineStr">
        <is>
          <t>MYA 5Y microbalances — 1 µg / 0.1 µg microbalances &amp; ultra-microbalances</t>
        </is>
      </c>
      <c r="V101" s="2" t="inlineStr">
        <is>
          <t>XA 5Y / AS X7 analytical balances — 0.01-0.1 mg analytical balances</t>
        </is>
      </c>
      <c r="W101" s="2" t="inlineStr">
        <is>
          <t>PS X7 precision balances &amp; mass comparators — precision weighing and metrology</t>
        </is>
      </c>
      <c r="X101" s="2" t="inlineStr"/>
      <c r="Y101" s="2" t="inlineStr"/>
      <c r="Z101" s="2" t="inlineStr"/>
      <c r="AA101" s="2" t="inlineStr"/>
      <c r="AB101" s="2" t="inlineStr"/>
      <c r="AC101" s="2" t="inlineStr">
        <is>
          <t>distributor</t>
        </is>
      </c>
      <c r="AD101" s="2" t="inlineStr">
        <is>
          <t>מפיץ / נציג ישראלי</t>
        </is>
      </c>
      <c r="AE101" s="2" t="inlineStr">
        <is>
          <t>verified</t>
        </is>
      </c>
      <c r="AF101" s="2" t="inlineStr">
        <is>
          <t>אומת ממקור</t>
        </is>
      </c>
      <c r="AG101" s="2" t="inlineStr">
        <is>
          <t>Lumitron Ltd. (לומיטרון) [מפיץ; RADWAG analytical and micro balances, precision balances, moisture analysers and checkweighers - dedicated Radwag brand page under 'Our brands' and hosted RADWAG datasheets (e.g. WTC 2000)]</t>
        </is>
      </c>
      <c r="AH101" s="2" t="inlineStr">
        <is>
          <t>A search for 'Radwag' restricted to Israeli distributor domains returned Lumitron's dedicated Radwag brand page (lumitron.co.il/our-brands/radwag) and its 'Our brands' list, plus a Hebrew moisture-analyser page and a hosted RADWAG WTC 2000 datasheet, so Lumitron (לומיטרון) is recorded as the Israeli distributor. MRC pages in the same results are MRC own-brand balances, not RADWAG. RADWAG's own dealer zone requires registration and was not searched within the budget, so exclusivity is unconfirmed.</t>
        </is>
      </c>
      <c r="AI101" s="2" t="inlineStr">
        <is>
          <t>medium</t>
        </is>
      </c>
      <c r="AJ101" s="2" t="inlineStr">
        <is>
          <t>Distributor established from its own brand page and hosted RADWAG documents; no manufacturer-side confirmation.</t>
        </is>
      </c>
      <c r="AK101" s="2" t="inlineStr">
        <is>
          <t>https://radwag.com/en/dealer-zone,2,6 ; https://radwag.com/40-Years-Together-Radwag ; https://radwag.com/de/o-nas,2,3 ; https://www.saippw.pl/wp-content/uploads/2024/02/Lewandowski.pdf ; https://radwag.com/en/distributors-meeting-in-istanbul-turkey,news,816,2018-03 ; https://radwag.com/en/seminar-in-alexandria,news,756,2017-10 ; https://www.lumitron.co.il/our-brands/radwag/?lang=en ; https://www.lumitron.co.il/our-brands-heb/?lang=en ; https://www.lumitron.co.il/products/מאזני-לחות/ ; https://www.lumitron.co.il/wp-content/uploads/2020/12/RADWAG_Data_Sheet_WTC-2000-Precision-Balance.pdf</t>
        </is>
      </c>
    </row>
  </sheetData>
  <autoFilter ref="A1:AK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7"/>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8" customWidth="1" min="3" max="3"/>
    <col width="34" customWidth="1" min="4" max="4"/>
    <col width="20" customWidth="1" min="5" max="5"/>
    <col width="12" customWidth="1" min="6" max="6"/>
    <col width="40" customWidth="1" min="7" max="7"/>
    <col width="30" customWidth="1" min="8" max="8"/>
    <col width="18" customWidth="1" min="9" max="9"/>
    <col width="26" customWidth="1" min="10" max="10"/>
    <col width="34" customWidth="1" min="11" max="11"/>
    <col width="30" customWidth="1" min="12" max="12"/>
    <col width="60" customWidth="1" min="13" max="13"/>
  </cols>
  <sheetData>
    <row r="1">
      <c r="A1" s="4" t="inlineStr">
        <is>
          <t># יצרן</t>
        </is>
      </c>
      <c r="B1" s="4" t="inlineStr">
        <is>
          <t>יצרן / Manufacturer</t>
        </is>
      </c>
      <c r="C1" s="4" t="inlineStr">
        <is>
          <t>ייצוג בישראל / Presence</t>
        </is>
      </c>
      <c r="D1" s="4" t="inlineStr">
        <is>
          <t>גוף ישראלי / Israeli entity</t>
        </is>
      </c>
      <c r="E1" s="4" t="inlineStr">
        <is>
          <t>שם בעברית / Hebrew name</t>
        </is>
      </c>
      <c r="F1" s="4" t="inlineStr">
        <is>
          <t>סוג / Type</t>
        </is>
      </c>
      <c r="G1" s="4" t="inlineStr">
        <is>
          <t>תחום / Scope</t>
        </is>
      </c>
      <c r="H1" s="4" t="inlineStr">
        <is>
          <t>אתר / Website</t>
        </is>
      </c>
      <c r="I1" s="4" t="inlineStr">
        <is>
          <t>טלפון / Phone</t>
        </is>
      </c>
      <c r="J1" s="4" t="inlineStr">
        <is>
          <t>דוא״ל / Email</t>
        </is>
      </c>
      <c r="K1" s="4" t="inlineStr">
        <is>
          <t>כתובת / Address</t>
        </is>
      </c>
      <c r="L1" s="4" t="inlineStr">
        <is>
          <t>דף צור-קשר / Contact page</t>
        </is>
      </c>
      <c r="M1" s="4" t="inlineStr">
        <is>
          <t>מקור / Source</t>
        </is>
      </c>
    </row>
    <row r="2">
      <c r="A2" s="2" t="n">
        <v>1</v>
      </c>
      <c r="B2" s="2" t="inlineStr">
        <is>
          <t>Thermo Fisher Scientific</t>
        </is>
      </c>
      <c r="C2" s="2" t="inlineStr">
        <is>
          <t>subsidiary</t>
        </is>
      </c>
      <c r="D2" s="2" t="inlineStr">
        <is>
          <t>Thermo Fisher Integrated Solutions Israel Ltd.</t>
        </is>
      </c>
      <c r="E2" s="2" t="inlineStr">
        <is>
          <t>תרמו פישר ישראל (רעננה)</t>
        </is>
      </c>
      <c r="F2" s="2" t="inlineStr">
        <is>
          <t>חברה-בת</t>
        </is>
      </c>
      <c r="G2" s="2" t="inlineStr">
        <is>
          <t>direct life-science sales &amp; field service organisation being built out 2025-26</t>
        </is>
      </c>
      <c r="H2" s="2" t="inlineStr">
        <is>
          <t>https://www.thermofisher.com</t>
        </is>
      </c>
      <c r="I2" s="2" t="inlineStr"/>
      <c r="J2" s="2" t="inlineStr"/>
      <c r="K2" s="2" t="inlineStr"/>
      <c r="L2" s="2" t="inlineStr"/>
      <c r="M2" s="2" t="inlineStr">
        <is>
          <t>https://www.thermofisher.com/il/en/home.html</t>
        </is>
      </c>
    </row>
    <row r="3">
      <c r="A3" s="2" t="n">
        <v>1</v>
      </c>
      <c r="B3" s="2" t="inlineStr">
        <is>
          <t>Thermo Fisher Scientific</t>
        </is>
      </c>
      <c r="C3" s="2" t="inlineStr">
        <is>
          <t>subsidiary</t>
        </is>
      </c>
      <c r="D3" s="2" t="inlineStr">
        <is>
          <t>Thermo Fisher Scientific Israel Ltd. (Kiryat Shmona)</t>
        </is>
      </c>
      <c r="E3" s="2" t="inlineStr">
        <is>
          <t>תרמו פישר קריית שמונה</t>
        </is>
      </c>
      <c r="F3" s="2" t="inlineStr">
        <is>
          <t>חברה-בת</t>
        </is>
      </c>
      <c r="G3" s="2" t="inlineStr">
        <is>
          <t>manufacturing / engineering site (ISO 9001/13485); not a sales channel</t>
        </is>
      </c>
      <c r="H3" s="2" t="inlineStr"/>
      <c r="I3" s="2" t="inlineStr"/>
      <c r="J3" s="2" t="inlineStr"/>
      <c r="K3" s="2" t="inlineStr"/>
      <c r="L3" s="2" t="inlineStr"/>
      <c r="M3" s="2" t="inlineStr"/>
    </row>
    <row r="4">
      <c r="A4" s="2" t="n">
        <v>1</v>
      </c>
      <c r="B4" s="2" t="inlineStr">
        <is>
          <t>Thermo Fisher Scientific</t>
        </is>
      </c>
      <c r="C4" s="2" t="inlineStr">
        <is>
          <t>subsidiary</t>
        </is>
      </c>
      <c r="D4" s="2" t="inlineStr">
        <is>
          <t>Rhenium Ltd.</t>
        </is>
      </c>
      <c r="E4" s="2" t="inlineStr">
        <is>
          <t>רניום</t>
        </is>
      </c>
      <c r="F4" s="2" t="inlineStr">
        <is>
          <t>מפיץ</t>
        </is>
      </c>
      <c r="G4" s="2" t="inlineStr">
        <is>
          <t>Invitrogen / Applied Biosystems / Gibco (Life Technologies brands; evidence from 2011 – verify current scope)</t>
        </is>
      </c>
      <c r="H4" s="2" t="inlineStr">
        <is>
          <t>https://www.rhenium.co.il</t>
        </is>
      </c>
      <c r="I4" s="2" t="inlineStr"/>
      <c r="J4" s="2" t="inlineStr"/>
      <c r="K4" s="2" t="inlineStr"/>
      <c r="L4" s="2" t="inlineStr"/>
      <c r="M4" s="2" t="inlineStr"/>
    </row>
    <row r="5">
      <c r="A5" s="2" t="n">
        <v>1</v>
      </c>
      <c r="B5" s="2" t="inlineStr">
        <is>
          <t>Thermo Fisher Scientific</t>
        </is>
      </c>
      <c r="C5" s="2" t="inlineStr">
        <is>
          <t>subsidiary</t>
        </is>
      </c>
      <c r="D5" s="2" t="inlineStr">
        <is>
          <t>Gamidor Diagnostics (1984) Ltd.</t>
        </is>
      </c>
      <c r="E5" s="2" t="inlineStr">
        <is>
          <t>גמידור דיאגנוסטיקה</t>
        </is>
      </c>
      <c r="F5" s="2" t="inlineStr">
        <is>
          <t>מפיץ</t>
        </is>
      </c>
      <c r="G5" s="2" t="inlineStr">
        <is>
          <t>Thermo Scientific microbiology / diagnostics (non-exclusive distributor letter, Mar 2025–Mar 2026)</t>
        </is>
      </c>
      <c r="H5" s="2" t="inlineStr">
        <is>
          <t>https://www.gamidor.co.il</t>
        </is>
      </c>
      <c r="I5" s="2" t="inlineStr"/>
      <c r="J5" s="2" t="inlineStr"/>
      <c r="K5" s="2" t="inlineStr"/>
      <c r="L5" s="2" t="inlineStr"/>
      <c r="M5" s="2" t="inlineStr"/>
    </row>
    <row r="6">
      <c r="A6" s="2" t="n">
        <v>1</v>
      </c>
      <c r="B6" s="2" t="inlineStr">
        <is>
          <t>Thermo Fisher Scientific</t>
        </is>
      </c>
      <c r="C6" s="2" t="inlineStr">
        <is>
          <t>subsidiary</t>
        </is>
      </c>
      <c r="D6" s="2" t="inlineStr">
        <is>
          <t>Bargal Analytical Instruments Ltd.</t>
        </is>
      </c>
      <c r="E6" s="2" t="inlineStr">
        <is>
          <t>ברגל</t>
        </is>
      </c>
      <c r="F6" s="2" t="inlineStr">
        <is>
          <t>מפיץ</t>
        </is>
      </c>
      <c r="G6" s="2" t="inlineStr">
        <is>
          <t>chromatography &amp; mass spectrometry (2018-19 evidence – verify current scope)</t>
        </is>
      </c>
      <c r="H6" s="2" t="inlineStr">
        <is>
          <t>https://www.bargal.co.il</t>
        </is>
      </c>
      <c r="I6" s="2" t="inlineStr"/>
      <c r="J6" s="2" t="inlineStr"/>
      <c r="K6" s="2" t="inlineStr"/>
      <c r="L6" s="2" t="inlineStr"/>
      <c r="M6" s="2" t="inlineStr"/>
    </row>
    <row r="7">
      <c r="A7" s="2" t="n">
        <v>1</v>
      </c>
      <c r="B7" s="2" t="inlineStr">
        <is>
          <t>Thermo Fisher Scientific</t>
        </is>
      </c>
      <c r="C7" s="2" t="inlineStr">
        <is>
          <t>subsidiary</t>
        </is>
      </c>
      <c r="D7" s="2" t="inlineStr">
        <is>
          <t>Danyel Biotech Ltd.</t>
        </is>
      </c>
      <c r="E7" s="2" t="inlineStr">
        <is>
          <t>דניאל ביוטק</t>
        </is>
      </c>
      <c r="F7" s="2" t="inlineStr">
        <is>
          <t>מפיץ</t>
        </is>
      </c>
      <c r="G7" s="2" t="inlineStr">
        <is>
          <t>Olink proteomics (a Thermo Fisher business)</t>
        </is>
      </c>
      <c r="H7" s="2" t="inlineStr">
        <is>
          <t>https://www.danyel.co.il</t>
        </is>
      </c>
      <c r="I7" s="2" t="inlineStr"/>
      <c r="J7" s="2" t="inlineStr"/>
      <c r="K7" s="2" t="inlineStr"/>
      <c r="L7" s="2" t="inlineStr"/>
      <c r="M7" s="2" t="inlineStr"/>
    </row>
    <row r="8">
      <c r="A8" s="2" t="n">
        <v>1</v>
      </c>
      <c r="B8" s="2" t="inlineStr">
        <is>
          <t>Thermo Fisher Scientific</t>
        </is>
      </c>
      <c r="C8" s="2" t="inlineStr">
        <is>
          <t>subsidiary</t>
        </is>
      </c>
      <c r="D8" s="2" t="inlineStr">
        <is>
          <t>Thermo Fisher Scientific – EM service location, Airport City</t>
        </is>
      </c>
      <c r="E8" s="2" t="inlineStr"/>
      <c r="F8" s="2" t="inlineStr">
        <is>
          <t>שירות</t>
        </is>
      </c>
      <c r="G8" s="2" t="inlineStr">
        <is>
          <t>electron-microscopy service &amp; support</t>
        </is>
      </c>
      <c r="H8" s="2" t="inlineStr"/>
      <c r="I8" s="2" t="inlineStr"/>
      <c r="J8" s="2" t="inlineStr"/>
      <c r="K8" s="2" t="inlineStr"/>
      <c r="L8" s="2" t="inlineStr"/>
      <c r="M8" s="2" t="inlineStr"/>
    </row>
    <row r="9">
      <c r="A9" s="2" t="n">
        <v>2</v>
      </c>
      <c r="B9" s="2" t="inlineStr">
        <is>
          <t>Agilent Technologies</t>
        </is>
      </c>
      <c r="C9" s="2" t="inlineStr">
        <is>
          <t>distributor</t>
        </is>
      </c>
      <c r="D9" s="2" t="inlineStr">
        <is>
          <t>Eldan Electronic Instruments Ltd. (Neopharm group)</t>
        </is>
      </c>
      <c r="E9" s="2" t="inlineStr">
        <is>
          <t>אלדן</t>
        </is>
      </c>
      <c r="F9" s="2" t="inlineStr">
        <is>
          <t>מפיץ</t>
        </is>
      </c>
      <c r="G9" s="2" t="inlineStr">
        <is>
          <t>Agilent authorised distributor for Israel (chromatography, spectroscopy, mass spectrometry, lab products)</t>
        </is>
      </c>
      <c r="H9" s="2" t="inlineStr">
        <is>
          <t>https://www.eldan.biz</t>
        </is>
      </c>
      <c r="I9" s="2" t="inlineStr"/>
      <c r="J9" s="2" t="inlineStr"/>
      <c r="K9" s="2" t="inlineStr"/>
      <c r="L9" s="2" t="inlineStr"/>
      <c r="M9" s="2" t="inlineStr">
        <is>
          <t>https://www.agilent.com/en/contact-us/israel</t>
        </is>
      </c>
    </row>
    <row r="10">
      <c r="A10" s="2" t="n">
        <v>3</v>
      </c>
      <c r="B10" s="2" t="inlineStr">
        <is>
          <t>Merck KGaA – Life Science (MilliporeSigma / Sigma-Aldrich / Merck Millipore)</t>
        </is>
      </c>
      <c r="C10" s="2" t="inlineStr">
        <is>
          <t>subsidiary</t>
        </is>
      </c>
      <c r="D10" s="2" t="inlineStr">
        <is>
          <t>Sigma-Aldrich Israel Ltd. (affiliate of Merck KGaA, Darmstadt)</t>
        </is>
      </c>
      <c r="E10" s="2" t="inlineStr"/>
      <c r="F10" s="2" t="inlineStr">
        <is>
          <t>חברה-בת</t>
        </is>
      </c>
      <c r="G10" s="2" t="inlineStr">
        <is>
          <t>Merck's own Israeli entity: sales/customer contact for Israel and production sites in Rehovot (antibodies, primers, peptides; 3 Plaut St.) and Jerusalem (Har Hotzvim)</t>
        </is>
      </c>
      <c r="H10" s="2" t="inlineStr">
        <is>
          <t>https://www.sigmaaldrich.com/IL/en</t>
        </is>
      </c>
      <c r="I10" s="2" t="inlineStr"/>
      <c r="J10" s="2" t="inlineStr"/>
      <c r="K10" s="2" t="inlineStr"/>
      <c r="L10" s="2" t="inlineStr"/>
      <c r="M10" s="2" t="inlineStr">
        <is>
          <t>https://www.sigmaaldrich.com/US/en/collections/offices</t>
        </is>
      </c>
    </row>
    <row r="11">
      <c r="A11" s="2" t="n">
        <v>3</v>
      </c>
      <c r="B11" s="2" t="inlineStr">
        <is>
          <t>Merck KGaA – Life Science (MilliporeSigma / Sigma-Aldrich / Merck Millipore)</t>
        </is>
      </c>
      <c r="C11" s="2" t="inlineStr">
        <is>
          <t>subsidiary</t>
        </is>
      </c>
      <c r="D11" s="2" t="inlineStr">
        <is>
          <t>Mercury Scientific &amp; Industrial Products Ltd. (Gadot group)</t>
        </is>
      </c>
      <c r="E11" s="2" t="inlineStr">
        <is>
          <t>מרקורי מוצרי מדע ותעשייה (גדות מרקורי)</t>
        </is>
      </c>
      <c r="F11" s="2" t="inlineStr">
        <is>
          <t>מפיץ</t>
        </is>
      </c>
      <c r="G11" s="2" t="inlineStr">
        <is>
          <t>self-described exclusive Israeli representative for Merck Milli-Q lab-water systems (sales + certified service since 2012) and distributor of Merck KGaA life-science and chemicals divisions (Millipore filtration, MQuant etc.)</t>
        </is>
      </c>
      <c r="H11" s="2" t="inlineStr">
        <is>
          <t>https://www.mercury-ltd.co.il</t>
        </is>
      </c>
      <c r="I11" s="2" t="inlineStr"/>
      <c r="J11" s="2" t="inlineStr"/>
      <c r="K11" s="2" t="inlineStr"/>
      <c r="L11" s="2" t="inlineStr"/>
      <c r="M11" s="2" t="inlineStr">
        <is>
          <t>https://www.mercury-ltd.co.il/water_purification_1</t>
        </is>
      </c>
    </row>
    <row r="12">
      <c r="A12" s="2" t="n">
        <v>4</v>
      </c>
      <c r="B12" s="2" t="inlineStr">
        <is>
          <t>Waters Corporation</t>
        </is>
      </c>
      <c r="C12" s="2" t="inlineStr">
        <is>
          <t>distributor</t>
        </is>
      </c>
      <c r="D12" s="2" t="inlineStr">
        <is>
          <t>Waters (TC) Israel Ltd.</t>
        </is>
      </c>
      <c r="E12" s="2" t="inlineStr"/>
      <c r="F12" s="2" t="inlineStr">
        <is>
          <t>חברה-בת</t>
        </is>
      </c>
      <c r="G12" s="2" t="inlineStr">
        <is>
          <t>Israeli legal entity listed in Waters' 10-K subsidiaries exhibit; sales/service scope not established</t>
        </is>
      </c>
      <c r="H12" s="2" t="inlineStr"/>
      <c r="I12" s="2" t="inlineStr"/>
      <c r="J12" s="2" t="inlineStr"/>
      <c r="K12" s="2" t="inlineStr"/>
      <c r="L12" s="2" t="inlineStr"/>
      <c r="M12" s="2" t="inlineStr">
        <is>
          <t>https://www.sec.gov/Archives/edgar/data/1000697/000119312524047491/d691142dex211.htm</t>
        </is>
      </c>
    </row>
    <row r="13">
      <c r="A13" s="2" t="n">
        <v>4</v>
      </c>
      <c r="B13" s="2" t="inlineStr">
        <is>
          <t>Waters Corporation</t>
        </is>
      </c>
      <c r="C13" s="2" t="inlineStr">
        <is>
          <t>distributor</t>
        </is>
      </c>
      <c r="D13" s="2" t="inlineStr">
        <is>
          <t>Bargal Analytical Instruments Ltd.</t>
        </is>
      </c>
      <c r="E13" s="2" t="inlineStr">
        <is>
          <t>ברגל</t>
        </is>
      </c>
      <c r="F13" s="2" t="inlineStr">
        <is>
          <t>מפיץ</t>
        </is>
      </c>
      <c r="G13" s="2" t="inlineStr">
        <is>
          <t>TA Instruments (a Waters division) thermal analysis, rheology and microcalorimetry – listed in TA Instruments' Middle East directory</t>
        </is>
      </c>
      <c r="H13" s="2" t="inlineStr">
        <is>
          <t>https://www.bargal.co.il</t>
        </is>
      </c>
      <c r="I13" s="2" t="inlineStr"/>
      <c r="J13" s="2" t="inlineStr"/>
      <c r="K13" s="2" t="inlineStr"/>
      <c r="L13" s="2" t="inlineStr"/>
      <c r="M13" s="2" t="inlineStr">
        <is>
          <t>https://www.tainstruments.com/events/middleeast-directory.html</t>
        </is>
      </c>
    </row>
    <row r="14">
      <c r="A14" s="2" t="n">
        <v>5</v>
      </c>
      <c r="B14" s="2" t="inlineStr">
        <is>
          <t>Bruker Corporation</t>
        </is>
      </c>
      <c r="C14" s="2" t="inlineStr">
        <is>
          <t>subsidiary</t>
        </is>
      </c>
      <c r="D14" s="2" t="inlineStr">
        <is>
          <t>Lapidot Medical Import and Marketing Ltd.</t>
        </is>
      </c>
      <c r="E14" s="2" t="inlineStr"/>
      <c r="F14" s="2" t="inlineStr">
        <is>
          <t>מפיץ</t>
        </is>
      </c>
      <c r="G14" s="2" t="inlineStr">
        <is>
          <t>Bruker's official Israel contact/partner (Caesarea Industrial Park); the Bruker Israel page covers the Bruker business generally - no separate NMR / AXS / Nano / microCT listings were visible</t>
        </is>
      </c>
      <c r="H14" s="2" t="inlineStr">
        <is>
          <t>https://www.lapidot.com</t>
        </is>
      </c>
      <c r="I14" s="2" t="inlineStr"/>
      <c r="J14" s="2" t="inlineStr"/>
      <c r="K14" s="2" t="inlineStr"/>
      <c r="L14" s="2" t="inlineStr"/>
      <c r="M14" s="2" t="inlineStr">
        <is>
          <t>https://www.bruker.com/en/services/support/india-middleeast-africa/israel-caesarea.html</t>
        </is>
      </c>
    </row>
    <row r="15">
      <c r="A15" s="2" t="n">
        <v>5</v>
      </c>
      <c r="B15" s="2" t="inlineStr">
        <is>
          <t>Bruker Corporation</t>
        </is>
      </c>
      <c r="C15" s="2" t="inlineStr">
        <is>
          <t>subsidiary</t>
        </is>
      </c>
      <c r="D15" s="2" t="inlineStr">
        <is>
          <t>Bruker - Israel office, Gedera (mass spectrometry)</t>
        </is>
      </c>
      <c r="E15" s="2" t="inlineStr"/>
      <c r="F15" s="2" t="inlineStr">
        <is>
          <t>חברה-בת</t>
        </is>
      </c>
      <c r="G15" s="2" t="inlineStr">
        <is>
          <t>mass-spectrometry (Bruker Daltonics) enquiries are directed to Bruker's own office in Gedera, Israel; legal entity name not shown on the page</t>
        </is>
      </c>
      <c r="H15" s="2" t="inlineStr">
        <is>
          <t>https://www.bruker.com</t>
        </is>
      </c>
      <c r="I15" s="2" t="inlineStr"/>
      <c r="J15" s="2" t="inlineStr"/>
      <c r="K15" s="2" t="inlineStr"/>
      <c r="L15" s="2" t="inlineStr"/>
      <c r="M15" s="2" t="inlineStr">
        <is>
          <t>https://www.bruker.com/en/services/support/office.india-middle-east-africa.israel-caesarea.html</t>
        </is>
      </c>
    </row>
    <row r="16">
      <c r="A16" s="2" t="n">
        <v>6</v>
      </c>
      <c r="B16" s="2" t="inlineStr">
        <is>
          <t>Shimadzu Corporation</t>
        </is>
      </c>
      <c r="C16" s="2" t="inlineStr">
        <is>
          <t>distributor</t>
        </is>
      </c>
      <c r="D16" s="2" t="inlineStr">
        <is>
          <t>Agentek (1987) Ltd.</t>
        </is>
      </c>
      <c r="E16" s="2" t="inlineStr">
        <is>
          <t>אגנטק</t>
        </is>
      </c>
      <c r="F16" s="2" t="inlineStr">
        <is>
          <t>מפיץ</t>
        </is>
      </c>
      <c r="G16" s="2" t="inlineStr">
        <is>
          <t>analytical instruments - HPLC/UHPLC (i-Series LC-2070/LC-2080), LC-MS (LCMS-9050, LCMS-8065XE), GC (Nexis GC-2060), XRF (ALTRACE) per Agentek's product pages</t>
        </is>
      </c>
      <c r="H16" s="2" t="inlineStr">
        <is>
          <t>https://agentek.co.il</t>
        </is>
      </c>
      <c r="I16" s="2" t="inlineStr"/>
      <c r="J16" s="2" t="inlineStr"/>
      <c r="K16" s="2" t="inlineStr"/>
      <c r="L16" s="2" t="inlineStr"/>
      <c r="M16" s="2" t="inlineStr">
        <is>
          <t>https://agentek.co.il/representative/shimadzu/</t>
        </is>
      </c>
    </row>
    <row r="17">
      <c r="A17" s="2" t="n">
        <v>7</v>
      </c>
      <c r="B17" s="2" t="inlineStr">
        <is>
          <t>Mettler-Toledo International</t>
        </is>
      </c>
      <c r="C17" s="2" t="inlineStr">
        <is>
          <t>distributor</t>
        </is>
      </c>
      <c r="D17" s="2" t="inlineStr">
        <is>
          <t>Agentek (1987) Ltd.</t>
        </is>
      </c>
      <c r="E17" s="2" t="inlineStr">
        <is>
          <t>אגנטק</t>
        </is>
      </c>
      <c r="F17" s="2" t="inlineStr">
        <is>
          <t>מפיץ</t>
        </is>
      </c>
      <c r="G17" s="2" t="inlineStr">
        <is>
          <t>laboratory weighing (balances) per mt.com Israel page; Agentek's own site also shows Rainin pipettes (distributing since replacing Gilson), titration/automated chemistry (reactor sampling), FreeWeigh.NET and industrial scales; Euro Park Yakum, sales +972 9 9657000, service +972 9 9657007</t>
        </is>
      </c>
      <c r="H17" s="2" t="inlineStr">
        <is>
          <t>https://agentek.co.il</t>
        </is>
      </c>
      <c r="I17" s="2" t="inlineStr"/>
      <c r="J17" s="2" t="inlineStr"/>
      <c r="K17" s="2" t="inlineStr"/>
      <c r="L17" s="2" t="inlineStr"/>
      <c r="M17" s="2" t="inlineStr">
        <is>
          <t>https://www.mt.com/il/en/home.html</t>
        </is>
      </c>
    </row>
    <row r="18">
      <c r="A18" s="2" t="n">
        <v>7</v>
      </c>
      <c r="B18" s="2" t="inlineStr">
        <is>
          <t>Mettler-Toledo International</t>
        </is>
      </c>
      <c r="C18" s="2" t="inlineStr">
        <is>
          <t>distributor</t>
        </is>
      </c>
      <c r="D18" s="2" t="inlineStr">
        <is>
          <t>Modcon Systems Ltd.</t>
        </is>
      </c>
      <c r="E18" s="2" t="inlineStr"/>
      <c r="F18" s="2" t="inlineStr">
        <is>
          <t>מפיץ</t>
        </is>
      </c>
      <c r="G18" s="2" t="inlineStr">
        <is>
          <t>process analytics (Ingold sensors/transmitters); Akko, +972 4 9553955</t>
        </is>
      </c>
      <c r="H18" s="2" t="inlineStr"/>
      <c r="I18" s="2" t="inlineStr"/>
      <c r="J18" s="2" t="inlineStr"/>
      <c r="K18" s="2" t="inlineStr"/>
      <c r="L18" s="2" t="inlineStr"/>
      <c r="M18" s="2" t="inlineStr">
        <is>
          <t>https://www.mt.com/il/en/home.html</t>
        </is>
      </c>
    </row>
    <row r="19">
      <c r="A19" s="2" t="n">
        <v>7</v>
      </c>
      <c r="B19" s="2" t="inlineStr">
        <is>
          <t>Mettler-Toledo International</t>
        </is>
      </c>
      <c r="C19" s="2" t="inlineStr">
        <is>
          <t>distributor</t>
        </is>
      </c>
      <c r="D19" s="2" t="inlineStr">
        <is>
          <t>Dinco Ltd.</t>
        </is>
      </c>
      <c r="E19" s="2" t="inlineStr"/>
      <c r="F19" s="2" t="inlineStr">
        <is>
          <t>מפיץ</t>
        </is>
      </c>
      <c r="G19" s="2" t="inlineStr">
        <is>
          <t>product inspection (Safeline X-ray etc.); Tirat Carmel, +972 4 813 15 15</t>
        </is>
      </c>
      <c r="H19" s="2" t="inlineStr"/>
      <c r="I19" s="2" t="inlineStr"/>
      <c r="J19" s="2" t="inlineStr"/>
      <c r="K19" s="2" t="inlineStr"/>
      <c r="L19" s="2" t="inlineStr"/>
      <c r="M19" s="2" t="inlineStr">
        <is>
          <t>https://www.mt.com/il/en/home.html</t>
        </is>
      </c>
    </row>
    <row r="20">
      <c r="A20" s="2" t="n">
        <v>8</v>
      </c>
      <c r="B20" s="2" t="inlineStr">
        <is>
          <t>Sartorius AG</t>
        </is>
      </c>
      <c r="C20" s="2" t="inlineStr">
        <is>
          <t>subsidiary</t>
        </is>
      </c>
      <c r="D20" s="2" t="inlineStr">
        <is>
          <t>Sartorius Israel Ltd.</t>
        </is>
      </c>
      <c r="E20" s="2" t="inlineStr"/>
      <c r="F20" s="2" t="inlineStr">
        <is>
          <t>חברה-בת</t>
        </is>
      </c>
      <c r="G20" s="2" t="inlineStr">
        <is>
          <t>Sartorius' Israeli company at Kibbutz Beit Haemek (ex-Biological Industries; cell-culture media production and local contact, info.israel@sartorius.com, +972-4-9960595); in-country sales representative advertised</t>
        </is>
      </c>
      <c r="H20" s="2" t="inlineStr">
        <is>
          <t>https://www.sartorius.com/en/general-contact/local-contact</t>
        </is>
      </c>
      <c r="I20" s="2" t="inlineStr"/>
      <c r="J20" s="2" t="inlineStr"/>
      <c r="K20" s="2" t="inlineStr"/>
      <c r="L20" s="2" t="inlineStr"/>
      <c r="M20" s="2" t="inlineStr">
        <is>
          <t>https://www.sartorius.com/en/general-contact/local-contact</t>
        </is>
      </c>
    </row>
    <row r="21">
      <c r="A21" s="2" t="n">
        <v>8</v>
      </c>
      <c r="B21" s="2" t="inlineStr">
        <is>
          <t>Sartorius AG</t>
        </is>
      </c>
      <c r="C21" s="2" t="inlineStr">
        <is>
          <t>subsidiary</t>
        </is>
      </c>
      <c r="D21" s="2" t="inlineStr">
        <is>
          <t>Labotal Scientific Equipment</t>
        </is>
      </c>
      <c r="E21" s="2" t="inlineStr">
        <is>
          <t>לבוטל</t>
        </is>
      </c>
      <c r="F21" s="2" t="inlineStr">
        <is>
          <t>מפיץ</t>
        </is>
      </c>
      <c r="G21" s="2" t="inlineStr">
        <is>
          <t>self-described exclusive Sartorius representative in Israel for weighing (Cubis II balances) and lab products incl. pipettes</t>
        </is>
      </c>
      <c r="H21" s="2" t="inlineStr">
        <is>
          <t>https://labotal.co.il</t>
        </is>
      </c>
      <c r="I21" s="2" t="inlineStr"/>
      <c r="J21" s="2" t="inlineStr"/>
      <c r="K21" s="2" t="inlineStr"/>
      <c r="L21" s="2" t="inlineStr"/>
      <c r="M21" s="2" t="inlineStr">
        <is>
          <t>https://labotal.co.il/המדריך-המקיף-לבחירת-מאזניים-אנליטיים/</t>
        </is>
      </c>
    </row>
    <row r="22">
      <c r="A22" s="2" t="n">
        <v>9</v>
      </c>
      <c r="B22" s="2" t="inlineStr">
        <is>
          <t>Revvity</t>
        </is>
      </c>
      <c r="C22" s="2" t="inlineStr">
        <is>
          <t>distributor</t>
        </is>
      </c>
      <c r="D22" s="2" t="inlineStr">
        <is>
          <t>Gamidor Diagnostics</t>
        </is>
      </c>
      <c r="E22" s="2" t="inlineStr">
        <is>
          <t>גאמידור בע"מ</t>
        </is>
      </c>
      <c r="F22" s="2" t="inlineStr">
        <is>
          <t>מפיץ</t>
        </is>
      </c>
      <c r="G22" s="2" t="inlineStr">
        <is>
          <t>reproductive health / prenatal screening immunoassays (PAPP-A, free beta-hCG, AFP, hCG, uE3, inhibin, PlGF) - Gamidor states it has represented Revvity (ex-PerkinElmer/Wallac) in prenatal screening since 1984</t>
        </is>
      </c>
      <c r="H22" s="2" t="inlineStr">
        <is>
          <t>https://gamidor.co.il</t>
        </is>
      </c>
      <c r="I22" s="2" t="inlineStr"/>
      <c r="J22" s="2" t="inlineStr"/>
      <c r="K22" s="2" t="inlineStr"/>
      <c r="L22" s="2" t="inlineStr"/>
      <c r="M22" s="2" t="inlineStr">
        <is>
          <t>https://gamidor.co.il/en/genetics/</t>
        </is>
      </c>
    </row>
    <row r="23">
      <c r="A23" s="2" t="n">
        <v>9</v>
      </c>
      <c r="B23" s="2" t="inlineStr">
        <is>
          <t>Revvity</t>
        </is>
      </c>
      <c r="C23" s="2" t="inlineStr">
        <is>
          <t>distributor</t>
        </is>
      </c>
      <c r="D23" s="2" t="inlineStr">
        <is>
          <t>Enco</t>
        </is>
      </c>
      <c r="E23" s="2" t="inlineStr">
        <is>
          <t>אנקו</t>
        </is>
      </c>
      <c r="F23" s="2" t="inlineStr">
        <is>
          <t>מפיץ</t>
        </is>
      </c>
      <c r="G23" s="2" t="inlineStr">
        <is>
          <t>Revvity screening reagents and consumables (OptiPlate/SpectraPlate microplates, AlphaLISA SureFire Ultra kits) listed in Enco's online catalogue</t>
        </is>
      </c>
      <c r="H23" s="2" t="inlineStr">
        <is>
          <t>https://www.enco.co.il</t>
        </is>
      </c>
      <c r="I23" s="2" t="inlineStr"/>
      <c r="J23" s="2" t="inlineStr"/>
      <c r="K23" s="2" t="inlineStr"/>
      <c r="L23" s="2" t="inlineStr"/>
      <c r="M23" s="2" t="inlineStr">
        <is>
          <t>https://www.enco.co.il/screening_reagents/optiplate384_f_hb200b/6005529/</t>
        </is>
      </c>
    </row>
    <row r="24">
      <c r="A24" s="2" t="n">
        <v>10</v>
      </c>
      <c r="B24" s="2" t="inlineStr">
        <is>
          <t>PerkinElmer (New Mountain Capital)</t>
        </is>
      </c>
      <c r="C24" s="2" t="inlineStr">
        <is>
          <t>subsidiary</t>
        </is>
      </c>
      <c r="D24" s="2" t="inlineStr">
        <is>
          <t>PerkinElmer Israel Ltd.</t>
        </is>
      </c>
      <c r="E24" s="2" t="inlineStr"/>
      <c r="F24" s="2" t="inlineStr">
        <is>
          <t>חברה-בת</t>
        </is>
      </c>
      <c r="G24" s="2" t="inlineStr">
        <is>
          <t>direct sales, service and support for analytical instruments (atomic spectroscopy/ICP-MS, chromatography, mass spectrometry, FTIR) and OneSource lab services; 4 HaSheizaf St., Ra'anana 4366411, +972 3655 8777</t>
        </is>
      </c>
      <c r="H24" s="2" t="inlineStr">
        <is>
          <t>https://www.perkinelmer.com</t>
        </is>
      </c>
      <c r="I24" s="2" t="inlineStr"/>
      <c r="J24" s="2" t="inlineStr"/>
      <c r="K24" s="2" t="inlineStr"/>
      <c r="L24" s="2" t="inlineStr"/>
      <c r="M24" s="2" t="inlineStr">
        <is>
          <t>https://www.perkinelmer.com/be/contactus/officelocations?location=IL</t>
        </is>
      </c>
    </row>
    <row r="25">
      <c r="A25" s="2" t="n">
        <v>10</v>
      </c>
      <c r="B25" s="2" t="inlineStr">
        <is>
          <t>PerkinElmer (New Mountain Capital)</t>
        </is>
      </c>
      <c r="C25" s="2" t="inlineStr">
        <is>
          <t>subsidiary</t>
        </is>
      </c>
      <c r="D25" s="2" t="inlineStr">
        <is>
          <t>ISI Israel Scientific Instruments Ltd.</t>
        </is>
      </c>
      <c r="E25" s="2" t="inlineStr"/>
      <c r="F25" s="2" t="inlineStr">
        <is>
          <t>מפיץ</t>
        </is>
      </c>
      <c r="G25" s="2" t="inlineStr">
        <is>
          <t>food testing / food quality products, as listed on PerkinElmer's site; Shacham St 32, Petach Tikva, +972 3-9232202 (site given as isil.co.il)</t>
        </is>
      </c>
      <c r="H25" s="2" t="inlineStr">
        <is>
          <t>https://www.isil.co.il</t>
        </is>
      </c>
      <c r="I25" s="2" t="inlineStr"/>
      <c r="J25" s="2" t="inlineStr"/>
      <c r="K25" s="2" t="inlineStr"/>
      <c r="L25" s="2" t="inlineStr"/>
      <c r="M25" s="2" t="inlineStr">
        <is>
          <t>https://www.perkinelmer.com/node/10826</t>
        </is>
      </c>
    </row>
    <row r="26">
      <c r="A26" s="2" t="n">
        <v>11</v>
      </c>
      <c r="B26" s="2" t="inlineStr">
        <is>
          <t>Bio-Rad Laboratories</t>
        </is>
      </c>
      <c r="C26" s="2" t="inlineStr">
        <is>
          <t>subsidiary</t>
        </is>
      </c>
      <c r="D26" s="2" t="inlineStr">
        <is>
          <t>Bio-Rad Israel Ltd. (Bio-Rad Laboratories (Rishon))</t>
        </is>
      </c>
      <c r="E26" s="2" t="inlineStr">
        <is>
          <t>ביו-ראד ישראל</t>
        </is>
      </c>
      <c r="F26" s="2" t="inlineStr">
        <is>
          <t>חברה-בת</t>
        </is>
      </c>
      <c r="G26" s="2" t="inlineStr">
        <is>
          <t>direct sales &amp; service of life-science and clinical-diagnostics products (Rishon LeZion; branch since 1991)</t>
        </is>
      </c>
      <c r="H26" s="2" t="inlineStr">
        <is>
          <t>https://www.bio-rad.com</t>
        </is>
      </c>
      <c r="I26" s="2" t="inlineStr"/>
      <c r="J26" s="2" t="inlineStr"/>
      <c r="K26" s="2" t="inlineStr"/>
      <c r="L26" s="2" t="inlineStr"/>
      <c r="M26" s="2" t="inlineStr">
        <is>
          <t>https://www.bio-rad.com/en-il/corporate/careers</t>
        </is>
      </c>
    </row>
    <row r="27">
      <c r="A27" s="2" t="n">
        <v>11</v>
      </c>
      <c r="B27" s="2" t="inlineStr">
        <is>
          <t>Bio-Rad Laboratories</t>
        </is>
      </c>
      <c r="C27" s="2" t="inlineStr">
        <is>
          <t>subsidiary</t>
        </is>
      </c>
      <c r="D27" s="2" t="inlineStr">
        <is>
          <t>Bio-Rad Haifa Ltd.</t>
        </is>
      </c>
      <c r="E27" s="2" t="inlineStr">
        <is>
          <t>ביו-ראד חיפה</t>
        </is>
      </c>
      <c r="F27" s="2" t="inlineStr">
        <is>
          <t>חברה-בת</t>
        </is>
      </c>
      <c r="G27" s="2" t="inlineStr">
        <is>
          <t>R&amp;D site (ex-ProteOptics, 2006); not a sales channel</t>
        </is>
      </c>
      <c r="H27" s="2" t="inlineStr"/>
      <c r="I27" s="2" t="inlineStr"/>
      <c r="J27" s="2" t="inlineStr"/>
      <c r="K27" s="2" t="inlineStr"/>
      <c r="L27" s="2" t="inlineStr"/>
      <c r="M27" s="2" t="inlineStr"/>
    </row>
    <row r="28">
      <c r="A28" s="2" t="n">
        <v>12</v>
      </c>
      <c r="B28" s="2" t="inlineStr">
        <is>
          <t>Avantor (incl. VWR)</t>
        </is>
      </c>
      <c r="C28" s="2" t="inlineStr">
        <is>
          <t>none_found</t>
        </is>
      </c>
      <c r="D28" s="2" t="inlineStr">
        <is>
          <t>—</t>
        </is>
      </c>
      <c r="E28" s="2" t="inlineStr"/>
      <c r="F28" s="2" t="inlineStr"/>
      <c r="G28" s="2" t="inlineStr"/>
      <c r="H28" s="2" t="inlineStr"/>
      <c r="I28" s="2" t="inlineStr"/>
      <c r="J28" s="2" t="inlineStr"/>
      <c r="K28" s="2" t="inlineStr"/>
      <c r="L28" s="2" t="inlineStr"/>
      <c r="M28" s="2" t="inlineStr"/>
    </row>
    <row r="29">
      <c r="A29" s="2" t="n">
        <v>13</v>
      </c>
      <c r="B29" s="2" t="inlineStr">
        <is>
          <t>Eppendorf SE</t>
        </is>
      </c>
      <c r="C29" s="2" t="inlineStr">
        <is>
          <t>distributor</t>
        </is>
      </c>
      <c r="D29" s="2" t="inlineStr">
        <is>
          <t>Lumitron Ltd. (Comtel Technologies &amp; Engineering group)</t>
        </is>
      </c>
      <c r="E29" s="2" t="inlineStr">
        <is>
          <t>לומיטרון</t>
        </is>
      </c>
      <c r="F29" s="2" t="inlineStr">
        <is>
          <t>מפיץ</t>
        </is>
      </c>
      <c r="G29" s="2" t="inlineStr">
        <is>
          <t>Eppendorf importer / distributor (centrifuges, pipettes, consumables)</t>
        </is>
      </c>
      <c r="H29" s="2" t="inlineStr">
        <is>
          <t>https://www.lumitron.co.il</t>
        </is>
      </c>
      <c r="I29" s="2" t="inlineStr"/>
      <c r="J29" s="2" t="inlineStr"/>
      <c r="K29" s="2" t="inlineStr"/>
      <c r="L29" s="2" t="inlineStr"/>
      <c r="M29" s="2" t="inlineStr"/>
    </row>
    <row r="30">
      <c r="A30" s="2" t="n">
        <v>14</v>
      </c>
      <c r="B30" s="2" t="inlineStr">
        <is>
          <t>QIAGEN</t>
        </is>
      </c>
      <c r="C30" s="2" t="inlineStr">
        <is>
          <t>distributor</t>
        </is>
      </c>
      <c r="D30" s="2" t="inlineStr">
        <is>
          <t>Ilex Medical Ltd.</t>
        </is>
      </c>
      <c r="E30" s="2" t="inlineStr"/>
      <c r="F30" s="2" t="inlineStr">
        <is>
          <t>מפיץ</t>
        </is>
      </c>
      <c r="G30" s="2" t="inlineStr">
        <is>
          <t>molecular diagnostics and research - QIAcuity digital PCR, Rotor-Gene Q qPCR, QIAxcel, nucleic-acid extraction, oncology and hematology assay kits (Ilex catalogue pages, c. 2024)</t>
        </is>
      </c>
      <c r="H30" s="2" t="inlineStr">
        <is>
          <t>https://www.ilexmedical.com</t>
        </is>
      </c>
      <c r="I30" s="2" t="inlineStr"/>
      <c r="J30" s="2" t="inlineStr"/>
      <c r="K30" s="2" t="inlineStr"/>
      <c r="L30" s="2" t="inlineStr"/>
      <c r="M30" s="2" t="inlineStr">
        <is>
          <t>https://www.ilexmedical.com/catalog_products/qpcr-dpcr/</t>
        </is>
      </c>
    </row>
    <row r="31">
      <c r="A31" s="2" t="n">
        <v>14</v>
      </c>
      <c r="B31" s="2" t="inlineStr">
        <is>
          <t>QIAGEN</t>
        </is>
      </c>
      <c r="C31" s="2" t="inlineStr">
        <is>
          <t>distributor</t>
        </is>
      </c>
      <c r="D31" s="2" t="inlineStr">
        <is>
          <t>Eldan Electronic Instruments (Neopharm group)</t>
        </is>
      </c>
      <c r="E31" s="2" t="inlineStr"/>
      <c r="F31" s="2" t="inlineStr">
        <is>
          <t>מפיץ</t>
        </is>
      </c>
      <c r="G31" s="2" t="inlineStr">
        <is>
          <t>listed QIAGEN among the manufacturers it represents in Israel (life-science research) on a 2014 page and showed QIAGEN products at ISM/IIS meetings in 2015-2016; current status unconfirmed</t>
        </is>
      </c>
      <c r="H31" s="2" t="inlineStr">
        <is>
          <t>https://eldan.biz</t>
        </is>
      </c>
      <c r="I31" s="2" t="inlineStr"/>
      <c r="J31" s="2" t="inlineStr"/>
      <c r="K31" s="2" t="inlineStr"/>
      <c r="L31" s="2" t="inlineStr"/>
      <c r="M31" s="2" t="inlineStr">
        <is>
          <t>https://eldan.biz/?p=1052</t>
        </is>
      </c>
    </row>
    <row r="32">
      <c r="A32" s="2" t="n">
        <v>14</v>
      </c>
      <c r="B32" s="2" t="inlineStr">
        <is>
          <t>QIAGEN</t>
        </is>
      </c>
      <c r="C32" s="2" t="inlineStr">
        <is>
          <t>distributor</t>
        </is>
      </c>
      <c r="D32" s="2" t="inlineStr">
        <is>
          <t>Lifegene Ltd.</t>
        </is>
      </c>
      <c r="E32" s="2" t="inlineStr">
        <is>
          <t>לייפג'ין</t>
        </is>
      </c>
      <c r="F32" s="2" t="inlineStr">
        <is>
          <t>מפיץ</t>
        </is>
      </c>
      <c r="G32" s="2" t="inlineStr">
        <is>
          <t>https://www.lifegene.co.il</t>
        </is>
      </c>
      <c r="H32" s="2" t="inlineStr">
        <is>
          <t>QIAGEN enzymes / OEM reagents sold through the Lifegene catalogue (not the QIAGEN instrument line)</t>
        </is>
      </c>
      <c r="I32" s="2" t="inlineStr"/>
      <c r="J32" s="2" t="inlineStr"/>
      <c r="K32" s="2" t="inlineStr"/>
      <c r="L32" s="2" t="inlineStr"/>
      <c r="M32" s="2" t="inlineStr">
        <is>
          <t>https://www.lifegene.co.il/page_30153</t>
        </is>
      </c>
    </row>
    <row r="33">
      <c r="A33" s="2" t="n">
        <v>15</v>
      </c>
      <c r="B33" s="2" t="inlineStr">
        <is>
          <t>Illumina</t>
        </is>
      </c>
      <c r="C33" s="2" t="inlineStr">
        <is>
          <t>distributor</t>
        </is>
      </c>
      <c r="D33" s="2" t="inlineStr">
        <is>
          <t>Danyel Biotech Ltd. (Gamida for Life group)</t>
        </is>
      </c>
      <c r="E33" s="2" t="inlineStr">
        <is>
          <t>דניאל ביוטק</t>
        </is>
      </c>
      <c r="F33" s="2" t="inlineStr">
        <is>
          <t>מפיץ</t>
        </is>
      </c>
      <c r="G33" s="2" t="inlineStr">
        <is>
          <t>Illumina sequencers, arrays and reagents (long-standing distributor; 2020 evidence – verify current status)</t>
        </is>
      </c>
      <c r="H33" s="2" t="inlineStr">
        <is>
          <t>https://www.danyel.co.il</t>
        </is>
      </c>
      <c r="I33" s="2" t="inlineStr"/>
      <c r="J33" s="2" t="inlineStr"/>
      <c r="K33" s="2" t="inlineStr"/>
      <c r="L33" s="2" t="inlineStr"/>
      <c r="M33" s="2" t="inlineStr"/>
    </row>
    <row r="34">
      <c r="A34" s="2" t="n">
        <v>15</v>
      </c>
      <c r="B34" s="2" t="inlineStr">
        <is>
          <t>Illumina</t>
        </is>
      </c>
      <c r="C34" s="2" t="inlineStr">
        <is>
          <t>distributor</t>
        </is>
      </c>
      <c r="D34" s="2" t="inlineStr">
        <is>
          <t>Illumina Israel (ex-Emedgene, Tel Aviv)</t>
        </is>
      </c>
      <c r="E34" s="2" t="inlineStr">
        <is>
          <t>אילומינה ישראל</t>
        </is>
      </c>
      <c r="F34" s="2" t="inlineStr">
        <is>
          <t>חברה-בת</t>
        </is>
      </c>
      <c r="G34" s="2" t="inlineStr">
        <is>
          <t>R&amp;D / AI centre of excellence (~30 staff); not a sales channel</t>
        </is>
      </c>
      <c r="H34" s="2" t="inlineStr"/>
      <c r="I34" s="2" t="inlineStr"/>
      <c r="J34" s="2" t="inlineStr"/>
      <c r="K34" s="2" t="inlineStr"/>
      <c r="L34" s="2" t="inlineStr"/>
      <c r="M34" s="2" t="inlineStr"/>
    </row>
    <row r="35">
      <c r="A35" s="2" t="n">
        <v>16</v>
      </c>
      <c r="B35" s="2" t="inlineStr">
        <is>
          <t>Beckman Coulter (Danaher)</t>
        </is>
      </c>
      <c r="C35" s="2" t="inlineStr">
        <is>
          <t>distributor</t>
        </is>
      </c>
      <c r="D35" s="2" t="inlineStr">
        <is>
          <t>Rhenium Ltd.</t>
        </is>
      </c>
      <c r="E35" s="2" t="inlineStr">
        <is>
          <t>רניום</t>
        </is>
      </c>
      <c r="F35" s="2" t="inlineStr">
        <is>
          <t>מפיץ</t>
        </is>
      </c>
      <c r="G35" s="2" t="inlineStr">
        <is>
          <t>Beckman Coulter Life Sciences (official Israel contact page: Rhenium, 20 Hasatat St, Modi'in); the Diagnostics channel may be a different partner – to verify</t>
        </is>
      </c>
      <c r="H35" s="2" t="inlineStr">
        <is>
          <t>https://www.rhenium.co.il</t>
        </is>
      </c>
      <c r="I35" s="2" t="inlineStr"/>
      <c r="J35" s="2" t="inlineStr"/>
      <c r="K35" s="2" t="inlineStr"/>
      <c r="L35" s="2" t="inlineStr"/>
      <c r="M35" s="2" t="inlineStr">
        <is>
          <t>https://www.beckman.com/contact-us/israel</t>
        </is>
      </c>
    </row>
    <row r="36">
      <c r="A36" s="2" t="n">
        <v>17</v>
      </c>
      <c r="B36" s="2" t="inlineStr">
        <is>
          <t>Cytiva (Danaher)</t>
        </is>
      </c>
      <c r="C36" s="2" t="inlineStr">
        <is>
          <t>distributor</t>
        </is>
      </c>
      <c r="D36" s="2" t="inlineStr">
        <is>
          <t>Danyel Biotech</t>
        </is>
      </c>
      <c r="E36" s="2" t="inlineStr"/>
      <c r="F36" s="2" t="inlineStr">
        <is>
          <t>מפיץ</t>
        </is>
      </c>
      <c r="G36" s="2" t="inlineStr">
        <is>
          <t>Cytiva chromatography (ÄKTA pure) and Biacore; other Cytiva lines (Whatman, Amersham, Pall) not confirmed</t>
        </is>
      </c>
      <c r="H36" s="2" t="inlineStr">
        <is>
          <t>https://www.danyel.co.il</t>
        </is>
      </c>
      <c r="I36" s="2" t="inlineStr"/>
      <c r="J36" s="2" t="inlineStr"/>
      <c r="K36" s="2" t="inlineStr"/>
      <c r="L36" s="2" t="inlineStr"/>
      <c r="M36" s="2" t="inlineStr">
        <is>
          <t>https://www.danyel.co.il/cytiva/</t>
        </is>
      </c>
    </row>
    <row r="37">
      <c r="A37" s="2" t="n">
        <v>17</v>
      </c>
      <c r="B37" s="2" t="inlineStr">
        <is>
          <t>Cytiva (Danaher)</t>
        </is>
      </c>
      <c r="C37" s="2" t="inlineStr">
        <is>
          <t>distributor</t>
        </is>
      </c>
      <c r="D37" s="2" t="inlineStr">
        <is>
          <t>Lifegene Ltd.</t>
        </is>
      </c>
      <c r="E37" s="2" t="inlineStr">
        <is>
          <t>לייפג'ין</t>
        </is>
      </c>
      <c r="F37" s="2" t="inlineStr">
        <is>
          <t>מפיץ</t>
        </is>
      </c>
      <c r="G37" s="2" t="inlineStr">
        <is>
          <t>Whatman filtration products (a Cytiva brand) sold through the Lifegene catalogue</t>
        </is>
      </c>
      <c r="H37" s="2" t="inlineStr">
        <is>
          <t>https://www.lifegene.co.il</t>
        </is>
      </c>
      <c r="I37" s="2" t="inlineStr"/>
      <c r="J37" s="2" t="inlineStr"/>
      <c r="K37" s="2" t="inlineStr"/>
      <c r="L37" s="2" t="inlineStr"/>
      <c r="M37" s="2" t="inlineStr">
        <is>
          <t>https://lifegene.co.il/product/puradisc-13-syringe-filter-045µm-polypropylene-100-pk/</t>
        </is>
      </c>
    </row>
    <row r="38">
      <c r="A38" s="2" t="n">
        <v>18</v>
      </c>
      <c r="B38" s="2" t="inlineStr">
        <is>
          <t>Leica Microsystems (Danaher)</t>
        </is>
      </c>
      <c r="C38" s="2" t="inlineStr">
        <is>
          <t>distributor</t>
        </is>
      </c>
      <c r="D38" s="2" t="inlineStr">
        <is>
          <t>Lapidot Group (Ophthalmic Surgery Unit)</t>
        </is>
      </c>
      <c r="E38" s="2" t="inlineStr"/>
      <c r="F38" s="2" t="inlineStr">
        <is>
          <t>מפיץ</t>
        </is>
      </c>
      <c r="G38" s="2" t="inlineStr">
        <is>
          <t>Leica surgical microscopes (ophthalmology, neurosurgery, ENT; floor- and ceiling-mounted) — Leica Microsystems medical division only</t>
        </is>
      </c>
      <c r="H38" s="2" t="inlineStr">
        <is>
          <t>https://www.lapidot.com</t>
        </is>
      </c>
      <c r="I38" s="2" t="inlineStr"/>
      <c r="J38" s="2" t="inlineStr"/>
      <c r="K38" s="2" t="inlineStr"/>
      <c r="L38" s="2" t="inlineStr"/>
      <c r="M38" s="2" t="inlineStr">
        <is>
          <t>https://www.lapidot.com/en/partners/</t>
        </is>
      </c>
    </row>
    <row r="39">
      <c r="A39" s="2" t="n">
        <v>18</v>
      </c>
      <c r="B39" s="2" t="inlineStr">
        <is>
          <t>Leica Microsystems (Danaher)</t>
        </is>
      </c>
      <c r="C39" s="2" t="inlineStr">
        <is>
          <t>distributor</t>
        </is>
      </c>
      <c r="D39" s="2" t="inlineStr">
        <is>
          <t>Rhenium Ltd.</t>
        </is>
      </c>
      <c r="E39" s="2" t="inlineStr"/>
      <c r="F39" s="2" t="inlineStr">
        <is>
          <t>מפיץ</t>
        </is>
      </c>
      <c r="G39" s="2" t="inlineStr">
        <is>
          <t>research microscopes — per a 2009 Israel Physical Society trade-fair listing only (exclusive representative then); NOT re-confirmed in 2026</t>
        </is>
      </c>
      <c r="H39" s="2" t="inlineStr">
        <is>
          <t>https://www.rhenium.co.il</t>
        </is>
      </c>
      <c r="I39" s="2" t="inlineStr"/>
      <c r="J39" s="2" t="inlineStr"/>
      <c r="K39" s="2" t="inlineStr"/>
      <c r="L39" s="2" t="inlineStr"/>
      <c r="M39" s="2" t="inlineStr">
        <is>
          <t>https://archive.israelphysicalsociety.org/ips-conference-2009/fairs/rhenium-ltd.html</t>
        </is>
      </c>
    </row>
    <row r="40">
      <c r="A40" s="2" t="n">
        <v>19</v>
      </c>
      <c r="B40" s="2" t="inlineStr">
        <is>
          <t>SCIEX (Danaher)</t>
        </is>
      </c>
      <c r="C40" s="2" t="inlineStr">
        <is>
          <t>distributor</t>
        </is>
      </c>
      <c r="D40" s="2" t="inlineStr">
        <is>
          <t>Rhenium Group</t>
        </is>
      </c>
      <c r="E40" s="2" t="inlineStr">
        <is>
          <t>רניום</t>
        </is>
      </c>
      <c r="F40" s="2" t="inlineStr">
        <is>
          <t>מפיץ</t>
        </is>
      </c>
      <c r="G40" s="2" t="inlineStr">
        <is>
          <t>SCIEX mass spectrometry – Israeli distributor since 1 April 2025 (took over from Agentek)</t>
        </is>
      </c>
      <c r="H40" s="2" t="inlineStr">
        <is>
          <t>https://www.rhenium.co.il</t>
        </is>
      </c>
      <c r="I40" s="2" t="inlineStr"/>
      <c r="J40" s="2" t="inlineStr"/>
      <c r="K40" s="2" t="inlineStr"/>
      <c r="L40" s="2" t="inlineStr"/>
      <c r="M40" s="2" t="inlineStr"/>
    </row>
    <row r="41">
      <c r="A41" s="2" t="n">
        <v>20</v>
      </c>
      <c r="B41" s="2" t="inlineStr">
        <is>
          <t>Molecular Devices (Danaher)</t>
        </is>
      </c>
      <c r="C41" s="2" t="inlineStr">
        <is>
          <t>unclear</t>
        </is>
      </c>
      <c r="D41" s="2" t="inlineStr">
        <is>
          <t>Eisenberg Bros. Ltd. (Eisenberg Brothers) - candidate</t>
        </is>
      </c>
      <c r="E41" s="2" t="inlineStr"/>
      <c r="F41" s="2" t="inlineStr">
        <is>
          <t>מפיץ</t>
        </is>
      </c>
      <c r="G41" s="2" t="inlineStr">
        <is>
          <t>Hosts a Molecular Devices FLIPR Penta high-throughput cellular screening system brochure on its own site (uploaded March 2026) - probable reseller of Molecular Devices screening/plate-reader instruments; no explicit distributor statement seen</t>
        </is>
      </c>
      <c r="H41" s="2" t="inlineStr">
        <is>
          <t>https://eisenbros.co.il</t>
        </is>
      </c>
      <c r="I41" s="2" t="inlineStr"/>
      <c r="J41" s="2" t="inlineStr"/>
      <c r="K41" s="2" t="inlineStr"/>
      <c r="L41" s="2" t="inlineStr"/>
      <c r="M41" s="2" t="inlineStr">
        <is>
          <t>https://eisenbros.co.il/wp-content/uploads/2026/03/flipr-penta-high-throughput-cellular-screening-system.pdf</t>
        </is>
      </c>
    </row>
    <row r="42">
      <c r="A42" s="2" t="n">
        <v>21</v>
      </c>
      <c r="B42" s="2" t="inlineStr">
        <is>
          <t>BD Biosciences &amp; BD Diagnostic Solutions (part of Waters since Feb 2026)</t>
        </is>
      </c>
      <c r="C42" s="2" t="inlineStr">
        <is>
          <t>subsidiary</t>
        </is>
      </c>
      <c r="D42" s="2" t="inlineStr">
        <is>
          <t>Augusta Life Sciences Israel Ltd. (Waters subsidiary, ex-BD Biosciences &amp; Diagnostic Solutions)</t>
        </is>
      </c>
      <c r="E42" s="2" t="inlineStr"/>
      <c r="F42" s="2" t="inlineStr">
        <is>
          <t>חברה-בת</t>
        </is>
      </c>
      <c r="G42" s="2" t="inlineStr">
        <is>
          <t>Israeli entity of the acquired BD Biosciences &amp; Diagnostic Solutions business (flow cytometry, BD MAX, BACTEC, Phoenix lines), listed by Waters among the SpinCo entities wholly owned by Waters since 9 Feb 2026; Harduf HaNehalim St 2, Caesarea 3079857</t>
        </is>
      </c>
      <c r="H42" s="2" t="inlineStr">
        <is>
          <t>https://www.waters.com</t>
        </is>
      </c>
      <c r="I42" s="2" t="inlineStr"/>
      <c r="J42" s="2" t="inlineStr"/>
      <c r="K42" s="2" t="inlineStr"/>
      <c r="L42" s="2" t="inlineStr"/>
      <c r="M42" s="2" t="inlineStr">
        <is>
          <t>https://www.waters.com/nextgen/us/en/about-waters/corporate-governance/legal-and-privacy-notices/bdtransaction.html</t>
        </is>
      </c>
    </row>
    <row r="43">
      <c r="A43" s="2" t="n">
        <v>21</v>
      </c>
      <c r="B43" s="2" t="inlineStr">
        <is>
          <t>BD Biosciences &amp; BD Diagnostic Solutions (part of Waters since Feb 2026)</t>
        </is>
      </c>
      <c r="C43" s="2" t="inlineStr">
        <is>
          <t>subsidiary</t>
        </is>
      </c>
      <c r="D43" s="2" t="inlineStr">
        <is>
          <t>BD Israel (Becton Dickinson)</t>
        </is>
      </c>
      <c r="E43" s="2" t="inlineStr"/>
      <c r="F43" s="2" t="inlineStr">
        <is>
          <t>חברה-בת</t>
        </is>
      </c>
      <c r="G43" s="2" t="inlineStr">
        <is>
          <t>BD's own Israeli office and technical service, 14 Hashita St., Caesarea; +972-73-229-0850 (priceisrael@bd.com), technical service +972-73-229-0830 (TSBDISRAEL@bd.com); after the split this entity belongs to the remaining BD (medical) group</t>
        </is>
      </c>
      <c r="H43" s="2" t="inlineStr">
        <is>
          <t>https://www.bd.com/en-il</t>
        </is>
      </c>
      <c r="I43" s="2" t="inlineStr"/>
      <c r="J43" s="2" t="inlineStr"/>
      <c r="K43" s="2" t="inlineStr"/>
      <c r="L43" s="2" t="inlineStr"/>
      <c r="M43" s="2" t="inlineStr">
        <is>
          <t>https://www.bd.com/en-il/support/customer-support-contacts/bd-israel</t>
        </is>
      </c>
    </row>
    <row r="44">
      <c r="A44" s="2" t="n">
        <v>21</v>
      </c>
      <c r="B44" s="2" t="inlineStr">
        <is>
          <t>BD Biosciences &amp; BD Diagnostic Solutions (part of Waters since Feb 2026)</t>
        </is>
      </c>
      <c r="C44" s="2" t="inlineStr">
        <is>
          <t>subsidiary</t>
        </is>
      </c>
      <c r="D44" s="2" t="inlineStr">
        <is>
          <t>Lapidot Group (Lapidot Medical)</t>
        </is>
      </c>
      <c r="E44" s="2" t="inlineStr">
        <is>
          <t>לפידות</t>
        </is>
      </c>
      <c r="F44" s="2" t="inlineStr">
        <is>
          <t>מפיץ</t>
        </is>
      </c>
      <c r="G44" s="2" t="inlineStr">
        <is>
          <t>lists BD as a business partner ('global medical technology company'); product scope not stated - likely BD Medical lines, not confirmed for Biosciences/Diagnostics</t>
        </is>
      </c>
      <c r="H44" s="2" t="inlineStr">
        <is>
          <t>https://www.lapidot.com</t>
        </is>
      </c>
      <c r="I44" s="2" t="inlineStr"/>
      <c r="J44" s="2" t="inlineStr"/>
      <c r="K44" s="2" t="inlineStr"/>
      <c r="L44" s="2" t="inlineStr"/>
      <c r="M44" s="2" t="inlineStr">
        <is>
          <t>https://www.lapidot.com/en/partners/</t>
        </is>
      </c>
    </row>
    <row r="45">
      <c r="A45" s="2" t="n">
        <v>22</v>
      </c>
      <c r="B45" s="2" t="inlineStr">
        <is>
          <t>Corning Life Sciences (Corning Inc.)</t>
        </is>
      </c>
      <c r="C45" s="2" t="inlineStr">
        <is>
          <t>distributor</t>
        </is>
      </c>
      <c r="D45" s="2" t="inlineStr">
        <is>
          <t>Getter Group (Getter Bio-Med)</t>
        </is>
      </c>
      <c r="E45" s="2" t="inlineStr">
        <is>
          <t>קבוצת גטר</t>
        </is>
      </c>
      <c r="F45" s="2" t="inlineStr">
        <is>
          <t>מפיץ</t>
        </is>
      </c>
      <c r="G45" s="2" t="inlineStr">
        <is>
          <t>Corning – Getter Group states it is Corning's exclusive representative (page ~2 years old; life-science vs. other Corning lines not specified)</t>
        </is>
      </c>
      <c r="H45" s="2" t="inlineStr">
        <is>
          <t>https://www.getter.co.il</t>
        </is>
      </c>
      <c r="I45" s="2" t="inlineStr"/>
      <c r="J45" s="2" t="inlineStr"/>
      <c r="K45" s="2" t="inlineStr"/>
      <c r="L45" s="2" t="inlineStr"/>
      <c r="M45" s="2" t="inlineStr">
        <is>
          <t>https://www.getter.co.il/about-en/</t>
        </is>
      </c>
    </row>
    <row r="46">
      <c r="A46" s="2" t="n">
        <v>23</v>
      </c>
      <c r="B46" s="2" t="inlineStr">
        <is>
          <t>Promega Corporation</t>
        </is>
      </c>
      <c r="C46" s="2" t="inlineStr">
        <is>
          <t>distributor</t>
        </is>
      </c>
      <c r="D46" s="2" t="inlineStr">
        <is>
          <t>IM Beit Haemek (as listed on Promega's contact page; Kibbutz Beit HaEmek)</t>
        </is>
      </c>
      <c r="E46" s="2" t="inlineStr"/>
      <c r="F46" s="2" t="inlineStr">
        <is>
          <t>מפיץ</t>
        </is>
      </c>
      <c r="G46" s="2" t="inlineStr">
        <is>
          <t>Promega products - marketing area Israel (Promega 'Contact Promega' distributor listing; e-mail info@bemek.co.il)</t>
        </is>
      </c>
      <c r="H46" s="2" t="inlineStr">
        <is>
          <t>https://bemek.co.il</t>
        </is>
      </c>
      <c r="I46" s="2" t="inlineStr"/>
      <c r="J46" s="2" t="inlineStr"/>
      <c r="K46" s="2" t="inlineStr"/>
      <c r="L46" s="2" t="inlineStr"/>
      <c r="M46" s="2" t="inlineStr">
        <is>
          <t>https://www.promega.com/support/contact-promega/</t>
        </is>
      </c>
    </row>
    <row r="47">
      <c r="A47" s="2" t="n">
        <v>24</v>
      </c>
      <c r="B47" s="2" t="inlineStr">
        <is>
          <t>New England Biolabs</t>
        </is>
      </c>
      <c r="C47" s="2" t="inlineStr">
        <is>
          <t>distributor</t>
        </is>
      </c>
      <c r="D47" s="2" t="inlineStr">
        <is>
          <t>Ornat BioChemicals &amp; Lab Equipment Ltd.</t>
        </is>
      </c>
      <c r="E47" s="2" t="inlineStr">
        <is>
          <t>אורנת</t>
        </is>
      </c>
      <c r="F47" s="2" t="inlineStr">
        <is>
          <t>מפיץ</t>
        </is>
      </c>
      <c r="G47" s="2" t="inlineStr">
        <is>
          <t>New England Biolabs reagents (per Ornat's brand list quoted on the FISEB vendors page)</t>
        </is>
      </c>
      <c r="H47" s="2" t="inlineStr">
        <is>
          <t>https://www.ornat.co.il</t>
        </is>
      </c>
      <c r="I47" s="2" t="inlineStr"/>
      <c r="J47" s="2" t="inlineStr"/>
      <c r="K47" s="2" t="inlineStr"/>
      <c r="L47" s="2" t="inlineStr"/>
      <c r="M47" s="2" t="inlineStr"/>
    </row>
    <row r="48">
      <c r="A48" s="2" t="n">
        <v>25</v>
      </c>
      <c r="B48" s="2" t="inlineStr">
        <is>
          <t>Bio-Techne</t>
        </is>
      </c>
      <c r="C48" s="2" t="inlineStr">
        <is>
          <t>distributor</t>
        </is>
      </c>
      <c r="D48" s="2" t="inlineStr">
        <is>
          <t>Israeli distributor listed on Novus Biologicals' distributor page (name not visible in the search excerpt) - 6 Hasadna St., P.O. Box 8006, Kfar Saba 4442405</t>
        </is>
      </c>
      <c r="E48" s="2" t="inlineStr"/>
      <c r="F48" s="2" t="inlineStr">
        <is>
          <t>מפיץ</t>
        </is>
      </c>
      <c r="G48" s="2" t="inlineStr">
        <is>
          <t>Novus Biologicals antibodies (Bio-Techne brand); coverage of R&amp;D Systems / Tocris / ProteinSimple not shown</t>
        </is>
      </c>
      <c r="H48" s="2" t="inlineStr"/>
      <c r="I48" s="2" t="inlineStr"/>
      <c r="J48" s="2" t="inlineStr"/>
      <c r="K48" s="2" t="inlineStr"/>
      <c r="L48" s="2" t="inlineStr"/>
      <c r="M48" s="2" t="inlineStr">
        <is>
          <t>https://www.novusbio.com/distributors/www.novusbio.com</t>
        </is>
      </c>
    </row>
    <row r="49">
      <c r="A49" s="2" t="n">
        <v>25</v>
      </c>
      <c r="B49" s="2" t="inlineStr">
        <is>
          <t>Bio-Techne</t>
        </is>
      </c>
      <c r="C49" s="2" t="inlineStr">
        <is>
          <t>distributor</t>
        </is>
      </c>
      <c r="D49" s="2" t="inlineStr">
        <is>
          <t>Getter Bio-Med (Getter Group)</t>
        </is>
      </c>
      <c r="E49" s="2" t="inlineStr">
        <is>
          <t>גטר ביו-מד</t>
        </is>
      </c>
      <c r="F49" s="2" t="inlineStr">
        <is>
          <t>מפיץ</t>
        </is>
      </c>
      <c r="G49" s="2" t="inlineStr">
        <is>
          <t>Lunaphore (a Bio-Techne brand) spatial-biology platforms – Getter describes itself as the official Israeli representative (LinkedIn)</t>
        </is>
      </c>
      <c r="H49" s="2" t="inlineStr">
        <is>
          <t>https://www.getter.co.il</t>
        </is>
      </c>
      <c r="I49" s="2" t="inlineStr"/>
      <c r="J49" s="2" t="inlineStr"/>
      <c r="K49" s="2" t="inlineStr"/>
      <c r="L49" s="2" t="inlineStr"/>
      <c r="M49" s="2" t="inlineStr">
        <is>
          <t>https://www.getter.co.il/about-en/</t>
        </is>
      </c>
    </row>
    <row r="50">
      <c r="A50" s="2" t="n">
        <v>26</v>
      </c>
      <c r="B50" s="2" t="inlineStr">
        <is>
          <t>Miltenyi Biotec</t>
        </is>
      </c>
      <c r="C50" s="2" t="inlineStr">
        <is>
          <t>distributor</t>
        </is>
      </c>
      <c r="D50" s="2" t="inlineStr">
        <is>
          <t>Y.A. Almog Diagnostic &amp; Medical Equipment Ltd.</t>
        </is>
      </c>
      <c r="E50" s="2" t="inlineStr">
        <is>
          <t>אלמוג דיאגנוסטיקה</t>
        </is>
      </c>
      <c r="F50" s="2" t="inlineStr">
        <is>
          <t>מפיץ</t>
        </is>
      </c>
      <c r="G50" s="2" t="inlineStr">
        <is>
          <t>Miltenyi Biotec products in Israel (MACS reagents and instruments incl. MACSQuant flow cytometers) - listed as the Israel distributor on Miltenyi's global distributor page; Shoham, tel. +972 3 977 33 90, info@almog.co.il</t>
        </is>
      </c>
      <c r="H50" s="2" t="inlineStr">
        <is>
          <t>https://www.almog.co.il</t>
        </is>
      </c>
      <c r="I50" s="2" t="inlineStr"/>
      <c r="J50" s="2" t="inlineStr"/>
      <c r="K50" s="2" t="inlineStr"/>
      <c r="L50" s="2" t="inlineStr"/>
      <c r="M50" s="2" t="inlineStr">
        <is>
          <t>https://www.miltenyibiotec.com/IE-en/about-us/locations/distribution.html</t>
        </is>
      </c>
    </row>
    <row r="51">
      <c r="A51" s="2" t="n">
        <v>26</v>
      </c>
      <c r="B51" s="2" t="inlineStr">
        <is>
          <t>Miltenyi Biotec</t>
        </is>
      </c>
      <c r="C51" s="2" t="inlineStr">
        <is>
          <t>distributor</t>
        </is>
      </c>
      <c r="D51" s="2" t="inlineStr">
        <is>
          <t>Almog Diagnostic and Medical Equipment Ltd.</t>
        </is>
      </c>
      <c r="E51" s="2" t="inlineStr">
        <is>
          <t>אלמוג דיאגנוסטיקה</t>
        </is>
      </c>
      <c r="F51" s="2" t="inlineStr">
        <is>
          <t>מפיץ</t>
        </is>
      </c>
      <c r="G51" s="2" t="inlineStr">
        <is>
          <t>Miltenyi Biotec MACSQuant flow cytometers and related products (2022 Business Wire release describing Almog's Miltenyi and Cytek lines)</t>
        </is>
      </c>
      <c r="H51" s="2" t="inlineStr">
        <is>
          <t>https://www.almog.co.il</t>
        </is>
      </c>
      <c r="I51" s="2" t="inlineStr"/>
      <c r="J51" s="2" t="inlineStr"/>
      <c r="K51" s="2" t="inlineStr"/>
      <c r="L51" s="2" t="inlineStr"/>
      <c r="M51" s="2" t="inlineStr">
        <is>
          <t>https://www.businesswire.com/news/home/20220626005007/en/Slingshot-Biosciences-Inc.-Partners-With-Almog-Diagnostic-to-Distribute-Synthetic-Cells-Throughout-Israel</t>
        </is>
      </c>
    </row>
    <row r="52">
      <c r="A52" s="2" t="n">
        <v>27</v>
      </c>
      <c r="B52" s="2" t="inlineStr">
        <is>
          <t>10x Genomics</t>
        </is>
      </c>
      <c r="C52" s="2" t="inlineStr">
        <is>
          <t>distributor</t>
        </is>
      </c>
      <c r="D52" s="2" t="inlineStr">
        <is>
          <t>Danyel Biotech</t>
        </is>
      </c>
      <c r="E52" s="2" t="inlineStr"/>
      <c r="F52" s="2" t="inlineStr">
        <is>
          <t>מפיץ</t>
        </is>
      </c>
      <c r="G52" s="2" t="inlineStr">
        <is>
          <t>10x Genomics instruments, reagents and software (Chromium single-cell; Visium/Xenium not seen explicitly)</t>
        </is>
      </c>
      <c r="H52" s="2" t="inlineStr">
        <is>
          <t>https://www.danyel.co.il</t>
        </is>
      </c>
      <c r="I52" s="2" t="inlineStr"/>
      <c r="J52" s="2" t="inlineStr"/>
      <c r="K52" s="2" t="inlineStr"/>
      <c r="L52" s="2" t="inlineStr"/>
      <c r="M52" s="2" t="inlineStr">
        <is>
          <t>https://www.danyel.co.il/10x-genomics/</t>
        </is>
      </c>
    </row>
    <row r="53">
      <c r="A53" s="2" t="n">
        <v>27</v>
      </c>
      <c r="B53" s="2" t="inlineStr">
        <is>
          <t>10x Genomics</t>
        </is>
      </c>
      <c r="C53" s="2" t="inlineStr">
        <is>
          <t>distributor</t>
        </is>
      </c>
      <c r="D53" s="2" t="inlineStr">
        <is>
          <t>Lifegene Ltd.</t>
        </is>
      </c>
      <c r="E53" s="2" t="inlineStr">
        <is>
          <t>לייפג'ין</t>
        </is>
      </c>
      <c r="F53" s="2" t="inlineStr">
        <is>
          <t>מפיץ</t>
        </is>
      </c>
      <c r="G53" s="2" t="inlineStr">
        <is>
          <t>https://www.lifegene.co.il</t>
        </is>
      </c>
      <c r="H53" s="2" t="inlineStr">
        <is>
          <t>Scale Biosciences (10x Genomics) products – Lifegene is listed as the Israeli distributor on 10x's Scale Bio distributors page</t>
        </is>
      </c>
      <c r="I53" s="2" t="inlineStr"/>
      <c r="J53" s="2" t="inlineStr"/>
      <c r="K53" s="2" t="inlineStr"/>
      <c r="L53" s="2" t="inlineStr"/>
      <c r="M53" s="2" t="inlineStr">
        <is>
          <t>https://scale.10xgenomics.com/distributors/</t>
        </is>
      </c>
    </row>
    <row r="54">
      <c r="A54" s="2" t="n">
        <v>28</v>
      </c>
      <c r="B54" s="2" t="inlineStr">
        <is>
          <t>Oxford Nanopore Technologies</t>
        </is>
      </c>
      <c r="C54" s="2" t="inlineStr">
        <is>
          <t>distributor</t>
        </is>
      </c>
      <c r="D54" s="2" t="inlineStr">
        <is>
          <t>Zotal Ltd.</t>
        </is>
      </c>
      <c r="E54" s="2" t="inlineStr">
        <is>
          <t>זוטל</t>
        </is>
      </c>
      <c r="F54" s="2" t="inlineStr">
        <is>
          <t>מפיץ</t>
        </is>
      </c>
      <c r="G54" s="2" t="inlineStr">
        <is>
          <t>officially licensed channel partner for Nanopore products in Israel (nanoporetech.com channel-partner page)</t>
        </is>
      </c>
      <c r="H54" s="2" t="inlineStr">
        <is>
          <t>https://www.zotal.co.il</t>
        </is>
      </c>
      <c r="I54" s="2" t="inlineStr"/>
      <c r="J54" s="2" t="inlineStr"/>
      <c r="K54" s="2" t="inlineStr"/>
      <c r="L54" s="2" t="inlineStr"/>
      <c r="M54" s="2" t="inlineStr">
        <is>
          <t>https://nanoporetech.com/about/channel-partners</t>
        </is>
      </c>
    </row>
    <row r="55">
      <c r="A55" s="2" t="n">
        <v>29</v>
      </c>
      <c r="B55" s="2" t="inlineStr">
        <is>
          <t>Pacific Biosciences</t>
        </is>
      </c>
      <c r="C55" s="2" t="inlineStr">
        <is>
          <t>none_found</t>
        </is>
      </c>
      <c r="D55" s="2" t="inlineStr">
        <is>
          <t>—</t>
        </is>
      </c>
      <c r="E55" s="2" t="inlineStr"/>
      <c r="F55" s="2" t="inlineStr"/>
      <c r="G55" s="2" t="inlineStr"/>
      <c r="H55" s="2" t="inlineStr"/>
      <c r="I55" s="2" t="inlineStr"/>
      <c r="J55" s="2" t="inlineStr"/>
      <c r="K55" s="2" t="inlineStr"/>
      <c r="L55" s="2" t="inlineStr"/>
      <c r="M55" s="2" t="inlineStr"/>
    </row>
    <row r="56">
      <c r="A56" s="2" t="n">
        <v>30</v>
      </c>
      <c r="B56" s="2" t="inlineStr">
        <is>
          <t>Tecan Group</t>
        </is>
      </c>
      <c r="C56" s="2" t="inlineStr">
        <is>
          <t>distributor</t>
        </is>
      </c>
      <c r="D56" s="2" t="inlineStr">
        <is>
          <t>Gamidor Diagnostics (1984) Ltd.</t>
        </is>
      </c>
      <c r="E56" s="2" t="inlineStr">
        <is>
          <t>גמידור דיאגנוסטיקה</t>
        </is>
      </c>
      <c r="F56" s="2" t="inlineStr">
        <is>
          <t>מפיץ</t>
        </is>
      </c>
      <c r="G56" s="2" t="inlineStr">
        <is>
          <t>Tecan diagnostics / LC-MS sample-prep kits (2025 LinkedIn evidence); the life-science liquid-handling channel is not established</t>
        </is>
      </c>
      <c r="H56" s="2" t="inlineStr">
        <is>
          <t>https://www.gamidor.co.il</t>
        </is>
      </c>
      <c r="I56" s="2" t="inlineStr"/>
      <c r="J56" s="2" t="inlineStr"/>
      <c r="K56" s="2" t="inlineStr"/>
      <c r="L56" s="2" t="inlineStr"/>
      <c r="M56" s="2" t="inlineStr"/>
    </row>
    <row r="57">
      <c r="A57" s="2" t="n">
        <v>31</v>
      </c>
      <c r="B57" s="2" t="inlineStr">
        <is>
          <t>Hamilton Company</t>
        </is>
      </c>
      <c r="C57" s="2" t="inlineStr">
        <is>
          <t>distributor</t>
        </is>
      </c>
      <c r="D57" s="2" t="inlineStr">
        <is>
          <t>Danyel Biotech Ltd. (Gamida for Life group)</t>
        </is>
      </c>
      <c r="E57" s="2" t="inlineStr">
        <is>
          <t>דניאל ביוטק</t>
        </is>
      </c>
      <c r="F57" s="2" t="inlineStr">
        <is>
          <t>מפיץ</t>
        </is>
      </c>
      <c r="G57" s="2" t="inlineStr">
        <is>
          <t>Hamilton (liquid-handling robotics) listed among the brands on Danyel Biotech's site – scope to confirm</t>
        </is>
      </c>
      <c r="H57" s="2" t="inlineStr">
        <is>
          <t>https://www.danyel.co.il</t>
        </is>
      </c>
      <c r="I57" s="2" t="inlineStr"/>
      <c r="J57" s="2" t="inlineStr"/>
      <c r="K57" s="2" t="inlineStr"/>
      <c r="L57" s="2" t="inlineStr"/>
      <c r="M57" s="2" t="inlineStr">
        <is>
          <t>https://www.danyel.co.il/</t>
        </is>
      </c>
    </row>
    <row r="58">
      <c r="A58" s="2" t="n">
        <v>32</v>
      </c>
      <c r="B58" s="2" t="inlineStr">
        <is>
          <t>Cytek Biosciences</t>
        </is>
      </c>
      <c r="C58" s="2" t="inlineStr">
        <is>
          <t>distributor</t>
        </is>
      </c>
      <c r="D58" s="2" t="inlineStr">
        <is>
          <t>Almog Diagnostic and Medical Equipment Ltd.</t>
        </is>
      </c>
      <c r="E58" s="2" t="inlineStr">
        <is>
          <t>אלמוג דיאגנוסטיקה</t>
        </is>
      </c>
      <c r="F58" s="2" t="inlineStr">
        <is>
          <t>מפיץ</t>
        </is>
      </c>
      <c r="G58" s="2" t="inlineStr">
        <is>
          <t>Cytek Aurora / Aurora CS spectral flow cytometers (2022 press release; installs at TAU, Technion)</t>
        </is>
      </c>
      <c r="H58" s="2" t="inlineStr">
        <is>
          <t>https://www.almog.co.il</t>
        </is>
      </c>
      <c r="I58" s="2" t="inlineStr"/>
      <c r="J58" s="2" t="inlineStr"/>
      <c r="K58" s="2" t="inlineStr"/>
      <c r="L58" s="2" t="inlineStr"/>
      <c r="M58" s="2" t="inlineStr">
        <is>
          <t>https://www.businesswire.com/news/home/20220614005394/en/</t>
        </is>
      </c>
    </row>
    <row r="59">
      <c r="A59" s="2" t="n">
        <v>33</v>
      </c>
      <c r="B59" s="2" t="inlineStr">
        <is>
          <t>Carl Zeiss AG – Research Microscopy Solutions</t>
        </is>
      </c>
      <c r="C59" s="2" t="inlineStr">
        <is>
          <t>distributor</t>
        </is>
      </c>
      <c r="D59" s="2" t="inlineStr">
        <is>
          <t>ZEISS Israel / Carl Zeiss SMS Ltd.</t>
        </is>
      </c>
      <c r="E59" s="2" t="inlineStr"/>
      <c r="F59" s="2" t="inlineStr">
        <is>
          <t>חברה-בת</t>
        </is>
      </c>
      <c r="G59" s="2" t="inlineStr">
        <is>
          <t>Legal entity (publisher) behind the official ZEISS Israel website zeiss.co.il; HaDolev 3, Bar Lev Industrial Park, D.N. Misgav 2015600. The site's contact form lists 'Research Microscopy Solutions' among the product areas it takes inquiries for, but the entity itself is ZEISS's semiconductor (SMS/SMT) unit; a local ZEISS microscopy sales/service team was NOT confirmed.</t>
        </is>
      </c>
      <c r="H59" s="2" t="inlineStr">
        <is>
          <t>https://www.zeiss.co.il</t>
        </is>
      </c>
      <c r="I59" s="2" t="inlineStr"/>
      <c r="J59" s="2" t="inlineStr"/>
      <c r="K59" s="2" t="inlineStr"/>
      <c r="L59" s="2" t="inlineStr"/>
      <c r="M59" s="2" t="inlineStr">
        <is>
          <t>https://www.zeiss.co.il/corporate/legal-information/publisher.html</t>
        </is>
      </c>
    </row>
    <row r="60">
      <c r="A60" s="2" t="n">
        <v>33</v>
      </c>
      <c r="B60" s="2" t="inlineStr">
        <is>
          <t>Carl Zeiss AG – Research Microscopy Solutions</t>
        </is>
      </c>
      <c r="C60" s="2" t="inlineStr">
        <is>
          <t>distributor</t>
        </is>
      </c>
      <c r="D60" s="2" t="inlineStr">
        <is>
          <t>Getter Group (Getter Bio-Med)</t>
        </is>
      </c>
      <c r="E60" s="2" t="inlineStr">
        <is>
          <t>קבוצת גטר</t>
        </is>
      </c>
      <c r="F60" s="2" t="inlineStr">
        <is>
          <t>מפיץ</t>
        </is>
      </c>
      <c r="G60" s="2" t="inlineStr">
        <is>
          <t>Zeiss – Getter Group states it exclusively represents Zeiss; scope (medical/surgical vs. research microscopy) to confirm</t>
        </is>
      </c>
      <c r="H60" s="2" t="inlineStr">
        <is>
          <t>https://www.getter.co.il</t>
        </is>
      </c>
      <c r="I60" s="2" t="inlineStr"/>
      <c r="J60" s="2" t="inlineStr"/>
      <c r="K60" s="2" t="inlineStr"/>
      <c r="L60" s="2" t="inlineStr"/>
      <c r="M60" s="2" t="inlineStr">
        <is>
          <t>https://www.getter.co.il/about-en/</t>
        </is>
      </c>
    </row>
    <row r="61">
      <c r="A61" s="2" t="n">
        <v>34</v>
      </c>
      <c r="B61" s="2" t="inlineStr">
        <is>
          <t>Evident (ex-Olympus Scientific Solutions)</t>
        </is>
      </c>
      <c r="C61" s="2" t="inlineStr">
        <is>
          <t>distributor</t>
        </is>
      </c>
      <c r="D61" s="2" t="inlineStr">
        <is>
          <t>Eisenberg Bros. Ltd.</t>
        </is>
      </c>
      <c r="E61" s="2" t="inlineStr"/>
      <c r="F61" s="2" t="inlineStr">
        <is>
          <t>מפיץ</t>
        </is>
      </c>
      <c r="G61" s="2" t="inlineStr">
        <is>
          <t>Evident (ex-Olympus) microscopes: its 'Microscopy &amp; Imaging' catalogue lists Evident industrial/materials lines (BX53M, GX53, LEXT OLS, DSX, MX63/MX63L, SZ/SZX stereo) and OEM microscope components tagged EVIDENT (OLYMPUS); life-science confocal (FLUOVIEW FV4000/FV5000) demo events promoted by an Eisenberg applications specialist on LinkedIn. Olympus microscopes already listed in its 2009 IPS trade-fair profile.</t>
        </is>
      </c>
      <c r="H61" s="2" t="inlineStr">
        <is>
          <t>https://eisenbros.co.il</t>
        </is>
      </c>
      <c r="I61" s="2" t="inlineStr"/>
      <c r="J61" s="2" t="inlineStr"/>
      <c r="K61" s="2" t="inlineStr"/>
      <c r="L61" s="2" t="inlineStr"/>
      <c r="M61" s="2" t="inlineStr">
        <is>
          <t>https://eisenbros.co.il/product-category/microscopy-imaging/</t>
        </is>
      </c>
    </row>
    <row r="62">
      <c r="A62" s="2" t="n">
        <v>34</v>
      </c>
      <c r="B62" s="2" t="inlineStr">
        <is>
          <t>Evident (ex-Olympus Scientific Solutions)</t>
        </is>
      </c>
      <c r="C62" s="2" t="inlineStr">
        <is>
          <t>distributor</t>
        </is>
      </c>
      <c r="D62" s="2" t="inlineStr">
        <is>
          <t>Getter Group (Getter Bio-Med)</t>
        </is>
      </c>
      <c r="E62" s="2" t="inlineStr">
        <is>
          <t>קבוצת גטר</t>
        </is>
      </c>
      <c r="F62" s="2" t="inlineStr">
        <is>
          <t>מפיץ</t>
        </is>
      </c>
      <c r="G62" s="2" t="inlineStr">
        <is>
          <t>Olympus (now Evident) – Getter Group states it exclusively represents Olympus; scope (microscopy vs. medical endoscopy) to confirm</t>
        </is>
      </c>
      <c r="H62" s="2" t="inlineStr">
        <is>
          <t>https://www.getter.co.il</t>
        </is>
      </c>
      <c r="I62" s="2" t="inlineStr"/>
      <c r="J62" s="2" t="inlineStr"/>
      <c r="K62" s="2" t="inlineStr"/>
      <c r="L62" s="2" t="inlineStr"/>
      <c r="M62" s="2" t="inlineStr">
        <is>
          <t>https://www.getter.co.il/about-en/</t>
        </is>
      </c>
    </row>
    <row r="63">
      <c r="A63" s="2" t="n">
        <v>35</v>
      </c>
      <c r="B63" s="2" t="inlineStr">
        <is>
          <t>Nikon – Healthcare Business (Nikon Instruments)</t>
        </is>
      </c>
      <c r="C63" s="2" t="inlineStr">
        <is>
          <t>distributor</t>
        </is>
      </c>
      <c r="D63" s="2" t="inlineStr">
        <is>
          <t>Agentek Ltd.</t>
        </is>
      </c>
      <c r="E63" s="2" t="inlineStr">
        <is>
          <t>אגנטק</t>
        </is>
      </c>
      <c r="F63" s="2" t="inlineStr">
        <is>
          <t>מפיץ</t>
        </is>
      </c>
      <c r="G63" s="2" t="inlineStr">
        <is>
          <t>Nikon research microscopes (AX/AXR confocal, AXR MP multiphoton, ECLIPSE Ji, CFI60 objectives); listed as Nikon's Israel contact in Nikon Healthcare's microscope contact directory (Atidim Scientific Park Bldg 2, Tel Aviv, +972-3-649-3111, sales1@agentek.co.il) and has a Nikon 'representative' page on its own site.</t>
        </is>
      </c>
      <c r="H63" s="2" t="inlineStr">
        <is>
          <t>https://agentek.co.il</t>
        </is>
      </c>
      <c r="I63" s="2" t="inlineStr"/>
      <c r="J63" s="2" t="inlineStr"/>
      <c r="K63" s="2" t="inlineStr"/>
      <c r="L63" s="2" t="inlineStr"/>
      <c r="M63" s="2" t="inlineStr">
        <is>
          <t>https://www.microscope.healthcare.nikon.com/pt_EU/Contact</t>
        </is>
      </c>
    </row>
    <row r="64">
      <c r="A64" s="2" t="n">
        <v>36</v>
      </c>
      <c r="B64" s="2" t="inlineStr">
        <is>
          <t>JEOL</t>
        </is>
      </c>
      <c r="C64" s="2" t="inlineStr">
        <is>
          <t>distributor</t>
        </is>
      </c>
      <c r="D64" s="2" t="inlineStr">
        <is>
          <t>Bargal Analytical Instruments Ltd.</t>
        </is>
      </c>
      <c r="E64" s="2" t="inlineStr">
        <is>
          <t>ברגל ציוד אנליטי</t>
        </is>
      </c>
      <c r="F64" s="2" t="inlineStr">
        <is>
          <t>מפיץ</t>
        </is>
      </c>
      <c r="G64" s="2" t="inlineStr">
        <is>
          <t>JEOL electron microscopes (SEM: JSM-IT200/IT510/IT710HR, benchtop JCM-7000; TEM: JEM-F200, JEM-1400Flash; cryo-EM: CRYO ARM 300/300 II) - sales and service; listed on jeol.com as the Israel office (Shaked St 10, Shoham, +972-3-9796-533; JEOL UK as alternate contact). NMR/MS lines not confirmed.</t>
        </is>
      </c>
      <c r="H64" s="2" t="inlineStr">
        <is>
          <t>https://bargal.co.il</t>
        </is>
      </c>
      <c r="I64" s="2" t="inlineStr"/>
      <c r="J64" s="2" t="inlineStr"/>
      <c r="K64" s="2" t="inlineStr"/>
      <c r="L64" s="2" t="inlineStr"/>
      <c r="M64" s="2" t="inlineStr">
        <is>
          <t>https://www.jeol.com/service_support/</t>
        </is>
      </c>
    </row>
    <row r="65">
      <c r="A65" s="2" t="n">
        <v>37</v>
      </c>
      <c r="B65" s="2" t="inlineStr">
        <is>
          <t>Hitachi High-Tech</t>
        </is>
      </c>
      <c r="C65" s="2" t="inlineStr">
        <is>
          <t>unclear</t>
        </is>
      </c>
      <c r="D65" s="2" t="inlineStr">
        <is>
          <t>Hitachi High-Tech Israel, Ltd.</t>
        </is>
      </c>
      <c r="E65" s="2" t="inlineStr">
        <is>
          <t>היטאצ'י היי-טק ישראל בע"מ</t>
        </is>
      </c>
      <c r="F65" s="2" t="inlineStr">
        <is>
          <t>חברה-בת</t>
        </is>
      </c>
      <c r="G65" s="2" t="inlineStr">
        <is>
          <t>Maintenance/service of semiconductor manufacturing and inspection equipment (Kiryat Gat office, P.O. Box 1000, MS: Hitachi LC2-3S, +972-8-666-6342); formerly H.H.T.A. Semiconductor Equipment Israel Ltd., renamed April 2020; 100% owned by Hitachi High-Tech. NOT confirmed as a sales channel for SEM/TEM/analytical instruments.</t>
        </is>
      </c>
      <c r="H65" s="2" t="inlineStr">
        <is>
          <t>https://hitachi-hightech.com/global/network/israel.html</t>
        </is>
      </c>
      <c r="I65" s="2" t="inlineStr"/>
      <c r="J65" s="2" t="inlineStr"/>
      <c r="K65" s="2" t="inlineStr"/>
      <c r="L65" s="2" t="inlineStr"/>
      <c r="M65" s="2" t="inlineStr">
        <is>
          <t>https://www.hitachi-hightech.com/global/network/israel.html</t>
        </is>
      </c>
    </row>
    <row r="66">
      <c r="A66" s="2" t="n">
        <v>38</v>
      </c>
      <c r="B66" s="2" t="inlineStr">
        <is>
          <t>TESCAN</t>
        </is>
      </c>
      <c r="C66" s="2" t="inlineStr">
        <is>
          <t>distributor</t>
        </is>
      </c>
      <c r="D66" s="2" t="inlineStr">
        <is>
          <t>PicoTech Ltd.</t>
        </is>
      </c>
      <c r="E66" s="2" t="inlineStr"/>
      <c r="F66" s="2" t="inlineStr">
        <is>
          <t>מפיץ</t>
        </is>
      </c>
      <c r="G66" s="2" t="inlineStr">
        <is>
          <t>TESCAN SEM / FIB-SEM sales and after-sales support (PicoTech SEM division); Ha-Mefalsim St 17, Petah Tikva, +972-3-6356650, contact Nitzan Cafif per TESCAN's distributor page.</t>
        </is>
      </c>
      <c r="H66" s="2" t="inlineStr"/>
      <c r="I66" s="2" t="inlineStr"/>
      <c r="J66" s="2" t="inlineStr"/>
      <c r="K66" s="2" t="inlineStr"/>
      <c r="L66" s="2" t="inlineStr"/>
      <c r="M66" s="2" t="inlineStr">
        <is>
          <t>https://tescan.com/distributors/picotech-ltd</t>
        </is>
      </c>
    </row>
    <row r="67">
      <c r="A67" s="2" t="n">
        <v>39</v>
      </c>
      <c r="B67" s="2" t="inlineStr">
        <is>
          <t>Rigaku Holdings</t>
        </is>
      </c>
      <c r="C67" s="2" t="inlineStr">
        <is>
          <t>distributor</t>
        </is>
      </c>
      <c r="D67" s="2" t="inlineStr">
        <is>
          <t>Rigaku Semiconductor Instruments Ltd. (formerly XwinSys Technology Development Ltd.)</t>
        </is>
      </c>
      <c r="E67" s="2" t="inlineStr"/>
      <c r="F67" s="2" t="inlineStr">
        <is>
          <t>חברה-בת</t>
        </is>
      </c>
      <c r="G67" s="2" t="inlineStr">
        <is>
          <t>Rigaku Group company doing R&amp;D and manufacturing of X-ray semiconductor metrology tools (Ramat Gabriel Industrial Zone, 6 HaMehkar St, Migdal HaEmek; rsi@rigaku.com, +972-4-9951051); joined Rigaku 2019, renamed Dec 2024. Not a sales channel for analytical XRD/XRF.</t>
        </is>
      </c>
      <c r="H67" s="2" t="inlineStr">
        <is>
          <t>https://rigaku.com/about/rigaku-divisions/rigaku-semiconductor-instruments-ltd</t>
        </is>
      </c>
      <c r="I67" s="2" t="inlineStr"/>
      <c r="J67" s="2" t="inlineStr"/>
      <c r="K67" s="2" t="inlineStr"/>
      <c r="L67" s="2" t="inlineStr"/>
      <c r="M67" s="2" t="inlineStr">
        <is>
          <t>https://rigaku.com/about/rigaku-divisions/rigaku-semiconductor-instruments-ltd</t>
        </is>
      </c>
    </row>
    <row r="68">
      <c r="A68" s="2" t="n">
        <v>39</v>
      </c>
      <c r="B68" s="2" t="inlineStr">
        <is>
          <t>Rigaku Holdings</t>
        </is>
      </c>
      <c r="C68" s="2" t="inlineStr">
        <is>
          <t>distributor</t>
        </is>
      </c>
      <c r="D68" s="2" t="inlineStr">
        <is>
          <t>Yarden Biotec</t>
        </is>
      </c>
      <c r="E68" s="2" t="inlineStr"/>
      <c r="F68" s="2" t="inlineStr">
        <is>
          <t>מפיץ</t>
        </is>
      </c>
      <c r="G68" s="2" t="inlineStr">
        <is>
          <t>Rigaku ED-XRF analysers (e.g. NEX DE VS); XRD channel not confirmed</t>
        </is>
      </c>
      <c r="H68" s="2" t="inlineStr">
        <is>
          <t>https://www.yarden-biotec.co.il</t>
        </is>
      </c>
      <c r="I68" s="2" t="inlineStr"/>
      <c r="J68" s="2" t="inlineStr"/>
      <c r="K68" s="2" t="inlineStr"/>
      <c r="L68" s="2" t="inlineStr"/>
      <c r="M68" s="2" t="inlineStr">
        <is>
          <t>https://www.yarden-biotec.co.il/lab-products/xrf-analyzers</t>
        </is>
      </c>
    </row>
    <row r="69">
      <c r="A69" s="2" t="n">
        <v>40</v>
      </c>
      <c r="B69" s="2" t="inlineStr">
        <is>
          <t>HORIBA</t>
        </is>
      </c>
      <c r="C69" s="2" t="inlineStr">
        <is>
          <t>distributor</t>
        </is>
      </c>
      <c r="D69" s="2" t="inlineStr">
        <is>
          <t>Agrolan Ltd.</t>
        </is>
      </c>
      <c r="E69" s="2" t="inlineStr"/>
      <c r="F69" s="2" t="inlineStr">
        <is>
          <t>מפיץ</t>
        </is>
      </c>
      <c r="G69" s="2" t="inlineStr">
        <is>
          <t>HORIBA water-quality / LAQUA electrochemistry instruments only (Moshav Nov 45, Ramat HaGolan); listed on HORIBA's water-quality distributor page for Israel and marked 'water quality' on HORIBA's worldwide-locations page.</t>
        </is>
      </c>
      <c r="H69" s="2" t="inlineStr"/>
      <c r="I69" s="2" t="inlineStr"/>
      <c r="J69" s="2" t="inlineStr"/>
      <c r="K69" s="2" t="inlineStr"/>
      <c r="L69" s="2" t="inlineStr"/>
      <c r="M69" s="2" t="inlineStr">
        <is>
          <t>https://www.horiba.com/int/water-quality/contact/distributors/</t>
        </is>
      </c>
    </row>
    <row r="70">
      <c r="A70" s="2" t="n">
        <v>40</v>
      </c>
      <c r="B70" s="2" t="inlineStr">
        <is>
          <t>HORIBA</t>
        </is>
      </c>
      <c r="C70" s="2" t="inlineStr">
        <is>
          <t>distributor</t>
        </is>
      </c>
      <c r="D70" s="2" t="inlineStr">
        <is>
          <t>New-Road Agencies Ltd.</t>
        </is>
      </c>
      <c r="E70" s="2" t="inlineStr"/>
      <c r="F70" s="2" t="inlineStr">
        <is>
          <t>מפיץ</t>
        </is>
      </c>
      <c r="G70" s="2" t="inlineStr">
        <is>
          <t>HORIBA Scientific instruments (marked 'scientific' on HORIBA's worldwide-locations page; Rosh Ha'Ayin) - exact product lines (Raman, particle size, fluorescence, elemental) not itemised; own website not found.</t>
        </is>
      </c>
      <c r="H70" s="2" t="inlineStr"/>
      <c r="I70" s="2" t="inlineStr"/>
      <c r="J70" s="2" t="inlineStr"/>
      <c r="K70" s="2" t="inlineStr"/>
      <c r="L70" s="2" t="inlineStr"/>
      <c r="M70" s="2" t="inlineStr">
        <is>
          <t>https://www.horiba.com/int/contact/worldwide-locations/</t>
        </is>
      </c>
    </row>
    <row r="71">
      <c r="A71" s="2" t="n">
        <v>41</v>
      </c>
      <c r="B71" s="2" t="inlineStr">
        <is>
          <t>Malvern Panalytical (Spectris)</t>
        </is>
      </c>
      <c r="C71" s="2" t="inlineStr">
        <is>
          <t>distributor</t>
        </is>
      </c>
      <c r="D71" s="2" t="inlineStr">
        <is>
          <t>Dr. Uri Golik Chemical Instrumentation</t>
        </is>
      </c>
      <c r="E71" s="2" t="inlineStr">
        <is>
          <t>ד"ר גוליק</t>
        </is>
      </c>
      <c r="F71" s="2" t="inlineStr">
        <is>
          <t>מפיץ</t>
        </is>
      </c>
      <c r="G71" s="2" t="inlineStr">
        <is>
          <t>Malvern Panalytical particle/materials characterization (Zetasizer, Mastersizer 3000+, NanoSight, Morphologi 4, Archimedes, MicroCal); XRD line not seen on its pages</t>
        </is>
      </c>
      <c r="H71" s="2" t="inlineStr">
        <is>
          <t>https://www.golik.co.il</t>
        </is>
      </c>
      <c r="I71" s="2" t="inlineStr"/>
      <c r="J71" s="2" t="inlineStr"/>
      <c r="K71" s="2" t="inlineStr"/>
      <c r="L71" s="2" t="inlineStr"/>
      <c r="M71" s="2" t="inlineStr">
        <is>
          <t>https://www.golik.co.il/manufacturers/malvern-panalytical</t>
        </is>
      </c>
    </row>
    <row r="72">
      <c r="A72" s="2" t="n">
        <v>42</v>
      </c>
      <c r="B72" s="2" t="inlineStr">
        <is>
          <t>Oxford Instruments</t>
        </is>
      </c>
      <c r="C72" s="2" t="inlineStr">
        <is>
          <t>none_found</t>
        </is>
      </c>
      <c r="D72" s="2" t="inlineStr">
        <is>
          <t>—</t>
        </is>
      </c>
      <c r="E72" s="2" t="inlineStr"/>
      <c r="F72" s="2" t="inlineStr"/>
      <c r="G72" s="2" t="inlineStr"/>
      <c r="H72" s="2" t="inlineStr"/>
      <c r="I72" s="2" t="inlineStr"/>
      <c r="J72" s="2" t="inlineStr"/>
      <c r="K72" s="2" t="inlineStr"/>
      <c r="L72" s="2" t="inlineStr"/>
      <c r="M72" s="2" t="inlineStr"/>
    </row>
    <row r="73">
      <c r="A73" s="2" t="n">
        <v>43</v>
      </c>
      <c r="B73" s="2" t="inlineStr">
        <is>
          <t>Anton Paar</t>
        </is>
      </c>
      <c r="C73" s="2" t="inlineStr">
        <is>
          <t>distributor</t>
        </is>
      </c>
      <c r="D73" s="2" t="inlineStr">
        <is>
          <t>Prime Lab Scientific Instruments Ltd.</t>
        </is>
      </c>
      <c r="E73" s="2" t="inlineStr">
        <is>
          <t>פריים לאב</t>
        </is>
      </c>
      <c r="F73" s="2" t="inlineStr">
        <is>
          <t>מפיץ</t>
        </is>
      </c>
      <c r="G73" s="2" t="inlineStr">
        <is>
          <t>Anton Paar instruments (density meters, rheometers, viscometers, SAXS); import, installation, IQ/OQ/PQ, calibration and after-sales service per distributor site</t>
        </is>
      </c>
      <c r="H73" s="2" t="inlineStr">
        <is>
          <t>https://primelab.co.il</t>
        </is>
      </c>
      <c r="I73" s="2" t="inlineStr"/>
      <c r="J73" s="2" t="inlineStr"/>
      <c r="K73" s="2" t="inlineStr"/>
      <c r="L73" s="2" t="inlineStr"/>
      <c r="M73" s="2" t="inlineStr">
        <is>
          <t>https://primelab.co.il/about-us/</t>
        </is>
      </c>
    </row>
    <row r="74">
      <c r="A74" s="2" t="n">
        <v>44</v>
      </c>
      <c r="B74" s="2" t="inlineStr">
        <is>
          <t>Metrohm</t>
        </is>
      </c>
      <c r="C74" s="2" t="inlineStr">
        <is>
          <t>distributor</t>
        </is>
      </c>
      <c r="D74" s="2" t="inlineStr">
        <is>
          <t>Israel Scientific Instruments Ltd. (ISI)</t>
        </is>
      </c>
      <c r="E74" s="2" t="inlineStr">
        <is>
          <t>ISI – ישראל מכשור מדעי</t>
        </is>
      </c>
      <c r="F74" s="2" t="inlineStr">
        <is>
          <t>מפיץ</t>
        </is>
      </c>
      <c r="G74" s="2" t="inlineStr">
        <is>
          <t>official distributor of all Metrohm products and services in Israel from 17 July 2025 (Metrohm news page)</t>
        </is>
      </c>
      <c r="H74" s="2" t="inlineStr"/>
      <c r="I74" s="2" t="inlineStr"/>
      <c r="J74" s="2" t="inlineStr"/>
      <c r="K74" s="2" t="inlineStr"/>
      <c r="L74" s="2" t="inlineStr"/>
      <c r="M74" s="2" t="inlineStr">
        <is>
          <t>https://www.metrohm.com/en/company/news.html</t>
        </is>
      </c>
    </row>
    <row r="75">
      <c r="A75" s="2" t="n">
        <v>45</v>
      </c>
      <c r="B75" s="2" t="inlineStr">
        <is>
          <t>LECO Corporation</t>
        </is>
      </c>
      <c r="C75" s="2" t="inlineStr">
        <is>
          <t>distributor</t>
        </is>
      </c>
      <c r="D75" s="2" t="inlineStr">
        <is>
          <t>Agentek (1987) Ltd.</t>
        </is>
      </c>
      <c r="E75" s="2" t="inlineStr">
        <is>
          <t>אגנטק</t>
        </is>
      </c>
      <c r="F75" s="2" t="inlineStr">
        <is>
          <t>מפיץ</t>
        </is>
      </c>
      <c r="G75" s="2" t="inlineStr">
        <is>
          <t>LECO analytical instruments, mass spectrometers and metallography (Agentek LECO representative page)</t>
        </is>
      </c>
      <c r="H75" s="2" t="inlineStr">
        <is>
          <t>https://agentek.co.il</t>
        </is>
      </c>
      <c r="I75" s="2" t="inlineStr"/>
      <c r="J75" s="2" t="inlineStr"/>
      <c r="K75" s="2" t="inlineStr"/>
      <c r="L75" s="2" t="inlineStr"/>
      <c r="M75" s="2" t="inlineStr">
        <is>
          <t>https://agentek.co.il/representative/leco/</t>
        </is>
      </c>
    </row>
    <row r="76">
      <c r="A76" s="2" t="n">
        <v>46</v>
      </c>
      <c r="B76" s="2" t="inlineStr">
        <is>
          <t>JASCO Corporation</t>
        </is>
      </c>
      <c r="C76" s="2" t="inlineStr">
        <is>
          <t>distributor</t>
        </is>
      </c>
      <c r="D76" s="2" t="inlineStr">
        <is>
          <t>Ophir Analytical Ltd.</t>
        </is>
      </c>
      <c r="E76" s="2" t="inlineStr"/>
      <c r="F76" s="2" t="inlineStr">
        <is>
          <t>מפיץ</t>
        </is>
      </c>
      <c r="G76" s="2" t="inlineStr">
        <is>
          <t>JASCO spectroscopy and chromatography products (listed as JASCO's distributor for Israel; Rosh Ha'ayin, +972 3-9022277, ophir-ana@bezeqint.net)</t>
        </is>
      </c>
      <c r="H76" s="2" t="inlineStr">
        <is>
          <t>http://www.ophiranalytical.com</t>
        </is>
      </c>
      <c r="I76" s="2" t="inlineStr"/>
      <c r="J76" s="2" t="inlineStr"/>
      <c r="K76" s="2" t="inlineStr"/>
      <c r="L76" s="2" t="inlineStr"/>
      <c r="M76" s="2" t="inlineStr">
        <is>
          <t>https://www.jascoeurope.com/where-to-buy/</t>
        </is>
      </c>
    </row>
    <row r="77">
      <c r="A77" s="2" t="n">
        <v>47</v>
      </c>
      <c r="B77" s="2" t="inlineStr">
        <is>
          <t>SPECTRO Analytical Instruments (AMETEK)</t>
        </is>
      </c>
      <c r="C77" s="2" t="inlineStr">
        <is>
          <t>unclear</t>
        </is>
      </c>
      <c r="D77" s="2" t="inlineStr">
        <is>
          <t>—</t>
        </is>
      </c>
      <c r="E77" s="2" t="inlineStr"/>
      <c r="F77" s="2" t="inlineStr"/>
      <c r="G77" s="2" t="inlineStr"/>
      <c r="H77" s="2" t="inlineStr"/>
      <c r="I77" s="2" t="inlineStr"/>
      <c r="J77" s="2" t="inlineStr"/>
      <c r="K77" s="2" t="inlineStr"/>
      <c r="L77" s="2" t="inlineStr"/>
      <c r="M77" s="2" t="inlineStr"/>
    </row>
    <row r="78">
      <c r="A78" s="2" t="n">
        <v>48</v>
      </c>
      <c r="B78" s="2" t="inlineStr">
        <is>
          <t>Analytik Jena (Endress+Hauser)</t>
        </is>
      </c>
      <c r="C78" s="2" t="inlineStr">
        <is>
          <t>distributor</t>
        </is>
      </c>
      <c r="D78" s="2" t="inlineStr">
        <is>
          <t>Lifegene</t>
        </is>
      </c>
      <c r="E78" s="2" t="inlineStr"/>
      <c r="F78" s="2" t="inlineStr">
        <is>
          <t>מפיץ</t>
        </is>
      </c>
      <c r="G78" s="2" t="inlineStr">
        <is>
          <t>Biometra thermal cyclers (TOne, TAdvanced) and PCR instrumentation</t>
        </is>
      </c>
      <c r="H78" s="2" t="inlineStr">
        <is>
          <t>https://www.lifegene.co.il</t>
        </is>
      </c>
      <c r="I78" s="2" t="inlineStr"/>
      <c r="J78" s="2" t="inlineStr"/>
      <c r="K78" s="2" t="inlineStr"/>
      <c r="L78" s="2" t="inlineStr"/>
      <c r="M78" s="2" t="inlineStr">
        <is>
          <t>https://www.lifegene.co.il/biometra_tone_pcr</t>
        </is>
      </c>
    </row>
    <row r="79">
      <c r="A79" s="2" t="n">
        <v>48</v>
      </c>
      <c r="B79" s="2" t="inlineStr">
        <is>
          <t>Analytik Jena (Endress+Hauser)</t>
        </is>
      </c>
      <c r="C79" s="2" t="inlineStr">
        <is>
          <t>distributor</t>
        </is>
      </c>
      <c r="D79" s="2" t="inlineStr">
        <is>
          <t>Tamar Laboratory Supplies</t>
        </is>
      </c>
      <c r="E79" s="2" t="inlineStr"/>
      <c r="F79" s="2" t="inlineStr">
        <is>
          <t>מפיץ</t>
        </is>
      </c>
      <c r="G79" s="2" t="inlineStr">
        <is>
          <t>qTOWER³ real-time PCR thermal cycler</t>
        </is>
      </c>
      <c r="H79" s="2" t="inlineStr">
        <is>
          <t>http://www.tamar.co.il</t>
        </is>
      </c>
      <c r="I79" s="2" t="inlineStr"/>
      <c r="J79" s="2" t="inlineStr"/>
      <c r="K79" s="2" t="inlineStr"/>
      <c r="L79" s="2" t="inlineStr"/>
      <c r="M79" s="2" t="inlineStr">
        <is>
          <t>http://www.tamar.co.il/qtower%C2%B3/</t>
        </is>
      </c>
    </row>
    <row r="80">
      <c r="A80" s="2" t="n">
        <v>48</v>
      </c>
      <c r="B80" s="2" t="inlineStr">
        <is>
          <t>Analytik Jena (Endress+Hauser)</t>
        </is>
      </c>
      <c r="C80" s="2" t="inlineStr">
        <is>
          <t>distributor</t>
        </is>
      </c>
      <c r="D80" s="2" t="inlineStr">
        <is>
          <t>Lumitron</t>
        </is>
      </c>
      <c r="E80" s="2" t="inlineStr">
        <is>
          <t>לומיטרון</t>
        </is>
      </c>
      <c r="F80" s="2" t="inlineStr">
        <is>
          <t>מפיץ</t>
        </is>
      </c>
      <c r="G80" s="2" t="inlineStr">
        <is>
          <t>UVP bio-imaging systems (UVP, a part of Analytik Jena)</t>
        </is>
      </c>
      <c r="H80" s="2" t="inlineStr">
        <is>
          <t>https://www.lumitron.co.il</t>
        </is>
      </c>
      <c r="I80" s="2" t="inlineStr"/>
      <c r="J80" s="2" t="inlineStr"/>
      <c r="K80" s="2" t="inlineStr"/>
      <c r="L80" s="2" t="inlineStr"/>
      <c r="M80" s="2" t="inlineStr">
        <is>
          <t>https://www.lumitron.co.il/about-us/</t>
        </is>
      </c>
    </row>
    <row r="81">
      <c r="A81" s="2" t="n">
        <v>49</v>
      </c>
      <c r="B81" s="2" t="inlineStr">
        <is>
          <t>Elementar Analysensysteme</t>
        </is>
      </c>
      <c r="C81" s="2" t="inlineStr">
        <is>
          <t>distributor</t>
        </is>
      </c>
      <c r="D81" s="2" t="inlineStr">
        <is>
          <t>Spectro (Israel) Ltd.</t>
        </is>
      </c>
      <c r="E81" s="2" t="inlineStr"/>
      <c r="F81" s="2" t="inlineStr">
        <is>
          <t>מפיץ</t>
        </is>
      </c>
      <c r="G81" s="2" t="inlineStr">
        <is>
          <t>Elementar's listed distributor for Israel (10 Sacharov St., Rishon LeZion, +972 3 9693014, spectro@spectro.co.il)</t>
        </is>
      </c>
      <c r="H81" s="2" t="inlineStr">
        <is>
          <t>http://www.spectro.co.il</t>
        </is>
      </c>
      <c r="I81" s="2" t="inlineStr"/>
      <c r="J81" s="2" t="inlineStr"/>
      <c r="K81" s="2" t="inlineStr"/>
      <c r="L81" s="2" t="inlineStr"/>
      <c r="M81" s="2" t="inlineStr">
        <is>
          <t>https://www.elementar.com/en/contact/contact-worldwide</t>
        </is>
      </c>
    </row>
    <row r="82">
      <c r="A82" s="2" t="n">
        <v>50</v>
      </c>
      <c r="B82" s="2" t="inlineStr">
        <is>
          <t>NETZSCH Analyzing &amp; Testing</t>
        </is>
      </c>
      <c r="C82" s="2" t="inlineStr">
        <is>
          <t>distributor</t>
        </is>
      </c>
      <c r="D82" s="2" t="inlineStr">
        <is>
          <t>Medent Scientific Instruments</t>
        </is>
      </c>
      <c r="E82" s="2" t="inlineStr">
        <is>
          <t>מדנט מכשור מדעי</t>
        </is>
      </c>
      <c r="F82" s="2" t="inlineStr">
        <is>
          <t>מפיץ</t>
        </is>
      </c>
      <c r="G82" s="2" t="inlineStr">
        <is>
          <t>NETZSCH thermal analysis (DSC 204 F1 Phoenix, DSC 404 F1 Pegasus, DSC 3500 Sirius, STA 449 F5 Jupiter, STA 409 CD / QMS 403 coupling)</t>
        </is>
      </c>
      <c r="H82" s="2" t="inlineStr">
        <is>
          <t>https://www.medent.co.il</t>
        </is>
      </c>
      <c r="I82" s="2" t="inlineStr"/>
      <c r="J82" s="2" t="inlineStr"/>
      <c r="K82" s="2" t="inlineStr"/>
      <c r="L82" s="2" t="inlineStr"/>
      <c r="M82" s="2" t="inlineStr">
        <is>
          <t>https://www.medent.co.il/scientific.equipment/store/product/netzsch/</t>
        </is>
      </c>
    </row>
    <row r="83">
      <c r="A83" s="2" t="n">
        <v>51</v>
      </c>
      <c r="B83" s="2" t="inlineStr">
        <is>
          <t>Biotage</t>
        </is>
      </c>
      <c r="C83" s="2" t="inlineStr">
        <is>
          <t>distributor</t>
        </is>
      </c>
      <c r="D83" s="2" t="inlineStr">
        <is>
          <t>Bargal Analytical Instruments Ltd.</t>
        </is>
      </c>
      <c r="E83" s="2" t="inlineStr">
        <is>
          <t>ברגל</t>
        </is>
      </c>
      <c r="F83" s="2" t="inlineStr">
        <is>
          <t>מפיץ</t>
        </is>
      </c>
      <c r="G83" s="2" t="inlineStr">
        <is>
          <t>Biotage distributor for Israel (listed on Biotage's contact page)</t>
        </is>
      </c>
      <c r="H83" s="2" t="inlineStr">
        <is>
          <t>https://www.bargal.co.il</t>
        </is>
      </c>
      <c r="I83" s="2" t="inlineStr"/>
      <c r="J83" s="2" t="inlineStr"/>
      <c r="K83" s="2" t="inlineStr"/>
      <c r="L83" s="2" t="inlineStr"/>
      <c r="M83" s="2" t="inlineStr">
        <is>
          <t>https://www.biotage.com/contact</t>
        </is>
      </c>
    </row>
    <row r="84">
      <c r="A84" s="2" t="n">
        <v>52</v>
      </c>
      <c r="B84" s="2" t="inlineStr">
        <is>
          <t>Hach (Veralto)</t>
        </is>
      </c>
      <c r="C84" s="2" t="inlineStr">
        <is>
          <t>distributor</t>
        </is>
      </c>
      <c r="D84" s="2" t="inlineStr">
        <is>
          <t>Modotec Ltd.</t>
        </is>
      </c>
      <c r="E84" s="2" t="inlineStr"/>
      <c r="F84" s="2" t="inlineStr">
        <is>
          <t>מפיץ</t>
        </is>
      </c>
      <c r="G84" s="2" t="inlineStr">
        <is>
          <t>Hach Flow (flow-measurement) products only, per Hach Flow distributor page (Akko; modotec@modotec.co.il); page ~5 years old</t>
        </is>
      </c>
      <c r="H84" s="2" t="inlineStr">
        <is>
          <t>http://www.modotec.co.il</t>
        </is>
      </c>
      <c r="I84" s="2" t="inlineStr"/>
      <c r="J84" s="2" t="inlineStr"/>
      <c r="K84" s="2" t="inlineStr"/>
      <c r="L84" s="2" t="inlineStr"/>
      <c r="M84" s="2" t="inlineStr">
        <is>
          <t>https://nz.hach.com/flow</t>
        </is>
      </c>
    </row>
    <row r="85">
      <c r="A85" s="2" t="n">
        <v>53</v>
      </c>
      <c r="B85" s="2" t="inlineStr">
        <is>
          <t>Hanna Instruments</t>
        </is>
      </c>
      <c r="C85" s="2" t="inlineStr">
        <is>
          <t>distributor</t>
        </is>
      </c>
      <c r="D85" s="2" t="inlineStr">
        <is>
          <t>Medent Scientific Instruments</t>
        </is>
      </c>
      <c r="E85" s="2" t="inlineStr">
        <is>
          <t>מדנט מכשור מדעי</t>
        </is>
      </c>
      <c r="F85" s="2" t="inlineStr">
        <is>
          <t>מפיץ</t>
        </is>
      </c>
      <c r="G85" s="2" t="inlineStr">
        <is>
          <t>Hanna pH/EC/TDS meters, electrodes, photometers (extensive catalogue on own site, prices in ILS)</t>
        </is>
      </c>
      <c r="H85" s="2" t="inlineStr">
        <is>
          <t>https://www.medent.co.il</t>
        </is>
      </c>
      <c r="I85" s="2" t="inlineStr"/>
      <c r="J85" s="2" t="inlineStr"/>
      <c r="K85" s="2" t="inlineStr"/>
      <c r="L85" s="2" t="inlineStr"/>
      <c r="M85" s="2" t="inlineStr">
        <is>
          <t>https://www.medent.co.il/scientific.equipment/store/product-tag/hanna-instruments/</t>
        </is>
      </c>
    </row>
    <row r="86">
      <c r="A86" s="2" t="n">
        <v>53</v>
      </c>
      <c r="B86" s="2" t="inlineStr">
        <is>
          <t>Hanna Instruments</t>
        </is>
      </c>
      <c r="C86" s="2" t="inlineStr">
        <is>
          <t>distributor</t>
        </is>
      </c>
      <c r="D86" s="2" t="inlineStr">
        <is>
          <t>BioAnalytics</t>
        </is>
      </c>
      <c r="E86" s="2" t="inlineStr"/>
      <c r="F86" s="2" t="inlineStr">
        <is>
          <t>מפיץ</t>
        </is>
      </c>
      <c r="G86" s="2" t="inlineStr">
        <is>
          <t>Hanna pool/spa and food (bread/dough) pH testers</t>
        </is>
      </c>
      <c r="H86" s="2" t="inlineStr">
        <is>
          <t>https://www.bioanalytics.co.il</t>
        </is>
      </c>
      <c r="I86" s="2" t="inlineStr"/>
      <c r="J86" s="2" t="inlineStr"/>
      <c r="K86" s="2" t="inlineStr"/>
      <c r="L86" s="2" t="inlineStr"/>
      <c r="M86" s="2" t="inlineStr">
        <is>
          <t>https://www.bioanalytics.co.il/products/hannah-pool-line-ph-tester-according-to-6223-israeli-standard/</t>
        </is>
      </c>
    </row>
    <row r="87">
      <c r="A87" s="2" t="n">
        <v>53</v>
      </c>
      <c r="B87" s="2" t="inlineStr">
        <is>
          <t>Hanna Instruments</t>
        </is>
      </c>
      <c r="C87" s="2" t="inlineStr">
        <is>
          <t>distributor</t>
        </is>
      </c>
      <c r="D87" s="2" t="inlineStr">
        <is>
          <t>Cannadepot</t>
        </is>
      </c>
      <c r="E87" s="2" t="inlineStr"/>
      <c r="F87" s="2" t="inlineStr">
        <is>
          <t>מפיץ</t>
        </is>
      </c>
      <c r="G87" s="2" t="inlineStr">
        <is>
          <t>online retailer; Hanna portable pH/EC/TDS testers</t>
        </is>
      </c>
      <c r="H87" s="2" t="inlineStr">
        <is>
          <t>https://cannadepot.co.il</t>
        </is>
      </c>
      <c r="I87" s="2" t="inlineStr"/>
      <c r="J87" s="2" t="inlineStr"/>
      <c r="K87" s="2" t="inlineStr"/>
      <c r="L87" s="2" t="inlineStr"/>
      <c r="M87" s="2" t="inlineStr">
        <is>
          <t>https://cannadepot.co.il/product-category/%D7%9E%D7%93%D7%99%D7%93%D7%94-%D7%95%D7%91%D7%A7%D7%A8%D7%94/hanna-instruments-%D7%9E%D7%9B%D7%A9%D7%99%D7%A8%D7%99%D7%9D-%D7%94%D7%90%D7%A0%D7%94/</t>
        </is>
      </c>
    </row>
    <row r="88">
      <c r="A88" s="2" t="n">
        <v>54</v>
      </c>
      <c r="B88" s="2" t="inlineStr">
        <is>
          <t>VELP Scientifica</t>
        </is>
      </c>
      <c r="C88" s="2" t="inlineStr">
        <is>
          <t>distributor</t>
        </is>
      </c>
      <c r="D88" s="2" t="inlineStr">
        <is>
          <t>Labotal</t>
        </is>
      </c>
      <c r="E88" s="2" t="inlineStr">
        <is>
          <t>לבוטל</t>
        </is>
      </c>
      <c r="F88" s="2" t="inlineStr">
        <is>
          <t>מפיץ</t>
        </is>
      </c>
      <c r="G88" s="2" t="inlineStr">
        <is>
          <t>exclusive representative for VELP's analytical product line in Israel since 2024 (UDK Kjeldahl distillers, DKL digesters, NDA 702 Dumas N/protein analyser, fibre/fat extractors, oxidation testers)</t>
        </is>
      </c>
      <c r="H88" s="2" t="inlineStr">
        <is>
          <t>https://labotal.co.il</t>
        </is>
      </c>
      <c r="I88" s="2" t="inlineStr"/>
      <c r="J88" s="2" t="inlineStr"/>
      <c r="K88" s="2" t="inlineStr"/>
      <c r="L88" s="2" t="inlineStr"/>
      <c r="M88" s="2" t="inlineStr">
        <is>
          <t>https://labotal.co.il/firms/velp/?lang=en</t>
        </is>
      </c>
    </row>
    <row r="89">
      <c r="A89" s="2" t="n">
        <v>55</v>
      </c>
      <c r="B89" s="2" t="inlineStr">
        <is>
          <t>Roche Diagnostics</t>
        </is>
      </c>
      <c r="C89" s="2" t="inlineStr">
        <is>
          <t>parent_subsidiary</t>
        </is>
      </c>
      <c r="D89" s="2" t="inlineStr">
        <is>
          <t>Roche Pharmaceuticals (Israel) Ltd. - Diagnostics division ("Roche Diagnostics Israel")</t>
        </is>
      </c>
      <c r="E89" s="2" t="inlineStr"/>
      <c r="F89" s="2" t="inlineStr">
        <is>
          <t>חברה-בת</t>
        </is>
      </c>
      <c r="G89" s="2" t="inlineStr">
        <is>
          <t>Roche Diagnostics business in Israel (cobas core-lab/molecular, point-of-care IVD instruments and reagents); diagnostics division of the Roche group's Israeli affiliate, 6 Hacharash St., Hod Hasharon 4524079</t>
        </is>
      </c>
      <c r="H89" s="2" t="inlineStr">
        <is>
          <t>https://www.roche.co.il</t>
        </is>
      </c>
      <c r="I89" s="2" t="inlineStr"/>
      <c r="J89" s="2" t="inlineStr"/>
      <c r="K89" s="2" t="inlineStr"/>
      <c r="L89" s="2" t="inlineStr"/>
      <c r="M89" s="2" t="inlineStr">
        <is>
          <t>https://www.roche.com/solutions/diagnostics/safety-officers</t>
        </is>
      </c>
    </row>
    <row r="90">
      <c r="A90" s="2" t="n">
        <v>55</v>
      </c>
      <c r="B90" s="2" t="inlineStr">
        <is>
          <t>Roche Diagnostics</t>
        </is>
      </c>
      <c r="C90" s="2" t="inlineStr">
        <is>
          <t>parent_subsidiary</t>
        </is>
      </c>
      <c r="D90" s="2" t="inlineStr">
        <is>
          <t>Gamidor Diagnostics</t>
        </is>
      </c>
      <c r="E90" s="2" t="inlineStr">
        <is>
          <t>גאמידור</t>
        </is>
      </c>
      <c r="F90" s="2" t="inlineStr">
        <is>
          <t>מפיץ</t>
        </is>
      </c>
      <c r="G90" s="2" t="inlineStr">
        <is>
          <t>Roche Tissue Diagnostics only (VENTANA automated IHC/ISH slide stainers) - not cobas/LightCycler</t>
        </is>
      </c>
      <c r="H90" s="2" t="inlineStr">
        <is>
          <t>https://gamidor.co.il</t>
        </is>
      </c>
      <c r="I90" s="2" t="inlineStr"/>
      <c r="J90" s="2" t="inlineStr"/>
      <c r="K90" s="2" t="inlineStr"/>
      <c r="L90" s="2" t="inlineStr"/>
      <c r="M90" s="2" t="inlineStr">
        <is>
          <t>https://gamidor.co.il/en/tissue-diagnostics-2/</t>
        </is>
      </c>
    </row>
    <row r="91">
      <c r="A91" s="2" t="n">
        <v>55</v>
      </c>
      <c r="B91" s="2" t="inlineStr">
        <is>
          <t>Roche Diagnostics</t>
        </is>
      </c>
      <c r="C91" s="2" t="inlineStr">
        <is>
          <t>parent_subsidiary</t>
        </is>
      </c>
      <c r="D91" s="2" t="inlineStr">
        <is>
          <t>Dyn Diagnostics</t>
        </is>
      </c>
      <c r="E91" s="2" t="inlineStr"/>
      <c r="F91" s="2" t="inlineStr">
        <is>
          <t>מפיץ</t>
        </is>
      </c>
      <c r="G91" s="2" t="inlineStr">
        <is>
          <t>Roche Diabetes Care only (Accu-Chek home-care line) - not laboratory analyzers</t>
        </is>
      </c>
      <c r="H91" s="2" t="inlineStr">
        <is>
          <t>https://dyn.co.il</t>
        </is>
      </c>
      <c r="I91" s="2" t="inlineStr"/>
      <c r="J91" s="2" t="inlineStr"/>
      <c r="K91" s="2" t="inlineStr"/>
      <c r="L91" s="2" t="inlineStr"/>
      <c r="M91" s="2" t="inlineStr">
        <is>
          <t>https://dyn.co.il/home-care-en</t>
        </is>
      </c>
    </row>
    <row r="92">
      <c r="A92" s="2" t="n">
        <v>56</v>
      </c>
      <c r="B92" s="2" t="inlineStr">
        <is>
          <t>Abbott Diagnostics</t>
        </is>
      </c>
      <c r="C92" s="2" t="inlineStr">
        <is>
          <t>parent_subsidiary</t>
        </is>
      </c>
      <c r="D92" s="2" t="inlineStr">
        <is>
          <t>Abbott Medical Laboratories Ltd.</t>
        </is>
      </c>
      <c r="E92" s="2" t="inlineStr">
        <is>
          <t>אבוט מעבדות רפואיות בע"מ</t>
        </is>
      </c>
      <c r="F92" s="2" t="inlineStr">
        <is>
          <t>חברה-בת</t>
        </is>
      </c>
      <c r="G92" s="2" t="inlineStr">
        <is>
          <t>Abbott's Israeli affiliate for nutrition, pharmaceuticals and diagnostics (core laboratory, molecular and point-of-care), Atidim Science Park Bldg. 4, Tel Aviv; about 160 employees incl. the Haifa (STARLIMS/Abbott Informatics) development center</t>
        </is>
      </c>
      <c r="H92" s="2" t="inlineStr">
        <is>
          <t>https://www.il.abbott</t>
        </is>
      </c>
      <c r="I92" s="2" t="inlineStr"/>
      <c r="J92" s="2" t="inlineStr"/>
      <c r="K92" s="2" t="inlineStr"/>
      <c r="L92" s="2" t="inlineStr"/>
      <c r="M92" s="2" t="inlineStr">
        <is>
          <t>https://www.abbott.com/en-us/global-locations-contacts/israel</t>
        </is>
      </c>
    </row>
    <row r="93">
      <c r="A93" s="2" t="n">
        <v>56</v>
      </c>
      <c r="B93" s="2" t="inlineStr">
        <is>
          <t>Abbott Diagnostics</t>
        </is>
      </c>
      <c r="C93" s="2" t="inlineStr">
        <is>
          <t>parent_subsidiary</t>
        </is>
      </c>
      <c r="D93" s="2" t="inlineStr">
        <is>
          <t>Ilex Medical Ltd.</t>
        </is>
      </c>
      <c r="E93" s="2" t="inlineStr">
        <is>
          <t>אילקס מדיקל</t>
        </is>
      </c>
      <c r="F93" s="2" t="inlineStr">
        <is>
          <t>מפיץ</t>
        </is>
      </c>
      <c r="G93" s="2" t="inlineStr">
        <is>
          <t>Abbott diagnostics products (Ilex company profiles list Abbott among its partners; Abbott also has its own Israeli affiliate)</t>
        </is>
      </c>
      <c r="H93" s="2" t="inlineStr">
        <is>
          <t>https://www.ilexmedical.com</t>
        </is>
      </c>
      <c r="I93" s="2" t="inlineStr"/>
      <c r="J93" s="2" t="inlineStr"/>
      <c r="K93" s="2" t="inlineStr"/>
      <c r="L93" s="2" t="inlineStr"/>
      <c r="M93" s="2" t="inlineStr">
        <is>
          <t>https://www.sid-israel.org/en/index/ilex-medical-ltd</t>
        </is>
      </c>
    </row>
    <row r="94">
      <c r="A94" s="2" t="n">
        <v>57</v>
      </c>
      <c r="B94" s="2" t="inlineStr">
        <is>
          <t>Siemens Healthineers – Diagnostics</t>
        </is>
      </c>
      <c r="C94" s="2" t="inlineStr">
        <is>
          <t>subsidiary</t>
        </is>
      </c>
      <c r="D94" s="2" t="inlineStr">
        <is>
          <t>Siemens Healthineers Israel (legal entity name believed to be Siemens Healthcare Ltd., Israel — not verified)</t>
        </is>
      </c>
      <c r="E94" s="2" t="inlineStr"/>
      <c r="F94" s="2" t="inlineStr">
        <is>
          <t>חברה-בת</t>
        </is>
      </c>
      <c r="G94" s="2" t="inlineStr">
        <is>
          <t>all Siemens Healthineers businesses in Israel, including a dedicated Diagnostics unit (a 'Head of Diagnostics, Siemens Healthineers Israel' is named on the company's Israeli site)</t>
        </is>
      </c>
      <c r="H94" s="2" t="inlineStr">
        <is>
          <t>https://www.siemens-healthineers.com/il</t>
        </is>
      </c>
      <c r="I94" s="2" t="inlineStr"/>
      <c r="J94" s="2" t="inlineStr"/>
      <c r="K94" s="2" t="inlineStr"/>
      <c r="L94" s="2" t="inlineStr"/>
      <c r="M94" s="2" t="inlineStr">
        <is>
          <t>https://www.siemens-healthineers.com/il/news-and-events/conferences-events-new/israel-local-events/atellica-solution-event-2019</t>
        </is>
      </c>
    </row>
    <row r="95">
      <c r="A95" s="2" t="n">
        <v>58</v>
      </c>
      <c r="B95" s="2" t="inlineStr">
        <is>
          <t>bioMérieux</t>
        </is>
      </c>
      <c r="C95" s="2" t="inlineStr">
        <is>
          <t>distributor</t>
        </is>
      </c>
      <c r="D95" s="2" t="inlineStr">
        <is>
          <t>Accellix (bioMérieux company), Jerusalem</t>
        </is>
      </c>
      <c r="E95" s="2" t="inlineStr"/>
      <c r="F95" s="2" t="inlineStr">
        <is>
          <t>חברה-בת</t>
        </is>
      </c>
      <c r="G95" s="2" t="inlineStr">
        <is>
          <t>R&amp;D/manufacturing site of Accellix (automated flow-cytometry QC for pharma), acquired by bioMérieux in 2025 - not a sales office for VITEK/BACT/ALERT/BIOFIRE</t>
        </is>
      </c>
      <c r="H95" s="2" t="inlineStr"/>
      <c r="I95" s="2" t="inlineStr"/>
      <c r="J95" s="2" t="inlineStr"/>
      <c r="K95" s="2" t="inlineStr"/>
      <c r="L95" s="2" t="inlineStr"/>
      <c r="M95" s="2" t="inlineStr">
        <is>
          <t>https://www.biomerieux.com/us/en/journalists/press-releases/acquisition-accellix-pharma-quality-control.html</t>
        </is>
      </c>
    </row>
    <row r="96">
      <c r="A96" s="2" t="n">
        <v>58</v>
      </c>
      <c r="B96" s="2" t="inlineStr">
        <is>
          <t>bioMérieux</t>
        </is>
      </c>
      <c r="C96" s="2" t="inlineStr">
        <is>
          <t>distributor</t>
        </is>
      </c>
      <c r="D96" s="2" t="inlineStr">
        <is>
          <t>Ilex Medical Ltd.</t>
        </is>
      </c>
      <c r="E96" s="2" t="inlineStr">
        <is>
          <t>אילקס מדיקל</t>
        </is>
      </c>
      <c r="F96" s="2" t="inlineStr">
        <is>
          <t>מפיץ</t>
        </is>
      </c>
      <c r="G96" s="2" t="inlineStr">
        <is>
          <t>BIOFIRE (FilmArray) nested multiplex PCR panels - respiratory, meningitis/CSF, gastrointestinal, positive blood culture ID, joint infection - offered to Israeli clinical labs (Ilex catalogue page, c. early 2024); VITEK / BACT/ALERT channel not shown</t>
        </is>
      </c>
      <c r="H96" s="2" t="inlineStr">
        <is>
          <t>https://www.ilexmedical.com</t>
        </is>
      </c>
      <c r="I96" s="2" t="inlineStr"/>
      <c r="J96" s="2" t="inlineStr"/>
      <c r="K96" s="2" t="inlineStr"/>
      <c r="L96" s="2" t="inlineStr"/>
      <c r="M96" s="2" t="inlineStr">
        <is>
          <t>https://www.ilexmedical.com/catalog_products/biofire/</t>
        </is>
      </c>
    </row>
    <row r="97">
      <c r="A97" s="2" t="n">
        <v>59</v>
      </c>
      <c r="B97" s="2" t="inlineStr">
        <is>
          <t>Sysmex</t>
        </is>
      </c>
      <c r="C97" s="2" t="inlineStr">
        <is>
          <t>distributor</t>
        </is>
      </c>
      <c r="D97" s="2" t="inlineStr">
        <is>
          <t>Dover Medical &amp; Scientific Equipment</t>
        </is>
      </c>
      <c r="E97" s="2" t="inlineStr"/>
      <c r="F97" s="2" t="inlineStr">
        <is>
          <t>מפיץ</t>
        </is>
      </c>
      <c r="G97" s="2" t="inlineStr">
        <is>
          <t>Sysmex distributor for Israel as listed in Sysmex Europe's official distributor directory (product-line scope not stated; presumably hematology/urinalysis in-vitro diagnostics)</t>
        </is>
      </c>
      <c r="H97" s="2" t="inlineStr"/>
      <c r="I97" s="2" t="inlineStr"/>
      <c r="J97" s="2" t="inlineStr"/>
      <c r="K97" s="2" t="inlineStr"/>
      <c r="L97" s="2" t="inlineStr"/>
      <c r="M97" s="2" t="inlineStr">
        <is>
          <t>https://www.sysmex-europe.com/company/contacts/distributors/</t>
        </is>
      </c>
    </row>
    <row r="98">
      <c r="A98" s="2" t="n">
        <v>60</v>
      </c>
      <c r="B98" s="2" t="inlineStr">
        <is>
          <t>Mindray</t>
        </is>
      </c>
      <c r="C98" s="2" t="inlineStr">
        <is>
          <t>distributor</t>
        </is>
      </c>
      <c r="D98" s="2" t="inlineStr">
        <is>
          <t>Eldan Electronic Instruments</t>
        </is>
      </c>
      <c r="E98" s="2" t="inlineStr">
        <is>
          <t>אלדן</t>
        </is>
      </c>
      <c r="F98" s="2" t="inlineStr">
        <is>
          <t>מפיץ</t>
        </is>
      </c>
      <c r="G98" s="2" t="inlineStr">
        <is>
          <t>Mindray IVD line - hematology analyzers and reagents (clinical diagnostics division)</t>
        </is>
      </c>
      <c r="H98" s="2" t="inlineStr">
        <is>
          <t>https://www.eldan.biz</t>
        </is>
      </c>
      <c r="I98" s="2" t="inlineStr"/>
      <c r="J98" s="2" t="inlineStr"/>
      <c r="K98" s="2" t="inlineStr"/>
      <c r="L98" s="2" t="inlineStr"/>
      <c r="M98" s="2" t="inlineStr">
        <is>
          <t>https://eldan.biz/?p=4734</t>
        </is>
      </c>
    </row>
    <row r="99">
      <c r="A99" s="2" t="n">
        <v>60</v>
      </c>
      <c r="B99" s="2" t="inlineStr">
        <is>
          <t>Mindray</t>
        </is>
      </c>
      <c r="C99" s="2" t="inlineStr">
        <is>
          <t>distributor</t>
        </is>
      </c>
      <c r="D99" s="2" t="inlineStr">
        <is>
          <t>Bepex</t>
        </is>
      </c>
      <c r="E99" s="2" t="inlineStr"/>
      <c r="F99" s="2" t="inlineStr">
        <is>
          <t>מפיץ</t>
        </is>
      </c>
      <c r="G99" s="2" t="inlineStr">
        <is>
          <t>Mindray hospital beds and clinical lighting only (per LinkedIn post; unverified)</t>
        </is>
      </c>
      <c r="H99" s="2" t="inlineStr"/>
      <c r="I99" s="2" t="inlineStr"/>
      <c r="J99" s="2" t="inlineStr"/>
      <c r="K99" s="2" t="inlineStr"/>
      <c r="L99" s="2" t="inlineStr"/>
      <c r="M99" s="2" t="inlineStr">
        <is>
          <t>https://il.linkedin.com/in/ido-gruber-808189a</t>
        </is>
      </c>
    </row>
    <row r="100">
      <c r="A100" s="2" t="n">
        <v>61</v>
      </c>
      <c r="B100" s="2" t="inlineStr">
        <is>
          <t>BINDER</t>
        </is>
      </c>
      <c r="C100" s="2" t="inlineStr">
        <is>
          <t>distributor</t>
        </is>
      </c>
      <c r="D100" s="2" t="inlineStr">
        <is>
          <t>Labotal Scientific Equipment Ltd.</t>
        </is>
      </c>
      <c r="E100" s="2" t="inlineStr">
        <is>
          <t>לבוטל</t>
        </is>
      </c>
      <c r="F100" s="2" t="inlineStr">
        <is>
          <t>מפיץ</t>
        </is>
      </c>
      <c r="G100" s="2" t="inlineStr">
        <is>
          <t>Binder incubators, drying ovens and climate chambers (Labotal 'firms/binder' page and product pages)</t>
        </is>
      </c>
      <c r="H100" s="2" t="inlineStr">
        <is>
          <t>https://labotal.co.il</t>
        </is>
      </c>
      <c r="I100" s="2" t="inlineStr"/>
      <c r="J100" s="2" t="inlineStr"/>
      <c r="K100" s="2" t="inlineStr"/>
      <c r="L100" s="2" t="inlineStr"/>
      <c r="M100" s="2" t="inlineStr">
        <is>
          <t>https://labotal.co.il/firms/binder/</t>
        </is>
      </c>
    </row>
    <row r="101">
      <c r="A101" s="2" t="n">
        <v>62</v>
      </c>
      <c r="B101" s="2" t="inlineStr">
        <is>
          <t>Memmert</t>
        </is>
      </c>
      <c r="C101" s="2" t="inlineStr">
        <is>
          <t>distributor</t>
        </is>
      </c>
      <c r="D101" s="2" t="inlineStr">
        <is>
          <t>Medent Scientific Instruments</t>
        </is>
      </c>
      <c r="E101" s="2" t="inlineStr">
        <is>
          <t>מדנט מכשור מדעי</t>
        </is>
      </c>
      <c r="F101" s="2" t="inlineStr">
        <is>
          <t>מפיץ</t>
        </is>
      </c>
      <c r="G101" s="2" t="inlineStr">
        <is>
          <t>Memmert CO2 incubators (e.g. INC108ivf), cooled incubators (IPP/IPS), vacuum ovens (VO), drying ovens (UF/UN) and incubators (IF/IN) listed with Hebrew product pages</t>
        </is>
      </c>
      <c r="H101" s="2" t="inlineStr">
        <is>
          <t>https://www.medent.co.il</t>
        </is>
      </c>
      <c r="I101" s="2" t="inlineStr"/>
      <c r="J101" s="2" t="inlineStr"/>
      <c r="K101" s="2" t="inlineStr"/>
      <c r="L101" s="2" t="inlineStr"/>
      <c r="M101" s="2" t="inlineStr">
        <is>
          <t>https://medent.co.il/scientific.equipment/product/איקובטור-co2-בנפח-108-ליטר-תוצרת-memmert-גרמניה-דג-2/</t>
        </is>
      </c>
    </row>
    <row r="102">
      <c r="A102" s="2" t="n">
        <v>63</v>
      </c>
      <c r="B102" s="2" t="inlineStr">
        <is>
          <t>IKA</t>
        </is>
      </c>
      <c r="C102" s="2" t="inlineStr">
        <is>
          <t>distributor</t>
        </is>
      </c>
      <c r="D102" s="2" t="inlineStr">
        <is>
          <t>Medent Scientific Instruments</t>
        </is>
      </c>
      <c r="E102" s="2" t="inlineStr">
        <is>
          <t>מדנט מכשור מדעי</t>
        </is>
      </c>
      <c r="F102" s="2" t="inlineStr">
        <is>
          <t>מפיץ</t>
        </is>
      </c>
      <c r="G102" s="2" t="inlineStr">
        <is>
          <t>IKA brand page ('IKA - Germany'): mixing, heating, distilling, crushing; Medent states it imports IKA viscometers; product categories for magnetic stirrers with heating, vortex mixers, chillers (RC 2/RC 5) and drying ovens (Oven 125)</t>
        </is>
      </c>
      <c r="H102" s="2" t="inlineStr">
        <is>
          <t>https://www.medent.co.il</t>
        </is>
      </c>
      <c r="I102" s="2" t="inlineStr"/>
      <c r="J102" s="2" t="inlineStr"/>
      <c r="K102" s="2" t="inlineStr"/>
      <c r="L102" s="2" t="inlineStr"/>
      <c r="M102" s="2" t="inlineStr">
        <is>
          <t>https://www.medent.co.il/en/project/ika-germany/</t>
        </is>
      </c>
    </row>
    <row r="103">
      <c r="A103" s="2" t="n">
        <v>63</v>
      </c>
      <c r="B103" s="2" t="inlineStr">
        <is>
          <t>IKA</t>
        </is>
      </c>
      <c r="C103" s="2" t="inlineStr">
        <is>
          <t>distributor</t>
        </is>
      </c>
      <c r="D103" s="2" t="inlineStr">
        <is>
          <t>Labotal Scientific Equipment Ltd.</t>
        </is>
      </c>
      <c r="E103" s="2" t="inlineStr">
        <is>
          <t>לבוטל ציוד למעבדות</t>
        </is>
      </c>
      <c r="F103" s="2" t="inlineStr">
        <is>
          <t>מפיץ</t>
        </is>
      </c>
      <c r="G103" s="2" t="inlineStr">
        <is>
          <t>overhead and magnetic stirrers - Labotal's overhead-stirrer category page names IKA among the brands it stocks (scope beyond stirrers not seen)</t>
        </is>
      </c>
      <c r="H103" s="2" t="inlineStr">
        <is>
          <t>https://labotal.co.il</t>
        </is>
      </c>
      <c r="I103" s="2" t="inlineStr"/>
      <c r="J103" s="2" t="inlineStr"/>
      <c r="K103" s="2" t="inlineStr"/>
      <c r="L103" s="2" t="inlineStr"/>
      <c r="M103" s="2" t="inlineStr">
        <is>
          <t>https://labotal.co.il/product-category/hot-plate-and-stirrers/overhead-stirrers/?lang=en</t>
        </is>
      </c>
    </row>
    <row r="104">
      <c r="A104" s="2" t="n">
        <v>64</v>
      </c>
      <c r="B104" s="2" t="inlineStr">
        <is>
          <t>Heidolph Instruments (ATS Corporation)</t>
        </is>
      </c>
      <c r="C104" s="2" t="inlineStr">
        <is>
          <t>distributor</t>
        </is>
      </c>
      <c r="D104" s="2" t="inlineStr">
        <is>
          <t>Labotal Scientific Equipment Ltd.</t>
        </is>
      </c>
      <c r="E104" s="2" t="inlineStr">
        <is>
          <t>לבוטל</t>
        </is>
      </c>
      <c r="F104" s="2" t="inlineStr">
        <is>
          <t>מפיץ</t>
        </is>
      </c>
      <c r="G104" s="2" t="inlineStr">
        <is>
          <t>Heidolph rotary evaporators, stirrers and shakers (Labotal joined Heidolph's premium distributor programme)</t>
        </is>
      </c>
      <c r="H104" s="2" t="inlineStr">
        <is>
          <t>https://labotal.co.il</t>
        </is>
      </c>
      <c r="I104" s="2" t="inlineStr"/>
      <c r="J104" s="2" t="inlineStr"/>
      <c r="K104" s="2" t="inlineStr"/>
      <c r="L104" s="2" t="inlineStr"/>
      <c r="M104" s="2" t="inlineStr">
        <is>
          <t>https://labotal.co.il/company-news/?lang=en</t>
        </is>
      </c>
    </row>
    <row r="105">
      <c r="A105" s="2" t="n">
        <v>65</v>
      </c>
      <c r="B105" s="2" t="inlineStr">
        <is>
          <t>JULABO</t>
        </is>
      </c>
      <c r="C105" s="2" t="inlineStr">
        <is>
          <t>distributor</t>
        </is>
      </c>
      <c r="D105" s="2" t="inlineStr">
        <is>
          <t>Labotal Scientific Equipment Ltd.</t>
        </is>
      </c>
      <c r="E105" s="2" t="inlineStr">
        <is>
          <t>לבוטל</t>
        </is>
      </c>
      <c r="F105" s="2" t="inlineStr">
        <is>
          <t>מפיץ</t>
        </is>
      </c>
      <c r="G105" s="2" t="inlineStr">
        <is>
          <t>JULABO circulators, chillers and baths – Labotal states it is JULABO's exclusive representative in Israel</t>
        </is>
      </c>
      <c r="H105" s="2" t="inlineStr">
        <is>
          <t>https://labotal.co.il</t>
        </is>
      </c>
      <c r="I105" s="2" t="inlineStr"/>
      <c r="J105" s="2" t="inlineStr"/>
      <c r="K105" s="2" t="inlineStr"/>
      <c r="L105" s="2" t="inlineStr"/>
      <c r="M105" s="2" t="inlineStr">
        <is>
          <t>https://labotal.co.il/product/julabo-magio-ms-and-mx-heating-circulatorsideal-for-demanding-external-applications/</t>
        </is>
      </c>
    </row>
    <row r="106">
      <c r="A106" s="2" t="n">
        <v>66</v>
      </c>
      <c r="B106" s="2" t="inlineStr">
        <is>
          <t>LAUDA</t>
        </is>
      </c>
      <c r="C106" s="2" t="inlineStr">
        <is>
          <t>distributor</t>
        </is>
      </c>
      <c r="D106" s="2" t="inlineStr">
        <is>
          <t>Medent Scientific Instruments</t>
        </is>
      </c>
      <c r="E106" s="2" t="inlineStr">
        <is>
          <t>מדנט מכשור מדעי</t>
        </is>
      </c>
      <c r="F106" s="2" t="inlineStr">
        <is>
          <t>מפיץ</t>
        </is>
      </c>
      <c r="G106" s="2" t="inlineStr">
        <is>
          <t>LAUDA brand page ('Lauda - Germany') and a Hebrew product category 'LAUDA baths, circulators and chillers'; GFL-brand (LAUDA) water stills and lab refrigerators also listed</t>
        </is>
      </c>
      <c r="H106" s="2" t="inlineStr">
        <is>
          <t>https://www.medent.co.il</t>
        </is>
      </c>
      <c r="I106" s="2" t="inlineStr"/>
      <c r="J106" s="2" t="inlineStr"/>
      <c r="K106" s="2" t="inlineStr"/>
      <c r="L106" s="2" t="inlineStr"/>
      <c r="M106" s="2" t="inlineStr">
        <is>
          <t>https://www.medent.co.il/en/project/lauda-germany/</t>
        </is>
      </c>
    </row>
    <row r="107">
      <c r="A107" s="2" t="n">
        <v>66</v>
      </c>
      <c r="B107" s="2" t="inlineStr">
        <is>
          <t>LAUDA</t>
        </is>
      </c>
      <c r="C107" s="2" t="inlineStr">
        <is>
          <t>distributor</t>
        </is>
      </c>
      <c r="D107" s="2" t="inlineStr">
        <is>
          <t>Citrine Solutions</t>
        </is>
      </c>
      <c r="E107" s="2" t="inlineStr">
        <is>
          <t>סיטרין</t>
        </is>
      </c>
      <c r="F107" s="2" t="inlineStr">
        <is>
          <t>מפיץ</t>
        </is>
      </c>
      <c r="G107" s="2" t="inlineStr">
        <is>
          <t>reseller listing LAUDA Variocool VC 1200 and Ultracool UC2 circulation chillers and an MGW MS heating circulator (new and used lab equipment dealer; authorisation not stated)</t>
        </is>
      </c>
      <c r="H107" s="2" t="inlineStr">
        <is>
          <t>https://www.citrinesolutions.co.il</t>
        </is>
      </c>
      <c r="I107" s="2" t="inlineStr"/>
      <c r="J107" s="2" t="inlineStr"/>
      <c r="K107" s="2" t="inlineStr"/>
      <c r="L107" s="2" t="inlineStr"/>
      <c r="M107" s="2" t="inlineStr">
        <is>
          <t>https://citrinesolutions.co.il/?c_id=30&amp;item_id=5&amp;module=product&amp;p_id=444</t>
        </is>
      </c>
    </row>
    <row r="108">
      <c r="A108" s="2" t="n">
        <v>66</v>
      </c>
      <c r="B108" s="2" t="inlineStr">
        <is>
          <t>LAUDA</t>
        </is>
      </c>
      <c r="C108" s="2" t="inlineStr">
        <is>
          <t>distributor</t>
        </is>
      </c>
      <c r="D108" s="2" t="inlineStr">
        <is>
          <t>Avni &amp; Son</t>
        </is>
      </c>
      <c r="E108" s="2" t="inlineStr"/>
      <c r="F108" s="2" t="inlineStr">
        <is>
          <t>מפיץ</t>
        </is>
      </c>
      <c r="G108" s="2" t="inlineStr">
        <is>
          <t>LAUDA Ultracool process circulation chillers - Avni &amp; Son's site hosts the 2026 LAUDA Ultracool brochure (uploaded April 2026); the nature of the relationship was not stated in the snippet</t>
        </is>
      </c>
      <c r="H108" s="2" t="inlineStr">
        <is>
          <t>https://avni-son.co.il</t>
        </is>
      </c>
      <c r="I108" s="2" t="inlineStr"/>
      <c r="J108" s="2" t="inlineStr"/>
      <c r="K108" s="2" t="inlineStr"/>
      <c r="L108" s="2" t="inlineStr"/>
      <c r="M108" s="2" t="inlineStr">
        <is>
          <t>https://avni-son.co.il/wp-content/uploads/2026/04/LAUDA-Ultracool-2026-EN-4-web.pdf</t>
        </is>
      </c>
    </row>
    <row r="109">
      <c r="A109" s="2" t="n">
        <v>67</v>
      </c>
      <c r="B109" s="2" t="inlineStr">
        <is>
          <t>Peter Huber Kältemaschinenbau</t>
        </is>
      </c>
      <c r="C109" s="2" t="inlineStr">
        <is>
          <t>distributor</t>
        </is>
      </c>
      <c r="D109" s="2" t="inlineStr">
        <is>
          <t>S.L. Moran Ltd.</t>
        </is>
      </c>
      <c r="E109" s="2" t="inlineStr">
        <is>
          <t>ש.ל מורן</t>
        </is>
      </c>
      <c r="F109" s="2" t="inlineStr">
        <is>
          <t>מפיץ</t>
        </is>
      </c>
      <c r="G109" s="2" t="inlineStr">
        <is>
          <t>Huber circulation baths, thermostats and chillers (Unistat, Ministat etc.) - S.L. Moran's heating/cooling-bath category lists Huber units and the site hosts the Huber general catalogue 2025/2026 and the CS-Chiller brochure</t>
        </is>
      </c>
      <c r="H109" s="2" t="inlineStr">
        <is>
          <t>https://slmoran.co.il</t>
        </is>
      </c>
      <c r="I109" s="2" t="inlineStr"/>
      <c r="J109" s="2" t="inlineStr"/>
      <c r="K109" s="2" t="inlineStr"/>
      <c r="L109" s="2" t="inlineStr"/>
      <c r="M109" s="2" t="inlineStr">
        <is>
          <t>https://slmoran.co.il/products_cat/אמבטי-חימום-קירור-סירקולטור/</t>
        </is>
      </c>
    </row>
    <row r="110">
      <c r="A110" s="2" t="n">
        <v>67</v>
      </c>
      <c r="B110" s="2" t="inlineStr">
        <is>
          <t>Peter Huber Kältemaschinenbau</t>
        </is>
      </c>
      <c r="C110" s="2" t="inlineStr">
        <is>
          <t>distributor</t>
        </is>
      </c>
      <c r="D110" s="2" t="inlineStr">
        <is>
          <t>Master-Cold</t>
        </is>
      </c>
      <c r="E110" s="2" t="inlineStr"/>
      <c r="F110" s="2" t="inlineStr">
        <is>
          <t>מפיץ</t>
        </is>
      </c>
      <c r="G110" s="2" t="inlineStr">
        <is>
          <t>lists Huber Ministat 230-cc-NR and a Unistat CC (the Unistat appears to be a used unit); authorised status unverified</t>
        </is>
      </c>
      <c r="H110" s="2" t="inlineStr">
        <is>
          <t>http://master-cold.co.il</t>
        </is>
      </c>
      <c r="I110" s="2" t="inlineStr"/>
      <c r="J110" s="2" t="inlineStr"/>
      <c r="K110" s="2" t="inlineStr"/>
      <c r="L110" s="2" t="inlineStr"/>
      <c r="M110" s="2" t="inlineStr">
        <is>
          <t>http://master-cold.co.il/1579/products/ministat-230-cc-nr</t>
        </is>
      </c>
    </row>
    <row r="111">
      <c r="A111" s="2" t="n">
        <v>68</v>
      </c>
      <c r="B111" s="2" t="inlineStr">
        <is>
          <t>BÜCHI Labortechnik</t>
        </is>
      </c>
      <c r="C111" s="2" t="inlineStr">
        <is>
          <t>distributor</t>
        </is>
      </c>
      <c r="D111" s="2" t="inlineStr">
        <is>
          <t>Dr. Golik Scientific Solutions</t>
        </is>
      </c>
      <c r="E111" s="2" t="inlineStr">
        <is>
          <t>ד"ר גוליק</t>
        </is>
      </c>
      <c r="F111" s="2" t="inlineStr">
        <is>
          <t>מפיץ</t>
        </is>
      </c>
      <c r="G111" s="2" t="inlineStr">
        <is>
          <t>BUCHI laboratory evaporation (Rotavapor R-80, R-300, R-220 Pro, R-220/R-250 EX) - dedicated BUCHI manufacturer page and 'Dr. Golik - BUCHI - Laboratory Evaporation' page; other BUCHI lines not seen in snippets</t>
        </is>
      </c>
      <c r="H111" s="2" t="inlineStr">
        <is>
          <t>https://www.golik.co.il</t>
        </is>
      </c>
      <c r="I111" s="2" t="inlineStr"/>
      <c r="J111" s="2" t="inlineStr"/>
      <c r="K111" s="2" t="inlineStr"/>
      <c r="L111" s="2" t="inlineStr"/>
      <c r="M111" s="2" t="inlineStr">
        <is>
          <t>https://www.golik.co.il/manufacturers/buchi</t>
        </is>
      </c>
    </row>
    <row r="112">
      <c r="A112" s="2" t="n">
        <v>69</v>
      </c>
      <c r="B112" s="2" t="inlineStr">
        <is>
          <t>Andreas Hettich</t>
        </is>
      </c>
      <c r="C112" s="2" t="inlineStr">
        <is>
          <t>distributor</t>
        </is>
      </c>
      <c r="D112" s="2" t="inlineStr">
        <is>
          <t>Eldan Electronic Instruments Ltd. (Neopharm group)</t>
        </is>
      </c>
      <c r="E112" s="2" t="inlineStr">
        <is>
          <t>אלדן</t>
        </is>
      </c>
      <c r="F112" s="2" t="inlineStr">
        <is>
          <t>מפיץ</t>
        </is>
      </c>
      <c r="G112" s="2" t="inlineStr">
        <is>
          <t>Hettich centrifuges – Eldan states it offers the whole Hettich range in Israel (eldan.biz page; verify currency)</t>
        </is>
      </c>
      <c r="H112" s="2" t="inlineStr">
        <is>
          <t>https://www.eldan.biz</t>
        </is>
      </c>
      <c r="I112" s="2" t="inlineStr"/>
      <c r="J112" s="2" t="inlineStr"/>
      <c r="K112" s="2" t="inlineStr"/>
      <c r="L112" s="2" t="inlineStr"/>
      <c r="M112" s="2" t="inlineStr">
        <is>
          <t>https://eldan.biz/?p=9327</t>
        </is>
      </c>
    </row>
    <row r="113">
      <c r="A113" s="2" t="n">
        <v>70</v>
      </c>
      <c r="B113" s="2" t="inlineStr">
        <is>
          <t>Esco Lifesciences</t>
        </is>
      </c>
      <c r="C113" s="2" t="inlineStr">
        <is>
          <t>distributor</t>
        </is>
      </c>
      <c r="D113" s="2" t="inlineStr">
        <is>
          <t>Danyel Biotech</t>
        </is>
      </c>
      <c r="E113" s="2" t="inlineStr"/>
      <c r="F113" s="2" t="inlineStr">
        <is>
          <t>מפיץ</t>
        </is>
      </c>
      <c r="G113" s="2" t="inlineStr">
        <is>
          <t>Esco Life Sciences division: biological safety cabinets (Airstream Class I/III, Labculture Class II A2/B1/B2), fume hoods, incubators and ULT freezers - dedicated Esco page on Danyel's site</t>
        </is>
      </c>
      <c r="H113" s="2" t="inlineStr">
        <is>
          <t>https://www.danyel.co.il</t>
        </is>
      </c>
      <c r="I113" s="2" t="inlineStr"/>
      <c r="J113" s="2" t="inlineStr"/>
      <c r="K113" s="2" t="inlineStr"/>
      <c r="L113" s="2" t="inlineStr"/>
      <c r="M113" s="2" t="inlineStr">
        <is>
          <t>https://www.danyel.co.il/esco/</t>
        </is>
      </c>
    </row>
    <row r="114">
      <c r="A114" s="2" t="n">
        <v>71</v>
      </c>
      <c r="B114" s="2" t="inlineStr">
        <is>
          <t>Labconco</t>
        </is>
      </c>
      <c r="C114" s="2" t="inlineStr">
        <is>
          <t>distributor</t>
        </is>
      </c>
      <c r="D114" s="2" t="inlineStr">
        <is>
          <t>Labotal Scientific Equipment Ltd.</t>
        </is>
      </c>
      <c r="E114" s="2" t="inlineStr">
        <is>
          <t>לבוטל</t>
        </is>
      </c>
      <c r="F114" s="2" t="inlineStr">
        <is>
          <t>מפיץ</t>
        </is>
      </c>
      <c r="G114" s="2" t="inlineStr">
        <is>
          <t>Labconco biosafety cabinets and CentriVap concentrators (Labotal product pages)</t>
        </is>
      </c>
      <c r="H114" s="2" t="inlineStr">
        <is>
          <t>https://labotal.co.il</t>
        </is>
      </c>
      <c r="I114" s="2" t="inlineStr"/>
      <c r="J114" s="2" t="inlineStr"/>
      <c r="K114" s="2" t="inlineStr"/>
      <c r="L114" s="2" t="inlineStr"/>
      <c r="M114" s="2" t="inlineStr">
        <is>
          <t>https://labotal.co.il/sitemap/?lang=en</t>
        </is>
      </c>
    </row>
    <row r="115">
      <c r="A115" s="2" t="n">
        <v>72</v>
      </c>
      <c r="B115" s="2" t="inlineStr">
        <is>
          <t>NuAire</t>
        </is>
      </c>
      <c r="C115" s="2" t="inlineStr">
        <is>
          <t>distributor</t>
        </is>
      </c>
      <c r="D115" s="2" t="inlineStr">
        <is>
          <t>Ormir Lab Equipment</t>
        </is>
      </c>
      <c r="E115" s="2" t="inlineStr"/>
      <c r="F115" s="2" t="inlineStr">
        <is>
          <t>מפיץ</t>
        </is>
      </c>
      <c r="G115" s="2" t="inlineStr">
        <is>
          <t>NuAire biosafety cabinets, laminar-flow hoods, CO2 incubators (NU-5731), ULT freezers and PharmaGard compounding isolators (NU-NTE800) - NuAire listed on Ormir's manufacturers page with product pages</t>
        </is>
      </c>
      <c r="H115" s="2" t="inlineStr">
        <is>
          <t>https://ormir.co.il</t>
        </is>
      </c>
      <c r="I115" s="2" t="inlineStr"/>
      <c r="J115" s="2" t="inlineStr"/>
      <c r="K115" s="2" t="inlineStr"/>
      <c r="L115" s="2" t="inlineStr"/>
      <c r="M115" s="2" t="inlineStr">
        <is>
          <t>https://ormir.co.il/card-with-image/</t>
        </is>
      </c>
    </row>
    <row r="116">
      <c r="A116" s="2" t="n">
        <v>72</v>
      </c>
      <c r="B116" s="2" t="inlineStr">
        <is>
          <t>NuAire</t>
        </is>
      </c>
      <c r="C116" s="2" t="inlineStr">
        <is>
          <t>distributor</t>
        </is>
      </c>
      <c r="D116" s="2" t="inlineStr">
        <is>
          <t>Citrine Solutions</t>
        </is>
      </c>
      <c r="E116" s="2" t="inlineStr">
        <is>
          <t>סיטרין</t>
        </is>
      </c>
      <c r="F116" s="2" t="inlineStr">
        <is>
          <t>מפיץ</t>
        </is>
      </c>
      <c r="G116" s="2" t="inlineStr">
        <is>
          <t>NuAire AutoFlow CO2 incubators (NU-4750/4850/4950/5510) - catalogue PDF hosted on Citrine's site and addressed 'to Citrine customers'; authorised status not stated</t>
        </is>
      </c>
      <c r="H116" s="2" t="inlineStr">
        <is>
          <t>https://www.citrinesolutions.co.il</t>
        </is>
      </c>
      <c r="I116" s="2" t="inlineStr"/>
      <c r="J116" s="2" t="inlineStr"/>
      <c r="K116" s="2" t="inlineStr"/>
      <c r="L116" s="2" t="inlineStr"/>
      <c r="M116" s="2" t="inlineStr">
        <is>
          <t>https://www.citrinesolutions.co.il/userfiles/documents/AutoFlow_CO2_Incubators%20ללקוחות%20סיטרין.pdf</t>
        </is>
      </c>
    </row>
    <row r="117">
      <c r="A117" s="2" t="n">
        <v>73</v>
      </c>
      <c r="B117" s="2" t="inlineStr">
        <is>
          <t>PHC Holdings (PHCbi)</t>
        </is>
      </c>
      <c r="C117" s="2" t="inlineStr">
        <is>
          <t>distributor</t>
        </is>
      </c>
      <c r="D117" s="2" t="inlineStr">
        <is>
          <t>Eldan Electronic Instruments</t>
        </is>
      </c>
      <c r="E117" s="2" t="inlineStr"/>
      <c r="F117" s="2" t="inlineStr">
        <is>
          <t>מפיץ</t>
        </is>
      </c>
      <c r="G117" s="2" t="inlineStr">
        <is>
          <t>PHCbi CO2 and multigas incubators (incl. Cell-IQ) and PHCbi biomedical/pharmaceutical freezers</t>
        </is>
      </c>
      <c r="H117" s="2" t="inlineStr">
        <is>
          <t>https://www.eldan.biz</t>
        </is>
      </c>
      <c r="I117" s="2" t="inlineStr"/>
      <c r="J117" s="2" t="inlineStr"/>
      <c r="K117" s="2" t="inlineStr"/>
      <c r="L117" s="2" t="inlineStr"/>
      <c r="M117" s="2" t="inlineStr">
        <is>
          <t>https://www.eldan.biz/laboratory-instruments/</t>
        </is>
      </c>
    </row>
    <row r="118">
      <c r="A118" s="2" t="n">
        <v>73</v>
      </c>
      <c r="B118" s="2" t="inlineStr">
        <is>
          <t>PHC Holdings (PHCbi)</t>
        </is>
      </c>
      <c r="C118" s="2" t="inlineStr">
        <is>
          <t>distributor</t>
        </is>
      </c>
      <c r="D118" s="2" t="inlineStr">
        <is>
          <t>Lumitron Ltd.</t>
        </is>
      </c>
      <c r="E118" s="2" t="inlineStr">
        <is>
          <t>לומיטרון</t>
        </is>
      </c>
      <c r="F118" s="2" t="inlineStr">
        <is>
          <t>מפיץ</t>
        </is>
      </c>
      <c r="G118" s="2" t="inlineStr">
        <is>
          <t>PHCbi (ultralow freezers, incubators) listed on Lumitron's 'Our brands' page</t>
        </is>
      </c>
      <c r="H118" s="2" t="inlineStr">
        <is>
          <t>https://www.lumitron.co.il</t>
        </is>
      </c>
      <c r="I118" s="2" t="inlineStr"/>
      <c r="J118" s="2" t="inlineStr"/>
      <c r="K118" s="2" t="inlineStr"/>
      <c r="L118" s="2" t="inlineStr"/>
      <c r="M118" s="2" t="inlineStr">
        <is>
          <t>https://www.lumitron.co.il/our-brands-heb/?lang=en</t>
        </is>
      </c>
    </row>
    <row r="119">
      <c r="A119" s="2" t="n">
        <v>74</v>
      </c>
      <c r="B119" s="2" t="inlineStr">
        <is>
          <t>Haier Biomedical</t>
        </is>
      </c>
      <c r="C119" s="2" t="inlineStr">
        <is>
          <t>distributor</t>
        </is>
      </c>
      <c r="D119" s="2" t="inlineStr">
        <is>
          <t>Ex-Lab</t>
        </is>
      </c>
      <c r="E119" s="2" t="inlineStr">
        <is>
          <t>אקס-לאב</t>
        </is>
      </c>
      <c r="F119" s="2" t="inlineStr">
        <is>
          <t>מפיץ</t>
        </is>
      </c>
      <c r="G119" s="2" t="inlineStr">
        <is>
          <t>named by Haier Biomedical as its partner exhibiting Haier Biomedical laboratory equipment at a university expo hosted by the Weizmann Institute and the Technion; product scope, legal name and website not found</t>
        </is>
      </c>
      <c r="H119" s="2" t="inlineStr"/>
      <c r="I119" s="2" t="inlineStr"/>
      <c r="J119" s="2" t="inlineStr"/>
      <c r="K119" s="2" t="inlineStr"/>
      <c r="L119" s="2" t="inlineStr"/>
      <c r="M119" s="2" t="inlineStr">
        <is>
          <t>https://www.haiermedical.com/News/HB-Showcases-Cutting-Edge-Innovations-at-Israel-Expo</t>
        </is>
      </c>
    </row>
    <row r="120">
      <c r="A120" s="2" t="n">
        <v>75</v>
      </c>
      <c r="B120" s="2" t="inlineStr">
        <is>
          <t>Antylia Scientific (ex-Cole-Parmer)</t>
        </is>
      </c>
      <c r="C120" s="2" t="inlineStr">
        <is>
          <t>none_found</t>
        </is>
      </c>
      <c r="D120" s="2" t="inlineStr">
        <is>
          <t>—</t>
        </is>
      </c>
      <c r="E120" s="2" t="inlineStr"/>
      <c r="F120" s="2" t="inlineStr"/>
      <c r="G120" s="2" t="inlineStr"/>
      <c r="H120" s="2" t="inlineStr"/>
      <c r="I120" s="2" t="inlineStr"/>
      <c r="J120" s="2" t="inlineStr"/>
      <c r="K120" s="2" t="inlineStr"/>
      <c r="L120" s="2" t="inlineStr"/>
      <c r="M120" s="2" t="inlineStr"/>
    </row>
    <row r="121">
      <c r="A121" s="2" t="n">
        <v>76</v>
      </c>
      <c r="B121" s="2" t="inlineStr">
        <is>
          <t>Verder Scientific (Retsch, Carbolite Gero, Eltra, Microtrac MRB, QATM)</t>
        </is>
      </c>
      <c r="C121" s="2" t="inlineStr">
        <is>
          <t>none_found</t>
        </is>
      </c>
      <c r="D121" s="2" t="inlineStr">
        <is>
          <t>—</t>
        </is>
      </c>
      <c r="E121" s="2" t="inlineStr"/>
      <c r="F121" s="2" t="inlineStr"/>
      <c r="G121" s="2" t="inlineStr"/>
      <c r="H121" s="2" t="inlineStr"/>
      <c r="I121" s="2" t="inlineStr"/>
      <c r="J121" s="2" t="inlineStr"/>
      <c r="K121" s="2" t="inlineStr"/>
      <c r="L121" s="2" t="inlineStr"/>
      <c r="M121" s="2" t="inlineStr"/>
    </row>
    <row r="122">
      <c r="A122" s="2" t="n">
        <v>77</v>
      </c>
      <c r="B122" s="2" t="inlineStr">
        <is>
          <t>Yamato Scientific</t>
        </is>
      </c>
      <c r="C122" s="2" t="inlineStr">
        <is>
          <t>distributor</t>
        </is>
      </c>
      <c r="D122" s="2" t="inlineStr">
        <is>
          <t>S.L. Moran Ltd.</t>
        </is>
      </c>
      <c r="E122" s="2" t="inlineStr">
        <is>
          <t>ש.ל מורן</t>
        </is>
      </c>
      <c r="F122" s="2" t="inlineStr">
        <is>
          <t>מפיץ</t>
        </is>
      </c>
      <c r="G122" s="2" t="inlineStr">
        <is>
          <t>listed as Yamato Scientific's sales representative for Israel on Yamato's global partners page (Shatner Center bldg 7, Givat Shaul, Jerusalem, +972-74-7029898); no Yamato products seen on S.L. Moran's own site</t>
        </is>
      </c>
      <c r="H122" s="2" t="inlineStr">
        <is>
          <t>https://slmoran.co.il</t>
        </is>
      </c>
      <c r="I122" s="2" t="inlineStr"/>
      <c r="J122" s="2" t="inlineStr"/>
      <c r="K122" s="2" t="inlineStr"/>
      <c r="L122" s="2" t="inlineStr"/>
      <c r="M122" s="2" t="inlineStr">
        <is>
          <t>https://www.yamato-scientific.com/global/</t>
        </is>
      </c>
    </row>
    <row r="123">
      <c r="A123" s="2" t="n">
        <v>78</v>
      </c>
      <c r="B123" s="2" t="inlineStr">
        <is>
          <t>Azenta Life Sciences</t>
        </is>
      </c>
      <c r="C123" s="2" t="inlineStr">
        <is>
          <t>distributor</t>
        </is>
      </c>
      <c r="D123" s="2" t="inlineStr">
        <is>
          <t>HyLabs (Hy Laboratories Ltd.)</t>
        </is>
      </c>
      <c r="E123" s="2" t="inlineStr"/>
      <c r="F123" s="2" t="inlineStr">
        <is>
          <t>מפיץ</t>
        </is>
      </c>
      <c r="G123" s="2" t="inlineStr">
        <is>
          <t>Azenta Life Sciences (GENEWIZ) genomics services - gene synthesis, gBlock-type DNA fragments, CRISPR gRNA constructs, oligo pools, plasmid preparation - resold to Israeli research and clinical customers (HyLabs 'AZENTA - GENOMICS SERVICES' pages)</t>
        </is>
      </c>
      <c r="H123" s="2" t="inlineStr">
        <is>
          <t>https://www.hylabs.co.il</t>
        </is>
      </c>
      <c r="I123" s="2" t="inlineStr"/>
      <c r="J123" s="2" t="inlineStr"/>
      <c r="K123" s="2" t="inlineStr"/>
      <c r="L123" s="2" t="inlineStr"/>
      <c r="M123" s="2" t="inlineStr">
        <is>
          <t>https://www.hylabs.co.il/services/genewiz-genomics-services/</t>
        </is>
      </c>
    </row>
    <row r="124">
      <c r="A124" s="2" t="n">
        <v>78</v>
      </c>
      <c r="B124" s="2" t="inlineStr">
        <is>
          <t>Azenta Life Sciences</t>
        </is>
      </c>
      <c r="C124" s="2" t="inlineStr">
        <is>
          <t>distributor</t>
        </is>
      </c>
      <c r="D124" s="2" t="inlineStr">
        <is>
          <t>Tamar Laboratory Supplies Ltd.</t>
        </is>
      </c>
      <c r="E124" s="2" t="inlineStr">
        <is>
          <t>תמר ציוד מעבדתי</t>
        </is>
      </c>
      <c r="F124" s="2" t="inlineStr">
        <is>
          <t>מפיץ</t>
        </is>
      </c>
      <c r="G124" s="2" t="inlineStr">
        <is>
          <t>Azenta's FluidX tube capping/decapping systems (IntelliXcap, Aperio) and 4titude (Azenta Life Sciences UK) plates, tubes and seals - listed on Tamar's represented-companies and tube-capping pages</t>
        </is>
      </c>
      <c r="H124" s="2" t="inlineStr">
        <is>
          <t>https://www.tamar.co.il</t>
        </is>
      </c>
      <c r="I124" s="2" t="inlineStr"/>
      <c r="J124" s="2" t="inlineStr"/>
      <c r="K124" s="2" t="inlineStr"/>
      <c r="L124" s="2" t="inlineStr"/>
      <c r="M124" s="2" t="inlineStr">
        <is>
          <t>https://www.tamar.co.il/represented-companies/</t>
        </is>
      </c>
    </row>
    <row r="125">
      <c r="A125" s="2" t="n">
        <v>79</v>
      </c>
      <c r="B125" s="2" t="inlineStr">
        <is>
          <t>Opentrons Labworks</t>
        </is>
      </c>
      <c r="C125" s="2" t="inlineStr">
        <is>
          <t>distributor</t>
        </is>
      </c>
      <c r="D125" s="2" t="inlineStr">
        <is>
          <t>Lifegene Ltd.</t>
        </is>
      </c>
      <c r="E125" s="2" t="inlineStr">
        <is>
          <t>לייפג'ין</t>
        </is>
      </c>
      <c r="F125" s="2" t="inlineStr">
        <is>
          <t>מפיץ</t>
        </is>
      </c>
      <c r="G125" s="2" t="inlineStr">
        <is>
          <t>Opentrons OT-2 and Opentrons Flex liquid-handling robots - 'Opentrons solutions are available at Lifegene with full professional support and scientific assistance' (Lifegene automated liquid handler page)</t>
        </is>
      </c>
      <c r="H125" s="2" t="inlineStr">
        <is>
          <t>https://www.lifegene.co.il</t>
        </is>
      </c>
      <c r="I125" s="2" t="inlineStr"/>
      <c r="J125" s="2" t="inlineStr"/>
      <c r="K125" s="2" t="inlineStr"/>
      <c r="L125" s="2" t="inlineStr"/>
      <c r="M125" s="2" t="inlineStr">
        <is>
          <t>https://www.lifegene.co.il/automated_liquid_handler</t>
        </is>
      </c>
    </row>
    <row r="126">
      <c r="A126" s="2" t="n">
        <v>80</v>
      </c>
      <c r="B126" s="2" t="inlineStr">
        <is>
          <t>SPT Labtech</t>
        </is>
      </c>
      <c r="C126" s="2" t="inlineStr">
        <is>
          <t>distributor</t>
        </is>
      </c>
      <c r="D126" s="2" t="inlineStr">
        <is>
          <t>Agentek (1987) Ltd.</t>
        </is>
      </c>
      <c r="E126" s="2" t="inlineStr">
        <is>
          <t>אגנטק</t>
        </is>
      </c>
      <c r="F126" s="2" t="inlineStr">
        <is>
          <t>מפיץ</t>
        </is>
      </c>
      <c r="G126" s="2" t="inlineStr">
        <is>
          <t>SPT Labtech distributor for Israel (listed on sptlabtech.com/distributors; Agentek has an SPT Labtech brand page)</t>
        </is>
      </c>
      <c r="H126" s="2" t="inlineStr">
        <is>
          <t>https://agentek.co.il</t>
        </is>
      </c>
      <c r="I126" s="2" t="inlineStr"/>
      <c r="J126" s="2" t="inlineStr"/>
      <c r="K126" s="2" t="inlineStr"/>
      <c r="L126" s="2" t="inlineStr"/>
      <c r="M126" s="2" t="inlineStr">
        <is>
          <t>https://www.sptlabtech.com/distributors</t>
        </is>
      </c>
    </row>
    <row r="127">
      <c r="A127" s="2" t="n">
        <v>81</v>
      </c>
      <c r="B127" s="2" t="inlineStr">
        <is>
          <t>OHAUS (Mettler-Toledo)</t>
        </is>
      </c>
      <c r="C127" s="2" t="inlineStr">
        <is>
          <t>distributor</t>
        </is>
      </c>
      <c r="D127" s="2" t="inlineStr">
        <is>
          <t>Labotal Scientific Equipment Ltd.</t>
        </is>
      </c>
      <c r="E127" s="2" t="inlineStr">
        <is>
          <t>לבוטל</t>
        </is>
      </c>
      <c r="F127" s="2" t="inlineStr">
        <is>
          <t>מפיץ</t>
        </is>
      </c>
      <c r="G127" s="2" t="inlineStr">
        <is>
          <t>OHAUS balances (listed among Labotal's represented firms)</t>
        </is>
      </c>
      <c r="H127" s="2" t="inlineStr">
        <is>
          <t>https://labotal.co.il</t>
        </is>
      </c>
      <c r="I127" s="2" t="inlineStr"/>
      <c r="J127" s="2" t="inlineStr"/>
      <c r="K127" s="2" t="inlineStr"/>
      <c r="L127" s="2" t="inlineStr"/>
      <c r="M127" s="2" t="inlineStr">
        <is>
          <t>https://labotal.co.il/sitemap/?lang=en</t>
        </is>
      </c>
    </row>
    <row r="128">
      <c r="A128" s="2" t="n">
        <v>82</v>
      </c>
      <c r="B128" s="2" t="inlineStr">
        <is>
          <t>KERN &amp; SOHN</t>
        </is>
      </c>
      <c r="C128" s="2" t="inlineStr">
        <is>
          <t>distributor</t>
        </is>
      </c>
      <c r="D128" s="2" t="inlineStr">
        <is>
          <t>BDL (bdl.co.il)</t>
        </is>
      </c>
      <c r="E128" s="2" t="inlineStr"/>
      <c r="F128" s="2" t="inlineStr">
        <is>
          <t>מפיץ</t>
        </is>
      </c>
      <c r="G128" s="2" t="inlineStr">
        <is>
          <t>KERN precision balances (EW-N / EG-N series, e.g. EW 220-3NM, EG 620-3NM) and Kern &amp; Sohn GmbH printers for KERN balances (YKN-01) listed on BDL's online catalogue with EUR prices; company's full name and authorised status not seen</t>
        </is>
      </c>
      <c r="H128" s="2" t="inlineStr">
        <is>
          <t>https://www.bdl.co.il</t>
        </is>
      </c>
      <c r="I128" s="2" t="inlineStr"/>
      <c r="J128" s="2" t="inlineStr"/>
      <c r="K128" s="2" t="inlineStr"/>
      <c r="L128" s="2" t="inlineStr"/>
      <c r="M128" s="2" t="inlineStr">
        <is>
          <t>https://www.bdl.co.il/Item.aspx?Name=Precision+balances+type+EW-N+and+EG-N&amp;SID=19921</t>
        </is>
      </c>
    </row>
    <row r="129">
      <c r="A129" s="2" t="n">
        <v>83</v>
      </c>
      <c r="B129" s="2" t="inlineStr">
        <is>
          <t>A&amp;D Company (A&amp;D HOLON Holdings)</t>
        </is>
      </c>
      <c r="C129" s="2" t="inlineStr">
        <is>
          <t>none_found</t>
        </is>
      </c>
      <c r="D129" s="2" t="inlineStr">
        <is>
          <t>—</t>
        </is>
      </c>
      <c r="E129" s="2" t="inlineStr"/>
      <c r="F129" s="2" t="inlineStr"/>
      <c r="G129" s="2" t="inlineStr"/>
      <c r="H129" s="2" t="inlineStr"/>
      <c r="I129" s="2" t="inlineStr"/>
      <c r="J129" s="2" t="inlineStr"/>
      <c r="K129" s="2" t="inlineStr"/>
      <c r="L129" s="2" t="inlineStr"/>
      <c r="M129" s="2" t="inlineStr"/>
    </row>
    <row r="130">
      <c r="A130" s="2" t="n">
        <v>84</v>
      </c>
      <c r="B130" s="2" t="inlineStr">
        <is>
          <t>Gilson</t>
        </is>
      </c>
      <c r="C130" s="2" t="inlineStr">
        <is>
          <t>distributor</t>
        </is>
      </c>
      <c r="D130" s="2" t="inlineStr">
        <is>
          <t>Agentek (1987) Ltd.</t>
        </is>
      </c>
      <c r="E130" s="2" t="inlineStr">
        <is>
          <t>אגנטק</t>
        </is>
      </c>
      <c r="F130" s="2" t="inlineStr">
        <is>
          <t>מפיץ</t>
        </is>
      </c>
      <c r="G130" s="2" t="inlineStr">
        <is>
          <t>Gilson liquid handling (per Agentek vendors list)</t>
        </is>
      </c>
      <c r="H130" s="2" t="inlineStr">
        <is>
          <t>https://agentek.co.il</t>
        </is>
      </c>
      <c r="I130" s="2" t="inlineStr"/>
      <c r="J130" s="2" t="inlineStr"/>
      <c r="K130" s="2" t="inlineStr"/>
      <c r="L130" s="2" t="inlineStr"/>
      <c r="M130" s="2" t="inlineStr">
        <is>
          <t>https://agentek.co.il/vendors/</t>
        </is>
      </c>
    </row>
    <row r="131">
      <c r="A131" s="2" t="n">
        <v>84</v>
      </c>
      <c r="B131" s="2" t="inlineStr">
        <is>
          <t>Gilson</t>
        </is>
      </c>
      <c r="C131" s="2" t="inlineStr">
        <is>
          <t>distributor</t>
        </is>
      </c>
      <c r="D131" s="2" t="inlineStr">
        <is>
          <t>Lifegene Ltd.</t>
        </is>
      </c>
      <c r="E131" s="2" t="inlineStr">
        <is>
          <t>לייפג'ין</t>
        </is>
      </c>
      <c r="F131" s="2" t="inlineStr">
        <is>
          <t>מפיץ</t>
        </is>
      </c>
      <c r="G131" s="2" t="inlineStr">
        <is>
          <t>https://www.lifegene.co.il</t>
        </is>
      </c>
      <c r="H131" s="2" t="inlineStr">
        <is>
          <t>Gilson PIPETMAN pipettes and accessories (Lifegene Gilson brand/category pages)</t>
        </is>
      </c>
      <c r="I131" s="2" t="inlineStr"/>
      <c r="J131" s="2" t="inlineStr"/>
      <c r="K131" s="2" t="inlineStr"/>
      <c r="L131" s="2" t="inlineStr"/>
      <c r="M131" s="2" t="inlineStr">
        <is>
          <t>https://lifegene.co.il/product-category/instrumentation/pipettes/gilson/</t>
        </is>
      </c>
    </row>
    <row r="132">
      <c r="A132" s="2" t="n">
        <v>85</v>
      </c>
      <c r="B132" s="2" t="inlineStr">
        <is>
          <t>INTEGRA Biosciences</t>
        </is>
      </c>
      <c r="C132" s="2" t="inlineStr">
        <is>
          <t>distributor</t>
        </is>
      </c>
      <c r="D132" s="2" t="inlineStr">
        <is>
          <t>Medent - Scientific Equipment Ltd.</t>
        </is>
      </c>
      <c r="E132" s="2" t="inlineStr"/>
      <c r="F132" s="2" t="inlineStr">
        <is>
          <t>מפיץ</t>
        </is>
      </c>
      <c r="G132" s="2" t="inlineStr">
        <is>
          <t>INTEGRA liquid-handling products (VIAFLO, ASSIST PLUS, VACUSAFE etc.) - listed as INTEGRA's distributor for Israel, Beer Sheva 84206</t>
        </is>
      </c>
      <c r="H132" s="2" t="inlineStr">
        <is>
          <t>https://www.medent.co.il</t>
        </is>
      </c>
      <c r="I132" s="2" t="inlineStr"/>
      <c r="J132" s="2" t="inlineStr"/>
      <c r="K132" s="2" t="inlineStr"/>
      <c r="L132" s="2" t="inlineStr"/>
      <c r="M132" s="2" t="inlineStr">
        <is>
          <t>https://www.integra-biosciences.com/global/en/where-buy</t>
        </is>
      </c>
    </row>
    <row r="133">
      <c r="A133" s="2" t="n">
        <v>86</v>
      </c>
      <c r="B133" s="2" t="inlineStr">
        <is>
          <t>BMG LABTECH</t>
        </is>
      </c>
      <c r="C133" s="2" t="inlineStr">
        <is>
          <t>distributor</t>
        </is>
      </c>
      <c r="D133" s="2" t="inlineStr">
        <is>
          <t>Zotal Ltd.</t>
        </is>
      </c>
      <c r="E133" s="2" t="inlineStr"/>
      <c r="F133" s="2" t="inlineStr">
        <is>
          <t>מפיץ</t>
        </is>
      </c>
      <c r="G133" s="2" t="inlineStr">
        <is>
          <t>BMG LABTECH microplate readers (CLARIOstar, PHERAstar etc.) - listed as BMG's Israel sales &amp; support contact, 4 Habarzel St., Tel Aviv 69710, sales@zotal.co.il</t>
        </is>
      </c>
      <c r="H133" s="2" t="inlineStr">
        <is>
          <t>https://www.zotal.co.il</t>
        </is>
      </c>
      <c r="I133" s="2" t="inlineStr"/>
      <c r="J133" s="2" t="inlineStr"/>
      <c r="K133" s="2" t="inlineStr"/>
      <c r="L133" s="2" t="inlineStr"/>
      <c r="M133" s="2" t="inlineStr">
        <is>
          <t>https://www.bmglabtech.com/en/sales-and-support-offices/</t>
        </is>
      </c>
    </row>
    <row r="134">
      <c r="A134" s="2" t="n">
        <v>87</v>
      </c>
      <c r="B134" s="2" t="inlineStr">
        <is>
          <t>Repligen</t>
        </is>
      </c>
      <c r="C134" s="2" t="inlineStr">
        <is>
          <t>none_found</t>
        </is>
      </c>
      <c r="D134" s="2" t="inlineStr">
        <is>
          <t>—</t>
        </is>
      </c>
      <c r="E134" s="2" t="inlineStr"/>
      <c r="F134" s="2" t="inlineStr"/>
      <c r="G134" s="2" t="inlineStr"/>
      <c r="H134" s="2" t="inlineStr"/>
      <c r="I134" s="2" t="inlineStr"/>
      <c r="J134" s="2" t="inlineStr"/>
      <c r="K134" s="2" t="inlineStr"/>
      <c r="L134" s="2" t="inlineStr"/>
      <c r="M134" s="2" t="inlineStr"/>
    </row>
    <row r="135">
      <c r="A135" s="2" t="n">
        <v>88</v>
      </c>
      <c r="B135" s="2" t="inlineStr">
        <is>
          <t>ZwickRoell</t>
        </is>
      </c>
      <c r="C135" s="2" t="inlineStr">
        <is>
          <t>distributor</t>
        </is>
      </c>
      <c r="D135" s="2" t="inlineStr">
        <is>
          <t>GLOBUS Technical Equipment Ltd.</t>
        </is>
      </c>
      <c r="E135" s="2" t="inlineStr"/>
      <c r="F135" s="2" t="inlineStr">
        <is>
          <t>מפיץ</t>
        </is>
      </c>
      <c r="G135" s="2" t="inlineStr">
        <is>
          <t>ZwickRoell sales partner for Israel (materials testing machines); Kadima Industrial Zone</t>
        </is>
      </c>
      <c r="H135" s="2" t="inlineStr"/>
      <c r="I135" s="2" t="inlineStr"/>
      <c r="J135" s="2" t="inlineStr"/>
      <c r="K135" s="2" t="inlineStr"/>
      <c r="L135" s="2" t="inlineStr"/>
      <c r="M135" s="2" t="inlineStr">
        <is>
          <t>https://www.zwickroell.com/company/locations-around-the-world/</t>
        </is>
      </c>
    </row>
    <row r="136">
      <c r="A136" s="2" t="n">
        <v>89</v>
      </c>
      <c r="B136" s="2" t="inlineStr">
        <is>
          <t>Kewaunee Scientific</t>
        </is>
      </c>
      <c r="C136" s="2" t="inlineStr">
        <is>
          <t>none_found</t>
        </is>
      </c>
      <c r="D136" s="2" t="inlineStr">
        <is>
          <t>—</t>
        </is>
      </c>
      <c r="E136" s="2" t="inlineStr"/>
      <c r="F136" s="2" t="inlineStr"/>
      <c r="G136" s="2" t="inlineStr"/>
      <c r="H136" s="2" t="inlineStr"/>
      <c r="I136" s="2" t="inlineStr"/>
      <c r="J136" s="2" t="inlineStr"/>
      <c r="K136" s="2" t="inlineStr"/>
      <c r="L136" s="2" t="inlineStr"/>
      <c r="M136" s="2" t="inlineStr"/>
    </row>
    <row r="137">
      <c r="A137" s="2" t="n">
        <v>90</v>
      </c>
      <c r="B137" s="2" t="inlineStr">
        <is>
          <t>WALDNER Laboreinrichtungen</t>
        </is>
      </c>
      <c r="C137" s="2" t="inlineStr">
        <is>
          <t>none_found</t>
        </is>
      </c>
      <c r="D137" s="2" t="inlineStr">
        <is>
          <t>—</t>
        </is>
      </c>
      <c r="E137" s="2" t="inlineStr"/>
      <c r="F137" s="2" t="inlineStr"/>
      <c r="G137" s="2" t="inlineStr"/>
      <c r="H137" s="2" t="inlineStr"/>
      <c r="I137" s="2" t="inlineStr"/>
      <c r="J137" s="2" t="inlineStr"/>
      <c r="K137" s="2" t="inlineStr"/>
      <c r="L137" s="2" t="inlineStr"/>
      <c r="M137" s="2" t="inlineStr"/>
    </row>
    <row r="138">
      <c r="A138" s="2" t="n">
        <v>91</v>
      </c>
      <c r="B138" s="2" t="inlineStr">
        <is>
          <t>DWK Life Sciences</t>
        </is>
      </c>
      <c r="C138" s="2" t="inlineStr">
        <is>
          <t>distributor</t>
        </is>
      </c>
      <c r="D138" s="2" t="inlineStr">
        <is>
          <t>Danyel Biotech Ltd. (Gamida for Life group)</t>
        </is>
      </c>
      <c r="E138" s="2" t="inlineStr">
        <is>
          <t>דניאל ביוטק</t>
        </is>
      </c>
      <c r="F138" s="2" t="inlineStr">
        <is>
          <t>מפיץ</t>
        </is>
      </c>
      <c r="G138" s="2" t="inlineStr">
        <is>
          <t>SciLabware ('a DWK Life Sciences company', UK): Pyrex borosilicate and Quickfit jointed glassware, MBL volumetric ware, Azlon plasticware and Wheaton packaging/dropper bottles - per Danyel's SciLabware brand page; DURAN and KIMBLE lines not shown</t>
        </is>
      </c>
      <c r="H138" s="2" t="inlineStr">
        <is>
          <t>https://www.danyel.co.il</t>
        </is>
      </c>
      <c r="I138" s="2" t="inlineStr"/>
      <c r="J138" s="2" t="inlineStr"/>
      <c r="K138" s="2" t="inlineStr"/>
      <c r="L138" s="2" t="inlineStr"/>
      <c r="M138" s="2" t="inlineStr">
        <is>
          <t>https://www.danyel.co.il/scilabware/</t>
        </is>
      </c>
    </row>
    <row r="139">
      <c r="A139" s="2" t="n">
        <v>92</v>
      </c>
      <c r="B139" s="2" t="inlineStr">
        <is>
          <t>Greiner Bio-One</t>
        </is>
      </c>
      <c r="C139" s="2" t="inlineStr">
        <is>
          <t>distributor</t>
        </is>
      </c>
      <c r="D139" s="2" t="inlineStr">
        <is>
          <t>Danyel Biotech Ltd. (Gamida for Life group)</t>
        </is>
      </c>
      <c r="E139" s="2" t="inlineStr">
        <is>
          <t>דניאל ביוטק</t>
        </is>
      </c>
      <c r="F139" s="2" t="inlineStr">
        <is>
          <t>מפיץ</t>
        </is>
      </c>
      <c r="G139" s="2" t="inlineStr">
        <is>
          <t>Greiner Bio-One plates, tubes and consumables (Danyel brand page)</t>
        </is>
      </c>
      <c r="H139" s="2" t="inlineStr">
        <is>
          <t>https://www.danyel.co.il</t>
        </is>
      </c>
      <c r="I139" s="2" t="inlineStr"/>
      <c r="J139" s="2" t="inlineStr"/>
      <c r="K139" s="2" t="inlineStr"/>
      <c r="L139" s="2" t="inlineStr"/>
      <c r="M139" s="2" t="inlineStr">
        <is>
          <t>https://www.danyel.co.il/greiner-bio-one/</t>
        </is>
      </c>
    </row>
    <row r="140">
      <c r="A140" s="2" t="n">
        <v>93</v>
      </c>
      <c r="B140" s="2" t="inlineStr">
        <is>
          <t>SARSTEDT</t>
        </is>
      </c>
      <c r="C140" s="2" t="inlineStr">
        <is>
          <t>distributor</t>
        </is>
      </c>
      <c r="D140" s="2" t="inlineStr">
        <is>
          <t>Tamar Laboratory Supplies Ltd.</t>
        </is>
      </c>
      <c r="E140" s="2" t="inlineStr">
        <is>
          <t>תמר ציוד מעבדתי</t>
        </is>
      </c>
      <c r="F140" s="2" t="inlineStr">
        <is>
          <t>מפיץ</t>
        </is>
      </c>
      <c r="G140" s="2" t="inlineStr">
        <is>
          <t>Sarstedt consumables (tubes, cuvettes, pipette tips) – Sarstedt is on Tamar's represented-companies page</t>
        </is>
      </c>
      <c r="H140" s="2" t="inlineStr">
        <is>
          <t>https://www.tamar.co.il</t>
        </is>
      </c>
      <c r="I140" s="2" t="inlineStr"/>
      <c r="J140" s="2" t="inlineStr"/>
      <c r="K140" s="2" t="inlineStr"/>
      <c r="L140" s="2" t="inlineStr"/>
      <c r="M140" s="2" t="inlineStr">
        <is>
          <t>https://www.tamar.co.il/represented-companies/</t>
        </is>
      </c>
    </row>
    <row r="141">
      <c r="A141" s="2" t="n">
        <v>94</v>
      </c>
      <c r="B141" s="2" t="inlineStr">
        <is>
          <t>BRAND (incl. VACUUBRAND)</t>
        </is>
      </c>
      <c r="C141" s="2" t="inlineStr">
        <is>
          <t>distributor</t>
        </is>
      </c>
      <c r="D141" s="2" t="inlineStr">
        <is>
          <t>Labotal Scientific Equipment Ltd.</t>
        </is>
      </c>
      <c r="E141" s="2" t="inlineStr">
        <is>
          <t>לבוטל</t>
        </is>
      </c>
      <c r="F141" s="2" t="inlineStr">
        <is>
          <t>מפיץ</t>
        </is>
      </c>
      <c r="G141" s="2" t="inlineStr">
        <is>
          <t>BRAND liquid handling (Transferpette S / electronic / alpha pipettes; carried since 2018) and VACUUBRAND diaphragm and ATEX vacuum pumps - Labotal states it is an authorised VACUUBRAND distributor for the laboratory segment</t>
        </is>
      </c>
      <c r="H141" s="2" t="inlineStr">
        <is>
          <t>https://labotal.co.il</t>
        </is>
      </c>
      <c r="I141" s="2" t="inlineStr"/>
      <c r="J141" s="2" t="inlineStr"/>
      <c r="K141" s="2" t="inlineStr"/>
      <c r="L141" s="2" t="inlineStr"/>
      <c r="M141" s="2" t="inlineStr">
        <is>
          <t>https://labotal.co.il/company-news/?lang=en</t>
        </is>
      </c>
    </row>
    <row r="142">
      <c r="A142" s="2" t="n">
        <v>95</v>
      </c>
      <c r="B142" s="2" t="inlineStr">
        <is>
          <t>Berthold Technologies</t>
        </is>
      </c>
      <c r="C142" s="2" t="inlineStr">
        <is>
          <t>distributor</t>
        </is>
      </c>
      <c r="D142" s="2" t="inlineStr">
        <is>
          <t>Danyel Biotech Ltd. (Gamida for Life group)</t>
        </is>
      </c>
      <c r="E142" s="2" t="inlineStr">
        <is>
          <t>דניאל ביוטק</t>
        </is>
      </c>
      <c r="F142" s="2" t="inlineStr">
        <is>
          <t>מפיץ</t>
        </is>
      </c>
      <c r="G142" s="2" t="inlineStr">
        <is>
          <t>Berthold Technologies bioanalytical instruments - Mithras LB 940 multimode reader, TriStar² LB 942, Lumat³ LB 9508 / MiniLumat luminometers, NightOWL in-vivo imager (Danyel brand page)</t>
        </is>
      </c>
      <c r="H142" s="2" t="inlineStr">
        <is>
          <t>https://www.danyel.co.il</t>
        </is>
      </c>
      <c r="I142" s="2" t="inlineStr"/>
      <c r="J142" s="2" t="inlineStr"/>
      <c r="K142" s="2" t="inlineStr"/>
      <c r="L142" s="2" t="inlineStr"/>
      <c r="M142" s="2" t="inlineStr">
        <is>
          <t>https://www.danyel.co.il/berthold-technologies/</t>
        </is>
      </c>
    </row>
    <row r="143">
      <c r="A143" s="2" t="n">
        <v>96</v>
      </c>
      <c r="B143" s="2" t="inlineStr">
        <is>
          <t>INFORS HT</t>
        </is>
      </c>
      <c r="C143" s="2" t="inlineStr">
        <is>
          <t>distributor</t>
        </is>
      </c>
      <c r="D143" s="2" t="inlineStr">
        <is>
          <t>Rhenium Research Laboratory Equipment Ltd. (Rhenium Group)</t>
        </is>
      </c>
      <c r="E143" s="2" t="inlineStr">
        <is>
          <t>רניום</t>
        </is>
      </c>
      <c r="F143" s="2" t="inlineStr">
        <is>
          <t>מפיץ</t>
        </is>
      </c>
      <c r="G143" s="2" t="inlineStr">
        <is>
          <t>INFORS HT incubator shakers, bioreactors and bioprocess software - listed as the Israel distributor (Modi'in) on INFORS HT's locations page</t>
        </is>
      </c>
      <c r="H143" s="2" t="inlineStr">
        <is>
          <t>https://www.rhenium.co.il</t>
        </is>
      </c>
      <c r="I143" s="2" t="inlineStr"/>
      <c r="J143" s="2" t="inlineStr"/>
      <c r="K143" s="2" t="inlineStr"/>
      <c r="L143" s="2" t="inlineStr"/>
      <c r="M143" s="2" t="inlineStr">
        <is>
          <t>https://infors-ht.com/en/infors-locations</t>
        </is>
      </c>
    </row>
    <row r="144">
      <c r="A144" s="2" t="n">
        <v>97</v>
      </c>
      <c r="B144" s="2" t="inlineStr">
        <is>
          <t>Nabertherm</t>
        </is>
      </c>
      <c r="C144" s="2" t="inlineStr">
        <is>
          <t>distributor</t>
        </is>
      </c>
      <c r="D144" s="2" t="inlineStr">
        <is>
          <t>Electrotherm Marketing 1978 Ltd.</t>
        </is>
      </c>
      <c r="E144" s="2" t="inlineStr">
        <is>
          <t>אלקטרוטרם</t>
        </is>
      </c>
      <c r="F144" s="2" t="inlineStr">
        <is>
          <t>מפיץ</t>
        </is>
      </c>
      <c r="G144" s="2" t="inlineStr">
        <is>
          <t>Nabertherm agent for Israel per Nabertherm's World-Wide Sales page (I.Z. Ramat Gabriel, P.O. Box 232, Migdal Haemek; sales@electrotherm.co.il; +972-77-8660777 / +972-4-8590900); Electrotherm's own site sells Nabertherm laboratory, high-temperature, melting, tube and drying furnaces and controllers</t>
        </is>
      </c>
      <c r="H144" s="2" t="inlineStr">
        <is>
          <t>https://www.electrotherm.co.il</t>
        </is>
      </c>
      <c r="I144" s="2" t="inlineStr"/>
      <c r="J144" s="2" t="inlineStr"/>
      <c r="K144" s="2" t="inlineStr"/>
      <c r="L144" s="2" t="inlineStr"/>
      <c r="M144" s="2" t="inlineStr">
        <is>
          <t>https://nabertherm.com/en/contact/world-wide-sales</t>
        </is>
      </c>
    </row>
    <row r="145">
      <c r="A145" s="2" t="n">
        <v>98</v>
      </c>
      <c r="B145" s="2" t="inlineStr">
        <is>
          <t>ELGA LabWater (Veolia)</t>
        </is>
      </c>
      <c r="C145" s="2" t="inlineStr">
        <is>
          <t>distributor</t>
        </is>
      </c>
      <c r="D145" s="2" t="inlineStr">
        <is>
          <t>Lumitron Ltd.</t>
        </is>
      </c>
      <c r="E145" s="2" t="inlineStr">
        <is>
          <t>לומיטרון</t>
        </is>
      </c>
      <c r="F145" s="2" t="inlineStr">
        <is>
          <t>מפיץ</t>
        </is>
      </c>
      <c r="G145" s="2" t="inlineStr">
        <is>
          <t>ELGA approved partner for Israel (ELGA 'Approved Partners' directory, tel. 972-52-525-6287)</t>
        </is>
      </c>
      <c r="H145" s="2" t="inlineStr">
        <is>
          <t>https://www.lumitron.co.il</t>
        </is>
      </c>
      <c r="I145" s="2" t="inlineStr"/>
      <c r="J145" s="2" t="inlineStr"/>
      <c r="K145" s="2" t="inlineStr"/>
      <c r="L145" s="2" t="inlineStr"/>
      <c r="M145" s="2" t="inlineStr">
        <is>
          <t>https://www.elgalabwater.com/about-us/approved-partners</t>
        </is>
      </c>
    </row>
    <row r="146">
      <c r="A146" s="2" t="n">
        <v>99</v>
      </c>
      <c r="B146" s="2" t="inlineStr">
        <is>
          <t>ATS Scientific Products (ex-SP Industries)</t>
        </is>
      </c>
      <c r="C146" s="2" t="inlineStr">
        <is>
          <t>none_found</t>
        </is>
      </c>
      <c r="D146" s="2" t="inlineStr">
        <is>
          <t>—</t>
        </is>
      </c>
      <c r="E146" s="2" t="inlineStr"/>
      <c r="F146" s="2" t="inlineStr"/>
      <c r="G146" s="2" t="inlineStr"/>
      <c r="H146" s="2" t="inlineStr"/>
      <c r="I146" s="2" t="inlineStr"/>
      <c r="J146" s="2" t="inlineStr"/>
      <c r="K146" s="2" t="inlineStr"/>
      <c r="L146" s="2" t="inlineStr"/>
      <c r="M146" s="2" t="inlineStr"/>
    </row>
    <row r="147">
      <c r="A147" s="2" t="n">
        <v>100</v>
      </c>
      <c r="B147" s="2" t="inlineStr">
        <is>
          <t>RADWAG</t>
        </is>
      </c>
      <c r="C147" s="2" t="inlineStr">
        <is>
          <t>distributor</t>
        </is>
      </c>
      <c r="D147" s="2" t="inlineStr">
        <is>
          <t>Lumitron Ltd.</t>
        </is>
      </c>
      <c r="E147" s="2" t="inlineStr">
        <is>
          <t>לומיטרון</t>
        </is>
      </c>
      <c r="F147" s="2" t="inlineStr">
        <is>
          <t>מפיץ</t>
        </is>
      </c>
      <c r="G147" s="2" t="inlineStr">
        <is>
          <t>RADWAG analytical and micro balances, precision balances, moisture analysers and checkweighers - dedicated Radwag brand page under 'Our brands' and hosted RADWAG datasheets (e.g. WTC 2000)</t>
        </is>
      </c>
      <c r="H147" s="2" t="inlineStr">
        <is>
          <t>https://www.lumitron.co.il</t>
        </is>
      </c>
      <c r="I147" s="2" t="inlineStr"/>
      <c r="J147" s="2" t="inlineStr"/>
      <c r="K147" s="2" t="inlineStr"/>
      <c r="L147" s="2" t="inlineStr"/>
      <c r="M147" s="2" t="inlineStr">
        <is>
          <t>https://www.lumitron.co.il/our-brands/radwag/?lang=en</t>
        </is>
      </c>
    </row>
  </sheetData>
  <autoFilter ref="A1:M1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7" customWidth="1" min="3" max="3"/>
    <col width="34" customWidth="1" min="4" max="4"/>
    <col width="50" customWidth="1" min="5" max="5"/>
  </cols>
  <sheetData>
    <row r="1">
      <c r="A1" s="4" t="inlineStr">
        <is>
          <t># יצרן</t>
        </is>
      </c>
      <c r="B1" s="4" t="inlineStr">
        <is>
          <t>יצרן / Manufacturer</t>
        </is>
      </c>
      <c r="C1" s="4" t="inlineStr">
        <is>
          <t>מס׳ / Rank</t>
        </is>
      </c>
      <c r="D1" s="4" t="inlineStr">
        <is>
          <t>מוצר / Product</t>
        </is>
      </c>
      <c r="E1" s="4" t="inlineStr">
        <is>
          <t>תיאור / Description</t>
        </is>
      </c>
    </row>
    <row r="2">
      <c r="A2" s="2" t="n">
        <v>1</v>
      </c>
      <c r="B2" s="2" t="inlineStr">
        <is>
          <t>Thermo Fisher Scientific</t>
        </is>
      </c>
      <c r="C2" s="2" t="n">
        <v>1</v>
      </c>
      <c r="D2" s="2" t="inlineStr">
        <is>
          <t>Thermo Scientific Orbitrap Astral</t>
        </is>
      </c>
      <c r="E2" s="2" t="inlineStr">
        <is>
          <t>high-resolution Orbitrap LC-MS mass spectrometer</t>
        </is>
      </c>
    </row>
    <row r="3">
      <c r="A3" s="2" t="n">
        <v>1</v>
      </c>
      <c r="B3" s="2" t="inlineStr">
        <is>
          <t>Thermo Fisher Scientific</t>
        </is>
      </c>
      <c r="C3" s="2" t="n">
        <v>2</v>
      </c>
      <c r="D3" s="2" t="inlineStr">
        <is>
          <t>Applied Biosystems QuantStudio</t>
        </is>
      </c>
      <c r="E3" s="2" t="inlineStr">
        <is>
          <t>real-time PCR (qPCR/dPCR) instrument family</t>
        </is>
      </c>
    </row>
    <row r="4">
      <c r="A4" s="2" t="n">
        <v>1</v>
      </c>
      <c r="B4" s="2" t="inlineStr">
        <is>
          <t>Thermo Fisher Scientific</t>
        </is>
      </c>
      <c r="C4" s="2" t="n">
        <v>3</v>
      </c>
      <c r="D4" s="2" t="inlineStr">
        <is>
          <t>Thermo Scientific Krios cryo-TEM</t>
        </is>
      </c>
      <c r="E4" s="2" t="inlineStr">
        <is>
          <t>cryo-electron microscope for structural biology</t>
        </is>
      </c>
    </row>
    <row r="5">
      <c r="A5" s="2" t="n">
        <v>2</v>
      </c>
      <c r="B5" s="2" t="inlineStr">
        <is>
          <t>Agilent Technologies</t>
        </is>
      </c>
      <c r="C5" s="2" t="n">
        <v>1</v>
      </c>
      <c r="D5" s="2" t="inlineStr">
        <is>
          <t>Agilent 1290 Infinity III LC</t>
        </is>
      </c>
      <c r="E5" s="2" t="inlineStr">
        <is>
          <t>flagship UHPLC liquid chromatography system</t>
        </is>
      </c>
    </row>
    <row r="6">
      <c r="A6" s="2" t="n">
        <v>2</v>
      </c>
      <c r="B6" s="2" t="inlineStr">
        <is>
          <t>Agilent Technologies</t>
        </is>
      </c>
      <c r="C6" s="2" t="n">
        <v>2</v>
      </c>
      <c r="D6" s="2" t="inlineStr">
        <is>
          <t>Agilent 8890 GC / 7010 Triple Quad GC/MS</t>
        </is>
      </c>
      <c r="E6" s="2" t="inlineStr">
        <is>
          <t>gas chromatograph and GC-MS/MS systems</t>
        </is>
      </c>
    </row>
    <row r="7">
      <c r="A7" s="2" t="n">
        <v>2</v>
      </c>
      <c r="B7" s="2" t="inlineStr">
        <is>
          <t>Agilent Technologies</t>
        </is>
      </c>
      <c r="C7" s="2" t="n">
        <v>3</v>
      </c>
      <c r="D7" s="2" t="inlineStr">
        <is>
          <t>Agilent BioTek Cytation</t>
        </is>
      </c>
      <c r="E7" s="2" t="inlineStr">
        <is>
          <t>cell imaging multimode microplate reader</t>
        </is>
      </c>
    </row>
    <row r="8">
      <c r="A8" s="2" t="n">
        <v>3</v>
      </c>
      <c r="B8" s="2" t="inlineStr">
        <is>
          <t>Merck KGaA – Life Science (MilliporeSigma / Sigma-Aldrich / Merck Millipore)</t>
        </is>
      </c>
      <c r="C8" s="2" t="n">
        <v>1</v>
      </c>
      <c r="D8" s="2" t="inlineStr">
        <is>
          <t>Milli-Q</t>
        </is>
      </c>
      <c r="E8" s="2" t="inlineStr">
        <is>
          <t>laboratory ultrapure / pure water purification systems</t>
        </is>
      </c>
    </row>
    <row r="9">
      <c r="A9" s="2" t="n">
        <v>3</v>
      </c>
      <c r="B9" s="2" t="inlineStr">
        <is>
          <t>Merck KGaA – Life Science (MilliporeSigma / Sigma-Aldrich / Merck Millipore)</t>
        </is>
      </c>
      <c r="C9" s="2" t="n">
        <v>2</v>
      </c>
      <c r="D9" s="2" t="inlineStr">
        <is>
          <t>Millipore filtration (Millex, Stericup, Mobius)</t>
        </is>
      </c>
      <c r="E9" s="2" t="inlineStr">
        <is>
          <t>lab filtration and single-use bioprocess products</t>
        </is>
      </c>
    </row>
    <row r="10">
      <c r="A10" s="2" t="n">
        <v>3</v>
      </c>
      <c r="B10" s="2" t="inlineStr">
        <is>
          <t>Merck KGaA – Life Science (MilliporeSigma / Sigma-Aldrich / Merck Millipore)</t>
        </is>
      </c>
      <c r="C10" s="2" t="n">
        <v>3</v>
      </c>
      <c r="D10" s="2" t="inlineStr">
        <is>
          <t>Sigma-Aldrich research chemicals</t>
        </is>
      </c>
      <c r="E10" s="2" t="inlineStr">
        <is>
          <t>reagents, biochemicals and analytical standards</t>
        </is>
      </c>
    </row>
    <row r="11">
      <c r="A11" s="2" t="n">
        <v>4</v>
      </c>
      <c r="B11" s="2" t="inlineStr">
        <is>
          <t>Waters Corporation</t>
        </is>
      </c>
      <c r="C11" s="2" t="n">
        <v>1</v>
      </c>
      <c r="D11" s="2" t="inlineStr">
        <is>
          <t>ACQUITY Premier UPLC</t>
        </is>
      </c>
      <c r="E11" s="2" t="inlineStr">
        <is>
          <t>ultra-performance liquid chromatography systems</t>
        </is>
      </c>
    </row>
    <row r="12">
      <c r="A12" s="2" t="n">
        <v>4</v>
      </c>
      <c r="B12" s="2" t="inlineStr">
        <is>
          <t>Waters Corporation</t>
        </is>
      </c>
      <c r="C12" s="2" t="n">
        <v>2</v>
      </c>
      <c r="D12" s="2" t="inlineStr">
        <is>
          <t>Xevo TQ Absolute</t>
        </is>
      </c>
      <c r="E12" s="2" t="inlineStr">
        <is>
          <t>tandem quadrupole LC-MS/MS mass spectrometer</t>
        </is>
      </c>
    </row>
    <row r="13">
      <c r="A13" s="2" t="n">
        <v>4</v>
      </c>
      <c r="B13" s="2" t="inlineStr">
        <is>
          <t>Waters Corporation</t>
        </is>
      </c>
      <c r="C13" s="2" t="n">
        <v>3</v>
      </c>
      <c r="D13" s="2" t="inlineStr">
        <is>
          <t>Empower CDS</t>
        </is>
      </c>
      <c r="E13" s="2" t="inlineStr">
        <is>
          <t>chromatography data system software</t>
        </is>
      </c>
    </row>
    <row r="14">
      <c r="A14" s="2" t="n">
        <v>5</v>
      </c>
      <c r="B14" s="2" t="inlineStr">
        <is>
          <t>Bruker Corporation</t>
        </is>
      </c>
      <c r="C14" s="2" t="n">
        <v>1</v>
      </c>
      <c r="D14" s="2" t="inlineStr">
        <is>
          <t>AVANCE NEO NMR</t>
        </is>
      </c>
      <c r="E14" s="2" t="inlineStr">
        <is>
          <t>high-field NMR spectrometers (BioSpin)</t>
        </is>
      </c>
    </row>
    <row r="15">
      <c r="A15" s="2" t="n">
        <v>5</v>
      </c>
      <c r="B15" s="2" t="inlineStr">
        <is>
          <t>Bruker Corporation</t>
        </is>
      </c>
      <c r="C15" s="2" t="n">
        <v>2</v>
      </c>
      <c r="D15" s="2" t="inlineStr">
        <is>
          <t>timsTOF</t>
        </is>
      </c>
      <c r="E15" s="2" t="inlineStr">
        <is>
          <t>trapped-ion-mobility Q-TOF mass spectrometers (Daltonics)</t>
        </is>
      </c>
    </row>
    <row r="16">
      <c r="A16" s="2" t="n">
        <v>5</v>
      </c>
      <c r="B16" s="2" t="inlineStr">
        <is>
          <t>Bruker Corporation</t>
        </is>
      </c>
      <c r="C16" s="2" t="n">
        <v>3</v>
      </c>
      <c r="D16" s="2" t="inlineStr">
        <is>
          <t>D8 ADVANCE / Dimension AFM</t>
        </is>
      </c>
      <c r="E16" s="2" t="inlineStr">
        <is>
          <t>X-ray diffraction and atomic force microscopy systems</t>
        </is>
      </c>
    </row>
    <row r="17">
      <c r="A17" s="2" t="n">
        <v>6</v>
      </c>
      <c r="B17" s="2" t="inlineStr">
        <is>
          <t>Shimadzu Corporation</t>
        </is>
      </c>
      <c r="C17" s="2" t="n">
        <v>1</v>
      </c>
      <c r="D17" s="2" t="inlineStr">
        <is>
          <t>Nexera UHPLC series</t>
        </is>
      </c>
      <c r="E17" s="2" t="inlineStr">
        <is>
          <t>ultra-high-performance liquid chromatographs</t>
        </is>
      </c>
    </row>
    <row r="18">
      <c r="A18" s="2" t="n">
        <v>6</v>
      </c>
      <c r="B18" s="2" t="inlineStr">
        <is>
          <t>Shimadzu Corporation</t>
        </is>
      </c>
      <c r="C18" s="2" t="n">
        <v>2</v>
      </c>
      <c r="D18" s="2" t="inlineStr">
        <is>
          <t>LCMS-8060NX / LCMS-9050</t>
        </is>
      </c>
      <c r="E18" s="2" t="inlineStr">
        <is>
          <t>triple-quadrupole and Q-TOF LC-MS/MS systems</t>
        </is>
      </c>
    </row>
    <row r="19">
      <c r="A19" s="2" t="n">
        <v>6</v>
      </c>
      <c r="B19" s="2" t="inlineStr">
        <is>
          <t>Shimadzu Corporation</t>
        </is>
      </c>
      <c r="C19" s="2" t="n">
        <v>3</v>
      </c>
      <c r="D19" s="2" t="inlineStr">
        <is>
          <t>GCMS-QP2050</t>
        </is>
      </c>
      <c r="E19" s="2" t="inlineStr">
        <is>
          <t>single-quadrupole GC-MS system</t>
        </is>
      </c>
    </row>
    <row r="20">
      <c r="A20" s="2" t="n">
        <v>7</v>
      </c>
      <c r="B20" s="2" t="inlineStr">
        <is>
          <t>Mettler-Toledo International</t>
        </is>
      </c>
      <c r="C20" s="2" t="n">
        <v>1</v>
      </c>
      <c r="D20" s="2" t="inlineStr">
        <is>
          <t>XPR analytical &amp; micro balances</t>
        </is>
      </c>
      <c r="E20" s="2" t="inlineStr">
        <is>
          <t>high-precision laboratory balances</t>
        </is>
      </c>
    </row>
    <row r="21">
      <c r="A21" s="2" t="n">
        <v>7</v>
      </c>
      <c r="B21" s="2" t="inlineStr">
        <is>
          <t>Mettler-Toledo International</t>
        </is>
      </c>
      <c r="C21" s="2" t="n">
        <v>2</v>
      </c>
      <c r="D21" s="2" t="inlineStr">
        <is>
          <t>Rainin Pipet-Lite XLS / E4 XLS</t>
        </is>
      </c>
      <c r="E21" s="2" t="inlineStr">
        <is>
          <t>manual and electronic pipettes</t>
        </is>
      </c>
    </row>
    <row r="22">
      <c r="A22" s="2" t="n">
        <v>7</v>
      </c>
      <c r="B22" s="2" t="inlineStr">
        <is>
          <t>Mettler-Toledo International</t>
        </is>
      </c>
      <c r="C22" s="2" t="n">
        <v>3</v>
      </c>
      <c r="D22" s="2" t="inlineStr">
        <is>
          <t>Excellence Titrators &amp; SevenExcellence meters</t>
        </is>
      </c>
      <c r="E22" s="2" t="inlineStr">
        <is>
          <t>titration and pH/ion analysis</t>
        </is>
      </c>
    </row>
    <row r="23">
      <c r="A23" s="2" t="n">
        <v>8</v>
      </c>
      <c r="B23" s="2" t="inlineStr">
        <is>
          <t>Sartorius AG</t>
        </is>
      </c>
      <c r="C23" s="2" t="n">
        <v>1</v>
      </c>
      <c r="D23" s="2" t="inlineStr">
        <is>
          <t>Octet BLI systems</t>
        </is>
      </c>
      <c r="E23" s="2" t="inlineStr">
        <is>
          <t>label-free bio-layer interferometry analyzers</t>
        </is>
      </c>
    </row>
    <row r="24">
      <c r="A24" s="2" t="n">
        <v>8</v>
      </c>
      <c r="B24" s="2" t="inlineStr">
        <is>
          <t>Sartorius AG</t>
        </is>
      </c>
      <c r="C24" s="2" t="n">
        <v>2</v>
      </c>
      <c r="D24" s="2" t="inlineStr">
        <is>
          <t>Biostat STR</t>
        </is>
      </c>
      <c r="E24" s="2" t="inlineStr">
        <is>
          <t>single-use stirred-tank bioreactors</t>
        </is>
      </c>
    </row>
    <row r="25">
      <c r="A25" s="2" t="n">
        <v>8</v>
      </c>
      <c r="B25" s="2" t="inlineStr">
        <is>
          <t>Sartorius AG</t>
        </is>
      </c>
      <c r="C25" s="2" t="n">
        <v>3</v>
      </c>
      <c r="D25" s="2" t="inlineStr">
        <is>
          <t>Cubis II balances</t>
        </is>
      </c>
      <c r="E25" s="2" t="inlineStr">
        <is>
          <t>modular premium laboratory balances</t>
        </is>
      </c>
    </row>
    <row r="26">
      <c r="A26" s="2" t="n">
        <v>9</v>
      </c>
      <c r="B26" s="2" t="inlineStr">
        <is>
          <t>Revvity</t>
        </is>
      </c>
      <c r="C26" s="2" t="n">
        <v>1</v>
      </c>
      <c r="D26" s="2" t="inlineStr">
        <is>
          <t>EnVision Nexus</t>
        </is>
      </c>
      <c r="E26" s="2" t="inlineStr">
        <is>
          <t>multimode microplate reader for HTS</t>
        </is>
      </c>
    </row>
    <row r="27">
      <c r="A27" s="2" t="n">
        <v>9</v>
      </c>
      <c r="B27" s="2" t="inlineStr">
        <is>
          <t>Revvity</t>
        </is>
      </c>
      <c r="C27" s="2" t="n">
        <v>2</v>
      </c>
      <c r="D27" s="2" t="inlineStr">
        <is>
          <t>Opera Phenix Plus</t>
        </is>
      </c>
      <c r="E27" s="2" t="inlineStr">
        <is>
          <t>high-content screening / imaging system</t>
        </is>
      </c>
    </row>
    <row r="28">
      <c r="A28" s="2" t="n">
        <v>9</v>
      </c>
      <c r="B28" s="2" t="inlineStr">
        <is>
          <t>Revvity</t>
        </is>
      </c>
      <c r="C28" s="2" t="n">
        <v>3</v>
      </c>
      <c r="D28" s="2" t="inlineStr">
        <is>
          <t>BioLegend antibodies &amp; reagents</t>
        </is>
      </c>
      <c r="E28" s="2" t="inlineStr">
        <is>
          <t>research antibodies, immunoassays and proteins</t>
        </is>
      </c>
    </row>
    <row r="29">
      <c r="A29" s="2" t="n">
        <v>10</v>
      </c>
      <c r="B29" s="2" t="inlineStr">
        <is>
          <t>PerkinElmer (New Mountain Capital)</t>
        </is>
      </c>
      <c r="C29" s="2" t="n">
        <v>1</v>
      </c>
      <c r="D29" s="2" t="inlineStr">
        <is>
          <t>NexION ICP-MS</t>
        </is>
      </c>
      <c r="E29" s="2" t="inlineStr">
        <is>
          <t>inductively coupled plasma mass spectrometers</t>
        </is>
      </c>
    </row>
    <row r="30">
      <c r="A30" s="2" t="n">
        <v>10</v>
      </c>
      <c r="B30" s="2" t="inlineStr">
        <is>
          <t>PerkinElmer (New Mountain Capital)</t>
        </is>
      </c>
      <c r="C30" s="2" t="n">
        <v>2</v>
      </c>
      <c r="D30" s="2" t="inlineStr">
        <is>
          <t>Avio ICP-OES</t>
        </is>
      </c>
      <c r="E30" s="2" t="inlineStr">
        <is>
          <t>ICP optical emission spectrometers for elemental analysis</t>
        </is>
      </c>
    </row>
    <row r="31">
      <c r="A31" s="2" t="n">
        <v>10</v>
      </c>
      <c r="B31" s="2" t="inlineStr">
        <is>
          <t>PerkinElmer (New Mountain Capital)</t>
        </is>
      </c>
      <c r="C31" s="2" t="n">
        <v>3</v>
      </c>
      <c r="D31" s="2" t="inlineStr">
        <is>
          <t>Spectrum 3 / Lambda / Pyris</t>
        </is>
      </c>
      <c r="E31" s="2" t="inlineStr">
        <is>
          <t>FT-IR, UV-Vis and thermal analysis instruments</t>
        </is>
      </c>
    </row>
    <row r="32">
      <c r="A32" s="2" t="n">
        <v>11</v>
      </c>
      <c r="B32" s="2" t="inlineStr">
        <is>
          <t>Bio-Rad Laboratories</t>
        </is>
      </c>
      <c r="C32" s="2" t="n">
        <v>1</v>
      </c>
      <c r="D32" s="2" t="inlineStr">
        <is>
          <t>QX600 Droplet Digital PCR</t>
        </is>
      </c>
      <c r="E32" s="2" t="inlineStr">
        <is>
          <t>ddPCR absolute nucleic-acid quantification system</t>
        </is>
      </c>
    </row>
    <row r="33">
      <c r="A33" s="2" t="n">
        <v>11</v>
      </c>
      <c r="B33" s="2" t="inlineStr">
        <is>
          <t>Bio-Rad Laboratories</t>
        </is>
      </c>
      <c r="C33" s="2" t="n">
        <v>2</v>
      </c>
      <c r="D33" s="2" t="inlineStr">
        <is>
          <t>CFX Opus Real-Time PCR</t>
        </is>
      </c>
      <c r="E33" s="2" t="inlineStr">
        <is>
          <t>qPCR detection systems</t>
        </is>
      </c>
    </row>
    <row r="34">
      <c r="A34" s="2" t="n">
        <v>11</v>
      </c>
      <c r="B34" s="2" t="inlineStr">
        <is>
          <t>Bio-Rad Laboratories</t>
        </is>
      </c>
      <c r="C34" s="2" t="n">
        <v>3</v>
      </c>
      <c r="D34" s="2" t="inlineStr">
        <is>
          <t>ChemiDoc MP</t>
        </is>
      </c>
      <c r="E34" s="2" t="inlineStr">
        <is>
          <t>gel and western-blot imaging system</t>
        </is>
      </c>
    </row>
    <row r="35">
      <c r="A35" s="2" t="n">
        <v>12</v>
      </c>
      <c r="B35" s="2" t="inlineStr">
        <is>
          <t>Avantor (incl. VWR)</t>
        </is>
      </c>
      <c r="C35" s="2" t="n">
        <v>1</v>
      </c>
      <c r="D35" s="2" t="inlineStr">
        <is>
          <t>VWR-brand consumables and lab supplies</t>
        </is>
      </c>
      <c r="E35" s="2" t="inlineStr">
        <is>
          <t>lab products sold through the VWR distribution channel</t>
        </is>
      </c>
    </row>
    <row r="36">
      <c r="A36" s="2" t="n">
        <v>12</v>
      </c>
      <c r="B36" s="2" t="inlineStr">
        <is>
          <t>Avantor (incl. VWR)</t>
        </is>
      </c>
      <c r="C36" s="2" t="n">
        <v>2</v>
      </c>
      <c r="D36" s="2" t="inlineStr">
        <is>
          <t>J.T.Baker chemicals</t>
        </is>
      </c>
      <c r="E36" s="2" t="inlineStr">
        <is>
          <t>high-purity lab chemicals and solvents</t>
        </is>
      </c>
    </row>
    <row r="37">
      <c r="A37" s="2" t="n">
        <v>12</v>
      </c>
      <c r="B37" s="2" t="inlineStr">
        <is>
          <t>Avantor (incl. VWR)</t>
        </is>
      </c>
      <c r="C37" s="2" t="n">
        <v>3</v>
      </c>
      <c r="D37" s="2" t="inlineStr">
        <is>
          <t>NuSil silicones</t>
        </is>
      </c>
      <c r="E37" s="2" t="inlineStr">
        <is>
          <t>medical- and implant-grade silicone materials</t>
        </is>
      </c>
    </row>
    <row r="38">
      <c r="A38" s="2" t="n">
        <v>13</v>
      </c>
      <c r="B38" s="2" t="inlineStr">
        <is>
          <t>Eppendorf SE</t>
        </is>
      </c>
      <c r="C38" s="2" t="n">
        <v>1</v>
      </c>
      <c r="D38" s="2" t="inlineStr">
        <is>
          <t>Eppendorf Research plus</t>
        </is>
      </c>
      <c r="E38" s="2" t="inlineStr">
        <is>
          <t>manual mechanical pipettes</t>
        </is>
      </c>
    </row>
    <row r="39">
      <c r="A39" s="2" t="n">
        <v>13</v>
      </c>
      <c r="B39" s="2" t="inlineStr">
        <is>
          <t>Eppendorf SE</t>
        </is>
      </c>
      <c r="C39" s="2" t="n">
        <v>2</v>
      </c>
      <c r="D39" s="2" t="inlineStr">
        <is>
          <t>Centrifuge 5430 / 5910 Ri</t>
        </is>
      </c>
      <c r="E39" s="2" t="inlineStr">
        <is>
          <t>benchtop refrigerated centrifuges</t>
        </is>
      </c>
    </row>
    <row r="40">
      <c r="A40" s="2" t="n">
        <v>13</v>
      </c>
      <c r="B40" s="2" t="inlineStr">
        <is>
          <t>Eppendorf SE</t>
        </is>
      </c>
      <c r="C40" s="2" t="n">
        <v>3</v>
      </c>
      <c r="D40" s="2" t="inlineStr">
        <is>
          <t>epMotion</t>
        </is>
      </c>
      <c r="E40" s="2" t="inlineStr">
        <is>
          <t>automated liquid-handling workstations</t>
        </is>
      </c>
    </row>
    <row r="41">
      <c r="A41" s="2" t="n">
        <v>14</v>
      </c>
      <c r="B41" s="2" t="inlineStr">
        <is>
          <t>QIAGEN</t>
        </is>
      </c>
      <c r="C41" s="2" t="n">
        <v>1</v>
      </c>
      <c r="D41" s="2" t="inlineStr">
        <is>
          <t>QIAcube Connect</t>
        </is>
      </c>
      <c r="E41" s="2" t="inlineStr">
        <is>
          <t>automated nucleic-acid extraction instrument</t>
        </is>
      </c>
    </row>
    <row r="42">
      <c r="A42" s="2" t="n">
        <v>14</v>
      </c>
      <c r="B42" s="2" t="inlineStr">
        <is>
          <t>QIAGEN</t>
        </is>
      </c>
      <c r="C42" s="2" t="n">
        <v>2</v>
      </c>
      <c r="D42" s="2" t="inlineStr">
        <is>
          <t>QIAstat-Dx</t>
        </is>
      </c>
      <c r="E42" s="2" t="inlineStr">
        <is>
          <t>syndromic molecular diagnostic panel system</t>
        </is>
      </c>
    </row>
    <row r="43">
      <c r="A43" s="2" t="n">
        <v>14</v>
      </c>
      <c r="B43" s="2" t="inlineStr">
        <is>
          <t>QIAGEN</t>
        </is>
      </c>
      <c r="C43" s="2" t="n">
        <v>3</v>
      </c>
      <c r="D43" s="2" t="inlineStr">
        <is>
          <t>QuantiFERON-TB Gold Plus</t>
        </is>
      </c>
      <c r="E43" s="2" t="inlineStr">
        <is>
          <t>interferon-gamma TB blood test</t>
        </is>
      </c>
    </row>
    <row r="44">
      <c r="A44" s="2" t="n">
        <v>15</v>
      </c>
      <c r="B44" s="2" t="inlineStr">
        <is>
          <t>Illumina</t>
        </is>
      </c>
      <c r="C44" s="2" t="n">
        <v>1</v>
      </c>
      <c r="D44" s="2" t="inlineStr">
        <is>
          <t>NovaSeq X Series</t>
        </is>
      </c>
      <c r="E44" s="2" t="inlineStr">
        <is>
          <t>high-throughput production-scale sequencers</t>
        </is>
      </c>
    </row>
    <row r="45">
      <c r="A45" s="2" t="n">
        <v>15</v>
      </c>
      <c r="B45" s="2" t="inlineStr">
        <is>
          <t>Illumina</t>
        </is>
      </c>
      <c r="C45" s="2" t="n">
        <v>2</v>
      </c>
      <c r="D45" s="2" t="inlineStr">
        <is>
          <t>NextSeq 1000/2000</t>
        </is>
      </c>
      <c r="E45" s="2" t="inlineStr">
        <is>
          <t>mid-throughput benchtop sequencers</t>
        </is>
      </c>
    </row>
    <row r="46">
      <c r="A46" s="2" t="n">
        <v>15</v>
      </c>
      <c r="B46" s="2" t="inlineStr">
        <is>
          <t>Illumina</t>
        </is>
      </c>
      <c r="C46" s="2" t="n">
        <v>3</v>
      </c>
      <c r="D46" s="2" t="inlineStr">
        <is>
          <t>MiSeq i100</t>
        </is>
      </c>
      <c r="E46" s="2" t="inlineStr">
        <is>
          <t>compact benchtop sequencer</t>
        </is>
      </c>
    </row>
    <row r="47">
      <c r="A47" s="2" t="n">
        <v>16</v>
      </c>
      <c r="B47" s="2" t="inlineStr">
        <is>
          <t>Beckman Coulter (Danaher)</t>
        </is>
      </c>
      <c r="C47" s="2" t="n">
        <v>1</v>
      </c>
      <c r="D47" s="2" t="inlineStr">
        <is>
          <t>DxH 900</t>
        </is>
      </c>
      <c r="E47" s="2" t="inlineStr">
        <is>
          <t>hematology analyzer (Diagnostics)</t>
        </is>
      </c>
    </row>
    <row r="48">
      <c r="A48" s="2" t="n">
        <v>16</v>
      </c>
      <c r="B48" s="2" t="inlineStr">
        <is>
          <t>Beckman Coulter (Danaher)</t>
        </is>
      </c>
      <c r="C48" s="2" t="n">
        <v>2</v>
      </c>
      <c r="D48" s="2" t="inlineStr">
        <is>
          <t>DxI 9000 Access</t>
        </is>
      </c>
      <c r="E48" s="2" t="inlineStr">
        <is>
          <t>immunoassay analyzer (Diagnostics)</t>
        </is>
      </c>
    </row>
    <row r="49">
      <c r="A49" s="2" t="n">
        <v>16</v>
      </c>
      <c r="B49" s="2" t="inlineStr">
        <is>
          <t>Beckman Coulter (Danaher)</t>
        </is>
      </c>
      <c r="C49" s="2" t="n">
        <v>3</v>
      </c>
      <c r="D49" s="2" t="inlineStr">
        <is>
          <t>CytoFLEX</t>
        </is>
      </c>
      <c r="E49" s="2" t="inlineStr">
        <is>
          <t>benchtop flow cytometers (Life Sciences)</t>
        </is>
      </c>
    </row>
    <row r="50">
      <c r="A50" s="2" t="n">
        <v>17</v>
      </c>
      <c r="B50" s="2" t="inlineStr">
        <is>
          <t>Cytiva (Danaher)</t>
        </is>
      </c>
      <c r="C50" s="2" t="n">
        <v>1</v>
      </c>
      <c r="D50" s="2" t="inlineStr">
        <is>
          <t>AKTA</t>
        </is>
      </c>
      <c r="E50" s="2" t="inlineStr">
        <is>
          <t>protein purification chromatography systems</t>
        </is>
      </c>
    </row>
    <row r="51">
      <c r="A51" s="2" t="n">
        <v>17</v>
      </c>
      <c r="B51" s="2" t="inlineStr">
        <is>
          <t>Cytiva (Danaher)</t>
        </is>
      </c>
      <c r="C51" s="2" t="n">
        <v>2</v>
      </c>
      <c r="D51" s="2" t="inlineStr">
        <is>
          <t>MabSelect / Capto resins</t>
        </is>
      </c>
      <c r="E51" s="2" t="inlineStr">
        <is>
          <t>chromatography resins for biologics manufacturing</t>
        </is>
      </c>
    </row>
    <row r="52">
      <c r="A52" s="2" t="n">
        <v>17</v>
      </c>
      <c r="B52" s="2" t="inlineStr">
        <is>
          <t>Cytiva (Danaher)</t>
        </is>
      </c>
      <c r="C52" s="2" t="n">
        <v>3</v>
      </c>
      <c r="D52" s="2" t="inlineStr">
        <is>
          <t>Biacore</t>
        </is>
      </c>
      <c r="E52" s="2" t="inlineStr">
        <is>
          <t>surface plasmon resonance interaction analysis</t>
        </is>
      </c>
    </row>
    <row r="53">
      <c r="A53" s="2" t="n">
        <v>18</v>
      </c>
      <c r="B53" s="2" t="inlineStr">
        <is>
          <t>Leica Microsystems (Danaher)</t>
        </is>
      </c>
      <c r="C53" s="2" t="n">
        <v>1</v>
      </c>
      <c r="D53" s="2" t="inlineStr">
        <is>
          <t>STELLARIS</t>
        </is>
      </c>
      <c r="E53" s="2" t="inlineStr">
        <is>
          <t>confocal microscopy platform</t>
        </is>
      </c>
    </row>
    <row r="54">
      <c r="A54" s="2" t="n">
        <v>18</v>
      </c>
      <c r="B54" s="2" t="inlineStr">
        <is>
          <t>Leica Microsystems (Danaher)</t>
        </is>
      </c>
      <c r="C54" s="2" t="n">
        <v>2</v>
      </c>
      <c r="D54" s="2" t="inlineStr">
        <is>
          <t>Mica</t>
        </is>
      </c>
      <c r="E54" s="2" t="inlineStr">
        <is>
          <t>automated widefield/confocal imaging microhub</t>
        </is>
      </c>
    </row>
    <row r="55">
      <c r="A55" s="2" t="n">
        <v>18</v>
      </c>
      <c r="B55" s="2" t="inlineStr">
        <is>
          <t>Leica Microsystems (Danaher)</t>
        </is>
      </c>
      <c r="C55" s="2" t="n">
        <v>3</v>
      </c>
      <c r="D55" s="2" t="inlineStr">
        <is>
          <t>THUNDER Imagers</t>
        </is>
      </c>
      <c r="E55" s="2" t="inlineStr">
        <is>
          <t>computational-clearing widefield imaging systems</t>
        </is>
      </c>
    </row>
    <row r="56">
      <c r="A56" s="2" t="n">
        <v>19</v>
      </c>
      <c r="B56" s="2" t="inlineStr">
        <is>
          <t>SCIEX (Danaher)</t>
        </is>
      </c>
      <c r="C56" s="2" t="n">
        <v>1</v>
      </c>
      <c r="D56" s="2" t="inlineStr">
        <is>
          <t>ZenoTOF 7600+</t>
        </is>
      </c>
      <c r="E56" s="2" t="inlineStr">
        <is>
          <t>QTOF LC-MS/MS mass spectrometer</t>
        </is>
      </c>
    </row>
    <row r="57">
      <c r="A57" s="2" t="n">
        <v>19</v>
      </c>
      <c r="B57" s="2" t="inlineStr">
        <is>
          <t>SCIEX (Danaher)</t>
        </is>
      </c>
      <c r="C57" s="2" t="n">
        <v>2</v>
      </c>
      <c r="D57" s="2" t="inlineStr">
        <is>
          <t>SCIEX 7500+ (Triple Quad)</t>
        </is>
      </c>
      <c r="E57" s="2" t="inlineStr">
        <is>
          <t>triple-quadrupole LC-MS/MS system</t>
        </is>
      </c>
    </row>
    <row r="58">
      <c r="A58" s="2" t="n">
        <v>19</v>
      </c>
      <c r="B58" s="2" t="inlineStr">
        <is>
          <t>SCIEX (Danaher)</t>
        </is>
      </c>
      <c r="C58" s="2" t="n">
        <v>3</v>
      </c>
      <c r="D58" s="2" t="inlineStr">
        <is>
          <t>Echo MS+</t>
        </is>
      </c>
      <c r="E58" s="2" t="inlineStr">
        <is>
          <t>acoustic-ejection mass spectrometry system</t>
        </is>
      </c>
    </row>
    <row r="59">
      <c r="A59" s="2" t="n">
        <v>20</v>
      </c>
      <c r="B59" s="2" t="inlineStr">
        <is>
          <t>Molecular Devices (Danaher)</t>
        </is>
      </c>
      <c r="C59" s="2" t="n">
        <v>1</v>
      </c>
      <c r="D59" s="2" t="inlineStr">
        <is>
          <t>SpectraMax iD5 / i3x</t>
        </is>
      </c>
      <c r="E59" s="2" t="inlineStr">
        <is>
          <t>multi-mode microplate readers</t>
        </is>
      </c>
    </row>
    <row r="60">
      <c r="A60" s="2" t="n">
        <v>20</v>
      </c>
      <c r="B60" s="2" t="inlineStr">
        <is>
          <t>Molecular Devices (Danaher)</t>
        </is>
      </c>
      <c r="C60" s="2" t="n">
        <v>2</v>
      </c>
      <c r="D60" s="2" t="inlineStr">
        <is>
          <t>ImageXpress Confocal HT.ai</t>
        </is>
      </c>
      <c r="E60" s="2" t="inlineStr">
        <is>
          <t>high-content imaging and analysis system</t>
        </is>
      </c>
    </row>
    <row r="61">
      <c r="A61" s="2" t="n">
        <v>20</v>
      </c>
      <c r="B61" s="2" t="inlineStr">
        <is>
          <t>Molecular Devices (Danaher)</t>
        </is>
      </c>
      <c r="C61" s="2" t="n">
        <v>3</v>
      </c>
      <c r="D61" s="2" t="inlineStr">
        <is>
          <t>FLIPR Penta</t>
        </is>
      </c>
      <c r="E61" s="2" t="inlineStr">
        <is>
          <t>kinetic cellular screening (calcium/ion channel) system</t>
        </is>
      </c>
    </row>
    <row r="62">
      <c r="A62" s="2" t="n">
        <v>21</v>
      </c>
      <c r="B62" s="2" t="inlineStr">
        <is>
          <t>BD Biosciences &amp; BD Diagnostic Solutions (part of Waters since Feb 2026)</t>
        </is>
      </c>
      <c r="C62" s="2" t="n">
        <v>1</v>
      </c>
      <c r="D62" s="2" t="inlineStr">
        <is>
          <t>BD FACSDiscover S8</t>
        </is>
      </c>
      <c r="E62" s="2" t="inlineStr">
        <is>
          <t>spectral cell sorter with real-time cell imaging</t>
        </is>
      </c>
    </row>
    <row r="63">
      <c r="A63" s="2" t="n">
        <v>21</v>
      </c>
      <c r="B63" s="2" t="inlineStr">
        <is>
          <t>BD Biosciences &amp; BD Diagnostic Solutions (part of Waters since Feb 2026)</t>
        </is>
      </c>
      <c r="C63" s="2" t="n">
        <v>2</v>
      </c>
      <c r="D63" s="2" t="inlineStr">
        <is>
          <t>BD FACSymphony A5 SE / A1</t>
        </is>
      </c>
      <c r="E63" s="2" t="inlineStr">
        <is>
          <t>high-parameter spectral flow cytometry analyzers</t>
        </is>
      </c>
    </row>
    <row r="64">
      <c r="A64" s="2" t="n">
        <v>21</v>
      </c>
      <c r="B64" s="2" t="inlineStr">
        <is>
          <t>BD Biosciences &amp; BD Diagnostic Solutions (part of Waters since Feb 2026)</t>
        </is>
      </c>
      <c r="C64" s="2" t="n">
        <v>3</v>
      </c>
      <c r="D64" s="2" t="inlineStr">
        <is>
          <t>BD BACTEC FX, BD MAX, BD Phoenix</t>
        </is>
      </c>
      <c r="E64" s="2" t="inlineStr">
        <is>
          <t>blood-culture, molecular IVD and ID/AST systems</t>
        </is>
      </c>
    </row>
    <row r="65">
      <c r="A65" s="2" t="n">
        <v>22</v>
      </c>
      <c r="B65" s="2" t="inlineStr">
        <is>
          <t>Corning Life Sciences (Corning Inc.)</t>
        </is>
      </c>
      <c r="C65" s="2" t="n">
        <v>1</v>
      </c>
      <c r="D65" s="2" t="inlineStr">
        <is>
          <t>Falcon</t>
        </is>
      </c>
      <c r="E65" s="2" t="inlineStr">
        <is>
          <t>conical tubes, cell-culture plasticware, serological pipets</t>
        </is>
      </c>
    </row>
    <row r="66">
      <c r="A66" s="2" t="n">
        <v>22</v>
      </c>
      <c r="B66" s="2" t="inlineStr">
        <is>
          <t>Corning Life Sciences (Corning Inc.)</t>
        </is>
      </c>
      <c r="C66" s="2" t="n">
        <v>2</v>
      </c>
      <c r="D66" s="2" t="inlineStr">
        <is>
          <t>Corning Matrigel Matrix</t>
        </is>
      </c>
      <c r="E66" s="2" t="inlineStr">
        <is>
          <t>basement-membrane extract for 3D cell culture</t>
        </is>
      </c>
    </row>
    <row r="67">
      <c r="A67" s="2" t="n">
        <v>22</v>
      </c>
      <c r="B67" s="2" t="inlineStr">
        <is>
          <t>Corning Life Sciences (Corning Inc.)</t>
        </is>
      </c>
      <c r="C67" s="2" t="n">
        <v>3</v>
      </c>
      <c r="D67" s="2" t="inlineStr">
        <is>
          <t>Axygen</t>
        </is>
      </c>
      <c r="E67" s="2" t="inlineStr">
        <is>
          <t>pipette tips, PCR tubes/plates, genomics consumables</t>
        </is>
      </c>
    </row>
    <row r="68">
      <c r="A68" s="2" t="n">
        <v>23</v>
      </c>
      <c r="B68" s="2" t="inlineStr">
        <is>
          <t>Promega Corporation</t>
        </is>
      </c>
      <c r="C68" s="2" t="n">
        <v>1</v>
      </c>
      <c r="D68" s="2" t="inlineStr">
        <is>
          <t>Maxwell RSC</t>
        </is>
      </c>
      <c r="E68" s="2" t="inlineStr">
        <is>
          <t>automated nucleic acid purification instrument</t>
        </is>
      </c>
    </row>
    <row r="69">
      <c r="A69" s="2" t="n">
        <v>23</v>
      </c>
      <c r="B69" s="2" t="inlineStr">
        <is>
          <t>Promega Corporation</t>
        </is>
      </c>
      <c r="C69" s="2" t="n">
        <v>2</v>
      </c>
      <c r="D69" s="2" t="inlineStr">
        <is>
          <t>GloMax</t>
        </is>
      </c>
      <c r="E69" s="2" t="inlineStr">
        <is>
          <t>multimode microplate readers and luminometers</t>
        </is>
      </c>
    </row>
    <row r="70">
      <c r="A70" s="2" t="n">
        <v>23</v>
      </c>
      <c r="B70" s="2" t="inlineStr">
        <is>
          <t>Promega Corporation</t>
        </is>
      </c>
      <c r="C70" s="2" t="n">
        <v>3</v>
      </c>
      <c r="D70" s="2" t="inlineStr">
        <is>
          <t>CellTiter-Glo / Dual-Luciferase</t>
        </is>
      </c>
      <c r="E70" s="2" t="inlineStr">
        <is>
          <t>bioluminescent cell-viability and reporter assays</t>
        </is>
      </c>
    </row>
    <row r="71">
      <c r="A71" s="2" t="n">
        <v>24</v>
      </c>
      <c r="B71" s="2" t="inlineStr">
        <is>
          <t>New England Biolabs</t>
        </is>
      </c>
      <c r="C71" s="2" t="n">
        <v>1</v>
      </c>
      <c r="D71" s="2" t="inlineStr">
        <is>
          <t>Q5 High-Fidelity DNA Polymerase</t>
        </is>
      </c>
      <c r="E71" s="2" t="inlineStr">
        <is>
          <t>high-fidelity PCR enzyme and master mixes</t>
        </is>
      </c>
    </row>
    <row r="72">
      <c r="A72" s="2" t="n">
        <v>24</v>
      </c>
      <c r="B72" s="2" t="inlineStr">
        <is>
          <t>New England Biolabs</t>
        </is>
      </c>
      <c r="C72" s="2" t="n">
        <v>2</v>
      </c>
      <c r="D72" s="2" t="inlineStr">
        <is>
          <t>NEBNext</t>
        </is>
      </c>
      <c r="E72" s="2" t="inlineStr">
        <is>
          <t>NGS library-preparation kits</t>
        </is>
      </c>
    </row>
    <row r="73">
      <c r="A73" s="2" t="n">
        <v>24</v>
      </c>
      <c r="B73" s="2" t="inlineStr">
        <is>
          <t>New England Biolabs</t>
        </is>
      </c>
      <c r="C73" s="2" t="n">
        <v>3</v>
      </c>
      <c r="D73" s="2" t="inlineStr">
        <is>
          <t>Monarch</t>
        </is>
      </c>
      <c r="E73" s="2" t="inlineStr">
        <is>
          <t>nucleic acid purification kits</t>
        </is>
      </c>
    </row>
    <row r="74">
      <c r="A74" s="2" t="n">
        <v>25</v>
      </c>
      <c r="B74" s="2" t="inlineStr">
        <is>
          <t>Bio-Techne</t>
        </is>
      </c>
      <c r="C74" s="2" t="n">
        <v>1</v>
      </c>
      <c r="D74" s="2" t="inlineStr">
        <is>
          <t>ProteinSimple Jess / Simple Western</t>
        </is>
      </c>
      <c r="E74" s="2" t="inlineStr">
        <is>
          <t>automated capillary western-blot immunoassay systems</t>
        </is>
      </c>
    </row>
    <row r="75">
      <c r="A75" s="2" t="n">
        <v>25</v>
      </c>
      <c r="B75" s="2" t="inlineStr">
        <is>
          <t>Bio-Techne</t>
        </is>
      </c>
      <c r="C75" s="2" t="n">
        <v>2</v>
      </c>
      <c r="D75" s="2" t="inlineStr">
        <is>
          <t>R&amp;D Systems proteins, antibodies &amp; Quantikine ELISAs</t>
        </is>
      </c>
      <c r="E75" s="2" t="inlineStr">
        <is>
          <t>recombinant proteins, antibodies, immunoassay kits</t>
        </is>
      </c>
    </row>
    <row r="76">
      <c r="A76" s="2" t="n">
        <v>25</v>
      </c>
      <c r="B76" s="2" t="inlineStr">
        <is>
          <t>Bio-Techne</t>
        </is>
      </c>
      <c r="C76" s="2" t="n">
        <v>3</v>
      </c>
      <c r="D76" s="2" t="inlineStr">
        <is>
          <t>RNAscope (ACD)</t>
        </is>
      </c>
      <c r="E76" s="2" t="inlineStr">
        <is>
          <t>in situ hybridization assays for RNA detection</t>
        </is>
      </c>
    </row>
    <row r="77">
      <c r="A77" s="2" t="n">
        <v>26</v>
      </c>
      <c r="B77" s="2" t="inlineStr">
        <is>
          <t>Miltenyi Biotec</t>
        </is>
      </c>
      <c r="C77" s="2" t="n">
        <v>1</v>
      </c>
      <c r="D77" s="2" t="inlineStr">
        <is>
          <t>MACS MicroBeads / autoMACS / MultiMACS</t>
        </is>
      </c>
      <c r="E77" s="2" t="inlineStr">
        <is>
          <t>magnetic cell separation reagents and instruments</t>
        </is>
      </c>
    </row>
    <row r="78">
      <c r="A78" s="2" t="n">
        <v>26</v>
      </c>
      <c r="B78" s="2" t="inlineStr">
        <is>
          <t>Miltenyi Biotec</t>
        </is>
      </c>
      <c r="C78" s="2" t="n">
        <v>2</v>
      </c>
      <c r="D78" s="2" t="inlineStr">
        <is>
          <t>CliniMACS Prodigy</t>
        </is>
      </c>
      <c r="E78" s="2" t="inlineStr">
        <is>
          <t>automated closed-system cell-therapy manufacturing platform</t>
        </is>
      </c>
    </row>
    <row r="79">
      <c r="A79" s="2" t="n">
        <v>26</v>
      </c>
      <c r="B79" s="2" t="inlineStr">
        <is>
          <t>Miltenyi Biotec</t>
        </is>
      </c>
      <c r="C79" s="2" t="n">
        <v>3</v>
      </c>
      <c r="D79" s="2" t="inlineStr">
        <is>
          <t>MACSQuant Analyzer / MACSQuant Tyto</t>
        </is>
      </c>
      <c r="E79" s="2" t="inlineStr">
        <is>
          <t>flow cytometers and cartridge-based cell sorter</t>
        </is>
      </c>
    </row>
    <row r="80">
      <c r="A80" s="2" t="n">
        <v>27</v>
      </c>
      <c r="B80" s="2" t="inlineStr">
        <is>
          <t>10x Genomics</t>
        </is>
      </c>
      <c r="C80" s="2" t="n">
        <v>1</v>
      </c>
      <c r="D80" s="2" t="inlineStr">
        <is>
          <t>Chromium (X / Flex / GEM-X)</t>
        </is>
      </c>
      <c r="E80" s="2" t="inlineStr">
        <is>
          <t>single-cell gene-expression and multiomic platform</t>
        </is>
      </c>
    </row>
    <row r="81">
      <c r="A81" s="2" t="n">
        <v>27</v>
      </c>
      <c r="B81" s="2" t="inlineStr">
        <is>
          <t>10x Genomics</t>
        </is>
      </c>
      <c r="C81" s="2" t="n">
        <v>2</v>
      </c>
      <c r="D81" s="2" t="inlineStr">
        <is>
          <t>Visium HD</t>
        </is>
      </c>
      <c r="E81" s="2" t="inlineStr">
        <is>
          <t>high-resolution spatial transcriptomics</t>
        </is>
      </c>
    </row>
    <row r="82">
      <c r="A82" s="2" t="n">
        <v>27</v>
      </c>
      <c r="B82" s="2" t="inlineStr">
        <is>
          <t>10x Genomics</t>
        </is>
      </c>
      <c r="C82" s="2" t="n">
        <v>3</v>
      </c>
      <c r="D82" s="2" t="inlineStr">
        <is>
          <t>Xenium</t>
        </is>
      </c>
      <c r="E82" s="2" t="inlineStr">
        <is>
          <t>in situ single-cell spatial imaging platform</t>
        </is>
      </c>
    </row>
    <row r="83">
      <c r="A83" s="2" t="n">
        <v>28</v>
      </c>
      <c r="B83" s="2" t="inlineStr">
        <is>
          <t>Oxford Nanopore Technologies</t>
        </is>
      </c>
      <c r="C83" s="2" t="n">
        <v>1</v>
      </c>
      <c r="D83" s="2" t="inlineStr">
        <is>
          <t>PromethION (2 Solo / P24 / P48)</t>
        </is>
      </c>
      <c r="E83" s="2" t="inlineStr">
        <is>
          <t>high-throughput nanopore sequencers</t>
        </is>
      </c>
    </row>
    <row r="84">
      <c r="A84" s="2" t="n">
        <v>28</v>
      </c>
      <c r="B84" s="2" t="inlineStr">
        <is>
          <t>Oxford Nanopore Technologies</t>
        </is>
      </c>
      <c r="C84" s="2" t="n">
        <v>2</v>
      </c>
      <c r="D84" s="2" t="inlineStr">
        <is>
          <t>MinION</t>
        </is>
      </c>
      <c r="E84" s="2" t="inlineStr">
        <is>
          <t>portable USB nanopore sequencer</t>
        </is>
      </c>
    </row>
    <row r="85">
      <c r="A85" s="2" t="n">
        <v>28</v>
      </c>
      <c r="B85" s="2" t="inlineStr">
        <is>
          <t>Oxford Nanopore Technologies</t>
        </is>
      </c>
      <c r="C85" s="2" t="n">
        <v>3</v>
      </c>
      <c r="D85" s="2" t="inlineStr">
        <is>
          <t>GridION</t>
        </is>
      </c>
      <c r="E85" s="2" t="inlineStr">
        <is>
          <t>benchtop five-flow-cell nanopore sequencer</t>
        </is>
      </c>
    </row>
    <row r="86">
      <c r="A86" s="2" t="n">
        <v>29</v>
      </c>
      <c r="B86" s="2" t="inlineStr">
        <is>
          <t>Pacific Biosciences</t>
        </is>
      </c>
      <c r="C86" s="2" t="n">
        <v>1</v>
      </c>
      <c r="D86" s="2" t="inlineStr">
        <is>
          <t>Revio</t>
        </is>
      </c>
      <c r="E86" s="2" t="inlineStr">
        <is>
          <t>high-throughput long-read HiFi sequencing system</t>
        </is>
      </c>
    </row>
    <row r="87">
      <c r="A87" s="2" t="n">
        <v>29</v>
      </c>
      <c r="B87" s="2" t="inlineStr">
        <is>
          <t>Pacific Biosciences</t>
        </is>
      </c>
      <c r="C87" s="2" t="n">
        <v>2</v>
      </c>
      <c r="D87" s="2" t="inlineStr">
        <is>
          <t>Vega</t>
        </is>
      </c>
      <c r="E87" s="2" t="inlineStr">
        <is>
          <t>benchtop long-read HiFi sequencer</t>
        </is>
      </c>
    </row>
    <row r="88">
      <c r="A88" s="2" t="n">
        <v>29</v>
      </c>
      <c r="B88" s="2" t="inlineStr">
        <is>
          <t>Pacific Biosciences</t>
        </is>
      </c>
      <c r="C88" s="2" t="n">
        <v>3</v>
      </c>
      <c r="D88" s="2" t="inlineStr">
        <is>
          <t>Kinnex kits</t>
        </is>
      </c>
      <c r="E88" s="2" t="inlineStr">
        <is>
          <t>full-length RNA/16S HiFi library kits</t>
        </is>
      </c>
    </row>
    <row r="89">
      <c r="A89" s="2" t="n">
        <v>30</v>
      </c>
      <c r="B89" s="2" t="inlineStr">
        <is>
          <t>Tecan Group</t>
        </is>
      </c>
      <c r="C89" s="2" t="n">
        <v>1</v>
      </c>
      <c r="D89" s="2" t="inlineStr">
        <is>
          <t>Fluent</t>
        </is>
      </c>
      <c r="E89" s="2" t="inlineStr">
        <is>
          <t>automated liquid-handling workstation</t>
        </is>
      </c>
    </row>
    <row r="90">
      <c r="A90" s="2" t="n">
        <v>30</v>
      </c>
      <c r="B90" s="2" t="inlineStr">
        <is>
          <t>Tecan Group</t>
        </is>
      </c>
      <c r="C90" s="2" t="n">
        <v>2</v>
      </c>
      <c r="D90" s="2" t="inlineStr">
        <is>
          <t>Freedom EVO</t>
        </is>
      </c>
      <c r="E90" s="2" t="inlineStr">
        <is>
          <t>modular liquid-handling and robotics platform</t>
        </is>
      </c>
    </row>
    <row r="91">
      <c r="A91" s="2" t="n">
        <v>30</v>
      </c>
      <c r="B91" s="2" t="inlineStr">
        <is>
          <t>Tecan Group</t>
        </is>
      </c>
      <c r="C91" s="2" t="n">
        <v>3</v>
      </c>
      <c r="D91" s="2" t="inlineStr">
        <is>
          <t>Spark</t>
        </is>
      </c>
      <c r="E91" s="2" t="inlineStr">
        <is>
          <t>multimode microplate reader</t>
        </is>
      </c>
    </row>
    <row r="92">
      <c r="A92" s="2" t="n">
        <v>31</v>
      </c>
      <c r="B92" s="2" t="inlineStr">
        <is>
          <t>Hamilton Company</t>
        </is>
      </c>
      <c r="C92" s="2" t="n">
        <v>1</v>
      </c>
      <c r="D92" s="2" t="inlineStr">
        <is>
          <t>Microlab STAR / STARlet / Vantage</t>
        </is>
      </c>
      <c r="E92" s="2" t="inlineStr">
        <is>
          <t>automated liquid-handling workstations with CO-RE pipetting</t>
        </is>
      </c>
    </row>
    <row r="93">
      <c r="A93" s="2" t="n">
        <v>31</v>
      </c>
      <c r="B93" s="2" t="inlineStr">
        <is>
          <t>Hamilton Company</t>
        </is>
      </c>
      <c r="C93" s="2" t="n">
        <v>2</v>
      </c>
      <c r="D93" s="2" t="inlineStr">
        <is>
          <t>Hamilton precision syringes (Microliter / Gastight)</t>
        </is>
      </c>
      <c r="E93" s="2" t="inlineStr">
        <is>
          <t>glass microliter syringes for GC/HPLC autosamplers</t>
        </is>
      </c>
    </row>
    <row r="94">
      <c r="A94" s="2" t="n">
        <v>31</v>
      </c>
      <c r="B94" s="2" t="inlineStr">
        <is>
          <t>Hamilton Company</t>
        </is>
      </c>
      <c r="C94" s="2" t="n">
        <v>3</v>
      </c>
      <c r="D94" s="2" t="inlineStr">
        <is>
          <t>Hamilton Storage BiOS / SAM</t>
        </is>
      </c>
      <c r="E94" s="2" t="inlineStr">
        <is>
          <t>automated ultra-low-temperature sample storage systems</t>
        </is>
      </c>
    </row>
    <row r="95">
      <c r="A95" s="2" t="n">
        <v>32</v>
      </c>
      <c r="B95" s="2" t="inlineStr">
        <is>
          <t>Cytek Biosciences</t>
        </is>
      </c>
      <c r="C95" s="2" t="n">
        <v>1</v>
      </c>
      <c r="D95" s="2" t="inlineStr">
        <is>
          <t>Cytek Aurora</t>
        </is>
      </c>
      <c r="E95" s="2" t="inlineStr">
        <is>
          <t>full-spectrum flow cytometer, up to 5 lasers / 64 detectors</t>
        </is>
      </c>
    </row>
    <row r="96">
      <c r="A96" s="2" t="n">
        <v>32</v>
      </c>
      <c r="B96" s="2" t="inlineStr">
        <is>
          <t>Cytek Biosciences</t>
        </is>
      </c>
      <c r="C96" s="2" t="n">
        <v>2</v>
      </c>
      <c r="D96" s="2" t="inlineStr">
        <is>
          <t>Cytek Aurora CS</t>
        </is>
      </c>
      <c r="E96" s="2" t="inlineStr">
        <is>
          <t>full-spectrum cell sorter</t>
        </is>
      </c>
    </row>
    <row r="97">
      <c r="A97" s="2" t="n">
        <v>32</v>
      </c>
      <c r="B97" s="2" t="inlineStr">
        <is>
          <t>Cytek Biosciences</t>
        </is>
      </c>
      <c r="C97" s="2" t="n">
        <v>3</v>
      </c>
      <c r="D97" s="2" t="inlineStr">
        <is>
          <t>Cytek Northern Lights</t>
        </is>
      </c>
      <c r="E97" s="2" t="inlineStr">
        <is>
          <t>compact 1-3 laser spectral analyzer (also clinical/CE-IVD)</t>
        </is>
      </c>
    </row>
    <row r="98">
      <c r="A98" s="2" t="n">
        <v>33</v>
      </c>
      <c r="B98" s="2" t="inlineStr">
        <is>
          <t>Carl Zeiss AG – Research Microscopy Solutions</t>
        </is>
      </c>
      <c r="C98" s="2" t="n">
        <v>1</v>
      </c>
      <c r="D98" s="2" t="inlineStr">
        <is>
          <t>ZEISS LSM 980 / LSM 990 with Airyscan 2</t>
        </is>
      </c>
      <c r="E98" s="2" t="inlineStr">
        <is>
          <t>confocal laser scanning microscopes for live-cell imaging</t>
        </is>
      </c>
    </row>
    <row r="99">
      <c r="A99" s="2" t="n">
        <v>33</v>
      </c>
      <c r="B99" s="2" t="inlineStr">
        <is>
          <t>Carl Zeiss AG – Research Microscopy Solutions</t>
        </is>
      </c>
      <c r="C99" s="2" t="n">
        <v>2</v>
      </c>
      <c r="D99" s="2" t="inlineStr">
        <is>
          <t>ZEISS Axio Observer / Axio Imager</t>
        </is>
      </c>
      <c r="E99" s="2" t="inlineStr">
        <is>
          <t>inverted and upright research light microscope platforms</t>
        </is>
      </c>
    </row>
    <row r="100">
      <c r="A100" s="2" t="n">
        <v>33</v>
      </c>
      <c r="B100" s="2" t="inlineStr">
        <is>
          <t>Carl Zeiss AG – Research Microscopy Solutions</t>
        </is>
      </c>
      <c r="C100" s="2" t="n">
        <v>3</v>
      </c>
      <c r="D100" s="2" t="inlineStr">
        <is>
          <t>ZEISS GeminiSEM / Crossbeam</t>
        </is>
      </c>
      <c r="E100" s="2" t="inlineStr">
        <is>
          <t>field-emission SEM and FIB-SEM for materials and life science</t>
        </is>
      </c>
    </row>
    <row r="101">
      <c r="A101" s="2" t="n">
        <v>34</v>
      </c>
      <c r="B101" s="2" t="inlineStr">
        <is>
          <t>Evident (ex-Olympus Scientific Solutions)</t>
        </is>
      </c>
      <c r="C101" s="2" t="n">
        <v>1</v>
      </c>
      <c r="D101" s="2" t="inlineStr">
        <is>
          <t>FV4000 (FLUOVIEW)</t>
        </is>
      </c>
      <c r="E101" s="2" t="inlineStr">
        <is>
          <t>confocal laser scanning microscope for life science</t>
        </is>
      </c>
    </row>
    <row r="102">
      <c r="A102" s="2" t="n">
        <v>34</v>
      </c>
      <c r="B102" s="2" t="inlineStr">
        <is>
          <t>Evident (ex-Olympus Scientific Solutions)</t>
        </is>
      </c>
      <c r="C102" s="2" t="n">
        <v>2</v>
      </c>
      <c r="D102" s="2" t="inlineStr">
        <is>
          <t>BX53 / BX63 and IXplore (IX83) systems</t>
        </is>
      </c>
      <c r="E102" s="2" t="inlineStr">
        <is>
          <t>upright and inverted research microscope platforms</t>
        </is>
      </c>
    </row>
    <row r="103">
      <c r="A103" s="2" t="n">
        <v>34</v>
      </c>
      <c r="B103" s="2" t="inlineStr">
        <is>
          <t>Evident (ex-Olympus Scientific Solutions)</t>
        </is>
      </c>
      <c r="C103" s="2" t="n">
        <v>3</v>
      </c>
      <c r="D103" s="2" t="inlineStr">
        <is>
          <t>OmniScan X3 and Vanta</t>
        </is>
      </c>
      <c r="E103" s="2" t="inlineStr">
        <is>
          <t>phased-array ultrasonic flaw detector; handheld XRF analyzers (NDT)</t>
        </is>
      </c>
    </row>
    <row r="104">
      <c r="A104" s="2" t="n">
        <v>35</v>
      </c>
      <c r="B104" s="2" t="inlineStr">
        <is>
          <t>Nikon – Healthcare Business (Nikon Instruments)</t>
        </is>
      </c>
      <c r="C104" s="2" t="n">
        <v>1</v>
      </c>
      <c r="D104" s="2" t="inlineStr">
        <is>
          <t>ECLIPSE Ti2</t>
        </is>
      </c>
      <c r="E104" s="2" t="inlineStr">
        <is>
          <t>inverted research microscope platform for live-cell imaging</t>
        </is>
      </c>
    </row>
    <row r="105">
      <c r="A105" s="2" t="n">
        <v>35</v>
      </c>
      <c r="B105" s="2" t="inlineStr">
        <is>
          <t>Nikon – Healthcare Business (Nikon Instruments)</t>
        </is>
      </c>
      <c r="C105" s="2" t="n">
        <v>2</v>
      </c>
      <c r="D105" s="2" t="inlineStr">
        <is>
          <t>AX / AX R with NSPARC</t>
        </is>
      </c>
      <c r="E105" s="2" t="inlineStr">
        <is>
          <t>high-resolution confocal microscope systems</t>
        </is>
      </c>
    </row>
    <row r="106">
      <c r="A106" s="2" t="n">
        <v>35</v>
      </c>
      <c r="B106" s="2" t="inlineStr">
        <is>
          <t>Nikon – Healthcare Business (Nikon Instruments)</t>
        </is>
      </c>
      <c r="C106" s="2" t="n">
        <v>3</v>
      </c>
      <c r="D106" s="2" t="inlineStr">
        <is>
          <t>ECLIPSE Ji</t>
        </is>
      </c>
      <c r="E106" s="2" t="inlineStr">
        <is>
          <t>AI-driven smart imaging/cell-analysis system</t>
        </is>
      </c>
    </row>
    <row r="107">
      <c r="A107" s="2" t="n">
        <v>36</v>
      </c>
      <c r="B107" s="2" t="inlineStr">
        <is>
          <t>JEOL</t>
        </is>
      </c>
      <c r="C107" s="2" t="n">
        <v>1</v>
      </c>
      <c r="D107" s="2" t="inlineStr">
        <is>
          <t>JEM-ARM300F2 GRAND ARM2</t>
        </is>
      </c>
      <c r="E107" s="2" t="inlineStr">
        <is>
          <t>atomic-resolution aberration-corrected TEM/STEM</t>
        </is>
      </c>
    </row>
    <row r="108">
      <c r="A108" s="2" t="n">
        <v>36</v>
      </c>
      <c r="B108" s="2" t="inlineStr">
        <is>
          <t>JEOL</t>
        </is>
      </c>
      <c r="C108" s="2" t="n">
        <v>2</v>
      </c>
      <c r="D108" s="2" t="inlineStr">
        <is>
          <t>JSM-IT800 / JSM-7900F</t>
        </is>
      </c>
      <c r="E108" s="2" t="inlineStr">
        <is>
          <t>field-emission scanning electron microscopes</t>
        </is>
      </c>
    </row>
    <row r="109">
      <c r="A109" s="2" t="n">
        <v>36</v>
      </c>
      <c r="B109" s="2" t="inlineStr">
        <is>
          <t>JEOL</t>
        </is>
      </c>
      <c r="C109" s="2" t="n">
        <v>3</v>
      </c>
      <c r="D109" s="2" t="inlineStr">
        <is>
          <t>JNM-ECZ Luminous (ECZL)</t>
        </is>
      </c>
      <c r="E109" s="2" t="inlineStr">
        <is>
          <t>NMR spectrometer series</t>
        </is>
      </c>
    </row>
    <row r="110">
      <c r="A110" s="2" t="n">
        <v>37</v>
      </c>
      <c r="B110" s="2" t="inlineStr">
        <is>
          <t>Hitachi High-Tech</t>
        </is>
      </c>
      <c r="C110" s="2" t="n">
        <v>1</v>
      </c>
      <c r="D110" s="2" t="inlineStr">
        <is>
          <t>Regulus / SU series FE-SEM (e.g. SU8600, SU7000)</t>
        </is>
      </c>
      <c r="E110" s="2" t="inlineStr">
        <is>
          <t>field-emission scanning electron microscopes</t>
        </is>
      </c>
    </row>
    <row r="111">
      <c r="A111" s="2" t="n">
        <v>37</v>
      </c>
      <c r="B111" s="2" t="inlineStr">
        <is>
          <t>Hitachi High-Tech</t>
        </is>
      </c>
      <c r="C111" s="2" t="n">
        <v>2</v>
      </c>
      <c r="D111" s="2" t="inlineStr">
        <is>
          <t>TM4000Plus II</t>
        </is>
      </c>
      <c r="E111" s="2" t="inlineStr">
        <is>
          <t>tabletop scanning electron microscope</t>
        </is>
      </c>
    </row>
    <row r="112">
      <c r="A112" s="2" t="n">
        <v>37</v>
      </c>
      <c r="B112" s="2" t="inlineStr">
        <is>
          <t>Hitachi High-Tech</t>
        </is>
      </c>
      <c r="C112" s="2" t="n">
        <v>3</v>
      </c>
      <c r="D112" s="2" t="inlineStr">
        <is>
          <t>LABOSPECT clinical chemistry analyzers</t>
        </is>
      </c>
      <c r="E112" s="2" t="inlineStr">
        <is>
          <t>high-throughput clinical analyzers (also OEM cobas c for Roche)</t>
        </is>
      </c>
    </row>
    <row r="113">
      <c r="A113" s="2" t="n">
        <v>38</v>
      </c>
      <c r="B113" s="2" t="inlineStr">
        <is>
          <t>TESCAN</t>
        </is>
      </c>
      <c r="C113" s="2" t="n">
        <v>1</v>
      </c>
      <c r="D113" s="2" t="inlineStr">
        <is>
          <t>TESCAN CLARA / MIRA</t>
        </is>
      </c>
      <c r="E113" s="2" t="inlineStr">
        <is>
          <t>ultra-high-resolution field-emission SEMs</t>
        </is>
      </c>
    </row>
    <row r="114">
      <c r="A114" s="2" t="n">
        <v>38</v>
      </c>
      <c r="B114" s="2" t="inlineStr">
        <is>
          <t>TESCAN</t>
        </is>
      </c>
      <c r="C114" s="2" t="n">
        <v>2</v>
      </c>
      <c r="D114" s="2" t="inlineStr">
        <is>
          <t>TESCAN AMBER X / SOLARIS X</t>
        </is>
      </c>
      <c r="E114" s="2" t="inlineStr">
        <is>
          <t>Xe plasma FIB-SEM for large-volume milling</t>
        </is>
      </c>
    </row>
    <row r="115">
      <c r="A115" s="2" t="n">
        <v>38</v>
      </c>
      <c r="B115" s="2" t="inlineStr">
        <is>
          <t>TESCAN</t>
        </is>
      </c>
      <c r="C115" s="2" t="n">
        <v>3</v>
      </c>
      <c r="D115" s="2" t="inlineStr">
        <is>
          <t>TESCAN TENSOR</t>
        </is>
      </c>
      <c r="E115" s="2" t="inlineStr">
        <is>
          <t>4D-STEM for nanoscale materials analysis</t>
        </is>
      </c>
    </row>
    <row r="116">
      <c r="A116" s="2" t="n">
        <v>39</v>
      </c>
      <c r="B116" s="2" t="inlineStr">
        <is>
          <t>Rigaku Holdings</t>
        </is>
      </c>
      <c r="C116" s="2" t="n">
        <v>1</v>
      </c>
      <c r="D116" s="2" t="inlineStr">
        <is>
          <t>SmartLab</t>
        </is>
      </c>
      <c r="E116" s="2" t="inlineStr">
        <is>
          <t>multipurpose high-resolution X-ray diffractometer</t>
        </is>
      </c>
    </row>
    <row r="117">
      <c r="A117" s="2" t="n">
        <v>39</v>
      </c>
      <c r="B117" s="2" t="inlineStr">
        <is>
          <t>Rigaku Holdings</t>
        </is>
      </c>
      <c r="C117" s="2" t="n">
        <v>2</v>
      </c>
      <c r="D117" s="2" t="inlineStr">
        <is>
          <t>MiniFlex</t>
        </is>
      </c>
      <c r="E117" s="2" t="inlineStr">
        <is>
          <t>benchtop powder X-ray diffractometer</t>
        </is>
      </c>
    </row>
    <row r="118">
      <c r="A118" s="2" t="n">
        <v>39</v>
      </c>
      <c r="B118" s="2" t="inlineStr">
        <is>
          <t>Rigaku Holdings</t>
        </is>
      </c>
      <c r="C118" s="2" t="n">
        <v>3</v>
      </c>
      <c r="D118" s="2" t="inlineStr">
        <is>
          <t>XtaLAB Synergy</t>
        </is>
      </c>
      <c r="E118" s="2" t="inlineStr">
        <is>
          <t>single-crystal X-ray diffraction systems</t>
        </is>
      </c>
    </row>
    <row r="119">
      <c r="A119" s="2" t="n">
        <v>40</v>
      </c>
      <c r="B119" s="2" t="inlineStr">
        <is>
          <t>HORIBA</t>
        </is>
      </c>
      <c r="C119" s="2" t="n">
        <v>1</v>
      </c>
      <c r="D119" s="2" t="inlineStr">
        <is>
          <t>LabRAM Soleil / LabRAM Odyssey</t>
        </is>
      </c>
      <c r="E119" s="2" t="inlineStr">
        <is>
          <t>Raman microscopes and spectrometers</t>
        </is>
      </c>
    </row>
    <row r="120">
      <c r="A120" s="2" t="n">
        <v>40</v>
      </c>
      <c r="B120" s="2" t="inlineStr">
        <is>
          <t>HORIBA</t>
        </is>
      </c>
      <c r="C120" s="2" t="n">
        <v>2</v>
      </c>
      <c r="D120" s="2" t="inlineStr">
        <is>
          <t>Partica LA-960V2</t>
        </is>
      </c>
      <c r="E120" s="2" t="inlineStr">
        <is>
          <t>laser-diffraction particle size analyzer</t>
        </is>
      </c>
    </row>
    <row r="121">
      <c r="A121" s="2" t="n">
        <v>40</v>
      </c>
      <c r="B121" s="2" t="inlineStr">
        <is>
          <t>HORIBA</t>
        </is>
      </c>
      <c r="C121" s="2" t="n">
        <v>3</v>
      </c>
      <c r="D121" s="2" t="inlineStr">
        <is>
          <t>Yumizen H500 / H1500</t>
        </is>
      </c>
      <c r="E121" s="2" t="inlineStr">
        <is>
          <t>hematology analyzers (HORIBA Medical)</t>
        </is>
      </c>
    </row>
    <row r="122">
      <c r="A122" s="2" t="n">
        <v>41</v>
      </c>
      <c r="B122" s="2" t="inlineStr">
        <is>
          <t>Malvern Panalytical (Spectris)</t>
        </is>
      </c>
      <c r="C122" s="2" t="n">
        <v>1</v>
      </c>
      <c r="D122" s="2" t="inlineStr">
        <is>
          <t>Mastersizer 3000+</t>
        </is>
      </c>
      <c r="E122" s="2" t="inlineStr">
        <is>
          <t>laser-diffraction particle size analyzer</t>
        </is>
      </c>
    </row>
    <row r="123">
      <c r="A123" s="2" t="n">
        <v>41</v>
      </c>
      <c r="B123" s="2" t="inlineStr">
        <is>
          <t>Malvern Panalytical (Spectris)</t>
        </is>
      </c>
      <c r="C123" s="2" t="n">
        <v>2</v>
      </c>
      <c r="D123" s="2" t="inlineStr">
        <is>
          <t>Zetasizer Advance</t>
        </is>
      </c>
      <c r="E123" s="2" t="inlineStr">
        <is>
          <t>DLS nanoparticle size &amp; zeta potential analyzer</t>
        </is>
      </c>
    </row>
    <row r="124">
      <c r="A124" s="2" t="n">
        <v>41</v>
      </c>
      <c r="B124" s="2" t="inlineStr">
        <is>
          <t>Malvern Panalytical (Spectris)</t>
        </is>
      </c>
      <c r="C124" s="2" t="n">
        <v>3</v>
      </c>
      <c r="D124" s="2" t="inlineStr">
        <is>
          <t>Empyrean</t>
        </is>
      </c>
      <c r="E124" s="2" t="inlineStr">
        <is>
          <t>multipurpose X-ray diffractometer (XRD)</t>
        </is>
      </c>
    </row>
    <row r="125">
      <c r="A125" s="2" t="n">
        <v>42</v>
      </c>
      <c r="B125" s="2" t="inlineStr">
        <is>
          <t>Oxford Instruments</t>
        </is>
      </c>
      <c r="C125" s="2" t="n">
        <v>1</v>
      </c>
      <c r="D125" s="2" t="inlineStr">
        <is>
          <t>AZtec with Ultim Max (NanoAnalysis)</t>
        </is>
      </c>
      <c r="E125" s="2" t="inlineStr">
        <is>
          <t>EDS/EBSD microanalysis systems for SEM/TEM</t>
        </is>
      </c>
    </row>
    <row r="126">
      <c r="A126" s="2" t="n">
        <v>42</v>
      </c>
      <c r="B126" s="2" t="inlineStr">
        <is>
          <t>Oxford Instruments</t>
        </is>
      </c>
      <c r="C126" s="2" t="n">
        <v>2</v>
      </c>
      <c r="D126" s="2" t="inlineStr">
        <is>
          <t>Andor iXon / Sona / Dragonfly</t>
        </is>
      </c>
      <c r="E126" s="2" t="inlineStr">
        <is>
          <t>scientific EMCCD/sCMOS cameras &amp; confocal imaging</t>
        </is>
      </c>
    </row>
    <row r="127">
      <c r="A127" s="2" t="n">
        <v>42</v>
      </c>
      <c r="B127" s="2" t="inlineStr">
        <is>
          <t>Oxford Instruments</t>
        </is>
      </c>
      <c r="C127" s="2" t="n">
        <v>3</v>
      </c>
      <c r="D127" s="2" t="inlineStr">
        <is>
          <t>PlasmaPro 100 (Plasma Technology)</t>
        </is>
      </c>
      <c r="E127" s="2" t="inlineStr">
        <is>
          <t>plasma etch &amp; deposition tools for semiconductors</t>
        </is>
      </c>
    </row>
    <row r="128">
      <c r="A128" s="2" t="n">
        <v>43</v>
      </c>
      <c r="B128" s="2" t="inlineStr">
        <is>
          <t>Anton Paar</t>
        </is>
      </c>
      <c r="C128" s="2" t="n">
        <v>1</v>
      </c>
      <c r="D128" s="2" t="inlineStr">
        <is>
          <t>DMA density meters (e.g. DMA 5000 M)</t>
        </is>
      </c>
      <c r="E128" s="2" t="inlineStr">
        <is>
          <t>laboratory density &amp; concentration measurement</t>
        </is>
      </c>
    </row>
    <row r="129">
      <c r="A129" s="2" t="n">
        <v>43</v>
      </c>
      <c r="B129" s="2" t="inlineStr">
        <is>
          <t>Anton Paar</t>
        </is>
      </c>
      <c r="C129" s="2" t="n">
        <v>2</v>
      </c>
      <c r="D129" s="2" t="inlineStr">
        <is>
          <t>MCR rheometer series (e.g. MCR 702e)</t>
        </is>
      </c>
      <c r="E129" s="2" t="inlineStr">
        <is>
          <t>rotational &amp; oscillatory rheometers</t>
        </is>
      </c>
    </row>
    <row r="130">
      <c r="A130" s="2" t="n">
        <v>43</v>
      </c>
      <c r="B130" s="2" t="inlineStr">
        <is>
          <t>Anton Paar</t>
        </is>
      </c>
      <c r="C130" s="2" t="n">
        <v>3</v>
      </c>
      <c r="D130" s="2" t="inlineStr">
        <is>
          <t>Multiwave 5000 / 7000</t>
        </is>
      </c>
      <c r="E130" s="2" t="inlineStr">
        <is>
          <t>microwave sample digestion systems</t>
        </is>
      </c>
    </row>
    <row r="131">
      <c r="A131" s="2" t="n">
        <v>44</v>
      </c>
      <c r="B131" s="2" t="inlineStr">
        <is>
          <t>Metrohm</t>
        </is>
      </c>
      <c r="C131" s="2" t="n">
        <v>1</v>
      </c>
      <c r="D131" s="2" t="inlineStr">
        <is>
          <t>OMNIS</t>
        </is>
      </c>
      <c r="E131" s="2" t="inlineStr">
        <is>
          <t>modular automated titration platform</t>
        </is>
      </c>
    </row>
    <row r="132">
      <c r="A132" s="2" t="n">
        <v>44</v>
      </c>
      <c r="B132" s="2" t="inlineStr">
        <is>
          <t>Metrohm</t>
        </is>
      </c>
      <c r="C132" s="2" t="n">
        <v>2</v>
      </c>
      <c r="D132" s="2" t="inlineStr">
        <is>
          <t>940 Professional IC Vario / Eco IC</t>
        </is>
      </c>
      <c r="E132" s="2" t="inlineStr">
        <is>
          <t>ion chromatography systems</t>
        </is>
      </c>
    </row>
    <row r="133">
      <c r="A133" s="2" t="n">
        <v>44</v>
      </c>
      <c r="B133" s="2" t="inlineStr">
        <is>
          <t>Metrohm</t>
        </is>
      </c>
      <c r="C133" s="2" t="n">
        <v>3</v>
      </c>
      <c r="D133" s="2" t="inlineStr">
        <is>
          <t>Autolab PGSTAT204 / PGSTAT302N</t>
        </is>
      </c>
      <c r="E133" s="2" t="inlineStr">
        <is>
          <t>potentiostat/galvanostat electrochemistry workstations</t>
        </is>
      </c>
    </row>
    <row r="134">
      <c r="A134" s="2" t="n">
        <v>45</v>
      </c>
      <c r="B134" s="2" t="inlineStr">
        <is>
          <t>LECO Corporation</t>
        </is>
      </c>
      <c r="C134" s="2" t="n">
        <v>1</v>
      </c>
      <c r="D134" s="2" t="inlineStr">
        <is>
          <t>828 / 928 Series</t>
        </is>
      </c>
      <c r="E134" s="2" t="inlineStr">
        <is>
          <t>combustion CHN/CHNS/O macro elemental analyzers</t>
        </is>
      </c>
    </row>
    <row r="135">
      <c r="A135" s="2" t="n">
        <v>45</v>
      </c>
      <c r="B135" s="2" t="inlineStr">
        <is>
          <t>LECO Corporation</t>
        </is>
      </c>
      <c r="C135" s="2" t="n">
        <v>2</v>
      </c>
      <c r="D135" s="2" t="inlineStr">
        <is>
          <t>Pegasus BT 4D</t>
        </is>
      </c>
      <c r="E135" s="2" t="inlineStr">
        <is>
          <t>GCxGC time-of-flight mass spectrometer</t>
        </is>
      </c>
    </row>
    <row r="136">
      <c r="A136" s="2" t="n">
        <v>45</v>
      </c>
      <c r="B136" s="2" t="inlineStr">
        <is>
          <t>LECO Corporation</t>
        </is>
      </c>
      <c r="C136" s="2" t="n">
        <v>3</v>
      </c>
      <c r="D136" s="2" t="inlineStr">
        <is>
          <t>836 Series (ONH836)</t>
        </is>
      </c>
      <c r="E136" s="2" t="inlineStr">
        <is>
          <t>oxygen/nitrogen/hydrogen inert-gas-fusion analyzer</t>
        </is>
      </c>
    </row>
    <row r="137">
      <c r="A137" s="2" t="n">
        <v>46</v>
      </c>
      <c r="B137" s="2" t="inlineStr">
        <is>
          <t>JASCO Corporation</t>
        </is>
      </c>
      <c r="C137" s="2" t="n">
        <v>1</v>
      </c>
      <c r="D137" s="2" t="inlineStr">
        <is>
          <t>J-1500</t>
        </is>
      </c>
      <c r="E137" s="2" t="inlineStr">
        <is>
          <t>circular dichroism (CD) spectrometer</t>
        </is>
      </c>
    </row>
    <row r="138">
      <c r="A138" s="2" t="n">
        <v>46</v>
      </c>
      <c r="B138" s="2" t="inlineStr">
        <is>
          <t>JASCO Corporation</t>
        </is>
      </c>
      <c r="C138" s="2" t="n">
        <v>2</v>
      </c>
      <c r="D138" s="2" t="inlineStr">
        <is>
          <t>FT/IR-4X / FT/IR-6X</t>
        </is>
      </c>
      <c r="E138" s="2" t="inlineStr">
        <is>
          <t>FTIR spectrometers</t>
        </is>
      </c>
    </row>
    <row r="139">
      <c r="A139" s="2" t="n">
        <v>46</v>
      </c>
      <c r="B139" s="2" t="inlineStr">
        <is>
          <t>JASCO Corporation</t>
        </is>
      </c>
      <c r="C139" s="2" t="n">
        <v>3</v>
      </c>
      <c r="D139" s="2" t="inlineStr">
        <is>
          <t>V-700 series (V-780)</t>
        </is>
      </c>
      <c r="E139" s="2" t="inlineStr">
        <is>
          <t>UV-Vis/NIR spectrophotometers</t>
        </is>
      </c>
    </row>
    <row r="140">
      <c r="A140" s="2" t="n">
        <v>47</v>
      </c>
      <c r="B140" s="2" t="inlineStr">
        <is>
          <t>SPECTRO Analytical Instruments (AMETEK)</t>
        </is>
      </c>
      <c r="C140" s="2" t="n">
        <v>1</v>
      </c>
      <c r="D140" s="2" t="inlineStr">
        <is>
          <t>SPECTRO ARCOS</t>
        </is>
      </c>
      <c r="E140" s="2" t="inlineStr">
        <is>
          <t>high-resolution ICP-OES spectrometer</t>
        </is>
      </c>
    </row>
    <row r="141">
      <c r="A141" s="2" t="n">
        <v>47</v>
      </c>
      <c r="B141" s="2" t="inlineStr">
        <is>
          <t>SPECTRO Analytical Instruments (AMETEK)</t>
        </is>
      </c>
      <c r="C141" s="2" t="n">
        <v>2</v>
      </c>
      <c r="D141" s="2" t="inlineStr">
        <is>
          <t>SPECTRO XEPOS</t>
        </is>
      </c>
      <c r="E141" s="2" t="inlineStr">
        <is>
          <t>energy-dispersive XRF spectrometer</t>
        </is>
      </c>
    </row>
    <row r="142">
      <c r="A142" s="2" t="n">
        <v>47</v>
      </c>
      <c r="B142" s="2" t="inlineStr">
        <is>
          <t>SPECTRO Analytical Instruments (AMETEK)</t>
        </is>
      </c>
      <c r="C142" s="2" t="n">
        <v>3</v>
      </c>
      <c r="D142" s="2" t="inlineStr">
        <is>
          <t>SPECTROMAXx</t>
        </is>
      </c>
      <c r="E142" s="2" t="inlineStr">
        <is>
          <t>arc/spark OES metals analyzer</t>
        </is>
      </c>
    </row>
    <row r="143">
      <c r="A143" s="2" t="n">
        <v>48</v>
      </c>
      <c r="B143" s="2" t="inlineStr">
        <is>
          <t>Analytik Jena (Endress+Hauser)</t>
        </is>
      </c>
      <c r="C143" s="2" t="n">
        <v>1</v>
      </c>
      <c r="D143" s="2" t="inlineStr">
        <is>
          <t>PlasmaQuant 9100 / PlasmaQuant MS</t>
        </is>
      </c>
      <c r="E143" s="2" t="inlineStr">
        <is>
          <t>ICP-OES and ICP-MS spectrometers</t>
        </is>
      </c>
    </row>
    <row r="144">
      <c r="A144" s="2" t="n">
        <v>48</v>
      </c>
      <c r="B144" s="2" t="inlineStr">
        <is>
          <t>Analytik Jena (Endress+Hauser)</t>
        </is>
      </c>
      <c r="C144" s="2" t="n">
        <v>2</v>
      </c>
      <c r="D144" s="2" t="inlineStr">
        <is>
          <t>contrAA 800</t>
        </is>
      </c>
      <c r="E144" s="2" t="inlineStr">
        <is>
          <t>high-resolution continuum-source AAS</t>
        </is>
      </c>
    </row>
    <row r="145">
      <c r="A145" s="2" t="n">
        <v>48</v>
      </c>
      <c r="B145" s="2" t="inlineStr">
        <is>
          <t>Analytik Jena (Endress+Hauser)</t>
        </is>
      </c>
      <c r="C145" s="2" t="n">
        <v>3</v>
      </c>
      <c r="D145" s="2" t="inlineStr">
        <is>
          <t>multi N/C series</t>
        </is>
      </c>
      <c r="E145" s="2" t="inlineStr">
        <is>
          <t>TOC/TNb analyzers</t>
        </is>
      </c>
    </row>
    <row r="146">
      <c r="A146" s="2" t="n">
        <v>49</v>
      </c>
      <c r="B146" s="2" t="inlineStr">
        <is>
          <t>Elementar Analysensysteme</t>
        </is>
      </c>
      <c r="C146" s="2" t="n">
        <v>1</v>
      </c>
      <c r="D146" s="2" t="inlineStr">
        <is>
          <t>UNICUBE / vario EL cube</t>
        </is>
      </c>
      <c r="E146" s="2" t="inlineStr">
        <is>
          <t>CHNS/O combustion elemental analyzers</t>
        </is>
      </c>
    </row>
    <row r="147">
      <c r="A147" s="2" t="n">
        <v>49</v>
      </c>
      <c r="B147" s="2" t="inlineStr">
        <is>
          <t>Elementar Analysensysteme</t>
        </is>
      </c>
      <c r="C147" s="2" t="n">
        <v>2</v>
      </c>
      <c r="D147" s="2" t="inlineStr">
        <is>
          <t>isoprime precisION</t>
        </is>
      </c>
      <c r="E147" s="2" t="inlineStr">
        <is>
          <t>isotope ratio mass spectrometer (IRMS)</t>
        </is>
      </c>
    </row>
    <row r="148">
      <c r="A148" s="2" t="n">
        <v>49</v>
      </c>
      <c r="B148" s="2" t="inlineStr">
        <is>
          <t>Elementar Analysensysteme</t>
        </is>
      </c>
      <c r="C148" s="2" t="n">
        <v>3</v>
      </c>
      <c r="D148" s="2" t="inlineStr">
        <is>
          <t>vario TOC cube</t>
        </is>
      </c>
      <c r="E148" s="2" t="inlineStr">
        <is>
          <t>total organic carbon analyzer</t>
        </is>
      </c>
    </row>
    <row r="149">
      <c r="A149" s="2" t="n">
        <v>50</v>
      </c>
      <c r="B149" s="2" t="inlineStr">
        <is>
          <t>NETZSCH Analyzing &amp; Testing</t>
        </is>
      </c>
      <c r="C149" s="2" t="n">
        <v>1</v>
      </c>
      <c r="D149" s="2" t="inlineStr">
        <is>
          <t>DSC 300 Caliris</t>
        </is>
      </c>
      <c r="E149" s="2" t="inlineStr">
        <is>
          <t>differential scanning calorimeter</t>
        </is>
      </c>
    </row>
    <row r="150">
      <c r="A150" s="2" t="n">
        <v>50</v>
      </c>
      <c r="B150" s="2" t="inlineStr">
        <is>
          <t>NETZSCH Analyzing &amp; Testing</t>
        </is>
      </c>
      <c r="C150" s="2" t="n">
        <v>2</v>
      </c>
      <c r="D150" s="2" t="inlineStr">
        <is>
          <t>STA 509 Jupiter</t>
        </is>
      </c>
      <c r="E150" s="2" t="inlineStr">
        <is>
          <t>simultaneous TGA-DSC thermal analyzer</t>
        </is>
      </c>
    </row>
    <row r="151">
      <c r="A151" s="2" t="n">
        <v>50</v>
      </c>
      <c r="B151" s="2" t="inlineStr">
        <is>
          <t>NETZSCH Analyzing &amp; Testing</t>
        </is>
      </c>
      <c r="C151" s="2" t="n">
        <v>3</v>
      </c>
      <c r="D151" s="2" t="inlineStr">
        <is>
          <t>LFA 467 HyperFlash</t>
        </is>
      </c>
      <c r="E151" s="2" t="inlineStr">
        <is>
          <t>laser-flash thermal diffusivity/conductivity analyzer</t>
        </is>
      </c>
    </row>
    <row r="152">
      <c r="A152" s="2" t="n">
        <v>51</v>
      </c>
      <c r="B152" s="2" t="inlineStr">
        <is>
          <t>Biotage</t>
        </is>
      </c>
      <c r="C152" s="2" t="n">
        <v>1</v>
      </c>
      <c r="D152" s="2" t="inlineStr">
        <is>
          <t>Biotage Selekt (with Sfär columns)</t>
        </is>
      </c>
      <c r="E152" s="2" t="inlineStr">
        <is>
          <t>flash chromatography purification system and columns</t>
        </is>
      </c>
    </row>
    <row r="153">
      <c r="A153" s="2" t="n">
        <v>51</v>
      </c>
      <c r="B153" s="2" t="inlineStr">
        <is>
          <t>Biotage</t>
        </is>
      </c>
      <c r="C153" s="2" t="n">
        <v>2</v>
      </c>
      <c r="D153" s="2" t="inlineStr">
        <is>
          <t>Biotage Extrahera</t>
        </is>
      </c>
      <c r="E153" s="2" t="inlineStr">
        <is>
          <t>automated SPE/SLE sample-preparation workstation</t>
        </is>
      </c>
    </row>
    <row r="154">
      <c r="A154" s="2" t="n">
        <v>51</v>
      </c>
      <c r="B154" s="2" t="inlineStr">
        <is>
          <t>Biotage</t>
        </is>
      </c>
      <c r="C154" s="2" t="n">
        <v>3</v>
      </c>
      <c r="D154" s="2" t="inlineStr">
        <is>
          <t>Biotage Initiator+ / Alstra+</t>
        </is>
      </c>
      <c r="E154" s="2" t="inlineStr">
        <is>
          <t>microwave organic and peptide synthesizers</t>
        </is>
      </c>
    </row>
    <row r="155">
      <c r="A155" s="2" t="n">
        <v>52</v>
      </c>
      <c r="B155" s="2" t="inlineStr">
        <is>
          <t>Hach (Veralto)</t>
        </is>
      </c>
      <c r="C155" s="2" t="n">
        <v>1</v>
      </c>
      <c r="D155" s="2" t="inlineStr">
        <is>
          <t>DR3900 / DR6000</t>
        </is>
      </c>
      <c r="E155" s="2" t="inlineStr">
        <is>
          <t>benchtop VIS / UV-VIS spectrophotometers for water analysis</t>
        </is>
      </c>
    </row>
    <row r="156">
      <c r="A156" s="2" t="n">
        <v>52</v>
      </c>
      <c r="B156" s="2" t="inlineStr">
        <is>
          <t>Hach (Veralto)</t>
        </is>
      </c>
      <c r="C156" s="2" t="n">
        <v>2</v>
      </c>
      <c r="D156" s="2" t="inlineStr">
        <is>
          <t>TNTplus</t>
        </is>
      </c>
      <c r="E156" s="2" t="inlineStr">
        <is>
          <t>barcoded reagent-vial test chemistries</t>
        </is>
      </c>
    </row>
    <row r="157">
      <c r="A157" s="2" t="n">
        <v>52</v>
      </c>
      <c r="B157" s="2" t="inlineStr">
        <is>
          <t>Hach (Veralto)</t>
        </is>
      </c>
      <c r="C157" s="2" t="n">
        <v>3</v>
      </c>
      <c r="D157" s="2" t="inlineStr">
        <is>
          <t>HQ series (HQ1100/HQ4300) with Intellical probes</t>
        </is>
      </c>
      <c r="E157" s="2" t="inlineStr">
        <is>
          <t>portable and benchtop pH / DO / conductivity meters</t>
        </is>
      </c>
    </row>
    <row r="158">
      <c r="A158" s="2" t="n">
        <v>53</v>
      </c>
      <c r="B158" s="2" t="inlineStr">
        <is>
          <t>Hanna Instruments</t>
        </is>
      </c>
      <c r="C158" s="2" t="n">
        <v>1</v>
      </c>
      <c r="D158" s="2" t="inlineStr">
        <is>
          <t>HI931 / HI932</t>
        </is>
      </c>
      <c r="E158" s="2" t="inlineStr">
        <is>
          <t>automatic potentiometric titrators</t>
        </is>
      </c>
    </row>
    <row r="159">
      <c r="A159" s="2" t="n">
        <v>53</v>
      </c>
      <c r="B159" s="2" t="inlineStr">
        <is>
          <t>Hanna Instruments</t>
        </is>
      </c>
      <c r="C159" s="2" t="n">
        <v>2</v>
      </c>
      <c r="D159" s="2" t="inlineStr">
        <is>
          <t>edge (HI2020)</t>
        </is>
      </c>
      <c r="E159" s="2" t="inlineStr">
        <is>
          <t>benchtop/portable pH, EC and DO meter</t>
        </is>
      </c>
    </row>
    <row r="160">
      <c r="A160" s="2" t="n">
        <v>53</v>
      </c>
      <c r="B160" s="2" t="inlineStr">
        <is>
          <t>Hanna Instruments</t>
        </is>
      </c>
      <c r="C160" s="2" t="n">
        <v>3</v>
      </c>
      <c r="D160" s="2" t="inlineStr">
        <is>
          <t>HI83300 series &amp; Checker HC</t>
        </is>
      </c>
      <c r="E160" s="2" t="inlineStr">
        <is>
          <t>multiparameter photometers and handheld colorimeters</t>
        </is>
      </c>
    </row>
    <row r="161">
      <c r="A161" s="2" t="n">
        <v>54</v>
      </c>
      <c r="B161" s="2" t="inlineStr">
        <is>
          <t>VELP Scientifica</t>
        </is>
      </c>
      <c r="C161" s="2" t="n">
        <v>1</v>
      </c>
      <c r="D161" s="2" t="inlineStr">
        <is>
          <t>UDK 169 / UDK 139</t>
        </is>
      </c>
      <c r="E161" s="2" t="inlineStr">
        <is>
          <t>automatic Kjeldahl distillation and titration units</t>
        </is>
      </c>
    </row>
    <row r="162">
      <c r="A162" s="2" t="n">
        <v>54</v>
      </c>
      <c r="B162" s="2" t="inlineStr">
        <is>
          <t>VELP Scientifica</t>
        </is>
      </c>
      <c r="C162" s="2" t="n">
        <v>2</v>
      </c>
      <c r="D162" s="2" t="inlineStr">
        <is>
          <t>NDA 702 Dumas analyzer</t>
        </is>
      </c>
      <c r="E162" s="2" t="inlineStr">
        <is>
          <t>nitrogen/protein determination by combustion</t>
        </is>
      </c>
    </row>
    <row r="163">
      <c r="A163" s="2" t="n">
        <v>54</v>
      </c>
      <c r="B163" s="2" t="inlineStr">
        <is>
          <t>VELP Scientifica</t>
        </is>
      </c>
      <c r="C163" s="2" t="n">
        <v>3</v>
      </c>
      <c r="D163" s="2" t="inlineStr">
        <is>
          <t>AREX-6 / ARE hotplate stirrers and DKL digesters</t>
        </is>
      </c>
      <c r="E163" s="2" t="inlineStr">
        <is>
          <t>magnetic stirrers, hotplates and Kjeldahl digestion units</t>
        </is>
      </c>
    </row>
    <row r="164">
      <c r="A164" s="2" t="n">
        <v>55</v>
      </c>
      <c r="B164" s="2" t="inlineStr">
        <is>
          <t>Roche Diagnostics</t>
        </is>
      </c>
      <c r="C164" s="2" t="n">
        <v>1</v>
      </c>
      <c r="D164" s="2" t="inlineStr">
        <is>
          <t>cobas pro integrated solutions (c 503 / e 801)</t>
        </is>
      </c>
      <c r="E164" s="2" t="inlineStr">
        <is>
          <t>high-throughput clinical chemistry and immunoassay analyzers</t>
        </is>
      </c>
    </row>
    <row r="165">
      <c r="A165" s="2" t="n">
        <v>55</v>
      </c>
      <c r="B165" s="2" t="inlineStr">
        <is>
          <t>Roche Diagnostics</t>
        </is>
      </c>
      <c r="C165" s="2" t="n">
        <v>2</v>
      </c>
      <c r="D165" s="2" t="inlineStr">
        <is>
          <t>cobas 6800 / 8800 and cobas 5800 Systems</t>
        </is>
      </c>
      <c r="E165" s="2" t="inlineStr">
        <is>
          <t>automated PCR molecular diagnostics platforms</t>
        </is>
      </c>
    </row>
    <row r="166">
      <c r="A166" s="2" t="n">
        <v>55</v>
      </c>
      <c r="B166" s="2" t="inlineStr">
        <is>
          <t>Roche Diagnostics</t>
        </is>
      </c>
      <c r="C166" s="2" t="n">
        <v>3</v>
      </c>
      <c r="D166" s="2" t="inlineStr">
        <is>
          <t>LightCycler 480 / LightCycler PRO</t>
        </is>
      </c>
      <c r="E166" s="2" t="inlineStr">
        <is>
          <t>real-time PCR instruments</t>
        </is>
      </c>
    </row>
    <row r="167">
      <c r="A167" s="2" t="n">
        <v>56</v>
      </c>
      <c r="B167" s="2" t="inlineStr">
        <is>
          <t>Abbott Diagnostics</t>
        </is>
      </c>
      <c r="C167" s="2" t="n">
        <v>1</v>
      </c>
      <c r="D167" s="2" t="inlineStr">
        <is>
          <t>Alinity ci-series</t>
        </is>
      </c>
      <c r="E167" s="2" t="inlineStr">
        <is>
          <t>integrated clinical chemistry and immunoassay analyzers</t>
        </is>
      </c>
    </row>
    <row r="168">
      <c r="A168" s="2" t="n">
        <v>56</v>
      </c>
      <c r="B168" s="2" t="inlineStr">
        <is>
          <t>Abbott Diagnostics</t>
        </is>
      </c>
      <c r="C168" s="2" t="n">
        <v>2</v>
      </c>
      <c r="D168" s="2" t="inlineStr">
        <is>
          <t>Alinity m</t>
        </is>
      </c>
      <c r="E168" s="2" t="inlineStr">
        <is>
          <t>automated molecular (PCR) diagnostics system</t>
        </is>
      </c>
    </row>
    <row r="169">
      <c r="A169" s="2" t="n">
        <v>56</v>
      </c>
      <c r="B169" s="2" t="inlineStr">
        <is>
          <t>Abbott Diagnostics</t>
        </is>
      </c>
      <c r="C169" s="2" t="n">
        <v>3</v>
      </c>
      <c r="D169" s="2" t="inlineStr">
        <is>
          <t>ARCHITECT i2000SR / c8000</t>
        </is>
      </c>
      <c r="E169" s="2" t="inlineStr">
        <is>
          <t>legacy immunoassay and chemistry analyzers</t>
        </is>
      </c>
    </row>
    <row r="170">
      <c r="A170" s="2" t="n">
        <v>57</v>
      </c>
      <c r="B170" s="2" t="inlineStr">
        <is>
          <t>Siemens Healthineers – Diagnostics</t>
        </is>
      </c>
      <c r="C170" s="2" t="n">
        <v>1</v>
      </c>
      <c r="D170" s="2" t="inlineStr">
        <is>
          <t>Atellica Solution (CH 930 / IM 1300-1600)</t>
        </is>
      </c>
      <c r="E170" s="2" t="inlineStr">
        <is>
          <t>integrated chemistry &amp; immunoassay analyzers with sample automation</t>
        </is>
      </c>
    </row>
    <row r="171">
      <c r="A171" s="2" t="n">
        <v>57</v>
      </c>
      <c r="B171" s="2" t="inlineStr">
        <is>
          <t>Siemens Healthineers – Diagnostics</t>
        </is>
      </c>
      <c r="C171" s="2" t="n">
        <v>2</v>
      </c>
      <c r="D171" s="2" t="inlineStr">
        <is>
          <t>Atellica CI 1900</t>
        </is>
      </c>
      <c r="E171" s="2" t="inlineStr">
        <is>
          <t>compact integrated chemistry/immunoassay analyzer</t>
        </is>
      </c>
    </row>
    <row r="172">
      <c r="A172" s="2" t="n">
        <v>57</v>
      </c>
      <c r="B172" s="2" t="inlineStr">
        <is>
          <t>Siemens Healthineers – Diagnostics</t>
        </is>
      </c>
      <c r="C172" s="2" t="n">
        <v>3</v>
      </c>
      <c r="D172" s="2" t="inlineStr">
        <is>
          <t>Aptio Automation</t>
        </is>
      </c>
      <c r="E172" s="2" t="inlineStr">
        <is>
          <t>track-based total laboratory automation</t>
        </is>
      </c>
    </row>
    <row r="173">
      <c r="A173" s="2" t="n">
        <v>58</v>
      </c>
      <c r="B173" s="2" t="inlineStr">
        <is>
          <t>bioMérieux</t>
        </is>
      </c>
      <c r="C173" s="2" t="n">
        <v>1</v>
      </c>
      <c r="D173" s="2" t="inlineStr">
        <is>
          <t>VITEK 2 / VITEK MS PRIME</t>
        </is>
      </c>
      <c r="E173" s="2" t="inlineStr">
        <is>
          <t>automated microbial ID/AST and MALDI-TOF identification</t>
        </is>
      </c>
    </row>
    <row r="174">
      <c r="A174" s="2" t="n">
        <v>58</v>
      </c>
      <c r="B174" s="2" t="inlineStr">
        <is>
          <t>bioMérieux</t>
        </is>
      </c>
      <c r="C174" s="2" t="n">
        <v>2</v>
      </c>
      <c r="D174" s="2" t="inlineStr">
        <is>
          <t>BACT/ALERT VIRTUO</t>
        </is>
      </c>
      <c r="E174" s="2" t="inlineStr">
        <is>
          <t>automated blood-culture system</t>
        </is>
      </c>
    </row>
    <row r="175">
      <c r="A175" s="2" t="n">
        <v>58</v>
      </c>
      <c r="B175" s="2" t="inlineStr">
        <is>
          <t>bioMérieux</t>
        </is>
      </c>
      <c r="C175" s="2" t="n">
        <v>3</v>
      </c>
      <c r="D175" s="2" t="inlineStr">
        <is>
          <t>BIOFIRE FILMARRAY TORCH / SPOTFIRE</t>
        </is>
      </c>
      <c r="E175" s="2" t="inlineStr">
        <is>
          <t>syndromic multiplex PCR panels</t>
        </is>
      </c>
    </row>
    <row r="176">
      <c r="A176" s="2" t="n">
        <v>59</v>
      </c>
      <c r="B176" s="2" t="inlineStr">
        <is>
          <t>Sysmex</t>
        </is>
      </c>
      <c r="C176" s="2" t="n">
        <v>1</v>
      </c>
      <c r="D176" s="2" t="inlineStr">
        <is>
          <t>XN-Series (XN-1000 to XN-9100)</t>
        </is>
      </c>
      <c r="E176" s="2" t="inlineStr">
        <is>
          <t>automated hematology analyzers and lines</t>
        </is>
      </c>
    </row>
    <row r="177">
      <c r="A177" s="2" t="n">
        <v>59</v>
      </c>
      <c r="B177" s="2" t="inlineStr">
        <is>
          <t>Sysmex</t>
        </is>
      </c>
      <c r="C177" s="2" t="n">
        <v>2</v>
      </c>
      <c r="D177" s="2" t="inlineStr">
        <is>
          <t>XR-Series</t>
        </is>
      </c>
      <c r="E177" s="2" t="inlineStr">
        <is>
          <t>next-generation automated hematology analyzers</t>
        </is>
      </c>
    </row>
    <row r="178">
      <c r="A178" s="2" t="n">
        <v>59</v>
      </c>
      <c r="B178" s="2" t="inlineStr">
        <is>
          <t>Sysmex</t>
        </is>
      </c>
      <c r="C178" s="2" t="n">
        <v>3</v>
      </c>
      <c r="D178" s="2" t="inlineStr">
        <is>
          <t>UN-Series (UF-5000 / UD-10)</t>
        </is>
      </c>
      <c r="E178" s="2" t="inlineStr">
        <is>
          <t>automated urinalysis systems</t>
        </is>
      </c>
    </row>
    <row r="179">
      <c r="A179" s="2" t="n">
        <v>60</v>
      </c>
      <c r="B179" s="2" t="inlineStr">
        <is>
          <t>Mindray</t>
        </is>
      </c>
      <c r="C179" s="2" t="n">
        <v>1</v>
      </c>
      <c r="D179" s="2" t="inlineStr">
        <is>
          <t>BC-6800Plus / BC-7500 CRP</t>
        </is>
      </c>
      <c r="E179" s="2" t="inlineStr">
        <is>
          <t>automated hematology analyzers</t>
        </is>
      </c>
    </row>
    <row r="180">
      <c r="A180" s="2" t="n">
        <v>60</v>
      </c>
      <c r="B180" s="2" t="inlineStr">
        <is>
          <t>Mindray</t>
        </is>
      </c>
      <c r="C180" s="2" t="n">
        <v>2</v>
      </c>
      <c r="D180" s="2" t="inlineStr">
        <is>
          <t>CL-8000i</t>
        </is>
      </c>
      <c r="E180" s="2" t="inlineStr">
        <is>
          <t>chemiluminescence immunoassay analyzer</t>
        </is>
      </c>
    </row>
    <row r="181">
      <c r="A181" s="2" t="n">
        <v>60</v>
      </c>
      <c r="B181" s="2" t="inlineStr">
        <is>
          <t>Mindray</t>
        </is>
      </c>
      <c r="C181" s="2" t="n">
        <v>3</v>
      </c>
      <c r="D181" s="2" t="inlineStr">
        <is>
          <t>BS-2000M / M9000</t>
        </is>
      </c>
      <c r="E181" s="2" t="inlineStr">
        <is>
          <t>modular clinical chemistry analyzer and integrated lab automation</t>
        </is>
      </c>
    </row>
    <row r="182">
      <c r="A182" s="2" t="n">
        <v>61</v>
      </c>
      <c r="B182" s="2" t="inlineStr">
        <is>
          <t>BINDER</t>
        </is>
      </c>
      <c r="C182" s="2" t="n">
        <v>1</v>
      </c>
      <c r="D182" s="2" t="inlineStr">
        <is>
          <t>KBF / KBF P series</t>
        </is>
      </c>
      <c r="E182" s="2" t="inlineStr">
        <is>
          <t>constant climate chambers for ICH stability testing</t>
        </is>
      </c>
    </row>
    <row r="183">
      <c r="A183" s="2" t="n">
        <v>61</v>
      </c>
      <c r="B183" s="2" t="inlineStr">
        <is>
          <t>BINDER</t>
        </is>
      </c>
      <c r="C183" s="2" t="n">
        <v>2</v>
      </c>
      <c r="D183" s="2" t="inlineStr">
        <is>
          <t>CB / CB-S series</t>
        </is>
      </c>
      <c r="E183" s="2" t="inlineStr">
        <is>
          <t>CO2 incubators with hot-air sterilisation</t>
        </is>
      </c>
    </row>
    <row r="184">
      <c r="A184" s="2" t="n">
        <v>61</v>
      </c>
      <c r="B184" s="2" t="inlineStr">
        <is>
          <t>BINDER</t>
        </is>
      </c>
      <c r="C184" s="2" t="n">
        <v>3</v>
      </c>
      <c r="D184" s="2" t="inlineStr">
        <is>
          <t>FD / FED / FP series</t>
        </is>
      </c>
      <c r="E184" s="2" t="inlineStr">
        <is>
          <t>drying and heating chambers (lab ovens)</t>
        </is>
      </c>
    </row>
    <row r="185">
      <c r="A185" s="2" t="n">
        <v>62</v>
      </c>
      <c r="B185" s="2" t="inlineStr">
        <is>
          <t>Memmert</t>
        </is>
      </c>
      <c r="C185" s="2" t="n">
        <v>1</v>
      </c>
      <c r="D185" s="2" t="inlineStr">
        <is>
          <t>UN / UF series</t>
        </is>
      </c>
      <c r="E185" s="2" t="inlineStr">
        <is>
          <t>universal heating and drying ovens</t>
        </is>
      </c>
    </row>
    <row r="186">
      <c r="A186" s="2" t="n">
        <v>62</v>
      </c>
      <c r="B186" s="2" t="inlineStr">
        <is>
          <t>Memmert</t>
        </is>
      </c>
      <c r="C186" s="2" t="n">
        <v>2</v>
      </c>
      <c r="D186" s="2" t="inlineStr">
        <is>
          <t>IN / IF / ICO series</t>
        </is>
      </c>
      <c r="E186" s="2" t="inlineStr">
        <is>
          <t>incubators, cooled and CO2 incubators</t>
        </is>
      </c>
    </row>
    <row r="187">
      <c r="A187" s="2" t="n">
        <v>62</v>
      </c>
      <c r="B187" s="2" t="inlineStr">
        <is>
          <t>Memmert</t>
        </is>
      </c>
      <c r="C187" s="2" t="n">
        <v>3</v>
      </c>
      <c r="D187" s="2" t="inlineStr">
        <is>
          <t>HPP / ICH series</t>
        </is>
      </c>
      <c r="E187" s="2" t="inlineStr">
        <is>
          <t>constant climate and stability test chambers</t>
        </is>
      </c>
    </row>
    <row r="188">
      <c r="A188" s="2" t="n">
        <v>63</v>
      </c>
      <c r="B188" s="2" t="inlineStr">
        <is>
          <t>IKA</t>
        </is>
      </c>
      <c r="C188" s="2" t="n">
        <v>1</v>
      </c>
      <c r="D188" s="2" t="inlineStr">
        <is>
          <t>RCT basic / C-MAG HS</t>
        </is>
      </c>
      <c r="E188" s="2" t="inlineStr">
        <is>
          <t>magnetic hotplate stirrers</t>
        </is>
      </c>
    </row>
    <row r="189">
      <c r="A189" s="2" t="n">
        <v>63</v>
      </c>
      <c r="B189" s="2" t="inlineStr">
        <is>
          <t>IKA</t>
        </is>
      </c>
      <c r="C189" s="2" t="n">
        <v>2</v>
      </c>
      <c r="D189" s="2" t="inlineStr">
        <is>
          <t>ULTRA-TURRAX T 25 / T 50</t>
        </is>
      </c>
      <c r="E189" s="2" t="inlineStr">
        <is>
          <t>high-shear dispersers / homogenisers</t>
        </is>
      </c>
    </row>
    <row r="190">
      <c r="A190" s="2" t="n">
        <v>63</v>
      </c>
      <c r="B190" s="2" t="inlineStr">
        <is>
          <t>IKA</t>
        </is>
      </c>
      <c r="C190" s="2" t="n">
        <v>3</v>
      </c>
      <c r="D190" s="2" t="inlineStr">
        <is>
          <t>EUROSTAR / MICROSTAR</t>
        </is>
      </c>
      <c r="E190" s="2" t="inlineStr">
        <is>
          <t>overhead laboratory stirrers</t>
        </is>
      </c>
    </row>
    <row r="191">
      <c r="A191" s="2" t="n">
        <v>64</v>
      </c>
      <c r="B191" s="2" t="inlineStr">
        <is>
          <t>Heidolph Instruments (ATS Corporation)</t>
        </is>
      </c>
      <c r="C191" s="2" t="n">
        <v>1</v>
      </c>
      <c r="D191" s="2" t="inlineStr">
        <is>
          <t>Hei-VAP series</t>
        </is>
      </c>
      <c r="E191" s="2" t="inlineStr">
        <is>
          <t>rotary evaporators (Core, Expert, Ultimate)</t>
        </is>
      </c>
    </row>
    <row r="192">
      <c r="A192" s="2" t="n">
        <v>64</v>
      </c>
      <c r="B192" s="2" t="inlineStr">
        <is>
          <t>Heidolph Instruments (ATS Corporation)</t>
        </is>
      </c>
      <c r="C192" s="2" t="n">
        <v>2</v>
      </c>
      <c r="D192" s="2" t="inlineStr">
        <is>
          <t>Hei-TORQUE series</t>
        </is>
      </c>
      <c r="E192" s="2" t="inlineStr">
        <is>
          <t>overhead stirrers</t>
        </is>
      </c>
    </row>
    <row r="193">
      <c r="A193" s="2" t="n">
        <v>64</v>
      </c>
      <c r="B193" s="2" t="inlineStr">
        <is>
          <t>Heidolph Instruments (ATS Corporation)</t>
        </is>
      </c>
      <c r="C193" s="2" t="n">
        <v>3</v>
      </c>
      <c r="D193" s="2" t="inlineStr">
        <is>
          <t>Hei-PLATE / Hei-Tec</t>
        </is>
      </c>
      <c r="E193" s="2" t="inlineStr">
        <is>
          <t>magnetic hotplate stirrers</t>
        </is>
      </c>
    </row>
    <row r="194">
      <c r="A194" s="2" t="n">
        <v>65</v>
      </c>
      <c r="B194" s="2" t="inlineStr">
        <is>
          <t>JULABO</t>
        </is>
      </c>
      <c r="C194" s="2" t="n">
        <v>1</v>
      </c>
      <c r="D194" s="2" t="inlineStr">
        <is>
          <t>PRESTO</t>
        </is>
      </c>
      <c r="E194" s="2" t="inlineStr">
        <is>
          <t>highly dynamic process temperature control systems</t>
        </is>
      </c>
    </row>
    <row r="195">
      <c r="A195" s="2" t="n">
        <v>65</v>
      </c>
      <c r="B195" s="2" t="inlineStr">
        <is>
          <t>JULABO</t>
        </is>
      </c>
      <c r="C195" s="2" t="n">
        <v>2</v>
      </c>
      <c r="D195" s="2" t="inlineStr">
        <is>
          <t>CORIO / DYNEO / MAGIO</t>
        </is>
      </c>
      <c r="E195" s="2" t="inlineStr">
        <is>
          <t>refrigerated and heating circulators</t>
        </is>
      </c>
    </row>
    <row r="196">
      <c r="A196" s="2" t="n">
        <v>65</v>
      </c>
      <c r="B196" s="2" t="inlineStr">
        <is>
          <t>JULABO</t>
        </is>
      </c>
      <c r="C196" s="2" t="n">
        <v>3</v>
      </c>
      <c r="D196" s="2" t="inlineStr">
        <is>
          <t>FL / FC series</t>
        </is>
      </c>
      <c r="E196" s="2" t="inlineStr">
        <is>
          <t>recirculating coolers (chillers)</t>
        </is>
      </c>
    </row>
    <row r="197">
      <c r="A197" s="2" t="n">
        <v>66</v>
      </c>
      <c r="B197" s="2" t="inlineStr">
        <is>
          <t>LAUDA</t>
        </is>
      </c>
      <c r="C197" s="2" t="n">
        <v>1</v>
      </c>
      <c r="D197" s="2" t="inlineStr">
        <is>
          <t>Integral</t>
        </is>
      </c>
      <c r="E197" s="2" t="inlineStr">
        <is>
          <t>process thermostats for heating and cooling</t>
        </is>
      </c>
    </row>
    <row r="198">
      <c r="A198" s="2" t="n">
        <v>66</v>
      </c>
      <c r="B198" s="2" t="inlineStr">
        <is>
          <t>LAUDA</t>
        </is>
      </c>
      <c r="C198" s="2" t="n">
        <v>2</v>
      </c>
      <c r="D198" s="2" t="inlineStr">
        <is>
          <t>PRO / ECO / Alpha</t>
        </is>
      </c>
      <c r="E198" s="2" t="inlineStr">
        <is>
          <t>laboratory heating and cooling thermostats</t>
        </is>
      </c>
    </row>
    <row r="199">
      <c r="A199" s="2" t="n">
        <v>66</v>
      </c>
      <c r="B199" s="2" t="inlineStr">
        <is>
          <t>LAUDA</t>
        </is>
      </c>
      <c r="C199" s="2" t="n">
        <v>3</v>
      </c>
      <c r="D199" s="2" t="inlineStr">
        <is>
          <t>Ultracool / Variocool</t>
        </is>
      </c>
      <c r="E199" s="2" t="inlineStr">
        <is>
          <t>process circulation chillers</t>
        </is>
      </c>
    </row>
    <row r="200">
      <c r="A200" s="2" t="n">
        <v>67</v>
      </c>
      <c r="B200" s="2" t="inlineStr">
        <is>
          <t>Peter Huber Kältemaschinenbau</t>
        </is>
      </c>
      <c r="C200" s="2" t="n">
        <v>1</v>
      </c>
      <c r="D200" s="2" t="inlineStr">
        <is>
          <t>Unistat</t>
        </is>
      </c>
      <c r="E200" s="2" t="inlineStr">
        <is>
          <t>highly dynamic temperature control systems (-125 to +425 C)</t>
        </is>
      </c>
    </row>
    <row r="201">
      <c r="A201" s="2" t="n">
        <v>67</v>
      </c>
      <c r="B201" s="2" t="inlineStr">
        <is>
          <t>Peter Huber Kältemaschinenbau</t>
        </is>
      </c>
      <c r="C201" s="2" t="n">
        <v>2</v>
      </c>
      <c r="D201" s="2" t="inlineStr">
        <is>
          <t>Unichiller</t>
        </is>
      </c>
      <c r="E201" s="2" t="inlineStr">
        <is>
          <t>recirculating chillers</t>
        </is>
      </c>
    </row>
    <row r="202">
      <c r="A202" s="2" t="n">
        <v>67</v>
      </c>
      <c r="B202" s="2" t="inlineStr">
        <is>
          <t>Peter Huber Kältemaschinenbau</t>
        </is>
      </c>
      <c r="C202" s="2" t="n">
        <v>3</v>
      </c>
      <c r="D202" s="2" t="inlineStr">
        <is>
          <t>Ministat / Petite Fleur / CC series</t>
        </is>
      </c>
      <c r="E202" s="2" t="inlineStr">
        <is>
          <t>compact bath and circulation thermostats</t>
        </is>
      </c>
    </row>
    <row r="203">
      <c r="A203" s="2" t="n">
        <v>68</v>
      </c>
      <c r="B203" s="2" t="inlineStr">
        <is>
          <t>BÜCHI Labortechnik</t>
        </is>
      </c>
      <c r="C203" s="2" t="n">
        <v>1</v>
      </c>
      <c r="D203" s="2" t="inlineStr">
        <is>
          <t>Rotavapor R-300</t>
        </is>
      </c>
      <c r="E203" s="2" t="inlineStr">
        <is>
          <t>modular rotary evaporator system</t>
        </is>
      </c>
    </row>
    <row r="204">
      <c r="A204" s="2" t="n">
        <v>68</v>
      </c>
      <c r="B204" s="2" t="inlineStr">
        <is>
          <t>BÜCHI Labortechnik</t>
        </is>
      </c>
      <c r="C204" s="2" t="n">
        <v>2</v>
      </c>
      <c r="D204" s="2" t="inlineStr">
        <is>
          <t>Mini Spray Dryer S-300 / B-290</t>
        </is>
      </c>
      <c r="E204" s="2" t="inlineStr">
        <is>
          <t>laboratory spray dryers</t>
        </is>
      </c>
    </row>
    <row r="205">
      <c r="A205" s="2" t="n">
        <v>68</v>
      </c>
      <c r="B205" s="2" t="inlineStr">
        <is>
          <t>BÜCHI Labortechnik</t>
        </is>
      </c>
      <c r="C205" s="2" t="n">
        <v>3</v>
      </c>
      <c r="D205" s="2" t="inlineStr">
        <is>
          <t>KjelMaster K-375 / Kjeldahl line</t>
        </is>
      </c>
      <c r="E205" s="2" t="inlineStr">
        <is>
          <t>nitrogen and protein determination systems</t>
        </is>
      </c>
    </row>
    <row r="206">
      <c r="A206" s="2" t="n">
        <v>69</v>
      </c>
      <c r="B206" s="2" t="inlineStr">
        <is>
          <t>Andreas Hettich</t>
        </is>
      </c>
      <c r="C206" s="2" t="n">
        <v>1</v>
      </c>
      <c r="D206" s="2" t="inlineStr">
        <is>
          <t>UNIVERSAL 320 / 320 R</t>
        </is>
      </c>
      <c r="E206" s="2" t="inlineStr">
        <is>
          <t>benchtop laboratory centrifuge</t>
        </is>
      </c>
    </row>
    <row r="207">
      <c r="A207" s="2" t="n">
        <v>69</v>
      </c>
      <c r="B207" s="2" t="inlineStr">
        <is>
          <t>Andreas Hettich</t>
        </is>
      </c>
      <c r="C207" s="2" t="n">
        <v>2</v>
      </c>
      <c r="D207" s="2" t="inlineStr">
        <is>
          <t>ROTINA 380 / 420 (R)</t>
        </is>
      </c>
      <c r="E207" s="2" t="inlineStr">
        <is>
          <t>high-capacity benchtop centrifuges</t>
        </is>
      </c>
    </row>
    <row r="208">
      <c r="A208" s="2" t="n">
        <v>69</v>
      </c>
      <c r="B208" s="2" t="inlineStr">
        <is>
          <t>Andreas Hettich</t>
        </is>
      </c>
      <c r="C208" s="2" t="n">
        <v>3</v>
      </c>
      <c r="D208" s="2" t="inlineStr">
        <is>
          <t>HettCube</t>
        </is>
      </c>
      <c r="E208" s="2" t="inlineStr">
        <is>
          <t>microbiological incubators</t>
        </is>
      </c>
    </row>
    <row r="209">
      <c r="A209" s="2" t="n">
        <v>70</v>
      </c>
      <c r="B209" s="2" t="inlineStr">
        <is>
          <t>Esco Lifesciences</t>
        </is>
      </c>
      <c r="C209" s="2" t="n">
        <v>1</v>
      </c>
      <c r="D209" s="2" t="inlineStr">
        <is>
          <t>Airstream Class II (Gen 3)</t>
        </is>
      </c>
      <c r="E209" s="2" t="inlineStr">
        <is>
          <t>biological safety cabinets</t>
        </is>
      </c>
    </row>
    <row r="210">
      <c r="A210" s="2" t="n">
        <v>70</v>
      </c>
      <c r="B210" s="2" t="inlineStr">
        <is>
          <t>Esco Lifesciences</t>
        </is>
      </c>
      <c r="C210" s="2" t="n">
        <v>2</v>
      </c>
      <c r="D210" s="2" t="inlineStr">
        <is>
          <t>CelCulture</t>
        </is>
      </c>
      <c r="E210" s="2" t="inlineStr">
        <is>
          <t>CO2 incubators</t>
        </is>
      </c>
    </row>
    <row r="211">
      <c r="A211" s="2" t="n">
        <v>70</v>
      </c>
      <c r="B211" s="2" t="inlineStr">
        <is>
          <t>Esco Lifesciences</t>
        </is>
      </c>
      <c r="C211" s="2" t="n">
        <v>3</v>
      </c>
      <c r="D211" s="2" t="inlineStr">
        <is>
          <t>Isoclean / Streamline isolators</t>
        </is>
      </c>
      <c r="E211" s="2" t="inlineStr">
        <is>
          <t>aseptic and containment isolators</t>
        </is>
      </c>
    </row>
    <row r="212">
      <c r="A212" s="2" t="n">
        <v>71</v>
      </c>
      <c r="B212" s="2" t="inlineStr">
        <is>
          <t>Labconco</t>
        </is>
      </c>
      <c r="C212" s="2" t="n">
        <v>1</v>
      </c>
      <c r="D212" s="2" t="inlineStr">
        <is>
          <t>Protector fume hoods (XStream / Premier)</t>
        </is>
      </c>
      <c r="E212" s="2" t="inlineStr">
        <is>
          <t>ducted and ductless chemical fume hoods</t>
        </is>
      </c>
    </row>
    <row r="213">
      <c r="A213" s="2" t="n">
        <v>71</v>
      </c>
      <c r="B213" s="2" t="inlineStr">
        <is>
          <t>Labconco</t>
        </is>
      </c>
      <c r="C213" s="2" t="n">
        <v>2</v>
      </c>
      <c r="D213" s="2" t="inlineStr">
        <is>
          <t>FreeZone freeze dryers</t>
        </is>
      </c>
      <c r="E213" s="2" t="inlineStr">
        <is>
          <t>benchtop and console laboratory lyophilizers</t>
        </is>
      </c>
    </row>
    <row r="214">
      <c r="A214" s="2" t="n">
        <v>71</v>
      </c>
      <c r="B214" s="2" t="inlineStr">
        <is>
          <t>Labconco</t>
        </is>
      </c>
      <c r="C214" s="2" t="n">
        <v>3</v>
      </c>
      <c r="D214" s="2" t="inlineStr">
        <is>
          <t>Purifier Logic+ biosafety cabinets</t>
        </is>
      </c>
      <c r="E214" s="2" t="inlineStr">
        <is>
          <t>Class II A2/B2/C1 biological safety cabinets</t>
        </is>
      </c>
    </row>
    <row r="215">
      <c r="A215" s="2" t="n">
        <v>72</v>
      </c>
      <c r="B215" s="2" t="inlineStr">
        <is>
          <t>NuAire</t>
        </is>
      </c>
      <c r="C215" s="2" t="n">
        <v>1</v>
      </c>
      <c r="D215" s="2" t="inlineStr">
        <is>
          <t>LabGard ES NU-540 / NU-543</t>
        </is>
      </c>
      <c r="E215" s="2" t="inlineStr">
        <is>
          <t>Class II Type A2 biosafety cabinets</t>
        </is>
      </c>
    </row>
    <row r="216">
      <c r="A216" s="2" t="n">
        <v>72</v>
      </c>
      <c r="B216" s="2" t="inlineStr">
        <is>
          <t>NuAire</t>
        </is>
      </c>
      <c r="C216" s="2" t="n">
        <v>2</v>
      </c>
      <c r="D216" s="2" t="inlineStr">
        <is>
          <t>In-VitroCell NU-5800 series</t>
        </is>
      </c>
      <c r="E216" s="2" t="inlineStr">
        <is>
          <t>direct-heat CO2 incubators</t>
        </is>
      </c>
    </row>
    <row r="217">
      <c r="A217" s="2" t="n">
        <v>72</v>
      </c>
      <c r="B217" s="2" t="inlineStr">
        <is>
          <t>NuAire</t>
        </is>
      </c>
      <c r="C217" s="2" t="n">
        <v>3</v>
      </c>
      <c r="D217" s="2" t="inlineStr">
        <is>
          <t>Glacier NU-99xxx series</t>
        </is>
      </c>
      <c r="E217" s="2" t="inlineStr">
        <is>
          <t>-86C ultralow temperature freezers</t>
        </is>
      </c>
    </row>
    <row r="218">
      <c r="A218" s="2" t="n">
        <v>73</v>
      </c>
      <c r="B218" s="2" t="inlineStr">
        <is>
          <t>PHC Holdings (PHCbi)</t>
        </is>
      </c>
      <c r="C218" s="2" t="n">
        <v>1</v>
      </c>
      <c r="D218" s="2" t="inlineStr">
        <is>
          <t>MDF-DU702VH VIP ECO</t>
        </is>
      </c>
      <c r="E218" s="2" t="inlineStr">
        <is>
          <t>-86C ultra-low temperature freezer</t>
        </is>
      </c>
    </row>
    <row r="219">
      <c r="A219" s="2" t="n">
        <v>73</v>
      </c>
      <c r="B219" s="2" t="inlineStr">
        <is>
          <t>PHC Holdings (PHCbi)</t>
        </is>
      </c>
      <c r="C219" s="2" t="n">
        <v>2</v>
      </c>
      <c r="D219" s="2" t="inlineStr">
        <is>
          <t>MCO-170AIC / MCO-230AIC IncuSafe</t>
        </is>
      </c>
      <c r="E219" s="2" t="inlineStr">
        <is>
          <t>CO2 incubators with H2O2 decontamination</t>
        </is>
      </c>
    </row>
    <row r="220">
      <c r="A220" s="2" t="n">
        <v>73</v>
      </c>
      <c r="B220" s="2" t="inlineStr">
        <is>
          <t>PHC Holdings (PHCbi)</t>
        </is>
      </c>
      <c r="C220" s="2" t="n">
        <v>3</v>
      </c>
      <c r="D220" s="2" t="inlineStr">
        <is>
          <t>MPR / MBR series</t>
        </is>
      </c>
      <c r="E220" s="2" t="inlineStr">
        <is>
          <t>pharmaceutical refrigerators and biomedical freezers</t>
        </is>
      </c>
    </row>
    <row r="221">
      <c r="A221" s="2" t="n">
        <v>74</v>
      </c>
      <c r="B221" s="2" t="inlineStr">
        <is>
          <t>Haier Biomedical</t>
        </is>
      </c>
      <c r="C221" s="2" t="n">
        <v>1</v>
      </c>
      <c r="D221" s="2" t="inlineStr">
        <is>
          <t>DW-86L series</t>
        </is>
      </c>
      <c r="E221" s="2" t="inlineStr">
        <is>
          <t>-86C ultra-low temperature freezers</t>
        </is>
      </c>
    </row>
    <row r="222">
      <c r="A222" s="2" t="n">
        <v>74</v>
      </c>
      <c r="B222" s="2" t="inlineStr">
        <is>
          <t>Haier Biomedical</t>
        </is>
      </c>
      <c r="C222" s="2" t="n">
        <v>2</v>
      </c>
      <c r="D222" s="2" t="inlineStr">
        <is>
          <t>Automated Biobank</t>
        </is>
      </c>
      <c r="E222" s="2" t="inlineStr">
        <is>
          <t>automated -80C / LN2 sample storage systems</t>
        </is>
      </c>
    </row>
    <row r="223">
      <c r="A223" s="2" t="n">
        <v>74</v>
      </c>
      <c r="B223" s="2" t="inlineStr">
        <is>
          <t>Haier Biomedical</t>
        </is>
      </c>
      <c r="C223" s="2" t="n">
        <v>3</v>
      </c>
      <c r="D223" s="2" t="inlineStr">
        <is>
          <t>HXC / HYC series</t>
        </is>
      </c>
      <c r="E223" s="2" t="inlineStr">
        <is>
          <t>blood bank and pharmacy/vaccine refrigerators</t>
        </is>
      </c>
    </row>
    <row r="224">
      <c r="A224" s="2" t="n">
        <v>75</v>
      </c>
      <c r="B224" s="2" t="inlineStr">
        <is>
          <t>Antylia Scientific (ex-Cole-Parmer)</t>
        </is>
      </c>
      <c r="C224" s="2" t="n">
        <v>1</v>
      </c>
      <c r="D224" s="2" t="inlineStr">
        <is>
          <t>Jenway spectrophotometers</t>
        </is>
      </c>
      <c r="E224" s="2" t="inlineStr">
        <is>
          <t>UV/Vis and visible benchtop spectrophotometers</t>
        </is>
      </c>
    </row>
    <row r="225">
      <c r="A225" s="2" t="n">
        <v>75</v>
      </c>
      <c r="B225" s="2" t="inlineStr">
        <is>
          <t>Antylia Scientific (ex-Cole-Parmer)</t>
        </is>
      </c>
      <c r="C225" s="2" t="n">
        <v>2</v>
      </c>
      <c r="D225" s="2" t="inlineStr">
        <is>
          <t>Environmental Express HotBlock</t>
        </is>
      </c>
      <c r="E225" s="2" t="inlineStr">
        <is>
          <t>sample digestion and prep for environmental testing</t>
        </is>
      </c>
    </row>
    <row r="226">
      <c r="A226" s="2" t="n">
        <v>75</v>
      </c>
      <c r="B226" s="2" t="inlineStr">
        <is>
          <t>Antylia Scientific (ex-Cole-Parmer)</t>
        </is>
      </c>
      <c r="C226" s="2" t="n">
        <v>3</v>
      </c>
      <c r="D226" s="2" t="inlineStr">
        <is>
          <t>Stuart / Techne benchtop equipment</t>
        </is>
      </c>
      <c r="E226" s="2" t="inlineStr">
        <is>
          <t>stirrers, shakers, hotplates, dry blocks, thermal cyclers</t>
        </is>
      </c>
    </row>
    <row r="227">
      <c r="A227" s="2" t="n">
        <v>76</v>
      </c>
      <c r="B227" s="2" t="inlineStr">
        <is>
          <t>Verder Scientific (Retsch, Carbolite Gero, Eltra, Microtrac MRB, QATM)</t>
        </is>
      </c>
      <c r="C227" s="2" t="n">
        <v>1</v>
      </c>
      <c r="D227" s="2" t="inlineStr">
        <is>
          <t>Retsch mills and sieve shakers</t>
        </is>
      </c>
      <c r="E227" s="2" t="inlineStr">
        <is>
          <t>planetary ball mills, cutting mills, AS 200 sieving</t>
        </is>
      </c>
    </row>
    <row r="228">
      <c r="A228" s="2" t="n">
        <v>76</v>
      </c>
      <c r="B228" s="2" t="inlineStr">
        <is>
          <t>Verder Scientific (Retsch, Carbolite Gero, Eltra, Microtrac MRB, QATM)</t>
        </is>
      </c>
      <c r="C228" s="2" t="n">
        <v>2</v>
      </c>
      <c r="D228" s="2" t="inlineStr">
        <is>
          <t>Carbolite Gero furnaces</t>
        </is>
      </c>
      <c r="E228" s="2" t="inlineStr">
        <is>
          <t>laboratory chamber, tube and high-temperature furnaces</t>
        </is>
      </c>
    </row>
    <row r="229">
      <c r="A229" s="2" t="n">
        <v>76</v>
      </c>
      <c r="B229" s="2" t="inlineStr">
        <is>
          <t>Verder Scientific (Retsch, Carbolite Gero, Eltra, Microtrac MRB, QATM)</t>
        </is>
      </c>
      <c r="C229" s="2" t="n">
        <v>3</v>
      </c>
      <c r="D229" s="2" t="inlineStr">
        <is>
          <t>Microtrac MRB particle analyzers</t>
        </is>
      </c>
      <c r="E229" s="2" t="inlineStr">
        <is>
          <t>laser diffraction and image particle characterization</t>
        </is>
      </c>
    </row>
    <row r="230">
      <c r="A230" s="2" t="n">
        <v>77</v>
      </c>
      <c r="B230" s="2" t="inlineStr">
        <is>
          <t>Yamato Scientific</t>
        </is>
      </c>
      <c r="C230" s="2" t="n">
        <v>1</v>
      </c>
      <c r="D230" s="2" t="inlineStr">
        <is>
          <t>DKN / DKM constant temperature ovens</t>
        </is>
      </c>
      <c r="E230" s="2" t="inlineStr">
        <is>
          <t>forced-convection laboratory drying ovens</t>
        </is>
      </c>
    </row>
    <row r="231">
      <c r="A231" s="2" t="n">
        <v>77</v>
      </c>
      <c r="B231" s="2" t="inlineStr">
        <is>
          <t>Yamato Scientific</t>
        </is>
      </c>
      <c r="C231" s="2" t="n">
        <v>2</v>
      </c>
      <c r="D231" s="2" t="inlineStr">
        <is>
          <t>SM / SQ series autoclaves</t>
        </is>
      </c>
      <c r="E231" s="2" t="inlineStr">
        <is>
          <t>benchtop and vertical steam sterilizers</t>
        </is>
      </c>
    </row>
    <row r="232">
      <c r="A232" s="2" t="n">
        <v>77</v>
      </c>
      <c r="B232" s="2" t="inlineStr">
        <is>
          <t>Yamato Scientific</t>
        </is>
      </c>
      <c r="C232" s="2" t="n">
        <v>3</v>
      </c>
      <c r="D232" s="2" t="inlineStr">
        <is>
          <t>Auto Pure WL series</t>
        </is>
      </c>
      <c r="E232" s="2" t="inlineStr">
        <is>
          <t>laboratory water purification systems</t>
        </is>
      </c>
    </row>
    <row r="233">
      <c r="A233" s="2" t="n">
        <v>78</v>
      </c>
      <c r="B233" s="2" t="inlineStr">
        <is>
          <t>Azenta Life Sciences</t>
        </is>
      </c>
      <c r="C233" s="2" t="n">
        <v>1</v>
      </c>
      <c r="D233" s="2" t="inlineStr">
        <is>
          <t>BioStore III Cryo</t>
        </is>
      </c>
      <c r="E233" s="2" t="inlineStr">
        <is>
          <t>automated LN2 cryogenic sample storage system</t>
        </is>
      </c>
    </row>
    <row r="234">
      <c r="A234" s="2" t="n">
        <v>78</v>
      </c>
      <c r="B234" s="2" t="inlineStr">
        <is>
          <t>Azenta Life Sciences</t>
        </is>
      </c>
      <c r="C234" s="2" t="n">
        <v>2</v>
      </c>
      <c r="D234" s="2" t="inlineStr">
        <is>
          <t>FluidX / Ziath tubes and readers</t>
        </is>
      </c>
      <c r="E234" s="2" t="inlineStr">
        <is>
          <t>2D-barcoded sample tubes and rack scanners</t>
        </is>
      </c>
    </row>
    <row r="235">
      <c r="A235" s="2" t="n">
        <v>78</v>
      </c>
      <c r="B235" s="2" t="inlineStr">
        <is>
          <t>Azenta Life Sciences</t>
        </is>
      </c>
      <c r="C235" s="2" t="n">
        <v>3</v>
      </c>
      <c r="D235" s="2" t="inlineStr">
        <is>
          <t>GENEWIZ services</t>
        </is>
      </c>
      <c r="E235" s="2" t="inlineStr">
        <is>
          <t>Sanger/NGS sequencing and gene synthesis services</t>
        </is>
      </c>
    </row>
    <row r="236">
      <c r="A236" s="2" t="n">
        <v>79</v>
      </c>
      <c r="B236" s="2" t="inlineStr">
        <is>
          <t>Opentrons Labworks</t>
        </is>
      </c>
      <c r="C236" s="2" t="n">
        <v>1</v>
      </c>
      <c r="D236" s="2" t="inlineStr">
        <is>
          <t>Opentrons Flex</t>
        </is>
      </c>
      <c r="E236" s="2" t="inlineStr">
        <is>
          <t>benchtop liquid-handling robot with 96-channel head and gripper</t>
        </is>
      </c>
    </row>
    <row r="237">
      <c r="A237" s="2" t="n">
        <v>79</v>
      </c>
      <c r="B237" s="2" t="inlineStr">
        <is>
          <t>Opentrons Labworks</t>
        </is>
      </c>
      <c r="C237" s="2" t="n">
        <v>2</v>
      </c>
      <c r="D237" s="2" t="inlineStr">
        <is>
          <t>OT-2</t>
        </is>
      </c>
      <c r="E237" s="2" t="inlineStr">
        <is>
          <t>low-cost open-source pipetting robot</t>
        </is>
      </c>
    </row>
    <row r="238">
      <c r="A238" s="2" t="n">
        <v>79</v>
      </c>
      <c r="B238" s="2" t="inlineStr">
        <is>
          <t>Opentrons Labworks</t>
        </is>
      </c>
      <c r="C238" s="2" t="n">
        <v>3</v>
      </c>
      <c r="D238" s="2" t="inlineStr">
        <is>
          <t>Flex modules</t>
        </is>
      </c>
      <c r="E238" s="2" t="inlineStr">
        <is>
          <t>thermocycler, heater-shaker, magnetic block, plate reader</t>
        </is>
      </c>
    </row>
    <row r="239">
      <c r="A239" s="2" t="n">
        <v>80</v>
      </c>
      <c r="B239" s="2" t="inlineStr">
        <is>
          <t>SPT Labtech</t>
        </is>
      </c>
      <c r="C239" s="2" t="n">
        <v>1</v>
      </c>
      <c r="D239" s="2" t="inlineStr">
        <is>
          <t>mosquito</t>
        </is>
      </c>
      <c r="E239" s="2" t="inlineStr">
        <is>
          <t>nanolitre positive-displacement liquid handler</t>
        </is>
      </c>
    </row>
    <row r="240">
      <c r="A240" s="2" t="n">
        <v>80</v>
      </c>
      <c r="B240" s="2" t="inlineStr">
        <is>
          <t>SPT Labtech</t>
        </is>
      </c>
      <c r="C240" s="2" t="n">
        <v>2</v>
      </c>
      <c r="D240" s="2" t="inlineStr">
        <is>
          <t>dragonfly discovery</t>
        </is>
      </c>
      <c r="E240" s="2" t="inlineStr">
        <is>
          <t>non-contact low-volume reagent dispenser</t>
        </is>
      </c>
    </row>
    <row r="241">
      <c r="A241" s="2" t="n">
        <v>80</v>
      </c>
      <c r="B241" s="2" t="inlineStr">
        <is>
          <t>SPT Labtech</t>
        </is>
      </c>
      <c r="C241" s="2" t="n">
        <v>3</v>
      </c>
      <c r="D241" s="2" t="inlineStr">
        <is>
          <t>firefly</t>
        </is>
      </c>
      <c r="E241" s="2" t="inlineStr">
        <is>
          <t>NGS library-prep liquid handling platform</t>
        </is>
      </c>
    </row>
    <row r="242">
      <c r="A242" s="2" t="n">
        <v>81</v>
      </c>
      <c r="B242" s="2" t="inlineStr">
        <is>
          <t>OHAUS (Mettler-Toledo)</t>
        </is>
      </c>
      <c r="C242" s="2" t="n">
        <v>1</v>
      </c>
      <c r="D242" s="2" t="inlineStr">
        <is>
          <t>Explorer series</t>
        </is>
      </c>
      <c r="E242" s="2" t="inlineStr">
        <is>
          <t>analytical &amp; precision laboratory balances</t>
        </is>
      </c>
    </row>
    <row r="243">
      <c r="A243" s="2" t="n">
        <v>81</v>
      </c>
      <c r="B243" s="2" t="inlineStr">
        <is>
          <t>OHAUS (Mettler-Toledo)</t>
        </is>
      </c>
      <c r="C243" s="2" t="n">
        <v>2</v>
      </c>
      <c r="D243" s="2" t="inlineStr">
        <is>
          <t>Pioneer / Adventurer balances</t>
        </is>
      </c>
      <c r="E243" s="2" t="inlineStr">
        <is>
          <t>mid-range analytical and precision balances</t>
        </is>
      </c>
    </row>
    <row r="244">
      <c r="A244" s="2" t="n">
        <v>81</v>
      </c>
      <c r="B244" s="2" t="inlineStr">
        <is>
          <t>OHAUS (Mettler-Toledo)</t>
        </is>
      </c>
      <c r="C244" s="2" t="n">
        <v>3</v>
      </c>
      <c r="D244" s="2" t="inlineStr">
        <is>
          <t>Frontier series centrifuges</t>
        </is>
      </c>
      <c r="E244" s="2" t="inlineStr">
        <is>
          <t>benchtop micro, multi-pro and high-speed centrifuges</t>
        </is>
      </c>
    </row>
    <row r="245">
      <c r="A245" s="2" t="n">
        <v>82</v>
      </c>
      <c r="B245" s="2" t="inlineStr">
        <is>
          <t>KERN &amp; SOHN</t>
        </is>
      </c>
      <c r="C245" s="2" t="n">
        <v>1</v>
      </c>
      <c r="D245" s="2" t="inlineStr">
        <is>
          <t>KERN ABT / ABS analytical balances</t>
        </is>
      </c>
      <c r="E245" s="2" t="inlineStr">
        <is>
          <t>0.1 mg laboratory analytical balances</t>
        </is>
      </c>
    </row>
    <row r="246">
      <c r="A246" s="2" t="n">
        <v>82</v>
      </c>
      <c r="B246" s="2" t="inlineStr">
        <is>
          <t>KERN &amp; SOHN</t>
        </is>
      </c>
      <c r="C246" s="2" t="n">
        <v>2</v>
      </c>
      <c r="D246" s="2" t="inlineStr">
        <is>
          <t>KERN test weights</t>
        </is>
      </c>
      <c r="E246" s="2" t="inlineStr">
        <is>
          <t>OIML E1-M3 calibration weights and weight sets</t>
        </is>
      </c>
    </row>
    <row r="247">
      <c r="A247" s="2" t="n">
        <v>82</v>
      </c>
      <c r="B247" s="2" t="inlineStr">
        <is>
          <t>KERN &amp; SOHN</t>
        </is>
      </c>
      <c r="C247" s="2" t="n">
        <v>3</v>
      </c>
      <c r="D247" s="2" t="inlineStr">
        <is>
          <t>KERN OBN / OBE microscopes</t>
        </is>
      </c>
      <c r="E247" s="2" t="inlineStr">
        <is>
          <t>laboratory and educational light microscopes</t>
        </is>
      </c>
    </row>
    <row r="248">
      <c r="A248" s="2" t="n">
        <v>83</v>
      </c>
      <c r="B248" s="2" t="inlineStr">
        <is>
          <t>A&amp;D Company (A&amp;D HOLON Holdings)</t>
        </is>
      </c>
      <c r="C248" s="2" t="n">
        <v>1</v>
      </c>
      <c r="D248" s="2" t="inlineStr">
        <is>
          <t>Apollo GX-A / GF-A series</t>
        </is>
      </c>
      <c r="E248" s="2" t="inlineStr">
        <is>
          <t>precision balances with impact-shock detection</t>
        </is>
      </c>
    </row>
    <row r="249">
      <c r="A249" s="2" t="n">
        <v>83</v>
      </c>
      <c r="B249" s="2" t="inlineStr">
        <is>
          <t>A&amp;D Company (A&amp;D HOLON Holdings)</t>
        </is>
      </c>
      <c r="C249" s="2" t="n">
        <v>2</v>
      </c>
      <c r="D249" s="2" t="inlineStr">
        <is>
          <t>HR-A / HR-AZ series</t>
        </is>
      </c>
      <c r="E249" s="2" t="inlineStr">
        <is>
          <t>0.1 mg analytical balances</t>
        </is>
      </c>
    </row>
    <row r="250">
      <c r="A250" s="2" t="n">
        <v>83</v>
      </c>
      <c r="B250" s="2" t="inlineStr">
        <is>
          <t>A&amp;D Company (A&amp;D HOLON Holdings)</t>
        </is>
      </c>
      <c r="C250" s="2" t="n">
        <v>3</v>
      </c>
      <c r="D250" s="2" t="inlineStr">
        <is>
          <t>MX-50 / MS-70 moisture analyzers</t>
        </is>
      </c>
      <c r="E250" s="2" t="inlineStr">
        <is>
          <t>halogen-lamp moisture balances</t>
        </is>
      </c>
    </row>
    <row r="251">
      <c r="A251" s="2" t="n">
        <v>84</v>
      </c>
      <c r="B251" s="2" t="inlineStr">
        <is>
          <t>Gilson</t>
        </is>
      </c>
      <c r="C251" s="2" t="n">
        <v>1</v>
      </c>
      <c r="D251" s="2" t="inlineStr">
        <is>
          <t>PIPETMAN L / G / P</t>
        </is>
      </c>
      <c r="E251" s="2" t="inlineStr">
        <is>
          <t>manual air-displacement micropipettes</t>
        </is>
      </c>
    </row>
    <row r="252">
      <c r="A252" s="2" t="n">
        <v>84</v>
      </c>
      <c r="B252" s="2" t="inlineStr">
        <is>
          <t>Gilson</t>
        </is>
      </c>
      <c r="C252" s="2" t="n">
        <v>2</v>
      </c>
      <c r="D252" s="2" t="inlineStr">
        <is>
          <t>PLC 2050 / 2250 purification systems</t>
        </is>
      </c>
      <c r="E252" s="2" t="inlineStr">
        <is>
          <t>preparative HPLC / flash purification</t>
        </is>
      </c>
    </row>
    <row r="253">
      <c r="A253" s="2" t="n">
        <v>84</v>
      </c>
      <c r="B253" s="2" t="inlineStr">
        <is>
          <t>Gilson</t>
        </is>
      </c>
      <c r="C253" s="2" t="n">
        <v>3</v>
      </c>
      <c r="D253" s="2" t="inlineStr">
        <is>
          <t>GX-271 / GX-274 ASPEC</t>
        </is>
      </c>
      <c r="E253" s="2" t="inlineStr">
        <is>
          <t>liquid-handling and SPE automation platforms</t>
        </is>
      </c>
    </row>
    <row r="254">
      <c r="A254" s="2" t="n">
        <v>85</v>
      </c>
      <c r="B254" s="2" t="inlineStr">
        <is>
          <t>INTEGRA Biosciences</t>
        </is>
      </c>
      <c r="C254" s="2" t="n">
        <v>1</v>
      </c>
      <c r="D254" s="2" t="inlineStr">
        <is>
          <t>VIAFLO / VOYAGER</t>
        </is>
      </c>
      <c r="E254" s="2" t="inlineStr">
        <is>
          <t>electronic single- and multichannel pipettes</t>
        </is>
      </c>
    </row>
    <row r="255">
      <c r="A255" s="2" t="n">
        <v>85</v>
      </c>
      <c r="B255" s="2" t="inlineStr">
        <is>
          <t>INTEGRA Biosciences</t>
        </is>
      </c>
      <c r="C255" s="2" t="n">
        <v>2</v>
      </c>
      <c r="D255" s="2" t="inlineStr">
        <is>
          <t>ASSIST PLUS</t>
        </is>
      </c>
      <c r="E255" s="2" t="inlineStr">
        <is>
          <t>benchtop pipetting robot for electronic pipettes</t>
        </is>
      </c>
    </row>
    <row r="256">
      <c r="A256" s="2" t="n">
        <v>85</v>
      </c>
      <c r="B256" s="2" t="inlineStr">
        <is>
          <t>INTEGRA Biosciences</t>
        </is>
      </c>
      <c r="C256" s="2" t="n">
        <v>3</v>
      </c>
      <c r="D256" s="2" t="inlineStr">
        <is>
          <t>VACUSAFE / MEDIACLAVE</t>
        </is>
      </c>
      <c r="E256" s="2" t="inlineStr">
        <is>
          <t>aspiration system and media sterilizer/preparator</t>
        </is>
      </c>
    </row>
    <row r="257">
      <c r="A257" s="2" t="n">
        <v>86</v>
      </c>
      <c r="B257" s="2" t="inlineStr">
        <is>
          <t>BMG LABTECH</t>
        </is>
      </c>
      <c r="C257" s="2" t="n">
        <v>1</v>
      </c>
      <c r="D257" s="2" t="inlineStr">
        <is>
          <t>CLARIOstar Plus</t>
        </is>
      </c>
      <c r="E257" s="2" t="inlineStr">
        <is>
          <t>monochromator-based multi-mode microplate reader</t>
        </is>
      </c>
    </row>
    <row r="258">
      <c r="A258" s="2" t="n">
        <v>86</v>
      </c>
      <c r="B258" s="2" t="inlineStr">
        <is>
          <t>BMG LABTECH</t>
        </is>
      </c>
      <c r="C258" s="2" t="n">
        <v>2</v>
      </c>
      <c r="D258" s="2" t="inlineStr">
        <is>
          <t>PHERAstar FSX</t>
        </is>
      </c>
      <c r="E258" s="2" t="inlineStr">
        <is>
          <t>high-throughput screening multi-mode plate reader</t>
        </is>
      </c>
    </row>
    <row r="259">
      <c r="A259" s="2" t="n">
        <v>86</v>
      </c>
      <c r="B259" s="2" t="inlineStr">
        <is>
          <t>BMG LABTECH</t>
        </is>
      </c>
      <c r="C259" s="2" t="n">
        <v>3</v>
      </c>
      <c r="D259" s="2" t="inlineStr">
        <is>
          <t>Omega series (FLUOstar / POLARstar / SPECTROstar Nano)</t>
        </is>
      </c>
      <c r="E259" s="2" t="inlineStr">
        <is>
          <t>filter-based and absorbance microplate readers</t>
        </is>
      </c>
    </row>
    <row r="260">
      <c r="A260" s="2" t="n">
        <v>87</v>
      </c>
      <c r="B260" s="2" t="inlineStr">
        <is>
          <t>Repligen</t>
        </is>
      </c>
      <c r="C260" s="2" t="n">
        <v>1</v>
      </c>
      <c r="D260" s="2" t="inlineStr">
        <is>
          <t>XCell ATF</t>
        </is>
      </c>
      <c r="E260" s="2" t="inlineStr">
        <is>
          <t>alternating tangential flow cell-retention systems</t>
        </is>
      </c>
    </row>
    <row r="261">
      <c r="A261" s="2" t="n">
        <v>87</v>
      </c>
      <c r="B261" s="2" t="inlineStr">
        <is>
          <t>Repligen</t>
        </is>
      </c>
      <c r="C261" s="2" t="n">
        <v>2</v>
      </c>
      <c r="D261" s="2" t="inlineStr">
        <is>
          <t>OPUS pre-packed columns</t>
        </is>
      </c>
      <c r="E261" s="2" t="inlineStr">
        <is>
          <t>ready-to-use chromatography columns</t>
        </is>
      </c>
    </row>
    <row r="262">
      <c r="A262" s="2" t="n">
        <v>87</v>
      </c>
      <c r="B262" s="2" t="inlineStr">
        <is>
          <t>Repligen</t>
        </is>
      </c>
      <c r="C262" s="2" t="n">
        <v>3</v>
      </c>
      <c r="D262" s="2" t="inlineStr">
        <is>
          <t>CTech FlowVPX / SoloVPE</t>
        </is>
      </c>
      <c r="E262" s="2" t="inlineStr">
        <is>
          <t>variable-pathlength UV concentration analytics</t>
        </is>
      </c>
    </row>
    <row r="263">
      <c r="A263" s="2" t="n">
        <v>88</v>
      </c>
      <c r="B263" s="2" t="inlineStr">
        <is>
          <t>ZwickRoell</t>
        </is>
      </c>
      <c r="C263" s="2" t="n">
        <v>1</v>
      </c>
      <c r="D263" s="2" t="inlineStr">
        <is>
          <t>AllroundLine / ProLine (Z-series)</t>
        </is>
      </c>
      <c r="E263" s="2" t="inlineStr">
        <is>
          <t>universal static materials testing machines</t>
        </is>
      </c>
    </row>
    <row r="264">
      <c r="A264" s="2" t="n">
        <v>88</v>
      </c>
      <c r="B264" s="2" t="inlineStr">
        <is>
          <t>ZwickRoell</t>
        </is>
      </c>
      <c r="C264" s="2" t="n">
        <v>2</v>
      </c>
      <c r="D264" s="2" t="inlineStr">
        <is>
          <t>testXpert III</t>
        </is>
      </c>
      <c r="E264" s="2" t="inlineStr">
        <is>
          <t>materials testing software platform</t>
        </is>
      </c>
    </row>
    <row r="265">
      <c r="A265" s="2" t="n">
        <v>88</v>
      </c>
      <c r="B265" s="2" t="inlineStr">
        <is>
          <t>ZwickRoell</t>
        </is>
      </c>
      <c r="C265" s="2" t="n">
        <v>3</v>
      </c>
      <c r="D265" s="2" t="inlineStr">
        <is>
          <t>HIT pendulum impact testers &amp; ZHU/DuraScan hardness testers</t>
        </is>
      </c>
      <c r="E265" s="2" t="inlineStr">
        <is>
          <t>impact and hardness testing instruments</t>
        </is>
      </c>
    </row>
    <row r="266">
      <c r="A266" s="2" t="n">
        <v>89</v>
      </c>
      <c r="B266" s="2" t="inlineStr">
        <is>
          <t>Kewaunee Scientific</t>
        </is>
      </c>
      <c r="C266" s="2" t="n">
        <v>1</v>
      </c>
      <c r="D266" s="2" t="inlineStr">
        <is>
          <t>Supreme Air fume hoods</t>
        </is>
      </c>
      <c r="E266" s="2" t="inlineStr">
        <is>
          <t>low-velocity / high-performance laboratory fume hoods</t>
        </is>
      </c>
    </row>
    <row r="267">
      <c r="A267" s="2" t="n">
        <v>89</v>
      </c>
      <c r="B267" s="2" t="inlineStr">
        <is>
          <t>Kewaunee Scientific</t>
        </is>
      </c>
      <c r="C267" s="2" t="n">
        <v>2</v>
      </c>
      <c r="D267" s="2" t="inlineStr">
        <is>
          <t>Evolution / Research Collection casework</t>
        </is>
      </c>
      <c r="E267" s="2" t="inlineStr">
        <is>
          <t>adaptable steel and wood laboratory furniture</t>
        </is>
      </c>
    </row>
    <row r="268">
      <c r="A268" s="2" t="n">
        <v>89</v>
      </c>
      <c r="B268" s="2" t="inlineStr">
        <is>
          <t>Kewaunee Scientific</t>
        </is>
      </c>
      <c r="C268" s="2" t="n">
        <v>3</v>
      </c>
      <c r="D268" s="2" t="inlineStr">
        <is>
          <t>NuAire biosafety cabinets (LabGard)</t>
        </is>
      </c>
      <c r="E268" s="2" t="inlineStr">
        <is>
          <t>Class II biological safety cabinets (NuAire subsidiary)</t>
        </is>
      </c>
    </row>
    <row r="269">
      <c r="A269" s="2" t="n">
        <v>90</v>
      </c>
      <c r="B269" s="2" t="inlineStr">
        <is>
          <t>WALDNER Laboreinrichtungen</t>
        </is>
      </c>
      <c r="C269" s="2" t="n">
        <v>1</v>
      </c>
      <c r="D269" s="2" t="inlineStr">
        <is>
          <t>SCALA</t>
        </is>
      </c>
      <c r="E269" s="2" t="inlineStr">
        <is>
          <t>modular laboratory furniture system</t>
        </is>
      </c>
    </row>
    <row r="270">
      <c r="A270" s="2" t="n">
        <v>90</v>
      </c>
      <c r="B270" s="2" t="inlineStr">
        <is>
          <t>WALDNER Laboreinrichtungen</t>
        </is>
      </c>
      <c r="C270" s="2" t="n">
        <v>2</v>
      </c>
      <c r="D270" s="2" t="inlineStr">
        <is>
          <t>SECUFLOW</t>
        </is>
      </c>
      <c r="E270" s="2" t="inlineStr">
        <is>
          <t>energy-saving laboratory fume hoods</t>
        </is>
      </c>
    </row>
    <row r="271">
      <c r="A271" s="2" t="n">
        <v>90</v>
      </c>
      <c r="B271" s="2" t="inlineStr">
        <is>
          <t>WALDNER Laboreinrichtungen</t>
        </is>
      </c>
      <c r="C271" s="2" t="n">
        <v>3</v>
      </c>
      <c r="D271" s="2" t="inlineStr">
        <is>
          <t>Media ceilings &amp; service modules</t>
        </is>
      </c>
      <c r="E271" s="2" t="inlineStr">
        <is>
          <t>ceiling-mounted lab utility supply systems</t>
        </is>
      </c>
    </row>
    <row r="272">
      <c r="A272" s="2" t="n">
        <v>91</v>
      </c>
      <c r="B272" s="2" t="inlineStr">
        <is>
          <t>DWK Life Sciences</t>
        </is>
      </c>
      <c r="C272" s="2" t="n">
        <v>1</v>
      </c>
      <c r="D272" s="2" t="inlineStr">
        <is>
          <t>DURAN laboratory glass bottles</t>
        </is>
      </c>
      <c r="E272" s="2" t="inlineStr">
        <is>
          <t>GL 45 borosilicate 3.3 bottles &amp; lab glassware</t>
        </is>
      </c>
    </row>
    <row r="273">
      <c r="A273" s="2" t="n">
        <v>91</v>
      </c>
      <c r="B273" s="2" t="inlineStr">
        <is>
          <t>DWK Life Sciences</t>
        </is>
      </c>
      <c r="C273" s="2" t="n">
        <v>2</v>
      </c>
      <c r="D273" s="2" t="inlineStr">
        <is>
          <t>WHEATON vials &amp; serum bottles</t>
        </is>
      </c>
      <c r="E273" s="2" t="inlineStr">
        <is>
          <t>glass vials, serum bottles, packaging</t>
        </is>
      </c>
    </row>
    <row r="274">
      <c r="A274" s="2" t="n">
        <v>91</v>
      </c>
      <c r="B274" s="2" t="inlineStr">
        <is>
          <t>DWK Life Sciences</t>
        </is>
      </c>
      <c r="C274" s="2" t="n">
        <v>3</v>
      </c>
      <c r="D274" s="2" t="inlineStr">
        <is>
          <t>KIMBLE KIMAX glassware</t>
        </is>
      </c>
      <c r="E274" s="2" t="inlineStr">
        <is>
          <t>volumetric &amp; general laboratory glassware</t>
        </is>
      </c>
    </row>
    <row r="275">
      <c r="A275" s="2" t="n">
        <v>92</v>
      </c>
      <c r="B275" s="2" t="inlineStr">
        <is>
          <t>Greiner Bio-One</t>
        </is>
      </c>
      <c r="C275" s="2" t="n">
        <v>1</v>
      </c>
      <c r="D275" s="2" t="inlineStr">
        <is>
          <t>VACUETTE</t>
        </is>
      </c>
      <c r="E275" s="2" t="inlineStr">
        <is>
          <t>evacuated blood collection tubes &amp; safety needles</t>
        </is>
      </c>
    </row>
    <row r="276">
      <c r="A276" s="2" t="n">
        <v>92</v>
      </c>
      <c r="B276" s="2" t="inlineStr">
        <is>
          <t>Greiner Bio-One</t>
        </is>
      </c>
      <c r="C276" s="2" t="n">
        <v>2</v>
      </c>
      <c r="D276" s="2" t="inlineStr">
        <is>
          <t>CELLSTAR</t>
        </is>
      </c>
      <c r="E276" s="2" t="inlineStr">
        <is>
          <t>cell culture flasks, dishes &amp; plates</t>
        </is>
      </c>
    </row>
    <row r="277">
      <c r="A277" s="2" t="n">
        <v>92</v>
      </c>
      <c r="B277" s="2" t="inlineStr">
        <is>
          <t>Greiner Bio-One</t>
        </is>
      </c>
      <c r="C277" s="2" t="n">
        <v>3</v>
      </c>
      <c r="D277" s="2" t="inlineStr">
        <is>
          <t>Sapphire tips &amp; µClear microplates</t>
        </is>
      </c>
      <c r="E277" s="2" t="inlineStr">
        <is>
          <t>pipette tips, PCR &amp; assay microplates</t>
        </is>
      </c>
    </row>
    <row r="278">
      <c r="A278" s="2" t="n">
        <v>93</v>
      </c>
      <c r="B278" s="2" t="inlineStr">
        <is>
          <t>SARSTEDT</t>
        </is>
      </c>
      <c r="C278" s="2" t="n">
        <v>1</v>
      </c>
      <c r="D278" s="2" t="inlineStr">
        <is>
          <t>S-Monovette</t>
        </is>
      </c>
      <c r="E278" s="2" t="inlineStr">
        <is>
          <t>venous blood collection system</t>
        </is>
      </c>
    </row>
    <row r="279">
      <c r="A279" s="2" t="n">
        <v>93</v>
      </c>
      <c r="B279" s="2" t="inlineStr">
        <is>
          <t>SARSTEDT</t>
        </is>
      </c>
      <c r="C279" s="2" t="n">
        <v>2</v>
      </c>
      <c r="D279" s="2" t="inlineStr">
        <is>
          <t>Microvette &amp; Salivette</t>
        </is>
      </c>
      <c r="E279" s="2" t="inlineStr">
        <is>
          <t>capillary blood and saliva collection</t>
        </is>
      </c>
    </row>
    <row r="280">
      <c r="A280" s="2" t="n">
        <v>93</v>
      </c>
      <c r="B280" s="2" t="inlineStr">
        <is>
          <t>SARSTEDT</t>
        </is>
      </c>
      <c r="C280" s="2" t="n">
        <v>3</v>
      </c>
      <c r="D280" s="2" t="inlineStr">
        <is>
          <t>Lab consumables (tubes, tips, cell culture)</t>
        </is>
      </c>
      <c r="E280" s="2" t="inlineStr">
        <is>
          <t>screw-cap tubes, pipette tips, plates</t>
        </is>
      </c>
    </row>
    <row r="281">
      <c r="A281" s="2" t="n">
        <v>94</v>
      </c>
      <c r="B281" s="2" t="inlineStr">
        <is>
          <t>BRAND (incl. VACUUBRAND)</t>
        </is>
      </c>
      <c r="C281" s="2" t="n">
        <v>1</v>
      </c>
      <c r="D281" s="2" t="inlineStr">
        <is>
          <t>Transferpette S / electronic</t>
        </is>
      </c>
      <c r="E281" s="2" t="inlineStr">
        <is>
          <t>single- and multichannel air-displacement pipettes</t>
        </is>
      </c>
    </row>
    <row r="282">
      <c r="A282" s="2" t="n">
        <v>94</v>
      </c>
      <c r="B282" s="2" t="inlineStr">
        <is>
          <t>BRAND (incl. VACUUBRAND)</t>
        </is>
      </c>
      <c r="C282" s="2" t="n">
        <v>2</v>
      </c>
      <c r="D282" s="2" t="inlineStr">
        <is>
          <t>Dispensette S &amp; HandyStep</t>
        </is>
      </c>
      <c r="E282" s="2" t="inlineStr">
        <is>
          <t>bottle-top dispensers and repetitive pipettes</t>
        </is>
      </c>
    </row>
    <row r="283">
      <c r="A283" s="2" t="n">
        <v>94</v>
      </c>
      <c r="B283" s="2" t="inlineStr">
        <is>
          <t>BRAND (incl. VACUUBRAND)</t>
        </is>
      </c>
      <c r="C283" s="2" t="n">
        <v>3</v>
      </c>
      <c r="D283" s="2" t="inlineStr">
        <is>
          <t>BLAUBRAND volumetric glassware</t>
        </is>
      </c>
      <c r="E283" s="2" t="inlineStr">
        <is>
          <t>Class A flasks, pipettes, burettes</t>
        </is>
      </c>
    </row>
    <row r="284">
      <c r="A284" s="2" t="n">
        <v>95</v>
      </c>
      <c r="B284" s="2" t="inlineStr">
        <is>
          <t>Berthold Technologies</t>
        </is>
      </c>
      <c r="C284" s="2" t="n">
        <v>1</v>
      </c>
      <c r="D284" s="2" t="inlineStr">
        <is>
          <t>Tristar 5 / Mithras²</t>
        </is>
      </c>
      <c r="E284" s="2" t="inlineStr">
        <is>
          <t>multimode microplate readers</t>
        </is>
      </c>
    </row>
    <row r="285">
      <c r="A285" s="2" t="n">
        <v>95</v>
      </c>
      <c r="B285" s="2" t="inlineStr">
        <is>
          <t>Berthold Technologies</t>
        </is>
      </c>
      <c r="C285" s="2" t="n">
        <v>2</v>
      </c>
      <c r="D285" s="2" t="inlineStr">
        <is>
          <t>Lumat³ LB 9508 / Centro</t>
        </is>
      </c>
      <c r="E285" s="2" t="inlineStr">
        <is>
          <t>tube and microplate luminometers</t>
        </is>
      </c>
    </row>
    <row r="286">
      <c r="A286" s="2" t="n">
        <v>95</v>
      </c>
      <c r="B286" s="2" t="inlineStr">
        <is>
          <t>Berthold Technologies</t>
        </is>
      </c>
      <c r="C286" s="2" t="n">
        <v>3</v>
      </c>
      <c r="D286" s="2" t="inlineStr">
        <is>
          <t>LB 124 SCINT &amp; process gauges</t>
        </is>
      </c>
      <c r="E286" s="2" t="inlineStr">
        <is>
          <t>contamination monitors, level/density gauges</t>
        </is>
      </c>
    </row>
    <row r="287">
      <c r="A287" s="2" t="n">
        <v>96</v>
      </c>
      <c r="B287" s="2" t="inlineStr">
        <is>
          <t>INFORS HT</t>
        </is>
      </c>
      <c r="C287" s="2" t="n">
        <v>1</v>
      </c>
      <c r="D287" s="2" t="inlineStr">
        <is>
          <t>Multitron</t>
        </is>
      </c>
      <c r="E287" s="2" t="inlineStr">
        <is>
          <t>stackable incubator shaker for cell culture</t>
        </is>
      </c>
    </row>
    <row r="288">
      <c r="A288" s="2" t="n">
        <v>96</v>
      </c>
      <c r="B288" s="2" t="inlineStr">
        <is>
          <t>INFORS HT</t>
        </is>
      </c>
      <c r="C288" s="2" t="n">
        <v>2</v>
      </c>
      <c r="D288" s="2" t="inlineStr">
        <is>
          <t>Minifors 2 / Labfors 5</t>
        </is>
      </c>
      <c r="E288" s="2" t="inlineStr">
        <is>
          <t>benchtop bioreactors &amp; fermenters</t>
        </is>
      </c>
    </row>
    <row r="289">
      <c r="A289" s="2" t="n">
        <v>96</v>
      </c>
      <c r="B289" s="2" t="inlineStr">
        <is>
          <t>INFORS HT</t>
        </is>
      </c>
      <c r="C289" s="2" t="n">
        <v>3</v>
      </c>
      <c r="D289" s="2" t="inlineStr">
        <is>
          <t>eve</t>
        </is>
      </c>
      <c r="E289" s="2" t="inlineStr">
        <is>
          <t>bioprocess platform software</t>
        </is>
      </c>
    </row>
    <row r="290">
      <c r="A290" s="2" t="n">
        <v>97</v>
      </c>
      <c r="B290" s="2" t="inlineStr">
        <is>
          <t>Nabertherm</t>
        </is>
      </c>
      <c r="C290" s="2" t="n">
        <v>1</v>
      </c>
      <c r="D290" s="2" t="inlineStr">
        <is>
          <t>L / LE / LT muffle furnaces</t>
        </is>
      </c>
      <c r="E290" s="2" t="inlineStr">
        <is>
          <t>laboratory muffle furnaces up to 1,300 °C</t>
        </is>
      </c>
    </row>
    <row r="291">
      <c r="A291" s="2" t="n">
        <v>97</v>
      </c>
      <c r="B291" s="2" t="inlineStr">
        <is>
          <t>Nabertherm</t>
        </is>
      </c>
      <c r="C291" s="2" t="n">
        <v>2</v>
      </c>
      <c r="D291" s="2" t="inlineStr">
        <is>
          <t>RT / RS tube furnaces</t>
        </is>
      </c>
      <c r="E291" s="2" t="inlineStr">
        <is>
          <t>compact and rotary tube furnaces</t>
        </is>
      </c>
    </row>
    <row r="292">
      <c r="A292" s="2" t="n">
        <v>97</v>
      </c>
      <c r="B292" s="2" t="inlineStr">
        <is>
          <t>Nabertherm</t>
        </is>
      </c>
      <c r="C292" s="2" t="n">
        <v>3</v>
      </c>
      <c r="D292" s="2" t="inlineStr">
        <is>
          <t>LHT / HTC high-temperature furnaces</t>
        </is>
      </c>
      <c r="E292" s="2" t="inlineStr">
        <is>
          <t>chamber furnaces up to 1,800 °C</t>
        </is>
      </c>
    </row>
    <row r="293">
      <c r="A293" s="2" t="n">
        <v>98</v>
      </c>
      <c r="B293" s="2" t="inlineStr">
        <is>
          <t>ELGA LabWater (Veolia)</t>
        </is>
      </c>
      <c r="C293" s="2" t="n">
        <v>1</v>
      </c>
      <c r="D293" s="2" t="inlineStr">
        <is>
          <t>PURELAB flex / Quest</t>
        </is>
      </c>
      <c r="E293" s="2" t="inlineStr">
        <is>
          <t>Type I ultrapure lab water systems</t>
        </is>
      </c>
    </row>
    <row r="294">
      <c r="A294" s="2" t="n">
        <v>98</v>
      </c>
      <c r="B294" s="2" t="inlineStr">
        <is>
          <t>ELGA LabWater (Veolia)</t>
        </is>
      </c>
      <c r="C294" s="2" t="n">
        <v>2</v>
      </c>
      <c r="D294" s="2" t="inlineStr">
        <is>
          <t>PURELAB Chorus</t>
        </is>
      </c>
      <c r="E294" s="2" t="inlineStr">
        <is>
          <t>modular Type I/II/III purification range</t>
        </is>
      </c>
    </row>
    <row r="295">
      <c r="A295" s="2" t="n">
        <v>98</v>
      </c>
      <c r="B295" s="2" t="inlineStr">
        <is>
          <t>ELGA LabWater (Veolia)</t>
        </is>
      </c>
      <c r="C295" s="2" t="n">
        <v>3</v>
      </c>
      <c r="D295" s="2" t="inlineStr">
        <is>
          <t>MEDICA</t>
        </is>
      </c>
      <c r="E295" s="2" t="inlineStr">
        <is>
          <t>clinical analyzer feed-water systems</t>
        </is>
      </c>
    </row>
    <row r="296">
      <c r="A296" s="2" t="n">
        <v>99</v>
      </c>
      <c r="B296" s="2" t="inlineStr">
        <is>
          <t>ATS Scientific Products (ex-SP Industries)</t>
        </is>
      </c>
      <c r="C296" s="2" t="n">
        <v>1</v>
      </c>
      <c r="D296" s="2" t="inlineStr">
        <is>
          <t>SP VirTis &amp; SP Hull freeze dryers</t>
        </is>
      </c>
      <c r="E296" s="2" t="inlineStr">
        <is>
          <t>lab-to-production lyophilizers (LyoStar, Genesis, AdVantage)</t>
        </is>
      </c>
    </row>
    <row r="297">
      <c r="A297" s="2" t="n">
        <v>99</v>
      </c>
      <c r="B297" s="2" t="inlineStr">
        <is>
          <t>ATS Scientific Products (ex-SP Industries)</t>
        </is>
      </c>
      <c r="C297" s="2" t="n">
        <v>2</v>
      </c>
      <c r="D297" s="2" t="inlineStr">
        <is>
          <t>SP Genevac EZ-2 / HT series</t>
        </is>
      </c>
      <c r="E297" s="2" t="inlineStr">
        <is>
          <t>centrifugal solvent evaporators</t>
        </is>
      </c>
    </row>
    <row r="298">
      <c r="A298" s="2" t="n">
        <v>99</v>
      </c>
      <c r="B298" s="2" t="inlineStr">
        <is>
          <t>ATS Scientific Products (ex-SP Industries)</t>
        </is>
      </c>
      <c r="C298" s="2" t="n">
        <v>3</v>
      </c>
      <c r="D298" s="2" t="inlineStr">
        <is>
          <t>SP Bel-Art &amp; Wilmad-LabGlass</t>
        </is>
      </c>
      <c r="E298" s="2" t="inlineStr">
        <is>
          <t>plastic labware, desiccators, NMR tubes</t>
        </is>
      </c>
    </row>
    <row r="299">
      <c r="A299" s="2" t="n">
        <v>100</v>
      </c>
      <c r="B299" s="2" t="inlineStr">
        <is>
          <t>RADWAG</t>
        </is>
      </c>
      <c r="C299" s="2" t="n">
        <v>1</v>
      </c>
      <c r="D299" s="2" t="inlineStr">
        <is>
          <t>MYA 5Y microbalances</t>
        </is>
      </c>
      <c r="E299" s="2" t="inlineStr">
        <is>
          <t>1 µg / 0.1 µg microbalances &amp; ultra-microbalances</t>
        </is>
      </c>
    </row>
    <row r="300">
      <c r="A300" s="2" t="n">
        <v>100</v>
      </c>
      <c r="B300" s="2" t="inlineStr">
        <is>
          <t>RADWAG</t>
        </is>
      </c>
      <c r="C300" s="2" t="n">
        <v>2</v>
      </c>
      <c r="D300" s="2" t="inlineStr">
        <is>
          <t>XA 5Y / AS X7 analytical balances</t>
        </is>
      </c>
      <c r="E300" s="2" t="inlineStr">
        <is>
          <t>0.01-0.1 mg analytical balances</t>
        </is>
      </c>
    </row>
    <row r="301">
      <c r="A301" s="2" t="n">
        <v>100</v>
      </c>
      <c r="B301" s="2" t="inlineStr">
        <is>
          <t>RADWAG</t>
        </is>
      </c>
      <c r="C301" s="2" t="n">
        <v>3</v>
      </c>
      <c r="D301" s="2" t="inlineStr">
        <is>
          <t>PS X7 precision balances &amp; mass comparators</t>
        </is>
      </c>
      <c r="E301" s="2" t="inlineStr">
        <is>
          <t>precision weighing and metrology</t>
        </is>
      </c>
    </row>
  </sheetData>
  <autoFilter ref="A1:E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6"/>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2" customWidth="1" min="3" max="3"/>
    <col width="28" customWidth="1" min="4" max="4"/>
    <col width="18" customWidth="1" min="5" max="5"/>
    <col width="26" customWidth="1" min="6" max="6"/>
    <col width="34" customWidth="1" min="7" max="7"/>
    <col width="10" customWidth="1" min="8" max="8"/>
    <col width="7" customWidth="1" min="9" max="9"/>
    <col width="30" customWidth="1" min="10" max="10"/>
    <col width="60" customWidth="1" min="11" max="11"/>
  </cols>
  <sheetData>
    <row r="1">
      <c r="A1" s="4" t="inlineStr">
        <is>
          <t>גוף ישראלי / Israeli entity</t>
        </is>
      </c>
      <c r="B1" s="4" t="inlineStr">
        <is>
          <t>שם בעברית</t>
        </is>
      </c>
      <c r="C1" s="4" t="inlineStr">
        <is>
          <t>סוג / Type</t>
        </is>
      </c>
      <c r="D1" s="4" t="inlineStr">
        <is>
          <t>אתר / Website</t>
        </is>
      </c>
      <c r="E1" s="4" t="inlineStr">
        <is>
          <t>טלפון / Phone</t>
        </is>
      </c>
      <c r="F1" s="4" t="inlineStr">
        <is>
          <t>דוא״ל / Email</t>
        </is>
      </c>
      <c r="G1" s="4" t="inlineStr">
        <is>
          <t>כתובת / Address</t>
        </is>
      </c>
      <c r="H1" s="4" t="inlineStr">
        <is>
          <t>מס׳ יצרנים / # makers</t>
        </is>
      </c>
      <c r="I1" s="4" t="inlineStr">
        <is>
          <t># יצרן</t>
        </is>
      </c>
      <c r="J1" s="4" t="inlineStr">
        <is>
          <t>יצרן / Manufacturer</t>
        </is>
      </c>
      <c r="K1" s="4" t="inlineStr">
        <is>
          <t>תחום / Scope</t>
        </is>
      </c>
    </row>
    <row r="2">
      <c r="A2" s="2" t="inlineStr">
        <is>
          <t>Danyel Biotech</t>
        </is>
      </c>
      <c r="B2" s="2" t="inlineStr">
        <is>
          <t>דניאל ביוטק</t>
        </is>
      </c>
      <c r="C2" s="2" t="inlineStr">
        <is>
          <t>מפיץ</t>
        </is>
      </c>
      <c r="D2" s="2" t="inlineStr">
        <is>
          <t>https://www.danyel.co.il</t>
        </is>
      </c>
      <c r="E2" s="2" t="inlineStr"/>
      <c r="F2" s="2" t="inlineStr"/>
      <c r="G2" s="2" t="inlineStr"/>
      <c r="H2" s="2" t="n">
        <v>9</v>
      </c>
      <c r="I2" s="2" t="n">
        <v>1</v>
      </c>
      <c r="J2" s="2" t="inlineStr">
        <is>
          <t>Thermo Fisher Scientific</t>
        </is>
      </c>
      <c r="K2" s="2" t="inlineStr">
        <is>
          <t>Olink proteomics (a Thermo Fisher business)</t>
        </is>
      </c>
    </row>
    <row r="3">
      <c r="A3" s="2" t="inlineStr">
        <is>
          <t>Danyel Biotech</t>
        </is>
      </c>
      <c r="B3" s="2" t="inlineStr">
        <is>
          <t>דניאל ביוטק</t>
        </is>
      </c>
      <c r="C3" s="2" t="inlineStr">
        <is>
          <t>מפיץ</t>
        </is>
      </c>
      <c r="D3" s="2" t="inlineStr">
        <is>
          <t>https://www.danyel.co.il</t>
        </is>
      </c>
      <c r="E3" s="2" t="inlineStr"/>
      <c r="F3" s="2" t="inlineStr"/>
      <c r="G3" s="2" t="inlineStr"/>
      <c r="H3" s="2" t="n">
        <v>9</v>
      </c>
      <c r="I3" s="2" t="n">
        <v>15</v>
      </c>
      <c r="J3" s="2" t="inlineStr">
        <is>
          <t>Illumina</t>
        </is>
      </c>
      <c r="K3" s="2" t="inlineStr">
        <is>
          <t>Illumina sequencers, arrays and reagents (long-standing distributor; 2020 evidence – verify current status)</t>
        </is>
      </c>
    </row>
    <row r="4">
      <c r="A4" s="2" t="inlineStr">
        <is>
          <t>Danyel Biotech</t>
        </is>
      </c>
      <c r="B4" s="2" t="inlineStr">
        <is>
          <t>דניאל ביוטק</t>
        </is>
      </c>
      <c r="C4" s="2" t="inlineStr">
        <is>
          <t>מפיץ</t>
        </is>
      </c>
      <c r="D4" s="2" t="inlineStr">
        <is>
          <t>https://www.danyel.co.il</t>
        </is>
      </c>
      <c r="E4" s="2" t="inlineStr"/>
      <c r="F4" s="2" t="inlineStr"/>
      <c r="G4" s="2" t="inlineStr"/>
      <c r="H4" s="2" t="n">
        <v>9</v>
      </c>
      <c r="I4" s="2" t="n">
        <v>17</v>
      </c>
      <c r="J4" s="2" t="inlineStr">
        <is>
          <t>Cytiva (Danaher)</t>
        </is>
      </c>
      <c r="K4" s="2" t="inlineStr">
        <is>
          <t>Cytiva chromatography (ÄKTA pure) and Biacore; other Cytiva lines (Whatman, Amersham, Pall) not confirmed</t>
        </is>
      </c>
    </row>
    <row r="5">
      <c r="A5" s="2" t="inlineStr">
        <is>
          <t>Danyel Biotech</t>
        </is>
      </c>
      <c r="B5" s="2" t="inlineStr">
        <is>
          <t>דניאל ביוטק</t>
        </is>
      </c>
      <c r="C5" s="2" t="inlineStr">
        <is>
          <t>מפיץ</t>
        </is>
      </c>
      <c r="D5" s="2" t="inlineStr">
        <is>
          <t>https://www.danyel.co.il</t>
        </is>
      </c>
      <c r="E5" s="2" t="inlineStr"/>
      <c r="F5" s="2" t="inlineStr"/>
      <c r="G5" s="2" t="inlineStr"/>
      <c r="H5" s="2" t="n">
        <v>9</v>
      </c>
      <c r="I5" s="2" t="n">
        <v>27</v>
      </c>
      <c r="J5" s="2" t="inlineStr">
        <is>
          <t>10x Genomics</t>
        </is>
      </c>
      <c r="K5" s="2" t="inlineStr">
        <is>
          <t>10x Genomics instruments, reagents and software (Chromium single-cell; Visium/Xenium not seen explicitly)</t>
        </is>
      </c>
    </row>
    <row r="6">
      <c r="A6" s="2" t="inlineStr">
        <is>
          <t>Danyel Biotech</t>
        </is>
      </c>
      <c r="B6" s="2" t="inlineStr">
        <is>
          <t>דניאל ביוטק</t>
        </is>
      </c>
      <c r="C6" s="2" t="inlineStr">
        <is>
          <t>מפיץ</t>
        </is>
      </c>
      <c r="D6" s="2" t="inlineStr">
        <is>
          <t>https://www.danyel.co.il</t>
        </is>
      </c>
      <c r="E6" s="2" t="inlineStr"/>
      <c r="F6" s="2" t="inlineStr"/>
      <c r="G6" s="2" t="inlineStr"/>
      <c r="H6" s="2" t="n">
        <v>9</v>
      </c>
      <c r="I6" s="2" t="n">
        <v>31</v>
      </c>
      <c r="J6" s="2" t="inlineStr">
        <is>
          <t>Hamilton Company</t>
        </is>
      </c>
      <c r="K6" s="2" t="inlineStr">
        <is>
          <t>Hamilton (liquid-handling robotics) listed among the brands on Danyel Biotech's site – scope to confirm</t>
        </is>
      </c>
    </row>
    <row r="7">
      <c r="A7" s="2" t="inlineStr">
        <is>
          <t>Danyel Biotech</t>
        </is>
      </c>
      <c r="B7" s="2" t="inlineStr">
        <is>
          <t>דניאל ביוטק</t>
        </is>
      </c>
      <c r="C7" s="2" t="inlineStr">
        <is>
          <t>מפיץ</t>
        </is>
      </c>
      <c r="D7" s="2" t="inlineStr">
        <is>
          <t>https://www.danyel.co.il</t>
        </is>
      </c>
      <c r="E7" s="2" t="inlineStr"/>
      <c r="F7" s="2" t="inlineStr"/>
      <c r="G7" s="2" t="inlineStr"/>
      <c r="H7" s="2" t="n">
        <v>9</v>
      </c>
      <c r="I7" s="2" t="n">
        <v>70</v>
      </c>
      <c r="J7" s="2" t="inlineStr">
        <is>
          <t>Esco Lifesciences</t>
        </is>
      </c>
      <c r="K7" s="2" t="inlineStr">
        <is>
          <t>Esco Life Sciences division: biological safety cabinets (Airstream Class I/III, Labculture Class II A2/B1/B2), fume hoods, incubators and ULT freezers - dedicated Esco page on Danyel's site</t>
        </is>
      </c>
    </row>
    <row r="8">
      <c r="A8" s="2" t="inlineStr">
        <is>
          <t>Danyel Biotech</t>
        </is>
      </c>
      <c r="B8" s="2" t="inlineStr">
        <is>
          <t>דניאל ביוטק</t>
        </is>
      </c>
      <c r="C8" s="2" t="inlineStr">
        <is>
          <t>מפיץ</t>
        </is>
      </c>
      <c r="D8" s="2" t="inlineStr">
        <is>
          <t>https://www.danyel.co.il</t>
        </is>
      </c>
      <c r="E8" s="2" t="inlineStr"/>
      <c r="F8" s="2" t="inlineStr"/>
      <c r="G8" s="2" t="inlineStr"/>
      <c r="H8" s="2" t="n">
        <v>9</v>
      </c>
      <c r="I8" s="2" t="n">
        <v>91</v>
      </c>
      <c r="J8" s="2" t="inlineStr">
        <is>
          <t>DWK Life Sciences</t>
        </is>
      </c>
      <c r="K8" s="2" t="inlineStr">
        <is>
          <t>SciLabware ('a DWK Life Sciences company', UK): Pyrex borosilicate and Quickfit jointed glassware, MBL volumetric ware, Azlon plasticware and Wheaton packaging/dropper bottles - per Danyel's SciLabware brand page; DURAN and KIMBLE lines not shown</t>
        </is>
      </c>
    </row>
    <row r="9">
      <c r="A9" s="2" t="inlineStr">
        <is>
          <t>Danyel Biotech</t>
        </is>
      </c>
      <c r="B9" s="2" t="inlineStr">
        <is>
          <t>דניאל ביוטק</t>
        </is>
      </c>
      <c r="C9" s="2" t="inlineStr">
        <is>
          <t>מפיץ</t>
        </is>
      </c>
      <c r="D9" s="2" t="inlineStr">
        <is>
          <t>https://www.danyel.co.il</t>
        </is>
      </c>
      <c r="E9" s="2" t="inlineStr"/>
      <c r="F9" s="2" t="inlineStr"/>
      <c r="G9" s="2" t="inlineStr"/>
      <c r="H9" s="2" t="n">
        <v>9</v>
      </c>
      <c r="I9" s="2" t="n">
        <v>92</v>
      </c>
      <c r="J9" s="2" t="inlineStr">
        <is>
          <t>Greiner Bio-One</t>
        </is>
      </c>
      <c r="K9" s="2" t="inlineStr">
        <is>
          <t>Greiner Bio-One plates, tubes and consumables (Danyel brand page)</t>
        </is>
      </c>
    </row>
    <row r="10">
      <c r="A10" s="2" t="inlineStr">
        <is>
          <t>Danyel Biotech</t>
        </is>
      </c>
      <c r="B10" s="2" t="inlineStr">
        <is>
          <t>דניאל ביוטק</t>
        </is>
      </c>
      <c r="C10" s="2" t="inlineStr">
        <is>
          <t>מפיץ</t>
        </is>
      </c>
      <c r="D10" s="2" t="inlineStr">
        <is>
          <t>https://www.danyel.co.il</t>
        </is>
      </c>
      <c r="E10" s="2" t="inlineStr"/>
      <c r="F10" s="2" t="inlineStr"/>
      <c r="G10" s="2" t="inlineStr"/>
      <c r="H10" s="2" t="n">
        <v>9</v>
      </c>
      <c r="I10" s="2" t="n">
        <v>95</v>
      </c>
      <c r="J10" s="2" t="inlineStr">
        <is>
          <t>Berthold Technologies</t>
        </is>
      </c>
      <c r="K10" s="2" t="inlineStr">
        <is>
          <t>Berthold Technologies bioanalytical instruments - Mithras LB 940 multimode reader, TriStar² LB 942, Lumat³ LB 9508 / MiniLumat luminometers, NightOWL in-vivo imager (Danyel brand page)</t>
        </is>
      </c>
    </row>
    <row r="11">
      <c r="A11" s="2" t="inlineStr">
        <is>
          <t>Labotal</t>
        </is>
      </c>
      <c r="B11" s="2" t="inlineStr">
        <is>
          <t>לבוטל</t>
        </is>
      </c>
      <c r="C11" s="2" t="inlineStr">
        <is>
          <t>מפיץ</t>
        </is>
      </c>
      <c r="D11" s="2" t="inlineStr">
        <is>
          <t>https://labotal.co.il</t>
        </is>
      </c>
      <c r="E11" s="2" t="inlineStr"/>
      <c r="F11" s="2" t="inlineStr"/>
      <c r="G11" s="2" t="inlineStr"/>
      <c r="H11" s="2" t="n">
        <v>9</v>
      </c>
      <c r="I11" s="2" t="n">
        <v>8</v>
      </c>
      <c r="J11" s="2" t="inlineStr">
        <is>
          <t>Sartorius AG</t>
        </is>
      </c>
      <c r="K11" s="2" t="inlineStr">
        <is>
          <t>self-described exclusive Sartorius representative in Israel for weighing (Cubis II balances) and lab products incl. pipettes</t>
        </is>
      </c>
    </row>
    <row r="12">
      <c r="A12" s="2" t="inlineStr">
        <is>
          <t>Labotal</t>
        </is>
      </c>
      <c r="B12" s="2" t="inlineStr">
        <is>
          <t>לבוטל</t>
        </is>
      </c>
      <c r="C12" s="2" t="inlineStr">
        <is>
          <t>מפיץ</t>
        </is>
      </c>
      <c r="D12" s="2" t="inlineStr">
        <is>
          <t>https://labotal.co.il</t>
        </is>
      </c>
      <c r="E12" s="2" t="inlineStr"/>
      <c r="F12" s="2" t="inlineStr"/>
      <c r="G12" s="2" t="inlineStr"/>
      <c r="H12" s="2" t="n">
        <v>9</v>
      </c>
      <c r="I12" s="2" t="n">
        <v>54</v>
      </c>
      <c r="J12" s="2" t="inlineStr">
        <is>
          <t>VELP Scientifica</t>
        </is>
      </c>
      <c r="K12" s="2" t="inlineStr">
        <is>
          <t>exclusive representative for VELP's analytical product line in Israel since 2024 (UDK Kjeldahl distillers, DKL digesters, NDA 702 Dumas N/protein analyser, fibre/fat extractors, oxidation testers)</t>
        </is>
      </c>
    </row>
    <row r="13">
      <c r="A13" s="2" t="inlineStr">
        <is>
          <t>Labotal</t>
        </is>
      </c>
      <c r="B13" s="2" t="inlineStr">
        <is>
          <t>לבוטל</t>
        </is>
      </c>
      <c r="C13" s="2" t="inlineStr">
        <is>
          <t>מפיץ</t>
        </is>
      </c>
      <c r="D13" s="2" t="inlineStr">
        <is>
          <t>https://labotal.co.il</t>
        </is>
      </c>
      <c r="E13" s="2" t="inlineStr"/>
      <c r="F13" s="2" t="inlineStr"/>
      <c r="G13" s="2" t="inlineStr"/>
      <c r="H13" s="2" t="n">
        <v>9</v>
      </c>
      <c r="I13" s="2" t="n">
        <v>61</v>
      </c>
      <c r="J13" s="2" t="inlineStr">
        <is>
          <t>BINDER</t>
        </is>
      </c>
      <c r="K13" s="2" t="inlineStr">
        <is>
          <t>Binder incubators, drying ovens and climate chambers (Labotal 'firms/binder' page and product pages)</t>
        </is>
      </c>
    </row>
    <row r="14">
      <c r="A14" s="2" t="inlineStr">
        <is>
          <t>Labotal</t>
        </is>
      </c>
      <c r="B14" s="2" t="inlineStr">
        <is>
          <t>לבוטל</t>
        </is>
      </c>
      <c r="C14" s="2" t="inlineStr">
        <is>
          <t>מפיץ</t>
        </is>
      </c>
      <c r="D14" s="2" t="inlineStr">
        <is>
          <t>https://labotal.co.il</t>
        </is>
      </c>
      <c r="E14" s="2" t="inlineStr"/>
      <c r="F14" s="2" t="inlineStr"/>
      <c r="G14" s="2" t="inlineStr"/>
      <c r="H14" s="2" t="n">
        <v>9</v>
      </c>
      <c r="I14" s="2" t="n">
        <v>63</v>
      </c>
      <c r="J14" s="2" t="inlineStr">
        <is>
          <t>IKA</t>
        </is>
      </c>
      <c r="K14" s="2" t="inlineStr">
        <is>
          <t>overhead and magnetic stirrers - Labotal's overhead-stirrer category page names IKA among the brands it stocks (scope beyond stirrers not seen)</t>
        </is>
      </c>
    </row>
    <row r="15">
      <c r="A15" s="2" t="inlineStr">
        <is>
          <t>Labotal</t>
        </is>
      </c>
      <c r="B15" s="2" t="inlineStr">
        <is>
          <t>לבוטל</t>
        </is>
      </c>
      <c r="C15" s="2" t="inlineStr">
        <is>
          <t>מפיץ</t>
        </is>
      </c>
      <c r="D15" s="2" t="inlineStr">
        <is>
          <t>https://labotal.co.il</t>
        </is>
      </c>
      <c r="E15" s="2" t="inlineStr"/>
      <c r="F15" s="2" t="inlineStr"/>
      <c r="G15" s="2" t="inlineStr"/>
      <c r="H15" s="2" t="n">
        <v>9</v>
      </c>
      <c r="I15" s="2" t="n">
        <v>64</v>
      </c>
      <c r="J15" s="2" t="inlineStr">
        <is>
          <t>Heidolph Instruments (ATS Corporation)</t>
        </is>
      </c>
      <c r="K15" s="2" t="inlineStr">
        <is>
          <t>Heidolph rotary evaporators, stirrers and shakers (Labotal joined Heidolph's premium distributor programme)</t>
        </is>
      </c>
    </row>
    <row r="16">
      <c r="A16" s="2" t="inlineStr">
        <is>
          <t>Labotal</t>
        </is>
      </c>
      <c r="B16" s="2" t="inlineStr">
        <is>
          <t>לבוטל</t>
        </is>
      </c>
      <c r="C16" s="2" t="inlineStr">
        <is>
          <t>מפיץ</t>
        </is>
      </c>
      <c r="D16" s="2" t="inlineStr">
        <is>
          <t>https://labotal.co.il</t>
        </is>
      </c>
      <c r="E16" s="2" t="inlineStr"/>
      <c r="F16" s="2" t="inlineStr"/>
      <c r="G16" s="2" t="inlineStr"/>
      <c r="H16" s="2" t="n">
        <v>9</v>
      </c>
      <c r="I16" s="2" t="n">
        <v>65</v>
      </c>
      <c r="J16" s="2" t="inlineStr">
        <is>
          <t>JULABO</t>
        </is>
      </c>
      <c r="K16" s="2" t="inlineStr">
        <is>
          <t>JULABO circulators, chillers and baths – Labotal states it is JULABO's exclusive representative in Israel</t>
        </is>
      </c>
    </row>
    <row r="17">
      <c r="A17" s="2" t="inlineStr">
        <is>
          <t>Labotal</t>
        </is>
      </c>
      <c r="B17" s="2" t="inlineStr">
        <is>
          <t>לבוטל</t>
        </is>
      </c>
      <c r="C17" s="2" t="inlineStr">
        <is>
          <t>מפיץ</t>
        </is>
      </c>
      <c r="D17" s="2" t="inlineStr">
        <is>
          <t>https://labotal.co.il</t>
        </is>
      </c>
      <c r="E17" s="2" t="inlineStr"/>
      <c r="F17" s="2" t="inlineStr"/>
      <c r="G17" s="2" t="inlineStr"/>
      <c r="H17" s="2" t="n">
        <v>9</v>
      </c>
      <c r="I17" s="2" t="n">
        <v>71</v>
      </c>
      <c r="J17" s="2" t="inlineStr">
        <is>
          <t>Labconco</t>
        </is>
      </c>
      <c r="K17" s="2" t="inlineStr">
        <is>
          <t>Labconco biosafety cabinets and CentriVap concentrators (Labotal product pages)</t>
        </is>
      </c>
    </row>
    <row r="18">
      <c r="A18" s="2" t="inlineStr">
        <is>
          <t>Labotal</t>
        </is>
      </c>
      <c r="B18" s="2" t="inlineStr">
        <is>
          <t>לבוטל</t>
        </is>
      </c>
      <c r="C18" s="2" t="inlineStr">
        <is>
          <t>מפיץ</t>
        </is>
      </c>
      <c r="D18" s="2" t="inlineStr">
        <is>
          <t>https://labotal.co.il</t>
        </is>
      </c>
      <c r="E18" s="2" t="inlineStr"/>
      <c r="F18" s="2" t="inlineStr"/>
      <c r="G18" s="2" t="inlineStr"/>
      <c r="H18" s="2" t="n">
        <v>9</v>
      </c>
      <c r="I18" s="2" t="n">
        <v>81</v>
      </c>
      <c r="J18" s="2" t="inlineStr">
        <is>
          <t>OHAUS (Mettler-Toledo)</t>
        </is>
      </c>
      <c r="K18" s="2" t="inlineStr">
        <is>
          <t>OHAUS balances (listed among Labotal's represented firms)</t>
        </is>
      </c>
    </row>
    <row r="19">
      <c r="A19" s="2" t="inlineStr">
        <is>
          <t>Labotal</t>
        </is>
      </c>
      <c r="B19" s="2" t="inlineStr">
        <is>
          <t>לבוטל</t>
        </is>
      </c>
      <c r="C19" s="2" t="inlineStr">
        <is>
          <t>מפיץ</t>
        </is>
      </c>
      <c r="D19" s="2" t="inlineStr">
        <is>
          <t>https://labotal.co.il</t>
        </is>
      </c>
      <c r="E19" s="2" t="inlineStr"/>
      <c r="F19" s="2" t="inlineStr"/>
      <c r="G19" s="2" t="inlineStr"/>
      <c r="H19" s="2" t="n">
        <v>9</v>
      </c>
      <c r="I19" s="2" t="n">
        <v>94</v>
      </c>
      <c r="J19" s="2" t="inlineStr">
        <is>
          <t>BRAND (incl. VACUUBRAND)</t>
        </is>
      </c>
      <c r="K19" s="2" t="inlineStr">
        <is>
          <t>BRAND liquid handling (Transferpette S / electronic / alpha pipettes; carried since 2018) and VACUUBRAND diaphragm and ATEX vacuum pumps - Labotal states it is an authorised VACUUBRAND distributor for the laboratory segment</t>
        </is>
      </c>
    </row>
    <row r="20">
      <c r="A20" s="2" t="inlineStr">
        <is>
          <t>Agentek Ltd.</t>
        </is>
      </c>
      <c r="B20" s="2" t="inlineStr">
        <is>
          <t>אגנטק</t>
        </is>
      </c>
      <c r="C20" s="2" t="inlineStr">
        <is>
          <t>מפיץ</t>
        </is>
      </c>
      <c r="D20" s="2" t="inlineStr">
        <is>
          <t>https://agentek.co.il</t>
        </is>
      </c>
      <c r="E20" s="2" t="inlineStr"/>
      <c r="F20" s="2" t="inlineStr"/>
      <c r="G20" s="2" t="inlineStr"/>
      <c r="H20" s="2" t="n">
        <v>6</v>
      </c>
      <c r="I20" s="2" t="n">
        <v>6</v>
      </c>
      <c r="J20" s="2" t="inlineStr">
        <is>
          <t>Shimadzu Corporation</t>
        </is>
      </c>
      <c r="K20" s="2" t="inlineStr">
        <is>
          <t>analytical instruments - HPLC/UHPLC (i-Series LC-2070/LC-2080), LC-MS (LCMS-9050, LCMS-8065XE), GC (Nexis GC-2060), XRF (ALTRACE) per Agentek's product pages</t>
        </is>
      </c>
    </row>
    <row r="21">
      <c r="A21" s="2" t="inlineStr">
        <is>
          <t>Agentek Ltd.</t>
        </is>
      </c>
      <c r="B21" s="2" t="inlineStr">
        <is>
          <t>אגנטק</t>
        </is>
      </c>
      <c r="C21" s="2" t="inlineStr">
        <is>
          <t>מפיץ</t>
        </is>
      </c>
      <c r="D21" s="2" t="inlineStr">
        <is>
          <t>https://agentek.co.il</t>
        </is>
      </c>
      <c r="E21" s="2" t="inlineStr"/>
      <c r="F21" s="2" t="inlineStr"/>
      <c r="G21" s="2" t="inlineStr"/>
      <c r="H21" s="2" t="n">
        <v>6</v>
      </c>
      <c r="I21" s="2" t="n">
        <v>7</v>
      </c>
      <c r="J21" s="2" t="inlineStr">
        <is>
          <t>Mettler-Toledo International</t>
        </is>
      </c>
      <c r="K21" s="2" t="inlineStr">
        <is>
          <t>laboratory weighing (balances) per mt.com Israel page; Agentek's own site also shows Rainin pipettes (distributing since replacing Gilson), titration/automated chemistry (reactor sampling), FreeWeigh.NET and industrial scales; Euro Park Yakum, sales +972 9 9657000, service +972 9 9657007</t>
        </is>
      </c>
    </row>
    <row r="22">
      <c r="A22" s="2" t="inlineStr">
        <is>
          <t>Agentek Ltd.</t>
        </is>
      </c>
      <c r="B22" s="2" t="inlineStr">
        <is>
          <t>אגנטק</t>
        </is>
      </c>
      <c r="C22" s="2" t="inlineStr">
        <is>
          <t>מפיץ</t>
        </is>
      </c>
      <c r="D22" s="2" t="inlineStr">
        <is>
          <t>https://agentek.co.il</t>
        </is>
      </c>
      <c r="E22" s="2" t="inlineStr"/>
      <c r="F22" s="2" t="inlineStr"/>
      <c r="G22" s="2" t="inlineStr"/>
      <c r="H22" s="2" t="n">
        <v>6</v>
      </c>
      <c r="I22" s="2" t="n">
        <v>35</v>
      </c>
      <c r="J22" s="2" t="inlineStr">
        <is>
          <t>Nikon – Healthcare Business (Nikon Instruments)</t>
        </is>
      </c>
      <c r="K22" s="2" t="inlineStr">
        <is>
          <t>Nikon research microscopes (AX/AXR confocal, AXR MP multiphoton, ECLIPSE Ji, CFI60 objectives); listed as Nikon's Israel contact in Nikon Healthcare's microscope contact directory (Atidim Scientific Park Bldg 2, Tel Aviv, +972-3-649-3111, sales1@agentek.co.il) and has a Nikon 'representative' page on its own site.</t>
        </is>
      </c>
    </row>
    <row r="23">
      <c r="A23" s="2" t="inlineStr">
        <is>
          <t>Agentek Ltd.</t>
        </is>
      </c>
      <c r="B23" s="2" t="inlineStr">
        <is>
          <t>אגנטק</t>
        </is>
      </c>
      <c r="C23" s="2" t="inlineStr">
        <is>
          <t>מפיץ</t>
        </is>
      </c>
      <c r="D23" s="2" t="inlineStr">
        <is>
          <t>https://agentek.co.il</t>
        </is>
      </c>
      <c r="E23" s="2" t="inlineStr"/>
      <c r="F23" s="2" t="inlineStr"/>
      <c r="G23" s="2" t="inlineStr"/>
      <c r="H23" s="2" t="n">
        <v>6</v>
      </c>
      <c r="I23" s="2" t="n">
        <v>45</v>
      </c>
      <c r="J23" s="2" t="inlineStr">
        <is>
          <t>LECO Corporation</t>
        </is>
      </c>
      <c r="K23" s="2" t="inlineStr">
        <is>
          <t>LECO analytical instruments, mass spectrometers and metallography (Agentek LECO representative page)</t>
        </is>
      </c>
    </row>
    <row r="24">
      <c r="A24" s="2" t="inlineStr">
        <is>
          <t>Agentek Ltd.</t>
        </is>
      </c>
      <c r="B24" s="2" t="inlineStr">
        <is>
          <t>אגנטק</t>
        </is>
      </c>
      <c r="C24" s="2" t="inlineStr">
        <is>
          <t>מפיץ</t>
        </is>
      </c>
      <c r="D24" s="2" t="inlineStr">
        <is>
          <t>https://agentek.co.il</t>
        </is>
      </c>
      <c r="E24" s="2" t="inlineStr"/>
      <c r="F24" s="2" t="inlineStr"/>
      <c r="G24" s="2" t="inlineStr"/>
      <c r="H24" s="2" t="n">
        <v>6</v>
      </c>
      <c r="I24" s="2" t="n">
        <v>80</v>
      </c>
      <c r="J24" s="2" t="inlineStr">
        <is>
          <t>SPT Labtech</t>
        </is>
      </c>
      <c r="K24" s="2" t="inlineStr">
        <is>
          <t>SPT Labtech distributor for Israel (listed on sptlabtech.com/distributors; Agentek has an SPT Labtech brand page)</t>
        </is>
      </c>
    </row>
    <row r="25">
      <c r="A25" s="2" t="inlineStr">
        <is>
          <t>Agentek Ltd.</t>
        </is>
      </c>
      <c r="B25" s="2" t="inlineStr">
        <is>
          <t>אגנטק</t>
        </is>
      </c>
      <c r="C25" s="2" t="inlineStr">
        <is>
          <t>מפיץ</t>
        </is>
      </c>
      <c r="D25" s="2" t="inlineStr">
        <is>
          <t>https://agentek.co.il</t>
        </is>
      </c>
      <c r="E25" s="2" t="inlineStr"/>
      <c r="F25" s="2" t="inlineStr"/>
      <c r="G25" s="2" t="inlineStr"/>
      <c r="H25" s="2" t="n">
        <v>6</v>
      </c>
      <c r="I25" s="2" t="n">
        <v>84</v>
      </c>
      <c r="J25" s="2" t="inlineStr">
        <is>
          <t>Gilson</t>
        </is>
      </c>
      <c r="K25" s="2" t="inlineStr">
        <is>
          <t>Gilson liquid handling (per Agentek vendors list)</t>
        </is>
      </c>
    </row>
    <row r="26">
      <c r="A26" s="2" t="inlineStr">
        <is>
          <t>Lifegene</t>
        </is>
      </c>
      <c r="B26" s="2" t="inlineStr">
        <is>
          <t>לייפג'ין</t>
        </is>
      </c>
      <c r="C26" s="2" t="inlineStr">
        <is>
          <t>מפיץ</t>
        </is>
      </c>
      <c r="D26" s="2" t="inlineStr">
        <is>
          <t>QIAGEN enzymes / OEM reagents sold through the Lifegene catalogue (not the QIAGEN instrument line)</t>
        </is>
      </c>
      <c r="E26" s="2" t="inlineStr"/>
      <c r="F26" s="2" t="inlineStr"/>
      <c r="G26" s="2" t="inlineStr"/>
      <c r="H26" s="2" t="n">
        <v>6</v>
      </c>
      <c r="I26" s="2" t="n">
        <v>14</v>
      </c>
      <c r="J26" s="2" t="inlineStr">
        <is>
          <t>QIAGEN</t>
        </is>
      </c>
      <c r="K26" s="2" t="inlineStr">
        <is>
          <t>https://www.lifegene.co.il</t>
        </is>
      </c>
    </row>
    <row r="27">
      <c r="A27" s="2" t="inlineStr">
        <is>
          <t>Lifegene</t>
        </is>
      </c>
      <c r="B27" s="2" t="inlineStr">
        <is>
          <t>לייפג'ין</t>
        </is>
      </c>
      <c r="C27" s="2" t="inlineStr">
        <is>
          <t>מפיץ</t>
        </is>
      </c>
      <c r="D27" s="2" t="inlineStr">
        <is>
          <t>QIAGEN enzymes / OEM reagents sold through the Lifegene catalogue (not the QIAGEN instrument line)</t>
        </is>
      </c>
      <c r="E27" s="2" t="inlineStr"/>
      <c r="F27" s="2" t="inlineStr"/>
      <c r="G27" s="2" t="inlineStr"/>
      <c r="H27" s="2" t="n">
        <v>6</v>
      </c>
      <c r="I27" s="2" t="n">
        <v>17</v>
      </c>
      <c r="J27" s="2" t="inlineStr">
        <is>
          <t>Cytiva (Danaher)</t>
        </is>
      </c>
      <c r="K27" s="2" t="inlineStr">
        <is>
          <t>Whatman filtration products (a Cytiva brand) sold through the Lifegene catalogue</t>
        </is>
      </c>
    </row>
    <row r="28">
      <c r="A28" s="2" t="inlineStr">
        <is>
          <t>Lifegene</t>
        </is>
      </c>
      <c r="B28" s="2" t="inlineStr">
        <is>
          <t>לייפג'ין</t>
        </is>
      </c>
      <c r="C28" s="2" t="inlineStr">
        <is>
          <t>מפיץ</t>
        </is>
      </c>
      <c r="D28" s="2" t="inlineStr">
        <is>
          <t>QIAGEN enzymes / OEM reagents sold through the Lifegene catalogue (not the QIAGEN instrument line)</t>
        </is>
      </c>
      <c r="E28" s="2" t="inlineStr"/>
      <c r="F28" s="2" t="inlineStr"/>
      <c r="G28" s="2" t="inlineStr"/>
      <c r="H28" s="2" t="n">
        <v>6</v>
      </c>
      <c r="I28" s="2" t="n">
        <v>27</v>
      </c>
      <c r="J28" s="2" t="inlineStr">
        <is>
          <t>10x Genomics</t>
        </is>
      </c>
      <c r="K28" s="2" t="inlineStr">
        <is>
          <t>https://www.lifegene.co.il</t>
        </is>
      </c>
    </row>
    <row r="29">
      <c r="A29" s="2" t="inlineStr">
        <is>
          <t>Lifegene</t>
        </is>
      </c>
      <c r="B29" s="2" t="inlineStr">
        <is>
          <t>לייפג'ין</t>
        </is>
      </c>
      <c r="C29" s="2" t="inlineStr">
        <is>
          <t>מפיץ</t>
        </is>
      </c>
      <c r="D29" s="2" t="inlineStr">
        <is>
          <t>QIAGEN enzymes / OEM reagents sold through the Lifegene catalogue (not the QIAGEN instrument line)</t>
        </is>
      </c>
      <c r="E29" s="2" t="inlineStr"/>
      <c r="F29" s="2" t="inlineStr"/>
      <c r="G29" s="2" t="inlineStr"/>
      <c r="H29" s="2" t="n">
        <v>6</v>
      </c>
      <c r="I29" s="2" t="n">
        <v>48</v>
      </c>
      <c r="J29" s="2" t="inlineStr">
        <is>
          <t>Analytik Jena (Endress+Hauser)</t>
        </is>
      </c>
      <c r="K29" s="2" t="inlineStr">
        <is>
          <t>Biometra thermal cyclers (TOne, TAdvanced) and PCR instrumentation</t>
        </is>
      </c>
    </row>
    <row r="30">
      <c r="A30" s="2" t="inlineStr">
        <is>
          <t>Lifegene</t>
        </is>
      </c>
      <c r="B30" s="2" t="inlineStr">
        <is>
          <t>לייפג'ין</t>
        </is>
      </c>
      <c r="C30" s="2" t="inlineStr">
        <is>
          <t>מפיץ</t>
        </is>
      </c>
      <c r="D30" s="2" t="inlineStr">
        <is>
          <t>QIAGEN enzymes / OEM reagents sold through the Lifegene catalogue (not the QIAGEN instrument line)</t>
        </is>
      </c>
      <c r="E30" s="2" t="inlineStr"/>
      <c r="F30" s="2" t="inlineStr"/>
      <c r="G30" s="2" t="inlineStr"/>
      <c r="H30" s="2" t="n">
        <v>6</v>
      </c>
      <c r="I30" s="2" t="n">
        <v>79</v>
      </c>
      <c r="J30" s="2" t="inlineStr">
        <is>
          <t>Opentrons Labworks</t>
        </is>
      </c>
      <c r="K30" s="2" t="inlineStr">
        <is>
          <t>Opentrons OT-2 and Opentrons Flex liquid-handling robots - 'Opentrons solutions are available at Lifegene with full professional support and scientific assistance' (Lifegene automated liquid handler page)</t>
        </is>
      </c>
    </row>
    <row r="31">
      <c r="A31" s="2" t="inlineStr">
        <is>
          <t>Lifegene</t>
        </is>
      </c>
      <c r="B31" s="2" t="inlineStr">
        <is>
          <t>לייפג'ין</t>
        </is>
      </c>
      <c r="C31" s="2" t="inlineStr">
        <is>
          <t>מפיץ</t>
        </is>
      </c>
      <c r="D31" s="2" t="inlineStr">
        <is>
          <t>QIAGEN enzymes / OEM reagents sold through the Lifegene catalogue (not the QIAGEN instrument line)</t>
        </is>
      </c>
      <c r="E31" s="2" t="inlineStr"/>
      <c r="F31" s="2" t="inlineStr"/>
      <c r="G31" s="2" t="inlineStr"/>
      <c r="H31" s="2" t="n">
        <v>6</v>
      </c>
      <c r="I31" s="2" t="n">
        <v>84</v>
      </c>
      <c r="J31" s="2" t="inlineStr">
        <is>
          <t>Gilson</t>
        </is>
      </c>
      <c r="K31" s="2" t="inlineStr">
        <is>
          <t>https://www.lifegene.co.il</t>
        </is>
      </c>
    </row>
    <row r="32">
      <c r="A32" s="2" t="inlineStr">
        <is>
          <t>Medent Scientific Instruments</t>
        </is>
      </c>
      <c r="B32" s="2" t="inlineStr">
        <is>
          <t>מדנט מכשור מדעי</t>
        </is>
      </c>
      <c r="C32" s="2" t="inlineStr">
        <is>
          <t>מפיץ</t>
        </is>
      </c>
      <c r="D32" s="2" t="inlineStr">
        <is>
          <t>https://www.medent.co.il</t>
        </is>
      </c>
      <c r="E32" s="2" t="inlineStr"/>
      <c r="F32" s="2" t="inlineStr"/>
      <c r="G32" s="2" t="inlineStr"/>
      <c r="H32" s="2" t="n">
        <v>6</v>
      </c>
      <c r="I32" s="2" t="n">
        <v>50</v>
      </c>
      <c r="J32" s="2" t="inlineStr">
        <is>
          <t>NETZSCH Analyzing &amp; Testing</t>
        </is>
      </c>
      <c r="K32" s="2" t="inlineStr">
        <is>
          <t>NETZSCH thermal analysis (DSC 204 F1 Phoenix, DSC 404 F1 Pegasus, DSC 3500 Sirius, STA 449 F5 Jupiter, STA 409 CD / QMS 403 coupling)</t>
        </is>
      </c>
    </row>
    <row r="33">
      <c r="A33" s="2" t="inlineStr">
        <is>
          <t>Medent Scientific Instruments</t>
        </is>
      </c>
      <c r="B33" s="2" t="inlineStr">
        <is>
          <t>מדנט מכשור מדעי</t>
        </is>
      </c>
      <c r="C33" s="2" t="inlineStr">
        <is>
          <t>מפיץ</t>
        </is>
      </c>
      <c r="D33" s="2" t="inlineStr">
        <is>
          <t>https://www.medent.co.il</t>
        </is>
      </c>
      <c r="E33" s="2" t="inlineStr"/>
      <c r="F33" s="2" t="inlineStr"/>
      <c r="G33" s="2" t="inlineStr"/>
      <c r="H33" s="2" t="n">
        <v>6</v>
      </c>
      <c r="I33" s="2" t="n">
        <v>53</v>
      </c>
      <c r="J33" s="2" t="inlineStr">
        <is>
          <t>Hanna Instruments</t>
        </is>
      </c>
      <c r="K33" s="2" t="inlineStr">
        <is>
          <t>Hanna pH/EC/TDS meters, electrodes, photometers (extensive catalogue on own site, prices in ILS)</t>
        </is>
      </c>
    </row>
    <row r="34">
      <c r="A34" s="2" t="inlineStr">
        <is>
          <t>Medent Scientific Instruments</t>
        </is>
      </c>
      <c r="B34" s="2" t="inlineStr">
        <is>
          <t>מדנט מכשור מדעי</t>
        </is>
      </c>
      <c r="C34" s="2" t="inlineStr">
        <is>
          <t>מפיץ</t>
        </is>
      </c>
      <c r="D34" s="2" t="inlineStr">
        <is>
          <t>https://www.medent.co.il</t>
        </is>
      </c>
      <c r="E34" s="2" t="inlineStr"/>
      <c r="F34" s="2" t="inlineStr"/>
      <c r="G34" s="2" t="inlineStr"/>
      <c r="H34" s="2" t="n">
        <v>6</v>
      </c>
      <c r="I34" s="2" t="n">
        <v>62</v>
      </c>
      <c r="J34" s="2" t="inlineStr">
        <is>
          <t>Memmert</t>
        </is>
      </c>
      <c r="K34" s="2" t="inlineStr">
        <is>
          <t>Memmert CO2 incubators (e.g. INC108ivf), cooled incubators (IPP/IPS), vacuum ovens (VO), drying ovens (UF/UN) and incubators (IF/IN) listed with Hebrew product pages</t>
        </is>
      </c>
    </row>
    <row r="35">
      <c r="A35" s="2" t="inlineStr">
        <is>
          <t>Medent Scientific Instruments</t>
        </is>
      </c>
      <c r="B35" s="2" t="inlineStr">
        <is>
          <t>מדנט מכשור מדעי</t>
        </is>
      </c>
      <c r="C35" s="2" t="inlineStr">
        <is>
          <t>מפיץ</t>
        </is>
      </c>
      <c r="D35" s="2" t="inlineStr">
        <is>
          <t>https://www.medent.co.il</t>
        </is>
      </c>
      <c r="E35" s="2" t="inlineStr"/>
      <c r="F35" s="2" t="inlineStr"/>
      <c r="G35" s="2" t="inlineStr"/>
      <c r="H35" s="2" t="n">
        <v>6</v>
      </c>
      <c r="I35" s="2" t="n">
        <v>63</v>
      </c>
      <c r="J35" s="2" t="inlineStr">
        <is>
          <t>IKA</t>
        </is>
      </c>
      <c r="K35" s="2" t="inlineStr">
        <is>
          <t>IKA brand page ('IKA - Germany'): mixing, heating, distilling, crushing; Medent states it imports IKA viscometers; product categories for magnetic stirrers with heating, vortex mixers, chillers (RC 2/RC 5) and drying ovens (Oven 125)</t>
        </is>
      </c>
    </row>
    <row r="36">
      <c r="A36" s="2" t="inlineStr">
        <is>
          <t>Medent Scientific Instruments</t>
        </is>
      </c>
      <c r="B36" s="2" t="inlineStr">
        <is>
          <t>מדנט מכשור מדעי</t>
        </is>
      </c>
      <c r="C36" s="2" t="inlineStr">
        <is>
          <t>מפיץ</t>
        </is>
      </c>
      <c r="D36" s="2" t="inlineStr">
        <is>
          <t>https://www.medent.co.il</t>
        </is>
      </c>
      <c r="E36" s="2" t="inlineStr"/>
      <c r="F36" s="2" t="inlineStr"/>
      <c r="G36" s="2" t="inlineStr"/>
      <c r="H36" s="2" t="n">
        <v>6</v>
      </c>
      <c r="I36" s="2" t="n">
        <v>66</v>
      </c>
      <c r="J36" s="2" t="inlineStr">
        <is>
          <t>LAUDA</t>
        </is>
      </c>
      <c r="K36" s="2" t="inlineStr">
        <is>
          <t>LAUDA brand page ('Lauda - Germany') and a Hebrew product category 'LAUDA baths, circulators and chillers'; GFL-brand (LAUDA) water stills and lab refrigerators also listed</t>
        </is>
      </c>
    </row>
    <row r="37">
      <c r="A37" s="2" t="inlineStr">
        <is>
          <t>Medent Scientific Instruments</t>
        </is>
      </c>
      <c r="B37" s="2" t="inlineStr">
        <is>
          <t>מדנט מכשור מדעי</t>
        </is>
      </c>
      <c r="C37" s="2" t="inlineStr">
        <is>
          <t>מפיץ</t>
        </is>
      </c>
      <c r="D37" s="2" t="inlineStr">
        <is>
          <t>https://www.medent.co.il</t>
        </is>
      </c>
      <c r="E37" s="2" t="inlineStr"/>
      <c r="F37" s="2" t="inlineStr"/>
      <c r="G37" s="2" t="inlineStr"/>
      <c r="H37" s="2" t="n">
        <v>6</v>
      </c>
      <c r="I37" s="2" t="n">
        <v>85</v>
      </c>
      <c r="J37" s="2" t="inlineStr">
        <is>
          <t>INTEGRA Biosciences</t>
        </is>
      </c>
      <c r="K37" s="2" t="inlineStr">
        <is>
          <t>INTEGRA liquid-handling products (VIAFLO, ASSIST PLUS, VACUSAFE etc.) - listed as INTEGRA's distributor for Israel, Beer Sheva 84206</t>
        </is>
      </c>
    </row>
    <row r="38">
      <c r="A38" s="2" t="inlineStr">
        <is>
          <t>Eldan Electronic Instruments</t>
        </is>
      </c>
      <c r="B38" s="2" t="inlineStr">
        <is>
          <t>אלדן</t>
        </is>
      </c>
      <c r="C38" s="2" t="inlineStr">
        <is>
          <t>מפיץ</t>
        </is>
      </c>
      <c r="D38" s="2" t="inlineStr">
        <is>
          <t>https://www.eldan.biz</t>
        </is>
      </c>
      <c r="E38" s="2" t="inlineStr"/>
      <c r="F38" s="2" t="inlineStr"/>
      <c r="G38" s="2" t="inlineStr"/>
      <c r="H38" s="2" t="n">
        <v>5</v>
      </c>
      <c r="I38" s="2" t="n">
        <v>2</v>
      </c>
      <c r="J38" s="2" t="inlineStr">
        <is>
          <t>Agilent Technologies</t>
        </is>
      </c>
      <c r="K38" s="2" t="inlineStr">
        <is>
          <t>Agilent authorised distributor for Israel (chromatography, spectroscopy, mass spectrometry, lab products)</t>
        </is>
      </c>
    </row>
    <row r="39">
      <c r="A39" s="2" t="inlineStr">
        <is>
          <t>Eldan Electronic Instruments</t>
        </is>
      </c>
      <c r="B39" s="2" t="inlineStr">
        <is>
          <t>אלדן</t>
        </is>
      </c>
      <c r="C39" s="2" t="inlineStr">
        <is>
          <t>מפיץ</t>
        </is>
      </c>
      <c r="D39" s="2" t="inlineStr">
        <is>
          <t>https://www.eldan.biz</t>
        </is>
      </c>
      <c r="E39" s="2" t="inlineStr"/>
      <c r="F39" s="2" t="inlineStr"/>
      <c r="G39" s="2" t="inlineStr"/>
      <c r="H39" s="2" t="n">
        <v>5</v>
      </c>
      <c r="I39" s="2" t="n">
        <v>14</v>
      </c>
      <c r="J39" s="2" t="inlineStr">
        <is>
          <t>QIAGEN</t>
        </is>
      </c>
      <c r="K39" s="2" t="inlineStr">
        <is>
          <t>listed QIAGEN among the manufacturers it represents in Israel (life-science research) on a 2014 page and showed QIAGEN products at ISM/IIS meetings in 2015-2016; current status unconfirmed</t>
        </is>
      </c>
    </row>
    <row r="40">
      <c r="A40" s="2" t="inlineStr">
        <is>
          <t>Eldan Electronic Instruments</t>
        </is>
      </c>
      <c r="B40" s="2" t="inlineStr">
        <is>
          <t>אלדן</t>
        </is>
      </c>
      <c r="C40" s="2" t="inlineStr">
        <is>
          <t>מפיץ</t>
        </is>
      </c>
      <c r="D40" s="2" t="inlineStr">
        <is>
          <t>https://www.eldan.biz</t>
        </is>
      </c>
      <c r="E40" s="2" t="inlineStr"/>
      <c r="F40" s="2" t="inlineStr"/>
      <c r="G40" s="2" t="inlineStr"/>
      <c r="H40" s="2" t="n">
        <v>5</v>
      </c>
      <c r="I40" s="2" t="n">
        <v>60</v>
      </c>
      <c r="J40" s="2" t="inlineStr">
        <is>
          <t>Mindray</t>
        </is>
      </c>
      <c r="K40" s="2" t="inlineStr">
        <is>
          <t>Mindray IVD line - hematology analyzers and reagents (clinical diagnostics division)</t>
        </is>
      </c>
    </row>
    <row r="41">
      <c r="A41" s="2" t="inlineStr">
        <is>
          <t>Eldan Electronic Instruments</t>
        </is>
      </c>
      <c r="B41" s="2" t="inlineStr">
        <is>
          <t>אלדן</t>
        </is>
      </c>
      <c r="C41" s="2" t="inlineStr">
        <is>
          <t>מפיץ</t>
        </is>
      </c>
      <c r="D41" s="2" t="inlineStr">
        <is>
          <t>https://www.eldan.biz</t>
        </is>
      </c>
      <c r="E41" s="2" t="inlineStr"/>
      <c r="F41" s="2" t="inlineStr"/>
      <c r="G41" s="2" t="inlineStr"/>
      <c r="H41" s="2" t="n">
        <v>5</v>
      </c>
      <c r="I41" s="2" t="n">
        <v>69</v>
      </c>
      <c r="J41" s="2" t="inlineStr">
        <is>
          <t>Andreas Hettich</t>
        </is>
      </c>
      <c r="K41" s="2" t="inlineStr">
        <is>
          <t>Hettich centrifuges – Eldan states it offers the whole Hettich range in Israel (eldan.biz page; verify currency)</t>
        </is>
      </c>
    </row>
    <row r="42">
      <c r="A42" s="2" t="inlineStr">
        <is>
          <t>Eldan Electronic Instruments</t>
        </is>
      </c>
      <c r="B42" s="2" t="inlineStr">
        <is>
          <t>אלדן</t>
        </is>
      </c>
      <c r="C42" s="2" t="inlineStr">
        <is>
          <t>מפיץ</t>
        </is>
      </c>
      <c r="D42" s="2" t="inlineStr">
        <is>
          <t>https://www.eldan.biz</t>
        </is>
      </c>
      <c r="E42" s="2" t="inlineStr"/>
      <c r="F42" s="2" t="inlineStr"/>
      <c r="G42" s="2" t="inlineStr"/>
      <c r="H42" s="2" t="n">
        <v>5</v>
      </c>
      <c r="I42" s="2" t="n">
        <v>73</v>
      </c>
      <c r="J42" s="2" t="inlineStr">
        <is>
          <t>PHC Holdings (PHCbi)</t>
        </is>
      </c>
      <c r="K42" s="2" t="inlineStr">
        <is>
          <t>PHCbi CO2 and multigas incubators (incl. Cell-IQ) and PHCbi biomedical/pharmaceutical freezers</t>
        </is>
      </c>
    </row>
    <row r="43">
      <c r="A43" s="2" t="inlineStr">
        <is>
          <t>Lumitron</t>
        </is>
      </c>
      <c r="B43" s="2" t="inlineStr">
        <is>
          <t>לומיטרון</t>
        </is>
      </c>
      <c r="C43" s="2" t="inlineStr">
        <is>
          <t>מפיץ</t>
        </is>
      </c>
      <c r="D43" s="2" t="inlineStr">
        <is>
          <t>https://www.lumitron.co.il</t>
        </is>
      </c>
      <c r="E43" s="2" t="inlineStr"/>
      <c r="F43" s="2" t="inlineStr"/>
      <c r="G43" s="2" t="inlineStr"/>
      <c r="H43" s="2" t="n">
        <v>5</v>
      </c>
      <c r="I43" s="2" t="n">
        <v>13</v>
      </c>
      <c r="J43" s="2" t="inlineStr">
        <is>
          <t>Eppendorf SE</t>
        </is>
      </c>
      <c r="K43" s="2" t="inlineStr">
        <is>
          <t>Eppendorf importer / distributor (centrifuges, pipettes, consumables)</t>
        </is>
      </c>
    </row>
    <row r="44">
      <c r="A44" s="2" t="inlineStr">
        <is>
          <t>Lumitron</t>
        </is>
      </c>
      <c r="B44" s="2" t="inlineStr">
        <is>
          <t>לומיטרון</t>
        </is>
      </c>
      <c r="C44" s="2" t="inlineStr">
        <is>
          <t>מפיץ</t>
        </is>
      </c>
      <c r="D44" s="2" t="inlineStr">
        <is>
          <t>https://www.lumitron.co.il</t>
        </is>
      </c>
      <c r="E44" s="2" t="inlineStr"/>
      <c r="F44" s="2" t="inlineStr"/>
      <c r="G44" s="2" t="inlineStr"/>
      <c r="H44" s="2" t="n">
        <v>5</v>
      </c>
      <c r="I44" s="2" t="n">
        <v>48</v>
      </c>
      <c r="J44" s="2" t="inlineStr">
        <is>
          <t>Analytik Jena (Endress+Hauser)</t>
        </is>
      </c>
      <c r="K44" s="2" t="inlineStr">
        <is>
          <t>UVP bio-imaging systems (UVP, a part of Analytik Jena)</t>
        </is>
      </c>
    </row>
    <row r="45">
      <c r="A45" s="2" t="inlineStr">
        <is>
          <t>Lumitron</t>
        </is>
      </c>
      <c r="B45" s="2" t="inlineStr">
        <is>
          <t>לומיטרון</t>
        </is>
      </c>
      <c r="C45" s="2" t="inlineStr">
        <is>
          <t>מפיץ</t>
        </is>
      </c>
      <c r="D45" s="2" t="inlineStr">
        <is>
          <t>https://www.lumitron.co.il</t>
        </is>
      </c>
      <c r="E45" s="2" t="inlineStr"/>
      <c r="F45" s="2" t="inlineStr"/>
      <c r="G45" s="2" t="inlineStr"/>
      <c r="H45" s="2" t="n">
        <v>5</v>
      </c>
      <c r="I45" s="2" t="n">
        <v>73</v>
      </c>
      <c r="J45" s="2" t="inlineStr">
        <is>
          <t>PHC Holdings (PHCbi)</t>
        </is>
      </c>
      <c r="K45" s="2" t="inlineStr">
        <is>
          <t>PHCbi (ultralow freezers, incubators) listed on Lumitron's 'Our brands' page</t>
        </is>
      </c>
    </row>
    <row r="46">
      <c r="A46" s="2" t="inlineStr">
        <is>
          <t>Lumitron</t>
        </is>
      </c>
      <c r="B46" s="2" t="inlineStr">
        <is>
          <t>לומיטרון</t>
        </is>
      </c>
      <c r="C46" s="2" t="inlineStr">
        <is>
          <t>מפיץ</t>
        </is>
      </c>
      <c r="D46" s="2" t="inlineStr">
        <is>
          <t>https://www.lumitron.co.il</t>
        </is>
      </c>
      <c r="E46" s="2" t="inlineStr"/>
      <c r="F46" s="2" t="inlineStr"/>
      <c r="G46" s="2" t="inlineStr"/>
      <c r="H46" s="2" t="n">
        <v>5</v>
      </c>
      <c r="I46" s="2" t="n">
        <v>98</v>
      </c>
      <c r="J46" s="2" t="inlineStr">
        <is>
          <t>ELGA LabWater (Veolia)</t>
        </is>
      </c>
      <c r="K46" s="2" t="inlineStr">
        <is>
          <t>ELGA approved partner for Israel (ELGA 'Approved Partners' directory, tel. 972-52-525-6287)</t>
        </is>
      </c>
    </row>
    <row r="47">
      <c r="A47" s="2" t="inlineStr">
        <is>
          <t>Lumitron</t>
        </is>
      </c>
      <c r="B47" s="2" t="inlineStr">
        <is>
          <t>לומיטרון</t>
        </is>
      </c>
      <c r="C47" s="2" t="inlineStr">
        <is>
          <t>מפיץ</t>
        </is>
      </c>
      <c r="D47" s="2" t="inlineStr">
        <is>
          <t>https://www.lumitron.co.il</t>
        </is>
      </c>
      <c r="E47" s="2" t="inlineStr"/>
      <c r="F47" s="2" t="inlineStr"/>
      <c r="G47" s="2" t="inlineStr"/>
      <c r="H47" s="2" t="n">
        <v>5</v>
      </c>
      <c r="I47" s="2" t="n">
        <v>100</v>
      </c>
      <c r="J47" s="2" t="inlineStr">
        <is>
          <t>RADWAG</t>
        </is>
      </c>
      <c r="K47" s="2" t="inlineStr">
        <is>
          <t>RADWAG analytical and micro balances, precision balances, moisture analysers and checkweighers - dedicated Radwag brand page under 'Our brands' and hosted RADWAG datasheets (e.g. WTC 2000)</t>
        </is>
      </c>
    </row>
    <row r="48">
      <c r="A48" s="2" t="inlineStr">
        <is>
          <t>Rhenium Ltd.</t>
        </is>
      </c>
      <c r="B48" s="2" t="inlineStr">
        <is>
          <t>רניום</t>
        </is>
      </c>
      <c r="C48" s="2" t="inlineStr">
        <is>
          <t>מפיץ</t>
        </is>
      </c>
      <c r="D48" s="2" t="inlineStr">
        <is>
          <t>https://www.rhenium.co.il</t>
        </is>
      </c>
      <c r="E48" s="2" t="inlineStr"/>
      <c r="F48" s="2" t="inlineStr"/>
      <c r="G48" s="2" t="inlineStr"/>
      <c r="H48" s="2" t="n">
        <v>5</v>
      </c>
      <c r="I48" s="2" t="n">
        <v>1</v>
      </c>
      <c r="J48" s="2" t="inlineStr">
        <is>
          <t>Thermo Fisher Scientific</t>
        </is>
      </c>
      <c r="K48" s="2" t="inlineStr">
        <is>
          <t>Invitrogen / Applied Biosystems / Gibco (Life Technologies brands; evidence from 2011 – verify current scope)</t>
        </is>
      </c>
    </row>
    <row r="49">
      <c r="A49" s="2" t="inlineStr">
        <is>
          <t>Rhenium Ltd.</t>
        </is>
      </c>
      <c r="B49" s="2" t="inlineStr">
        <is>
          <t>רניום</t>
        </is>
      </c>
      <c r="C49" s="2" t="inlineStr">
        <is>
          <t>מפיץ</t>
        </is>
      </c>
      <c r="D49" s="2" t="inlineStr">
        <is>
          <t>https://www.rhenium.co.il</t>
        </is>
      </c>
      <c r="E49" s="2" t="inlineStr"/>
      <c r="F49" s="2" t="inlineStr"/>
      <c r="G49" s="2" t="inlineStr"/>
      <c r="H49" s="2" t="n">
        <v>5</v>
      </c>
      <c r="I49" s="2" t="n">
        <v>16</v>
      </c>
      <c r="J49" s="2" t="inlineStr">
        <is>
          <t>Beckman Coulter (Danaher)</t>
        </is>
      </c>
      <c r="K49" s="2" t="inlineStr">
        <is>
          <t>Beckman Coulter Life Sciences (official Israel contact page: Rhenium, 20 Hasatat St, Modi'in); the Diagnostics channel may be a different partner – to verify</t>
        </is>
      </c>
    </row>
    <row r="50">
      <c r="A50" s="2" t="inlineStr">
        <is>
          <t>Rhenium Ltd.</t>
        </is>
      </c>
      <c r="B50" s="2" t="inlineStr">
        <is>
          <t>רניום</t>
        </is>
      </c>
      <c r="C50" s="2" t="inlineStr">
        <is>
          <t>מפיץ</t>
        </is>
      </c>
      <c r="D50" s="2" t="inlineStr">
        <is>
          <t>https://www.rhenium.co.il</t>
        </is>
      </c>
      <c r="E50" s="2" t="inlineStr"/>
      <c r="F50" s="2" t="inlineStr"/>
      <c r="G50" s="2" t="inlineStr"/>
      <c r="H50" s="2" t="n">
        <v>5</v>
      </c>
      <c r="I50" s="2" t="n">
        <v>18</v>
      </c>
      <c r="J50" s="2" t="inlineStr">
        <is>
          <t>Leica Microsystems (Danaher)</t>
        </is>
      </c>
      <c r="K50" s="2" t="inlineStr">
        <is>
          <t>research microscopes — per a 2009 Israel Physical Society trade-fair listing only (exclusive representative then); NOT re-confirmed in 2026</t>
        </is>
      </c>
    </row>
    <row r="51">
      <c r="A51" s="2" t="inlineStr">
        <is>
          <t>Rhenium Ltd.</t>
        </is>
      </c>
      <c r="B51" s="2" t="inlineStr">
        <is>
          <t>רניום</t>
        </is>
      </c>
      <c r="C51" s="2" t="inlineStr">
        <is>
          <t>מפיץ</t>
        </is>
      </c>
      <c r="D51" s="2" t="inlineStr">
        <is>
          <t>https://www.rhenium.co.il</t>
        </is>
      </c>
      <c r="E51" s="2" t="inlineStr"/>
      <c r="F51" s="2" t="inlineStr"/>
      <c r="G51" s="2" t="inlineStr"/>
      <c r="H51" s="2" t="n">
        <v>5</v>
      </c>
      <c r="I51" s="2" t="n">
        <v>19</v>
      </c>
      <c r="J51" s="2" t="inlineStr">
        <is>
          <t>SCIEX (Danaher)</t>
        </is>
      </c>
      <c r="K51" s="2" t="inlineStr">
        <is>
          <t>SCIEX mass spectrometry – Israeli distributor since 1 April 2025 (took over from Agentek)</t>
        </is>
      </c>
    </row>
    <row r="52">
      <c r="A52" s="2" t="inlineStr">
        <is>
          <t>Rhenium Ltd.</t>
        </is>
      </c>
      <c r="B52" s="2" t="inlineStr">
        <is>
          <t>רניום</t>
        </is>
      </c>
      <c r="C52" s="2" t="inlineStr">
        <is>
          <t>מפיץ</t>
        </is>
      </c>
      <c r="D52" s="2" t="inlineStr">
        <is>
          <t>https://www.rhenium.co.il</t>
        </is>
      </c>
      <c r="E52" s="2" t="inlineStr"/>
      <c r="F52" s="2" t="inlineStr"/>
      <c r="G52" s="2" t="inlineStr"/>
      <c r="H52" s="2" t="n">
        <v>5</v>
      </c>
      <c r="I52" s="2" t="n">
        <v>96</v>
      </c>
      <c r="J52" s="2" t="inlineStr">
        <is>
          <t>INFORS HT</t>
        </is>
      </c>
      <c r="K52" s="2" t="inlineStr">
        <is>
          <t>INFORS HT incubator shakers, bioreactors and bioprocess software - listed as the Israel distributor (Modi'in) on INFORS HT's locations page</t>
        </is>
      </c>
    </row>
    <row r="53">
      <c r="A53" s="2" t="inlineStr">
        <is>
          <t>Bargal Analytical Instruments Ltd.</t>
        </is>
      </c>
      <c r="B53" s="2" t="inlineStr">
        <is>
          <t>ברגל</t>
        </is>
      </c>
      <c r="C53" s="2" t="inlineStr">
        <is>
          <t>מפיץ</t>
        </is>
      </c>
      <c r="D53" s="2" t="inlineStr">
        <is>
          <t>https://www.bargal.co.il</t>
        </is>
      </c>
      <c r="E53" s="2" t="inlineStr"/>
      <c r="F53" s="2" t="inlineStr"/>
      <c r="G53" s="2" t="inlineStr"/>
      <c r="H53" s="2" t="n">
        <v>4</v>
      </c>
      <c r="I53" s="2" t="n">
        <v>1</v>
      </c>
      <c r="J53" s="2" t="inlineStr">
        <is>
          <t>Thermo Fisher Scientific</t>
        </is>
      </c>
      <c r="K53" s="2" t="inlineStr">
        <is>
          <t>chromatography &amp; mass spectrometry (2018-19 evidence – verify current scope)</t>
        </is>
      </c>
    </row>
    <row r="54">
      <c r="A54" s="2" t="inlineStr">
        <is>
          <t>Bargal Analytical Instruments Ltd.</t>
        </is>
      </c>
      <c r="B54" s="2" t="inlineStr">
        <is>
          <t>ברגל</t>
        </is>
      </c>
      <c r="C54" s="2" t="inlineStr">
        <is>
          <t>מפיץ</t>
        </is>
      </c>
      <c r="D54" s="2" t="inlineStr">
        <is>
          <t>https://www.bargal.co.il</t>
        </is>
      </c>
      <c r="E54" s="2" t="inlineStr"/>
      <c r="F54" s="2" t="inlineStr"/>
      <c r="G54" s="2" t="inlineStr"/>
      <c r="H54" s="2" t="n">
        <v>4</v>
      </c>
      <c r="I54" s="2" t="n">
        <v>4</v>
      </c>
      <c r="J54" s="2" t="inlineStr">
        <is>
          <t>Waters Corporation</t>
        </is>
      </c>
      <c r="K54" s="2" t="inlineStr">
        <is>
          <t>TA Instruments (a Waters division) thermal analysis, rheology and microcalorimetry – listed in TA Instruments' Middle East directory</t>
        </is>
      </c>
    </row>
    <row r="55">
      <c r="A55" s="2" t="inlineStr">
        <is>
          <t>Bargal Analytical Instruments Ltd.</t>
        </is>
      </c>
      <c r="B55" s="2" t="inlineStr">
        <is>
          <t>ברגל</t>
        </is>
      </c>
      <c r="C55" s="2" t="inlineStr">
        <is>
          <t>מפיץ</t>
        </is>
      </c>
      <c r="D55" s="2" t="inlineStr">
        <is>
          <t>https://www.bargal.co.il</t>
        </is>
      </c>
      <c r="E55" s="2" t="inlineStr"/>
      <c r="F55" s="2" t="inlineStr"/>
      <c r="G55" s="2" t="inlineStr"/>
      <c r="H55" s="2" t="n">
        <v>4</v>
      </c>
      <c r="I55" s="2" t="n">
        <v>36</v>
      </c>
      <c r="J55" s="2" t="inlineStr">
        <is>
          <t>JEOL</t>
        </is>
      </c>
      <c r="K55" s="2" t="inlineStr">
        <is>
          <t>JEOL electron microscopes (SEM: JSM-IT200/IT510/IT710HR, benchtop JCM-7000; TEM: JEM-F200, JEM-1400Flash; cryo-EM: CRYO ARM 300/300 II) - sales and service; listed on jeol.com as the Israel office (Shaked St 10, Shoham, +972-3-9796-533; JEOL UK as alternate contact). NMR/MS lines not confirmed.</t>
        </is>
      </c>
    </row>
    <row r="56">
      <c r="A56" s="2" t="inlineStr">
        <is>
          <t>Bargal Analytical Instruments Ltd.</t>
        </is>
      </c>
      <c r="B56" s="2" t="inlineStr">
        <is>
          <t>ברגל</t>
        </is>
      </c>
      <c r="C56" s="2" t="inlineStr">
        <is>
          <t>מפיץ</t>
        </is>
      </c>
      <c r="D56" s="2" t="inlineStr">
        <is>
          <t>https://www.bargal.co.il</t>
        </is>
      </c>
      <c r="E56" s="2" t="inlineStr"/>
      <c r="F56" s="2" t="inlineStr"/>
      <c r="G56" s="2" t="inlineStr"/>
      <c r="H56" s="2" t="n">
        <v>4</v>
      </c>
      <c r="I56" s="2" t="n">
        <v>51</v>
      </c>
      <c r="J56" s="2" t="inlineStr">
        <is>
          <t>Biotage</t>
        </is>
      </c>
      <c r="K56" s="2" t="inlineStr">
        <is>
          <t>Biotage distributor for Israel (listed on Biotage's contact page)</t>
        </is>
      </c>
    </row>
    <row r="57">
      <c r="A57" s="2" t="inlineStr">
        <is>
          <t>Gamidor Diagnostics</t>
        </is>
      </c>
      <c r="B57" s="2" t="inlineStr">
        <is>
          <t>גמידור דיאגנוסטיקה</t>
        </is>
      </c>
      <c r="C57" s="2" t="inlineStr">
        <is>
          <t>מפיץ</t>
        </is>
      </c>
      <c r="D57" s="2" t="inlineStr">
        <is>
          <t>https://www.gamidor.co.il</t>
        </is>
      </c>
      <c r="E57" s="2" t="inlineStr"/>
      <c r="F57" s="2" t="inlineStr"/>
      <c r="G57" s="2" t="inlineStr"/>
      <c r="H57" s="2" t="n">
        <v>4</v>
      </c>
      <c r="I57" s="2" t="n">
        <v>1</v>
      </c>
      <c r="J57" s="2" t="inlineStr">
        <is>
          <t>Thermo Fisher Scientific</t>
        </is>
      </c>
      <c r="K57" s="2" t="inlineStr">
        <is>
          <t>Thermo Scientific microbiology / diagnostics (non-exclusive distributor letter, Mar 2025–Mar 2026)</t>
        </is>
      </c>
    </row>
    <row r="58">
      <c r="A58" s="2" t="inlineStr">
        <is>
          <t>Gamidor Diagnostics</t>
        </is>
      </c>
      <c r="B58" s="2" t="inlineStr">
        <is>
          <t>גמידור דיאגנוסטיקה</t>
        </is>
      </c>
      <c r="C58" s="2" t="inlineStr">
        <is>
          <t>מפיץ</t>
        </is>
      </c>
      <c r="D58" s="2" t="inlineStr">
        <is>
          <t>https://www.gamidor.co.il</t>
        </is>
      </c>
      <c r="E58" s="2" t="inlineStr"/>
      <c r="F58" s="2" t="inlineStr"/>
      <c r="G58" s="2" t="inlineStr"/>
      <c r="H58" s="2" t="n">
        <v>4</v>
      </c>
      <c r="I58" s="2" t="n">
        <v>9</v>
      </c>
      <c r="J58" s="2" t="inlineStr">
        <is>
          <t>Revvity</t>
        </is>
      </c>
      <c r="K58" s="2" t="inlineStr">
        <is>
          <t>reproductive health / prenatal screening immunoassays (PAPP-A, free beta-hCG, AFP, hCG, uE3, inhibin, PlGF) - Gamidor states it has represented Revvity (ex-PerkinElmer/Wallac) in prenatal screening since 1984</t>
        </is>
      </c>
    </row>
    <row r="59">
      <c r="A59" s="2" t="inlineStr">
        <is>
          <t>Gamidor Diagnostics</t>
        </is>
      </c>
      <c r="B59" s="2" t="inlineStr">
        <is>
          <t>גמידור דיאגנוסטיקה</t>
        </is>
      </c>
      <c r="C59" s="2" t="inlineStr">
        <is>
          <t>מפיץ</t>
        </is>
      </c>
      <c r="D59" s="2" t="inlineStr">
        <is>
          <t>https://www.gamidor.co.il</t>
        </is>
      </c>
      <c r="E59" s="2" t="inlineStr"/>
      <c r="F59" s="2" t="inlineStr"/>
      <c r="G59" s="2" t="inlineStr"/>
      <c r="H59" s="2" t="n">
        <v>4</v>
      </c>
      <c r="I59" s="2" t="n">
        <v>30</v>
      </c>
      <c r="J59" s="2" t="inlineStr">
        <is>
          <t>Tecan Group</t>
        </is>
      </c>
      <c r="K59" s="2" t="inlineStr">
        <is>
          <t>Tecan diagnostics / LC-MS sample-prep kits (2025 LinkedIn evidence); the life-science liquid-handling channel is not established</t>
        </is>
      </c>
    </row>
    <row r="60">
      <c r="A60" s="2" t="inlineStr">
        <is>
          <t>Gamidor Diagnostics</t>
        </is>
      </c>
      <c r="B60" s="2" t="inlineStr">
        <is>
          <t>גמידור דיאגנוסטיקה</t>
        </is>
      </c>
      <c r="C60" s="2" t="inlineStr">
        <is>
          <t>מפיץ</t>
        </is>
      </c>
      <c r="D60" s="2" t="inlineStr">
        <is>
          <t>https://www.gamidor.co.il</t>
        </is>
      </c>
      <c r="E60" s="2" t="inlineStr"/>
      <c r="F60" s="2" t="inlineStr"/>
      <c r="G60" s="2" t="inlineStr"/>
      <c r="H60" s="2" t="n">
        <v>4</v>
      </c>
      <c r="I60" s="2" t="n">
        <v>55</v>
      </c>
      <c r="J60" s="2" t="inlineStr">
        <is>
          <t>Roche Diagnostics</t>
        </is>
      </c>
      <c r="K60" s="2" t="inlineStr">
        <is>
          <t>Roche Tissue Diagnostics only (VENTANA automated IHC/ISH slide stainers) - not cobas/LightCycler</t>
        </is>
      </c>
    </row>
    <row r="61">
      <c r="A61" s="2" t="inlineStr">
        <is>
          <t>Getter Group</t>
        </is>
      </c>
      <c r="B61" s="2" t="inlineStr">
        <is>
          <t>קבוצת גטר</t>
        </is>
      </c>
      <c r="C61" s="2" t="inlineStr">
        <is>
          <t>מפיץ</t>
        </is>
      </c>
      <c r="D61" s="2" t="inlineStr">
        <is>
          <t>https://www.getter.co.il</t>
        </is>
      </c>
      <c r="E61" s="2" t="inlineStr"/>
      <c r="F61" s="2" t="inlineStr"/>
      <c r="G61" s="2" t="inlineStr"/>
      <c r="H61" s="2" t="n">
        <v>4</v>
      </c>
      <c r="I61" s="2" t="n">
        <v>22</v>
      </c>
      <c r="J61" s="2" t="inlineStr">
        <is>
          <t>Corning Life Sciences (Corning Inc.)</t>
        </is>
      </c>
      <c r="K61" s="2" t="inlineStr">
        <is>
          <t>Corning – Getter Group states it is Corning's exclusive representative (page ~2 years old; life-science vs. other Corning lines not specified)</t>
        </is>
      </c>
    </row>
    <row r="62">
      <c r="A62" s="2" t="inlineStr">
        <is>
          <t>Getter Group</t>
        </is>
      </c>
      <c r="B62" s="2" t="inlineStr">
        <is>
          <t>קבוצת גטר</t>
        </is>
      </c>
      <c r="C62" s="2" t="inlineStr">
        <is>
          <t>מפיץ</t>
        </is>
      </c>
      <c r="D62" s="2" t="inlineStr">
        <is>
          <t>https://www.getter.co.il</t>
        </is>
      </c>
      <c r="E62" s="2" t="inlineStr"/>
      <c r="F62" s="2" t="inlineStr"/>
      <c r="G62" s="2" t="inlineStr"/>
      <c r="H62" s="2" t="n">
        <v>4</v>
      </c>
      <c r="I62" s="2" t="n">
        <v>25</v>
      </c>
      <c r="J62" s="2" t="inlineStr">
        <is>
          <t>Bio-Techne</t>
        </is>
      </c>
      <c r="K62" s="2" t="inlineStr">
        <is>
          <t>Lunaphore (a Bio-Techne brand) spatial-biology platforms – Getter describes itself as the official Israeli representative (LinkedIn)</t>
        </is>
      </c>
    </row>
    <row r="63">
      <c r="A63" s="2" t="inlineStr">
        <is>
          <t>Getter Group</t>
        </is>
      </c>
      <c r="B63" s="2" t="inlineStr">
        <is>
          <t>קבוצת גטר</t>
        </is>
      </c>
      <c r="C63" s="2" t="inlineStr">
        <is>
          <t>מפיץ</t>
        </is>
      </c>
      <c r="D63" s="2" t="inlineStr">
        <is>
          <t>https://www.getter.co.il</t>
        </is>
      </c>
      <c r="E63" s="2" t="inlineStr"/>
      <c r="F63" s="2" t="inlineStr"/>
      <c r="G63" s="2" t="inlineStr"/>
      <c r="H63" s="2" t="n">
        <v>4</v>
      </c>
      <c r="I63" s="2" t="n">
        <v>33</v>
      </c>
      <c r="J63" s="2" t="inlineStr">
        <is>
          <t>Carl Zeiss AG – Research Microscopy Solutions</t>
        </is>
      </c>
      <c r="K63" s="2" t="inlineStr">
        <is>
          <t>Zeiss – Getter Group states it exclusively represents Zeiss; scope (medical/surgical vs. research microscopy) to confirm</t>
        </is>
      </c>
    </row>
    <row r="64">
      <c r="A64" s="2" t="inlineStr">
        <is>
          <t>Getter Group</t>
        </is>
      </c>
      <c r="B64" s="2" t="inlineStr">
        <is>
          <t>קבוצת גטר</t>
        </is>
      </c>
      <c r="C64" s="2" t="inlineStr">
        <is>
          <t>מפיץ</t>
        </is>
      </c>
      <c r="D64" s="2" t="inlineStr">
        <is>
          <t>https://www.getter.co.il</t>
        </is>
      </c>
      <c r="E64" s="2" t="inlineStr"/>
      <c r="F64" s="2" t="inlineStr"/>
      <c r="G64" s="2" t="inlineStr"/>
      <c r="H64" s="2" t="n">
        <v>4</v>
      </c>
      <c r="I64" s="2" t="n">
        <v>34</v>
      </c>
      <c r="J64" s="2" t="inlineStr">
        <is>
          <t>Evident (ex-Olympus Scientific Solutions)</t>
        </is>
      </c>
      <c r="K64" s="2" t="inlineStr">
        <is>
          <t>Olympus (now Evident) – Getter Group states it exclusively represents Olympus; scope (microscopy vs. medical endoscopy) to confirm</t>
        </is>
      </c>
    </row>
    <row r="65">
      <c r="A65" s="2" t="inlineStr">
        <is>
          <t>Ilex Medical Ltd.</t>
        </is>
      </c>
      <c r="B65" s="2" t="inlineStr">
        <is>
          <t>אילקס מדיקל</t>
        </is>
      </c>
      <c r="C65" s="2" t="inlineStr">
        <is>
          <t>מפיץ</t>
        </is>
      </c>
      <c r="D65" s="2" t="inlineStr">
        <is>
          <t>https://www.ilexmedical.com</t>
        </is>
      </c>
      <c r="E65" s="2" t="inlineStr"/>
      <c r="F65" s="2" t="inlineStr"/>
      <c r="G65" s="2" t="inlineStr"/>
      <c r="H65" s="2" t="n">
        <v>3</v>
      </c>
      <c r="I65" s="2" t="n">
        <v>14</v>
      </c>
      <c r="J65" s="2" t="inlineStr">
        <is>
          <t>QIAGEN</t>
        </is>
      </c>
      <c r="K65" s="2" t="inlineStr">
        <is>
          <t>molecular diagnostics and research - QIAcuity digital PCR, Rotor-Gene Q qPCR, QIAxcel, nucleic-acid extraction, oncology and hematology assay kits (Ilex catalogue pages, c. 2024)</t>
        </is>
      </c>
    </row>
    <row r="66">
      <c r="A66" s="2" t="inlineStr">
        <is>
          <t>Ilex Medical Ltd.</t>
        </is>
      </c>
      <c r="B66" s="2" t="inlineStr">
        <is>
          <t>אילקס מדיקל</t>
        </is>
      </c>
      <c r="C66" s="2" t="inlineStr">
        <is>
          <t>מפיץ</t>
        </is>
      </c>
      <c r="D66" s="2" t="inlineStr">
        <is>
          <t>https://www.ilexmedical.com</t>
        </is>
      </c>
      <c r="E66" s="2" t="inlineStr"/>
      <c r="F66" s="2" t="inlineStr"/>
      <c r="G66" s="2" t="inlineStr"/>
      <c r="H66" s="2" t="n">
        <v>3</v>
      </c>
      <c r="I66" s="2" t="n">
        <v>56</v>
      </c>
      <c r="J66" s="2" t="inlineStr">
        <is>
          <t>Abbott Diagnostics</t>
        </is>
      </c>
      <c r="K66" s="2" t="inlineStr">
        <is>
          <t>Abbott diagnostics products (Ilex company profiles list Abbott among its partners; Abbott also has its own Israeli affiliate)</t>
        </is>
      </c>
    </row>
    <row r="67">
      <c r="A67" s="2" t="inlineStr">
        <is>
          <t>Ilex Medical Ltd.</t>
        </is>
      </c>
      <c r="B67" s="2" t="inlineStr">
        <is>
          <t>אילקס מדיקל</t>
        </is>
      </c>
      <c r="C67" s="2" t="inlineStr">
        <is>
          <t>מפיץ</t>
        </is>
      </c>
      <c r="D67" s="2" t="inlineStr">
        <is>
          <t>https://www.ilexmedical.com</t>
        </is>
      </c>
      <c r="E67" s="2" t="inlineStr"/>
      <c r="F67" s="2" t="inlineStr"/>
      <c r="G67" s="2" t="inlineStr"/>
      <c r="H67" s="2" t="n">
        <v>3</v>
      </c>
      <c r="I67" s="2" t="n">
        <v>58</v>
      </c>
      <c r="J67" s="2" t="inlineStr">
        <is>
          <t>bioMérieux</t>
        </is>
      </c>
      <c r="K67" s="2" t="inlineStr">
        <is>
          <t>BIOFIRE (FilmArray) nested multiplex PCR panels - respiratory, meningitis/CSF, gastrointestinal, positive blood culture ID, joint infection - offered to Israeli clinical labs (Ilex catalogue page, c. early 2024); VITEK / BACT/ALERT channel not shown</t>
        </is>
      </c>
    </row>
    <row r="68">
      <c r="A68" s="2" t="inlineStr">
        <is>
          <t>Lapidot Group</t>
        </is>
      </c>
      <c r="B68" s="2" t="inlineStr">
        <is>
          <t>לפידות</t>
        </is>
      </c>
      <c r="C68" s="2" t="inlineStr">
        <is>
          <t>מפיץ</t>
        </is>
      </c>
      <c r="D68" s="2" t="inlineStr">
        <is>
          <t>https://www.lapidot.com</t>
        </is>
      </c>
      <c r="E68" s="2" t="inlineStr"/>
      <c r="F68" s="2" t="inlineStr"/>
      <c r="G68" s="2" t="inlineStr"/>
      <c r="H68" s="2" t="n">
        <v>3</v>
      </c>
      <c r="I68" s="2" t="n">
        <v>5</v>
      </c>
      <c r="J68" s="2" t="inlineStr">
        <is>
          <t>Bruker Corporation</t>
        </is>
      </c>
      <c r="K68" s="2" t="inlineStr">
        <is>
          <t>Bruker's official Israel contact/partner (Caesarea Industrial Park); the Bruker Israel page covers the Bruker business generally - no separate NMR / AXS / Nano / microCT listings were visible</t>
        </is>
      </c>
    </row>
    <row r="69">
      <c r="A69" s="2" t="inlineStr">
        <is>
          <t>Lapidot Group</t>
        </is>
      </c>
      <c r="B69" s="2" t="inlineStr">
        <is>
          <t>לפידות</t>
        </is>
      </c>
      <c r="C69" s="2" t="inlineStr">
        <is>
          <t>מפיץ</t>
        </is>
      </c>
      <c r="D69" s="2" t="inlineStr">
        <is>
          <t>https://www.lapidot.com</t>
        </is>
      </c>
      <c r="E69" s="2" t="inlineStr"/>
      <c r="F69" s="2" t="inlineStr"/>
      <c r="G69" s="2" t="inlineStr"/>
      <c r="H69" s="2" t="n">
        <v>3</v>
      </c>
      <c r="I69" s="2" t="n">
        <v>18</v>
      </c>
      <c r="J69" s="2" t="inlineStr">
        <is>
          <t>Leica Microsystems (Danaher)</t>
        </is>
      </c>
      <c r="K69" s="2" t="inlineStr">
        <is>
          <t>Leica surgical microscopes (ophthalmology, neurosurgery, ENT; floor- and ceiling-mounted) — Leica Microsystems medical division only</t>
        </is>
      </c>
    </row>
    <row r="70">
      <c r="A70" s="2" t="inlineStr">
        <is>
          <t>Lapidot Group</t>
        </is>
      </c>
      <c r="B70" s="2" t="inlineStr">
        <is>
          <t>לפידות</t>
        </is>
      </c>
      <c r="C70" s="2" t="inlineStr">
        <is>
          <t>מפיץ</t>
        </is>
      </c>
      <c r="D70" s="2" t="inlineStr">
        <is>
          <t>https://www.lapidot.com</t>
        </is>
      </c>
      <c r="E70" s="2" t="inlineStr"/>
      <c r="F70" s="2" t="inlineStr"/>
      <c r="G70" s="2" t="inlineStr"/>
      <c r="H70" s="2" t="n">
        <v>3</v>
      </c>
      <c r="I70" s="2" t="n">
        <v>21</v>
      </c>
      <c r="J70" s="2" t="inlineStr">
        <is>
          <t>BD Biosciences &amp; BD Diagnostic Solutions (part of Waters since Feb 2026)</t>
        </is>
      </c>
      <c r="K70" s="2" t="inlineStr">
        <is>
          <t>lists BD as a business partner ('global medical technology company'); product scope not stated - likely BD Medical lines, not confirmed for Biosciences/Diagnostics</t>
        </is>
      </c>
    </row>
    <row r="71">
      <c r="A71" s="2" t="inlineStr">
        <is>
          <t>Tamar Laboratory Supplies</t>
        </is>
      </c>
      <c r="B71" s="2" t="inlineStr">
        <is>
          <t>תמר ציוד מעבדתי</t>
        </is>
      </c>
      <c r="C71" s="2" t="inlineStr">
        <is>
          <t>מפיץ</t>
        </is>
      </c>
      <c r="D71" s="2" t="inlineStr">
        <is>
          <t>http://www.tamar.co.il</t>
        </is>
      </c>
      <c r="E71" s="2" t="inlineStr"/>
      <c r="F71" s="2" t="inlineStr"/>
      <c r="G71" s="2" t="inlineStr"/>
      <c r="H71" s="2" t="n">
        <v>3</v>
      </c>
      <c r="I71" s="2" t="n">
        <v>48</v>
      </c>
      <c r="J71" s="2" t="inlineStr">
        <is>
          <t>Analytik Jena (Endress+Hauser)</t>
        </is>
      </c>
      <c r="K71" s="2" t="inlineStr">
        <is>
          <t>qTOWER³ real-time PCR thermal cycler</t>
        </is>
      </c>
    </row>
    <row r="72">
      <c r="A72" s="2" t="inlineStr">
        <is>
          <t>Tamar Laboratory Supplies</t>
        </is>
      </c>
      <c r="B72" s="2" t="inlineStr">
        <is>
          <t>תמר ציוד מעבדתי</t>
        </is>
      </c>
      <c r="C72" s="2" t="inlineStr">
        <is>
          <t>מפיץ</t>
        </is>
      </c>
      <c r="D72" s="2" t="inlineStr">
        <is>
          <t>http://www.tamar.co.il</t>
        </is>
      </c>
      <c r="E72" s="2" t="inlineStr"/>
      <c r="F72" s="2" t="inlineStr"/>
      <c r="G72" s="2" t="inlineStr"/>
      <c r="H72" s="2" t="n">
        <v>3</v>
      </c>
      <c r="I72" s="2" t="n">
        <v>78</v>
      </c>
      <c r="J72" s="2" t="inlineStr">
        <is>
          <t>Azenta Life Sciences</t>
        </is>
      </c>
      <c r="K72" s="2" t="inlineStr">
        <is>
          <t>Azenta's FluidX tube capping/decapping systems (IntelliXcap, Aperio) and 4titude (Azenta Life Sciences UK) plates, tubes and seals - listed on Tamar's represented-companies and tube-capping pages</t>
        </is>
      </c>
    </row>
    <row r="73">
      <c r="A73" s="2" t="inlineStr">
        <is>
          <t>Tamar Laboratory Supplies</t>
        </is>
      </c>
      <c r="B73" s="2" t="inlineStr">
        <is>
          <t>תמר ציוד מעבדתי</t>
        </is>
      </c>
      <c r="C73" s="2" t="inlineStr">
        <is>
          <t>מפיץ</t>
        </is>
      </c>
      <c r="D73" s="2" t="inlineStr">
        <is>
          <t>http://www.tamar.co.il</t>
        </is>
      </c>
      <c r="E73" s="2" t="inlineStr"/>
      <c r="F73" s="2" t="inlineStr"/>
      <c r="G73" s="2" t="inlineStr"/>
      <c r="H73" s="2" t="n">
        <v>3</v>
      </c>
      <c r="I73" s="2" t="n">
        <v>93</v>
      </c>
      <c r="J73" s="2" t="inlineStr">
        <is>
          <t>SARSTEDT</t>
        </is>
      </c>
      <c r="K73" s="2" t="inlineStr">
        <is>
          <t>Sarstedt consumables (tubes, cuvettes, pipette tips) – Sarstedt is on Tamar's represented-companies page</t>
        </is>
      </c>
    </row>
    <row r="74">
      <c r="A74" s="2" t="inlineStr">
        <is>
          <t>Thermo Fisher Scientific Israel Ltd.</t>
        </is>
      </c>
      <c r="B74" s="2" t="inlineStr">
        <is>
          <t>תרמו פישר ישראל (רעננה)</t>
        </is>
      </c>
      <c r="C74" s="2" t="inlineStr">
        <is>
          <t>חברה-בת</t>
        </is>
      </c>
      <c r="D74" s="2" t="inlineStr">
        <is>
          <t>https://www.thermofisher.com</t>
        </is>
      </c>
      <c r="E74" s="2" t="inlineStr"/>
      <c r="F74" s="2" t="inlineStr"/>
      <c r="G74" s="2" t="inlineStr"/>
      <c r="H74" s="2" t="n">
        <v>3</v>
      </c>
      <c r="I74" s="2" t="n">
        <v>1</v>
      </c>
      <c r="J74" s="2" t="inlineStr">
        <is>
          <t>Thermo Fisher Scientific</t>
        </is>
      </c>
      <c r="K74" s="2" t="inlineStr">
        <is>
          <t>direct life-science sales &amp; field service organisation being built out 2025-26</t>
        </is>
      </c>
    </row>
    <row r="75">
      <c r="A75" s="2" t="inlineStr">
        <is>
          <t>Thermo Fisher Scientific Israel Ltd.</t>
        </is>
      </c>
      <c r="B75" s="2" t="inlineStr">
        <is>
          <t>תרמו פישר ישראל (רעננה)</t>
        </is>
      </c>
      <c r="C75" s="2" t="inlineStr">
        <is>
          <t>חברה-בת</t>
        </is>
      </c>
      <c r="D75" s="2" t="inlineStr">
        <is>
          <t>https://www.thermofisher.com</t>
        </is>
      </c>
      <c r="E75" s="2" t="inlineStr"/>
      <c r="F75" s="2" t="inlineStr"/>
      <c r="G75" s="2" t="inlineStr"/>
      <c r="H75" s="2" t="n">
        <v>3</v>
      </c>
      <c r="I75" s="2" t="n">
        <v>1</v>
      </c>
      <c r="J75" s="2" t="inlineStr">
        <is>
          <t>Thermo Fisher Scientific</t>
        </is>
      </c>
      <c r="K75" s="2" t="inlineStr">
        <is>
          <t>manufacturing / engineering site (ISO 9001/13485); not a sales channel</t>
        </is>
      </c>
    </row>
    <row r="76">
      <c r="A76" s="2" t="inlineStr">
        <is>
          <t>Thermo Fisher Scientific Israel Ltd.</t>
        </is>
      </c>
      <c r="B76" s="2" t="inlineStr">
        <is>
          <t>תרמו פישר ישראל (רעננה)</t>
        </is>
      </c>
      <c r="C76" s="2" t="inlineStr">
        <is>
          <t>חברה-בת</t>
        </is>
      </c>
      <c r="D76" s="2" t="inlineStr">
        <is>
          <t>https://www.thermofisher.com</t>
        </is>
      </c>
      <c r="E76" s="2" t="inlineStr"/>
      <c r="F76" s="2" t="inlineStr"/>
      <c r="G76" s="2" t="inlineStr"/>
      <c r="H76" s="2" t="n">
        <v>3</v>
      </c>
      <c r="I76" s="2" t="n">
        <v>1</v>
      </c>
      <c r="J76" s="2" t="inlineStr">
        <is>
          <t>Thermo Fisher Scientific</t>
        </is>
      </c>
      <c r="K76" s="2" t="inlineStr">
        <is>
          <t>electron-microscopy service &amp; support</t>
        </is>
      </c>
    </row>
    <row r="77">
      <c r="A77" s="2" t="inlineStr">
        <is>
          <t>Almog Diagnostic and Medical Equipment Ltd.</t>
        </is>
      </c>
      <c r="B77" s="2" t="inlineStr">
        <is>
          <t>אלמוג דיאגנוסטיקה</t>
        </is>
      </c>
      <c r="C77" s="2" t="inlineStr">
        <is>
          <t>מפיץ</t>
        </is>
      </c>
      <c r="D77" s="2" t="inlineStr">
        <is>
          <t>https://www.almog.co.il</t>
        </is>
      </c>
      <c r="E77" s="2" t="inlineStr"/>
      <c r="F77" s="2" t="inlineStr"/>
      <c r="G77" s="2" t="inlineStr"/>
      <c r="H77" s="2" t="n">
        <v>2</v>
      </c>
      <c r="I77" s="2" t="n">
        <v>26</v>
      </c>
      <c r="J77" s="2" t="inlineStr">
        <is>
          <t>Miltenyi Biotec</t>
        </is>
      </c>
      <c r="K77" s="2" t="inlineStr">
        <is>
          <t>Miltenyi Biotec MACSQuant flow cytometers and related products (2022 Business Wire release describing Almog's Miltenyi and Cytek lines)</t>
        </is>
      </c>
    </row>
    <row r="78">
      <c r="A78" s="2" t="inlineStr">
        <is>
          <t>Almog Diagnostic and Medical Equipment Ltd.</t>
        </is>
      </c>
      <c r="B78" s="2" t="inlineStr">
        <is>
          <t>אלמוג דיאגנוסטיקה</t>
        </is>
      </c>
      <c r="C78" s="2" t="inlineStr">
        <is>
          <t>מפיץ</t>
        </is>
      </c>
      <c r="D78" s="2" t="inlineStr">
        <is>
          <t>https://www.almog.co.il</t>
        </is>
      </c>
      <c r="E78" s="2" t="inlineStr"/>
      <c r="F78" s="2" t="inlineStr"/>
      <c r="G78" s="2" t="inlineStr"/>
      <c r="H78" s="2" t="n">
        <v>2</v>
      </c>
      <c r="I78" s="2" t="n">
        <v>32</v>
      </c>
      <c r="J78" s="2" t="inlineStr">
        <is>
          <t>Cytek Biosciences</t>
        </is>
      </c>
      <c r="K78" s="2" t="inlineStr">
        <is>
          <t>Cytek Aurora / Aurora CS spectral flow cytometers (2022 press release; installs at TAU, Technion)</t>
        </is>
      </c>
    </row>
    <row r="79">
      <c r="A79" s="2" t="inlineStr">
        <is>
          <t>Bio-Rad Haifa Ltd.</t>
        </is>
      </c>
      <c r="B79" s="2" t="inlineStr">
        <is>
          <t>ביו-ראד ישראל</t>
        </is>
      </c>
      <c r="C79" s="2" t="inlineStr">
        <is>
          <t>חברה-בת</t>
        </is>
      </c>
      <c r="D79" s="2" t="inlineStr">
        <is>
          <t>https://www.bio-rad.com</t>
        </is>
      </c>
      <c r="E79" s="2" t="inlineStr"/>
      <c r="F79" s="2" t="inlineStr"/>
      <c r="G79" s="2" t="inlineStr"/>
      <c r="H79" s="2" t="n">
        <v>2</v>
      </c>
      <c r="I79" s="2" t="n">
        <v>11</v>
      </c>
      <c r="J79" s="2" t="inlineStr">
        <is>
          <t>Bio-Rad Laboratories</t>
        </is>
      </c>
      <c r="K79" s="2" t="inlineStr">
        <is>
          <t>direct sales &amp; service of life-science and clinical-diagnostics products (Rishon LeZion; branch since 1991)</t>
        </is>
      </c>
    </row>
    <row r="80">
      <c r="A80" s="2" t="inlineStr">
        <is>
          <t>Bio-Rad Haifa Ltd.</t>
        </is>
      </c>
      <c r="B80" s="2" t="inlineStr">
        <is>
          <t>ביו-ראד ישראל</t>
        </is>
      </c>
      <c r="C80" s="2" t="inlineStr">
        <is>
          <t>חברה-בת</t>
        </is>
      </c>
      <c r="D80" s="2" t="inlineStr">
        <is>
          <t>https://www.bio-rad.com</t>
        </is>
      </c>
      <c r="E80" s="2" t="inlineStr"/>
      <c r="F80" s="2" t="inlineStr"/>
      <c r="G80" s="2" t="inlineStr"/>
      <c r="H80" s="2" t="n">
        <v>2</v>
      </c>
      <c r="I80" s="2" t="n">
        <v>11</v>
      </c>
      <c r="J80" s="2" t="inlineStr">
        <is>
          <t>Bio-Rad Laboratories</t>
        </is>
      </c>
      <c r="K80" s="2" t="inlineStr">
        <is>
          <t>R&amp;D site (ex-ProteOptics, 2006); not a sales channel</t>
        </is>
      </c>
    </row>
    <row r="81">
      <c r="A81" s="2" t="inlineStr">
        <is>
          <t>Citrine Solutions</t>
        </is>
      </c>
      <c r="B81" s="2" t="inlineStr">
        <is>
          <t>סיטרין</t>
        </is>
      </c>
      <c r="C81" s="2" t="inlineStr">
        <is>
          <t>מפיץ</t>
        </is>
      </c>
      <c r="D81" s="2" t="inlineStr">
        <is>
          <t>https://www.citrinesolutions.co.il</t>
        </is>
      </c>
      <c r="E81" s="2" t="inlineStr"/>
      <c r="F81" s="2" t="inlineStr"/>
      <c r="G81" s="2" t="inlineStr"/>
      <c r="H81" s="2" t="n">
        <v>2</v>
      </c>
      <c r="I81" s="2" t="n">
        <v>66</v>
      </c>
      <c r="J81" s="2" t="inlineStr">
        <is>
          <t>LAUDA</t>
        </is>
      </c>
      <c r="K81" s="2" t="inlineStr">
        <is>
          <t>reseller listing LAUDA Variocool VC 1200 and Ultracool UC2 circulation chillers and an MGW MS heating circulator (new and used lab equipment dealer; authorisation not stated)</t>
        </is>
      </c>
    </row>
    <row r="82">
      <c r="A82" s="2" t="inlineStr">
        <is>
          <t>Citrine Solutions</t>
        </is>
      </c>
      <c r="B82" s="2" t="inlineStr">
        <is>
          <t>סיטרין</t>
        </is>
      </c>
      <c r="C82" s="2" t="inlineStr">
        <is>
          <t>מפיץ</t>
        </is>
      </c>
      <c r="D82" s="2" t="inlineStr">
        <is>
          <t>https://www.citrinesolutions.co.il</t>
        </is>
      </c>
      <c r="E82" s="2" t="inlineStr"/>
      <c r="F82" s="2" t="inlineStr"/>
      <c r="G82" s="2" t="inlineStr"/>
      <c r="H82" s="2" t="n">
        <v>2</v>
      </c>
      <c r="I82" s="2" t="n">
        <v>72</v>
      </c>
      <c r="J82" s="2" t="inlineStr">
        <is>
          <t>NuAire</t>
        </is>
      </c>
      <c r="K82" s="2" t="inlineStr">
        <is>
          <t>NuAire AutoFlow CO2 incubators (NU-4750/4850/4950/5510) - catalogue PDF hosted on Citrine's site and addressed 'to Citrine customers'; authorised status not stated</t>
        </is>
      </c>
    </row>
    <row r="83">
      <c r="A83" s="2" t="inlineStr">
        <is>
          <t>Eisenberg Bros. Ltd.</t>
        </is>
      </c>
      <c r="B83" s="2" t="inlineStr"/>
      <c r="C83" s="2" t="inlineStr">
        <is>
          <t>מפיץ</t>
        </is>
      </c>
      <c r="D83" s="2" t="inlineStr">
        <is>
          <t>https://eisenbros.co.il</t>
        </is>
      </c>
      <c r="E83" s="2" t="inlineStr"/>
      <c r="F83" s="2" t="inlineStr"/>
      <c r="G83" s="2" t="inlineStr"/>
      <c r="H83" s="2" t="n">
        <v>2</v>
      </c>
      <c r="I83" s="2" t="n">
        <v>20</v>
      </c>
      <c r="J83" s="2" t="inlineStr">
        <is>
          <t>Molecular Devices (Danaher)</t>
        </is>
      </c>
      <c r="K83" s="2" t="inlineStr">
        <is>
          <t>Hosts a Molecular Devices FLIPR Penta high-throughput cellular screening system brochure on its own site (uploaded March 2026) - probable reseller of Molecular Devices screening/plate-reader instruments; no explicit distributor statement seen</t>
        </is>
      </c>
    </row>
    <row r="84">
      <c r="A84" s="2" t="inlineStr">
        <is>
          <t>Eisenberg Bros. Ltd.</t>
        </is>
      </c>
      <c r="B84" s="2" t="inlineStr"/>
      <c r="C84" s="2" t="inlineStr">
        <is>
          <t>מפיץ</t>
        </is>
      </c>
      <c r="D84" s="2" t="inlineStr">
        <is>
          <t>https://eisenbros.co.il</t>
        </is>
      </c>
      <c r="E84" s="2" t="inlineStr"/>
      <c r="F84" s="2" t="inlineStr"/>
      <c r="G84" s="2" t="inlineStr"/>
      <c r="H84" s="2" t="n">
        <v>2</v>
      </c>
      <c r="I84" s="2" t="n">
        <v>34</v>
      </c>
      <c r="J84" s="2" t="inlineStr">
        <is>
          <t>Evident (ex-Olympus Scientific Solutions)</t>
        </is>
      </c>
      <c r="K84" s="2" t="inlineStr">
        <is>
          <t>Evident (ex-Olympus) microscopes: its 'Microscopy &amp; Imaging' catalogue lists Evident industrial/materials lines (BX53M, GX53, LEXT OLS, DSX, MX63/MX63L, SZ/SZX stereo) and OEM microscope components tagged EVIDENT (OLYMPUS); life-science confocal (FLUOVIEW FV4000/FV5000) demo events promoted by an Eisenberg applications specialist on LinkedIn. Olympus microscopes already listed in its 2009 IPS trade-fair profile.</t>
        </is>
      </c>
    </row>
    <row r="85">
      <c r="A85" s="2" t="inlineStr">
        <is>
          <t>S.L. Moran Ltd.</t>
        </is>
      </c>
      <c r="B85" s="2" t="inlineStr">
        <is>
          <t>ש.ל מורן</t>
        </is>
      </c>
      <c r="C85" s="2" t="inlineStr">
        <is>
          <t>מפיץ</t>
        </is>
      </c>
      <c r="D85" s="2" t="inlineStr">
        <is>
          <t>https://slmoran.co.il</t>
        </is>
      </c>
      <c r="E85" s="2" t="inlineStr"/>
      <c r="F85" s="2" t="inlineStr"/>
      <c r="G85" s="2" t="inlineStr"/>
      <c r="H85" s="2" t="n">
        <v>2</v>
      </c>
      <c r="I85" s="2" t="n">
        <v>67</v>
      </c>
      <c r="J85" s="2" t="inlineStr">
        <is>
          <t>Peter Huber Kältemaschinenbau</t>
        </is>
      </c>
      <c r="K85" s="2" t="inlineStr">
        <is>
          <t>Huber circulation baths, thermostats and chillers (Unistat, Ministat etc.) - S.L. Moran's heating/cooling-bath category lists Huber units and the site hosts the Huber general catalogue 2025/2026 and the CS-Chiller brochure</t>
        </is>
      </c>
    </row>
    <row r="86">
      <c r="A86" s="2" t="inlineStr">
        <is>
          <t>S.L. Moran Ltd.</t>
        </is>
      </c>
      <c r="B86" s="2" t="inlineStr">
        <is>
          <t>ש.ל מורן</t>
        </is>
      </c>
      <c r="C86" s="2" t="inlineStr">
        <is>
          <t>מפיץ</t>
        </is>
      </c>
      <c r="D86" s="2" t="inlineStr">
        <is>
          <t>https://slmoran.co.il</t>
        </is>
      </c>
      <c r="E86" s="2" t="inlineStr"/>
      <c r="F86" s="2" t="inlineStr"/>
      <c r="G86" s="2" t="inlineStr"/>
      <c r="H86" s="2" t="n">
        <v>2</v>
      </c>
      <c r="I86" s="2" t="n">
        <v>77</v>
      </c>
      <c r="J86" s="2" t="inlineStr">
        <is>
          <t>Yamato Scientific</t>
        </is>
      </c>
      <c r="K86" s="2" t="inlineStr">
        <is>
          <t>listed as Yamato Scientific's sales representative for Israel on Yamato's global partners page (Shatner Center bldg 7, Givat Shaul, Jerusalem, +972-74-7029898); no Yamato products seen on S.L. Moran's own site</t>
        </is>
      </c>
    </row>
    <row r="87">
      <c r="A87" s="2" t="inlineStr">
        <is>
          <t>Zotal Ltd.</t>
        </is>
      </c>
      <c r="B87" s="2" t="inlineStr">
        <is>
          <t>זוטל</t>
        </is>
      </c>
      <c r="C87" s="2" t="inlineStr">
        <is>
          <t>מפיץ</t>
        </is>
      </c>
      <c r="D87" s="2" t="inlineStr">
        <is>
          <t>https://www.zotal.co.il</t>
        </is>
      </c>
      <c r="E87" s="2" t="inlineStr"/>
      <c r="F87" s="2" t="inlineStr"/>
      <c r="G87" s="2" t="inlineStr"/>
      <c r="H87" s="2" t="n">
        <v>2</v>
      </c>
      <c r="I87" s="2" t="n">
        <v>28</v>
      </c>
      <c r="J87" s="2" t="inlineStr">
        <is>
          <t>Oxford Nanopore Technologies</t>
        </is>
      </c>
      <c r="K87" s="2" t="inlineStr">
        <is>
          <t>officially licensed channel partner for Nanopore products in Israel (nanoporetech.com channel-partner page)</t>
        </is>
      </c>
    </row>
    <row r="88">
      <c r="A88" s="2" t="inlineStr">
        <is>
          <t>Zotal Ltd.</t>
        </is>
      </c>
      <c r="B88" s="2" t="inlineStr">
        <is>
          <t>זוטל</t>
        </is>
      </c>
      <c r="C88" s="2" t="inlineStr">
        <is>
          <t>מפיץ</t>
        </is>
      </c>
      <c r="D88" s="2" t="inlineStr">
        <is>
          <t>https://www.zotal.co.il</t>
        </is>
      </c>
      <c r="E88" s="2" t="inlineStr"/>
      <c r="F88" s="2" t="inlineStr"/>
      <c r="G88" s="2" t="inlineStr"/>
      <c r="H88" s="2" t="n">
        <v>2</v>
      </c>
      <c r="I88" s="2" t="n">
        <v>86</v>
      </c>
      <c r="J88" s="2" t="inlineStr">
        <is>
          <t>BMG LABTECH</t>
        </is>
      </c>
      <c r="K88" s="2" t="inlineStr">
        <is>
          <t>BMG LABTECH microplate readers (CLARIOstar, PHERAstar etc.) - listed as BMG's Israel sales &amp; support contact, 4 Habarzel St., Tel Aviv 69710, sales@zotal.co.il</t>
        </is>
      </c>
    </row>
    <row r="89">
      <c r="A89" s="2" t="inlineStr">
        <is>
          <t>Abbott Medical Laboratories Ltd.</t>
        </is>
      </c>
      <c r="B89" s="2" t="inlineStr">
        <is>
          <t>אבוט מעבדות רפואיות בע"מ</t>
        </is>
      </c>
      <c r="C89" s="2" t="inlineStr">
        <is>
          <t>חברה-בת</t>
        </is>
      </c>
      <c r="D89" s="2" t="inlineStr">
        <is>
          <t>https://www.il.abbott</t>
        </is>
      </c>
      <c r="E89" s="2" t="inlineStr"/>
      <c r="F89" s="2" t="inlineStr"/>
      <c r="G89" s="2" t="inlineStr"/>
      <c r="H89" s="2" t="n">
        <v>1</v>
      </c>
      <c r="I89" s="2" t="n">
        <v>56</v>
      </c>
      <c r="J89" s="2" t="inlineStr">
        <is>
          <t>Abbott Diagnostics</t>
        </is>
      </c>
      <c r="K89" s="2" t="inlineStr">
        <is>
          <t>Abbott's Israeli affiliate for nutrition, pharmaceuticals and diagnostics (core laboratory, molecular and point-of-care), Atidim Science Park Bldg. 4, Tel Aviv; about 160 employees incl. the Haifa (STARLIMS/Abbott Informatics) development center</t>
        </is>
      </c>
    </row>
    <row r="90">
      <c r="A90" s="2" t="inlineStr">
        <is>
          <t>Accellix, Jerusalem</t>
        </is>
      </c>
      <c r="B90" s="2" t="inlineStr"/>
      <c r="C90" s="2" t="inlineStr">
        <is>
          <t>חברה-בת</t>
        </is>
      </c>
      <c r="D90" s="2" t="inlineStr"/>
      <c r="E90" s="2" t="inlineStr"/>
      <c r="F90" s="2" t="inlineStr"/>
      <c r="G90" s="2" t="inlineStr"/>
      <c r="H90" s="2" t="n">
        <v>1</v>
      </c>
      <c r="I90" s="2" t="n">
        <v>58</v>
      </c>
      <c r="J90" s="2" t="inlineStr">
        <is>
          <t>bioMérieux</t>
        </is>
      </c>
      <c r="K90" s="2" t="inlineStr">
        <is>
          <t>R&amp;D/manufacturing site of Accellix (automated flow-cytometry QC for pharma), acquired by bioMérieux in 2025 - not a sales office for VITEK/BACT/ALERT/BIOFIRE</t>
        </is>
      </c>
    </row>
    <row r="91">
      <c r="A91" s="2" t="inlineStr">
        <is>
          <t>Agrolan Ltd.</t>
        </is>
      </c>
      <c r="B91" s="2" t="inlineStr"/>
      <c r="C91" s="2" t="inlineStr">
        <is>
          <t>מפיץ</t>
        </is>
      </c>
      <c r="D91" s="2" t="inlineStr"/>
      <c r="E91" s="2" t="inlineStr"/>
      <c r="F91" s="2" t="inlineStr"/>
      <c r="G91" s="2" t="inlineStr"/>
      <c r="H91" s="2" t="n">
        <v>1</v>
      </c>
      <c r="I91" s="2" t="n">
        <v>40</v>
      </c>
      <c r="J91" s="2" t="inlineStr">
        <is>
          <t>HORIBA</t>
        </is>
      </c>
      <c r="K91" s="2" t="inlineStr">
        <is>
          <t>HORIBA water-quality / LAQUA electrochemistry instruments only (Moshav Nov 45, Ramat HaGolan); listed on HORIBA's water-quality distributor page for Israel and marked 'water quality' on HORIBA's worldwide-locations page.</t>
        </is>
      </c>
    </row>
    <row r="92">
      <c r="A92" s="2" t="inlineStr">
        <is>
          <t>Augusta Life Sciences Israel Ltd.</t>
        </is>
      </c>
      <c r="B92" s="2" t="inlineStr"/>
      <c r="C92" s="2" t="inlineStr">
        <is>
          <t>חברה-בת</t>
        </is>
      </c>
      <c r="D92" s="2" t="inlineStr">
        <is>
          <t>https://www.waters.com</t>
        </is>
      </c>
      <c r="E92" s="2" t="inlineStr"/>
      <c r="F92" s="2" t="inlineStr"/>
      <c r="G92" s="2" t="inlineStr"/>
      <c r="H92" s="2" t="n">
        <v>1</v>
      </c>
      <c r="I92" s="2" t="n">
        <v>21</v>
      </c>
      <c r="J92" s="2" t="inlineStr">
        <is>
          <t>BD Biosciences &amp; BD Diagnostic Solutions (part of Waters since Feb 2026)</t>
        </is>
      </c>
      <c r="K92" s="2" t="inlineStr">
        <is>
          <t>Israeli entity of the acquired BD Biosciences &amp; Diagnostic Solutions business (flow cytometry, BD MAX, BACTEC, Phoenix lines), listed by Waters among the SpinCo entities wholly owned by Waters since 9 Feb 2026; Harduf HaNehalim St 2, Caesarea 3079857</t>
        </is>
      </c>
    </row>
    <row r="93">
      <c r="A93" s="2" t="inlineStr">
        <is>
          <t>Avni &amp; Son</t>
        </is>
      </c>
      <c r="B93" s="2" t="inlineStr"/>
      <c r="C93" s="2" t="inlineStr">
        <is>
          <t>מפיץ</t>
        </is>
      </c>
      <c r="D93" s="2" t="inlineStr">
        <is>
          <t>https://avni-son.co.il</t>
        </is>
      </c>
      <c r="E93" s="2" t="inlineStr"/>
      <c r="F93" s="2" t="inlineStr"/>
      <c r="G93" s="2" t="inlineStr"/>
      <c r="H93" s="2" t="n">
        <v>1</v>
      </c>
      <c r="I93" s="2" t="n">
        <v>66</v>
      </c>
      <c r="J93" s="2" t="inlineStr">
        <is>
          <t>LAUDA</t>
        </is>
      </c>
      <c r="K93" s="2" t="inlineStr">
        <is>
          <t>LAUDA Ultracool process circulation chillers - Avni &amp; Son's site hosts the 2026 LAUDA Ultracool brochure (uploaded April 2026); the nature of the relationship was not stated in the snippet</t>
        </is>
      </c>
    </row>
    <row r="94">
      <c r="A94" s="2" t="inlineStr">
        <is>
          <t>BD Israel</t>
        </is>
      </c>
      <c r="B94" s="2" t="inlineStr"/>
      <c r="C94" s="2" t="inlineStr">
        <is>
          <t>חברה-בת</t>
        </is>
      </c>
      <c r="D94" s="2" t="inlineStr">
        <is>
          <t>https://www.bd.com/en-il</t>
        </is>
      </c>
      <c r="E94" s="2" t="inlineStr"/>
      <c r="F94" s="2" t="inlineStr"/>
      <c r="G94" s="2" t="inlineStr"/>
      <c r="H94" s="2" t="n">
        <v>1</v>
      </c>
      <c r="I94" s="2" t="n">
        <v>21</v>
      </c>
      <c r="J94" s="2" t="inlineStr">
        <is>
          <t>BD Biosciences &amp; BD Diagnostic Solutions (part of Waters since Feb 2026)</t>
        </is>
      </c>
      <c r="K94" s="2" t="inlineStr">
        <is>
          <t>BD's own Israeli office and technical service, 14 Hashita St., Caesarea; +972-73-229-0850 (priceisrael@bd.com), technical service +972-73-229-0830 (TSBDISRAEL@bd.com); after the split this entity belongs to the remaining BD (medical) group</t>
        </is>
      </c>
    </row>
    <row r="95">
      <c r="A95" s="2" t="inlineStr">
        <is>
          <t>BDL</t>
        </is>
      </c>
      <c r="B95" s="2" t="inlineStr"/>
      <c r="C95" s="2" t="inlineStr">
        <is>
          <t>מפיץ</t>
        </is>
      </c>
      <c r="D95" s="2" t="inlineStr">
        <is>
          <t>https://www.bdl.co.il</t>
        </is>
      </c>
      <c r="E95" s="2" t="inlineStr"/>
      <c r="F95" s="2" t="inlineStr"/>
      <c r="G95" s="2" t="inlineStr"/>
      <c r="H95" s="2" t="n">
        <v>1</v>
      </c>
      <c r="I95" s="2" t="n">
        <v>82</v>
      </c>
      <c r="J95" s="2" t="inlineStr">
        <is>
          <t>KERN &amp; SOHN</t>
        </is>
      </c>
      <c r="K95" s="2" t="inlineStr">
        <is>
          <t>KERN precision balances (EW-N / EG-N series, e.g. EW 220-3NM, EG 620-3NM) and Kern &amp; Sohn GmbH printers for KERN balances (YKN-01) listed on BDL's online catalogue with EUR prices; company's full name and authorised status not seen</t>
        </is>
      </c>
    </row>
    <row r="96">
      <c r="A96" s="2" t="inlineStr">
        <is>
          <t>Bepex</t>
        </is>
      </c>
      <c r="B96" s="2" t="inlineStr"/>
      <c r="C96" s="2" t="inlineStr">
        <is>
          <t>מפיץ</t>
        </is>
      </c>
      <c r="D96" s="2" t="inlineStr"/>
      <c r="E96" s="2" t="inlineStr"/>
      <c r="F96" s="2" t="inlineStr"/>
      <c r="G96" s="2" t="inlineStr"/>
      <c r="H96" s="2" t="n">
        <v>1</v>
      </c>
      <c r="I96" s="2" t="n">
        <v>60</v>
      </c>
      <c r="J96" s="2" t="inlineStr">
        <is>
          <t>Mindray</t>
        </is>
      </c>
      <c r="K96" s="2" t="inlineStr">
        <is>
          <t>Mindray hospital beds and clinical lighting only (per LinkedIn post; unverified)</t>
        </is>
      </c>
    </row>
    <row r="97">
      <c r="A97" s="2" t="inlineStr">
        <is>
          <t>BioAnalytics</t>
        </is>
      </c>
      <c r="B97" s="2" t="inlineStr"/>
      <c r="C97" s="2" t="inlineStr">
        <is>
          <t>מפיץ</t>
        </is>
      </c>
      <c r="D97" s="2" t="inlineStr">
        <is>
          <t>https://www.bioanalytics.co.il</t>
        </is>
      </c>
      <c r="E97" s="2" t="inlineStr"/>
      <c r="F97" s="2" t="inlineStr"/>
      <c r="G97" s="2" t="inlineStr"/>
      <c r="H97" s="2" t="n">
        <v>1</v>
      </c>
      <c r="I97" s="2" t="n">
        <v>53</v>
      </c>
      <c r="J97" s="2" t="inlineStr">
        <is>
          <t>Hanna Instruments</t>
        </is>
      </c>
      <c r="K97" s="2" t="inlineStr">
        <is>
          <t>Hanna pool/spa and food (bread/dough) pH testers</t>
        </is>
      </c>
    </row>
    <row r="98">
      <c r="A98" s="2" t="inlineStr">
        <is>
          <t>Bruker - Israel office, Gedera</t>
        </is>
      </c>
      <c r="B98" s="2" t="inlineStr"/>
      <c r="C98" s="2" t="inlineStr">
        <is>
          <t>חברה-בת</t>
        </is>
      </c>
      <c r="D98" s="2" t="inlineStr">
        <is>
          <t>https://www.bruker.com</t>
        </is>
      </c>
      <c r="E98" s="2" t="inlineStr"/>
      <c r="F98" s="2" t="inlineStr"/>
      <c r="G98" s="2" t="inlineStr"/>
      <c r="H98" s="2" t="n">
        <v>1</v>
      </c>
      <c r="I98" s="2" t="n">
        <v>5</v>
      </c>
      <c r="J98" s="2" t="inlineStr">
        <is>
          <t>Bruker Corporation</t>
        </is>
      </c>
      <c r="K98" s="2" t="inlineStr">
        <is>
          <t>mass-spectrometry (Bruker Daltonics) enquiries are directed to Bruker's own office in Gedera, Israel; legal entity name not shown on the page</t>
        </is>
      </c>
    </row>
    <row r="99">
      <c r="A99" s="2" t="inlineStr">
        <is>
          <t>Cannadepot</t>
        </is>
      </c>
      <c r="B99" s="2" t="inlineStr"/>
      <c r="C99" s="2" t="inlineStr">
        <is>
          <t>מפיץ</t>
        </is>
      </c>
      <c r="D99" s="2" t="inlineStr">
        <is>
          <t>https://cannadepot.co.il</t>
        </is>
      </c>
      <c r="E99" s="2" t="inlineStr"/>
      <c r="F99" s="2" t="inlineStr"/>
      <c r="G99" s="2" t="inlineStr"/>
      <c r="H99" s="2" t="n">
        <v>1</v>
      </c>
      <c r="I99" s="2" t="n">
        <v>53</v>
      </c>
      <c r="J99" s="2" t="inlineStr">
        <is>
          <t>Hanna Instruments</t>
        </is>
      </c>
      <c r="K99" s="2" t="inlineStr">
        <is>
          <t>online retailer; Hanna portable pH/EC/TDS testers</t>
        </is>
      </c>
    </row>
    <row r="100">
      <c r="A100" s="2" t="inlineStr">
        <is>
          <t>Dinco Ltd.</t>
        </is>
      </c>
      <c r="B100" s="2" t="inlineStr"/>
      <c r="C100" s="2" t="inlineStr">
        <is>
          <t>מפיץ</t>
        </is>
      </c>
      <c r="D100" s="2" t="inlineStr"/>
      <c r="E100" s="2" t="inlineStr"/>
      <c r="F100" s="2" t="inlineStr"/>
      <c r="G100" s="2" t="inlineStr"/>
      <c r="H100" s="2" t="n">
        <v>1</v>
      </c>
      <c r="I100" s="2" t="n">
        <v>7</v>
      </c>
      <c r="J100" s="2" t="inlineStr">
        <is>
          <t>Mettler-Toledo International</t>
        </is>
      </c>
      <c r="K100" s="2" t="inlineStr">
        <is>
          <t>product inspection (Safeline X-ray etc.); Tirat Carmel, +972 4 813 15 15</t>
        </is>
      </c>
    </row>
    <row r="101">
      <c r="A101" s="2" t="inlineStr">
        <is>
          <t>Dover Medical &amp; Scientific Equipment</t>
        </is>
      </c>
      <c r="B101" s="2" t="inlineStr"/>
      <c r="C101" s="2" t="inlineStr">
        <is>
          <t>מפיץ</t>
        </is>
      </c>
      <c r="D101" s="2" t="inlineStr"/>
      <c r="E101" s="2" t="inlineStr"/>
      <c r="F101" s="2" t="inlineStr"/>
      <c r="G101" s="2" t="inlineStr"/>
      <c r="H101" s="2" t="n">
        <v>1</v>
      </c>
      <c r="I101" s="2" t="n">
        <v>59</v>
      </c>
      <c r="J101" s="2" t="inlineStr">
        <is>
          <t>Sysmex</t>
        </is>
      </c>
      <c r="K101" s="2" t="inlineStr">
        <is>
          <t>Sysmex distributor for Israel as listed in Sysmex Europe's official distributor directory (product-line scope not stated; presumably hematology/urinalysis in-vitro diagnostics)</t>
        </is>
      </c>
    </row>
    <row r="102">
      <c r="A102" s="2" t="inlineStr">
        <is>
          <t>Dr. Golik Scientific Solutions</t>
        </is>
      </c>
      <c r="B102" s="2" t="inlineStr">
        <is>
          <t>ד"ר גוליק</t>
        </is>
      </c>
      <c r="C102" s="2" t="inlineStr">
        <is>
          <t>מפיץ</t>
        </is>
      </c>
      <c r="D102" s="2" t="inlineStr">
        <is>
          <t>https://www.golik.co.il</t>
        </is>
      </c>
      <c r="E102" s="2" t="inlineStr"/>
      <c r="F102" s="2" t="inlineStr"/>
      <c r="G102" s="2" t="inlineStr"/>
      <c r="H102" s="2" t="n">
        <v>1</v>
      </c>
      <c r="I102" s="2" t="n">
        <v>68</v>
      </c>
      <c r="J102" s="2" t="inlineStr">
        <is>
          <t>BÜCHI Labortechnik</t>
        </is>
      </c>
      <c r="K102" s="2" t="inlineStr">
        <is>
          <t>BUCHI laboratory evaporation (Rotavapor R-80, R-300, R-220 Pro, R-220/R-250 EX) - dedicated BUCHI manufacturer page and 'Dr. Golik - BUCHI - Laboratory Evaporation' page; other BUCHI lines not seen in snippets</t>
        </is>
      </c>
    </row>
    <row r="103">
      <c r="A103" s="2" t="inlineStr">
        <is>
          <t>Dr. Uri Golik Chemical Instrumentation</t>
        </is>
      </c>
      <c r="B103" s="2" t="inlineStr">
        <is>
          <t>ד"ר גוליק</t>
        </is>
      </c>
      <c r="C103" s="2" t="inlineStr">
        <is>
          <t>מפיץ</t>
        </is>
      </c>
      <c r="D103" s="2" t="inlineStr">
        <is>
          <t>https://www.golik.co.il</t>
        </is>
      </c>
      <c r="E103" s="2" t="inlineStr"/>
      <c r="F103" s="2" t="inlineStr"/>
      <c r="G103" s="2" t="inlineStr"/>
      <c r="H103" s="2" t="n">
        <v>1</v>
      </c>
      <c r="I103" s="2" t="n">
        <v>41</v>
      </c>
      <c r="J103" s="2" t="inlineStr">
        <is>
          <t>Malvern Panalytical (Spectris)</t>
        </is>
      </c>
      <c r="K103" s="2" t="inlineStr">
        <is>
          <t>Malvern Panalytical particle/materials characterization (Zetasizer, Mastersizer 3000+, NanoSight, Morphologi 4, Archimedes, MicroCal); XRD line not seen on its pages</t>
        </is>
      </c>
    </row>
    <row r="104">
      <c r="A104" s="2" t="inlineStr">
        <is>
          <t>Dyn Diagnostics</t>
        </is>
      </c>
      <c r="B104" s="2" t="inlineStr"/>
      <c r="C104" s="2" t="inlineStr">
        <is>
          <t>מפיץ</t>
        </is>
      </c>
      <c r="D104" s="2" t="inlineStr">
        <is>
          <t>https://dyn.co.il</t>
        </is>
      </c>
      <c r="E104" s="2" t="inlineStr"/>
      <c r="F104" s="2" t="inlineStr"/>
      <c r="G104" s="2" t="inlineStr"/>
      <c r="H104" s="2" t="n">
        <v>1</v>
      </c>
      <c r="I104" s="2" t="n">
        <v>55</v>
      </c>
      <c r="J104" s="2" t="inlineStr">
        <is>
          <t>Roche Diagnostics</t>
        </is>
      </c>
      <c r="K104" s="2" t="inlineStr">
        <is>
          <t>Roche Diabetes Care only (Accu-Chek home-care line) - not laboratory analyzers</t>
        </is>
      </c>
    </row>
    <row r="105">
      <c r="A105" s="2" t="inlineStr">
        <is>
          <t>Electrotherm Marketing 1978 Ltd.</t>
        </is>
      </c>
      <c r="B105" s="2" t="inlineStr">
        <is>
          <t>אלקטרוטרם</t>
        </is>
      </c>
      <c r="C105" s="2" t="inlineStr">
        <is>
          <t>מפיץ</t>
        </is>
      </c>
      <c r="D105" s="2" t="inlineStr">
        <is>
          <t>https://www.electrotherm.co.il</t>
        </is>
      </c>
      <c r="E105" s="2" t="inlineStr"/>
      <c r="F105" s="2" t="inlineStr"/>
      <c r="G105" s="2" t="inlineStr"/>
      <c r="H105" s="2" t="n">
        <v>1</v>
      </c>
      <c r="I105" s="2" t="n">
        <v>97</v>
      </c>
      <c r="J105" s="2" t="inlineStr">
        <is>
          <t>Nabertherm</t>
        </is>
      </c>
      <c r="K105" s="2" t="inlineStr">
        <is>
          <t>Nabertherm agent for Israel per Nabertherm's World-Wide Sales page (I.Z. Ramat Gabriel, P.O. Box 232, Migdal Haemek; sales@electrotherm.co.il; +972-77-8660777 / +972-4-8590900); Electrotherm's own site sells Nabertherm laboratory, high-temperature, melting, tube and drying furnaces and controllers</t>
        </is>
      </c>
    </row>
    <row r="106">
      <c r="A106" s="2" t="inlineStr">
        <is>
          <t>Enco</t>
        </is>
      </c>
      <c r="B106" s="2" t="inlineStr">
        <is>
          <t>אנקו</t>
        </is>
      </c>
      <c r="C106" s="2" t="inlineStr">
        <is>
          <t>מפיץ</t>
        </is>
      </c>
      <c r="D106" s="2" t="inlineStr">
        <is>
          <t>https://www.enco.co.il</t>
        </is>
      </c>
      <c r="E106" s="2" t="inlineStr"/>
      <c r="F106" s="2" t="inlineStr"/>
      <c r="G106" s="2" t="inlineStr"/>
      <c r="H106" s="2" t="n">
        <v>1</v>
      </c>
      <c r="I106" s="2" t="n">
        <v>9</v>
      </c>
      <c r="J106" s="2" t="inlineStr">
        <is>
          <t>Revvity</t>
        </is>
      </c>
      <c r="K106" s="2" t="inlineStr">
        <is>
          <t>Revvity screening reagents and consumables (OptiPlate/SpectraPlate microplates, AlphaLISA SureFire Ultra kits) listed in Enco's online catalogue</t>
        </is>
      </c>
    </row>
    <row r="107">
      <c r="A107" s="2" t="inlineStr">
        <is>
          <t>Ex-Lab</t>
        </is>
      </c>
      <c r="B107" s="2" t="inlineStr">
        <is>
          <t>אקס-לאב</t>
        </is>
      </c>
      <c r="C107" s="2" t="inlineStr">
        <is>
          <t>מפיץ</t>
        </is>
      </c>
      <c r="D107" s="2" t="inlineStr"/>
      <c r="E107" s="2" t="inlineStr"/>
      <c r="F107" s="2" t="inlineStr"/>
      <c r="G107" s="2" t="inlineStr"/>
      <c r="H107" s="2" t="n">
        <v>1</v>
      </c>
      <c r="I107" s="2" t="n">
        <v>74</v>
      </c>
      <c r="J107" s="2" t="inlineStr">
        <is>
          <t>Haier Biomedical</t>
        </is>
      </c>
      <c r="K107" s="2" t="inlineStr">
        <is>
          <t>named by Haier Biomedical as its partner exhibiting Haier Biomedical laboratory equipment at a university expo hosted by the Weizmann Institute and the Technion; product scope, legal name and website not found</t>
        </is>
      </c>
    </row>
    <row r="108">
      <c r="A108" s="2" t="inlineStr">
        <is>
          <t>GLOBUS Technical Equipment Ltd.</t>
        </is>
      </c>
      <c r="B108" s="2" t="inlineStr"/>
      <c r="C108" s="2" t="inlineStr">
        <is>
          <t>מפיץ</t>
        </is>
      </c>
      <c r="D108" s="2" t="inlineStr"/>
      <c r="E108" s="2" t="inlineStr"/>
      <c r="F108" s="2" t="inlineStr"/>
      <c r="G108" s="2" t="inlineStr"/>
      <c r="H108" s="2" t="n">
        <v>1</v>
      </c>
      <c r="I108" s="2" t="n">
        <v>88</v>
      </c>
      <c r="J108" s="2" t="inlineStr">
        <is>
          <t>ZwickRoell</t>
        </is>
      </c>
      <c r="K108" s="2" t="inlineStr">
        <is>
          <t>ZwickRoell sales partner for Israel (materials testing machines); Kadima Industrial Zone</t>
        </is>
      </c>
    </row>
    <row r="109">
      <c r="A109" s="2" t="inlineStr">
        <is>
          <t>Hitachi High-Tech Israel, Ltd.</t>
        </is>
      </c>
      <c r="B109" s="2" t="inlineStr">
        <is>
          <t>היטאצ'י היי-טק ישראל בע"מ</t>
        </is>
      </c>
      <c r="C109" s="2" t="inlineStr">
        <is>
          <t>חברה-בת</t>
        </is>
      </c>
      <c r="D109" s="2" t="inlineStr">
        <is>
          <t>https://hitachi-hightech.com/global/network/israel.html</t>
        </is>
      </c>
      <c r="E109" s="2" t="inlineStr"/>
      <c r="F109" s="2" t="inlineStr"/>
      <c r="G109" s="2" t="inlineStr"/>
      <c r="H109" s="2" t="n">
        <v>1</v>
      </c>
      <c r="I109" s="2" t="n">
        <v>37</v>
      </c>
      <c r="J109" s="2" t="inlineStr">
        <is>
          <t>Hitachi High-Tech</t>
        </is>
      </c>
      <c r="K109" s="2" t="inlineStr">
        <is>
          <t>Maintenance/service of semiconductor manufacturing and inspection equipment (Kiryat Gat office, P.O. Box 1000, MS: Hitachi LC2-3S, +972-8-666-6342); formerly H.H.T.A. Semiconductor Equipment Israel Ltd., renamed April 2020; 100% owned by Hitachi High-Tech. NOT confirmed as a sales channel for SEM/TEM/analytical instruments.</t>
        </is>
      </c>
    </row>
    <row r="110">
      <c r="A110" s="2" t="inlineStr">
        <is>
          <t>HyLabs</t>
        </is>
      </c>
      <c r="B110" s="2" t="inlineStr"/>
      <c r="C110" s="2" t="inlineStr">
        <is>
          <t>מפיץ</t>
        </is>
      </c>
      <c r="D110" s="2" t="inlineStr">
        <is>
          <t>https://www.hylabs.co.il</t>
        </is>
      </c>
      <c r="E110" s="2" t="inlineStr"/>
      <c r="F110" s="2" t="inlineStr"/>
      <c r="G110" s="2" t="inlineStr"/>
      <c r="H110" s="2" t="n">
        <v>1</v>
      </c>
      <c r="I110" s="2" t="n">
        <v>78</v>
      </c>
      <c r="J110" s="2" t="inlineStr">
        <is>
          <t>Azenta Life Sciences</t>
        </is>
      </c>
      <c r="K110" s="2" t="inlineStr">
        <is>
          <t>Azenta Life Sciences (GENEWIZ) genomics services - gene synthesis, gBlock-type DNA fragments, CRISPR gRNA constructs, oligo pools, plasmid preparation - resold to Israeli research and clinical customers (HyLabs 'AZENTA - GENOMICS SERVICES' pages)</t>
        </is>
      </c>
    </row>
    <row r="111">
      <c r="A111" s="2" t="inlineStr">
        <is>
          <t>IM Beit Haemek</t>
        </is>
      </c>
      <c r="B111" s="2" t="inlineStr"/>
      <c r="C111" s="2" t="inlineStr">
        <is>
          <t>מפיץ</t>
        </is>
      </c>
      <c r="D111" s="2" t="inlineStr">
        <is>
          <t>https://bemek.co.il</t>
        </is>
      </c>
      <c r="E111" s="2" t="inlineStr"/>
      <c r="F111" s="2" t="inlineStr"/>
      <c r="G111" s="2" t="inlineStr"/>
      <c r="H111" s="2" t="n">
        <v>1</v>
      </c>
      <c r="I111" s="2" t="n">
        <v>23</v>
      </c>
      <c r="J111" s="2" t="inlineStr">
        <is>
          <t>Promega Corporation</t>
        </is>
      </c>
      <c r="K111" s="2" t="inlineStr">
        <is>
          <t>Promega products - marketing area Israel (Promega 'Contact Promega' distributor listing; e-mail info@bemek.co.il)</t>
        </is>
      </c>
    </row>
    <row r="112">
      <c r="A112" s="2" t="inlineStr">
        <is>
          <t>ISI Israel Scientific Instruments Ltd.</t>
        </is>
      </c>
      <c r="B112" s="2" t="inlineStr"/>
      <c r="C112" s="2" t="inlineStr">
        <is>
          <t>מפיץ</t>
        </is>
      </c>
      <c r="D112" s="2" t="inlineStr">
        <is>
          <t>https://www.isil.co.il</t>
        </is>
      </c>
      <c r="E112" s="2" t="inlineStr"/>
      <c r="F112" s="2" t="inlineStr"/>
      <c r="G112" s="2" t="inlineStr"/>
      <c r="H112" s="2" t="n">
        <v>1</v>
      </c>
      <c r="I112" s="2" t="n">
        <v>10</v>
      </c>
      <c r="J112" s="2" t="inlineStr">
        <is>
          <t>PerkinElmer (New Mountain Capital)</t>
        </is>
      </c>
      <c r="K112" s="2" t="inlineStr">
        <is>
          <t>food testing / food quality products, as listed on PerkinElmer's site; Shacham St 32, Petach Tikva, +972 3-9232202 (site given as isil.co.il)</t>
        </is>
      </c>
    </row>
    <row r="113">
      <c r="A113" s="2" t="inlineStr">
        <is>
          <t>Illumina Israel</t>
        </is>
      </c>
      <c r="B113" s="2" t="inlineStr">
        <is>
          <t>אילומינה ישראל</t>
        </is>
      </c>
      <c r="C113" s="2" t="inlineStr">
        <is>
          <t>חברה-בת</t>
        </is>
      </c>
      <c r="D113" s="2" t="inlineStr"/>
      <c r="E113" s="2" t="inlineStr"/>
      <c r="F113" s="2" t="inlineStr"/>
      <c r="G113" s="2" t="inlineStr"/>
      <c r="H113" s="2" t="n">
        <v>1</v>
      </c>
      <c r="I113" s="2" t="n">
        <v>15</v>
      </c>
      <c r="J113" s="2" t="inlineStr">
        <is>
          <t>Illumina</t>
        </is>
      </c>
      <c r="K113" s="2" t="inlineStr">
        <is>
          <t>R&amp;D / AI centre of excellence (~30 staff); not a sales channel</t>
        </is>
      </c>
    </row>
    <row r="114">
      <c r="A114" s="2" t="inlineStr">
        <is>
          <t>Israel Scientific Instruments Ltd.</t>
        </is>
      </c>
      <c r="B114" s="2" t="inlineStr">
        <is>
          <t>ISI – ישראל מכשור מדעי</t>
        </is>
      </c>
      <c r="C114" s="2" t="inlineStr">
        <is>
          <t>מפיץ</t>
        </is>
      </c>
      <c r="D114" s="2" t="inlineStr"/>
      <c r="E114" s="2" t="inlineStr"/>
      <c r="F114" s="2" t="inlineStr"/>
      <c r="G114" s="2" t="inlineStr"/>
      <c r="H114" s="2" t="n">
        <v>1</v>
      </c>
      <c r="I114" s="2" t="n">
        <v>44</v>
      </c>
      <c r="J114" s="2" t="inlineStr">
        <is>
          <t>Metrohm</t>
        </is>
      </c>
      <c r="K114" s="2" t="inlineStr">
        <is>
          <t>official distributor of all Metrohm products and services in Israel from 17 July 2025 (Metrohm news page)</t>
        </is>
      </c>
    </row>
    <row r="115">
      <c r="A115" s="2" t="inlineStr">
        <is>
          <t>Israeli distributor listed on Novus Biologicals' distributor page - 6 Hasadna St., P.O. Box 8006, Kfar Saba 4442405</t>
        </is>
      </c>
      <c r="B115" s="2" t="inlineStr"/>
      <c r="C115" s="2" t="inlineStr">
        <is>
          <t>מפיץ</t>
        </is>
      </c>
      <c r="D115" s="2" t="inlineStr"/>
      <c r="E115" s="2" t="inlineStr"/>
      <c r="F115" s="2" t="inlineStr"/>
      <c r="G115" s="2" t="inlineStr"/>
      <c r="H115" s="2" t="n">
        <v>1</v>
      </c>
      <c r="I115" s="2" t="n">
        <v>25</v>
      </c>
      <c r="J115" s="2" t="inlineStr">
        <is>
          <t>Bio-Techne</t>
        </is>
      </c>
      <c r="K115" s="2" t="inlineStr">
        <is>
          <t>Novus Biologicals antibodies (Bio-Techne brand); coverage of R&amp;D Systems / Tocris / ProteinSimple not shown</t>
        </is>
      </c>
    </row>
    <row r="116">
      <c r="A116" s="2" t="inlineStr">
        <is>
          <t>Master-Cold</t>
        </is>
      </c>
      <c r="B116" s="2" t="inlineStr"/>
      <c r="C116" s="2" t="inlineStr">
        <is>
          <t>מפיץ</t>
        </is>
      </c>
      <c r="D116" s="2" t="inlineStr">
        <is>
          <t>http://master-cold.co.il</t>
        </is>
      </c>
      <c r="E116" s="2" t="inlineStr"/>
      <c r="F116" s="2" t="inlineStr"/>
      <c r="G116" s="2" t="inlineStr"/>
      <c r="H116" s="2" t="n">
        <v>1</v>
      </c>
      <c r="I116" s="2" t="n">
        <v>67</v>
      </c>
      <c r="J116" s="2" t="inlineStr">
        <is>
          <t>Peter Huber Kältemaschinenbau</t>
        </is>
      </c>
      <c r="K116" s="2" t="inlineStr">
        <is>
          <t>lists Huber Ministat 230-cc-NR and a Unistat CC (the Unistat appears to be a used unit); authorised status unverified</t>
        </is>
      </c>
    </row>
    <row r="117">
      <c r="A117" s="2" t="inlineStr">
        <is>
          <t>Mercury Scientific &amp; Industrial Products Ltd.</t>
        </is>
      </c>
      <c r="B117" s="2" t="inlineStr">
        <is>
          <t>מרקורי מוצרי מדע ותעשייה (גדות מרקורי)</t>
        </is>
      </c>
      <c r="C117" s="2" t="inlineStr">
        <is>
          <t>מפיץ</t>
        </is>
      </c>
      <c r="D117" s="2" t="inlineStr">
        <is>
          <t>https://www.mercury-ltd.co.il</t>
        </is>
      </c>
      <c r="E117" s="2" t="inlineStr"/>
      <c r="F117" s="2" t="inlineStr"/>
      <c r="G117" s="2" t="inlineStr"/>
      <c r="H117" s="2" t="n">
        <v>1</v>
      </c>
      <c r="I117" s="2" t="n">
        <v>3</v>
      </c>
      <c r="J117" s="2" t="inlineStr">
        <is>
          <t>Merck KGaA – Life Science (MilliporeSigma / Sigma-Aldrich / Merck Millipore)</t>
        </is>
      </c>
      <c r="K117" s="2" t="inlineStr">
        <is>
          <t>self-described exclusive Israeli representative for Merck Milli-Q lab-water systems (sales + certified service since 2012) and distributor of Merck KGaA life-science and chemicals divisions (Millipore filtration, MQuant etc.)</t>
        </is>
      </c>
    </row>
    <row r="118">
      <c r="A118" s="2" t="inlineStr">
        <is>
          <t>Modcon Systems Ltd.</t>
        </is>
      </c>
      <c r="B118" s="2" t="inlineStr"/>
      <c r="C118" s="2" t="inlineStr">
        <is>
          <t>מפיץ</t>
        </is>
      </c>
      <c r="D118" s="2" t="inlineStr"/>
      <c r="E118" s="2" t="inlineStr"/>
      <c r="F118" s="2" t="inlineStr"/>
      <c r="G118" s="2" t="inlineStr"/>
      <c r="H118" s="2" t="n">
        <v>1</v>
      </c>
      <c r="I118" s="2" t="n">
        <v>7</v>
      </c>
      <c r="J118" s="2" t="inlineStr">
        <is>
          <t>Mettler-Toledo International</t>
        </is>
      </c>
      <c r="K118" s="2" t="inlineStr">
        <is>
          <t>process analytics (Ingold sensors/transmitters); Akko, +972 4 9553955</t>
        </is>
      </c>
    </row>
    <row r="119">
      <c r="A119" s="2" t="inlineStr">
        <is>
          <t>Modotec Ltd.</t>
        </is>
      </c>
      <c r="B119" s="2" t="inlineStr"/>
      <c r="C119" s="2" t="inlineStr">
        <is>
          <t>מפיץ</t>
        </is>
      </c>
      <c r="D119" s="2" t="inlineStr">
        <is>
          <t>http://www.modotec.co.il</t>
        </is>
      </c>
      <c r="E119" s="2" t="inlineStr"/>
      <c r="F119" s="2" t="inlineStr"/>
      <c r="G119" s="2" t="inlineStr"/>
      <c r="H119" s="2" t="n">
        <v>1</v>
      </c>
      <c r="I119" s="2" t="n">
        <v>52</v>
      </c>
      <c r="J119" s="2" t="inlineStr">
        <is>
          <t>Hach (Veralto)</t>
        </is>
      </c>
      <c r="K119" s="2" t="inlineStr">
        <is>
          <t>Hach Flow (flow-measurement) products only, per Hach Flow distributor page (Akko; modotec@modotec.co.il); page ~5 years old</t>
        </is>
      </c>
    </row>
    <row r="120">
      <c r="A120" s="2" t="inlineStr">
        <is>
          <t>New-Road Agencies Ltd.</t>
        </is>
      </c>
      <c r="B120" s="2" t="inlineStr"/>
      <c r="C120" s="2" t="inlineStr">
        <is>
          <t>מפיץ</t>
        </is>
      </c>
      <c r="D120" s="2" t="inlineStr"/>
      <c r="E120" s="2" t="inlineStr"/>
      <c r="F120" s="2" t="inlineStr"/>
      <c r="G120" s="2" t="inlineStr"/>
      <c r="H120" s="2" t="n">
        <v>1</v>
      </c>
      <c r="I120" s="2" t="n">
        <v>40</v>
      </c>
      <c r="J120" s="2" t="inlineStr">
        <is>
          <t>HORIBA</t>
        </is>
      </c>
      <c r="K120" s="2" t="inlineStr">
        <is>
          <t>HORIBA Scientific instruments (marked 'scientific' on HORIBA's worldwide-locations page; Rosh Ha'Ayin) - exact product lines (Raman, particle size, fluorescence, elemental) not itemised; own website not found.</t>
        </is>
      </c>
    </row>
    <row r="121">
      <c r="A121" s="2" t="inlineStr">
        <is>
          <t>Ophir Analytical Ltd.</t>
        </is>
      </c>
      <c r="B121" s="2" t="inlineStr"/>
      <c r="C121" s="2" t="inlineStr">
        <is>
          <t>מפיץ</t>
        </is>
      </c>
      <c r="D121" s="2" t="inlineStr">
        <is>
          <t>http://www.ophiranalytical.com</t>
        </is>
      </c>
      <c r="E121" s="2" t="inlineStr"/>
      <c r="F121" s="2" t="inlineStr"/>
      <c r="G121" s="2" t="inlineStr"/>
      <c r="H121" s="2" t="n">
        <v>1</v>
      </c>
      <c r="I121" s="2" t="n">
        <v>46</v>
      </c>
      <c r="J121" s="2" t="inlineStr">
        <is>
          <t>JASCO Corporation</t>
        </is>
      </c>
      <c r="K121" s="2" t="inlineStr">
        <is>
          <t>JASCO spectroscopy and chromatography products (listed as JASCO's distributor for Israel; Rosh Ha'ayin, +972 3-9022277, ophir-ana@bezeqint.net)</t>
        </is>
      </c>
    </row>
    <row r="122">
      <c r="A122" s="2" t="inlineStr">
        <is>
          <t>Ormir Lab Equipment</t>
        </is>
      </c>
      <c r="B122" s="2" t="inlineStr"/>
      <c r="C122" s="2" t="inlineStr">
        <is>
          <t>מפיץ</t>
        </is>
      </c>
      <c r="D122" s="2" t="inlineStr">
        <is>
          <t>https://ormir.co.il</t>
        </is>
      </c>
      <c r="E122" s="2" t="inlineStr"/>
      <c r="F122" s="2" t="inlineStr"/>
      <c r="G122" s="2" t="inlineStr"/>
      <c r="H122" s="2" t="n">
        <v>1</v>
      </c>
      <c r="I122" s="2" t="n">
        <v>72</v>
      </c>
      <c r="J122" s="2" t="inlineStr">
        <is>
          <t>NuAire</t>
        </is>
      </c>
      <c r="K122" s="2" t="inlineStr">
        <is>
          <t>NuAire biosafety cabinets, laminar-flow hoods, CO2 incubators (NU-5731), ULT freezers and PharmaGard compounding isolators (NU-NTE800) - NuAire listed on Ormir's manufacturers page with product pages</t>
        </is>
      </c>
    </row>
    <row r="123">
      <c r="A123" s="2" t="inlineStr">
        <is>
          <t>Ornat BioChemicals &amp; Lab Equipment Ltd.</t>
        </is>
      </c>
      <c r="B123" s="2" t="inlineStr">
        <is>
          <t>אורנת</t>
        </is>
      </c>
      <c r="C123" s="2" t="inlineStr">
        <is>
          <t>מפיץ</t>
        </is>
      </c>
      <c r="D123" s="2" t="inlineStr">
        <is>
          <t>https://www.ornat.co.il</t>
        </is>
      </c>
      <c r="E123" s="2" t="inlineStr"/>
      <c r="F123" s="2" t="inlineStr"/>
      <c r="G123" s="2" t="inlineStr"/>
      <c r="H123" s="2" t="n">
        <v>1</v>
      </c>
      <c r="I123" s="2" t="n">
        <v>24</v>
      </c>
      <c r="J123" s="2" t="inlineStr">
        <is>
          <t>New England Biolabs</t>
        </is>
      </c>
      <c r="K123" s="2" t="inlineStr">
        <is>
          <t>New England Biolabs reagents (per Ornat's brand list quoted on the FISEB vendors page)</t>
        </is>
      </c>
    </row>
    <row r="124">
      <c r="A124" s="2" t="inlineStr">
        <is>
          <t>PerkinElmer Israel Ltd.</t>
        </is>
      </c>
      <c r="B124" s="2" t="inlineStr"/>
      <c r="C124" s="2" t="inlineStr">
        <is>
          <t>חברה-בת</t>
        </is>
      </c>
      <c r="D124" s="2" t="inlineStr">
        <is>
          <t>https://www.perkinelmer.com</t>
        </is>
      </c>
      <c r="E124" s="2" t="inlineStr"/>
      <c r="F124" s="2" t="inlineStr"/>
      <c r="G124" s="2" t="inlineStr"/>
      <c r="H124" s="2" t="n">
        <v>1</v>
      </c>
      <c r="I124" s="2" t="n">
        <v>10</v>
      </c>
      <c r="J124" s="2" t="inlineStr">
        <is>
          <t>PerkinElmer (New Mountain Capital)</t>
        </is>
      </c>
      <c r="K124" s="2" t="inlineStr">
        <is>
          <t>direct sales, service and support for analytical instruments (atomic spectroscopy/ICP-MS, chromatography, mass spectrometry, FTIR) and OneSource lab services; 4 HaSheizaf St., Ra'anana 4366411, +972 3655 8777</t>
        </is>
      </c>
    </row>
    <row r="125">
      <c r="A125" s="2" t="inlineStr">
        <is>
          <t>PicoTech Ltd.</t>
        </is>
      </c>
      <c r="B125" s="2" t="inlineStr"/>
      <c r="C125" s="2" t="inlineStr">
        <is>
          <t>מפיץ</t>
        </is>
      </c>
      <c r="D125" s="2" t="inlineStr"/>
      <c r="E125" s="2" t="inlineStr"/>
      <c r="F125" s="2" t="inlineStr"/>
      <c r="G125" s="2" t="inlineStr"/>
      <c r="H125" s="2" t="n">
        <v>1</v>
      </c>
      <c r="I125" s="2" t="n">
        <v>38</v>
      </c>
      <c r="J125" s="2" t="inlineStr">
        <is>
          <t>TESCAN</t>
        </is>
      </c>
      <c r="K125" s="2" t="inlineStr">
        <is>
          <t>TESCAN SEM / FIB-SEM sales and after-sales support (PicoTech SEM division); Ha-Mefalsim St 17, Petah Tikva, +972-3-6356650, contact Nitzan Cafif per TESCAN's distributor page.</t>
        </is>
      </c>
    </row>
    <row r="126">
      <c r="A126" s="2" t="inlineStr">
        <is>
          <t>Prime Lab Scientific Instruments Ltd.</t>
        </is>
      </c>
      <c r="B126" s="2" t="inlineStr">
        <is>
          <t>פריים לאב</t>
        </is>
      </c>
      <c r="C126" s="2" t="inlineStr">
        <is>
          <t>מפיץ</t>
        </is>
      </c>
      <c r="D126" s="2" t="inlineStr">
        <is>
          <t>https://primelab.co.il</t>
        </is>
      </c>
      <c r="E126" s="2" t="inlineStr"/>
      <c r="F126" s="2" t="inlineStr"/>
      <c r="G126" s="2" t="inlineStr"/>
      <c r="H126" s="2" t="n">
        <v>1</v>
      </c>
      <c r="I126" s="2" t="n">
        <v>43</v>
      </c>
      <c r="J126" s="2" t="inlineStr">
        <is>
          <t>Anton Paar</t>
        </is>
      </c>
      <c r="K126" s="2" t="inlineStr">
        <is>
          <t>Anton Paar instruments (density meters, rheometers, viscometers, SAXS); import, installation, IQ/OQ/PQ, calibration and after-sales service per distributor site</t>
        </is>
      </c>
    </row>
    <row r="127">
      <c r="A127" s="2" t="inlineStr">
        <is>
          <t>Rigaku Semiconductor Instruments Ltd.</t>
        </is>
      </c>
      <c r="B127" s="2" t="inlineStr"/>
      <c r="C127" s="2" t="inlineStr">
        <is>
          <t>חברה-בת</t>
        </is>
      </c>
      <c r="D127" s="2" t="inlineStr">
        <is>
          <t>https://rigaku.com/about/rigaku-divisions/rigaku-semiconductor-instruments-ltd</t>
        </is>
      </c>
      <c r="E127" s="2" t="inlineStr"/>
      <c r="F127" s="2" t="inlineStr"/>
      <c r="G127" s="2" t="inlineStr"/>
      <c r="H127" s="2" t="n">
        <v>1</v>
      </c>
      <c r="I127" s="2" t="n">
        <v>39</v>
      </c>
      <c r="J127" s="2" t="inlineStr">
        <is>
          <t>Rigaku Holdings</t>
        </is>
      </c>
      <c r="K127" s="2" t="inlineStr">
        <is>
          <t>Rigaku Group company doing R&amp;D and manufacturing of X-ray semiconductor metrology tools (Ramat Gabriel Industrial Zone, 6 HaMehkar St, Migdal HaEmek; rsi@rigaku.com, +972-4-9951051); joined Rigaku 2019, renamed Dec 2024. Not a sales channel for analytical XRD/XRF.</t>
        </is>
      </c>
    </row>
    <row r="128">
      <c r="A128" s="2" t="inlineStr">
        <is>
          <t>Roche Pharmaceuticals Ltd. - Diagnostics division</t>
        </is>
      </c>
      <c r="B128" s="2" t="inlineStr"/>
      <c r="C128" s="2" t="inlineStr">
        <is>
          <t>חברה-בת</t>
        </is>
      </c>
      <c r="D128" s="2" t="inlineStr">
        <is>
          <t>https://www.roche.co.il</t>
        </is>
      </c>
      <c r="E128" s="2" t="inlineStr"/>
      <c r="F128" s="2" t="inlineStr"/>
      <c r="G128" s="2" t="inlineStr"/>
      <c r="H128" s="2" t="n">
        <v>1</v>
      </c>
      <c r="I128" s="2" t="n">
        <v>55</v>
      </c>
      <c r="J128" s="2" t="inlineStr">
        <is>
          <t>Roche Diagnostics</t>
        </is>
      </c>
      <c r="K128" s="2" t="inlineStr">
        <is>
          <t>Roche Diagnostics business in Israel (cobas core-lab/molecular, point-of-care IVD instruments and reagents); diagnostics division of the Roche group's Israeli affiliate, 6 Hacharash St., Hod Hasharon 4524079</t>
        </is>
      </c>
    </row>
    <row r="129">
      <c r="A129" s="2" t="inlineStr">
        <is>
          <t>Sartorius Israel Ltd.</t>
        </is>
      </c>
      <c r="B129" s="2" t="inlineStr"/>
      <c r="C129" s="2" t="inlineStr">
        <is>
          <t>חברה-בת</t>
        </is>
      </c>
      <c r="D129" s="2" t="inlineStr">
        <is>
          <t>https://www.sartorius.com/en/general-contact/local-contact</t>
        </is>
      </c>
      <c r="E129" s="2" t="inlineStr"/>
      <c r="F129" s="2" t="inlineStr"/>
      <c r="G129" s="2" t="inlineStr"/>
      <c r="H129" s="2" t="n">
        <v>1</v>
      </c>
      <c r="I129" s="2" t="n">
        <v>8</v>
      </c>
      <c r="J129" s="2" t="inlineStr">
        <is>
          <t>Sartorius AG</t>
        </is>
      </c>
      <c r="K129" s="2" t="inlineStr">
        <is>
          <t>Sartorius' Israeli company at Kibbutz Beit Haemek (ex-Biological Industries; cell-culture media production and local contact, info.israel@sartorius.com, +972-4-9960595); in-country sales representative advertised</t>
        </is>
      </c>
    </row>
    <row r="130">
      <c r="A130" s="2" t="inlineStr">
        <is>
          <t>Siemens Healthineers Israel</t>
        </is>
      </c>
      <c r="B130" s="2" t="inlineStr"/>
      <c r="C130" s="2" t="inlineStr">
        <is>
          <t>חברה-בת</t>
        </is>
      </c>
      <c r="D130" s="2" t="inlineStr">
        <is>
          <t>https://www.siemens-healthineers.com/il</t>
        </is>
      </c>
      <c r="E130" s="2" t="inlineStr"/>
      <c r="F130" s="2" t="inlineStr"/>
      <c r="G130" s="2" t="inlineStr"/>
      <c r="H130" s="2" t="n">
        <v>1</v>
      </c>
      <c r="I130" s="2" t="n">
        <v>57</v>
      </c>
      <c r="J130" s="2" t="inlineStr">
        <is>
          <t>Siemens Healthineers – Diagnostics</t>
        </is>
      </c>
      <c r="K130" s="2" t="inlineStr">
        <is>
          <t>all Siemens Healthineers businesses in Israel, including a dedicated Diagnostics unit (a 'Head of Diagnostics, Siemens Healthineers Israel' is named on the company's Israeli site)</t>
        </is>
      </c>
    </row>
    <row r="131">
      <c r="A131" s="2" t="inlineStr">
        <is>
          <t>Sigma-Aldrich Israel Ltd.</t>
        </is>
      </c>
      <c r="B131" s="2" t="inlineStr"/>
      <c r="C131" s="2" t="inlineStr">
        <is>
          <t>חברה-בת</t>
        </is>
      </c>
      <c r="D131" s="2" t="inlineStr">
        <is>
          <t>https://www.sigmaaldrich.com/IL/en</t>
        </is>
      </c>
      <c r="E131" s="2" t="inlineStr"/>
      <c r="F131" s="2" t="inlineStr"/>
      <c r="G131" s="2" t="inlineStr"/>
      <c r="H131" s="2" t="n">
        <v>1</v>
      </c>
      <c r="I131" s="2" t="n">
        <v>3</v>
      </c>
      <c r="J131" s="2" t="inlineStr">
        <is>
          <t>Merck KGaA – Life Science (MilliporeSigma / Sigma-Aldrich / Merck Millipore)</t>
        </is>
      </c>
      <c r="K131" s="2" t="inlineStr">
        <is>
          <t>Merck's own Israeli entity: sales/customer contact for Israel and production sites in Rehovot (antibodies, primers, peptides; 3 Plaut St.) and Jerusalem (Har Hotzvim)</t>
        </is>
      </c>
    </row>
    <row r="132">
      <c r="A132" s="2" t="inlineStr">
        <is>
          <t>Spectro Ltd.</t>
        </is>
      </c>
      <c r="B132" s="2" t="inlineStr"/>
      <c r="C132" s="2" t="inlineStr">
        <is>
          <t>מפיץ</t>
        </is>
      </c>
      <c r="D132" s="2" t="inlineStr">
        <is>
          <t>http://www.spectro.co.il</t>
        </is>
      </c>
      <c r="E132" s="2" t="inlineStr"/>
      <c r="F132" s="2" t="inlineStr"/>
      <c r="G132" s="2" t="inlineStr"/>
      <c r="H132" s="2" t="n">
        <v>1</v>
      </c>
      <c r="I132" s="2" t="n">
        <v>49</v>
      </c>
      <c r="J132" s="2" t="inlineStr">
        <is>
          <t>Elementar Analysensysteme</t>
        </is>
      </c>
      <c r="K132" s="2" t="inlineStr">
        <is>
          <t>Elementar's listed distributor for Israel (10 Sacharov St., Rishon LeZion, +972 3 9693014, spectro@spectro.co.il)</t>
        </is>
      </c>
    </row>
    <row r="133">
      <c r="A133" s="2" t="inlineStr">
        <is>
          <t>Waters Israel Ltd.</t>
        </is>
      </c>
      <c r="B133" s="2" t="inlineStr"/>
      <c r="C133" s="2" t="inlineStr">
        <is>
          <t>חברה-בת</t>
        </is>
      </c>
      <c r="D133" s="2" t="inlineStr"/>
      <c r="E133" s="2" t="inlineStr"/>
      <c r="F133" s="2" t="inlineStr"/>
      <c r="G133" s="2" t="inlineStr"/>
      <c r="H133" s="2" t="n">
        <v>1</v>
      </c>
      <c r="I133" s="2" t="n">
        <v>4</v>
      </c>
      <c r="J133" s="2" t="inlineStr">
        <is>
          <t>Waters Corporation</t>
        </is>
      </c>
      <c r="K133" s="2" t="inlineStr">
        <is>
          <t>Israeli legal entity listed in Waters' 10-K subsidiaries exhibit; sales/service scope not established</t>
        </is>
      </c>
    </row>
    <row r="134">
      <c r="A134" s="2" t="inlineStr">
        <is>
          <t>Y.A. Almog Diagnostic &amp; Medical Equipment Ltd.</t>
        </is>
      </c>
      <c r="B134" s="2" t="inlineStr">
        <is>
          <t>אלמוג דיאגנוסטיקה</t>
        </is>
      </c>
      <c r="C134" s="2" t="inlineStr">
        <is>
          <t>מפיץ</t>
        </is>
      </c>
      <c r="D134" s="2" t="inlineStr">
        <is>
          <t>https://www.almog.co.il</t>
        </is>
      </c>
      <c r="E134" s="2" t="inlineStr"/>
      <c r="F134" s="2" t="inlineStr"/>
      <c r="G134" s="2" t="inlineStr"/>
      <c r="H134" s="2" t="n">
        <v>1</v>
      </c>
      <c r="I134" s="2" t="n">
        <v>26</v>
      </c>
      <c r="J134" s="2" t="inlineStr">
        <is>
          <t>Miltenyi Biotec</t>
        </is>
      </c>
      <c r="K134" s="2" t="inlineStr">
        <is>
          <t>Miltenyi Biotec products in Israel (MACS reagents and instruments incl. MACSQuant flow cytometers) - listed as the Israel distributor on Miltenyi's global distributor page; Shoham, tel. +972 3 977 33 90, info@almog.co.il</t>
        </is>
      </c>
    </row>
    <row r="135">
      <c r="A135" s="2" t="inlineStr">
        <is>
          <t>Yarden Biotec</t>
        </is>
      </c>
      <c r="B135" s="2" t="inlineStr"/>
      <c r="C135" s="2" t="inlineStr">
        <is>
          <t>מפיץ</t>
        </is>
      </c>
      <c r="D135" s="2" t="inlineStr">
        <is>
          <t>https://www.yarden-biotec.co.il</t>
        </is>
      </c>
      <c r="E135" s="2" t="inlineStr"/>
      <c r="F135" s="2" t="inlineStr"/>
      <c r="G135" s="2" t="inlineStr"/>
      <c r="H135" s="2" t="n">
        <v>1</v>
      </c>
      <c r="I135" s="2" t="n">
        <v>39</v>
      </c>
      <c r="J135" s="2" t="inlineStr">
        <is>
          <t>Rigaku Holdings</t>
        </is>
      </c>
      <c r="K135" s="2" t="inlineStr">
        <is>
          <t>Rigaku ED-XRF analysers (e.g. NEX DE VS); XRD channel not confirmed</t>
        </is>
      </c>
    </row>
    <row r="136">
      <c r="A136" s="2" t="inlineStr">
        <is>
          <t>ZEISS Israel / Carl Zeiss SMS Ltd.</t>
        </is>
      </c>
      <c r="B136" s="2" t="inlineStr"/>
      <c r="C136" s="2" t="inlineStr">
        <is>
          <t>חברה-בת</t>
        </is>
      </c>
      <c r="D136" s="2" t="inlineStr">
        <is>
          <t>https://www.zeiss.co.il</t>
        </is>
      </c>
      <c r="E136" s="2" t="inlineStr"/>
      <c r="F136" s="2" t="inlineStr"/>
      <c r="G136" s="2" t="inlineStr"/>
      <c r="H136" s="2" t="n">
        <v>1</v>
      </c>
      <c r="I136" s="2" t="n">
        <v>33</v>
      </c>
      <c r="J136" s="2" t="inlineStr">
        <is>
          <t>Carl Zeiss AG – Research Microscopy Solutions</t>
        </is>
      </c>
      <c r="K136" s="2" t="inlineStr">
        <is>
          <t>Legal entity (publisher) behind the official ZEISS Israel website zeiss.co.il; HaDolev 3, Bar Lev Industrial Park, D.N. Misgav 2015600. The site's contact form lists 'Research Microscopy Solutions' among the product areas it takes inquiries for, but the entity itself is ZEISS's semiconductor (SMS/SMT) unit; a local ZEISS microscopy sales/service team was NOT confirmed.</t>
        </is>
      </c>
    </row>
  </sheetData>
  <autoFilter ref="A1:K1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rightToLeft="1" workbookViewId="0">
      <selection activeCell="A1" sqref="A1"/>
    </sheetView>
  </sheetViews>
  <sheetFormatPr baseColWidth="8" defaultRowHeight="15"/>
  <cols>
    <col width="44" customWidth="1" min="1" max="1"/>
    <col width="14" customWidth="1" min="2" max="2"/>
    <col width="60" customWidth="1" min="3" max="3"/>
  </cols>
  <sheetData>
    <row r="1">
      <c r="A1" s="5" t="inlineStr">
        <is>
          <t>סיכום / Summary</t>
        </is>
      </c>
    </row>
    <row r="2">
      <c r="A2" s="6" t="inlineStr">
        <is>
          <t>נוצר / Generated: 2026-10-15</t>
        </is>
      </c>
    </row>
    <row r="4">
      <c r="A4" s="7" t="inlineStr">
        <is>
          <t>סה״כ יצרנים / Manufacturers</t>
        </is>
      </c>
      <c r="B4" s="8">
        <f>COUNTA(Manufacturers!A2:A101)</f>
        <v/>
      </c>
      <c r="C4" s="9" t="inlineStr"/>
    </row>
    <row r="5">
      <c r="A5" s="7" t="inlineStr">
        <is>
          <t>חברה-בת / משרד של היצרן בישראל (subsidiary)</t>
        </is>
      </c>
      <c r="B5" s="8">
        <f>COUNTIF(Manufacturers!AC2:AC101,"subsidiary")</f>
        <v/>
      </c>
      <c r="C5" s="9" t="inlineStr"/>
    </row>
    <row r="6">
      <c r="A6" s="7" t="inlineStr">
        <is>
          <t>מפיץ / נציג ישראלי (distributor)</t>
        </is>
      </c>
      <c r="B6" s="8">
        <f>COUNTIF(Manufacturers!AC2:AC101,"distributor")</f>
        <v/>
      </c>
      <c r="C6" s="9" t="inlineStr"/>
    </row>
    <row r="7">
      <c r="A7" s="7" t="inlineStr">
        <is>
          <t>נמכר דרך החברה-האם בישראל (parent_subsidiary)</t>
        </is>
      </c>
      <c r="B7" s="8">
        <f>COUNTIF(Manufacturers!AC2:AC101,"parent_subsidiary")</f>
        <v/>
      </c>
      <c r="C7" s="9" t="inlineStr"/>
    </row>
    <row r="8">
      <c r="A8" s="7" t="inlineStr">
        <is>
          <t>לא נמצא ייצוג (none_found)</t>
        </is>
      </c>
      <c r="B8" s="8">
        <f>COUNTIF(Manufacturers!AC2:AC101,"none_found")</f>
        <v/>
      </c>
      <c r="C8" s="9" t="inlineStr"/>
    </row>
    <row r="9">
      <c r="A9" s="7" t="inlineStr">
        <is>
          <t>לא ברור (unclear)</t>
        </is>
      </c>
      <c r="B9" s="8">
        <f>COUNTIF(Manufacturers!AC2:AC101,"unclear")</f>
        <v/>
      </c>
      <c r="C9" s="9" t="inlineStr"/>
    </row>
    <row r="10">
      <c r="A10" s="7" t="inlineStr">
        <is>
          <t>טרם נבדק (pending)</t>
        </is>
      </c>
      <c r="B10" s="8">
        <f>COUNTIF(Manufacturers!AC2:AC101,"pending")</f>
        <v/>
      </c>
      <c r="C10" s="9" t="inlineStr"/>
    </row>
    <row r="11">
      <c r="A11" s="7" t="inlineStr">
        <is>
          <t>אימות: אומת ממקור (verified)</t>
        </is>
      </c>
      <c r="B11" s="8">
        <f>COUNTIF(Manufacturers!AE2:AE101,"verified")</f>
        <v/>
      </c>
      <c r="C11" s="9" t="inlineStr"/>
    </row>
    <row r="12">
      <c r="A12" s="7" t="inlineStr">
        <is>
          <t>אימות: חיפוש חלקי (ללא פתיחת אתרי היצרן/המפיץ) (partial)</t>
        </is>
      </c>
      <c r="B12" s="8">
        <f>COUNTIF(Manufacturers!AE2:AE101,"partial")</f>
        <v/>
      </c>
      <c r="C12" s="9" t="inlineStr"/>
    </row>
    <row r="13">
      <c r="A13" s="7" t="inlineStr">
        <is>
          <t>אימות: ידע קודם, לא אומת מקוון (unverified)</t>
        </is>
      </c>
      <c r="B13" s="8">
        <f>COUNTIF(Manufacturers!AE2:AE101,"unverified")</f>
        <v/>
      </c>
      <c r="C13" s="9" t="inlineStr"/>
    </row>
    <row r="14">
      <c r="A14" s="7" t="inlineStr">
        <is>
          <t>אימות: טרם נבדק (pending)</t>
        </is>
      </c>
      <c r="B14" s="8">
        <f>COUNTIF(Manufacturers!AE2:AE101,"pending")</f>
        <v/>
      </c>
      <c r="C14" s="9" t="inlineStr"/>
    </row>
    <row r="15">
      <c r="A15" s="7" t="inlineStr">
        <is>
          <t>יצרנים עם ייצוג כלשהו בישראל / Any Israeli channel</t>
        </is>
      </c>
      <c r="B15" s="8">
        <f>COUNTIF(Manufacturers!AC2:AC101,"subsidiary")+COUNTIF(Manufacturers!AC2:AC101,"distributor")+COUNTIF(Manufacturers!AC2:AC101,"parent_subsidiary")</f>
        <v/>
      </c>
      <c r="C15" s="9" t="inlineStr"/>
    </row>
    <row r="16">
      <c r="A16" s="7" t="inlineStr">
        <is>
          <t>סה״כ עובדים (היכן שדווח) / Employees total</t>
        </is>
      </c>
      <c r="B16" s="8">
        <f>SUM(Manufacturers!K2:K101)</f>
        <v/>
      </c>
      <c r="C16" s="9" t="inlineStr">
        <is>
          <t>sum of reported/estimated headcounts; parent-level figures inflate the total</t>
        </is>
      </c>
    </row>
    <row r="17">
      <c r="A17" s="7" t="inlineStr">
        <is>
          <t>חציון עובדים / Median employees</t>
        </is>
      </c>
      <c r="B17" s="8">
        <f>MEDIAN(Manufacturers!K2:K101)</f>
        <v/>
      </c>
      <c r="C17" s="9" t="inlineStr"/>
    </row>
    <row r="18">
      <c r="A18" s="7" t="inlineStr">
        <is>
          <t>סה״כ הכנסות מיליוני $ / Revenue USD M total</t>
        </is>
      </c>
      <c r="B18" s="8">
        <f>SUM(Manufacturers!P2:P101)</f>
        <v/>
      </c>
      <c r="C18" s="9" t="inlineStr">
        <is>
          <t>mixes company, segment, parent and estimated figures — indicative only</t>
        </is>
      </c>
    </row>
    <row r="19">
      <c r="A19" s="7" t="inlineStr">
        <is>
          <t>חציון הכנסות מיליוני $ / Median revenue USD M</t>
        </is>
      </c>
      <c r="B19" s="8">
        <f>MEDIAN(Manufacturers!P2:P101)</f>
        <v/>
      </c>
      <c r="C19" s="9" t="inlineStr"/>
    </row>
    <row r="20">
      <c r="A20" s="7" t="inlineStr">
        <is>
          <t>רמת ודאות גבוהה / High confidence</t>
        </is>
      </c>
      <c r="B20" s="8">
        <f>COUNTIF(Manufacturers!AI2:AI101,"high")</f>
        <v/>
      </c>
      <c r="C20" s="9" t="inlineStr"/>
    </row>
    <row r="21">
      <c r="A21" s="7" t="inlineStr">
        <is>
          <t>רמת ודאות בינונית / Medium confidence</t>
        </is>
      </c>
      <c r="B21" s="8">
        <f>COUNTIF(Manufacturers!AI2:AI101,"medium")</f>
        <v/>
      </c>
      <c r="C21" s="9" t="inlineStr"/>
    </row>
    <row r="22">
      <c r="A22" s="7" t="inlineStr">
        <is>
          <t>רמת ודאות נמוכה / Low confidence</t>
        </is>
      </c>
      <c r="B22" s="8">
        <f>COUNTIF(Manufacturers!AI2:AI101,"low")</f>
        <v/>
      </c>
      <c r="C22" s="9" t="inlineStr"/>
    </row>
    <row r="24">
      <c r="A24" s="7" t="inlineStr">
        <is>
          <t>הערות / Notes:</t>
        </is>
      </c>
    </row>
    <row r="25">
      <c r="A25" s="6" t="inlineStr">
        <is>
          <t>• revenue_usd_m: converted at approximate 2025 average FX rates (EUR 1.10, GBP 1.30, CHF 1.17, JPY 0.0067, CNY 0.139, SEK 0.098, SGD 0.76).</t>
        </is>
      </c>
    </row>
    <row r="26">
      <c r="A26" s="6" t="inlineStr">
        <is>
          <t>• size_basis = estimate: private company, figure is a public estimate (see revenue_note / employees_note).</t>
        </is>
      </c>
    </row>
    <row r="27">
      <c r="A27" s="6" t="inlineStr">
        <is>
          <t>• revenue_scope = parent / segment: figure is the parent group's or a business segment's, not the listed brand alone.</t>
        </is>
      </c>
    </row>
    <row r="28">
      <c r="A28" s="6" t="inlineStr">
        <is>
          <t>• israel_presence = none_found: no public evidence of an Israeli channel was found in the research — it does not prove there is none.</t>
        </is>
      </c>
    </row>
    <row r="29">
      <c r="A29" s="6" t="inlineStr">
        <is>
          <t>• Israeli representation changes often; verify with the manufacturer before relying on it commercially.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2026-10-15T06:00:08Z</dcterms:created>
  <dcterms:modified xmlns:dcterms="http://purl.org/dc/terms/" xmlns:xsi="http://www.w3.org/2001/XMLSchema-instance" xsi:type="dcterms:W3CDTF">2026-10-15T06:00:08Z</dcterms:modified>
</cp:coreProperties>
</file>