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חברה-בת בישראל</t>
        </is>
      </c>
      <c r="AE4" t="inlineStr">
        <is>
          <t>חיפוש חלקי</t>
        </is>
      </c>
      <c r="AF4" t="n">
        <v>2015</v>
      </c>
      <c r="AG4" t="inlineStr">
        <is>
          <t>3M Israel</t>
        </is>
      </c>
      <c r="AH4" t="inlineStr">
        <is>
          <t>3M Israel:</t>
        </is>
      </c>
      <c r="AI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J4" t="inlineStr"/>
      <c r="AL4" t="inlineStr">
        <is>
          <t>Maplewood</t>
        </is>
      </c>
      <c r="AO4" t="inlineStr">
        <is>
          <t>Q159433</t>
        </is>
      </c>
      <c r="AP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is>
          <t>0623762748</t>
        </is>
      </c>
      <c r="AK6" t="inlineStr">
        <is>
          <t>info@msafety.nl</t>
        </is>
      </c>
      <c r="AM6" t="inlineStr">
        <is>
          <t>https://msafety.nl/contact#offerte</t>
        </is>
      </c>
      <c r="AN6" t="inlineStr">
        <is>
          <t>https://msafety.nl/contact#offerte</t>
        </is>
      </c>
      <c r="AP6" t="inlineStr">
        <is>
          <t>https://www.thomassci.com/browse-by/suppliers/3m-safety | https://msafety.nl/contact#offerte</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בחיפוש ראשוני</t>
        </is>
      </c>
      <c r="AE7" t="inlineStr">
        <is>
          <t>חיפוש חלקי</t>
        </is>
      </c>
      <c r="AG7" t="inlineStr"/>
      <c r="AH7" t="inlineStr"/>
      <c r="AI7" t="inlineStr">
        <is>
          <t>No result mentioned 4titude; only unrelated Israeli distributor pages (Corning optical, AVM, audio gear).</t>
        </is>
      </c>
      <c r="AJ7" t="inlineStr">
        <is>
          <t>+61413978957</t>
        </is>
      </c>
      <c r="AM7" t="inlineStr">
        <is>
          <t>https://4titude.com.au/contact</t>
        </is>
      </c>
      <c r="AN7" t="inlineStr">
        <is>
          <t>https://4titude.com.au/contact</t>
        </is>
      </c>
      <c r="AP7" t="inlineStr">
        <is>
          <t>https://www.dutscher.com/search?initialFilters=brand:4Titude | https://www.thomassci.com/browse-by/suppliers/4titude | https://4titude.com.au/contact</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בחיפוש ראשוני</t>
        </is>
      </c>
      <c r="AE14" t="inlineStr">
        <is>
          <t>חיפוש חלקי</t>
        </is>
      </c>
      <c r="AG14" t="inlineStr"/>
      <c r="AH14" t="inlineStr"/>
      <c r="AI14" t="inlineStr">
        <is>
          <t>No result mentions Aaron Chemicals; results were Aaron Industries (India) and Israeli specialty-chemical distributors (Lidorr/Azelis, Orokia, Y.S. Ashkenazi/Brenntag, Depotchem) with no link to this supplier.</t>
        </is>
      </c>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is>
          <t>408-733-1304</t>
        </is>
      </c>
      <c r="AM15" t="inlineStr">
        <is>
          <t>https://www.aatbio.com/careers.html</t>
        </is>
      </c>
      <c r="AN15" t="inlineStr">
        <is>
          <t>https://www.aatbio.com/careers.html</t>
        </is>
      </c>
      <c r="AP15" t="inlineStr">
        <is>
          <t>https://www.quartzy.com/suppliers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is>
          <t>80537 979-612</t>
        </is>
      </c>
      <c r="AM19" t="inlineStr">
        <is>
          <t>https://www.abraxisartglass.com/contact-us</t>
        </is>
      </c>
      <c r="AN19" t="inlineStr">
        <is>
          <t>https://www.abraxisartglass.com/contact-us</t>
        </is>
      </c>
      <c r="AP19" t="inlineStr">
        <is>
          <t>https://www.thomassci.com/browse-by/suppliers/abraxis | https://www.abraxisartglass.com/contact-us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is>
          <t>+16613321812</t>
        </is>
      </c>
      <c r="AK25" t="inlineStr">
        <is>
          <t>info@mashfour.com</t>
        </is>
      </c>
      <c r="AM25" t="inlineStr">
        <is>
          <t>https://www.accuflow.com/contact-us/</t>
        </is>
      </c>
      <c r="AN25" t="inlineStr">
        <is>
          <t>https://www.accuflow.com/contact-us/</t>
        </is>
      </c>
      <c r="AP25" t="inlineStr">
        <is>
          <t>https://www.thomassci.com/browse-by/suppliers/accuflow | https://www.accuflow.com/contact-us/</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בחיפוש ראשוני</t>
        </is>
      </c>
      <c r="AE30" t="inlineStr">
        <is>
          <t>חיפוש חלקי</t>
        </is>
      </c>
      <c r="AG30" t="inlineStr"/>
      <c r="AH30" t="inlineStr"/>
      <c r="AI30" t="inlineStr">
        <is>
          <t>Results only describe Ace Glass Inc. (Vineland, NJ) and its US role as a Corning/PYREX regional distributor and reseller of Lauda/IKA/KNF; no Israel mention at all.</t>
        </is>
      </c>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N32" t="inlineStr">
        <is>
          <t>https://www.acrobiosystems.com/</t>
        </is>
      </c>
      <c r="AP32" t="inlineStr">
        <is>
          <t>https://www.quartzy.com/suppliers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בחיפוש ראשוני</t>
        </is>
      </c>
      <c r="AE33" t="inlineStr">
        <is>
          <t>חיפוש חלקי</t>
        </is>
      </c>
      <c r="AG33" t="inlineStr"/>
      <c r="AH33" t="inlineStr"/>
      <c r="AI33" t="inlineStr">
        <is>
          <t>No result mentioned Across International; only generic Israeli distributor/trade-guide pages.</t>
        </is>
      </c>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בחיפוש ראשוני</t>
        </is>
      </c>
      <c r="AE36" t="inlineStr">
        <is>
          <t>חיפוש חלקי</t>
        </is>
      </c>
      <c r="AG36" t="inlineStr"/>
      <c r="AH36" t="inlineStr"/>
      <c r="AI36" t="inlineStr">
        <is>
          <t>No result mentioned Action Health; only unrelated Israeli medical distributors (Medtechnica, Eldan, Promedico, Lapidot, Propharm).</t>
        </is>
      </c>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M37" t="inlineStr">
        <is>
          <t>https://activate.org/contact</t>
        </is>
      </c>
      <c r="AN37" t="inlineStr">
        <is>
          <t>https://activate.org/contact</t>
        </is>
      </c>
      <c r="AP37" t="inlineStr">
        <is>
          <t>https://www.thomassci.com/browse-by/suppliers/activate | https://activate.org/contact</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N39" t="inlineStr">
        <is>
          <t>https://acutecare.com/</t>
        </is>
      </c>
      <c r="AP39" t="inlineStr">
        <is>
          <t>https://www.thomassci.com/browse-by/suppliers/acute-care | https://acutecare.com/</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בחיפוש ראשוני</t>
        </is>
      </c>
      <c r="AE41" t="inlineStr">
        <is>
          <t>חיפוש חלקי</t>
        </is>
      </c>
      <c r="AG41" t="inlineStr"/>
      <c r="AH41" t="inlineStr"/>
      <c r="AI41" t="inlineStr">
        <is>
          <t>Results were only product listings (RS Online, Agar Scientific) and company background claiming a worldwide distributor network; no Israeli distributor named.</t>
        </is>
      </c>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בחיפוש ראשוני</t>
        </is>
      </c>
      <c r="AE47" t="inlineStr">
        <is>
          <t>חיפוש חלקי</t>
        </is>
      </c>
      <c r="AG47" t="inlineStr"/>
      <c r="AH47" t="inlineStr"/>
      <c r="AI47" t="inlineStr">
        <is>
          <t>No result mentions Advansta; the only similar-name hit was ADVANSYS Technologies for Life (Israeli distributor of Genovis, 2010), an unrelated company.</t>
        </is>
      </c>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N49" t="inlineStr">
        <is>
          <t>https://www.advantecmfs.com/</t>
        </is>
      </c>
      <c r="AP49" t="inlineStr">
        <is>
          <t>https://www.thomassci.com/browse-by/suppliers/advantec-mfs | https://www.advantecmfs.com/</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בחיפוש ראשוני</t>
        </is>
      </c>
      <c r="AE62" t="inlineStr">
        <is>
          <t>חיפוש חלקי</t>
        </is>
      </c>
      <c r="AG62" t="inlineStr"/>
      <c r="AH62" t="inlineStr"/>
      <c r="AI62" t="inlineStr">
        <is>
          <t>Results only describe Air-Tite Products (Virginia; exclusive North American distributor for Henke Sass Wolf, TSK, Poulten &amp; Graf) and US resellers (VWR, Thomas Scientific, Fisher); no Israel mention.</t>
        </is>
      </c>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בחיפוש ראשוני</t>
        </is>
      </c>
      <c r="AE66" t="inlineStr">
        <is>
          <t>חיפוש חלקי</t>
        </is>
      </c>
      <c r="AG66" t="inlineStr"/>
      <c r="AH66" t="inlineStr"/>
      <c r="AI66" t="inlineStr">
        <is>
          <t>AK Scientific's own distributors page (aksci.com/distributors.php) lists networks in Asia, Europe, Oceania and South America; Israel is not listed. Agentek/Enco surfaced but without any AK Scientific link.</t>
        </is>
      </c>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בחיפוש ראשוני</t>
        </is>
      </c>
      <c r="AE68" t="inlineStr">
        <is>
          <t>חיפוש חלקי</t>
        </is>
      </c>
      <c r="AG68" t="inlineStr"/>
      <c r="AH68" t="inlineStr"/>
      <c r="AI68" t="inlineStr">
        <is>
          <t>Aladdin's contact page names only US (Riverside CA) and German (Bueren) hubs and has a distributor-recruitment form; Israel not mentioned; Eldan/Agentek appeared with no link.</t>
        </is>
      </c>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בחיפוש ראשוני</t>
        </is>
      </c>
      <c r="AE69" t="inlineStr">
        <is>
          <t>חיפוש חלקי</t>
        </is>
      </c>
      <c r="AG69" t="inlineStr"/>
      <c r="AH69" t="inlineStr"/>
      <c r="AI69" t="inlineStr">
        <is>
          <t>Alconox says its detergents are sold through distributors in 40-50+ countries (and it joined TCP Analytical in 2025), but no Israeli distributor is named in any result.</t>
        </is>
      </c>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K71" t="inlineStr">
        <is>
          <t>info@alere-maastricht.nl</t>
        </is>
      </c>
      <c r="AM71" t="inlineStr">
        <is>
          <t>https://alere-maastricht.nl/contact/</t>
        </is>
      </c>
      <c r="AN71" t="inlineStr">
        <is>
          <t>https://alere-maastricht.nl/contact/</t>
        </is>
      </c>
      <c r="AP71" t="inlineStr">
        <is>
          <t>https://www.thomassci.com/browse-by/suppliers/alere | https://alere-maastricht.nl/contact/</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is>
          <t>630-580-1088</t>
        </is>
      </c>
      <c r="AK89" t="inlineStr">
        <is>
          <t>sales@ambeed.com</t>
        </is>
      </c>
      <c r="AM89" t="inlineStr">
        <is>
          <t>https://www.ambeed.com/contact-us.html</t>
        </is>
      </c>
      <c r="AN89" t="inlineStr">
        <is>
          <t>https://www.ambeed.com/contact-us.html</t>
        </is>
      </c>
      <c r="AP89" t="inlineStr">
        <is>
          <t>https://www.quartzy.com/suppliers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is>
          <t>+4401235828200</t>
        </is>
      </c>
      <c r="AM97" t="inlineStr">
        <is>
          <t>https://www.amsbio.com/contact-us/</t>
        </is>
      </c>
      <c r="AN97" t="inlineStr">
        <is>
          <t>https://www.amsbio.com/contact-us/</t>
        </is>
      </c>
      <c r="AP97" t="inlineStr">
        <is>
          <t>https://www.quartzy.com/suppliers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K105" t="inlineStr">
        <is>
          <t>info@anios.it</t>
        </is>
      </c>
      <c r="AM105" t="inlineStr">
        <is>
          <t>https://www.anios.it/contatti/</t>
        </is>
      </c>
      <c r="AN105" t="inlineStr">
        <is>
          <t>https://www.anios.it/contatti/</t>
        </is>
      </c>
      <c r="AP105" t="inlineStr">
        <is>
          <t>https://www.dutscher.com/search?initialFilters=brand:Anios | https://www.anios.it/contatti/</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בחיפוש ראשוני</t>
        </is>
      </c>
      <c r="AE106" t="inlineStr">
        <is>
          <t>חיפוש חלקי</t>
        </is>
      </c>
      <c r="AG106" t="inlineStr"/>
      <c r="AH106" t="inlineStr"/>
      <c r="AI106" t="inlineStr">
        <is>
          <t>Ansell cites 100+ countries and an authorized-distributor network; only a UK distributor appeared; no Israel mention.</t>
        </is>
      </c>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בחיפוש ראשוני</t>
        </is>
      </c>
      <c r="AE107" t="inlineStr">
        <is>
          <t>חיפוש חלקי</t>
        </is>
      </c>
      <c r="AG107" t="inlineStr"/>
      <c r="AH107" t="inlineStr"/>
      <c r="AI107" t="inlineStr">
        <is>
          <t>antibodiesinc.com has a 'Global Distribution Partners' page but the snippet showed no Israel entry. A 'Zotal (Tel Aviv)' Israel listing surfaced, but it is on antibodies.com (a different UK company), so it is not attributable to Antibodies Inc.</t>
        </is>
      </c>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בחיפוש ראשוני</t>
        </is>
      </c>
      <c r="AE110" t="inlineStr">
        <is>
          <t>חיפוש חלקי</t>
        </is>
      </c>
      <c r="AG110" t="inlineStr"/>
      <c r="AH110" t="inlineStr"/>
      <c r="AI110" t="inlineStr">
        <is>
          <t>Only AOBChem USA company profiles (Knowde, scientist.com); Israeli chemical distributors Orokia and BSC Distributors appeared with no link to AOBChem.</t>
        </is>
      </c>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N117" t="inlineStr">
        <is>
          <t>https://aquafill.mx/</t>
        </is>
      </c>
      <c r="AP117" t="inlineStr">
        <is>
          <t>https://www.thomassci.com/browse-by/suppliers/aquafill | https://aquafill.mx/</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בחיפוש ראשוני</t>
        </is>
      </c>
      <c r="AE129" t="inlineStr">
        <is>
          <t>חיפוש חלקי</t>
        </is>
      </c>
      <c r="AG129" t="inlineStr"/>
      <c r="AH129" t="inlineStr"/>
      <c r="AI129" t="inlineStr">
        <is>
          <t>No result mentions Arvensis at all; hits are generic Israeli distributor pages (Rhenium, Enco, Agentek, Ornat/LI-COR, S.L. Moran) unrelated to Arvensis.</t>
        </is>
      </c>
      <c r="AJ129" t="inlineStr">
        <is>
          <t>3336272208</t>
        </is>
      </c>
      <c r="AM129" t="inlineStr">
        <is>
          <t>https://arvensis.com.mx/contacto/</t>
        </is>
      </c>
      <c r="AN129" t="inlineStr">
        <is>
          <t>https://arvensis.com.mx/contacto/</t>
        </is>
      </c>
      <c r="AP129" t="inlineStr">
        <is>
          <t>https://www.dutscher.com/search?initialFilters=brand:Arvensis | https://www.thomassci.com/browse-by/suppliers/arvensis | https://arvensis.com.mx/contacto/</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is>
          <t>+3180023522937</t>
        </is>
      </c>
      <c r="AK130" t="inlineStr">
        <is>
          <t>info@diabetes.ascensia.nl</t>
        </is>
      </c>
      <c r="AM130" t="inlineStr">
        <is>
          <t>https://www.diabetes.ascensia.nl/support/</t>
        </is>
      </c>
      <c r="AN130" t="inlineStr">
        <is>
          <t>https://www.diabetes.ascensia.nl/support/</t>
        </is>
      </c>
      <c r="AP130" t="inlineStr">
        <is>
          <t>https://www.thomassci.com/browse-by/suppliers/ascensia-diabetes-care | https://www.diabetes.ascensia.nl/support/</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ברור</t>
        </is>
      </c>
      <c r="AE134" t="inlineStr">
        <is>
          <t>חיפוש חלקי</t>
        </is>
      </c>
      <c r="AG134" t="inlineStr"/>
      <c r="AH134" t="inlineStr"/>
      <c r="AI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בחיפוש ראשוני</t>
        </is>
      </c>
      <c r="AE140" t="inlineStr">
        <is>
          <t>חיפוש חלקי</t>
        </is>
      </c>
      <c r="AG140" t="inlineStr"/>
      <c r="AH140" t="inlineStr"/>
      <c r="AI140" t="inlineStr">
        <is>
          <t>No Israeli distributor in results; only ATAGO U.S.A. (subsidiary, Bellevue WA), Avantor/VWR listings and Indian resellers.</t>
        </is>
      </c>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ברור</t>
        </is>
      </c>
      <c r="AE143" t="inlineStr">
        <is>
          <t>חיפוש חלקי</t>
        </is>
      </c>
      <c r="AG143" t="inlineStr"/>
      <c r="AH143" t="inlineStr"/>
      <c r="AI143" t="inlineStr">
        <is>
          <t>No Israeli distributor named; a GlobalData company profile says Atlas markets its products in Israel (among other countries) but no channel is identified. Only older context: 2008 Sigma-Aldrich ex-Europe distribution deal; Bio-Connect for Benelux.</t>
        </is>
      </c>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בחיפוש ראשוני</t>
        </is>
      </c>
      <c r="AE148" t="inlineStr">
        <is>
          <t>חיפוש חלקי</t>
        </is>
      </c>
      <c r="AG148" t="inlineStr"/>
      <c r="AH148" t="inlineStr"/>
      <c r="AI148" t="inlineStr">
        <is>
          <t>Only company profiles (UK/US sites, acquired by ATS 2023); no Israel mention.</t>
        </is>
      </c>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בחיפוש ראשוני</t>
        </is>
      </c>
      <c r="AE154" t="inlineStr">
        <is>
          <t>חיפוש חלקי</t>
        </is>
      </c>
      <c r="AG154" t="inlineStr"/>
      <c r="AH154" t="inlineStr"/>
      <c r="AI154" t="inlineStr">
        <is>
          <t>No result mentions Azura Genomics; hits concern other genomics vendors' Israeli distributors (Eisenberg Bros for Fluidigm, Eldan for Vizgen/Medicinal Genomics, Syntezza for IDT/BGI).</t>
        </is>
      </c>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בחיפוש ראשוני</t>
        </is>
      </c>
      <c r="AE160" t="inlineStr">
        <is>
          <t>חיפוש חלקי</t>
        </is>
      </c>
      <c r="AG160" t="inlineStr"/>
      <c r="AH160" t="inlineStr"/>
      <c r="AI160" t="inlineStr">
        <is>
          <t>No result mentions Bal Supply at all; hits are generic Israeli distributor listings (Rhenium, Tamar Laboratory Supplies, Agentek, Enco, Ornat, Lumitron).</t>
        </is>
      </c>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M163" t="inlineStr">
        <is>
          <t>https://bauschrewards.com/contactus</t>
        </is>
      </c>
      <c r="AN163" t="inlineStr">
        <is>
          <t>https://bauschrewards.com/contactus</t>
        </is>
      </c>
      <c r="AP163" t="inlineStr">
        <is>
          <t>https://www.thomassci.com/browse-by/suppliers/bausch-and-lomb | https://bauschrewards.com/contactus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בחיפוש ראשוני</t>
        </is>
      </c>
      <c r="AE170" t="inlineStr">
        <is>
          <t>חיפוש חלקי</t>
        </is>
      </c>
      <c r="AG170" t="inlineStr"/>
      <c r="AH170" t="inlineStr"/>
      <c r="AI170" t="inlineStr">
        <is>
          <t>Only BEING Scientific (US arm of BEING Technology, Ontario CA) profiles and US resellers (San Diego Scale, Labfilterz); nothing for Israel.</t>
        </is>
      </c>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ברור</t>
        </is>
      </c>
      <c r="AE174" t="inlineStr">
        <is>
          <t>חיפוש חלקי</t>
        </is>
      </c>
      <c r="AG174" t="inlineStr"/>
      <c r="AH174" t="inlineStr"/>
      <c r="AI174" t="inlineStr">
        <is>
          <t>Bellco's company profile (pharmaceutical-tech.com/suppliers/bellco-glass-inc) lists Israel among the countries in its worldwide distributor network, but no result names the Israeli distributor.</t>
        </is>
      </c>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is>
          <t>0141 255 2133</t>
        </is>
      </c>
      <c r="AK176" t="inlineStr">
        <is>
          <t>mail@bemis.org.uk</t>
        </is>
      </c>
      <c r="AM176" t="inlineStr">
        <is>
          <t>https://bemis.org.uk/contact-us/</t>
        </is>
      </c>
      <c r="AN176" t="inlineStr">
        <is>
          <t>https://bemis.org.uk/contact-us/</t>
        </is>
      </c>
      <c r="AP176" t="inlineStr">
        <is>
          <t>https://www.quartzy.com/suppliers | https://bemis.org.uk/contact-us/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N177" t="inlineStr">
        <is>
          <t>https://benchmark.com/</t>
        </is>
      </c>
      <c r="AP177" t="inlineStr">
        <is>
          <t>https://www.dutscher.com/search?initialFilters=brand:Benchmark | https://benchmark.com/</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בחיפוש ראשוני</t>
        </is>
      </c>
      <c r="AE179" t="inlineStr">
        <is>
          <t>חיפוש חלקי</t>
        </is>
      </c>
      <c r="AG179" t="inlineStr"/>
      <c r="AH179" t="inlineStr"/>
      <c r="AI179" t="inlineStr">
        <is>
          <t>BenchPro (US industrial/lab workbench maker) results are US-only (Bench Depot as US distributor, EIS); Israeli distributor pages (Rhenium, Agentek, Enco, S.L. Moran) do not mention BenchPro.</t>
        </is>
      </c>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בחיפוש ראשוני</t>
        </is>
      </c>
      <c r="AE183" t="inlineStr">
        <is>
          <t>חיפוש חלקי</t>
        </is>
      </c>
      <c r="AG183" t="inlineStr"/>
      <c r="AH183" t="inlineStr"/>
      <c r="AI183" t="inlineStr">
        <is>
          <t>Bertin Technologies cites a network of ~50 distributors worldwide, but results name none for Israel (only VWR, ThomasSci, Szabo-Scandic product pages).</t>
        </is>
      </c>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מפיץ/נציג בישראל</t>
        </is>
      </c>
      <c r="AE191" t="inlineStr">
        <is>
          <t>חיפוש חלקי</t>
        </is>
      </c>
      <c r="AF191" t="n">
        <v>2026</v>
      </c>
      <c r="AG191" t="inlineStr">
        <is>
          <t>Syntezza Bioscience Ltd</t>
        </is>
      </c>
      <c r="AH191" t="inlineStr">
        <is>
          <t>Syntezza Bioscience Ltd:</t>
        </is>
      </c>
      <c r="AI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J191" t="inlineStr"/>
      <c r="AP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בחיפוש ראשוני</t>
        </is>
      </c>
      <c r="AE192" t="inlineStr">
        <is>
          <t>חיפוש חלקי</t>
        </is>
      </c>
      <c r="AG192" t="inlineStr"/>
      <c r="AH192" t="inlineStr"/>
      <c r="AI192" t="inlineStr">
        <is>
          <t>Bio Plas Inc. (California) sells exclusively through a B2B distributor network; results name only US resellers (MAP Medical). The Israeli 'Bio-Lab Ltd' (Jerusalem) hit is an unrelated name match.</t>
        </is>
      </c>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בחיפוש ראשוני</t>
        </is>
      </c>
      <c r="AE197" t="inlineStr">
        <is>
          <t>חיפוש חלקי</t>
        </is>
      </c>
      <c r="AG197" t="inlineStr"/>
      <c r="AH197" t="inlineStr"/>
      <c r="AI197" t="inlineStr">
        <is>
          <t>Harvard Bioscience (owner of Biochrom) has a 'Where to Buy' distributor directory (harvardbioscience.com/contact-us/where-to-buy) but no Israel entry was visible in the results; no Israeli distributor named.</t>
        </is>
      </c>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בחיפוש ראשוני</t>
        </is>
      </c>
      <c r="AE204" t="inlineStr">
        <is>
          <t>חיפוש חלקי</t>
        </is>
      </c>
      <c r="AG204" t="inlineStr"/>
      <c r="AH204" t="inlineStr"/>
      <c r="AI204" t="inlineStr">
        <is>
          <t>Results only show Biologix (Jinan, China; BIOLOGIX/CryoKING brands, heavy private-label OEM) catalogs and profiles plus unrelated Israeli distributor pages (Rhenium, Agentek, Medix Biochemica's Petach Tikva partner); nothing links any Israeli company to Biologix.</t>
        </is>
      </c>
      <c r="AJ204" t="inlineStr">
        <is>
          <t>+55 11 3035-1211</t>
        </is>
      </c>
      <c r="AN204" t="inlineStr">
        <is>
          <t>https://www.biologix.com.br:443/</t>
        </is>
      </c>
      <c r="AP204" t="inlineStr">
        <is>
          <t>https://www.dutscher.com/search?initialFilters=brand:Biologix | https://www.quartzy.com/suppliers | https://www.thomassci.com/browse-by/suppliers/biologix | https://www.biologix.com.br:443/</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בחיפוש ראשוני</t>
        </is>
      </c>
      <c r="AE206" t="inlineStr">
        <is>
          <t>חיפוש חלקי</t>
        </is>
      </c>
      <c r="AG206" t="inlineStr"/>
      <c r="AH206" t="inlineStr"/>
      <c r="AI206" t="inlineStr">
        <is>
          <t>Only the company's SelectScience profile (Gardner, MA) and unrelated Israeli distributors (Enco, Agentek, Tivan for OZ Biosciences, Ornat); no connection found.</t>
        </is>
      </c>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בחיפוש ראשוני</t>
        </is>
      </c>
      <c r="AE207" t="inlineStr">
        <is>
          <t>חיפוש חלקי</t>
        </is>
      </c>
      <c r="AG207" t="inlineStr"/>
      <c r="AH207" t="inlineStr"/>
      <c r="AI207" t="inlineStr">
        <is>
          <t>No result mentioned Biomiga at all; only unrelated Israeli distributors (Enco, Agentek, Biotron, Syntezza) surfaced.</t>
        </is>
      </c>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N208" t="inlineStr">
        <is>
          <t>https://bioneer.com/</t>
        </is>
      </c>
      <c r="AP208" t="inlineStr">
        <is>
          <t>https://www.thomassci.com/browse-by/suppliers/bioneer | https://bioneer.com/</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is>
          <t>+1 (415) 906-5211</t>
        </is>
      </c>
      <c r="AK213" t="inlineStr">
        <is>
          <t>info@biorbyt.com</t>
        </is>
      </c>
      <c r="AM213" t="inlineStr">
        <is>
          <t>https://www.biorbyt.com/contact-us</t>
        </is>
      </c>
      <c r="AN213" t="inlineStr">
        <is>
          <t>https://www.biorbyt.com/contact-us</t>
        </is>
      </c>
      <c r="AP213" t="inlineStr">
        <is>
          <t>https://www.quartzy.com/suppliers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is>
          <t>083 793 4898</t>
        </is>
      </c>
      <c r="AK216" t="inlineStr">
        <is>
          <t>info@bio-solve.co.za</t>
        </is>
      </c>
      <c r="AM216" t="inlineStr">
        <is>
          <t>https://bio-solve.co.za/contact-us/</t>
        </is>
      </c>
      <c r="AN216" t="inlineStr">
        <is>
          <t>https://bio-solve.co.za/contact-us/</t>
        </is>
      </c>
      <c r="AP216" t="inlineStr">
        <is>
          <t>https://www.dutscher.com/search?initialFilters=brand:Biosolve | https://bio-solve.co.za/contact-us/</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בחיפוש ראשוני</t>
        </is>
      </c>
      <c r="AE217" t="inlineStr">
        <is>
          <t>חיפוש חלקי</t>
        </is>
      </c>
      <c r="AG217" t="inlineStr"/>
      <c r="AH217" t="inlineStr"/>
      <c r="AI217" t="inlineStr">
        <is>
          <t>BioSpec Products' distributor page (biospec.com/distributors) lists partners by country but the visible part stopped at China; Israeli distributors Enco, Rhenium, Syntezza appeared without any link to BioSpec. Target site biospec.de may be a different company.</t>
        </is>
      </c>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מפיץ/נציג בישראל</t>
        </is>
      </c>
      <c r="AE220" t="inlineStr">
        <is>
          <t>חיפוש חלקי</t>
        </is>
      </c>
      <c r="AF220" t="n">
        <v>2026</v>
      </c>
      <c r="AG220" t="inlineStr">
        <is>
          <t>Doron Scientific; Enco Scientific Services Ltd. (Enco Diagnostics); New Biotechnology Ltd; Origolab Ltd</t>
        </is>
      </c>
      <c r="AH220" t="inlineStr">
        <is>
          <t>Doron Scientific: +972-54-554-4004; Enco Scientific Services Ltd. (Enco Diagnostics):; New Biotechnology Ltd: +972-2-673-2001 nbtsales@nbtltd.com; Origolab Ltd: +972-2-566-9285 origolab@netmedia.net.il</t>
        </is>
      </c>
      <c r="AI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J220" t="inlineStr"/>
      <c r="AP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בחיפוש ראשוני</t>
        </is>
      </c>
      <c r="AE223" t="inlineStr">
        <is>
          <t>חיפוש חלקי</t>
        </is>
      </c>
      <c r="AG223" t="inlineStr"/>
      <c r="AH223" t="inlineStr"/>
      <c r="AI223" t="inlineStr">
        <is>
          <t>bioWORLD (Dublin, OH) claims distribution partners in 45 countries but none named for Israel; results polluted by the BioWorld news publication; Enco appeared with no link.</t>
        </is>
      </c>
      <c r="AJ223" t="inlineStr"/>
      <c r="AN223" t="inlineStr">
        <is>
          <t>https://www.bioworld.com/</t>
        </is>
      </c>
      <c r="AP223" t="inlineStr">
        <is>
          <t>https://www.quartzy.com/suppliers | https://www.thomassci.com/browse-by/suppliers/bioworld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בחיפוש ראשוני</t>
        </is>
      </c>
      <c r="AE229" t="inlineStr">
        <is>
          <t>חיפוש חלקי</t>
        </is>
      </c>
      <c r="AG229" t="inlineStr"/>
      <c r="AH229" t="inlineStr"/>
      <c r="AI229" t="inlineStr">
        <is>
          <t>No result mentions Blue-Ray Biotech; hits are generic Israeli distributor profiles (Enco, Agentek, Eldan, Rhenium, Ornat) and unrelated press releases.</t>
        </is>
      </c>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בחיפוש ראשוני</t>
        </is>
      </c>
      <c r="AE231" t="inlineStr">
        <is>
          <t>חיפוש חלקי</t>
        </is>
      </c>
      <c r="AG231" t="inlineStr"/>
      <c r="AH231" t="inlineStr"/>
      <c r="AI231" t="inlineStr">
        <is>
          <t>Boekel Scientific cites a worldwide distribution network, but the results did not include its distributor list or any Israeli partner (Agentek surfaced without a Boekel link).</t>
        </is>
      </c>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is>
          <t>888-466-3604</t>
        </is>
      </c>
      <c r="AK237" t="inlineStr">
        <is>
          <t>sales@bosterbio.com</t>
        </is>
      </c>
      <c r="AM237" t="inlineStr">
        <is>
          <t>https://www.bosterbio.com/contact-us</t>
        </is>
      </c>
      <c r="AN237" t="inlineStr">
        <is>
          <t>https://www.bosterbio.com/contact-us</t>
        </is>
      </c>
      <c r="AP237" t="inlineStr">
        <is>
          <t>https://www.quartzy.com/suppliers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בחיפוש ראשוני</t>
        </is>
      </c>
      <c r="AE239" t="inlineStr">
        <is>
          <t>חיפוש חלקי</t>
        </is>
      </c>
      <c r="AG239" t="inlineStr"/>
      <c r="AH239" t="inlineStr"/>
      <c r="AI239" t="inlineStr">
        <is>
          <t>Only Israel hit was Boston Scientific / Amos Gazit (2014), a different company; Boston BioProducts profiles mention no Israeli partner.</t>
        </is>
      </c>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בחיפוש ראשוני</t>
        </is>
      </c>
      <c r="AE245" t="inlineStr">
        <is>
          <t>חיפוש חלקי</t>
        </is>
      </c>
      <c r="AG245" t="inlineStr"/>
      <c r="AH245" t="inlineStr"/>
      <c r="AI245" t="inlineStr">
        <is>
          <t>Only US parts-distributor listings and a 2016 Brady laboratory-identification catalog with regional contacts (visible portion excluded Israel).</t>
        </is>
      </c>
      <c r="AJ245" t="inlineStr">
        <is>
          <t>202-370-8100</t>
        </is>
      </c>
      <c r="AM245" t="inlineStr">
        <is>
          <t>https://www.bradyunited.org/contact</t>
        </is>
      </c>
      <c r="AN245" t="inlineStr">
        <is>
          <t>https://www.bradyunited.org/contact</t>
        </is>
      </c>
      <c r="AP245" t="inlineStr">
        <is>
          <t>https://www.dutscher.com/search?initialFilters=brand:Brady | https://www.quartzy.com/suppliers | https://www.bradyunited.org/contact</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N252" t="inlineStr">
        <is>
          <t>https://brenntagpacific.com/</t>
        </is>
      </c>
      <c r="AP252" t="inlineStr">
        <is>
          <t>https://www.thomassci.com/browse-by/suppliers/brenntag-pacific | https://brenntagpacific.com/</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בחיפוש ראשוני</t>
        </is>
      </c>
      <c r="AE263" t="inlineStr">
        <is>
          <t>חיפוש חלקי</t>
        </is>
      </c>
      <c r="AG263" t="inlineStr"/>
      <c r="AH263" t="inlineStr"/>
      <c r="AI263" t="inlineStr">
        <is>
          <t>Only Buerkle GmbH's own site (country-selector distributor page) and trade-fair/company profiles; no Israeli partner shown in the results.</t>
        </is>
      </c>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בחיפוש ראשוני</t>
        </is>
      </c>
      <c r="AE268" t="inlineStr">
        <is>
          <t>חיפוש חלקי</t>
        </is>
      </c>
      <c r="AG268" t="inlineStr"/>
      <c r="AH268" t="inlineStr"/>
      <c r="AI268" t="inlineStr">
        <is>
          <t>Only a Fisher Scientific brand page for Cadence Science Inc. (animal feeding needles); all Israel hits concern Cadence Design Systems (EDA software, Haifa) - unrelated.</t>
        </is>
      </c>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is>
          <t>1132874446</t>
        </is>
      </c>
      <c r="AK273" t="inlineStr">
        <is>
          <t>info@cambridge-diagnostics.pl</t>
        </is>
      </c>
      <c r="AM273" t="inlineStr">
        <is>
          <t>https://cambridge-diagnostics.pl/kontakt/</t>
        </is>
      </c>
      <c r="AN273" t="inlineStr">
        <is>
          <t>https://cambridge-diagnostics.pl/kontakt/</t>
        </is>
      </c>
      <c r="AP273" t="inlineStr">
        <is>
          <t>https://www.thomassci.com/browse-by/suppliers/cambridge-diagnostic | https://cambridge-diagnostics.pl/kontakt/</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בחיפוש ראשוני</t>
        </is>
      </c>
      <c r="AE284" t="inlineStr">
        <is>
          <t>חיפוש חלקי</t>
        </is>
      </c>
      <c r="AG284" t="inlineStr"/>
      <c r="AH284" t="inlineStr"/>
      <c r="AI284" t="inlineStr">
        <is>
          <t>Only manufacturer (Carver/ACS Group) and US reseller pages (VWR, CCSI, American Laboratory Trading); nothing for Israel.</t>
        </is>
      </c>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ברור</t>
        </is>
      </c>
      <c r="AE286" t="inlineStr">
        <is>
          <t>חיפוש חלקי</t>
        </is>
      </c>
      <c r="AG286" t="inlineStr"/>
      <c r="AH286" t="inlineStr"/>
      <c r="AI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בחיפוש ראשוני</t>
        </is>
      </c>
      <c r="AE302" t="inlineStr">
        <is>
          <t>חיפוש חלקי</t>
        </is>
      </c>
      <c r="AG302" t="inlineStr"/>
      <c r="AH302" t="inlineStr"/>
      <c r="AI302" t="inlineStr">
        <is>
          <t>Only US wholesaler listings (MAP Medical) and unrelated Israeli distributors; no CELLTREAT Israel link.</t>
        </is>
      </c>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בחיפוש ראשוני</t>
        </is>
      </c>
      <c r="AE318" t="inlineStr">
        <is>
          <t>חיפוש חלקי</t>
        </is>
      </c>
      <c r="AG318" t="inlineStr"/>
      <c r="AH318" t="inlineStr"/>
      <c r="AI318" t="inlineStr">
        <is>
          <t>Chemglass Life Sciences 2026 capabilities PDFs and company profile only; Agentek appeared in results with no stated link to Chemglass.</t>
        </is>
      </c>
      <c r="AJ318" t="inlineStr">
        <is>
          <t>1282 839600</t>
        </is>
      </c>
      <c r="AK318" t="inlineStr">
        <is>
          <t>enquiries@chemglass.co.uk</t>
        </is>
      </c>
      <c r="AM318" t="inlineStr">
        <is>
          <t>https://www.chemglass.co.uk/contact/</t>
        </is>
      </c>
      <c r="AN318" t="inlineStr">
        <is>
          <t>https://www.chemglass.co.uk/contact/</t>
        </is>
      </c>
      <c r="AP318" t="inlineStr">
        <is>
          <t>https://www.quartzy.com/suppliers | https://www.thomassci.com/browse-by/suppliers/chemglass | https://www.chemglass.co.uk/contact/</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בחיפוש ראשוני</t>
        </is>
      </c>
      <c r="AE359" t="inlineStr">
        <is>
          <t>חיפוש חלקי</t>
        </is>
      </c>
      <c r="AG359" t="inlineStr"/>
      <c r="AH359" t="inlineStr"/>
      <c r="AI359" t="inlineStr">
        <is>
          <t>Results cover Copan's global deals (bioMerieux exclusive worldwide for certain swabs, 2007; Beckman Coulter amendment for 21 markets; Thermo Fisher US-only for WASP) and US/AU resellers; no Israeli distributor named.</t>
        </is>
      </c>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N360" t="inlineStr">
        <is>
          <t>https://shop.copeland.band/</t>
        </is>
      </c>
      <c r="AP360" t="inlineStr">
        <is>
          <t>https://www.thomassci.com/browse-by/suppliers/copeland | https://shop.copeland.band/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is>
          <t>07203155203431</t>
        </is>
      </c>
      <c r="AK365" t="inlineStr">
        <is>
          <t>info@cowieenvironmental.com.au</t>
        </is>
      </c>
      <c r="AM365" t="inlineStr">
        <is>
          <t>https://cowieenvironmental.com.au/contact-us/</t>
        </is>
      </c>
      <c r="AN365" t="inlineStr">
        <is>
          <t>https://cowieenvironmental.com.au/contact-us/</t>
        </is>
      </c>
      <c r="AP365" t="inlineStr">
        <is>
          <t>https://www.dutscher.com/search?initialFilters=brand:Cowie | https://cowieenvironmental.com.au/contact-us/</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is>
          <t>7812782300</t>
        </is>
      </c>
      <c r="AM369" t="inlineStr">
        <is>
          <t>https://www.cramer.com/about/contact-us/</t>
        </is>
      </c>
      <c r="AN369" t="inlineStr">
        <is>
          <t>https://www.cramer.com/about/contact-us/</t>
        </is>
      </c>
      <c r="AP369" t="inlineStr">
        <is>
          <t>https://www.thomassci.com/browse-by/suppliers/cramer | https://www.cramer.com/about/contact-us/</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בחיפוש ראשוני</t>
        </is>
      </c>
      <c r="AE378" t="inlineStr">
        <is>
          <t>חיפוש חלקי</t>
        </is>
      </c>
      <c r="AG378" t="inlineStr"/>
      <c r="AH378" t="inlineStr"/>
      <c r="AI378" t="inlineStr">
        <is>
          <t>No result connected Crystal Technologies (lab supplier) to an Israeli channel; only generic Israeli lab distributors (Rhenium, Agentek, Enco, S.L. Moran, Ornat) and an unrelated press release about A-Crystal Electronic Technology/Paradox Israel.</t>
        </is>
      </c>
      <c r="AJ378" t="inlineStr">
        <is>
          <t>9594046665</t>
        </is>
      </c>
      <c r="AM378" t="inlineStr">
        <is>
          <t>https://ctindia.co.in/contact-us/</t>
        </is>
      </c>
      <c r="AN378" t="inlineStr">
        <is>
          <t>https://ctindia.co.in/contact-us/</t>
        </is>
      </c>
      <c r="AP378" t="inlineStr">
        <is>
          <t>https://www.quartzy.com/suppliers | https://www.thomassci.com/browse-by/suppliers/crystal-technologies | https://ctindia.co.in/contact-us/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בחיפוש ראשוני</t>
        </is>
      </c>
      <c r="AE379" t="inlineStr">
        <is>
          <t>חיפוש חלקי</t>
        </is>
      </c>
      <c r="AG379" t="inlineStr"/>
      <c r="AH379" t="inlineStr"/>
      <c r="AI379" t="inlineStr">
        <is>
          <t>Only a GlobalData profile of Crystalgen (Commack, NY); Israeli distributors in results (Enco, Agentek) not linked to Crystalgen.</t>
        </is>
      </c>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is>
          <t>06108-3666</t>
        </is>
      </c>
      <c r="AK384" t="inlineStr">
        <is>
          <t>info@cube-biotech.com</t>
        </is>
      </c>
      <c r="AM384" t="inlineStr">
        <is>
          <t>https://cube-biotech.com/contact/</t>
        </is>
      </c>
      <c r="AN384" t="inlineStr">
        <is>
          <t>https://cube-biotech.com/contact/</t>
        </is>
      </c>
      <c r="AP384" t="inlineStr">
        <is>
          <t>https://www.quartzy.com/suppliers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בחיפוש ראשוני</t>
        </is>
      </c>
      <c r="AE393" t="inlineStr">
        <is>
          <t>חיפוש חלקי</t>
        </is>
      </c>
      <c r="AG393" t="inlineStr"/>
      <c r="AH393" t="inlineStr"/>
      <c r="AI393" t="inlineStr">
        <is>
          <t>Results describe Decon Labs (US cleaning/disinfection products, 'one of North America's leading suppliers'); Israeli distributor pages (Enco, Agentek, Rhenium) do not mention Decon.</t>
        </is>
      </c>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is>
          <t>973-625-3025</t>
        </is>
      </c>
      <c r="AM398" t="inlineStr">
        <is>
          <t>https://denvillefamilycounseling.com/contact-us/</t>
        </is>
      </c>
      <c r="AN398" t="inlineStr">
        <is>
          <t>https://denvillefamilycounseling.com/contact-us/</t>
        </is>
      </c>
      <c r="AP398" t="inlineStr">
        <is>
          <t>https://www.thomassci.com/browse-by/suppliers/denville | https://denvillefamilycounseling.com/contact-us/</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בחיפוש ראשוני</t>
        </is>
      </c>
      <c r="AE405" t="inlineStr">
        <is>
          <t>חיפוש חלקי</t>
        </is>
      </c>
      <c r="AG405" t="inlineStr"/>
      <c r="AH405" t="inlineStr"/>
      <c r="AI405" t="inlineStr">
        <is>
          <t>No Israel link in results (company profiles only); unrelated Israeli distributors Eldan and Agentek surfaced.</t>
        </is>
      </c>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בחיפוש ראשוני</t>
        </is>
      </c>
      <c r="AE413" t="inlineStr">
        <is>
          <t>חיפוש חלקי</t>
        </is>
      </c>
      <c r="AG413" t="inlineStr"/>
      <c r="AH413" t="inlineStr"/>
      <c r="AI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בחיפוש ראשוני</t>
        </is>
      </c>
      <c r="AE417" t="inlineStr">
        <is>
          <t>חיפוש חלקי</t>
        </is>
      </c>
      <c r="AG417" t="inlineStr"/>
      <c r="AH417" t="inlineStr"/>
      <c r="AI417" t="inlineStr">
        <is>
          <t>DuPont Tyvek contact directory and converter/distributor lists appeared but no Israel entry visible; only Brazil/Mexico (IIMAK) and US deals named.</t>
        </is>
      </c>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בחיפוש ראשוני</t>
        </is>
      </c>
      <c r="AE425" t="inlineStr">
        <is>
          <t>חיפוש חלקי</t>
        </is>
      </c>
      <c r="AG425" t="inlineStr"/>
      <c r="AH425" t="inlineStr"/>
      <c r="AI425" t="inlineStr">
        <is>
          <t>No result mentions Dynalon; 'DYN Diagnostics' (Caesarea, Roche IVD representative) and Eldan hits are unrelated name/industry matches.</t>
        </is>
      </c>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בחיפוש ראשוני</t>
        </is>
      </c>
      <c r="AE434" t="inlineStr">
        <is>
          <t>חיפוש חלקי</t>
        </is>
      </c>
      <c r="AG434" t="inlineStr"/>
      <c r="AH434" t="inlineStr"/>
      <c r="AI434" t="inlineStr">
        <is>
          <t>No result mentions Eagle Thermoplastics; hits are Albis Distribution (polymer distributor opening a Tel Aviv subsidiary) and Eagle Plastics UK - unrelated.</t>
        </is>
      </c>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בחיפוש ראשוני</t>
        </is>
      </c>
      <c r="AE448" t="inlineStr">
        <is>
          <t>חיפוש חלקי</t>
        </is>
      </c>
      <c r="AG448" t="inlineStr"/>
      <c r="AH448" t="inlineStr"/>
      <c r="AI448" t="inlineStr">
        <is>
          <t>Eisco's sales page (eiscolabs.com/pages/sales) routes buyers to regional contacts (Asia/Middle East/Africa) and customer support; no Israeli distributor named. Biotium's Middle East list (Doron Scientific, Enco, New Biotechnology, Origolab) is unrelated.</t>
        </is>
      </c>
      <c r="AJ448" t="inlineStr">
        <is>
          <t>+201018719799</t>
        </is>
      </c>
      <c r="AK448" t="inlineStr">
        <is>
          <t>sales@eis-co.com</t>
        </is>
      </c>
      <c r="AM448" t="inlineStr">
        <is>
          <t>https://eis-co.com/contact.html</t>
        </is>
      </c>
      <c r="AN448" t="inlineStr">
        <is>
          <t>https://eis-co.com/contact.html</t>
        </is>
      </c>
      <c r="AP448" t="inlineStr">
        <is>
          <t>https://www.quartzy.com/suppliers | https://www.thomassci.com/browse-by/suppliers/eisco | https://eis-co.com/contact.html</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בחיפוש ראשוני</t>
        </is>
      </c>
      <c r="AE455" t="inlineStr">
        <is>
          <t>חיפוש חלקי</t>
        </is>
      </c>
      <c r="AG455" t="inlineStr"/>
      <c r="AH455" t="inlineStr"/>
      <c r="AI455" t="inlineStr">
        <is>
          <t>Ellsworth's own list of countries where it has a presence (job-board page) does not include Israel; no Israeli distributor found.</t>
        </is>
      </c>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בחיפוש ראשוני</t>
        </is>
      </c>
      <c r="AE456" t="inlineStr">
        <is>
          <t>חיפוש חלקי</t>
        </is>
      </c>
      <c r="AG456" t="inlineStr"/>
      <c r="AH456" t="inlineStr"/>
      <c r="AI456" t="inlineStr">
        <is>
          <t>Elma Schmidbauer GmbH (Singen) sells in 80+ countries via distributors (DKSH, VWR listings); no Israel mention. Target website elmaz.com is wrong (elma-ultrasonic.com).</t>
        </is>
      </c>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N463" t="inlineStr">
        <is>
          <t>https://enas.co/</t>
        </is>
      </c>
      <c r="AP463" t="inlineStr">
        <is>
          <t>https://www.quartzy.com/suppliers | https://enas.co/</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בחיפוש ראשוני</t>
        </is>
      </c>
      <c r="AE465" t="inlineStr">
        <is>
          <t>חיפוש חלקי</t>
        </is>
      </c>
      <c r="AG465" t="inlineStr"/>
      <c r="AH465" t="inlineStr"/>
      <c r="AI465" t="inlineStr">
        <is>
          <t>Results show Environmental Express (Charleston, SC) with distributors in NZ (John Morris Group) and via Core &amp; Main; Israeli hits (Chemitron, Veridis) are unrelated and do not mention the brand.</t>
        </is>
      </c>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בחיפוש ראשוני</t>
        </is>
      </c>
      <c r="AE472" t="inlineStr">
        <is>
          <t>חיפוש חלקי</t>
        </is>
      </c>
      <c r="AG472" t="inlineStr"/>
      <c r="AH472" t="inlineStr"/>
      <c r="AI472" t="inlineStr">
        <is>
          <t>Only Epredia distribution deals for US/UK/Germany/Japan (Lunaphore LabSat, Paige, Aiforia, Medline); nothing for Israel.</t>
        </is>
      </c>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בחיפוש ראשוני</t>
        </is>
      </c>
      <c r="AE477" t="inlineStr">
        <is>
          <t>חיפוש חלקי</t>
        </is>
      </c>
      <c r="AG477" t="inlineStr"/>
      <c r="AH477" t="inlineStr"/>
      <c r="AI477" t="inlineStr">
        <is>
          <t>Erlab reports a dealer network in 40+ countries, none named for Israel; the Nanomix 'eLab'/Biotron Ltd (2022) hit is an unrelated company; Eldan/Rhenium appeared with no link.</t>
        </is>
      </c>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בחיפוש ראשוני</t>
        </is>
      </c>
      <c r="AE480" t="inlineStr">
        <is>
          <t>חיפוש חלקי</t>
        </is>
      </c>
      <c r="AG480" t="inlineStr"/>
      <c r="AH480" t="inlineStr"/>
      <c r="AI480" t="inlineStr">
        <is>
          <t>Ethos Biosciences (Logan Township, NJ; Ott Group) distributes via sister companies; Israeli hits (Enco, Eldan, Tivan/OZ Biosciences release) do not mention Ethos.</t>
        </is>
      </c>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בחיפוש ראשוני</t>
        </is>
      </c>
      <c r="AE486" t="inlineStr">
        <is>
          <t>חיפוש חלקי</t>
        </is>
      </c>
      <c r="AG486" t="inlineStr"/>
      <c r="AH486" t="inlineStr"/>
      <c r="AI486" t="inlineStr">
        <is>
          <t>Only company profiles (Victorville, CA) and a New Zealand distributor (Mediray); no Israeli entity connected.</t>
        </is>
      </c>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בחיפוש ראשוני</t>
        </is>
      </c>
      <c r="AE490" t="inlineStr">
        <is>
          <t>חיפוש חלקי</t>
        </is>
      </c>
      <c r="AG490" t="inlineStr"/>
      <c r="AH490" t="inlineStr"/>
      <c r="AI490" t="inlineStr">
        <is>
          <t>Distributors named only for Australia/NZ (ATA Scientific) and UK/Ireland (Analytik); Israeli distributors Enco/Eldan appeared with no link to EXODUS Bio.</t>
        </is>
      </c>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בחיפוש ראשוני</t>
        </is>
      </c>
      <c r="AE494" t="inlineStr">
        <is>
          <t>חיפוש חלקי</t>
        </is>
      </c>
      <c r="AG494" t="inlineStr"/>
      <c r="AH494" t="inlineStr"/>
      <c r="AI494" t="inlineStr">
        <is>
          <t>No result mentions EZ Biosystems; hits concern other companies' Israeli distributors (Eldan for Element Biosciences, Tivan Biotech for OZ Biosciences, Eisenberg Bros for Fluidigm, Rhenium for Life Technologies).</t>
        </is>
      </c>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בחיפוש ראשוני</t>
        </is>
      </c>
      <c r="AE497" t="inlineStr">
        <is>
          <t>חיפוש חלקי</t>
        </is>
      </c>
      <c r="AG497" t="inlineStr"/>
      <c r="AH497" t="inlineStr"/>
      <c r="AI497" t="inlineStr">
        <is>
          <t>Searched as Corning's Falcon labware brand: Corning APAC/NA distributor pages and Falcon product sheets surfaced; no Israel distributor listed in results.</t>
        </is>
      </c>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בחיפוש ראשוני</t>
        </is>
      </c>
      <c r="AE499" t="inlineStr">
        <is>
          <t>חיפוש חלקי</t>
        </is>
      </c>
      <c r="AG499" t="inlineStr"/>
      <c r="AH499" t="inlineStr"/>
      <c r="AI499" t="inlineStr">
        <is>
          <t>Only a Cedarlane supplier page; the 'Neurotechnology' distributor page listing Israel is a different company; Eldan/AMI Technologies appeared with no link.</t>
        </is>
      </c>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בחיפוש ראשוני</t>
        </is>
      </c>
      <c r="AE502" t="inlineStr">
        <is>
          <t>חיפוש חלקי</t>
        </is>
      </c>
      <c r="AG502" t="inlineStr"/>
      <c r="AH502" t="inlineStr"/>
      <c r="AI502" t="inlineStr">
        <is>
          <t>No results about the company at all; only unrelated Israeli filtration/water pages.</t>
        </is>
      </c>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is>
          <t>+1800-521-2109</t>
        </is>
      </c>
      <c r="AN503" t="inlineStr">
        <is>
          <t>https://finescience.com/</t>
        </is>
      </c>
      <c r="AP503" t="inlineStr">
        <is>
          <t>https://www.quartzy.com/suppliers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בחיפוש ראשוני</t>
        </is>
      </c>
      <c r="AE506" t="inlineStr">
        <is>
          <t>חיפוש חלקי</t>
        </is>
      </c>
      <c r="AG506" t="inlineStr"/>
      <c r="AH506" t="inlineStr"/>
      <c r="AI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בחיפוש ראשוני</t>
        </is>
      </c>
      <c r="AE513" t="inlineStr">
        <is>
          <t>חיפוש חלקי</t>
        </is>
      </c>
      <c r="AG513" t="inlineStr"/>
      <c r="AH513" t="inlineStr"/>
      <c r="AI513" t="inlineStr">
        <is>
          <t>Foxx results cover its Netherlands EU distribution centre, North American master-distribution deals (Ami Polymer, Abdos, Borosil) and a Thomas Scientific agreement; no Israel mention.</t>
        </is>
      </c>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בחיפוש ראשוני</t>
        </is>
      </c>
      <c r="AE518" t="inlineStr">
        <is>
          <t>חיפוש חלקי</t>
        </is>
      </c>
      <c r="AG518" t="inlineStr"/>
      <c r="AH518" t="inlineStr"/>
      <c r="AI518" t="inlineStr">
        <is>
          <t>FroggaBio is itself a Canadian distributor (Concord, ON); no Israel channel found. BioLamina's distributor page lists Almog Diagnostic for Israel, which is unrelated to FroggaBio.</t>
        </is>
      </c>
      <c r="AJ518" t="inlineStr">
        <is>
          <t>877-318-7277</t>
        </is>
      </c>
      <c r="AK518" t="inlineStr">
        <is>
          <t>info@froggabio.com</t>
        </is>
      </c>
      <c r="AM518" t="inlineStr">
        <is>
          <t>https://www.froggabio.com/usastoreview/contact/</t>
        </is>
      </c>
      <c r="AN518" t="inlineStr">
        <is>
          <t>https://www.froggabio.com/usastoreview/contact/</t>
        </is>
      </c>
      <c r="AP518" t="inlineStr">
        <is>
          <t>https://www.quartzy.com/suppliers | https://www.thomassci.com/browse-by/suppliers/froggabio | https://www.froggabio.com/usastoreview/contact/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מפיץ/נציג בישראל</t>
        </is>
      </c>
      <c r="AE526" t="inlineStr">
        <is>
          <t>חיפוש חלקי</t>
        </is>
      </c>
      <c r="AF526" t="n">
        <v>2026</v>
      </c>
      <c r="AG526" t="inlineStr">
        <is>
          <t>Yair Technologies (Yair Tech)</t>
        </is>
      </c>
      <c r="AH526" t="inlineStr">
        <is>
          <t>Yair Technologies (Yair Tech):</t>
        </is>
      </c>
      <c r="AI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J526" t="inlineStr"/>
      <c r="AP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בחיפוש ראשוני</t>
        </is>
      </c>
      <c r="AE529" t="inlineStr">
        <is>
          <t>חיפוש חלקי</t>
        </is>
      </c>
      <c r="AG529" t="inlineStr"/>
      <c r="AH529" t="inlineStr"/>
      <c r="AI529" t="inlineStr">
        <is>
          <t>GA International / LabTAG (Laval, Quebec) says it ships worldwide; the only Israeli hits are unrelated label/sticker importers on chamber.org.il; no distributor named.</t>
        </is>
      </c>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is>
          <t>802-773-8868</t>
        </is>
      </c>
      <c r="AK534" t="inlineStr">
        <is>
          <t>info@gawetmarble.com</t>
        </is>
      </c>
      <c r="AM534" t="inlineStr">
        <is>
          <t>https://gawetmarble.com/?page_id=4</t>
        </is>
      </c>
      <c r="AN534" t="inlineStr">
        <is>
          <t>https://gawetmarble.com/?page_id=4</t>
        </is>
      </c>
      <c r="AP534" t="inlineStr">
        <is>
          <t>https://www.thomassci.com/browse-by/suppliers/gawet-marble-and-granite | https://gawetmarble.com/?page_id=4</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is>
          <t>615-771-9412</t>
        </is>
      </c>
      <c r="AK544" t="inlineStr">
        <is>
          <t>sales@geniegroup.com</t>
        </is>
      </c>
      <c r="AM544" t="inlineStr">
        <is>
          <t>https://www.geniegroup.com/forms/emailus</t>
        </is>
      </c>
      <c r="AN544" t="inlineStr">
        <is>
          <t>https://www.geniegroup.com/forms/emailus</t>
        </is>
      </c>
      <c r="AP544" t="inlineStr">
        <is>
          <t>https://www.thomassci.com/browse-by/suppliers/genie-group | https://www.geniegroup.com/forms/emailus</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ברור</t>
        </is>
      </c>
      <c r="AE547" t="inlineStr">
        <is>
          <t>חיפוש חלקי</t>
        </is>
      </c>
      <c r="AG547" t="inlineStr"/>
      <c r="AH547" t="inlineStr"/>
      <c r="AI547" t="inlineStr">
        <is>
          <t>No distributor named. A third-party job listing (Mar 2026) for 'Sales Account Manager, Israel' at 'GenScript Israel' suggests direct sales coverage, and a company-data profile lists Israel as a new market, but nothing was confirmed on a GenScript page.</t>
        </is>
      </c>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בחיפוש ראשוני</t>
        </is>
      </c>
      <c r="AE551" t="inlineStr">
        <is>
          <t>חיפוש חלקי</t>
        </is>
      </c>
      <c r="AG551" t="inlineStr"/>
      <c r="AH551" t="inlineStr"/>
      <c r="AI551" t="inlineStr">
        <is>
          <t>No result mentioned GFS Chemicals; only general Israeli specialty-chemical distributors (BSC Distributors, Orokia/Azelis, Lidorr, Y.S. Ashkenazi/Brenntag).</t>
        </is>
      </c>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N556" t="inlineStr">
        <is>
          <t>https://www.glastron.com/</t>
        </is>
      </c>
      <c r="AP556" t="inlineStr">
        <is>
          <t>https://www.thomassci.com/browse-by/suppliers/glastron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בחיפוש ראשוני</t>
        </is>
      </c>
      <c r="AE558" t="inlineStr">
        <is>
          <t>חיפוש חלקי</t>
        </is>
      </c>
      <c r="AG558" t="inlineStr"/>
      <c r="AH558" t="inlineStr"/>
      <c r="AI558" t="inlineStr">
        <is>
          <t>No result mentions the company; hits were unrelated Israeli pharma labeling services (Dor), importers (Propharm) and MoH GMP certificates.</t>
        </is>
      </c>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is>
          <t>003233605500</t>
        </is>
      </c>
      <c r="AK562" t="inlineStr">
        <is>
          <t>info@meys.be</t>
        </is>
      </c>
      <c r="AM562" t="inlineStr">
        <is>
          <t>https://www.gosselin-moving.com/en/contact</t>
        </is>
      </c>
      <c r="AN562" t="inlineStr">
        <is>
          <t>https://www.gosselin-moving.com/en/contact</t>
        </is>
      </c>
      <c r="AP562" t="inlineStr">
        <is>
          <t>https://www.dutscher.com/search?initialFilters=brand:Gosselin | https://www.gosselin-moving.com/en/contact</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בחיפוש ראשוני</t>
        </is>
      </c>
      <c r="AE573" t="inlineStr">
        <is>
          <t>חיפוש חלקי</t>
        </is>
      </c>
      <c r="AG573" t="inlineStr"/>
      <c r="AH573" t="inlineStr"/>
      <c r="AI573" t="inlineStr">
        <is>
          <t>Greenwood Products (Piscataway, NJ; acquired by Calibre Scientific, April 2023) results are US-only; Israeli distributor pages (Rhenium, Enco, S.L. Moran) do not mention Greenwood.</t>
        </is>
      </c>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בחיפוש ראשוני</t>
        </is>
      </c>
      <c r="AE592" t="inlineStr">
        <is>
          <t>חיפוש חלקי</t>
        </is>
      </c>
      <c r="AG592" t="inlineStr"/>
      <c r="AH592" t="inlineStr"/>
      <c r="AI592" t="inlineStr">
        <is>
          <t>Hardy Diagnostics (Santa Maria, CA) exports to 80+ foreign distributors (unnamed); no Israeli distributor named in results.</t>
        </is>
      </c>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N593" t="inlineStr">
        <is>
          <t>https://shop.hartmann.com</t>
        </is>
      </c>
      <c r="AP593" t="inlineStr">
        <is>
          <t>https://www.dutscher.com/search?initialFilters=brand:Hartmann | https://shop.hartmann.com</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בחיפוש ראשוני</t>
        </is>
      </c>
      <c r="AE594" t="inlineStr">
        <is>
          <t>חיפוש חלקי</t>
        </is>
      </c>
      <c r="AG594" t="inlineStr"/>
      <c r="AH594" t="inlineStr"/>
      <c r="AI594" t="inlineStr">
        <is>
          <t>Harvard Bioscience says it sells via direct and distribution channels; no Israeli distributor named (only a used-equipment eBay seller in Petah Tikva).</t>
        </is>
      </c>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בחיפוש ראשוני</t>
        </is>
      </c>
      <c r="AE597" t="inlineStr">
        <is>
          <t>חיפוש חלקי</t>
        </is>
      </c>
      <c r="AG597" t="inlineStr"/>
      <c r="AH597" t="inlineStr"/>
      <c r="AI597" t="inlineStr">
        <is>
          <t>Only distributor listings in Australia/NZ/US (DKSH, Raptor, Mediray, VWR, Sigma); no Israel mention.</t>
        </is>
      </c>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https://heidolph.com/america/en/Contact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בחיפוש ראשוני</t>
        </is>
      </c>
      <c r="AE610" t="inlineStr">
        <is>
          <t>חיפוש חלקי</t>
        </is>
      </c>
      <c r="AG610" t="inlineStr"/>
      <c r="AH610" t="inlineStr"/>
      <c r="AI610" t="inlineStr">
        <is>
          <t>HiMedia distributors found for Germany (neoFroxx, exclusive) and North America (own subsidiary HiMedia Laboratories LLC) plus a VWR India agreement; no Israel entry.</t>
        </is>
      </c>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בחיפוש ראשוני</t>
        </is>
      </c>
      <c r="AE612" t="inlineStr">
        <is>
          <t>חיפוש חלקי</t>
        </is>
      </c>
      <c r="AG612" t="inlineStr"/>
      <c r="AH612" t="inlineStr"/>
      <c r="AI612" t="inlineStr">
        <is>
          <t>Hirschmann Laborgeraete claims sales partners in 100+ countries but none named for Israel; results polluted by the unrelated Hirschmann Test &amp; Measurement (SOS electronic).</t>
        </is>
      </c>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בחיפוש ראשוני</t>
        </is>
      </c>
      <c r="AE613" t="inlineStr">
        <is>
          <t>חיפוש חלקי</t>
        </is>
      </c>
      <c r="AG613" t="inlineStr"/>
      <c r="AH613" t="inlineStr"/>
      <c r="AI613" t="inlineStr">
        <is>
          <t>Only product/brand pages (Sigma-Aldrich, DKSH, Fisher, ThomasSci); no Israeli partner.</t>
        </is>
      </c>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בחיפוש ראשוני</t>
        </is>
      </c>
      <c r="AE614" t="inlineStr">
        <is>
          <t>חיפוש חלקי</t>
        </is>
      </c>
      <c r="AG614" t="inlineStr"/>
      <c r="AH614" t="inlineStr"/>
      <c r="AI614" t="inlineStr">
        <is>
          <t>Searched for Honeywell Research Chemicals (Fluka/Riedel-de Haen): only acquisition news (2015) and a German dealer (Altmann Analytik, 2016); no Israeli channel surfaced. Honeywell's wider corporate presence in Israel was not covered by this search.</t>
        </is>
      </c>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is>
          <t>1300551361</t>
        </is>
      </c>
      <c r="AK621" t="inlineStr">
        <is>
          <t>info@nationaliceparts.com.au</t>
        </is>
      </c>
      <c r="AM621" t="inlineStr">
        <is>
          <t>https://hoshizaki.com.au/contact-us/</t>
        </is>
      </c>
      <c r="AN621" t="inlineStr">
        <is>
          <t>https://hoshizaki.com.au/contact-us/</t>
        </is>
      </c>
      <c r="AP621" t="inlineStr">
        <is>
          <t>https://www.thomassci.com/browse-by/suppliers/hoshizaki | https://hoshizaki.com.au/contact-us/</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is>
          <t>001299225</t>
        </is>
      </c>
      <c r="AK635" t="inlineStr">
        <is>
          <t>marketing@ichem.com.pl</t>
        </is>
      </c>
      <c r="AM635" t="inlineStr">
        <is>
          <t>https://ichem.com.pl/kontakt/</t>
        </is>
      </c>
      <c r="AN635" t="inlineStr">
        <is>
          <t>https://ichem.com.pl/kontakt/</t>
        </is>
      </c>
      <c r="AP635" t="inlineStr">
        <is>
          <t>https://www.thomassci.com/browse-by/suppliers/i-chem | https://ichem.com.pl/kontakt/</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is>
          <t>715.544.3131</t>
        </is>
      </c>
      <c r="AM637" t="inlineStr">
        <is>
          <t>https://www.3isolutions.org/pages/contact-us</t>
        </is>
      </c>
      <c r="AN637" t="inlineStr">
        <is>
          <t>https://www.3isolutions.org/pages/contact-us</t>
        </is>
      </c>
      <c r="AP637" t="inlineStr">
        <is>
          <t>https://www.thomassci.com/browse-by/suppliers/i-solutions | https://www.3isolutions.org/pages/contact-us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בחיפוש ראשוני</t>
        </is>
      </c>
      <c r="AE641" t="inlineStr">
        <is>
          <t>חיפוש חלקי</t>
        </is>
      </c>
      <c r="AG641" t="inlineStr"/>
      <c r="AH641" t="inlineStr"/>
      <c r="AI641" t="inlineStr">
        <is>
          <t>Company profiles and US resellers only; Agentek/Enco appeared with no link to IBI.</t>
        </is>
      </c>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is>
          <t>+1 (888) 232-0031</t>
        </is>
      </c>
      <c r="AN651" t="inlineStr">
        <is>
          <t>https://www.trustedppeca.ca/</t>
        </is>
      </c>
      <c r="AP651" t="inlineStr">
        <is>
          <t>https://www.thomassci.com/browse-by/suppliers/impacto-protective-products | https://www.trustedppeca.ca/</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בחיפוש ראשוני</t>
        </is>
      </c>
      <c r="AE652" t="inlineStr">
        <is>
          <t>חיפוש חלקי</t>
        </is>
      </c>
      <c r="AG652" t="inlineStr"/>
      <c r="AH652" t="inlineStr"/>
      <c r="AI652" t="inlineStr">
        <is>
          <t>Implen distributors found for Australia (LabGear Australia, exclusive) and India (Inkarp Instruments), plus Fisher Scientific EU brand pages; no Israel mention. Note: website in targets (implen.cn) is not the manufacturer's main site (implen.de).</t>
        </is>
      </c>
      <c r="AJ652" t="inlineStr">
        <is>
          <t>86-10-63733193</t>
        </is>
      </c>
      <c r="AK652" t="inlineStr">
        <is>
          <t>info@implen.com</t>
        </is>
      </c>
      <c r="AM652" t="inlineStr">
        <is>
          <t>https://implen.cn/support/</t>
        </is>
      </c>
      <c r="AN652" t="inlineStr">
        <is>
          <t>https://implen.cn/support/</t>
        </is>
      </c>
      <c r="AP652" t="inlineStr">
        <is>
          <t>https://www.dutscher.com/search?initialFilters=brand:Implen | https://www.thomassci.com/browse-by/suppliers/implen | https://implen.cn/support/</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בחיפוש ראשוני</t>
        </is>
      </c>
      <c r="AE653" t="inlineStr">
        <is>
          <t>חיפוש חלקי</t>
        </is>
      </c>
      <c r="AG653" t="inlineStr"/>
      <c r="AH653" t="inlineStr"/>
      <c r="AI653" t="inlineStr">
        <is>
          <t>Guangzhou Improve Medical Instruments profiles and US trade records only; Guangzhou-Israel biotech news does not name the company. Target website improvemed.com.ua is wrong.</t>
        </is>
      </c>
      <c r="AJ653" t="inlineStr">
        <is>
          <t>+380443555030</t>
        </is>
      </c>
      <c r="AK653" t="inlineStr">
        <is>
          <t>info@improvemed.com.ua</t>
        </is>
      </c>
      <c r="AM653" t="inlineStr">
        <is>
          <t>https://improvemed.com.ua/kontakty/</t>
        </is>
      </c>
      <c r="AN653" t="inlineStr">
        <is>
          <t>https://improvemed.com.ua/kontakty/</t>
        </is>
      </c>
      <c r="AP653" t="inlineStr">
        <is>
          <t>https://www.quartzy.com/suppliers | https://www.thomassci.com/browse-by/suppliers/improve-medical | https://improvemed.com.ua/kontakty/</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is>
          <t>45736286</t>
        </is>
      </c>
      <c r="AM655" t="inlineStr">
        <is>
          <t>https://www.indicia.sk/kontakt</t>
        </is>
      </c>
      <c r="AN655" t="inlineStr">
        <is>
          <t>https://www.indicia.sk/kontakt</t>
        </is>
      </c>
      <c r="AP655" t="inlineStr">
        <is>
          <t>https://www.dutscher.com/search?initialFilters=brand:Indicia | https://www.indicia.sk/kontakt</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K661" t="inlineStr">
        <is>
          <t>info@inno.tech</t>
        </is>
      </c>
      <c r="AM661" t="inlineStr">
        <is>
          <t>https://inno.tech/company/contacts</t>
        </is>
      </c>
      <c r="AN661" t="inlineStr">
        <is>
          <t>https://inno.tech/company/contacts</t>
        </is>
      </c>
      <c r="AP661" t="inlineStr">
        <is>
          <t>https://www.thomassci.com/browse-by/suppliers/innotech | https://inno.tech/company/contacts</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בחיפוש ראשוני</t>
        </is>
      </c>
      <c r="AE663" t="inlineStr">
        <is>
          <t>חיפוש חלקי</t>
        </is>
      </c>
      <c r="AG663" t="inlineStr"/>
      <c r="AH663" t="inlineStr"/>
      <c r="AI663" t="inlineStr">
        <is>
          <t>No result mentioned Innovative Bioscience; only unrelated Israeli distributors (Tivan Biotech for OZ Biosciences, Enco, Syntezza, Rhenium for Tosoh/Life Technologies).</t>
        </is>
      </c>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בחיפוש ראשוני</t>
        </is>
      </c>
      <c r="AE666" t="inlineStr">
        <is>
          <t>חיפוש חלקי</t>
        </is>
      </c>
      <c r="AG666" t="inlineStr"/>
      <c r="AH666" t="inlineStr"/>
      <c r="AI666" t="inlineStr">
        <is>
          <t>IV's international-operations page says it uses one exclusive distributor per territory outside US/Canada; only Spain (Inycom) named; Israel not shown.</t>
        </is>
      </c>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בחיפוש ראשוני</t>
        </is>
      </c>
      <c r="AE669" t="inlineStr">
        <is>
          <t>חיפוש חלקי</t>
        </is>
      </c>
      <c r="AG669" t="inlineStr"/>
      <c r="AH669" t="inlineStr"/>
      <c r="AI669" t="inlineStr">
        <is>
          <t>No result mentions Intact Genomics; hits are other vendors' Israeli distributor announcements (Eisenberg Bros/Fluidigm, Ornat/LI-COR, Eldan/Medicinal Genomics, Syntezza/IDT).</t>
        </is>
      </c>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is>
          <t>+59342594010</t>
        </is>
      </c>
      <c r="AM675" t="inlineStr">
        <is>
          <t>https://interlab.com.ec/contactanos.jsp</t>
        </is>
      </c>
      <c r="AN675" t="inlineStr">
        <is>
          <t>https://interlab.com.ec/contactanos.jsp</t>
        </is>
      </c>
      <c r="AP675" t="inlineStr">
        <is>
          <t>https://www.thomassci.com/browse-by/suppliers/interlab | https://interlab.com.ec/contactanos.jsp</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בחיפוש ראשוני</t>
        </is>
      </c>
      <c r="AE680" t="inlineStr">
        <is>
          <t>חיפוש חלקי</t>
        </is>
      </c>
      <c r="AG680" t="inlineStr"/>
      <c r="AH680" t="inlineStr"/>
      <c r="AI680" t="inlineStr">
        <is>
          <t>Interscience cites distributors in 130+ countries; no Israeli partner in results (Analytics-Shop US/UK, DKSH Australia, Fisher).</t>
        </is>
      </c>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N683" t="inlineStr">
        <is>
          <t>https://ironcladapp.com/</t>
        </is>
      </c>
      <c r="AP683" t="inlineStr">
        <is>
          <t>https://www.thomassci.com/browse-by/suppliers/ironclad | https://ironcladapp.com/</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בחיפוש ראשוני</t>
        </is>
      </c>
      <c r="AE688" t="inlineStr">
        <is>
          <t>חיפוש חלקי</t>
        </is>
      </c>
      <c r="AG688" t="inlineStr"/>
      <c r="AH688" t="inlineStr"/>
      <c r="AI688" t="inlineStr">
        <is>
          <t>Results entirely unrelated (film distributors, law firm); nothing about J.G. Finneran.</t>
        </is>
      </c>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is>
          <t>1-303-893-0552</t>
        </is>
      </c>
      <c r="AM689" t="inlineStr">
        <is>
          <t>https://www.hugedomains.com/contact.cfm</t>
        </is>
      </c>
      <c r="AN689" t="inlineStr">
        <is>
          <t>https://www.hugedomains.com/contact.cfm</t>
        </is>
      </c>
      <c r="AP689" t="inlineStr">
        <is>
          <t>https://www.thomassci.com/browse-by/suppliers/ja-crawford | https://www.hugedomains.com/contact.cfm</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800-367-5296</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בחיפוש ראשוני</t>
        </is>
      </c>
      <c r="AE694" t="inlineStr">
        <is>
          <t>חיפוש חלקי</t>
        </is>
      </c>
      <c r="AG694" t="inlineStr"/>
      <c r="AH694" t="inlineStr"/>
      <c r="AI694" t="inlineStr">
        <is>
          <t>No result links Jeio Tech (Daejeon, Korea / Des Plaines, IL) to Israel; Israeli distributor hits (Tech Top, Phoenix Technologies, Eastronics) are for unrelated electronics/audio brands.</t>
        </is>
      </c>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is>
          <t>0184809292</t>
        </is>
      </c>
      <c r="AK704" t="inlineStr">
        <is>
          <t>hello@kactus.com</t>
        </is>
      </c>
      <c r="AN704" t="inlineStr">
        <is>
          <t>https://www.kactus.com/</t>
        </is>
      </c>
      <c r="AP704" t="inlineStr">
        <is>
          <t>https://www.quartzy.com/suppliers | https://www.kactus.com/</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is>
          <t>1-866-852-6465</t>
        </is>
      </c>
      <c r="AK706" t="inlineStr">
        <is>
          <t>customerservice@kangol.com</t>
        </is>
      </c>
      <c r="AM706" t="inlineStr">
        <is>
          <t>https://kangol.com/pages/contact</t>
        </is>
      </c>
      <c r="AN706" t="inlineStr">
        <is>
          <t>https://kangol.com/pages/contact</t>
        </is>
      </c>
      <c r="AP706" t="inlineStr">
        <is>
          <t>https://www.dutscher.com/search?initialFilters=brand:Kango | https://kangol.com/pages/contact</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בחיפוש ראשוני</t>
        </is>
      </c>
      <c r="AE708" t="inlineStr">
        <is>
          <t>חיפוש חלקי</t>
        </is>
      </c>
      <c r="AG708" t="inlineStr"/>
      <c r="AH708" t="inlineStr"/>
      <c r="AI708" t="inlineStr">
        <is>
          <t>Only product listings and resellers in other countries (ThomasSci, Fisher, John Morris AU, Labex ZA); no Israeli distributor.</t>
        </is>
      </c>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בחיפוש ראשוני</t>
        </is>
      </c>
      <c r="AE710" t="inlineStr">
        <is>
          <t>חיפוש חלקי</t>
        </is>
      </c>
      <c r="AG710" t="inlineStr"/>
      <c r="AH710" t="inlineStr"/>
      <c r="AI710" t="inlineStr">
        <is>
          <t>Only a Panjiva trade-data listing (Brea, CA glassware imports); no Israel link.</t>
        </is>
      </c>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N713" t="inlineStr">
        <is>
          <t>https://keystonesafety.com.au/</t>
        </is>
      </c>
      <c r="AP713" t="inlineStr">
        <is>
          <t>https://www.thomassci.com/browse-by/suppliers/keystone-safety | https://keystonesafety.com.au/</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is>
          <t>8174398898</t>
        </is>
      </c>
      <c r="AK714" t="inlineStr">
        <is>
          <t>info@ndiscovered.com</t>
        </is>
      </c>
      <c r="AM714" t="inlineStr">
        <is>
          <t>https://keystonetape.com/contact-us</t>
        </is>
      </c>
      <c r="AN714" t="inlineStr">
        <is>
          <t>https://keystonetape.com/contact-us</t>
        </is>
      </c>
      <c r="AP714" t="inlineStr">
        <is>
          <t>https://www.thomassci.com/browse-by/suppliers/keystone-tape-and-supply | https://keystonetape.com/contact-us</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is>
          <t>503-226-5000</t>
        </is>
      </c>
      <c r="AM715" t="inlineStr">
        <is>
          <t>https://www.kgw.com/contact-us</t>
        </is>
      </c>
      <c r="AN715" t="inlineStr">
        <is>
          <t>https://www.kgw.com/contact-us</t>
        </is>
      </c>
      <c r="AP715" t="inlineStr">
        <is>
          <t>https://www.dutscher.com/search?initialFilters=brand:KGW | https://www.kgw.com/contact-us</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M722" t="inlineStr">
        <is>
          <t>https://www.kimtech.com.pe/contacto/</t>
        </is>
      </c>
      <c r="AN722" t="inlineStr">
        <is>
          <t>https://www.kimtech.com.pe/contacto/</t>
        </is>
      </c>
      <c r="AP722" t="inlineStr">
        <is>
          <t>https://www.dutscher.com/search?initialFilters=brand:Kimtech | https://www.kimtech.com.pe/contacto/</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בחיפוש ראשוני</t>
        </is>
      </c>
      <c r="AE725" t="inlineStr">
        <is>
          <t>חיפוש חלקי</t>
        </is>
      </c>
      <c r="AG725" t="inlineStr"/>
      <c r="AH725" t="inlineStr"/>
      <c r="AI725" t="inlineStr">
        <is>
          <t>Kingfisher Biotech (veterinary/species-specific reagents) results show NZ (Mediray) and EU (Clinisciences) resellers; Israeli distributor pages (Enco, Rhenium, Agentek, Syntezza) do not list Kingfisher.</t>
        </is>
      </c>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ברור</t>
        </is>
      </c>
      <c r="AE728" t="inlineStr">
        <is>
          <t>חיפוש חלקי</t>
        </is>
      </c>
      <c r="AG728" t="inlineStr"/>
      <c r="AH728" t="inlineStr"/>
      <c r="AI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is>
          <t>040-707080</t>
        </is>
      </c>
      <c r="AM730" t="inlineStr">
        <is>
          <t>https://www.koehler-books.de/kontakt/</t>
        </is>
      </c>
      <c r="AN730" t="inlineStr">
        <is>
          <t>https://www.koehler-books.de/kontakt/</t>
        </is>
      </c>
      <c r="AP730" t="inlineStr">
        <is>
          <t>https://www.thomassci.com/browse-by/suppliers/koehler | https://www.koehler-books.de/kontakt/</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בחיפוש ראשוני</t>
        </is>
      </c>
      <c r="AE731" t="inlineStr">
        <is>
          <t>חיפוש חלקי</t>
        </is>
      </c>
      <c r="AG731" t="inlineStr"/>
      <c r="AH731" t="inlineStr"/>
      <c r="AI731" t="inlineStr">
        <is>
          <t>No result mentions Kord-Valmark at all; hits are unrelated Israeli valve/fittings and industrial distributor listings.</t>
        </is>
      </c>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בחיפוש ראשוני</t>
        </is>
      </c>
      <c r="AE738" t="inlineStr">
        <is>
          <t>חיפוש חלקי</t>
        </is>
      </c>
      <c r="AG738" t="inlineStr"/>
      <c r="AH738" t="inlineStr"/>
      <c r="AI738" t="inlineStr">
        <is>
          <t>LabChem Inc. (Pittsburgh) listing only; a Fujifilm Wako 'LabChem' distributor page (different brand) cut off before Israel; Agentek/Enco/Rhenium appeared with no link.</t>
        </is>
      </c>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בחיפוש ראשוני</t>
        </is>
      </c>
      <c r="AE739" t="inlineStr">
        <is>
          <t>חיפוש חלקי</t>
        </is>
      </c>
      <c r="AG739" t="inlineStr"/>
      <c r="AH739" t="inlineStr"/>
      <c r="AI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בחיפוש ראשוני</t>
        </is>
      </c>
      <c r="AE743" t="inlineStr">
        <is>
          <t>חיפוש חלקי</t>
        </is>
      </c>
      <c r="AG743" t="inlineStr"/>
      <c r="AH743" t="inlineStr"/>
      <c r="AI743" t="inlineStr">
        <is>
          <t>Labnet International (Edison, NJ) sells via a dealer network and a GlobalData profile cites presence in the Middle East, but no Israeli dealer is named; results are US/UK/FR resellers.</t>
        </is>
      </c>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בחיפוש ראשוני</t>
        </is>
      </c>
      <c r="AE744" t="inlineStr">
        <is>
          <t>חיפוש חלקי</t>
        </is>
      </c>
      <c r="AG744" t="inlineStr"/>
      <c r="AH744" t="inlineStr"/>
      <c r="AI744" t="inlineStr">
        <is>
          <t>Labplas cites 175+ independent distributors in 60+ countries; none named for Israel in results (Rhenium, S.L. Moran surfaced without a Labplas link).</t>
        </is>
      </c>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בחיפוש ראשוני</t>
        </is>
      </c>
      <c r="AE745" t="inlineStr">
        <is>
          <t>חיפוש חלקי</t>
        </is>
      </c>
      <c r="AG745" t="inlineStr"/>
      <c r="AH745" t="inlineStr"/>
      <c r="AI745" t="inlineStr">
        <is>
          <t>LabRepCo is itself a US East-Coast regional distributor (Horsham, PA); no international channel found.</t>
        </is>
      </c>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בחיפוש ראשוני</t>
        </is>
      </c>
      <c r="AE746" t="inlineStr">
        <is>
          <t>חיפוש חלקי</t>
        </is>
      </c>
      <c r="AG746" t="inlineStr"/>
      <c r="AH746" t="inlineStr"/>
      <c r="AI746" t="inlineStr">
        <is>
          <t>LabStrong (Dubuque, Iowa) results are US-only (it is itself a US distributor for Synoptics); Israeli distributor pages (Enco, Rhenium, Agentek) do not mention LabStrong.</t>
        </is>
      </c>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is>
          <t>1 (800) 821-7314</t>
        </is>
      </c>
      <c r="AK754" t="inlineStr">
        <is>
          <t>info@quantimol.com</t>
        </is>
      </c>
      <c r="AM754" t="inlineStr">
        <is>
          <t>https://quantimol.com/pages/contact</t>
        </is>
      </c>
      <c r="AN754" t="inlineStr">
        <is>
          <t>https://quantimol.com/pages/contact</t>
        </is>
      </c>
      <c r="AP754" t="inlineStr">
        <is>
          <t>https://www.quartzy.com/suppliers | https://quantimol.com/pages/contact</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is>
          <t>(602) 955-7206</t>
        </is>
      </c>
      <c r="AM755" t="inlineStr">
        <is>
          <t>https://www.leeengineering.com/contact/</t>
        </is>
      </c>
      <c r="AN755" t="inlineStr">
        <is>
          <t>https://www.leeengineering.com/contact/</t>
        </is>
      </c>
      <c r="AP755" t="inlineStr">
        <is>
          <t>https://www.thomassci.com/browse-by/suppliers/lee-engineering | https://www.leeengineering.com/contact/</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בחיפוש ראשוני</t>
        </is>
      </c>
      <c r="AE762" t="inlineStr">
        <is>
          <t>חיפוש חלקי</t>
        </is>
      </c>
      <c r="AG762" t="inlineStr"/>
      <c r="AH762" t="inlineStr"/>
      <c r="AI762" t="inlineStr">
        <is>
          <t>Only LevGo company profiles (Berkeley, CA; smartSpatula) and unrelated Israeli distributors (Rhenium, Agentek, Enco, Ornat).</t>
        </is>
      </c>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N766" t="inlineStr">
        <is>
          <t>https://www.lhtechno.com/</t>
        </is>
      </c>
      <c r="AP766" t="inlineStr">
        <is>
          <t>https://www.thomassci.com/browse-by/suppliers/lh-technologies | https://www.lhtechno.com/</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is>
          <t>+33123456789</t>
        </is>
      </c>
      <c r="AM806" t="inlineStr">
        <is>
          <t>https://www.mapa-pro.com.ar/contacto/contacto-comercial</t>
        </is>
      </c>
      <c r="AN806" t="inlineStr">
        <is>
          <t>https://www.mapa-pro.com.ar/contacto/contacto-comercial</t>
        </is>
      </c>
      <c r="AP806" t="inlineStr">
        <is>
          <t>https://www.thomassci.com/browse-by/suppliers/mapa-professional | https://www.mapa-pro.com.ar/contacto/contacto-comercial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N809" t="inlineStr">
        <is>
          <t>https://www.marvel.com/</t>
        </is>
      </c>
      <c r="AP809" t="inlineStr">
        <is>
          <t>https://www.thomassci.com/browse-by/suppliers/marvel | https://www.marvel.com/</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בחיפוש ראשוני</t>
        </is>
      </c>
      <c r="AE820" t="inlineStr">
        <is>
          <t>חיפוש חלקי</t>
        </is>
      </c>
      <c r="AG820" t="inlineStr"/>
      <c r="AH820" t="inlineStr"/>
      <c r="AI820" t="inlineStr">
        <is>
          <t>Only company directory profiles (Harrisburg PA / Advanced Microdevices, Ambala India); no Israel information.</t>
        </is>
      </c>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בחיפוש ראשוני</t>
        </is>
      </c>
      <c r="AE829" t="inlineStr">
        <is>
          <t>חיפוש חלקי</t>
        </is>
      </c>
      <c r="AG829" t="inlineStr"/>
      <c r="AH829" t="inlineStr"/>
      <c r="AI829" t="inlineStr">
        <is>
          <t>Medline Industries (Northfield, IL) profiles cite 90-125 countries but no Israel channel appeared. Target website medline.org.ua is wrong.</t>
        </is>
      </c>
      <c r="AJ829" t="inlineStr">
        <is>
          <t>+380675732155</t>
        </is>
      </c>
      <c r="AK829" t="inlineStr">
        <is>
          <t>info@medline.org.ua</t>
        </is>
      </c>
      <c r="AM829" t="inlineStr">
        <is>
          <t>https://medline.org.ua/kontakty/</t>
        </is>
      </c>
      <c r="AN829" t="inlineStr">
        <is>
          <t>https://medline.org.ua/kontakty/</t>
        </is>
      </c>
      <c r="AP829" t="inlineStr">
        <is>
          <t>https://www.quartzy.com/suppliers | https://www.thomassci.com/browse-by/suppliers/medline | https://medline.org.ua/kontakty/</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בחיפוש ראשוני</t>
        </is>
      </c>
      <c r="AE835" t="inlineStr">
        <is>
          <t>חיפוש חלקי</t>
        </is>
      </c>
      <c r="AG835" t="inlineStr"/>
      <c r="AH835" t="inlineStr"/>
      <c r="AI835" t="inlineStr">
        <is>
          <t>Mercedes Medical / Mercedes Scientific (Sarasota and Lakewood Ranch, FL; a BD distributor) results are all US; Israeli hits (Medtechnica, Eldan, A.L. Medi-Market) are not linked to it.</t>
        </is>
      </c>
      <c r="AJ835" t="inlineStr">
        <is>
          <t>8003312716</t>
        </is>
      </c>
      <c r="AK835" t="inlineStr">
        <is>
          <t>sales@drugsofabusetests.com</t>
        </is>
      </c>
      <c r="AM835" t="inlineStr">
        <is>
          <t>https://www.drugsofabusetests.com/contact-us/</t>
        </is>
      </c>
      <c r="AN835" t="inlineStr">
        <is>
          <t>https://www.drugsofabusetests.com/contact-us/</t>
        </is>
      </c>
      <c r="AP835" t="inlineStr">
        <is>
          <t>https://www.quartzy.com/suppliers | https://www.thomassci.com/browse-by/suppliers/mercedes-medical | https://www.drugsofabusetests.com/contact-us/</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is>
          <t>028 9448 7777</t>
        </is>
      </c>
      <c r="AK843" t="inlineStr">
        <is>
          <t>sales@metaltechnology.com</t>
        </is>
      </c>
      <c r="AM843" t="inlineStr">
        <is>
          <t>https://www.metaltechnology.com/contact/</t>
        </is>
      </c>
      <c r="AN843" t="inlineStr">
        <is>
          <t>https://www.metaltechnology.com/contact/</t>
        </is>
      </c>
      <c r="AP843" t="inlineStr">
        <is>
          <t>https://www.thomassci.com/browse-by/suppliers/metal-technology | https://www.metaltechnology.com/contact/</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בחיפוש ראשוני</t>
        </is>
      </c>
      <c r="AE854" t="inlineStr">
        <is>
          <t>חיפוש חלקי</t>
        </is>
      </c>
      <c r="AG854" t="inlineStr"/>
      <c r="AH854" t="inlineStr"/>
      <c r="AI854" t="inlineStr">
        <is>
          <t>Searched as Ansell's Microflex brand: Ansell's Where-to-Buy page has a country selector but no Israel entry visible; only non-Israeli retailers (RS Korea/Philippines, VWR, ThomasSci, Labfriend India).</t>
        </is>
      </c>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בחיפוש ראשוני</t>
        </is>
      </c>
      <c r="AE855" t="inlineStr">
        <is>
          <t>חיפוש חלקי</t>
        </is>
      </c>
      <c r="AG855" t="inlineStr"/>
      <c r="AH855" t="inlineStr"/>
      <c r="AI855" t="inlineStr">
        <is>
          <t>Microlit (Lucknow, India; offices India/USA/Brazil) claims presence in 55+ countries; an Israeli Chamber of Commerce importer page listed other pipette brands, not Microlit.</t>
        </is>
      </c>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בחיפוש ראשוני</t>
        </is>
      </c>
      <c r="AE862" t="inlineStr">
        <is>
          <t>חיפוש חלקי</t>
        </is>
      </c>
      <c r="AG862" t="inlineStr"/>
      <c r="AH862" t="inlineStr"/>
      <c r="AI862" t="inlineStr">
        <is>
          <t>Miele Professional lab distributors named only for Hungary (Labokraft, 2025) and the US (ARES Scientific); no Israel mention.</t>
        </is>
      </c>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בחיפוש ראשוני</t>
        </is>
      </c>
      <c r="AE870" t="inlineStr">
        <is>
          <t>חיפוש חלקי</t>
        </is>
      </c>
      <c r="AG870" t="inlineStr"/>
      <c r="AH870" t="inlineStr"/>
      <c r="AI870" t="inlineStr">
        <is>
          <t>No result mentions Minigrip; 'Mini Line Ltd' (Petach Tikva electronics importer) is an unrelated name match; other hits are unrelated Israeli dealer announcements.</t>
        </is>
      </c>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1792303257</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מפיץ/נציג בישראל</t>
        </is>
      </c>
      <c r="AE889" t="inlineStr">
        <is>
          <t>חיפוש חלקי</t>
        </is>
      </c>
      <c r="AG889" t="inlineStr">
        <is>
          <t>Yair Technologies (Yair Tech)</t>
        </is>
      </c>
      <c r="AH889" t="inlineStr">
        <is>
          <t>Yair Technologies (Yair Tech):</t>
        </is>
      </c>
      <c r="AI889" t="inlineStr">
        <is>
          <t>Distributor-side evidence only: an Israeli supplier site (yairtech.co.il) has an MTC Bio brand page; MTC Bio's own site/distributor list did not surface. Other hits are US resellers (Labrepco, Test Equipment Depot, Enzo/Axxora) and unrelated Israeli distributors.</t>
        </is>
      </c>
      <c r="AJ889" t="inlineStr"/>
      <c r="AP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בחיפוש ראשוני</t>
        </is>
      </c>
      <c r="AE896" t="inlineStr">
        <is>
          <t>חיפוש חלקי</t>
        </is>
      </c>
      <c r="AG896" t="inlineStr"/>
      <c r="AH896" t="inlineStr"/>
      <c r="AI896" t="inlineStr">
        <is>
          <t>Only a UW CoMotion startup profile (pre-seed, AI-designed proteins); no distributors listed anywhere.</t>
        </is>
      </c>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בחיפוש ראשוני</t>
        </is>
      </c>
      <c r="AE898" t="inlineStr">
        <is>
          <t>חיפוש חלקי</t>
        </is>
      </c>
      <c r="AG898" t="inlineStr"/>
      <c r="AH898" t="inlineStr"/>
      <c r="AI898" t="inlineStr">
        <is>
          <t>Results entirely unrelated (Mystere jet book, film distributors); nothing about Mystaire.</t>
        </is>
      </c>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בחיפוש ראשוני</t>
        </is>
      </c>
      <c r="AE903" t="inlineStr">
        <is>
          <t>חיפוש חלקי</t>
        </is>
      </c>
      <c r="AG903" t="inlineStr"/>
      <c r="AH903" t="inlineStr"/>
      <c r="AI903" t="inlineStr">
        <is>
          <t>Whirl-Pak was divested by Nasco to Filtration Group (2022); no Israeli distributor named; Israeli hits (Gotta Hay Trade, Winpac) were unrelated packaging/consumer firms.</t>
        </is>
      </c>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בחיפוש ראשוני</t>
        </is>
      </c>
      <c r="AE911" t="inlineStr">
        <is>
          <t>חיפוש חלקי</t>
        </is>
      </c>
      <c r="AG911" t="inlineStr"/>
      <c r="AH911" t="inlineStr"/>
      <c r="AI911" t="inlineStr">
        <is>
          <t>NEST (Wuxi, China; NEST Scientific USA in Woodbridge, NJ) results show a 2024 North American deal with Captivate Bio and claims of sales in 50-80 countries; no Israeli distributor named.</t>
        </is>
      </c>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1792303709062</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is>
          <t>855-715-0110</t>
        </is>
      </c>
      <c r="AM923" t="inlineStr">
        <is>
          <t>https://www.nextalk.com/contact</t>
        </is>
      </c>
      <c r="AN923" t="inlineStr">
        <is>
          <t>https://www.nextalk.com/contact</t>
        </is>
      </c>
      <c r="AP923" t="inlineStr">
        <is>
          <t>https://www.quartzy.com/suppliers | https://www.nextalk.com/contact</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is>
          <t>858.663.9055</t>
        </is>
      </c>
      <c r="AK939" t="inlineStr">
        <is>
          <t>info@nsjbio.com</t>
        </is>
      </c>
      <c r="AM939" t="inlineStr">
        <is>
          <t>https://www.nsjbio.com/contact-us.html</t>
        </is>
      </c>
      <c r="AN939" t="inlineStr">
        <is>
          <t>https://www.nsjbio.com/contact-us.html</t>
        </is>
      </c>
      <c r="AP939" t="inlineStr">
        <is>
          <t>https://www.quartzy.com/suppliers | https://www.nsjbio.com/contact-us.html</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בחיפוש ראשוני</t>
        </is>
      </c>
      <c r="AE950" t="inlineStr">
        <is>
          <t>חיפוש חלקי</t>
        </is>
      </c>
      <c r="AG950" t="inlineStr"/>
      <c r="AH950" t="inlineStr"/>
      <c r="AI950" t="inlineStr">
        <is>
          <t>Only company profiles (Norcross, GA); no Israeli distributor; Agentek surfaced but without any Omega Bio-tek link.</t>
        </is>
      </c>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בחיפוש ראשוני</t>
        </is>
      </c>
      <c r="AE951" t="inlineStr">
        <is>
          <t>חיפוש חלקי</t>
        </is>
      </c>
      <c r="AG951" t="inlineStr"/>
      <c r="AH951" t="inlineStr"/>
      <c r="AI951" t="inlineStr">
        <is>
          <t>Only company info and Fisher/Sigma/VWR storefront listings; no Israel mention.</t>
        </is>
      </c>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N954" t="inlineStr">
        <is>
          <t>https://oncodia.com/</t>
        </is>
      </c>
      <c r="AP954" t="inlineStr">
        <is>
          <t>https://www.thomassci.com/browse-by/suppliers/oncodia-ab | https://oncodia.com/</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K956" t="inlineStr">
        <is>
          <t>contact@optikaicourtage.fr</t>
        </is>
      </c>
      <c r="AM956" t="inlineStr">
        <is>
          <t>https://www.optikaicourtage.fr/contact/</t>
        </is>
      </c>
      <c r="AN956" t="inlineStr">
        <is>
          <t>https://www.optikaicourtage.fr/contact/</t>
        </is>
      </c>
      <c r="AP956" t="inlineStr">
        <is>
          <t>https://www.dutscher.com/search?initialFilters=brand:Optika | https://www.optikaicourtage.fr/contact/</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בחיפוש ראשוני</t>
        </is>
      </c>
      <c r="AE967" t="inlineStr">
        <is>
          <t>חיפוש חלקי</t>
        </is>
      </c>
      <c r="AG967" t="inlineStr"/>
      <c r="AH967" t="inlineStr"/>
      <c r="AI967" t="inlineStr">
        <is>
          <t>No Israeli distributor for Oxford Lab Products (San Diego pipettes/benchtop equipment); results are dominated by Oxford Nanopore, whose Israeli channel partner is Zotal Ltd (Tel Aviv) - a different company, not applicable.</t>
        </is>
      </c>
      <c r="AJ967" t="inlineStr">
        <is>
          <t>85820952-1818</t>
        </is>
      </c>
      <c r="AK967" t="inlineStr">
        <is>
          <t>info@oxfordlp.com</t>
        </is>
      </c>
      <c r="AM967" t="inlineStr">
        <is>
          <t>https://oxfordlp.com/contact-us/</t>
        </is>
      </c>
      <c r="AN967" t="inlineStr">
        <is>
          <t>https://oxfordlp.com/contact-us/</t>
        </is>
      </c>
      <c r="AP967" t="inlineStr">
        <is>
          <t>https://www.quartzy.com/suppliers | https://www.thomassci.com/browse-by/suppliers/oxford-lab-products | https://oxfordlp.com/contact-us/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בחיפוש ראשוני</t>
        </is>
      </c>
      <c r="AE970" t="inlineStr">
        <is>
          <t>חיפוש חלקי</t>
        </is>
      </c>
      <c r="AG970" t="inlineStr"/>
      <c r="AH970" t="inlineStr"/>
      <c r="AI970" t="inlineStr">
        <is>
          <t>Only corporate/SEC profiles (Pall now under Danaher/Cytiva); no Israeli distributor or office named in results.</t>
        </is>
      </c>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K972" t="inlineStr">
        <is>
          <t>info@pan-biotech.de</t>
        </is>
      </c>
      <c r="AM972" t="inlineStr">
        <is>
          <t>https://pan-biotech.de/kontakt/</t>
        </is>
      </c>
      <c r="AN972" t="inlineStr">
        <is>
          <t>https://pan-biotech.de/kontakt/</t>
        </is>
      </c>
      <c r="AP972" t="inlineStr">
        <is>
          <t>https://www.dutscher.com/search?initialFilters=brand:Pan+biotech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N977" t="inlineStr">
        <is>
          <t>https://pctuning.cz/</t>
        </is>
      </c>
      <c r="AP977" t="inlineStr">
        <is>
          <t>https://info.quartzy.com/new-suppliers | https://pctuning.cz/</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K987" t="inlineStr">
        <is>
          <t>info@permagen.com.au</t>
        </is>
      </c>
      <c r="AM987" t="inlineStr">
        <is>
          <t>https://permagen.com.au/contact-us/</t>
        </is>
      </c>
      <c r="AN987" t="inlineStr">
        <is>
          <t>https://permagen.com.au/contact-us/</t>
        </is>
      </c>
      <c r="AP987" t="inlineStr">
        <is>
          <t>https://www.thomassci.com/browse-by/suppliers/permagen | https://permagen.com.au/contact-us/</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M990" t="inlineStr">
        <is>
          <t>https://www.phchd.com/global/forms/Input?form_id=%7BA1E4FD0D-9F27-4C4D-9FD1-7A057C9FE770%7D</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N1002" t="inlineStr">
        <is>
          <t>https://plugtrack.com/</t>
        </is>
      </c>
      <c r="AP1002" t="inlineStr">
        <is>
          <t>https://www.thomassci.com/browse-by/suppliers/plug-and-track | https://plugtrack.com/</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בחיפוש ראשוני</t>
        </is>
      </c>
      <c r="AE1011" t="inlineStr">
        <is>
          <t>חיפוש חלקי</t>
        </is>
      </c>
      <c r="AG1011" t="inlineStr"/>
      <c r="AH1011" t="inlineStr"/>
      <c r="AI1011" t="inlineStr">
        <is>
          <t>Results covered Polysciences Inc. (Warrington PA; offices in Germany/Taiwan/India/Brazil, none in Israel) and unrelated Israeli distributors; nothing linking PolyScience (chillers/circulators) to an Israeli channel.</t>
        </is>
      </c>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בחיפוש ראשוני</t>
        </is>
      </c>
      <c r="AE1015" t="inlineStr">
        <is>
          <t>חיפוש חלקי</t>
        </is>
      </c>
      <c r="AG1015" t="inlineStr"/>
      <c r="AH1015" t="inlineStr"/>
      <c r="AI1015" t="inlineStr">
        <is>
          <t>Only Germany distributor (MZ-Analysentechnik) named; Porvair Sciences cites a worldwide distributor network without countries.</t>
        </is>
      </c>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is>
          <t>(951) 970-3698</t>
        </is>
      </c>
      <c r="AM1027" t="inlineStr">
        <is>
          <t>https://proadvantage.net/contact-us.html</t>
        </is>
      </c>
      <c r="AN1027" t="inlineStr">
        <is>
          <t>https://proadvantage.net/contact-us.html</t>
        </is>
      </c>
      <c r="AP1027" t="inlineStr">
        <is>
          <t>https://www.thomassci.com/browse-by/suppliers/pro-advantage | https://proadvantage.net/contact-us.html</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בחיפוש ראשוני</t>
        </is>
      </c>
      <c r="AE1028" t="inlineStr">
        <is>
          <t>חיפוש חלקי</t>
        </is>
      </c>
      <c r="AG1028" t="inlineStr"/>
      <c r="AH1028" t="inlineStr"/>
      <c r="AI1028" t="inlineStr">
        <is>
          <t>Only US channels (VWR, Thomas, Marshall, MIDSCI) and an Indian reseller appeared; no Israel mention.</t>
        </is>
      </c>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בחיפוש ראשוני</t>
        </is>
      </c>
      <c r="AE1033" t="inlineStr">
        <is>
          <t>חיפוש חלקי</t>
        </is>
      </c>
      <c r="AG1033" t="inlineStr"/>
      <c r="AH1033" t="inlineStr"/>
      <c r="AI1033" t="inlineStr">
        <is>
          <t>ProSci is a Genesee Scientific antibody brand sold direct; a Feb 2025 release on its global commercial strategy names no Israeli distributor; product hits are US price pages.</t>
        </is>
      </c>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N1042" t="inlineStr">
        <is>
          <t>https://puritan.com.au/</t>
        </is>
      </c>
      <c r="AP1042" t="inlineStr">
        <is>
          <t>https://www.dutscher.com/search?initialFilters=brand:Puritan | https://puritan.com.au/</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בחיפוש ראשוני</t>
        </is>
      </c>
      <c r="AE1051" t="inlineStr">
        <is>
          <t>חיפוש חלקי</t>
        </is>
      </c>
      <c r="AG1051" t="inlineStr"/>
      <c r="AH1051" t="inlineStr"/>
      <c r="AI1051" t="inlineStr">
        <is>
          <t>No result mentioned Qorpak; only unrelated Israeli companies (Amisragas, Dubek, Diplomat).</t>
        </is>
      </c>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בחיפוש ראשוני</t>
        </is>
      </c>
      <c r="AE1055" t="inlineStr">
        <is>
          <t>חיפוש חלקי</t>
        </is>
      </c>
      <c r="AG1055" t="inlineStr"/>
      <c r="AH1055" t="inlineStr"/>
      <c r="AI1055" t="inlineStr">
        <is>
          <t>No result mentions Quality Biological; ENCO Diagnostics (Petach Tikva) appeared only as Medix Biochemica's Israeli distributor.</t>
        </is>
      </c>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בחיפוש ראשוני</t>
        </is>
      </c>
      <c r="AE1068" t="inlineStr">
        <is>
          <t>חיפוש חלקי</t>
        </is>
      </c>
      <c r="AG1068" t="inlineStr"/>
      <c r="AH1068" t="inlineStr"/>
      <c r="AI1068" t="inlineStr">
        <is>
          <t>RayBiotech's 2012 distributor-conference release cites distributors in 35+ countries (unnamed); EU resellers (Bio-Connect, Insight Bio) appear; Israeli distributor pages (Enco, Rhenium, Biological Industries) do not list RayBiotech.</t>
        </is>
      </c>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בחיפוש ראשוני</t>
        </is>
      </c>
      <c r="AE1079" t="inlineStr">
        <is>
          <t>חיפוש חלקי</t>
        </is>
      </c>
      <c r="AG1079" t="inlineStr"/>
      <c r="AH1079" t="inlineStr"/>
      <c r="AI1079" t="inlineStr">
        <is>
          <t>Restek directs customers to 'local Restek office or distributor'; none named for Israel in results (only US distributor Chrom Tech).</t>
        </is>
      </c>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M1082" t="inlineStr">
        <is>
          <t>https://www.perkinelmer.com/contactus/requestaquote.html</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בחיפוש ראשוני</t>
        </is>
      </c>
      <c r="AE1084" t="inlineStr">
        <is>
          <t>חיפוש חלקי</t>
        </is>
      </c>
      <c r="AG1084" t="inlineStr"/>
      <c r="AH1084" t="inlineStr"/>
      <c r="AI1084" t="inlineStr">
        <is>
          <t>Ricca's own distributor page (riccachemical.com/distributors) lists US firms only; Israeli chemical distributors (Lidorr, Orokia) appeared with no link to Ricca.</t>
        </is>
      </c>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is>
          <t>556760-6032</t>
        </is>
      </c>
      <c r="AN1091" t="inlineStr">
        <is>
          <t>https://rocker.com/</t>
        </is>
      </c>
      <c r="AP1091" t="inlineStr">
        <is>
          <t>https://www.dutscher.com/search?initialFilters=brand:Rocker | https://rocker.com/</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ברור</t>
        </is>
      </c>
      <c r="AE1092" t="inlineStr">
        <is>
          <t>חיפוש חלקי</t>
        </is>
      </c>
      <c r="AG1092" t="inlineStr"/>
      <c r="AH1092" t="inlineStr"/>
      <c r="AI1092" t="inlineStr">
        <is>
          <t>Rockland's own distributor page (rockland.com/distributors) exists but the snippet cut off after Belgium; third-party profiles list distributors in US, Australia, Austria, Belgium, Brazil, Canada, Chile, Denmark 'among others' without naming Israel.</t>
        </is>
      </c>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is>
          <t>+33450030859</t>
        </is>
      </c>
      <c r="AK1095" t="inlineStr">
        <is>
          <t>contact@rotronics.com</t>
        </is>
      </c>
      <c r="AL1095" t="inlineStr">
        <is>
          <t>La Roche-sur-Foron</t>
        </is>
      </c>
      <c r="AM1095" t="inlineStr">
        <is>
          <t>https://www.rotronics.com/fr/contact/</t>
        </is>
      </c>
      <c r="AN1095" t="inlineStr">
        <is>
          <t>https://www.rotronics.com/fr/contact/</t>
        </is>
      </c>
      <c r="AO1095" t="inlineStr">
        <is>
          <t>Q131636473</t>
        </is>
      </c>
      <c r="AP1095" t="inlineStr">
        <is>
          <t>https://www.thomassci.com/browse-by/suppliers/rotronics | https://www.wikidata.org/wiki/Q131636473 | https://www.rotronics.com/fr/contact/</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בחיפוש ראשוני</t>
        </is>
      </c>
      <c r="AE1104" t="inlineStr">
        <is>
          <t>חיפוש חלקי</t>
        </is>
      </c>
      <c r="AG1104" t="inlineStr"/>
      <c r="AH1104" t="inlineStr"/>
      <c r="AI1104" t="inlineStr">
        <is>
          <t>Only The Safety Zone LLC (US) brand info; Israeli hits unrelated (an unnamed glove importer on chamber.org.il; Gamida Ltd listed as Shield Scientific's distributor).</t>
        </is>
      </c>
      <c r="AJ1104" t="inlineStr">
        <is>
          <t>+91 4884 293 339</t>
        </is>
      </c>
      <c r="AK1104" t="inlineStr">
        <is>
          <t>info@safetyzone.in</t>
        </is>
      </c>
      <c r="AN1104" t="inlineStr">
        <is>
          <t>https://safetyzone.in/</t>
        </is>
      </c>
      <c r="AP1104" t="inlineStr">
        <is>
          <t>https://www.quartzy.com/suppliers | https://www.thomassci.com/browse-by/suppliers/safety-zone | https://safetyzone.in/</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בחיפוש ראשוני</t>
        </is>
      </c>
      <c r="AE1106" t="inlineStr">
        <is>
          <t>חיפוש חלקי</t>
        </is>
      </c>
      <c r="AG1106" t="inlineStr"/>
      <c r="AH1106" t="inlineStr"/>
      <c r="AI1106" t="inlineStr">
        <is>
          <t>Only Saint-Gobain Performance Plastics tubing product pages (ThomasSci, Fisher, Labfriend Malaysia, Saint-Gobain NA/China sites); nothing for Israel.</t>
        </is>
      </c>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בחיפוש ראשוני</t>
        </is>
      </c>
      <c r="AE1110" t="inlineStr">
        <is>
          <t>חיפוש חלקי</t>
        </is>
      </c>
      <c r="AG1110" t="inlineStr"/>
      <c r="AH1110" t="inlineStr"/>
      <c r="AI1110" t="inlineStr">
        <is>
          <t>Sampling Systems Ltd (Coleshill, Warwickshire) says it has distributors around the globe but names none; no Israel mention.</t>
        </is>
      </c>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בחיפוש ראשוני</t>
        </is>
      </c>
      <c r="AE1112" t="inlineStr">
        <is>
          <t>חיפוש חלקי</t>
        </is>
      </c>
      <c r="AG1112" t="inlineStr"/>
      <c r="AH1112" t="inlineStr"/>
      <c r="AI1112" t="inlineStr">
        <is>
          <t>Only a 2023 EcoVadis press release for SaniSure (Camarillo, CA; single-use bioprocessing); Israeli hits (Dubek, Sano, Dansell, Plasson) are unrelated name matches.</t>
        </is>
      </c>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בחיפוש ראשוני</t>
        </is>
      </c>
      <c r="AE1125" t="inlineStr">
        <is>
          <t>חיפוש חלקי</t>
        </is>
      </c>
      <c r="AG1125" t="inlineStr"/>
      <c r="AH1125" t="inlineStr"/>
      <c r="AI1125" t="inlineStr">
        <is>
          <t>D&amp;B profile says the company has distributors worldwide (over half of sales outside US); none named for Israel.</t>
        </is>
      </c>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בחיפוש ראשוני</t>
        </is>
      </c>
      <c r="AE1127" t="inlineStr">
        <is>
          <t>חיפוש חלקי</t>
        </is>
      </c>
      <c r="AG1127" t="inlineStr"/>
      <c r="AH1127" t="inlineStr"/>
      <c r="AI1127" t="inlineStr">
        <is>
          <t>Scilogex's distributor page only invites contact to locate a distributor; agentek.co.il pages appeared in the results but no result states Agentek carries Scilogex.</t>
        </is>
      </c>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בחיפוש ראשוני</t>
        </is>
      </c>
      <c r="AE1139" t="inlineStr">
        <is>
          <t>חיפוש חלקי</t>
        </is>
      </c>
      <c r="AG1139" t="inlineStr"/>
      <c r="AH1139" t="inlineStr"/>
      <c r="AI1139" t="inlineStr">
        <is>
          <t>Only US (MDS Associates, Sempermed USA) and Swiss (Huberlab) channels and FDA device records; no Israel mention.</t>
        </is>
      </c>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בחיפוש ראשוני</t>
        </is>
      </c>
      <c r="AE1144" t="inlineStr">
        <is>
          <t>חיפוש חלקי</t>
        </is>
      </c>
      <c r="AG1144" t="inlineStr"/>
      <c r="AH1144" t="inlineStr"/>
      <c r="AI1144" t="inlineStr">
        <is>
          <t>Seward (part of FermionX Ltd since 2016) results are US/EU catalog pages (VWR, Thomas Scientific, Capitol Scientific); no Israel mention.</t>
        </is>
      </c>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M1148" t="inlineStr">
        <is>
          <t>https://sharpie.nl/contact/</t>
        </is>
      </c>
      <c r="AN1148" t="inlineStr">
        <is>
          <t>https://sharpie.nl/contact/</t>
        </is>
      </c>
      <c r="AP1148" t="inlineStr">
        <is>
          <t>https://www.thomassci.com/browse-by/suppliers/sharpie | https://sharpie.nl/contact/</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is>
          <t>833-608-5199</t>
        </is>
      </c>
      <c r="AK1154" t="inlineStr">
        <is>
          <t>customerservice@shoeinn.com</t>
        </is>
      </c>
      <c r="AM1154" t="inlineStr">
        <is>
          <t>https://www.shoeinn.com/pages/contact-us</t>
        </is>
      </c>
      <c r="AN1154" t="inlineStr">
        <is>
          <t>https://www.shoeinn.com/pages/contact-us</t>
        </is>
      </c>
      <c r="AP1154" t="inlineStr">
        <is>
          <t>https://www.thomassci.com/browse-by/suppliers/shoe-inn | https://www.shoeinn.com/pages/contact-us</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בחיפוש ראשוני</t>
        </is>
      </c>
      <c r="AE1155" t="inlineStr">
        <is>
          <t>חיפוש חלקי</t>
        </is>
      </c>
      <c r="AG1155" t="inlineStr"/>
      <c r="AH1155" t="inlineStr"/>
      <c r="AI1155" t="inlineStr">
        <is>
          <t>SHOWA (gloves) sells via a worldwide distributor network; results show US/ZA sellers (MDS Associates, Gemplers, RS South Africa) and showagroup.com EU pages; no Israeli distributor named.</t>
        </is>
      </c>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is>
          <t>042-879-2300</t>
        </is>
      </c>
      <c r="AK1157" t="inlineStr">
        <is>
          <t>sales@si-analytics.ai</t>
        </is>
      </c>
      <c r="AN1157" t="inlineStr">
        <is>
          <t>https://si-analytics.ai/</t>
        </is>
      </c>
      <c r="AP1157" t="inlineStr">
        <is>
          <t>https://www.thomassci.com/browse-by/suppliers/si-analytics | https://si-analytics.ai/</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בחיפוש ראשוני</t>
        </is>
      </c>
      <c r="AE1163" t="inlineStr">
        <is>
          <t>חיפוש חלקי</t>
        </is>
      </c>
      <c r="AG1163" t="inlineStr"/>
      <c r="AH1163" t="inlineStr"/>
      <c r="AI1163" t="inlineStr">
        <is>
          <t>Simport Scientific (Quebec) cites a global distribution network; no Israeli distributor named (Enco and M. Stauber surfaced only as Agrisera distributors).</t>
        </is>
      </c>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בחיפוש ראשוני</t>
        </is>
      </c>
      <c r="AE1165" t="inlineStr">
        <is>
          <t>חיפוש חלקי</t>
        </is>
      </c>
      <c r="AG1165" t="inlineStr"/>
      <c r="AH1165" t="inlineStr"/>
      <c r="AI1165" t="inlineStr">
        <is>
          <t>SKC Inc. (Eighty Four, PA) has a distributor locator but no Israel entry visible; target website sk.co.kr is wrong (skcinc.com).</t>
        </is>
      </c>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is>
          <t>(856) 258-4050</t>
        </is>
      </c>
      <c r="AM1166" t="inlineStr">
        <is>
          <t>https://sklarlaw.com/contact/</t>
        </is>
      </c>
      <c r="AN1166" t="inlineStr">
        <is>
          <t>https://sklarlaw.com/contact/</t>
        </is>
      </c>
      <c r="AP1166" t="inlineStr">
        <is>
          <t>https://www.thomassci.com/browse-by/suppliers/sklar | https://sklarlaw.com/contact/</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N1167" t="inlineStr">
        <is>
          <t>https://slicelife.com/</t>
        </is>
      </c>
      <c r="AP1167" t="inlineStr">
        <is>
          <t>https://www.thomassci.com/browse-by/suppliers/slice | https://slicelife.com/</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N1174" t="inlineStr">
        <is>
          <t>https://smithecological.com/cgi-sys/suspendedpage.cgi</t>
        </is>
      </c>
      <c r="AP1174" t="inlineStr">
        <is>
          <t>https://www.thomassci.com/browse-by/suppliers/smith-ecological-systems | https://smithecological.com/cgi-sys/suspendedpage.cgi</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is>
          <t>23085358</t>
        </is>
      </c>
      <c r="AM1176" t="inlineStr">
        <is>
          <t>https://solow.nl/pages/contact</t>
        </is>
      </c>
      <c r="AN1176" t="inlineStr">
        <is>
          <t>https://solow.nl/pages/contact</t>
        </is>
      </c>
      <c r="AP1176" t="inlineStr">
        <is>
          <t>https://www.thomassci.com/browse-by/suppliers/so-low | https://solow.nl/pages/contact</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בחיפוש ראשוני</t>
        </is>
      </c>
      <c r="AE1177" t="inlineStr">
        <is>
          <t>חיפוש חלקי</t>
        </is>
      </c>
      <c r="AG1177" t="inlineStr"/>
      <c r="AH1177" t="inlineStr"/>
      <c r="AI1177" t="inlineStr">
        <is>
          <t>No result mentions Socorex at all; hits are unrelated Israeli distributor announcements (OpteamX, Militram, Rhenium, Agentek).</t>
        </is>
      </c>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is>
          <t>+18668261997</t>
        </is>
      </c>
      <c r="AK1184" t="inlineStr">
        <is>
          <t>sales@solstice.us</t>
        </is>
      </c>
      <c r="AM1184" t="inlineStr">
        <is>
          <t>https://solstice.us/contact-solstice/</t>
        </is>
      </c>
      <c r="AN1184" t="inlineStr">
        <is>
          <t>https://solstice.us/contact-solstice/</t>
        </is>
      </c>
      <c r="AP1184" t="inlineStr">
        <is>
          <t>https://www.dutscher.com/search?initialFilters=brand:Solstice | https://solstice.us/contact-solstice/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is>
          <t>+390444601918</t>
        </is>
      </c>
      <c r="AK1189" t="inlineStr">
        <is>
          <t>info@sorifav.com</t>
        </is>
      </c>
      <c r="AM1189" t="inlineStr">
        <is>
          <t>https://www.sorifav.com/contatti/</t>
        </is>
      </c>
      <c r="AN1189" t="inlineStr">
        <is>
          <t>https://www.sorifav.com/contatti/</t>
        </is>
      </c>
      <c r="AP1189" t="inlineStr">
        <is>
          <t>https://www.dutscher.com/search?initialFilters=brand:Sorifa | https://www.sorifav.com/contatti/</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בחיפוש ראשוני</t>
        </is>
      </c>
      <c r="AE1190" t="inlineStr">
        <is>
          <t>חיפוש חלקי</t>
        </is>
      </c>
      <c r="AG1190" t="inlineStr"/>
      <c r="AH1190" t="inlineStr"/>
      <c r="AI1190" t="inlineStr">
        <is>
          <t>No result connected SouthernBiotech to an Israeli distributor; Enco's listed brands do not include it.</t>
        </is>
      </c>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בחיפוש ראשוני</t>
        </is>
      </c>
      <c r="AE1191" t="inlineStr">
        <is>
          <t>חיפוש חלקי</t>
        </is>
      </c>
      <c r="AG1191" t="inlineStr"/>
      <c r="AH1191" t="inlineStr"/>
      <c r="AI1191" t="inlineStr">
        <is>
          <t>Only overseas resellers in South Africa/NZ/India/Australia and Fisher listings; no Israel mention.</t>
        </is>
      </c>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is>
          <t>07 3808 6833</t>
        </is>
      </c>
      <c r="AM1194" t="inlineStr">
        <is>
          <t>https://shop.spectronics.com.au/pages/contact</t>
        </is>
      </c>
      <c r="AN1194" t="inlineStr">
        <is>
          <t>https://shop.spectronics.com.au/pages/contact</t>
        </is>
      </c>
      <c r="AP1194" t="inlineStr">
        <is>
          <t>https://www.thomassci.com/browse-by/suppliers/spectronics | https://shop.spectronics.com.au/pages/contact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ברור</t>
        </is>
      </c>
      <c r="AE1196" t="inlineStr">
        <is>
          <t>חיפוש חלקי</t>
        </is>
      </c>
      <c r="AG1196" t="inlineStr"/>
      <c r="AH1196" t="inlineStr"/>
      <c r="AI1196" t="inlineStr">
        <is>
          <t>Spectrum's distributor page has a 'Worldwide' locator (partners in 70 countries) but country entries were not visible in results; USA distributor page lists Cole-Parmer, Fisher, Grainger, Quartzy, VWR; no Israeli distributor named.</t>
        </is>
      </c>
      <c r="AJ1196" t="inlineStr">
        <is>
          <t>+91 7045920551</t>
        </is>
      </c>
      <c r="AK1196" t="inlineStr">
        <is>
          <t>sales@spectrumchemicals.net</t>
        </is>
      </c>
      <c r="AM1196" t="inlineStr">
        <is>
          <t>https://www.spectrumchemicals.net/contact/</t>
        </is>
      </c>
      <c r="AN1196" t="inlineStr">
        <is>
          <t>https://www.spectrumchemicals.net/contact/</t>
        </is>
      </c>
      <c r="AP1196" t="inlineStr">
        <is>
          <t>https://www.quartzy.com/suppliers | https://www.thomassci.com/browse-by/suppliers/spectrum-chemical | https://www.spectrumchemicals.net/contact/</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is>
          <t>617.491.4300</t>
        </is>
      </c>
      <c r="AK1197" t="inlineStr">
        <is>
          <t>info@spectrummedia-boston.com</t>
        </is>
      </c>
      <c r="AN1197" t="inlineStr">
        <is>
          <t>https://spectrummedia-boston.com/</t>
        </is>
      </c>
      <c r="AP1197" t="inlineStr">
        <is>
          <t>https://www.thomassci.com/browse-by/suppliers/spectrum-med | https://spectrummedia-boston.com/</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בחיפוש ראשוני</t>
        </is>
      </c>
      <c r="AE1200" t="inlineStr">
        <is>
          <t>חיפוש חלקי</t>
        </is>
      </c>
      <c r="AG1200" t="inlineStr"/>
      <c r="AH1200" t="inlineStr"/>
      <c r="AI1200" t="inlineStr">
        <is>
          <t>SPEX CertiPrep (Metuchen NJ; UK subsidiary) works through worldwide distributors; none named for Israel in results.</t>
        </is>
      </c>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בחיפוש ראשוני</t>
        </is>
      </c>
      <c r="AE1201" t="inlineStr">
        <is>
          <t>חיפוש חלקי</t>
        </is>
      </c>
      <c r="AG1201" t="inlineStr"/>
      <c r="AH1201" t="inlineStr"/>
      <c r="AI1201" t="inlineStr">
        <is>
          <t>Only Australia/NZ distributor (John Morris Group) and US listings; no Israel mention.</t>
        </is>
      </c>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is>
          <t>1900545471</t>
        </is>
      </c>
      <c r="AN1205" t="inlineStr">
        <is>
          <t>https://www.ssi.com.vn/</t>
        </is>
      </c>
      <c r="AP1205" t="inlineStr">
        <is>
          <t>https://www.thomassci.com/browse-by/suppliers/ssi | https://www.ssi.com.vn/</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בחיפוש ראשוני</t>
        </is>
      </c>
      <c r="AE1214" t="inlineStr">
        <is>
          <t>חיפוש חלקי</t>
        </is>
      </c>
      <c r="AG1214" t="inlineStr"/>
      <c r="AH1214" t="inlineStr"/>
      <c r="AI1214" t="inlineStr">
        <is>
          <t>Sterlitech (Kent, WA) claims customers in 125+ countries; no Israeli distributor named; Agentek appeared only as a generic Israeli distributor with no Sterlitech link.</t>
        </is>
      </c>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is>
          <t>7861223841992</t>
        </is>
      </c>
      <c r="AN1224" t="inlineStr">
        <is>
          <t>https://www.supermaxi.com/</t>
        </is>
      </c>
      <c r="AP1224" t="inlineStr">
        <is>
          <t>https://www.quartzy.com/suppliers | https://www.thomassci.com/browse-by/suppliers/supermax | https://www.supermaxi.com/</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https://www.swagelok.com/en</t>
        </is>
      </c>
      <c r="AP1227" t="inlineStr">
        <is>
          <t>https://www.thomassci.com/browse-by/suppliers/swagelok | https://www.swagelok.com/en</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בחיפוש ראשוני</t>
        </is>
      </c>
      <c r="AE1230" t="inlineStr">
        <is>
          <t>חיפוש חלקי</t>
        </is>
      </c>
      <c r="AG1230" t="inlineStr"/>
      <c r="AH1230" t="inlineStr"/>
      <c r="AI1230" t="inlineStr">
        <is>
          <t>Synthego has a worldwide authorized-distributor directory, but the snippet showed no Israel entry; only global deals with Eurofins (44 countries, 2018) and Thermo Fisher (TrueGuide) surfaced. Slingshot/Almog press release is unrelated.</t>
        </is>
      </c>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בחיפוש ראשוני</t>
        </is>
      </c>
      <c r="AE1245" t="inlineStr">
        <is>
          <t>חיפוש חלקי</t>
        </is>
      </c>
      <c r="AG1245" t="inlineStr"/>
      <c r="AH1245" t="inlineStr"/>
      <c r="AI1245" t="inlineStr">
        <is>
          <t>Company profiles only; Agentek/Enco appeared with no link to Teknova.</t>
        </is>
      </c>
      <c r="AJ1245" t="inlineStr"/>
      <c r="AK1245" t="inlineStr">
        <is>
          <t>info@teknovak.com</t>
        </is>
      </c>
      <c r="AN1245" t="inlineStr">
        <is>
          <t>https://www.teknovak.com/</t>
        </is>
      </c>
      <c r="AP1245" t="inlineStr">
        <is>
          <t>https://www.quartzy.com/suppliers | https://www.thomassci.com/browse-by/suppliers/teknova | https://www.teknovak.com/</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בחיפוש ראשוני</t>
        </is>
      </c>
      <c r="AE1246" t="inlineStr">
        <is>
          <t>חיפוש חלקי</t>
        </is>
      </c>
      <c r="AG1246" t="inlineStr"/>
      <c r="AH1246" t="inlineStr"/>
      <c r="AI1246" t="inlineStr">
        <is>
          <t>Only Singapore distributor (PDS International/safety.com.sg) and Fisher/VWR/Thomas/ProSciTech listings; no Israel mention.</t>
        </is>
      </c>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is>
          <t>(973) 777-6700</t>
        </is>
      </c>
      <c r="AK1255" t="inlineStr">
        <is>
          <t>info@thermcoreps.com</t>
        </is>
      </c>
      <c r="AM1255" t="inlineStr">
        <is>
          <t>https://www.thermcoreps.com/contact-us/</t>
        </is>
      </c>
      <c r="AN1255" t="inlineStr">
        <is>
          <t>https://www.thermcoreps.com/contact-us/</t>
        </is>
      </c>
      <c r="AP1255" t="inlineStr">
        <is>
          <t>https://www.thomassci.com/browse-by/suppliers/thermco | https://www.thermcoreps.com/contact-us/</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N1269" t="inlineStr">
        <is>
          <t>https://thermosafety.pl/</t>
        </is>
      </c>
      <c r="AP1269" t="inlineStr">
        <is>
          <t>https://www.thomassci.com/browse-by/suppliers/thermosafe | https://thermosafety.pl/</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בחיפוש ראשוני</t>
        </is>
      </c>
      <c r="AE1270" t="inlineStr">
        <is>
          <t>חיפוש חלקי</t>
        </is>
      </c>
      <c r="AG1270" t="inlineStr"/>
      <c r="AH1270" t="inlineStr"/>
      <c r="AI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N1285" t="inlineStr">
        <is>
          <t>https://www.transform-tech.com/</t>
        </is>
      </c>
      <c r="AP1285" t="inlineStr">
        <is>
          <t>https://www.thomassci.com/browse-by/suppliers/transforming-technologies | https://www.transform-tech.com/</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בחיפוש ראשוני</t>
        </is>
      </c>
      <c r="AE1290" t="inlineStr">
        <is>
          <t>חיפוש חלקי</t>
        </is>
      </c>
      <c r="AG1290" t="inlineStr"/>
      <c r="AH1290" t="inlineStr"/>
      <c r="AI1290" t="inlineStr">
        <is>
          <t>Only US reseller listings (Genesee Scientific) for TriForest Labware flasks; Israeli distributor pages that surfaced (Rhenium, Enco, Ornat) do not list TriForest. Note: website in targets (triforestflooring.ca) is a flooring company, not the labware maker.</t>
        </is>
      </c>
      <c r="AJ1290" t="inlineStr"/>
      <c r="AM1290" t="inlineStr">
        <is>
          <t>https://triforestflooring.ca/contact/</t>
        </is>
      </c>
      <c r="AN1290" t="inlineStr">
        <is>
          <t>https://triforestflooring.ca/contact/</t>
        </is>
      </c>
      <c r="AP1290" t="inlineStr">
        <is>
          <t>https://www.dutscher.com/search?initialFilters=brand:Triforest | https://www.quartzy.com/suppliers | https://www.thomassci.com/browse-by/suppliers/triforest | https://triforestflooring.ca/contact/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בחיפוש ראשוני</t>
        </is>
      </c>
      <c r="AE1292" t="inlineStr">
        <is>
          <t>חיפוש חלקי</t>
        </is>
      </c>
      <c r="AG1292" t="inlineStr"/>
      <c r="AH1292" t="inlineStr"/>
      <c r="AI1292" t="inlineStr">
        <is>
          <t>No result mentions TrippNT; hits are Tripp Lite Israel (Minicom, Jerusalem) and audio/electronics distributors - different companies.</t>
        </is>
      </c>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בחיפוש ראשוני</t>
        </is>
      </c>
      <c r="AE1293" t="inlineStr">
        <is>
          <t>חיפוש חלקי</t>
        </is>
      </c>
      <c r="AG1293" t="inlineStr"/>
      <c r="AH1293" t="inlineStr"/>
      <c r="AI1293" t="inlineStr">
        <is>
          <t>No result mentioned Troemner; only unrelated Israeli companies.</t>
        </is>
      </c>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חברה-בת בישראל</t>
        </is>
      </c>
      <c r="AE1300" t="inlineStr">
        <is>
          <t>חיפוש חלקי</t>
        </is>
      </c>
      <c r="AF1300" t="n">
        <v>2026</v>
      </c>
      <c r="AG1300" t="inlineStr">
        <is>
          <t>Tuttnauer Ltd.</t>
        </is>
      </c>
      <c r="AH1300" t="inlineStr">
        <is>
          <t>Tuttnauer Ltd.:</t>
        </is>
      </c>
      <c r="AI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J1300" t="inlineStr"/>
      <c r="AP1300" t="inlineStr">
        <is>
          <t>https://www.dutscher.com/search?initialFilters=brand:Tuttnauer | https://www.thomassci.com/browse-by/suppliers/tuttnauer-ltd-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N1308" t="inlineStr">
        <is>
          <t>https://unipix.se/</t>
        </is>
      </c>
      <c r="AP1308" t="inlineStr">
        <is>
          <t>https://www.thomassci.com/browse-by/suppliers/unipix | https://unipix.se/</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בחיפוש ראשוני</t>
        </is>
      </c>
      <c r="AE1309" t="inlineStr">
        <is>
          <t>חיפוש חלקי</t>
        </is>
      </c>
      <c r="AG1309" t="inlineStr"/>
      <c r="AH1309" t="inlineStr"/>
      <c r="AI1309" t="inlineStr">
        <is>
          <t>United Scientific Supplies Inc. (Libertyville, IL) appears only on Fisher Scientific brand pages; the South African 'United Scientific (Pty)' is unrelated; Israeli distributor hits (Enco, Agentek, Rhenium, Eisenberg) do not mention it.</t>
        </is>
      </c>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בחיפוש ראשוני</t>
        </is>
      </c>
      <c r="AE1316" t="inlineStr">
        <is>
          <t>חיפוש חלקי</t>
        </is>
      </c>
      <c r="AG1316" t="inlineStr"/>
      <c r="AH1316" t="inlineStr"/>
      <c r="AI1316" t="inlineStr">
        <is>
          <t>Searched as uvex safety: no importer/distributor named; a Newegg Israel storefront lists uvex safety products priced in shekels (marketplace, not an official channel).</t>
        </is>
      </c>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בחיפוש ראשוני</t>
        </is>
      </c>
      <c r="AE1322" t="inlineStr">
        <is>
          <t>חיפוש חלקי</t>
        </is>
      </c>
      <c r="AG1322" t="inlineStr"/>
      <c r="AH1322" t="inlineStr"/>
      <c r="AI1322" t="inlineStr">
        <is>
          <t>Only company profiles (Middleton, WI); name-confusion hits Varizig (Kamada) and VarSome (Danyel Biotech) are unrelated.</t>
        </is>
      </c>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בחיפוש ראשוני</t>
        </is>
      </c>
      <c r="AE1350" t="inlineStr">
        <is>
          <t>חיפוש חלקי</t>
        </is>
      </c>
      <c r="AG1350" t="inlineStr"/>
      <c r="AH1350" t="inlineStr"/>
      <c r="AI1350" t="inlineStr">
        <is>
          <t>Welch Vacuum (Gardner Denver, Niles IL) results list US distributors (A-VAC, Ideal Vacuum, Across International) and Fisher EU pages; no Israel mention. Note: website in targets (welchs.com) is the juice brand, not Welch Vacuum.</t>
        </is>
      </c>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בחיפוש ראשוני</t>
        </is>
      </c>
      <c r="AE1361" t="inlineStr">
        <is>
          <t>חיפוש חלקי</t>
        </is>
      </c>
      <c r="AG1361" t="inlineStr"/>
      <c r="AH1361" t="inlineStr"/>
      <c r="AI1361" t="inlineStr">
        <is>
          <t>No result mentioned WLD-TEC; the similar-named WITec (microscopes) appointed ATSL as Israeli distributor in 2012, which is a different company.</t>
        </is>
      </c>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M1380" t="inlineStr">
        <is>
          <t>https://www.zoll.de/DE/Kontakt/Dienststellensuche/Startseite/dienststellensuche_node.html</t>
        </is>
      </c>
      <c r="AN1380" t="inlineStr">
        <is>
          <t>https://www.zoll.de/DE/Kontakt/Dienststellensuche/Startseite/dienststellensuche_node.html</t>
        </is>
      </c>
      <c r="AP1380" t="inlineStr">
        <is>
          <t>https://www.thomassci.com/browse-by/suppliers/zoll | https://www.zoll.de/DE/Kontakt/Dienststellensuche/Startseite/dienststellensuche_node.html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בחיפוש ראשוני</t>
        </is>
      </c>
      <c r="AE1382" t="inlineStr">
        <is>
          <t>חיפוש חלקי</t>
        </is>
      </c>
      <c r="AG1382" t="inlineStr"/>
      <c r="AH1382" t="inlineStr"/>
      <c r="AI1382" t="inlineStr">
        <is>
          <t>Only global-network claims, a 2017 VWR North America deal and a Seegene listing; no Israeli distributor named.</t>
        </is>
      </c>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53</v>
      </c>
      <c r="B3" t="inlineStr">
        <is>
          <t>Agilent</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56</v>
      </c>
      <c r="B4" t="inlineStr">
        <is>
          <t>Agilent Technologies</t>
        </is>
      </c>
      <c r="C4" t="inlineStr">
        <is>
          <t>Eldan Electronic Instruments Ltd. (Neopharm group)</t>
        </is>
      </c>
      <c r="D4" t="inlineStr">
        <is>
          <t>אלדן</t>
        </is>
      </c>
      <c r="E4" t="inlineStr">
        <is>
          <t>מפיץ</t>
        </is>
      </c>
      <c r="F4" t="inlineStr">
        <is>
          <t>Agilent authorised distributor for Israel (chromatography, spectroscopy, mass spectrometry, lab products, cell analysis); Petach Tikva, tel. +972-3-9371111, info@eldan.biz, per Agilent's live Israel contact page</t>
        </is>
      </c>
      <c r="G4" t="inlineStr">
        <is>
          <t>https://www.eldan.biz</t>
        </is>
      </c>
      <c r="H4" t="inlineStr">
        <is>
          <t>+972-3-937-1111</t>
        </is>
      </c>
      <c r="I4" t="inlineStr">
        <is>
          <t>info@eldan.biz</t>
        </is>
      </c>
      <c r="J4" t="inlineStr">
        <is>
          <t>6 Hashiloach Street, P.O. Box 7641, Petach Tikva 49170</t>
        </is>
      </c>
      <c r="K4" t="inlineStr"/>
      <c r="L4" t="n">
        <v>2026</v>
      </c>
      <c r="M4" t="inlineStr">
        <is>
          <t>עדכני</t>
        </is>
      </c>
      <c r="N4" t="inlineStr">
        <is>
          <t>prior_research</t>
        </is>
      </c>
      <c r="P4" t="inlineStr">
        <is>
          <t>https://www.agilent.com/en/contact-us/israel</t>
        </is>
      </c>
    </row>
    <row r="5">
      <c r="A5" t="n">
        <v>99</v>
      </c>
      <c r="B5" t="inlineStr">
        <is>
          <t>Analytik Jena</t>
        </is>
      </c>
      <c r="C5" t="inlineStr">
        <is>
          <t>Lifegene</t>
        </is>
      </c>
      <c r="D5" t="inlineStr"/>
      <c r="E5" t="inlineStr">
        <is>
          <t>מפיץ</t>
        </is>
      </c>
      <c r="F5" t="inlineStr">
        <is>
          <t>Biometra thermal cyclers (TAdvanced, TOne, TRobot II) described on Lifegene's live pages as premium PCR instruments from Analytik Jena</t>
        </is>
      </c>
      <c r="G5" t="inlineStr">
        <is>
          <t>https://www.lifegene.co.il</t>
        </is>
      </c>
      <c r="H5" t="inlineStr">
        <is>
          <t>+972 8-644-4314</t>
        </is>
      </c>
      <c r="I5" t="inlineStr">
        <is>
          <t>info@lifegene.co.il</t>
        </is>
      </c>
      <c r="J5" t="inlineStr">
        <is>
          <t>4 Ha'maayan St., Modi'in 7171101 (directory lists Modi'in; other sources say Mevo Horon – verify)</t>
        </is>
      </c>
      <c r="K5" t="inlineStr"/>
      <c r="L5" t="n">
        <v>2026</v>
      </c>
      <c r="M5" t="inlineStr">
        <is>
          <t>עדכני</t>
        </is>
      </c>
      <c r="N5" t="inlineStr">
        <is>
          <t>prior_research</t>
        </is>
      </c>
      <c r="P5" t="inlineStr">
        <is>
          <t>https://www.lifegene.co.il/biometra_tadvanced_pcr</t>
        </is>
      </c>
    </row>
    <row r="6">
      <c r="A6" t="n">
        <v>99</v>
      </c>
      <c r="B6" t="inlineStr">
        <is>
          <t>Analytik Jena</t>
        </is>
      </c>
      <c r="C6" t="inlineStr">
        <is>
          <t>Tamar Laboratory Supplies</t>
        </is>
      </c>
      <c r="D6" t="inlineStr"/>
      <c r="E6" t="inlineStr">
        <is>
          <t>מפיץ</t>
        </is>
      </c>
      <c r="F6" t="inlineStr">
        <is>
          <t>qTOWER³ real-time PCR thermal cycler (live product page) and 'PCR instruments from Biometra' (live project page)</t>
        </is>
      </c>
      <c r="G6" t="inlineStr">
        <is>
          <t>https://tamar.co.il</t>
        </is>
      </c>
      <c r="H6" t="inlineStr">
        <is>
          <t>+972 2-533-6070 (also 02-579-9777)</t>
        </is>
      </c>
      <c r="I6" t="inlineStr"/>
      <c r="J6" t="inlineStr">
        <is>
          <t>HaAla St., Mevaseret Zion 90805</t>
        </is>
      </c>
      <c r="K6" t="inlineStr"/>
      <c r="L6" t="n">
        <v>2026</v>
      </c>
      <c r="M6" t="inlineStr">
        <is>
          <t>עדכני</t>
        </is>
      </c>
      <c r="N6" t="inlineStr">
        <is>
          <t>prior_research</t>
        </is>
      </c>
      <c r="P6" t="inlineStr">
        <is>
          <t>https://tamar.co.il/qtower%C2%B3</t>
        </is>
      </c>
    </row>
    <row r="7">
      <c r="A7" t="n">
        <v>99</v>
      </c>
      <c r="B7" t="inlineStr">
        <is>
          <t>Analytik Jena</t>
        </is>
      </c>
      <c r="C7" t="inlineStr">
        <is>
          <t>Lumitron</t>
        </is>
      </c>
      <c r="D7" t="inlineStr">
        <is>
          <t>לומיטרון</t>
        </is>
      </c>
      <c r="E7" t="inlineStr">
        <is>
          <t>מפיץ</t>
        </is>
      </c>
      <c r="F7" t="inlineStr">
        <is>
          <t>UVP bio-imaging systems - Lumitron's live About page describes UVP as a part of Analytik Jena</t>
        </is>
      </c>
      <c r="G7" t="inlineStr">
        <is>
          <t>https://www.lumitron.co.il</t>
        </is>
      </c>
      <c r="H7" t="inlineStr">
        <is>
          <t>+972 52-525-6287</t>
        </is>
      </c>
      <c r="I7" t="inlineStr"/>
      <c r="J7" t="inlineStr">
        <is>
          <t>17 Hamiflasim St., Petah Tikva</t>
        </is>
      </c>
      <c r="K7" t="inlineStr"/>
      <c r="L7" t="n">
        <v>2026</v>
      </c>
      <c r="M7" t="inlineStr">
        <is>
          <t>עדכני</t>
        </is>
      </c>
      <c r="N7" t="inlineStr">
        <is>
          <t>prior_research</t>
        </is>
      </c>
      <c r="P7" t="inlineStr">
        <is>
          <t>https://www.lumitron.co.il/about-us/</t>
        </is>
      </c>
    </row>
    <row r="8">
      <c r="A8" t="n">
        <v>108</v>
      </c>
      <c r="B8" t="inlineStr">
        <is>
          <t>Anton Paar</t>
        </is>
      </c>
      <c r="C8" t="inlineStr">
        <is>
          <t>Prime Lab Scientific Instruments Ltd.</t>
        </is>
      </c>
      <c r="D8" t="inlineStr">
        <is>
          <t>פריים לאב</t>
        </is>
      </c>
      <c r="E8" t="inlineStr">
        <is>
          <t>מפיץ</t>
        </is>
      </c>
      <c r="F8"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8" t="inlineStr">
        <is>
          <t>https://primelab.co.il</t>
        </is>
      </c>
      <c r="H8" t="inlineStr"/>
      <c r="I8" t="inlineStr"/>
      <c r="J8" t="inlineStr"/>
      <c r="K8" t="inlineStr"/>
      <c r="L8" t="n">
        <v>2026</v>
      </c>
      <c r="M8" t="inlineStr">
        <is>
          <t>עדכני</t>
        </is>
      </c>
      <c r="N8" t="inlineStr">
        <is>
          <t>prior_research</t>
        </is>
      </c>
      <c r="P8" t="inlineStr">
        <is>
          <t>https://primelab.co.il/</t>
        </is>
      </c>
    </row>
    <row r="9">
      <c r="A9" t="n">
        <v>149</v>
      </c>
      <c r="B9" t="inlineStr">
        <is>
          <t>Azenta</t>
        </is>
      </c>
      <c r="C9" t="inlineStr">
        <is>
          <t>HyLabs (Hy Laboratories Ltd.)</t>
        </is>
      </c>
      <c r="D9" t="inlineStr"/>
      <c r="E9" t="inlineStr">
        <is>
          <t>מפיץ</t>
        </is>
      </c>
      <c r="F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9" t="inlineStr">
        <is>
          <t>https://www.hylabs.co.il</t>
        </is>
      </c>
      <c r="H9" t="inlineStr">
        <is>
          <t>+972-8-936-6475</t>
        </is>
      </c>
      <c r="I9" t="inlineStr"/>
      <c r="J9" t="inlineStr">
        <is>
          <t>8 Prof. Menakhem Plaut St., Rehovot (Prospeo lists 6 Plaut St., Rehovot 7670606)</t>
        </is>
      </c>
      <c r="K9" t="inlineStr"/>
      <c r="L9" t="n">
        <v>2026</v>
      </c>
      <c r="M9" t="inlineStr">
        <is>
          <t>עדכני</t>
        </is>
      </c>
      <c r="N9" t="inlineStr">
        <is>
          <t>prior_research</t>
        </is>
      </c>
      <c r="P9" t="inlineStr">
        <is>
          <t>https://www.hylabs.co.il/services/genewiz-genomics-services/</t>
        </is>
      </c>
    </row>
    <row r="10">
      <c r="A10" t="n">
        <v>149</v>
      </c>
      <c r="B10" t="inlineStr">
        <is>
          <t>Azenta</t>
        </is>
      </c>
      <c r="C10" t="inlineStr">
        <is>
          <t>Tamar Laboratory Supplies Ltd.</t>
        </is>
      </c>
      <c r="D10" t="inlineStr">
        <is>
          <t>תמר ציוד מעבדתי</t>
        </is>
      </c>
      <c r="E10" t="inlineStr">
        <is>
          <t>מפיץ</t>
        </is>
      </c>
      <c r="F1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0" t="inlineStr">
        <is>
          <t>https://www.tamar.co.il</t>
        </is>
      </c>
      <c r="H10" t="inlineStr">
        <is>
          <t>+972 2-533-6070 (also 02-579-9777)</t>
        </is>
      </c>
      <c r="I10" t="inlineStr"/>
      <c r="J10" t="inlineStr">
        <is>
          <t>HaAla St., Mevaseret Zion 90805</t>
        </is>
      </c>
      <c r="K10" t="inlineStr"/>
      <c r="L10" t="n">
        <v>2026</v>
      </c>
      <c r="M10" t="inlineStr">
        <is>
          <t>עדכני</t>
        </is>
      </c>
      <c r="N10" t="inlineStr">
        <is>
          <t>prior_research</t>
        </is>
      </c>
      <c r="P10" t="inlineStr">
        <is>
          <t>https://www.tamar.co.il/represented-companies/</t>
        </is>
      </c>
    </row>
    <row r="11">
      <c r="A11" t="n">
        <v>150</v>
      </c>
      <c r="B11" t="inlineStr">
        <is>
          <t>Azenta Life Sciences (formerly 4titude)</t>
        </is>
      </c>
      <c r="C11" t="inlineStr">
        <is>
          <t>HyLabs (Hy Laboratories Ltd.)</t>
        </is>
      </c>
      <c r="D11" t="inlineStr"/>
      <c r="E11" t="inlineStr">
        <is>
          <t>מפיץ</t>
        </is>
      </c>
      <c r="F1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1" t="inlineStr">
        <is>
          <t>https://www.hylabs.co.il</t>
        </is>
      </c>
      <c r="H11" t="inlineStr">
        <is>
          <t>+972-8-936-6475</t>
        </is>
      </c>
      <c r="I11" t="inlineStr"/>
      <c r="J11" t="inlineStr">
        <is>
          <t>8 Prof. Menakhem Plaut St., Rehovot (Prospeo lists 6 Plaut St., Rehovot 7670606)</t>
        </is>
      </c>
      <c r="K11" t="inlineStr"/>
      <c r="L11" t="n">
        <v>2026</v>
      </c>
      <c r="M11" t="inlineStr">
        <is>
          <t>עדכני</t>
        </is>
      </c>
      <c r="N11" t="inlineStr">
        <is>
          <t>prior_research</t>
        </is>
      </c>
      <c r="P11" t="inlineStr">
        <is>
          <t>https://www.hylabs.co.il/services/genewiz-genomics-services/</t>
        </is>
      </c>
    </row>
    <row r="12">
      <c r="A12" t="n">
        <v>150</v>
      </c>
      <c r="B12" t="inlineStr">
        <is>
          <t>Azenta Life Sciences (formerly 4titude)</t>
        </is>
      </c>
      <c r="C12" t="inlineStr">
        <is>
          <t>Tamar Laboratory Supplies Ltd.</t>
        </is>
      </c>
      <c r="D12" t="inlineStr">
        <is>
          <t>תמר ציוד מעבדתי</t>
        </is>
      </c>
      <c r="E12" t="inlineStr">
        <is>
          <t>מפיץ</t>
        </is>
      </c>
      <c r="F1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2" t="inlineStr">
        <is>
          <t>https://www.tamar.co.il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https://www.tamar.co.il/represented-companies/</t>
        </is>
      </c>
    </row>
    <row r="13">
      <c r="A13" t="n">
        <v>165</v>
      </c>
      <c r="B13" t="inlineStr">
        <is>
          <t>BD Biosciences</t>
        </is>
      </c>
      <c r="C13" t="inlineStr">
        <is>
          <t>Augusta Life Sciences Israel Ltd. (Waters subsidiary, ex-BD Biosciences &amp; Diagnostic Solutions)</t>
        </is>
      </c>
      <c r="D13" t="inlineStr"/>
      <c r="E13" t="inlineStr">
        <is>
          <t>חברה-בת</t>
        </is>
      </c>
      <c r="F13"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3" t="inlineStr">
        <is>
          <t>https://www.waters.com</t>
        </is>
      </c>
      <c r="H13" t="inlineStr"/>
      <c r="I13" t="inlineStr"/>
      <c r="J13" t="inlineStr"/>
      <c r="K13" t="inlineStr"/>
      <c r="L13" t="n">
        <v>2026</v>
      </c>
      <c r="M13" t="inlineStr">
        <is>
          <t>עדכני</t>
        </is>
      </c>
      <c r="N13" t="inlineStr">
        <is>
          <t>prior_research</t>
        </is>
      </c>
      <c r="P13" t="inlineStr">
        <is>
          <t>https://www.waters.com/nextgen/us/en/about-waters/corporate-governance/legal-and-privacy-notices/bdtransaction.html</t>
        </is>
      </c>
    </row>
    <row r="14">
      <c r="A14" t="n">
        <v>165</v>
      </c>
      <c r="B14" t="inlineStr">
        <is>
          <t>BD Biosciences</t>
        </is>
      </c>
      <c r="C14" t="inlineStr">
        <is>
          <t>BD Israel (Becton Dickinson)</t>
        </is>
      </c>
      <c r="D14" t="inlineStr"/>
      <c r="E14" t="inlineStr">
        <is>
          <t>חברה-בת</t>
        </is>
      </c>
      <c r="F14"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4" t="inlineStr">
        <is>
          <t>https://www.bd.com/en-il</t>
        </is>
      </c>
      <c r="H14" t="inlineStr"/>
      <c r="I14" t="inlineStr"/>
      <c r="J14" t="inlineStr">
        <is>
          <t>Caesarea</t>
        </is>
      </c>
      <c r="K14" t="inlineStr"/>
      <c r="L14" t="n">
        <v>2026</v>
      </c>
      <c r="M14" t="inlineStr">
        <is>
          <t>עדכני</t>
        </is>
      </c>
      <c r="N14" t="inlineStr">
        <is>
          <t>prior_research</t>
        </is>
      </c>
      <c r="P14" t="inlineStr">
        <is>
          <t>https://jobs.bd.com/location-israel</t>
        </is>
      </c>
    </row>
    <row r="15">
      <c r="A15" t="n">
        <v>165</v>
      </c>
      <c r="B15" t="inlineStr">
        <is>
          <t>BD Biosciences</t>
        </is>
      </c>
      <c r="C15" t="inlineStr">
        <is>
          <t>Lapidot Group (Lapidot Medical)</t>
        </is>
      </c>
      <c r="D15" t="inlineStr">
        <is>
          <t>לפידות</t>
        </is>
      </c>
      <c r="E15" t="inlineStr">
        <is>
          <t>מפיץ</t>
        </is>
      </c>
      <c r="F15" t="inlineStr">
        <is>
          <t>lists BD as a business partner ('global medical technology company'); product scope not stated - likely BD Medical lines, not confirmed for Biosciences/Diagnostics</t>
        </is>
      </c>
      <c r="G15" t="inlineStr">
        <is>
          <t>https://www.lapidot.com</t>
        </is>
      </c>
      <c r="H15" t="inlineStr">
        <is>
          <t>+972-4-6309630 / +972-74-7797836</t>
        </is>
      </c>
      <c r="I15" t="inlineStr">
        <is>
          <t>customerservice@lapidot.com</t>
        </is>
      </c>
      <c r="J15" t="inlineStr">
        <is>
          <t>8 Hashita St., P.O. Box 3552, Caesarea Industrial Park 3088900</t>
        </is>
      </c>
      <c r="K15" t="inlineStr"/>
      <c r="M15" t="inlineStr">
        <is>
          <t>ראיה ישנה</t>
        </is>
      </c>
      <c r="N15" t="inlineStr">
        <is>
          <t>prior_research</t>
        </is>
      </c>
      <c r="P15" t="inlineStr">
        <is>
          <t>https://www.lapidot.com/en/partners/</t>
        </is>
      </c>
    </row>
    <row r="16">
      <c r="A16" t="n">
        <v>168</v>
      </c>
      <c r="B16" t="inlineStr">
        <is>
          <t>Beckman Coulter</t>
        </is>
      </c>
      <c r="C16" t="inlineStr">
        <is>
          <t>Rhenium Ltd.</t>
        </is>
      </c>
      <c r="D16" t="inlineStr">
        <is>
          <t>רניום</t>
        </is>
      </c>
      <c r="E16" t="inlineStr">
        <is>
          <t>מפיץ</t>
        </is>
      </c>
      <c r="F16" t="inlineStr">
        <is>
          <t>Beckman Coulter Life Sciences distributor for Israel - 20 Hasatat St., P.O.B. 180, Modi'in 7171101, +972 8 955 8888, per Beckman Coulter Life Sciences' live Israel contact page</t>
        </is>
      </c>
      <c r="G16" t="inlineStr">
        <is>
          <t>https://www.rhenium.co.il</t>
        </is>
      </c>
      <c r="H16" t="inlineStr">
        <is>
          <t>+972 8-955-8888</t>
        </is>
      </c>
      <c r="I16" t="inlineStr"/>
      <c r="J16" t="inlineStr">
        <is>
          <t>20 Hasatat St., P.O. Box 180, Modi'in 7171101</t>
        </is>
      </c>
      <c r="K16" t="inlineStr"/>
      <c r="L16" t="n">
        <v>2026</v>
      </c>
      <c r="M16" t="inlineStr">
        <is>
          <t>עדכני</t>
        </is>
      </c>
      <c r="N16" t="inlineStr">
        <is>
          <t>prior_research</t>
        </is>
      </c>
      <c r="P16" t="inlineStr">
        <is>
          <t>https://www.beckman.com/contact-us/israel</t>
        </is>
      </c>
    </row>
    <row r="17">
      <c r="A17" t="n">
        <v>168</v>
      </c>
      <c r="B17" t="inlineStr">
        <is>
          <t>Beckman Coulter</t>
        </is>
      </c>
      <c r="C17" t="inlineStr">
        <is>
          <t>Beckman Coulter (Israel) Ltd.</t>
        </is>
      </c>
      <c r="D17" t="inlineStr"/>
      <c r="E17" t="inlineStr">
        <is>
          <t>חברה-בת</t>
        </is>
      </c>
      <c r="F17" t="inlineStr">
        <is>
          <t>Beckman Coulter Diagnostics legal entity in Israel (2 Pekeris St., Park Tamar, Rehovot) listed under the BEC Diagnostics reporting group in Beckman Coulter's EU data-controller list; commercial role (direct diagnostics sales/service) not established</t>
        </is>
      </c>
      <c r="G17" t="inlineStr"/>
      <c r="H17" t="inlineStr"/>
      <c r="I17" t="inlineStr"/>
      <c r="J17" t="inlineStr"/>
      <c r="K17" t="inlineStr"/>
      <c r="L17" t="n">
        <v>2026</v>
      </c>
      <c r="M17" t="inlineStr">
        <is>
          <t>חדש</t>
        </is>
      </c>
      <c r="N17" t="inlineStr">
        <is>
          <t>prior_research</t>
        </is>
      </c>
      <c r="P17" t="inlineStr">
        <is>
          <t>https://media.beckmancoulter.com/-/media/diagnostics/eu-assets/pdf/controller-list.pdf?rev=e10665d675ed4f24adf07082e61099f6&amp;hash=DF4541DC81268F0844822FB104DF7F66</t>
        </is>
      </c>
    </row>
    <row r="18">
      <c r="A18" t="n">
        <v>189</v>
      </c>
      <c r="B18" t="inlineStr">
        <is>
          <t>Binder</t>
        </is>
      </c>
      <c r="C18" t="inlineStr">
        <is>
          <t>Labotal Scientific Equipment Ltd.</t>
        </is>
      </c>
      <c r="D18" t="inlineStr">
        <is>
          <t>לבוטל ציוד מדעי</t>
        </is>
      </c>
      <c r="E18" t="inlineStr">
        <is>
          <t>מפיץ</t>
        </is>
      </c>
      <c r="F18" t="inlineStr">
        <is>
          <t>Binder incubators, drying ovens and climate/simulation chambers - Labotal's live 'Binder' represented-firm page (founded 1983 by Peter M. Binder), live 'Represented Firms' page and drying-systems category</t>
        </is>
      </c>
      <c r="G18" t="inlineStr">
        <is>
          <t>https://labotal.co.il</t>
        </is>
      </c>
      <c r="H18" t="inlineStr">
        <is>
          <t>+972 2-579-9222</t>
        </is>
      </c>
      <c r="I18" t="inlineStr">
        <is>
          <t>Sales@labotal.co.il</t>
        </is>
      </c>
      <c r="J18" t="inlineStr">
        <is>
          <t>Hashalom Rd., Abu Ghosh 9084500 (mail: Mevaseret Zion)</t>
        </is>
      </c>
      <c r="K18" t="inlineStr">
        <is>
          <t>https://labotal.co.il/contact/</t>
        </is>
      </c>
      <c r="L18" t="n">
        <v>2026</v>
      </c>
      <c r="M18" t="inlineStr">
        <is>
          <t>עדכני</t>
        </is>
      </c>
      <c r="N18" t="inlineStr">
        <is>
          <t>prior_research</t>
        </is>
      </c>
      <c r="P18" t="inlineStr">
        <is>
          <t>https://labotal.co.il/firms/binder/?lang=en</t>
        </is>
      </c>
    </row>
    <row r="19">
      <c r="A19" t="n">
        <v>190</v>
      </c>
      <c r="B19" t="inlineStr">
        <is>
          <t>Bio Basic Inc.</t>
        </is>
      </c>
      <c r="C19" t="inlineStr">
        <is>
          <t>Syntezza Bioscience Ltd</t>
        </is>
      </c>
      <c r="D19" t="inlineStr">
        <is>
          <t>סינתזה ביוסיינס</t>
        </is>
      </c>
      <c r="E19" t="inlineStr">
        <is>
          <t>מפיץ</t>
        </is>
      </c>
      <c r="F19"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19" t="inlineStr">
        <is>
          <t>https://www.syntezza.com</t>
        </is>
      </c>
      <c r="J19" t="inlineStr">
        <is>
          <t>17 Hartom St., Har Hotzvim, Jerusalem</t>
        </is>
      </c>
      <c r="L19" t="n">
        <v>2026</v>
      </c>
      <c r="M19" t="inlineStr">
        <is>
          <t>עדכני</t>
        </is>
      </c>
      <c r="N19" t="inlineStr">
        <is>
          <t>manufacturer_or_press</t>
        </is>
      </c>
      <c r="O19" t="inlineStr">
        <is>
          <t>search</t>
        </is>
      </c>
      <c r="P19" t="inlineStr">
        <is>
          <t>https://www.syntezza.com/about/</t>
        </is>
      </c>
    </row>
    <row r="20">
      <c r="A20" t="n">
        <v>192</v>
      </c>
      <c r="B20" t="inlineStr">
        <is>
          <t>Bio-Rad</t>
        </is>
      </c>
      <c r="C20" t="inlineStr">
        <is>
          <t>Bio-Rad Israel Ltd. (Bio-Rad Laboratories (Rishon))</t>
        </is>
      </c>
      <c r="D20" t="inlineStr">
        <is>
          <t>ביו-ראד ישראל</t>
        </is>
      </c>
      <c r="E20" t="inlineStr">
        <is>
          <t>חברה-בת</t>
        </is>
      </c>
      <c r="F20" t="inlineStr">
        <is>
          <t>direct sales &amp; service of life-science and clinical-diagnostics products (Rishon LeZion; branch since 1991)</t>
        </is>
      </c>
      <c r="G20" t="inlineStr">
        <is>
          <t>https://www.bio-rad.com</t>
        </is>
      </c>
      <c r="H20" t="inlineStr"/>
      <c r="I20" t="inlineStr"/>
      <c r="J20" t="inlineStr">
        <is>
          <t>Netiv HaOr, Haifa</t>
        </is>
      </c>
      <c r="K20" t="inlineStr">
        <is>
          <t>https://www.bio-rad.com/en-il/contact-us</t>
        </is>
      </c>
      <c r="M20" t="inlineStr"/>
      <c r="N20" t="inlineStr">
        <is>
          <t>prior_research</t>
        </is>
      </c>
      <c r="P20" t="inlineStr">
        <is>
          <t>https://www.bio-rad.com/en-il/corporate/careers</t>
        </is>
      </c>
    </row>
    <row r="21">
      <c r="A21" t="n">
        <v>192</v>
      </c>
      <c r="B21" t="inlineStr">
        <is>
          <t>Bio-Rad</t>
        </is>
      </c>
      <c r="C21" t="inlineStr">
        <is>
          <t>Bio-Rad Haifa Ltd.</t>
        </is>
      </c>
      <c r="D21" t="inlineStr">
        <is>
          <t>ביו-ראד חיפה</t>
        </is>
      </c>
      <c r="E21" t="inlineStr">
        <is>
          <t>חברה-בת</t>
        </is>
      </c>
      <c r="F21"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1" t="inlineStr">
        <is>
          <t>https://www.bio-rad.com</t>
        </is>
      </c>
      <c r="H21" t="inlineStr"/>
      <c r="I21" t="inlineStr"/>
      <c r="J21" t="inlineStr">
        <is>
          <t>Netiv HaOr, Haifa</t>
        </is>
      </c>
      <c r="K21" t="inlineStr">
        <is>
          <t>https://www.bio-rad.com/en-il/contact-us</t>
        </is>
      </c>
      <c r="L21" t="n">
        <v>2006</v>
      </c>
      <c r="M21" t="inlineStr">
        <is>
          <t>ראיה ישנה</t>
        </is>
      </c>
      <c r="N21" t="inlineStr">
        <is>
          <t>prior_research</t>
        </is>
      </c>
      <c r="P21" t="inlineStr">
        <is>
          <t>https://www.bio-rad.com/webroot/web/pdf/general/trading_terms/AGB_IL.pdf</t>
        </is>
      </c>
    </row>
    <row r="22">
      <c r="A22" t="n">
        <v>217</v>
      </c>
      <c r="B22" t="inlineStr">
        <is>
          <t>Biotage</t>
        </is>
      </c>
      <c r="C22" t="inlineStr">
        <is>
          <t>Bargal Analytical Instruments Ltd.</t>
        </is>
      </c>
      <c r="D22" t="inlineStr">
        <is>
          <t>ברגל ציוד אנליטי</t>
        </is>
      </c>
      <c r="E22" t="inlineStr">
        <is>
          <t>מפיץ</t>
        </is>
      </c>
      <c r="F2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2" t="inlineStr">
        <is>
          <t>https://www.bargal.co.il</t>
        </is>
      </c>
      <c r="H22" t="inlineStr">
        <is>
          <t>+972-3-979-6533</t>
        </is>
      </c>
      <c r="I22" t="inlineStr">
        <is>
          <t>sales@bargal.co.il</t>
        </is>
      </c>
      <c r="J22" t="inlineStr">
        <is>
          <t>10 Shaked Street, Modi'in Industrial Park, Shoham 6085102</t>
        </is>
      </c>
      <c r="K22" t="inlineStr"/>
      <c r="L22" t="n">
        <v>2026</v>
      </c>
      <c r="M22" t="inlineStr">
        <is>
          <t>עדכני</t>
        </is>
      </c>
      <c r="N22" t="inlineStr">
        <is>
          <t>prior_research</t>
        </is>
      </c>
      <c r="P22" t="inlineStr">
        <is>
          <t>https://www.biotage.com/company/contact</t>
        </is>
      </c>
    </row>
    <row r="23">
      <c r="A23" t="n">
        <v>219</v>
      </c>
      <c r="B23" t="inlineStr">
        <is>
          <t>Biotium</t>
        </is>
      </c>
      <c r="C23" t="inlineStr">
        <is>
          <t>Doron Scientific</t>
        </is>
      </c>
      <c r="D23" t="inlineStr">
        <is>
          <t>דורון סיינטיפיק</t>
        </is>
      </c>
      <c r="E23" t="inlineStr">
        <is>
          <t>מפיץ</t>
        </is>
      </c>
      <c r="F23" t="inlineStr">
        <is>
          <t>Listed as an authorized distributor for Israel (Kiryat Ono) on Biotium's Middle East authorized-distributors page</t>
        </is>
      </c>
      <c r="G23" t="inlineStr">
        <is>
          <t>https://www.doronscientific.com</t>
        </is>
      </c>
      <c r="H23" t="inlineStr">
        <is>
          <t>+972-54-554-4004</t>
        </is>
      </c>
      <c r="J23" t="inlineStr">
        <is>
          <t>8 Yehoshua Baum St., Kiryat Ono</t>
        </is>
      </c>
      <c r="L23" t="n">
        <v>2026</v>
      </c>
      <c r="M23" t="inlineStr">
        <is>
          <t>עדכני</t>
        </is>
      </c>
      <c r="N23" t="inlineStr">
        <is>
          <t>manufacturer_or_press</t>
        </is>
      </c>
      <c r="O23" t="inlineStr">
        <is>
          <t>search</t>
        </is>
      </c>
      <c r="P23" t="inlineStr">
        <is>
          <t>https://biotium.com/authorized-distributors/middle-east</t>
        </is>
      </c>
    </row>
    <row r="24">
      <c r="A24" t="n">
        <v>219</v>
      </c>
      <c r="B24" t="inlineStr">
        <is>
          <t>Biotium</t>
        </is>
      </c>
      <c r="C24" t="inlineStr">
        <is>
          <t>Enco Scientific Services Ltd. (Enco Diagnostics)</t>
        </is>
      </c>
      <c r="D24" t="inlineStr">
        <is>
          <t>אנקו</t>
        </is>
      </c>
      <c r="E24" t="inlineStr">
        <is>
          <t>מפיץ</t>
        </is>
      </c>
      <c r="F24" t="inlineStr">
        <is>
          <t>Listed as an authorized distributor for Israel (Petach Tikva) on Biotium's Middle East authorized-distributors page</t>
        </is>
      </c>
      <c r="G24" t="inlineStr">
        <is>
          <t>https://www.enco.co.il</t>
        </is>
      </c>
      <c r="L24" t="n">
        <v>2026</v>
      </c>
      <c r="M24" t="inlineStr">
        <is>
          <t>עדכני</t>
        </is>
      </c>
      <c r="N24" t="inlineStr">
        <is>
          <t>manufacturer_or_press</t>
        </is>
      </c>
      <c r="O24" t="inlineStr">
        <is>
          <t>search</t>
        </is>
      </c>
      <c r="P24" t="inlineStr">
        <is>
          <t>https://biotium.com/authorized-distributors/middle-east</t>
        </is>
      </c>
    </row>
    <row r="25">
      <c r="A25" t="n">
        <v>219</v>
      </c>
      <c r="B25" t="inlineStr">
        <is>
          <t>Biotium</t>
        </is>
      </c>
      <c r="C25" t="inlineStr">
        <is>
          <t>New Biotechnology Ltd</t>
        </is>
      </c>
      <c r="D25" t="inlineStr">
        <is>
          <t>ניו ביוטכנולוגי (NBT)</t>
        </is>
      </c>
      <c r="E25" t="inlineStr">
        <is>
          <t>מפיץ</t>
        </is>
      </c>
      <c r="F25" t="inlineStr">
        <is>
          <t>Listed as an authorized distributor for Israel (Jerusalem) on Biotium's Middle East authorized-distributors page</t>
        </is>
      </c>
      <c r="G25" t="inlineStr">
        <is>
          <t>https://www.nbtltd.com</t>
        </is>
      </c>
      <c r="H25" t="inlineStr">
        <is>
          <t>+972-2-673-2001</t>
        </is>
      </c>
      <c r="I25" t="inlineStr">
        <is>
          <t>nbtsales@nbtltd.com</t>
        </is>
      </c>
      <c r="J25" t="inlineStr">
        <is>
          <t>3 Mekor Haim St., P.O. Box 8662, Jerusalem 91086</t>
        </is>
      </c>
      <c r="L25" t="n">
        <v>2026</v>
      </c>
      <c r="M25" t="inlineStr">
        <is>
          <t>עדכני</t>
        </is>
      </c>
      <c r="N25" t="inlineStr">
        <is>
          <t>manufacturer_or_press</t>
        </is>
      </c>
      <c r="O25" t="inlineStr">
        <is>
          <t>search</t>
        </is>
      </c>
      <c r="P25" t="inlineStr">
        <is>
          <t>https://biotium.com/authorized-distributors/middle-east</t>
        </is>
      </c>
    </row>
    <row r="26">
      <c r="A26" t="n">
        <v>219</v>
      </c>
      <c r="B26" t="inlineStr">
        <is>
          <t>Biotium</t>
        </is>
      </c>
      <c r="C26" t="inlineStr">
        <is>
          <t>Origolab Ltd</t>
        </is>
      </c>
      <c r="D26" t="inlineStr">
        <is>
          <t>אוריגולאב</t>
        </is>
      </c>
      <c r="E26" t="inlineStr">
        <is>
          <t>מפיץ</t>
        </is>
      </c>
      <c r="F26" t="inlineStr">
        <is>
          <t>Listed as an authorized distributor for Israel on Biotium's Middle East authorized-distributors page</t>
        </is>
      </c>
      <c r="H26" t="inlineStr">
        <is>
          <t>+972-2-566-9285</t>
        </is>
      </c>
      <c r="I26" t="inlineStr">
        <is>
          <t>origolab@netmedia.net.il</t>
        </is>
      </c>
      <c r="J26" t="inlineStr">
        <is>
          <t>28 Kaf-Tet BeNovember St., Jerusalem</t>
        </is>
      </c>
      <c r="L26" t="n">
        <v>2026</v>
      </c>
      <c r="M26" t="inlineStr">
        <is>
          <t>עדכני</t>
        </is>
      </c>
      <c r="N26" t="inlineStr">
        <is>
          <t>manufacturer_or_press</t>
        </is>
      </c>
      <c r="O26" t="inlineStr">
        <is>
          <t>search</t>
        </is>
      </c>
      <c r="P26" t="inlineStr">
        <is>
          <t>https://biotium.com/authorized-distributors/middle-east</t>
        </is>
      </c>
    </row>
    <row r="27">
      <c r="A27" t="n">
        <v>246</v>
      </c>
      <c r="B27" t="inlineStr">
        <is>
          <t>Brand</t>
        </is>
      </c>
      <c r="C27" t="inlineStr">
        <is>
          <t>Labotal Scientific Equipment Ltd.</t>
        </is>
      </c>
      <c r="D27" t="inlineStr">
        <is>
          <t>לבוטל</t>
        </is>
      </c>
      <c r="E27" t="inlineStr">
        <is>
          <t>מפיץ</t>
        </is>
      </c>
      <c r="F2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7" t="inlineStr">
        <is>
          <t>https://labotal.co.il</t>
        </is>
      </c>
      <c r="H27" t="inlineStr">
        <is>
          <t>+972 2-579-9222</t>
        </is>
      </c>
      <c r="I27" t="inlineStr">
        <is>
          <t>Sales@labotal.co.il</t>
        </is>
      </c>
      <c r="J27" t="inlineStr">
        <is>
          <t>Hashalom Rd., Abu Ghosh 9084500 (mail: Mevaseret Zion)</t>
        </is>
      </c>
      <c r="K27" t="inlineStr">
        <is>
          <t>https://labotal.co.il/contact/</t>
        </is>
      </c>
      <c r="L27" t="n">
        <v>2026</v>
      </c>
      <c r="M27" t="inlineStr">
        <is>
          <t>עדכני</t>
        </is>
      </c>
      <c r="N27" t="inlineStr">
        <is>
          <t>prior_research</t>
        </is>
      </c>
      <c r="P27" t="inlineStr">
        <is>
          <t>https://www.vacuubrand.com/service-advice/contact/contacts-worldwide</t>
        </is>
      </c>
    </row>
    <row r="28">
      <c r="A28" t="n">
        <v>246</v>
      </c>
      <c r="B28" t="inlineStr">
        <is>
          <t>Brand</t>
        </is>
      </c>
      <c r="C28" t="inlineStr">
        <is>
          <t>Yoel Naim Ltd.</t>
        </is>
      </c>
      <c r="D28" t="inlineStr"/>
      <c r="E28" t="inlineStr">
        <is>
          <t>מפיץ</t>
        </is>
      </c>
      <c r="F28" t="inlineStr">
        <is>
          <t>BRAND (liquid handling, volumetric ware) distributor and service partner for Israel - named on BRAND's live 'Sales and Consulting worldwide' page (industrial area, Rehovot); website not found</t>
        </is>
      </c>
      <c r="G28" t="inlineStr"/>
      <c r="H28" t="inlineStr"/>
      <c r="I28" t="inlineStr"/>
      <c r="J28" t="inlineStr"/>
      <c r="K28" t="inlineStr"/>
      <c r="L28" t="n">
        <v>2026</v>
      </c>
      <c r="M28" t="inlineStr">
        <is>
          <t>חדש</t>
        </is>
      </c>
      <c r="N28" t="inlineStr">
        <is>
          <t>prior_research</t>
        </is>
      </c>
      <c r="P28" t="inlineStr">
        <is>
          <t>https://www.brand.de/en/company/sales-worldwide</t>
        </is>
      </c>
    </row>
    <row r="29">
      <c r="A29" t="n">
        <v>247</v>
      </c>
      <c r="B29" t="inlineStr">
        <is>
          <t>BrandTech®</t>
        </is>
      </c>
      <c r="C29" t="inlineStr">
        <is>
          <t>Labotal Scientific Equipment Ltd.</t>
        </is>
      </c>
      <c r="D29" t="inlineStr">
        <is>
          <t>לבוטל</t>
        </is>
      </c>
      <c r="E29" t="inlineStr">
        <is>
          <t>מפיץ</t>
        </is>
      </c>
      <c r="F2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9" t="inlineStr">
        <is>
          <t>https://labotal.co.il</t>
        </is>
      </c>
      <c r="H29" t="inlineStr">
        <is>
          <t>+972 2-579-9222</t>
        </is>
      </c>
      <c r="I29" t="inlineStr">
        <is>
          <t>Sales@labotal.co.il</t>
        </is>
      </c>
      <c r="J29" t="inlineStr">
        <is>
          <t>Hashalom Rd., Abu Ghosh 9084500 (mail: Mevaseret Zion)</t>
        </is>
      </c>
      <c r="K29" t="inlineStr">
        <is>
          <t>https://labotal.co.il/contact/</t>
        </is>
      </c>
      <c r="L29" t="n">
        <v>2026</v>
      </c>
      <c r="M29" t="inlineStr">
        <is>
          <t>עדכני</t>
        </is>
      </c>
      <c r="N29" t="inlineStr">
        <is>
          <t>prior_research</t>
        </is>
      </c>
      <c r="P29" t="inlineStr">
        <is>
          <t>https://www.vacuubrand.com/service-advice/contact/contacts-worldwide</t>
        </is>
      </c>
    </row>
    <row r="30">
      <c r="A30" t="n">
        <v>247</v>
      </c>
      <c r="B30" t="inlineStr">
        <is>
          <t>BrandTech®</t>
        </is>
      </c>
      <c r="C30" t="inlineStr">
        <is>
          <t>Yoel Naim Ltd.</t>
        </is>
      </c>
      <c r="D30" t="inlineStr"/>
      <c r="E30" t="inlineStr">
        <is>
          <t>מפיץ</t>
        </is>
      </c>
      <c r="F30" t="inlineStr">
        <is>
          <t>BRAND (liquid handling, volumetric ware) distributor and service partner for Israel - named on BRAND's live 'Sales and Consulting worldwide' page (industrial area, Rehovot); website not found</t>
        </is>
      </c>
      <c r="G30" t="inlineStr"/>
      <c r="H30" t="inlineStr"/>
      <c r="I30" t="inlineStr"/>
      <c r="J30" t="inlineStr"/>
      <c r="K30" t="inlineStr"/>
      <c r="L30" t="n">
        <v>2026</v>
      </c>
      <c r="M30" t="inlineStr">
        <is>
          <t>חדש</t>
        </is>
      </c>
      <c r="N30" t="inlineStr">
        <is>
          <t>prior_research</t>
        </is>
      </c>
      <c r="P30" t="inlineStr">
        <is>
          <t>https://www.brand.de/en/company/sales-worldwide</t>
        </is>
      </c>
    </row>
    <row r="31">
      <c r="A31" t="n">
        <v>257</v>
      </c>
      <c r="B31" t="inlineStr">
        <is>
          <t>Buchi</t>
        </is>
      </c>
      <c r="C31" t="inlineStr">
        <is>
          <t>Dr. Golik Scientific Solutions</t>
        </is>
      </c>
      <c r="D31" t="inlineStr">
        <is>
          <t>ד"ר גוליק</t>
        </is>
      </c>
      <c r="E31" t="inlineStr">
        <is>
          <t>מפיץ</t>
        </is>
      </c>
      <c r="F31"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31" t="inlineStr">
        <is>
          <t>https://www.golik.co.il</t>
        </is>
      </c>
      <c r="H31" t="inlineStr">
        <is>
          <t>+972-3-518-7555</t>
        </is>
      </c>
      <c r="I31" t="inlineStr">
        <is>
          <t>marketing@golik.co.il</t>
        </is>
      </c>
      <c r="J31" t="inlineStr">
        <is>
          <t>34 Kibbutz Galuyot St, Tel Aviv 66550</t>
        </is>
      </c>
      <c r="K31" t="inlineStr"/>
      <c r="L31" t="n">
        <v>2026</v>
      </c>
      <c r="M31" t="inlineStr">
        <is>
          <t>עדכני</t>
        </is>
      </c>
      <c r="N31" t="inlineStr">
        <is>
          <t>prior_research</t>
        </is>
      </c>
      <c r="P31" t="inlineStr">
        <is>
          <t>https://www.golik.co.il/manufacturers/buchi</t>
        </is>
      </c>
    </row>
    <row r="32">
      <c r="A32" t="n">
        <v>294</v>
      </c>
      <c r="B32" t="inlineStr">
        <is>
          <t>Cell Signaling Technology</t>
        </is>
      </c>
      <c r="C32" t="inlineStr">
        <is>
          <t>Ornat BioChemicals &amp; Lab Equipment Ltd.</t>
        </is>
      </c>
      <c r="D32" t="inlineStr">
        <is>
          <t>אורנת</t>
        </is>
      </c>
      <c r="E32" t="inlineStr">
        <is>
          <t>מפיץ</t>
        </is>
      </c>
      <c r="F32" t="inlineStr">
        <is>
          <t>Listed as Ornat partner brand on the FISEB (Federation of Israeli Societies for Experimental Biology) vendors page; undated</t>
        </is>
      </c>
      <c r="G32" t="inlineStr">
        <is>
          <t>https://www.ornat.co.il</t>
        </is>
      </c>
      <c r="M32" t="inlineStr">
        <is>
          <t>עדכני</t>
        </is>
      </c>
      <c r="N32" t="inlineStr">
        <is>
          <t>manufacturer_or_press</t>
        </is>
      </c>
      <c r="P32" t="inlineStr">
        <is>
          <t>https://www.fiseb.org/vendors/</t>
        </is>
      </c>
    </row>
    <row r="33">
      <c r="A33" t="n">
        <v>345</v>
      </c>
      <c r="B33" t="inlineStr">
        <is>
          <t>Cole 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362</v>
      </c>
      <c r="B34" t="inlineStr">
        <is>
          <t>Corning</t>
        </is>
      </c>
      <c r="C34" t="inlineStr">
        <is>
          <t>Getter Group (Getter Bio-Med)</t>
        </is>
      </c>
      <c r="D34" t="inlineStr">
        <is>
          <t>קבוצת גטר</t>
        </is>
      </c>
      <c r="E34" t="inlineStr">
        <is>
          <t>מפיץ</t>
        </is>
      </c>
      <c r="F34" t="inlineStr">
        <is>
          <t>Corning - Getter Group's live English about page lists Corning among the brands it exclusively represents in Israel and a Hebrew brand page profiles Corning; life-science vs. other Corning lines still not specified</t>
        </is>
      </c>
      <c r="G34" t="inlineStr">
        <is>
          <t>https://www.getter.co.il</t>
        </is>
      </c>
      <c r="H34" t="inlineStr">
        <is>
          <t>+972 3-576-1555 (Getter Group switchboard)</t>
        </is>
      </c>
      <c r="I34" t="inlineStr"/>
      <c r="J34" t="inlineStr">
        <is>
          <t>7 Shimshon St., Petah Tikva 4912502</t>
        </is>
      </c>
      <c r="K34" t="inlineStr"/>
      <c r="L34" t="n">
        <v>2026</v>
      </c>
      <c r="M34" t="inlineStr">
        <is>
          <t>עדכני</t>
        </is>
      </c>
      <c r="N34" t="inlineStr">
        <is>
          <t>prior_research</t>
        </is>
      </c>
      <c r="P34" t="inlineStr">
        <is>
          <t>https://www.getter.co.il/about-en/</t>
        </is>
      </c>
    </row>
    <row r="35">
      <c r="A35" t="n">
        <v>388</v>
      </c>
      <c r="B35" t="inlineStr">
        <is>
          <t>Cytiva</t>
        </is>
      </c>
      <c r="C35" t="inlineStr">
        <is>
          <t>Danyel Biotech</t>
        </is>
      </c>
      <c r="D35" t="inlineStr"/>
      <c r="E35" t="inlineStr">
        <is>
          <t>מפיץ</t>
        </is>
      </c>
      <c r="F35" t="inlineStr">
        <is>
          <t>Cytiva chromatography (ÄKTA) and Biacore - live 'Biacore (Cytiva)' brand page on Danyel's site; other Cytiva lines (Whatman, Amersham, Pall) not confirmed</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https://www.danyel.co.il/biacore-cytiva/</t>
        </is>
      </c>
    </row>
    <row r="36">
      <c r="A36" t="n">
        <v>388</v>
      </c>
      <c r="B36" t="inlineStr">
        <is>
          <t>Cytiva</t>
        </is>
      </c>
      <c r="C36" t="inlineStr">
        <is>
          <t>Lifegene Ltd.</t>
        </is>
      </c>
      <c r="D36" t="inlineStr">
        <is>
          <t>לייפג'ין</t>
        </is>
      </c>
      <c r="E36" t="inlineStr">
        <is>
          <t>מפיץ</t>
        </is>
      </c>
      <c r="F36" t="inlineStr">
        <is>
          <t>Whatman filtration products (a Cytiva brand) sold through the Lifegene catalogue</t>
        </is>
      </c>
      <c r="G36" t="inlineStr">
        <is>
          <t>https://www.lifegene.co.il</t>
        </is>
      </c>
      <c r="H36" t="inlineStr">
        <is>
          <t>+972 8-644-4314</t>
        </is>
      </c>
      <c r="I36" t="inlineStr">
        <is>
          <t>info@lifegene.co.il</t>
        </is>
      </c>
      <c r="J36" t="inlineStr">
        <is>
          <t>4 Ha'maayan St., Modi'in 7171101 (directory lists Modi'in; other sources say Mevo Horon – verify)</t>
        </is>
      </c>
      <c r="K36" t="inlineStr"/>
      <c r="M36" t="inlineStr">
        <is>
          <t>ראיה ישנה</t>
        </is>
      </c>
      <c r="N36" t="inlineStr">
        <is>
          <t>prior_research</t>
        </is>
      </c>
      <c r="P36" t="inlineStr">
        <is>
          <t>https://lifegene.co.il/product/puradisc-13-syringe-filter-045µm-polypropylene-100-pk/</t>
        </is>
      </c>
    </row>
    <row r="37">
      <c r="A37" t="n">
        <v>418</v>
      </c>
      <c r="B37" t="inlineStr">
        <is>
          <t>Duran</t>
        </is>
      </c>
      <c r="C37" t="inlineStr">
        <is>
          <t>Danyel Biotech Ltd. (Gamida for Life group)</t>
        </is>
      </c>
      <c r="D37" t="inlineStr">
        <is>
          <t>דניאל ביוטק</t>
        </is>
      </c>
      <c r="E37" t="inlineStr">
        <is>
          <t>מפיץ</t>
        </is>
      </c>
      <c r="F3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7" t="inlineStr">
        <is>
          <t>https://www.danyel.co.il</t>
        </is>
      </c>
      <c r="H37" t="inlineStr">
        <is>
          <t>1-800-711-911 (also +972 8-936-6066)</t>
        </is>
      </c>
      <c r="I37" t="inlineStr"/>
      <c r="J37" t="inlineStr">
        <is>
          <t>8 Hamada St., Science Park, Rehovot 7670308</t>
        </is>
      </c>
      <c r="K37" t="inlineStr">
        <is>
          <t>https://www.danyel.co.il/contact-us/</t>
        </is>
      </c>
      <c r="L37" t="n">
        <v>2026</v>
      </c>
      <c r="M37" t="inlineStr">
        <is>
          <t>עדכני</t>
        </is>
      </c>
      <c r="N37" t="inlineStr">
        <is>
          <t>prior_research</t>
        </is>
      </c>
      <c r="P37" t="inlineStr">
        <is>
          <t>https://www.danyel.co.il/scilabware/</t>
        </is>
      </c>
    </row>
    <row r="38">
      <c r="A38" t="n">
        <v>422</v>
      </c>
      <c r="B38" t="inlineStr">
        <is>
          <t>DWK Life Sciences (Wheaton)</t>
        </is>
      </c>
      <c r="C38" t="inlineStr">
        <is>
          <t>Danyel Biotech Ltd. (Gamida for Life group)</t>
        </is>
      </c>
      <c r="D38" t="inlineStr">
        <is>
          <t>דניאל ביוטק</t>
        </is>
      </c>
      <c r="E38" t="inlineStr">
        <is>
          <t>מפיץ</t>
        </is>
      </c>
      <c r="F38"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https://www.danyel.co.il/scilabware/</t>
        </is>
      </c>
    </row>
    <row r="39">
      <c r="A39" t="n">
        <v>451</v>
      </c>
      <c r="B39" t="inlineStr">
        <is>
          <t>Electrothermal (Cole-Parmer)</t>
        </is>
      </c>
      <c r="C39" t="inlineStr">
        <is>
          <t>Medent Scientific Instruments</t>
        </is>
      </c>
      <c r="D39" t="inlineStr">
        <is>
          <t>מדנט מכשור מדעי</t>
        </is>
      </c>
      <c r="E39" t="inlineStr">
        <is>
          <t>מפיץ</t>
        </is>
      </c>
      <c r="F3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9" t="inlineStr">
        <is>
          <t>https://www.medent.co.il</t>
        </is>
      </c>
      <c r="H39" t="inlineStr">
        <is>
          <t>+972 72-395-0508 (sales); +972 8-683-6306 (service)</t>
        </is>
      </c>
      <c r="I39" t="inlineStr">
        <is>
          <t>info@medent.co.il</t>
        </is>
      </c>
      <c r="J39" t="inlineStr">
        <is>
          <t>110 Mordei HaGetaot St., Beer Sheva 8420643</t>
        </is>
      </c>
      <c r="K39" t="inlineStr">
        <is>
          <t>https://www.medent.co.il/scientific.equipment/%D7%A6%D7%95%D7%A8-%D7%A7%D7%A9%D7%A8/</t>
        </is>
      </c>
      <c r="L39" t="n">
        <v>2026</v>
      </c>
      <c r="M39" t="inlineStr">
        <is>
          <t>עדכני</t>
        </is>
      </c>
      <c r="N39" t="inlineStr">
        <is>
          <t>prior_research</t>
        </is>
      </c>
      <c r="P39" t="inlineStr">
        <is>
          <t>https://medent.co.il/scientific.equipment/product/%D7%A1%D7%A4%D7%A7%D7%98%D7%A8%D7%95%D7%A4%D7%95%D7%98%D7%95%D7%9E%D7%98%D7%A8-uvvis-%D7%9E%D7%A2%D7%91%D7%93%D7%AA%D7%99-%D7%93%D7%92%D7%9D-6305-%D7%AA%D7%95%D7%A6%D7%A8%D7%AA-jenway/</t>
        </is>
      </c>
    </row>
    <row r="40">
      <c r="A40" t="n">
        <v>470</v>
      </c>
      <c r="B40" t="inlineStr">
        <is>
          <t>Eppendorf</t>
        </is>
      </c>
      <c r="C40" t="inlineStr">
        <is>
          <t>Lumitron Ltd. (Comtel Technologies &amp; Engineering group)</t>
        </is>
      </c>
      <c r="D40" t="inlineStr">
        <is>
          <t>לומיטרון</t>
        </is>
      </c>
      <c r="E40" t="inlineStr">
        <is>
          <t>מפיץ</t>
        </is>
      </c>
      <c r="F40" t="inlineStr">
        <is>
          <t>Eppendorf importer/distributor - live Lumitron product pages for Eppendorf centrifuges (5910 Ri, MiniSpin), pipettes (Multipette M4), bioreactors (BioFlo 120, BioBLU), shakers/incubators (CellXpert CS220, Innova S44i), Eporator and micromanipulators</t>
        </is>
      </c>
      <c r="G40" t="inlineStr">
        <is>
          <t>https://www.lumitron.co.il</t>
        </is>
      </c>
      <c r="H40" t="inlineStr">
        <is>
          <t>+972 52-525-6287</t>
        </is>
      </c>
      <c r="I40" t="inlineStr"/>
      <c r="J40" t="inlineStr">
        <is>
          <t>17 Hamiflasim St., Petah Tikva</t>
        </is>
      </c>
      <c r="K40" t="inlineStr"/>
      <c r="L40" t="n">
        <v>2026</v>
      </c>
      <c r="M40" t="inlineStr">
        <is>
          <t>עדכני</t>
        </is>
      </c>
      <c r="N40" t="inlineStr">
        <is>
          <t>prior_research</t>
        </is>
      </c>
      <c r="P40" t="inlineStr">
        <is>
          <t>https://www.lumitron.co.il/products/bioflo120-bioreactor-fermenter-2/?lang=en</t>
        </is>
      </c>
    </row>
    <row r="41">
      <c r="A41" t="n">
        <v>477</v>
      </c>
      <c r="B41" t="inlineStr">
        <is>
          <t>Esco</t>
        </is>
      </c>
      <c r="C41" t="inlineStr">
        <is>
          <t>Danyel Biotech</t>
        </is>
      </c>
      <c r="D41" t="inlineStr"/>
      <c r="E41" t="inlineStr">
        <is>
          <t>מפיץ</t>
        </is>
      </c>
      <c r="F41" t="inlineStr">
        <is>
          <t>Esco Life Sciences division: biological safety cabinets (Airstream Class I/III, Labculture Class II A2/B1/B2), fume hoods, general-purpose ovens and incubators, CO2 incubators and ULT freezers - Danyel's live dedicated Esco page</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https://www.danyel.co.il/esco/</t>
        </is>
      </c>
    </row>
    <row r="42">
      <c r="A42" t="n">
        <v>525</v>
      </c>
      <c r="B42" t="inlineStr">
        <is>
          <t>G-Biosciences</t>
        </is>
      </c>
      <c r="C42" t="inlineStr">
        <is>
          <t>Yair Technologies (Yair Tech)</t>
        </is>
      </c>
      <c r="D42" t="inlineStr">
        <is>
          <t>יאיר טכנולוגיות</t>
        </is>
      </c>
      <c r="E42" t="inlineStr">
        <is>
          <t>מפיץ</t>
        </is>
      </c>
      <c r="F42" t="inlineStr">
        <is>
          <t>Yair Technologies' site has a G-Biosciences product-category page and lists G-Biosciences among its partners and main suppliers (proteomics reagents: protein extraction, purification, electrophoresis, Western blotting, protein labeling).</t>
        </is>
      </c>
      <c r="G42" t="inlineStr">
        <is>
          <t>https://www.yairtech.co.il</t>
        </is>
      </c>
      <c r="L42" t="n">
        <v>2026</v>
      </c>
      <c r="M42" t="inlineStr">
        <is>
          <t>עדכני</t>
        </is>
      </c>
      <c r="N42" t="inlineStr">
        <is>
          <t>manufacturer_or_press</t>
        </is>
      </c>
      <c r="O42" t="inlineStr">
        <is>
          <t>search</t>
        </is>
      </c>
      <c r="P42" t="inlineStr">
        <is>
          <t>https://www.yairtech.co.il/cat_product/g-biosciences/</t>
        </is>
      </c>
    </row>
    <row r="43">
      <c r="A43" t="n">
        <v>552</v>
      </c>
      <c r="B43" t="inlineStr">
        <is>
          <t>Gilson Co. Inc.</t>
        </is>
      </c>
      <c r="C43" t="inlineStr">
        <is>
          <t>Agentek (1987) Ltd.</t>
        </is>
      </c>
      <c r="D43" t="inlineStr">
        <is>
          <t>אגנטק</t>
        </is>
      </c>
      <c r="E43" t="inlineStr">
        <is>
          <t>מפיץ</t>
        </is>
      </c>
      <c r="F43" t="inlineStr">
        <is>
          <t>Gilson liquid handling (per Agentek vendors list)</t>
        </is>
      </c>
      <c r="G43" t="inlineStr">
        <is>
          <t>https://agentek.co.il</t>
        </is>
      </c>
      <c r="H43" t="inlineStr">
        <is>
          <t>+972 9-965-7000</t>
        </is>
      </c>
      <c r="I43" t="inlineStr"/>
      <c r="J43" t="inlineStr">
        <is>
          <t>Greenwork Yakum Business Park, Yakum 6097200</t>
        </is>
      </c>
      <c r="K43" t="inlineStr">
        <is>
          <t>https://agentek.co.il/contact/</t>
        </is>
      </c>
      <c r="M43" t="inlineStr">
        <is>
          <t>ראיה ישנה</t>
        </is>
      </c>
      <c r="N43" t="inlineStr">
        <is>
          <t>prior_research</t>
        </is>
      </c>
      <c r="P43" t="inlineStr">
        <is>
          <t>https://agentek.co.il/vendors/</t>
        </is>
      </c>
    </row>
    <row r="44">
      <c r="A44" t="n">
        <v>552</v>
      </c>
      <c r="B44" t="inlineStr">
        <is>
          <t>Gilson Co. Inc.</t>
        </is>
      </c>
      <c r="C44" t="inlineStr">
        <is>
          <t>Lifegene Ltd.</t>
        </is>
      </c>
      <c r="D44" t="inlineStr">
        <is>
          <t>לייפג'ין</t>
        </is>
      </c>
      <c r="E44" t="inlineStr">
        <is>
          <t>מפיץ</t>
        </is>
      </c>
      <c r="F44" t="inlineStr">
        <is>
          <t>Gilson PIPETMAN G/L/M/M Connected and NEO pipettes, multichannel pipettes, PIPETMAN DIAMOND tips and PlateMaster P220 - Lifegene's live 'פיפטורים Gilson' page, Gilson product category and product pages</t>
        </is>
      </c>
      <c r="G44" t="inlineStr">
        <is>
          <t>https://www.lifegene.co.il</t>
        </is>
      </c>
      <c r="H44" t="inlineStr">
        <is>
          <t>+972 8-644-4314</t>
        </is>
      </c>
      <c r="I44" t="inlineStr">
        <is>
          <t>info@lifegene.co.il</t>
        </is>
      </c>
      <c r="J44" t="inlineStr">
        <is>
          <t>4 Ha'maayan St., Modi'in 7171101 (directory lists Modi'in; other sources say Mevo Horon – verify)</t>
        </is>
      </c>
      <c r="K44" t="inlineStr"/>
      <c r="L44" t="n">
        <v>2026</v>
      </c>
      <c r="M44" t="inlineStr">
        <is>
          <t>עדכני</t>
        </is>
      </c>
      <c r="N44" t="inlineStr">
        <is>
          <t>prior_research</t>
        </is>
      </c>
      <c r="P44" t="inlineStr">
        <is>
          <t>https://www.lifegene.co.il/gilson_pipettes</t>
        </is>
      </c>
    </row>
    <row r="45">
      <c r="A45" t="n">
        <v>573</v>
      </c>
      <c r="B45" t="inlineStr">
        <is>
          <t>Greiner Bio-One</t>
        </is>
      </c>
      <c r="C45" t="inlineStr">
        <is>
          <t>Danyel Biotech Ltd. (Gamida for Life group)</t>
        </is>
      </c>
      <c r="D45" t="inlineStr">
        <is>
          <t>דניאל ביוטק</t>
        </is>
      </c>
      <c r="E45" t="inlineStr">
        <is>
          <t>מפיץ</t>
        </is>
      </c>
      <c r="F45"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45" t="inlineStr">
        <is>
          <t>https://www.danyel.co.il</t>
        </is>
      </c>
      <c r="H45" t="inlineStr">
        <is>
          <t>1-800-711-911 (also +972 8-936-6066)</t>
        </is>
      </c>
      <c r="I45" t="inlineStr"/>
      <c r="J45" t="inlineStr">
        <is>
          <t>8 Hamada St., Science Park, Rehovot 7670308</t>
        </is>
      </c>
      <c r="K45" t="inlineStr">
        <is>
          <t>https://www.danyel.co.il/contact-us/</t>
        </is>
      </c>
      <c r="L45" t="n">
        <v>2026</v>
      </c>
      <c r="M45" t="inlineStr">
        <is>
          <t>עדכני</t>
        </is>
      </c>
      <c r="N45" t="inlineStr">
        <is>
          <t>prior_research</t>
        </is>
      </c>
      <c r="P45" t="inlineStr">
        <is>
          <t>https://www.gbo.com/en-int/company/subsidiaries-distributors</t>
        </is>
      </c>
    </row>
    <row r="46">
      <c r="A46" t="n">
        <v>584</v>
      </c>
      <c r="B46" t="inlineStr">
        <is>
          <t>Hach</t>
        </is>
      </c>
      <c r="C46" t="inlineStr">
        <is>
          <t>Modotec Ltd.</t>
        </is>
      </c>
      <c r="D46" t="inlineStr">
        <is>
          <t>מודוטק בע"מ</t>
        </is>
      </c>
      <c r="E46" t="inlineStr">
        <is>
          <t>מפיץ</t>
        </is>
      </c>
      <c r="F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46" t="inlineStr">
        <is>
          <t>https://www.modotec.co.il</t>
        </is>
      </c>
      <c r="H46" t="inlineStr">
        <is>
          <t>+972-4-991-9988</t>
        </is>
      </c>
      <c r="I46" t="inlineStr"/>
      <c r="J46" t="inlineStr">
        <is>
          <t>16 Moshe Bernstein St., South Industrial Park, Acre (Akko) 2422238</t>
        </is>
      </c>
      <c r="K46" t="inlineStr"/>
      <c r="L46" t="n">
        <v>2026</v>
      </c>
      <c r="M46" t="inlineStr">
        <is>
          <t>עדכני</t>
        </is>
      </c>
      <c r="N46" t="inlineStr">
        <is>
          <t>prior_research</t>
        </is>
      </c>
      <c r="P46" t="inlineStr">
        <is>
          <t>https://www.modotec.co.il/%D7%A1%D7%A4%D7%A7%D7%99%D7%9D/</t>
        </is>
      </c>
    </row>
    <row r="47">
      <c r="A47" t="n">
        <v>585</v>
      </c>
      <c r="B47" t="inlineStr">
        <is>
          <t>Haier</t>
        </is>
      </c>
      <c r="C47" t="inlineStr">
        <is>
          <t>Ex-Lab</t>
        </is>
      </c>
      <c r="D47" t="inlineStr">
        <is>
          <t>אקס-לאב</t>
        </is>
      </c>
      <c r="E47" t="inlineStr">
        <is>
          <t>מפיץ</t>
        </is>
      </c>
      <c r="F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7" t="inlineStr">
        <is>
          <t>https://ex-lab.com</t>
        </is>
      </c>
      <c r="H47" t="inlineStr"/>
      <c r="I47" t="inlineStr"/>
      <c r="J47" t="inlineStr">
        <is>
          <t>4 Nevatim St., Petah Tikva</t>
        </is>
      </c>
      <c r="K47" t="inlineStr"/>
      <c r="L47" t="n">
        <v>2026</v>
      </c>
      <c r="M47" t="inlineStr">
        <is>
          <t>עדכני</t>
        </is>
      </c>
      <c r="N47" t="inlineStr">
        <is>
          <t>prior_research</t>
        </is>
      </c>
      <c r="P47" t="inlineStr">
        <is>
          <t>https://ex-lab.com/products/%D7%9E%D7%A7%D7%A4%D7%99%D7%90-%D7%9E%D7%A2%D7%91%D7%93%D7%AA%D7%99-haier-80c/</t>
        </is>
      </c>
    </row>
    <row r="48">
      <c r="A48" t="n">
        <v>587</v>
      </c>
      <c r="B48" t="inlineStr">
        <is>
          <t>Hamilton</t>
        </is>
      </c>
      <c r="C48" t="inlineStr">
        <is>
          <t>Danyel Biotech Ltd. (Gamida for Life group)</t>
        </is>
      </c>
      <c r="D48" t="inlineStr">
        <is>
          <t>דניאל ביוטק</t>
        </is>
      </c>
      <c r="E48" t="inlineStr">
        <is>
          <t>מפיץ</t>
        </is>
      </c>
      <c r="F48" t="inlineStr">
        <is>
          <t>Hamilton laboratory products - listed for Israel (Rehovot, danyel.co.il) on Hamilton's live 'Find a Distributor' laboratory-products page; Hamilton business lines (robotics/storage) not itemised in the snippet</t>
        </is>
      </c>
      <c r="G48" t="inlineStr">
        <is>
          <t>https://www.danyel.co.il</t>
        </is>
      </c>
      <c r="H48" t="inlineStr">
        <is>
          <t>1-800-711-911 (also +972 8-936-6066)</t>
        </is>
      </c>
      <c r="I48" t="inlineStr"/>
      <c r="J48" t="inlineStr">
        <is>
          <t>8 Hamada St., Science Park, Rehovot 7670308</t>
        </is>
      </c>
      <c r="K48" t="inlineStr">
        <is>
          <t>https://www.danyel.co.il/contact-us/</t>
        </is>
      </c>
      <c r="L48" t="n">
        <v>2026</v>
      </c>
      <c r="M48" t="inlineStr">
        <is>
          <t>עדכני</t>
        </is>
      </c>
      <c r="N48" t="inlineStr">
        <is>
          <t>prior_research</t>
        </is>
      </c>
      <c r="P48" t="inlineStr">
        <is>
          <t>https://www.hamiltoncompany.com/laboratory-product-distribution-list</t>
        </is>
      </c>
    </row>
    <row r="49">
      <c r="A49" t="n">
        <v>587</v>
      </c>
      <c r="B49" t="inlineStr">
        <is>
          <t>Hamilton</t>
        </is>
      </c>
      <c r="C49" t="inlineStr">
        <is>
          <t>Ophir Analytical Ltd.</t>
        </is>
      </c>
      <c r="D49" t="inlineStr"/>
      <c r="E49" t="inlineStr">
        <is>
          <t>מפיץ</t>
        </is>
      </c>
      <c r="F49" t="inlineStr">
        <is>
          <t>Hamilton laboratory products - listed for Israel (Rosh Ha'ayin) on Hamilton's live laboratory-products distributor page: lab syringes for life science and chemistry, lab needles, Microlab 600 diluter/dispenser, GC septa, HPLC columns</t>
        </is>
      </c>
      <c r="G49" t="inlineStr">
        <is>
          <t>https://ophiranalytical.com</t>
        </is>
      </c>
      <c r="H49" t="inlineStr">
        <is>
          <t>+972 3-902-2277</t>
        </is>
      </c>
      <c r="I49" t="inlineStr"/>
      <c r="J49" t="inlineStr">
        <is>
          <t>Rosh Ha'ayin</t>
        </is>
      </c>
      <c r="K49" t="inlineStr"/>
      <c r="L49" t="n">
        <v>2026</v>
      </c>
      <c r="M49" t="inlineStr">
        <is>
          <t>חדש</t>
        </is>
      </c>
      <c r="N49" t="inlineStr">
        <is>
          <t>prior_research</t>
        </is>
      </c>
      <c r="P49" t="inlineStr">
        <is>
          <t>https://www.hamiltoncompany.com/laboratory-product-distribution-list</t>
        </is>
      </c>
    </row>
    <row r="50">
      <c r="A50" t="n">
        <v>587</v>
      </c>
      <c r="B50" t="inlineStr">
        <is>
          <t>Hamilton</t>
        </is>
      </c>
      <c r="C50" t="inlineStr">
        <is>
          <t>Tarom Applied Technologies Ltd.</t>
        </is>
      </c>
      <c r="D50" t="inlineStr"/>
      <c r="E50" t="inlineStr">
        <is>
          <t>מפיץ</t>
        </is>
      </c>
      <c r="F50" t="inlineStr">
        <is>
          <t>Hamilton Process Analytics sensors - listed for Israel (Petach-Tikva, tarom.co.il) on Hamilton's live sensor distributor page</t>
        </is>
      </c>
      <c r="G50" t="inlineStr">
        <is>
          <t>http://www.tarom.co.il</t>
        </is>
      </c>
      <c r="H50" t="inlineStr"/>
      <c r="I50" t="inlineStr"/>
      <c r="J50" t="inlineStr"/>
      <c r="K50" t="inlineStr"/>
      <c r="L50" t="n">
        <v>2026</v>
      </c>
      <c r="M50" t="inlineStr">
        <is>
          <t>חדש</t>
        </is>
      </c>
      <c r="N50" t="inlineStr">
        <is>
          <t>prior_research</t>
        </is>
      </c>
      <c r="P50" t="inlineStr">
        <is>
          <t>https://www.hamiltoncompany.com/process-analystics-sensor-product-distribution-list</t>
        </is>
      </c>
    </row>
    <row r="51">
      <c r="A51" t="n">
        <v>590</v>
      </c>
      <c r="B51" t="inlineStr">
        <is>
          <t>Hanna Instruments</t>
        </is>
      </c>
      <c r="C51" t="inlineStr">
        <is>
          <t>Medent Scientific Instruments</t>
        </is>
      </c>
      <c r="D51" t="inlineStr">
        <is>
          <t>מדנט מכשור מדעי</t>
        </is>
      </c>
      <c r="E51" t="inlineStr">
        <is>
          <t>מפיץ</t>
        </is>
      </c>
      <c r="F51"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51" t="inlineStr">
        <is>
          <t>https://www.medent.co.il</t>
        </is>
      </c>
      <c r="H51" t="inlineStr">
        <is>
          <t>+972 72-395-0508 (sales); +972 8-683-6306 (service)</t>
        </is>
      </c>
      <c r="I51" t="inlineStr">
        <is>
          <t>info@medent.co.il</t>
        </is>
      </c>
      <c r="J51" t="inlineStr">
        <is>
          <t>110 Mordei HaGetaot St., Beer Sheva 8420643</t>
        </is>
      </c>
      <c r="K51" t="inlineStr">
        <is>
          <t>https://www.medent.co.il/scientific.equipment/%D7%A6%D7%95%D7%A8-%D7%A7%D7%A9%D7%A8/</t>
        </is>
      </c>
      <c r="L51" t="n">
        <v>2026</v>
      </c>
      <c r="M51" t="inlineStr">
        <is>
          <t>עדכני</t>
        </is>
      </c>
      <c r="N51" t="inlineStr">
        <is>
          <t>prior_research</t>
        </is>
      </c>
      <c r="P51" t="inlineStr">
        <is>
          <t>https://www.medent.co.il/en/project/page/2/</t>
        </is>
      </c>
    </row>
    <row r="52">
      <c r="A52" t="n">
        <v>590</v>
      </c>
      <c r="B52" t="inlineStr">
        <is>
          <t>Hanna Instruments</t>
        </is>
      </c>
      <c r="C52" t="inlineStr">
        <is>
          <t>BioAnalytics</t>
        </is>
      </c>
      <c r="D52" t="inlineStr"/>
      <c r="E52" t="inlineStr">
        <is>
          <t>מפיץ</t>
        </is>
      </c>
      <c r="F52" t="inlineStr">
        <is>
          <t>Hanna pool/spa and food (bread/dough) pH testers</t>
        </is>
      </c>
      <c r="G52" t="inlineStr">
        <is>
          <t>https://www.bioanalytics.co.il</t>
        </is>
      </c>
      <c r="H52" t="inlineStr">
        <is>
          <t>+972-72-242-9555</t>
        </is>
      </c>
      <c r="I52" t="inlineStr"/>
      <c r="J52" t="inlineStr">
        <is>
          <t>29 Omarim St. (listed as "29'th Omarim"), Omer 84965</t>
        </is>
      </c>
      <c r="K52" t="inlineStr"/>
      <c r="M52" t="inlineStr">
        <is>
          <t>ראיה ישנה</t>
        </is>
      </c>
      <c r="N52" t="inlineStr">
        <is>
          <t>prior_research</t>
        </is>
      </c>
      <c r="P52" t="inlineStr">
        <is>
          <t>https://www.bioanalytics.co.il/products/hannah-pool-line-ph-tester-according-to-6223-israeli-standard/</t>
        </is>
      </c>
    </row>
    <row r="53">
      <c r="A53" t="n">
        <v>590</v>
      </c>
      <c r="B53" t="inlineStr">
        <is>
          <t>Hanna Instruments</t>
        </is>
      </c>
      <c r="C53" t="inlineStr">
        <is>
          <t>Cannadepot</t>
        </is>
      </c>
      <c r="D53" t="inlineStr"/>
      <c r="E53" t="inlineStr">
        <is>
          <t>מפיץ</t>
        </is>
      </c>
      <c r="F53" t="inlineStr">
        <is>
          <t>online retailer; Hanna portable pH/EC/TDS testers</t>
        </is>
      </c>
      <c r="G53" t="inlineStr">
        <is>
          <t>https://cannadepot.co.il</t>
        </is>
      </c>
      <c r="H53" t="inlineStr"/>
      <c r="I53" t="inlineStr"/>
      <c r="J53" t="inlineStr"/>
      <c r="K53" t="inlineStr"/>
      <c r="M53" t="inlineStr">
        <is>
          <t>ראיה ישנה</t>
        </is>
      </c>
      <c r="N53" t="inlineStr">
        <is>
          <t>prior_research</t>
        </is>
      </c>
      <c r="P53" t="inlineStr">
        <is>
          <t>https://cannadepot.co.il/product-category/%D7%9E%D7%93%D7%99%D7%93%D7%94-%D7%95%D7%91%D7%A7%D7%A8%D7%94/hanna-instruments-%D7%9E%D7%9B%D7%A9%D7%99%D7%A8%D7%99%D7%9D-%D7%94%D7%90%D7%A0%D7%94/</t>
        </is>
      </c>
    </row>
    <row r="54">
      <c r="A54" t="n">
        <v>590</v>
      </c>
      <c r="B54" t="inlineStr">
        <is>
          <t>Hanna Instruments</t>
        </is>
      </c>
      <c r="C54" t="inlineStr">
        <is>
          <t>Mercury (mercury-ltd.co.il; part of Gadot Chemicals Group)</t>
        </is>
      </c>
      <c r="D54" t="inlineStr">
        <is>
          <t>מרקורי</t>
        </is>
      </c>
      <c r="E54" t="inlineStr">
        <is>
          <t>מפיץ</t>
        </is>
      </c>
      <c r="F54"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54" t="inlineStr">
        <is>
          <t>https://www.mercury-ltd.co.il</t>
        </is>
      </c>
      <c r="H54" t="inlineStr">
        <is>
          <t>+972 3-938-7164</t>
        </is>
      </c>
      <c r="I54" t="inlineStr"/>
      <c r="J54" t="inlineStr">
        <is>
          <t>12 Ha'avoda St., P.O. Box 159, Rosh Ha'ayin</t>
        </is>
      </c>
      <c r="K54" t="inlineStr">
        <is>
          <t>https://eng.mercury-ltd.co.il/about_us</t>
        </is>
      </c>
      <c r="L54" t="n">
        <v>2026</v>
      </c>
      <c r="M54" t="inlineStr">
        <is>
          <t>חדש</t>
        </is>
      </c>
      <c r="N54" t="inlineStr">
        <is>
          <t>prior_research</t>
        </is>
      </c>
      <c r="P54" t="inlineStr">
        <is>
          <t>https://pages.hannainst.com/israel</t>
        </is>
      </c>
    </row>
    <row r="55">
      <c r="A55" t="n">
        <v>597</v>
      </c>
      <c r="B55" t="inlineStr">
        <is>
          <t>Heidolph</t>
        </is>
      </c>
      <c r="C55" t="inlineStr">
        <is>
          <t>Labotal Scientific Equipment Ltd.</t>
        </is>
      </c>
      <c r="D55" t="inlineStr">
        <is>
          <t>לבוטל ציוד מדעי</t>
        </is>
      </c>
      <c r="E55" t="inlineStr">
        <is>
          <t>מפיץ</t>
        </is>
      </c>
      <c r="F55" t="inlineStr">
        <is>
          <t>Heidolph rotary evaporators, stirrers and shakers - Heidolph listed on Labotal's live 'Represented Firms' page; Labotal calls itself a Heidolph premium distributor and its awards archive mentions a three-year warranty on Heidolph products</t>
        </is>
      </c>
      <c r="G55" t="inlineStr">
        <is>
          <t>https://labotal.co.il</t>
        </is>
      </c>
      <c r="H55" t="inlineStr">
        <is>
          <t>+972 2-579-9222</t>
        </is>
      </c>
      <c r="I55" t="inlineStr">
        <is>
          <t>Sales@labotal.co.il</t>
        </is>
      </c>
      <c r="J55" t="inlineStr">
        <is>
          <t>Hashalom Rd., Abu Ghosh 9084500 (mail: Mevaseret Zion)</t>
        </is>
      </c>
      <c r="K55" t="inlineStr">
        <is>
          <t>https://labotal.co.il/contact/</t>
        </is>
      </c>
      <c r="L55" t="n">
        <v>2026</v>
      </c>
      <c r="M55" t="inlineStr">
        <is>
          <t>עדכני</t>
        </is>
      </c>
      <c r="N55" t="inlineStr">
        <is>
          <t>prior_research</t>
        </is>
      </c>
      <c r="P55" t="inlineStr">
        <is>
          <t>https://labotal.co.il/firms/?lang=en</t>
        </is>
      </c>
    </row>
    <row r="56">
      <c r="A56" t="n">
        <v>603</v>
      </c>
      <c r="B56" t="inlineStr">
        <is>
          <t>Hettich</t>
        </is>
      </c>
      <c r="C56" t="inlineStr">
        <is>
          <t>Eldan Electronic Instruments Ltd. (Neopharm group)</t>
        </is>
      </c>
      <c r="D56" t="inlineStr">
        <is>
          <t>אלדן</t>
        </is>
      </c>
      <c r="E56" t="inlineStr">
        <is>
          <t>מפיץ</t>
        </is>
      </c>
      <c r="F5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6" t="inlineStr">
        <is>
          <t>https://www.eldan.biz</t>
        </is>
      </c>
      <c r="H56" t="inlineStr">
        <is>
          <t>+972-3-937-1111</t>
        </is>
      </c>
      <c r="I56" t="inlineStr">
        <is>
          <t>info@eldan.biz</t>
        </is>
      </c>
      <c r="J56" t="inlineStr">
        <is>
          <t>6 Hashiloach Street, P.O. Box 7641, Petach Tikva 49170</t>
        </is>
      </c>
      <c r="K56" t="inlineStr"/>
      <c r="L56" t="n">
        <v>2026</v>
      </c>
      <c r="M56" t="inlineStr">
        <is>
          <t>עדכני</t>
        </is>
      </c>
      <c r="N56" t="inlineStr">
        <is>
          <t>prior_research</t>
        </is>
      </c>
      <c r="P56" t="inlineStr">
        <is>
          <t>https://www.hettichlab.com/contact/</t>
        </is>
      </c>
    </row>
    <row r="57">
      <c r="A57" t="n">
        <v>604</v>
      </c>
      <c r="B57" t="inlineStr">
        <is>
          <t>Hettich Instruments</t>
        </is>
      </c>
      <c r="C57" t="inlineStr">
        <is>
          <t>Eldan Electronic Instruments Ltd. (Neopharm group)</t>
        </is>
      </c>
      <c r="D57" t="inlineStr">
        <is>
          <t>אלדן</t>
        </is>
      </c>
      <c r="E57" t="inlineStr">
        <is>
          <t>מפיץ</t>
        </is>
      </c>
      <c r="F5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7" t="inlineStr">
        <is>
          <t>https://www.eldan.biz</t>
        </is>
      </c>
      <c r="H57" t="inlineStr">
        <is>
          <t>+972-3-937-1111</t>
        </is>
      </c>
      <c r="I57" t="inlineStr">
        <is>
          <t>info@eldan.biz</t>
        </is>
      </c>
      <c r="J57" t="inlineStr">
        <is>
          <t>6 Hashiloach Street, P.O. Box 7641, Petach Tikva 49170</t>
        </is>
      </c>
      <c r="K57" t="inlineStr"/>
      <c r="L57" t="n">
        <v>2026</v>
      </c>
      <c r="M57" t="inlineStr">
        <is>
          <t>עדכני</t>
        </is>
      </c>
      <c r="N57" t="inlineStr">
        <is>
          <t>prior_research</t>
        </is>
      </c>
      <c r="P57" t="inlineStr">
        <is>
          <t>https://www.hettichlab.com/contact/</t>
        </is>
      </c>
    </row>
    <row r="58">
      <c r="A58" t="n">
        <v>626</v>
      </c>
      <c r="B58" t="inlineStr">
        <is>
          <t>Huber USA</t>
        </is>
      </c>
      <c r="C58" t="inlineStr">
        <is>
          <t>S.L. Moran Ltd.</t>
        </is>
      </c>
      <c r="D58" t="inlineStr">
        <is>
          <t>ש.ל מורן</t>
        </is>
      </c>
      <c r="E58" t="inlineStr">
        <is>
          <t>מפיץ</t>
        </is>
      </c>
      <c r="F5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8" t="inlineStr">
        <is>
          <t>https://slmoran.co.il</t>
        </is>
      </c>
      <c r="H58" t="inlineStr">
        <is>
          <t>+972 74-702-9898</t>
        </is>
      </c>
      <c r="I58" t="inlineStr"/>
      <c r="J58" t="inlineStr">
        <is>
          <t>Shatner Center 7, Givat Shaul, Jerusalem</t>
        </is>
      </c>
      <c r="K58" t="inlineStr"/>
      <c r="L58" t="n">
        <v>2026</v>
      </c>
      <c r="M58" t="inlineStr">
        <is>
          <t>עדכני</t>
        </is>
      </c>
      <c r="N58" t="inlineStr">
        <is>
          <t>prior_research</t>
        </is>
      </c>
      <c r="P58" t="inlineStr">
        <is>
          <t>https://slmoran.co.il/products_cat/%D7%90%D7%9E%D7%91%D7%98%D7%99-%D7%97%D7%99%D7%9E%D7%95%D7%9D-%D7%A7%D7%99%D7%A8%D7%95%D7%A8-%D7%A1%D7%99%D7%A8%D7%A7%D7%95%D7%9C%D7%98%D7%95%D7%A8/</t>
        </is>
      </c>
    </row>
    <row r="59">
      <c r="A59" t="n">
        <v>626</v>
      </c>
      <c r="B59" t="inlineStr">
        <is>
          <t>Huber USA</t>
        </is>
      </c>
      <c r="C59" t="inlineStr">
        <is>
          <t>Master-Cold</t>
        </is>
      </c>
      <c r="D59" t="inlineStr"/>
      <c r="E59" t="inlineStr">
        <is>
          <t>מפיץ</t>
        </is>
      </c>
      <c r="F59" t="inlineStr">
        <is>
          <t>lists Huber Ministat 230-cc-NR and a Unistat CC (the Unistat appears to be a used unit); authorised status unverified</t>
        </is>
      </c>
      <c r="G59" t="inlineStr">
        <is>
          <t>http://master-cold.co.il</t>
        </is>
      </c>
      <c r="H59" t="inlineStr"/>
      <c r="I59" t="inlineStr"/>
      <c r="J59" t="inlineStr"/>
      <c r="K59" t="inlineStr"/>
      <c r="M59" t="inlineStr">
        <is>
          <t>ראיה ישנה</t>
        </is>
      </c>
      <c r="N59" t="inlineStr">
        <is>
          <t>prior_research</t>
        </is>
      </c>
      <c r="P59" t="inlineStr">
        <is>
          <t>http://master-cold.co.il/1579/products/ministat-230-cc-nr</t>
        </is>
      </c>
    </row>
    <row r="60">
      <c r="A60" t="n">
        <v>647</v>
      </c>
      <c r="B60" t="inlineStr">
        <is>
          <t>Ika</t>
        </is>
      </c>
      <c r="C60" t="inlineStr">
        <is>
          <t>Medent Scientific Instruments</t>
        </is>
      </c>
      <c r="D60" t="inlineStr">
        <is>
          <t>מדנט מכשור מדעי</t>
        </is>
      </c>
      <c r="E60" t="inlineStr">
        <is>
          <t>מפיץ</t>
        </is>
      </c>
      <c r="F6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0" t="inlineStr">
        <is>
          <t>https://www.medent.co.il</t>
        </is>
      </c>
      <c r="H60" t="inlineStr">
        <is>
          <t>+972 72-395-0508 (sales); +972 8-683-6306 (service)</t>
        </is>
      </c>
      <c r="I60" t="inlineStr">
        <is>
          <t>info@medent.co.il</t>
        </is>
      </c>
      <c r="J60" t="inlineStr">
        <is>
          <t>110 Mordei HaGetaot St., Beer Sheva 8420643</t>
        </is>
      </c>
      <c r="K60" t="inlineStr">
        <is>
          <t>https://www.medent.co.il/scientific.equipment/%D7%A6%D7%95%D7%A8-%D7%A7%D7%A9%D7%A8/</t>
        </is>
      </c>
      <c r="L60" t="n">
        <v>2026</v>
      </c>
      <c r="M60" t="inlineStr">
        <is>
          <t>עדכני</t>
        </is>
      </c>
      <c r="N60" t="inlineStr">
        <is>
          <t>prior_research</t>
        </is>
      </c>
      <c r="P60" t="inlineStr">
        <is>
          <t>https://www.medent.co.il/en/project/ika-germany/</t>
        </is>
      </c>
    </row>
    <row r="61">
      <c r="A61" t="n">
        <v>647</v>
      </c>
      <c r="B61" t="inlineStr">
        <is>
          <t>Ika</t>
        </is>
      </c>
      <c r="C61" t="inlineStr">
        <is>
          <t>Labotal Scientific Equipment Ltd.</t>
        </is>
      </c>
      <c r="D61" t="inlineStr">
        <is>
          <t>לבוטל ציוד למעבדות</t>
        </is>
      </c>
      <c r="E61" t="inlineStr">
        <is>
          <t>מפיץ</t>
        </is>
      </c>
      <c r="F61" t="inlineStr">
        <is>
          <t>overhead and magnetic stirrers - Labotal's overhead-stirrer category page names IKA among the brands it stocks (scope beyond stirrers not seen)</t>
        </is>
      </c>
      <c r="G61" t="inlineStr">
        <is>
          <t>https://labotal.co.il</t>
        </is>
      </c>
      <c r="H61" t="inlineStr">
        <is>
          <t>+972 2-579-9222</t>
        </is>
      </c>
      <c r="I61" t="inlineStr">
        <is>
          <t>Sales@labotal.co.il</t>
        </is>
      </c>
      <c r="J61" t="inlineStr">
        <is>
          <t>Hashalom Rd., Abu Ghosh 9084500 (mail: Mevaseret Zion)</t>
        </is>
      </c>
      <c r="K61" t="inlineStr">
        <is>
          <t>https://labotal.co.il/contact/</t>
        </is>
      </c>
      <c r="M61" t="inlineStr">
        <is>
          <t>ראיה ישנה</t>
        </is>
      </c>
      <c r="N61" t="inlineStr">
        <is>
          <t>prior_research</t>
        </is>
      </c>
      <c r="P61" t="inlineStr">
        <is>
          <t>https://labotal.co.il/product-category/hot-plate-and-stirrers/overhead-stirrers/?lang=en</t>
        </is>
      </c>
    </row>
    <row r="62">
      <c r="A62" t="n">
        <v>648</v>
      </c>
      <c r="B62" t="inlineStr">
        <is>
          <t>IKA Works</t>
        </is>
      </c>
      <c r="C62" t="inlineStr">
        <is>
          <t>Medent Scientific Instruments</t>
        </is>
      </c>
      <c r="D62" t="inlineStr">
        <is>
          <t>מדנט מכשור מדעי</t>
        </is>
      </c>
      <c r="E62" t="inlineStr">
        <is>
          <t>מפיץ</t>
        </is>
      </c>
      <c r="F6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62" t="inlineStr">
        <is>
          <t>https://www.medent.co.il</t>
        </is>
      </c>
      <c r="H62" t="inlineStr">
        <is>
          <t>+972 72-395-0508 (sales); +972 8-683-6306 (service)</t>
        </is>
      </c>
      <c r="I62" t="inlineStr">
        <is>
          <t>info@medent.co.il</t>
        </is>
      </c>
      <c r="J62" t="inlineStr">
        <is>
          <t>110 Mordei HaGetaot St., Beer Sheva 8420643</t>
        </is>
      </c>
      <c r="K62" t="inlineStr">
        <is>
          <t>https://www.medent.co.il/scientific.equipment/%D7%A6%D7%95%D7%A8-%D7%A7%D7%A9%D7%A8/</t>
        </is>
      </c>
      <c r="L62" t="n">
        <v>2026</v>
      </c>
      <c r="M62" t="inlineStr">
        <is>
          <t>עדכני</t>
        </is>
      </c>
      <c r="N62" t="inlineStr">
        <is>
          <t>prior_research</t>
        </is>
      </c>
      <c r="P62" t="inlineStr">
        <is>
          <t>https://www.medent.co.il/en/project/ika-germany/</t>
        </is>
      </c>
    </row>
    <row r="63">
      <c r="A63" t="n">
        <v>648</v>
      </c>
      <c r="B63" t="inlineStr">
        <is>
          <t>IKA Works</t>
        </is>
      </c>
      <c r="C63" t="inlineStr">
        <is>
          <t>Labotal Scientific Equipment Ltd.</t>
        </is>
      </c>
      <c r="D63" t="inlineStr">
        <is>
          <t>לבוטל ציוד למעבדות</t>
        </is>
      </c>
      <c r="E63" t="inlineStr">
        <is>
          <t>מפיץ</t>
        </is>
      </c>
      <c r="F63" t="inlineStr">
        <is>
          <t>overhead and magnetic stirrers - Labotal's overhead-stirrer category page names IKA among the brands it stocks (scope beyond stirrers not seen)</t>
        </is>
      </c>
      <c r="G63" t="inlineStr">
        <is>
          <t>https://labotal.co.il</t>
        </is>
      </c>
      <c r="H63" t="inlineStr">
        <is>
          <t>+972 2-579-9222</t>
        </is>
      </c>
      <c r="I63" t="inlineStr">
        <is>
          <t>Sales@labotal.co.il</t>
        </is>
      </c>
      <c r="J63" t="inlineStr">
        <is>
          <t>Hashalom Rd., Abu Ghosh 9084500 (mail: Mevaseret Zion)</t>
        </is>
      </c>
      <c r="K63" t="inlineStr">
        <is>
          <t>https://labotal.co.il/contact/</t>
        </is>
      </c>
      <c r="M63" t="inlineStr">
        <is>
          <t>ראיה ישנה</t>
        </is>
      </c>
      <c r="N63" t="inlineStr">
        <is>
          <t>prior_research</t>
        </is>
      </c>
      <c r="P63" t="inlineStr">
        <is>
          <t>https://labotal.co.il/product-category/hot-plate-and-stirrers/overhead-stirrers/?lang=en</t>
        </is>
      </c>
    </row>
    <row r="64">
      <c r="A64" t="n">
        <v>669</v>
      </c>
      <c r="B64" t="inlineStr">
        <is>
          <t>Integra</t>
        </is>
      </c>
      <c r="C64" t="inlineStr">
        <is>
          <t>Medent - Scientific Equipment Ltd.</t>
        </is>
      </c>
      <c r="D64" t="inlineStr"/>
      <c r="E64" t="inlineStr">
        <is>
          <t>מפיץ</t>
        </is>
      </c>
      <c r="F64" t="inlineStr">
        <is>
          <t>INTEGRA liquid-handling products (VIAFLO, ASSIST PLUS, VACUSAFE etc.) - listed on INTEGRA's live 'Where to buy' page as its partner for Israel (110 Mordey Hagetaot St., Beer Sheva 84206, +972 8 623 79 84, medent.co.il)</t>
        </is>
      </c>
      <c r="G64" t="inlineStr">
        <is>
          <t>https://www.medent.co.il</t>
        </is>
      </c>
      <c r="H64" t="inlineStr">
        <is>
          <t>+972 72-395-0508 (sales); +972 8-683-6306 (service)</t>
        </is>
      </c>
      <c r="I64" t="inlineStr">
        <is>
          <t>info@medent.co.il</t>
        </is>
      </c>
      <c r="J64" t="inlineStr">
        <is>
          <t>110 Mordei HaGetaot St., Beer Sheva 8420643</t>
        </is>
      </c>
      <c r="K64" t="inlineStr">
        <is>
          <t>https://www.medent.co.il/scientific.equipment/%D7%A6%D7%95%D7%A8-%D7%A7%D7%A9%D7%A8/</t>
        </is>
      </c>
      <c r="L64" t="n">
        <v>2026</v>
      </c>
      <c r="M64" t="inlineStr">
        <is>
          <t>עדכני</t>
        </is>
      </c>
      <c r="N64" t="inlineStr">
        <is>
          <t>prior_research</t>
        </is>
      </c>
      <c r="P64" t="inlineStr">
        <is>
          <t>https://www.integra-biosciences.com/global/en/where-buy</t>
        </is>
      </c>
    </row>
    <row r="65">
      <c r="A65" t="n">
        <v>670</v>
      </c>
      <c r="B65" t="inlineStr">
        <is>
          <t>INTEGRA Biosciences</t>
        </is>
      </c>
      <c r="C65" t="inlineStr">
        <is>
          <t>Medent - Scientific Equipment Ltd.</t>
        </is>
      </c>
      <c r="D65" t="inlineStr"/>
      <c r="E65" t="inlineStr">
        <is>
          <t>מפיץ</t>
        </is>
      </c>
      <c r="F65" t="inlineStr">
        <is>
          <t>INTEGRA liquid-handling products (VIAFLO, ASSIST PLUS, VACUSAFE etc.) - listed on INTEGRA's live 'Where to buy' page as its partner for Israel (110 Mordey Hagetaot St., Beer Sheva 84206, +972 8 623 79 84, medent.co.il)</t>
        </is>
      </c>
      <c r="G65" t="inlineStr">
        <is>
          <t>https://www.medent.co.il</t>
        </is>
      </c>
      <c r="H65" t="inlineStr">
        <is>
          <t>+972 72-395-0508 (sales); +972 8-683-6306 (service)</t>
        </is>
      </c>
      <c r="I65" t="inlineStr">
        <is>
          <t>info@medent.co.il</t>
        </is>
      </c>
      <c r="J65" t="inlineStr">
        <is>
          <t>110 Mordei HaGetaot St., Beer Sheva 8420643</t>
        </is>
      </c>
      <c r="K65" t="inlineStr">
        <is>
          <t>https://www.medent.co.il/scientific.equipment/%D7%A6%D7%95%D7%A8-%D7%A7%D7%A9%D7%A8/</t>
        </is>
      </c>
      <c r="L65" t="n">
        <v>2026</v>
      </c>
      <c r="M65" t="inlineStr">
        <is>
          <t>עדכני</t>
        </is>
      </c>
      <c r="N65" t="inlineStr">
        <is>
          <t>prior_research</t>
        </is>
      </c>
      <c r="P65" t="inlineStr">
        <is>
          <t>https://www.integra-biosciences.com/global/en/where-buy</t>
        </is>
      </c>
    </row>
    <row r="66">
      <c r="A66" t="n">
        <v>689</v>
      </c>
      <c r="B66" t="inlineStr">
        <is>
          <t>Jackson ImmunoResearch</t>
        </is>
      </c>
      <c r="C66" t="inlineStr">
        <is>
          <t>Enco Scientific Services Ltd. (Enco Diagnostics)</t>
        </is>
      </c>
      <c r="D66" t="inlineStr">
        <is>
          <t>אנקו</t>
        </is>
      </c>
      <c r="E66" t="inlineStr">
        <is>
          <t>מפיץ</t>
        </is>
      </c>
      <c r="F66" t="inlineStr">
        <is>
          <t>Enco's About page lists the brand among the international companies it distributes in Israel (antibodies/biochemicals)</t>
        </is>
      </c>
      <c r="G66" t="inlineStr">
        <is>
          <t>https://www.enco.co.il</t>
        </is>
      </c>
      <c r="L66" t="n">
        <v>2026</v>
      </c>
      <c r="M66" t="inlineStr">
        <is>
          <t>עדכני</t>
        </is>
      </c>
      <c r="N66" t="inlineStr">
        <is>
          <t>manufacturer_or_press</t>
        </is>
      </c>
      <c r="P66" t="inlineStr">
        <is>
          <t>https://www.enco.co.il/about.php</t>
        </is>
      </c>
    </row>
    <row r="67">
      <c r="A67" t="n">
        <v>692</v>
      </c>
      <c r="B67" t="inlineStr">
        <is>
          <t>Jasco</t>
        </is>
      </c>
      <c r="C67" t="inlineStr">
        <is>
          <t>Ophir Analytical Ltd.</t>
        </is>
      </c>
      <c r="D67" t="inlineStr"/>
      <c r="E67" t="inlineStr">
        <is>
          <t>מפיץ</t>
        </is>
      </c>
      <c r="F67"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7" t="inlineStr">
        <is>
          <t>https://ophiranalytical.com</t>
        </is>
      </c>
      <c r="H67" t="inlineStr">
        <is>
          <t>+972 3-902-2277</t>
        </is>
      </c>
      <c r="I67" t="inlineStr"/>
      <c r="J67" t="inlineStr">
        <is>
          <t>Rosh Ha'ayin</t>
        </is>
      </c>
      <c r="K67" t="inlineStr"/>
      <c r="L67" t="n">
        <v>2026</v>
      </c>
      <c r="M67" t="inlineStr">
        <is>
          <t>עדכני</t>
        </is>
      </c>
      <c r="N67" t="inlineStr">
        <is>
          <t>prior_research</t>
        </is>
      </c>
      <c r="P67" t="inlineStr">
        <is>
          <t>https://www.jasco.de/where-to-buy/</t>
        </is>
      </c>
    </row>
    <row r="68">
      <c r="A68" t="n">
        <v>695</v>
      </c>
      <c r="B68" t="inlineStr">
        <is>
          <t>Jenway (Cole-Parmer)</t>
        </is>
      </c>
      <c r="C68" t="inlineStr">
        <is>
          <t>Medent Scientific Instruments</t>
        </is>
      </c>
      <c r="D68" t="inlineStr">
        <is>
          <t>מדנט מכשור מדעי</t>
        </is>
      </c>
      <c r="E68" t="inlineStr">
        <is>
          <t>מפיץ</t>
        </is>
      </c>
      <c r="F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8" t="inlineStr">
        <is>
          <t>https://www.medent.co.il</t>
        </is>
      </c>
      <c r="H68" t="inlineStr">
        <is>
          <t>+972 72-395-0508 (sales); +972 8-683-6306 (service)</t>
        </is>
      </c>
      <c r="I68" t="inlineStr">
        <is>
          <t>info@medent.co.il</t>
        </is>
      </c>
      <c r="J68" t="inlineStr">
        <is>
          <t>110 Mordei HaGetaot St., Beer Sheva 8420643</t>
        </is>
      </c>
      <c r="K68" t="inlineStr">
        <is>
          <t>https://www.medent.co.il/scientific.equipment/%D7%A6%D7%95%D7%A8-%D7%A7%D7%A9%D7%A8/</t>
        </is>
      </c>
      <c r="L68" t="n">
        <v>2026</v>
      </c>
      <c r="M68" t="inlineStr">
        <is>
          <t>עדכני</t>
        </is>
      </c>
      <c r="N68" t="inlineStr">
        <is>
          <t>prior_research</t>
        </is>
      </c>
      <c r="P68" t="inlineStr">
        <is>
          <t>https://medent.co.il/scientific.equipment/product/%D7%A1%D7%A4%D7%A7%D7%98%D7%A8%D7%95%D7%A4%D7%95%D7%98%D7%95%D7%9E%D7%98%D7%A8-uvvis-%D7%9E%D7%A2%D7%91%D7%93%D7%AA%D7%99-%D7%93%D7%92%D7%9D-6305-%D7%AA%D7%95%D7%A6%D7%A8%D7%AA-jenway/</t>
        </is>
      </c>
    </row>
    <row r="69">
      <c r="A69" t="n">
        <v>696</v>
      </c>
      <c r="B69" t="inlineStr">
        <is>
          <t>JEOL USA</t>
        </is>
      </c>
      <c r="C69" t="inlineStr">
        <is>
          <t>Bargal Analytical Instruments Ltd.</t>
        </is>
      </c>
      <c r="D69" t="inlineStr">
        <is>
          <t>ברגל ציוד אנליטי</t>
        </is>
      </c>
      <c r="E69" t="inlineStr">
        <is>
          <t>מפיץ</t>
        </is>
      </c>
      <c r="F69"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9" t="inlineStr">
        <is>
          <t>https://bargal.co.il</t>
        </is>
      </c>
      <c r="H69" t="inlineStr">
        <is>
          <t>+972-3-979-6533</t>
        </is>
      </c>
      <c r="I69" t="inlineStr">
        <is>
          <t>sales@bargal.co.il</t>
        </is>
      </c>
      <c r="J69" t="inlineStr">
        <is>
          <t>10 Shaked Street, Modi'in Industrial Park, Shoham 6085102</t>
        </is>
      </c>
      <c r="K69" t="inlineStr"/>
      <c r="L69" t="n">
        <v>2026</v>
      </c>
      <c r="M69" t="inlineStr">
        <is>
          <t>עדכני</t>
        </is>
      </c>
      <c r="N69" t="inlineStr">
        <is>
          <t>prior_research</t>
        </is>
      </c>
      <c r="P69" t="inlineStr">
        <is>
          <t>https://bargal.co.il/product/scanning-electron-microscope-sem-jsm-it210/</t>
        </is>
      </c>
    </row>
    <row r="70">
      <c r="A70" t="n">
        <v>700</v>
      </c>
      <c r="B70" t="inlineStr">
        <is>
          <t>Julabo</t>
        </is>
      </c>
      <c r="C70" t="inlineStr">
        <is>
          <t>Labotal Scientific Equipment Ltd.</t>
        </is>
      </c>
      <c r="D70" t="inlineStr">
        <is>
          <t>לבוטל ציוד מדעי</t>
        </is>
      </c>
      <c r="E70" t="inlineStr">
        <is>
          <t>מפיץ</t>
        </is>
      </c>
      <c r="F70" t="inlineStr">
        <is>
          <t>JULABO circulators, chillers and baths - Julabo listed on Labotal's live 'Represented Firms' page; Labotal's product pages state it is JULABO's exclusive representative in Israel</t>
        </is>
      </c>
      <c r="G70" t="inlineStr">
        <is>
          <t>https://labotal.co.il</t>
        </is>
      </c>
      <c r="H70" t="inlineStr">
        <is>
          <t>+972 2-579-9222</t>
        </is>
      </c>
      <c r="I70" t="inlineStr">
        <is>
          <t>Sales@labotal.co.il</t>
        </is>
      </c>
      <c r="J70" t="inlineStr">
        <is>
          <t>Hashalom Rd., Abu Ghosh 9084500 (mail: Mevaseret Zion)</t>
        </is>
      </c>
      <c r="K70" t="inlineStr">
        <is>
          <t>https://labotal.co.il/contact/</t>
        </is>
      </c>
      <c r="L70" t="n">
        <v>2026</v>
      </c>
      <c r="M70" t="inlineStr">
        <is>
          <t>עדכני</t>
        </is>
      </c>
      <c r="N70" t="inlineStr">
        <is>
          <t>prior_research</t>
        </is>
      </c>
      <c r="P70" t="inlineStr">
        <is>
          <t>https://labotal.co.il/firms/?lang=en</t>
        </is>
      </c>
    </row>
    <row r="71">
      <c r="A71" t="n">
        <v>720</v>
      </c>
      <c r="B71" t="inlineStr">
        <is>
          <t>Kimble</t>
        </is>
      </c>
      <c r="C71" t="inlineStr">
        <is>
          <t>Danyel Biotech Ltd. (Gamida for Life group)</t>
        </is>
      </c>
      <c r="D71" t="inlineStr">
        <is>
          <t>דניאל ביוטק</t>
        </is>
      </c>
      <c r="E71" t="inlineStr">
        <is>
          <t>מפיץ</t>
        </is>
      </c>
      <c r="F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71" t="inlineStr">
        <is>
          <t>https://www.danyel.co.il</t>
        </is>
      </c>
      <c r="H71" t="inlineStr">
        <is>
          <t>1-800-711-911 (also +972 8-936-6066)</t>
        </is>
      </c>
      <c r="I71" t="inlineStr"/>
      <c r="J71" t="inlineStr">
        <is>
          <t>8 Hamada St., Science Park, Rehovot 7670308</t>
        </is>
      </c>
      <c r="K71" t="inlineStr">
        <is>
          <t>https://www.danyel.co.il/contact-us/</t>
        </is>
      </c>
      <c r="L71" t="n">
        <v>2026</v>
      </c>
      <c r="M71" t="inlineStr">
        <is>
          <t>עדכני</t>
        </is>
      </c>
      <c r="N71" t="inlineStr">
        <is>
          <t>prior_research</t>
        </is>
      </c>
      <c r="P71" t="inlineStr">
        <is>
          <t>https://www.danyel.co.il/scilabware/</t>
        </is>
      </c>
    </row>
    <row r="72">
      <c r="A72" t="n">
        <v>739</v>
      </c>
      <c r="B72" t="inlineStr">
        <is>
          <t>Labconco</t>
        </is>
      </c>
      <c r="C72" t="inlineStr">
        <is>
          <t>Labotal Scientific Equipment Ltd.</t>
        </is>
      </c>
      <c r="D72" t="inlineStr">
        <is>
          <t>לבוטל ציוד מדעי</t>
        </is>
      </c>
      <c r="E72" t="inlineStr">
        <is>
          <t>מפיץ</t>
        </is>
      </c>
      <c r="F72" t="inlineStr">
        <is>
          <t>Labconco biosafety cabinets, CentriVap concentrators and drying systems - Labconco listed on Labotal's live 'Represented Firms' page and in its drying-systems category</t>
        </is>
      </c>
      <c r="G72" t="inlineStr">
        <is>
          <t>https://labotal.co.il</t>
        </is>
      </c>
      <c r="H72" t="inlineStr">
        <is>
          <t>+972 2-579-9222</t>
        </is>
      </c>
      <c r="I72" t="inlineStr">
        <is>
          <t>Sales@labotal.co.il</t>
        </is>
      </c>
      <c r="J72" t="inlineStr">
        <is>
          <t>Hashalom Rd., Abu Ghosh 9084500 (mail: Mevaseret Zion)</t>
        </is>
      </c>
      <c r="K72" t="inlineStr">
        <is>
          <t>https://labotal.co.il/contact/</t>
        </is>
      </c>
      <c r="L72" t="n">
        <v>2026</v>
      </c>
      <c r="M72" t="inlineStr">
        <is>
          <t>עדכני</t>
        </is>
      </c>
      <c r="N72" t="inlineStr">
        <is>
          <t>prior_research</t>
        </is>
      </c>
      <c r="P72" t="inlineStr">
        <is>
          <t>https://labotal.co.il/firms/?lang=en</t>
        </is>
      </c>
    </row>
    <row r="73">
      <c r="A73" t="n">
        <v>751</v>
      </c>
      <c r="B73" t="inlineStr">
        <is>
          <t>Lauda</t>
        </is>
      </c>
      <c r="C73" t="inlineStr">
        <is>
          <t>Medent Scientific Instruments</t>
        </is>
      </c>
      <c r="D73" t="inlineStr">
        <is>
          <t>מדנט מכשור מדעי</t>
        </is>
      </c>
      <c r="E73" t="inlineStr">
        <is>
          <t>מפיץ</t>
        </is>
      </c>
      <c r="F73" t="inlineStr">
        <is>
          <t>LAUDA laboratory baths, circulators and chillers - live Hebrew category 'LAUDA baths, circulators and chillers' (chillers sub-category) and the 'Lauda - Germany' partner page; GFL-brand water stills also listed</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https://www.medent.co.il/scientific.equipment/product-category/lauda-%D7%90%D7%9E%D7%91%D7%98%D7%99%D7%9D-%D7%A1%D7%99%D7%A8%D7%A7%D7%95%D7%9C%D7%98%D7%95%D7%A8%D7%99%D7%9D-%D7%95%D7%A6%D7%99%D7%9C%D7%A8%D7%99%D7%9D/%D7%A6%D7%99%D7%9C%D7%A8%D7%99%D7%9D/</t>
        </is>
      </c>
    </row>
    <row r="74">
      <c r="A74" t="n">
        <v>751</v>
      </c>
      <c r="B74" t="inlineStr">
        <is>
          <t>Lauda</t>
        </is>
      </c>
      <c r="C74" t="inlineStr">
        <is>
          <t>Citrine Solutions</t>
        </is>
      </c>
      <c r="D74" t="inlineStr">
        <is>
          <t>סיטרין</t>
        </is>
      </c>
      <c r="E74" t="inlineStr">
        <is>
          <t>מפיץ</t>
        </is>
      </c>
      <c r="F74" t="inlineStr">
        <is>
          <t>reseller listing LAUDA Variocool VC 1200 and Ultracool UC2 circulation chillers and an MGW MS heating circulator (new and used lab equipment dealer; authorisation not stated)</t>
        </is>
      </c>
      <c r="G74" t="inlineStr">
        <is>
          <t>https://www.citrinesolutions.co.il</t>
        </is>
      </c>
      <c r="H74" t="inlineStr"/>
      <c r="I74" t="inlineStr"/>
      <c r="J74" t="inlineStr"/>
      <c r="K74" t="inlineStr"/>
      <c r="M74" t="inlineStr">
        <is>
          <t>ראיה ישנה</t>
        </is>
      </c>
      <c r="N74" t="inlineStr">
        <is>
          <t>prior_research</t>
        </is>
      </c>
      <c r="P74" t="inlineStr">
        <is>
          <t>https://citrinesolutions.co.il/?c_id=30&amp;item_id=5&amp;module=product&amp;p_id=444</t>
        </is>
      </c>
    </row>
    <row r="75">
      <c r="A75" t="n">
        <v>751</v>
      </c>
      <c r="B75" t="inlineStr">
        <is>
          <t>Lauda</t>
        </is>
      </c>
      <c r="C75" t="inlineStr">
        <is>
          <t>Avni &amp; Son</t>
        </is>
      </c>
      <c r="D75" t="inlineStr"/>
      <c r="E75" t="inlineStr">
        <is>
          <t>מפיץ</t>
        </is>
      </c>
      <c r="F75"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75" t="inlineStr">
        <is>
          <t>https://avni-son.co.il</t>
        </is>
      </c>
      <c r="H75" t="inlineStr">
        <is>
          <t>+972-4-821-9989</t>
        </is>
      </c>
      <c r="I75" t="inlineStr">
        <is>
          <t>info@avni-son.co.il</t>
        </is>
      </c>
      <c r="J75" t="inlineStr">
        <is>
          <t>101 Bar Yehuda Rd. (דרך בר יהודה 101), Nesher</t>
        </is>
      </c>
      <c r="K75" t="inlineStr">
        <is>
          <t>https://avni-son.co.il/%D7%A6%D7%A8%D7%95-%D7%A7%D7%A9%D7%A8/</t>
        </is>
      </c>
      <c r="L75" t="n">
        <v>2026</v>
      </c>
      <c r="M75" t="inlineStr">
        <is>
          <t>עדכני</t>
        </is>
      </c>
      <c r="N75" t="inlineStr">
        <is>
          <t>prior_research</t>
        </is>
      </c>
      <c r="P75" t="inlineStr">
        <is>
          <t>https://www.lauda.de/us/warranty-conditions/participants</t>
        </is>
      </c>
    </row>
    <row r="76">
      <c r="A76" t="n">
        <v>757</v>
      </c>
      <c r="B76" t="inlineStr">
        <is>
          <t>Leica</t>
        </is>
      </c>
      <c r="C76" t="inlineStr">
        <is>
          <t>Lapidot Group (Ophthalmic Surgery Unit)</t>
        </is>
      </c>
      <c r="D76" t="inlineStr"/>
      <c r="E76" t="inlineStr">
        <is>
          <t>מפיץ</t>
        </is>
      </c>
      <c r="F76" t="inlineStr">
        <is>
          <t>Leica surgical microscopes (ophthalmology, neurosurgery, ENT, plastic surgery; floor- and ceiling-mounted) - Leica Microsystems medical division; live Lapidot partners and eye-surgery pages</t>
        </is>
      </c>
      <c r="G76" t="inlineStr">
        <is>
          <t>https://www.lapidot.com</t>
        </is>
      </c>
      <c r="H76" t="inlineStr">
        <is>
          <t>+972-4-6309630 / +972-74-7797836</t>
        </is>
      </c>
      <c r="I76" t="inlineStr">
        <is>
          <t>customerservice@lapidot.com</t>
        </is>
      </c>
      <c r="J76" t="inlineStr">
        <is>
          <t>8 Hashita St., P.O. Box 3552, Caesarea Industrial Park 3088900</t>
        </is>
      </c>
      <c r="K76" t="inlineStr"/>
      <c r="L76" t="n">
        <v>2026</v>
      </c>
      <c r="M76" t="inlineStr">
        <is>
          <t>עדכני</t>
        </is>
      </c>
      <c r="N76" t="inlineStr">
        <is>
          <t>prior_research</t>
        </is>
      </c>
      <c r="P76" t="inlineStr">
        <is>
          <t>https://www.lapidot.com/en/partners/</t>
        </is>
      </c>
    </row>
    <row r="77">
      <c r="A77" t="n">
        <v>757</v>
      </c>
      <c r="B77" t="inlineStr">
        <is>
          <t>Leica</t>
        </is>
      </c>
      <c r="C77" t="inlineStr">
        <is>
          <t>Rhenium Ltd.</t>
        </is>
      </c>
      <c r="D77" t="inlineStr"/>
      <c r="E77" t="inlineStr">
        <is>
          <t>מפיץ</t>
        </is>
      </c>
      <c r="F77" t="inlineStr">
        <is>
          <t>research microscopes — per a 2009 Israel Physical Society trade-fair listing only (exclusive representative then); NOT re-confirmed in 2026</t>
        </is>
      </c>
      <c r="G77" t="inlineStr">
        <is>
          <t>https://www.rhenium.co.il</t>
        </is>
      </c>
      <c r="H77" t="inlineStr">
        <is>
          <t>+972 8-955-8888</t>
        </is>
      </c>
      <c r="I77" t="inlineStr"/>
      <c r="J77" t="inlineStr">
        <is>
          <t>20 Hasatat St., P.O. Box 180, Modi'in 7171101</t>
        </is>
      </c>
      <c r="K77" t="inlineStr"/>
      <c r="L77" t="n">
        <v>2009</v>
      </c>
      <c r="M77" t="inlineStr">
        <is>
          <t>ראיה ישנה</t>
        </is>
      </c>
      <c r="N77" t="inlineStr">
        <is>
          <t>prior_research</t>
        </is>
      </c>
      <c r="P77" t="inlineStr">
        <is>
          <t>https://archive.israelphysicalsociety.org/ips-conference-2009/fairs/rhenium-ltd.html</t>
        </is>
      </c>
    </row>
    <row r="78">
      <c r="A78" t="n">
        <v>786</v>
      </c>
      <c r="B78" t="inlineStr">
        <is>
          <t>Lonza</t>
        </is>
      </c>
      <c r="C78" t="inlineStr">
        <is>
          <t>Ornat BioChemicals &amp; Lab Equipment Ltd.</t>
        </is>
      </c>
      <c r="D78" t="inlineStr">
        <is>
          <t>אורנת</t>
        </is>
      </c>
      <c r="E78" t="inlineStr">
        <is>
          <t>מפיץ</t>
        </is>
      </c>
      <c r="F78" t="inlineStr">
        <is>
          <t>Listed as Ornat partner brand on the FISEB (Federation of Israeli Societies for Experimental Biology) vendors page; undated</t>
        </is>
      </c>
      <c r="G78" t="inlineStr">
        <is>
          <t>https://www.ornat.co.il</t>
        </is>
      </c>
      <c r="M78" t="inlineStr">
        <is>
          <t>עדכני</t>
        </is>
      </c>
      <c r="N78" t="inlineStr">
        <is>
          <t>manufacturer_or_press</t>
        </is>
      </c>
      <c r="P78" t="inlineStr">
        <is>
          <t>https://www.fiseb.org/vendors/</t>
        </is>
      </c>
    </row>
    <row r="79">
      <c r="A79" t="n">
        <v>798</v>
      </c>
      <c r="B79" t="inlineStr">
        <is>
          <t>Macherey Nagel</t>
        </is>
      </c>
      <c r="C79" t="inlineStr">
        <is>
          <t>Ornat BioChemicals &amp; Lab Equipment Ltd.</t>
        </is>
      </c>
      <c r="D79" t="inlineStr">
        <is>
          <t>אורנת</t>
        </is>
      </c>
      <c r="E79" t="inlineStr">
        <is>
          <t>מפיץ</t>
        </is>
      </c>
      <c r="F79" t="inlineStr">
        <is>
          <t>Listed as Ornat partner brand on the FISEB (Federation of Israeli Societies for Experimental Biology) vendors page; undated</t>
        </is>
      </c>
      <c r="G79" t="inlineStr">
        <is>
          <t>https://www.ornat.co.il</t>
        </is>
      </c>
      <c r="M79" t="inlineStr">
        <is>
          <t>עדכני</t>
        </is>
      </c>
      <c r="N79" t="inlineStr">
        <is>
          <t>manufacturer_or_press</t>
        </is>
      </c>
      <c r="P79" t="inlineStr">
        <is>
          <t>https://www.fiseb.org/vendors/</t>
        </is>
      </c>
    </row>
    <row r="80">
      <c r="A80" t="n">
        <v>832</v>
      </c>
      <c r="B80" t="inlineStr">
        <is>
          <t>Memmert</t>
        </is>
      </c>
      <c r="C80" t="inlineStr">
        <is>
          <t>Medent Scientific Instruments</t>
        </is>
      </c>
      <c r="D80" t="inlineStr">
        <is>
          <t>מדנט מכשור מדעי</t>
        </is>
      </c>
      <c r="E80" t="inlineStr">
        <is>
          <t>מפיץ</t>
        </is>
      </c>
      <c r="F80" t="inlineStr">
        <is>
          <t>Memmert cooled incubators (IPP110 ... IPS750; 53-749 L), CO2 incubators (INC108MED, INCO246MED), vacuum ovens (VO200/VO400/VO500 incl. cooled), drying ovens (UF450, UF750, UN750) and incubators on live Hebrew product-category pages describing the units as Memmert (Germany)</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https://www.medent.co.il/scientific.equipment/product-category/%D7%90%D7%99%D7%A0%D7%A7%D7%95%D7%91%D7%98%D7%95%D7%A8%D7%99%D7%9D/%D7%90%D7%99%D7%A0%D7%A7%D7%95%D7%91%D7%98%D7%95%D7%A8-%D7%9E%D7%A7%D7%95%D7%A8%D7%A8/</t>
        </is>
      </c>
    </row>
    <row r="81">
      <c r="A81" t="n">
        <v>835</v>
      </c>
      <c r="B81" t="inlineStr">
        <is>
          <t>Merck</t>
        </is>
      </c>
      <c r="C81" t="inlineStr">
        <is>
          <t>Sigma-Aldrich Israel Ltd. (affiliate of Merck KGaA, Darmstadt)</t>
        </is>
      </c>
      <c r="D81" t="inlineStr"/>
      <c r="E81" t="inlineStr">
        <is>
          <t>חברה-בת</t>
        </is>
      </c>
      <c r="F81" t="inlineStr">
        <is>
          <t>Merck's own Israeli entity: sales/customer contact for Israel and production sites in Rehovot (antibodies, primers, peptides; 3 Plaut St.) and Jerusalem (Har Hotzvim)</t>
        </is>
      </c>
      <c r="G81" t="inlineStr">
        <is>
          <t>https://www.sigmaaldrich.com/IL/en</t>
        </is>
      </c>
      <c r="H81" t="inlineStr">
        <is>
          <t>+972-8-9484222 / +972-8-9484100</t>
        </is>
      </c>
      <c r="I81" t="inlineStr">
        <is>
          <t>isrcustserv@merckgroup.com; isrtechserv@merckgroup.com</t>
        </is>
      </c>
      <c r="J81" t="inlineStr">
        <is>
          <t>3 Plaut St., Rehovot 7670603</t>
        </is>
      </c>
      <c r="K81" t="inlineStr">
        <is>
          <t>https://b2b.sigmaaldrich.com/collections/offices</t>
        </is>
      </c>
      <c r="M81" t="inlineStr">
        <is>
          <t>ראיה ישנה</t>
        </is>
      </c>
      <c r="N81" t="inlineStr">
        <is>
          <t>prior_research</t>
        </is>
      </c>
      <c r="P81" t="inlineStr">
        <is>
          <t>https://www.sigmaaldrich.com/US/en/collections/offices</t>
        </is>
      </c>
    </row>
    <row r="82">
      <c r="A82" t="n">
        <v>835</v>
      </c>
      <c r="B82" t="inlineStr">
        <is>
          <t>Merck</t>
        </is>
      </c>
      <c r="C82" t="inlineStr">
        <is>
          <t>Mercury Scientific &amp; Industrial Products Ltd. (Gadot group)</t>
        </is>
      </c>
      <c r="D82" t="inlineStr">
        <is>
          <t>מרקורי מוצרי מדע ותעשייה (גדות מרקורי)</t>
        </is>
      </c>
      <c r="E82" t="inlineStr">
        <is>
          <t>מפיץ</t>
        </is>
      </c>
      <c r="F82" t="inlineStr">
        <is>
          <t>Merck Milli-Q laboratory water-purification systems (IX, IQ 7000, HX, CLX, SQ2 series) - live product pages describe Mercury as Merck's exclusive Israeli distributor; Millipore filtration/MQuant lines per prior evidence</t>
        </is>
      </c>
      <c r="G82" t="inlineStr">
        <is>
          <t>https://www.mercury-ltd.co.il</t>
        </is>
      </c>
      <c r="H82" t="inlineStr">
        <is>
          <t>+972 3-938-7164</t>
        </is>
      </c>
      <c r="I82" t="inlineStr"/>
      <c r="J82" t="inlineStr">
        <is>
          <t>12 Ha'avoda St., P.O. Box 159, Rosh Ha'ayin</t>
        </is>
      </c>
      <c r="K82" t="inlineStr">
        <is>
          <t>https://eng.mercury-ltd.co.il/about_us</t>
        </is>
      </c>
      <c r="L82" t="n">
        <v>2026</v>
      </c>
      <c r="M82" t="inlineStr">
        <is>
          <t>עדכני</t>
        </is>
      </c>
      <c r="N82" t="inlineStr">
        <is>
          <t>prior_research</t>
        </is>
      </c>
      <c r="P82" t="inlineStr">
        <is>
          <t>https://eng.mercury-ltd.co.il/lab_water_purification</t>
        </is>
      </c>
    </row>
    <row r="83">
      <c r="A83" t="n">
        <v>846</v>
      </c>
      <c r="B83" t="inlineStr">
        <is>
          <t>Metrohm</t>
        </is>
      </c>
      <c r="C83" t="inlineStr">
        <is>
          <t>Israel Scientific Instruments Ltd. (ISI)</t>
        </is>
      </c>
      <c r="D83" t="inlineStr">
        <is>
          <t>ISI – ישראל מכשור מדעי</t>
        </is>
      </c>
      <c r="E83" t="inlineStr">
        <is>
          <t>מפיץ</t>
        </is>
      </c>
      <c r="F83" t="inlineStr">
        <is>
          <t>Official distributor of all Metrohm products and services in Israel from 17 July 2025 per Metrohm's own news page (ISI founded 1971 as a Varian Inc. subsidiary, led by the Steiner family since 1977); ISI website not surfaced in snippets</t>
        </is>
      </c>
      <c r="G83" t="inlineStr">
        <is>
          <t>https://www.isil.co.il</t>
        </is>
      </c>
      <c r="H83" t="inlineStr">
        <is>
          <t>+972 3-923-2202</t>
        </is>
      </c>
      <c r="I83" t="inlineStr">
        <is>
          <t>info@isil.co.il</t>
        </is>
      </c>
      <c r="J83" t="inlineStr">
        <is>
          <t>32 Shacham St., P.O. Box 7790, Petah Tikva 49170</t>
        </is>
      </c>
      <c r="K83" t="inlineStr"/>
      <c r="L83" t="n">
        <v>2025</v>
      </c>
      <c r="M83" t="inlineStr">
        <is>
          <t>עדכני</t>
        </is>
      </c>
      <c r="N83" t="inlineStr">
        <is>
          <t>prior_research</t>
        </is>
      </c>
      <c r="P83" t="inlineStr">
        <is>
          <t>https://www.metrohm.com/en/discover/news/2025/new-metrohm-distributor-in-israel.html</t>
        </is>
      </c>
    </row>
    <row r="84">
      <c r="A84" t="n">
        <v>847</v>
      </c>
      <c r="B84" t="inlineStr">
        <is>
          <t>Mettler-Toledo</t>
        </is>
      </c>
      <c r="C84" t="inlineStr">
        <is>
          <t>Agentek (1987) Ltd.</t>
        </is>
      </c>
      <c r="D84" t="inlineStr">
        <is>
          <t>אגנטק</t>
        </is>
      </c>
      <c r="E84" t="inlineStr">
        <is>
          <t>מפיץ</t>
        </is>
      </c>
      <c r="F84"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84" t="inlineStr">
        <is>
          <t>https://agentek.co.il</t>
        </is>
      </c>
      <c r="H84" t="inlineStr">
        <is>
          <t>+972 9-965-7000</t>
        </is>
      </c>
      <c r="I84" t="inlineStr"/>
      <c r="J84" t="inlineStr">
        <is>
          <t>Greenwork Yakum Business Park, Yakum 6097200</t>
        </is>
      </c>
      <c r="K84" t="inlineStr">
        <is>
          <t>https://agentek.co.il/contact/</t>
        </is>
      </c>
      <c r="L84" t="n">
        <v>2026</v>
      </c>
      <c r="M84" t="inlineStr">
        <is>
          <t>עדכני</t>
        </is>
      </c>
      <c r="N84" t="inlineStr">
        <is>
          <t>prior_research</t>
        </is>
      </c>
      <c r="P84" t="inlineStr">
        <is>
          <t>https://agentek.co.il/representative/mettler-toledo/</t>
        </is>
      </c>
    </row>
    <row r="85">
      <c r="A85" t="n">
        <v>847</v>
      </c>
      <c r="B85" t="inlineStr">
        <is>
          <t>Mettler-Toledo</t>
        </is>
      </c>
      <c r="C85" t="inlineStr">
        <is>
          <t>Modcon Systems Ltd.</t>
        </is>
      </c>
      <c r="D85" t="inlineStr"/>
      <c r="E85" t="inlineStr">
        <is>
          <t>מפיץ</t>
        </is>
      </c>
      <c r="F85" t="inlineStr">
        <is>
          <t>process analytics (Ingold sensors/transmitters); Akko, +972 4 9553955</t>
        </is>
      </c>
      <c r="G85" t="inlineStr">
        <is>
          <t>https://modcon-systems.com</t>
        </is>
      </c>
      <c r="H85" t="inlineStr">
        <is>
          <t>+972-4-9553955</t>
        </is>
      </c>
      <c r="I85" t="inlineStr"/>
      <c r="J85" t="inlineStr">
        <is>
          <t>Modcon House, M. Boronshtein St., South Akko Industrial Park, Akko 24222</t>
        </is>
      </c>
      <c r="K85" t="inlineStr"/>
      <c r="M85" t="inlineStr">
        <is>
          <t>ראיה ישנה</t>
        </is>
      </c>
      <c r="N85" t="inlineStr">
        <is>
          <t>prior_research</t>
        </is>
      </c>
      <c r="P85" t="inlineStr">
        <is>
          <t>https://www.mt.com/il/en/home.html</t>
        </is>
      </c>
    </row>
    <row r="86">
      <c r="A86" t="n">
        <v>847</v>
      </c>
      <c r="B86" t="inlineStr">
        <is>
          <t>Mettler-Toledo</t>
        </is>
      </c>
      <c r="C86" t="inlineStr">
        <is>
          <t>Dinco Ltd.</t>
        </is>
      </c>
      <c r="D86" t="inlineStr"/>
      <c r="E86" t="inlineStr">
        <is>
          <t>מפיץ</t>
        </is>
      </c>
      <c r="F86" t="inlineStr">
        <is>
          <t>product inspection (Safeline X-ray etc.); Tirat Carmel, +972 4 813 15 15</t>
        </is>
      </c>
      <c r="G86" t="inlineStr"/>
      <c r="H86" t="inlineStr"/>
      <c r="I86" t="inlineStr"/>
      <c r="J86" t="inlineStr"/>
      <c r="K86" t="inlineStr"/>
      <c r="M86" t="inlineStr">
        <is>
          <t>ראיה ישנה</t>
        </is>
      </c>
      <c r="N86" t="inlineStr">
        <is>
          <t>prior_research</t>
        </is>
      </c>
      <c r="P86" t="inlineStr">
        <is>
          <t>https://www.mt.com/il/en/home.html</t>
        </is>
      </c>
    </row>
    <row r="87">
      <c r="A87" t="n">
        <v>865</v>
      </c>
      <c r="B87" t="inlineStr">
        <is>
          <t>MilliporeSigma</t>
        </is>
      </c>
      <c r="C87" t="inlineStr">
        <is>
          <t>Sigma-Aldrich Israel Ltd. (affiliate of Merck KGaA, Darmstadt)</t>
        </is>
      </c>
      <c r="D87" t="inlineStr"/>
      <c r="E87" t="inlineStr">
        <is>
          <t>חברה-בת</t>
        </is>
      </c>
      <c r="F87" t="inlineStr">
        <is>
          <t>Merck's own Israeli entity: sales/customer contact for Israel and production sites in Rehovot (antibodies, primers, peptides; 3 Plaut St.) and Jerusalem (Har Hotzvim)</t>
        </is>
      </c>
      <c r="G87" t="inlineStr">
        <is>
          <t>https://www.sigmaaldrich.com/IL/en</t>
        </is>
      </c>
      <c r="H87" t="inlineStr">
        <is>
          <t>+972-8-9484222 / +972-8-9484100</t>
        </is>
      </c>
      <c r="I87" t="inlineStr">
        <is>
          <t>isrcustserv@merckgroup.com; isrtechserv@merckgroup.com</t>
        </is>
      </c>
      <c r="J87" t="inlineStr">
        <is>
          <t>3 Plaut St., Rehovot 7670603</t>
        </is>
      </c>
      <c r="K87" t="inlineStr">
        <is>
          <t>https://b2b.sigmaaldrich.com/collections/offices</t>
        </is>
      </c>
      <c r="M87" t="inlineStr">
        <is>
          <t>ראיה ישנה</t>
        </is>
      </c>
      <c r="N87" t="inlineStr">
        <is>
          <t>prior_research</t>
        </is>
      </c>
      <c r="P87" t="inlineStr">
        <is>
          <t>https://www.sigmaaldrich.com/US/en/collections/offices</t>
        </is>
      </c>
    </row>
    <row r="88">
      <c r="A88" t="n">
        <v>865</v>
      </c>
      <c r="B88" t="inlineStr">
        <is>
          <t>MilliporeSigma</t>
        </is>
      </c>
      <c r="C88" t="inlineStr">
        <is>
          <t>Mercury Scientific &amp; Industrial Products Ltd. (Gadot group)</t>
        </is>
      </c>
      <c r="D88" t="inlineStr">
        <is>
          <t>מרקורי מוצרי מדע ותעשייה (גדות מרקורי)</t>
        </is>
      </c>
      <c r="E88" t="inlineStr">
        <is>
          <t>מפיץ</t>
        </is>
      </c>
      <c r="F88" t="inlineStr">
        <is>
          <t>Merck Milli-Q laboratory water-purification systems (IX, IQ 7000, HX, CLX, SQ2 series) - live product pages describe Mercury as Merck's exclusive Israeli distributor; Millipore filtration/MQuant lines per prior evidence</t>
        </is>
      </c>
      <c r="G88" t="inlineStr">
        <is>
          <t>https://www.mercury-ltd.co.il</t>
        </is>
      </c>
      <c r="H88" t="inlineStr">
        <is>
          <t>+972 3-938-7164</t>
        </is>
      </c>
      <c r="I88" t="inlineStr"/>
      <c r="J88" t="inlineStr">
        <is>
          <t>12 Ha'avoda St., P.O. Box 159, Rosh Ha'ayin</t>
        </is>
      </c>
      <c r="K88" t="inlineStr">
        <is>
          <t>https://eng.mercury-ltd.co.il/about_us</t>
        </is>
      </c>
      <c r="L88" t="n">
        <v>2026</v>
      </c>
      <c r="M88" t="inlineStr">
        <is>
          <t>עדכני</t>
        </is>
      </c>
      <c r="N88" t="inlineStr">
        <is>
          <t>prior_research</t>
        </is>
      </c>
      <c r="P88" t="inlineStr">
        <is>
          <t>https://eng.mercury-ltd.co.il/lab_water_purification</t>
        </is>
      </c>
    </row>
    <row r="89">
      <c r="A89" t="n">
        <v>885</v>
      </c>
      <c r="B89" t="inlineStr">
        <is>
          <t>MP Biomedicals</t>
        </is>
      </c>
      <c r="C89" t="inlineStr">
        <is>
          <t>Enco Scientific Services Ltd. (Enco Diagnostics)</t>
        </is>
      </c>
      <c r="D89" t="inlineStr">
        <is>
          <t>אנקו</t>
        </is>
      </c>
      <c r="E89" t="inlineStr">
        <is>
          <t>מפיץ</t>
        </is>
      </c>
      <c r="F89" t="inlineStr">
        <is>
          <t>Enco's About page lists the brand among the international companies it distributes in Israel (antibodies/biochemicals)</t>
        </is>
      </c>
      <c r="G89" t="inlineStr">
        <is>
          <t>https://www.enco.co.il</t>
        </is>
      </c>
      <c r="L89" t="n">
        <v>2026</v>
      </c>
      <c r="M89" t="inlineStr">
        <is>
          <t>עדכני</t>
        </is>
      </c>
      <c r="N89" t="inlineStr">
        <is>
          <t>manufacturer_or_press</t>
        </is>
      </c>
      <c r="P89" t="inlineStr">
        <is>
          <t>https://www.enco.co.il/about.php</t>
        </is>
      </c>
    </row>
    <row r="90">
      <c r="A90" t="n">
        <v>888</v>
      </c>
      <c r="B90" t="inlineStr">
        <is>
          <t>MTC Bio</t>
        </is>
      </c>
      <c r="C90" t="inlineStr">
        <is>
          <t>Yair Technologies (Yair Tech)</t>
        </is>
      </c>
      <c r="D90" t="inlineStr">
        <is>
          <t>יאיר טכנולוגיות</t>
        </is>
      </c>
      <c r="E90" t="inlineStr">
        <is>
          <t>מפיץ</t>
        </is>
      </c>
      <c r="F90" t="inlineStr">
        <is>
          <t>Israeli lab-supply website carries an MTC Bio brand page describing the brand ('supplying life science research with quality consumables and liquid handling instruments'); official/exclusive status not stated and not confirmed on the manufacturer side</t>
        </is>
      </c>
      <c r="G90" t="inlineStr">
        <is>
          <t>https://www.yairtech.co.il</t>
        </is>
      </c>
      <c r="M90" t="inlineStr">
        <is>
          <t>עדכני</t>
        </is>
      </c>
      <c r="N90" t="inlineStr">
        <is>
          <t>manufacturer_or_press</t>
        </is>
      </c>
      <c r="O90" t="inlineStr">
        <is>
          <t>search</t>
        </is>
      </c>
      <c r="P90" t="inlineStr">
        <is>
          <t>https://www.yairtech.co.il/?p=3561</t>
        </is>
      </c>
    </row>
    <row r="91">
      <c r="A91" t="n">
        <v>898</v>
      </c>
      <c r="B91" t="inlineStr">
        <is>
          <t>Nabertherm</t>
        </is>
      </c>
      <c r="C91" t="inlineStr">
        <is>
          <t>Electrotherm Marketing 1978 Ltd.</t>
        </is>
      </c>
      <c r="D91" t="inlineStr">
        <is>
          <t>אלקטרוטרם</t>
        </is>
      </c>
      <c r="E91" t="inlineStr">
        <is>
          <t>מפיץ</t>
        </is>
      </c>
      <c r="F91"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91" t="inlineStr">
        <is>
          <t>https://www.electrotherm.co.il</t>
        </is>
      </c>
      <c r="H91" t="inlineStr">
        <is>
          <t>+972-77-866-0600</t>
        </is>
      </c>
      <c r="I91" t="inlineStr">
        <is>
          <t>sales@electrotherm.co.il</t>
        </is>
      </c>
      <c r="J91" t="inlineStr">
        <is>
          <t>Migdal HaEmek</t>
        </is>
      </c>
      <c r="K91" t="inlineStr"/>
      <c r="L91" t="n">
        <v>2026</v>
      </c>
      <c r="M91" t="inlineStr">
        <is>
          <t>עדכני</t>
        </is>
      </c>
      <c r="N91" t="inlineStr">
        <is>
          <t>prior_research</t>
        </is>
      </c>
      <c r="P91" t="inlineStr">
        <is>
          <t>https://nabertherm.com/en/node/594</t>
        </is>
      </c>
    </row>
    <row r="92">
      <c r="A92" t="n">
        <v>900</v>
      </c>
      <c r="B92" t="inlineStr">
        <is>
          <t>Nalgene</t>
        </is>
      </c>
      <c r="C92" t="inlineStr">
        <is>
          <t>Thermo Fisher Integrated Solutions Israel Ltd.</t>
        </is>
      </c>
      <c r="D92" t="inlineStr">
        <is>
          <t>תרמו פישר ישראל (רעננה)</t>
        </is>
      </c>
      <c r="E92" t="inlineStr">
        <is>
          <t>חברה-בת</t>
        </is>
      </c>
      <c r="F92" t="inlineStr">
        <is>
          <t>direct life-science sales &amp; field service organisation being built out 2025-26</t>
        </is>
      </c>
      <c r="G92" t="inlineStr">
        <is>
          <t>https://www.thermofisher.com</t>
        </is>
      </c>
      <c r="H92" t="inlineStr">
        <is>
          <t>+972 8-940-8618</t>
        </is>
      </c>
      <c r="I92" t="inlineStr"/>
      <c r="J92" t="inlineStr">
        <is>
          <t>5 Golda Meir St., Ness Ziona (also Airport City 1, Lod)</t>
        </is>
      </c>
      <c r="K92" t="inlineStr">
        <is>
          <t>https://www.thermofisher.com/il/en/home.html</t>
        </is>
      </c>
      <c r="M92" t="inlineStr"/>
      <c r="N92" t="inlineStr">
        <is>
          <t>prior_research</t>
        </is>
      </c>
      <c r="P92" t="inlineStr">
        <is>
          <t>https://www.thermofisher.com/il/en/home.html</t>
        </is>
      </c>
    </row>
    <row r="93">
      <c r="A93" t="n">
        <v>900</v>
      </c>
      <c r="B93" t="inlineStr">
        <is>
          <t>Nalgene</t>
        </is>
      </c>
      <c r="C93" t="inlineStr">
        <is>
          <t>Thermo Fisher Scientific Israel Ltd. (Kiryat Shmona)</t>
        </is>
      </c>
      <c r="D93" t="inlineStr">
        <is>
          <t>תרמו פישר קריית שמונה</t>
        </is>
      </c>
      <c r="E93" t="inlineStr">
        <is>
          <t>חברה-בת</t>
        </is>
      </c>
      <c r="F93" t="inlineStr">
        <is>
          <t>manufacturing / engineering site (ISO 9001/13485); not a sales channel</t>
        </is>
      </c>
      <c r="G93" t="inlineStr">
        <is>
          <t>https://www.thermofisher.com</t>
        </is>
      </c>
      <c r="H93" t="inlineStr">
        <is>
          <t>+972 8-940-8618</t>
        </is>
      </c>
      <c r="I93" t="inlineStr"/>
      <c r="J93" t="inlineStr">
        <is>
          <t>5 Golda Meir St., Ness Ziona (also Airport City 1, Lod)</t>
        </is>
      </c>
      <c r="K93" t="inlineStr">
        <is>
          <t>https://www.thermofisher.com/il/en/home.html</t>
        </is>
      </c>
      <c r="M93" t="inlineStr"/>
      <c r="N93" t="inlineStr">
        <is>
          <t>prior_research</t>
        </is>
      </c>
      <c r="P93" t="inlineStr"/>
    </row>
    <row r="94">
      <c r="A94" t="n">
        <v>900</v>
      </c>
      <c r="B94" t="inlineStr">
        <is>
          <t>Nalgene</t>
        </is>
      </c>
      <c r="C94" t="inlineStr">
        <is>
          <t>Rhenium Ltd.</t>
        </is>
      </c>
      <c r="D94" t="inlineStr">
        <is>
          <t>רניום</t>
        </is>
      </c>
      <c r="E94" t="inlineStr">
        <is>
          <t>מפיץ</t>
        </is>
      </c>
      <c r="F94"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94" t="inlineStr">
        <is>
          <t>https://www.rhenium.co.il</t>
        </is>
      </c>
      <c r="H94" t="inlineStr">
        <is>
          <t>+972 8-955-8888</t>
        </is>
      </c>
      <c r="I94" t="inlineStr"/>
      <c r="J94" t="inlineStr">
        <is>
          <t>20 Hasatat St., P.O. Box 180, Modi'in 7171101</t>
        </is>
      </c>
      <c r="K94" t="inlineStr"/>
      <c r="L94" t="n">
        <v>2026</v>
      </c>
      <c r="M94" t="inlineStr">
        <is>
          <t>עדכני</t>
        </is>
      </c>
      <c r="N94" t="inlineStr">
        <is>
          <t>prior_research</t>
        </is>
      </c>
      <c r="P94" t="inlineStr">
        <is>
          <t>https://rhenium.co.il/products/bioproduction</t>
        </is>
      </c>
    </row>
    <row r="95">
      <c r="A95" t="n">
        <v>900</v>
      </c>
      <c r="B95" t="inlineStr">
        <is>
          <t>Nalgene</t>
        </is>
      </c>
      <c r="C95" t="inlineStr">
        <is>
          <t>Gamidor Diagnostics (1984) Ltd.</t>
        </is>
      </c>
      <c r="D95" t="inlineStr">
        <is>
          <t>גמידור דיאגנוסטיקה</t>
        </is>
      </c>
      <c r="E95" t="inlineStr">
        <is>
          <t>מפיץ</t>
        </is>
      </c>
      <c r="F95"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95" t="inlineStr">
        <is>
          <t>https://www.gamidor.co.il</t>
        </is>
      </c>
      <c r="H95" t="inlineStr">
        <is>
          <t>+972-3-927-7277</t>
        </is>
      </c>
      <c r="I95" t="inlineStr">
        <is>
          <t>info@gamidor.co.il</t>
        </is>
      </c>
      <c r="J95" t="inlineStr">
        <is>
          <t>Shaham 32, Petach Tikva</t>
        </is>
      </c>
      <c r="K95" t="inlineStr"/>
      <c r="L95" t="n">
        <v>2026</v>
      </c>
      <c r="M95" t="inlineStr">
        <is>
          <t>עדכני</t>
        </is>
      </c>
      <c r="N95" t="inlineStr">
        <is>
          <t>prior_research</t>
        </is>
      </c>
      <c r="P95" t="inlineStr">
        <is>
          <t>https://gamidor.co.il/en/allergy/</t>
        </is>
      </c>
    </row>
    <row r="96">
      <c r="A96" t="n">
        <v>900</v>
      </c>
      <c r="B96" t="inlineStr">
        <is>
          <t>Nalgene</t>
        </is>
      </c>
      <c r="C96" t="inlineStr">
        <is>
          <t>Bargal Analytical Instruments Ltd.</t>
        </is>
      </c>
      <c r="D96" t="inlineStr">
        <is>
          <t>ברגל</t>
        </is>
      </c>
      <c r="E96" t="inlineStr">
        <is>
          <t>מפיץ</t>
        </is>
      </c>
      <c r="F96"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96" t="inlineStr">
        <is>
          <t>https://www.bargal.co.il</t>
        </is>
      </c>
      <c r="H96" t="inlineStr">
        <is>
          <t>+972-3-979-6533</t>
        </is>
      </c>
      <c r="I96" t="inlineStr">
        <is>
          <t>sales@bargal.co.il</t>
        </is>
      </c>
      <c r="J96" t="inlineStr">
        <is>
          <t>10 Shaked Street, Modi'in Industrial Park, Shoham 6085102</t>
        </is>
      </c>
      <c r="K96" t="inlineStr"/>
      <c r="L96" t="n">
        <v>2026</v>
      </c>
      <c r="M96" t="inlineStr">
        <is>
          <t>עדכני</t>
        </is>
      </c>
      <c r="N96" t="inlineStr">
        <is>
          <t>prior_research</t>
        </is>
      </c>
      <c r="P96" t="inlineStr">
        <is>
          <t>https://bargal.co.il/product/q-exactive-uhmr-hybrid-quadrupole-orbitrap-ms-system/</t>
        </is>
      </c>
    </row>
    <row r="97">
      <c r="A97" t="n">
        <v>900</v>
      </c>
      <c r="B97" t="inlineStr">
        <is>
          <t>Nalgene</t>
        </is>
      </c>
      <c r="C97" t="inlineStr">
        <is>
          <t>Danyel Biotech Ltd.</t>
        </is>
      </c>
      <c r="D97" t="inlineStr">
        <is>
          <t>דניאל ביוטק</t>
        </is>
      </c>
      <c r="E97" t="inlineStr">
        <is>
          <t>מפיץ</t>
        </is>
      </c>
      <c r="F97" t="inlineStr">
        <is>
          <t>Olink proteomics (a Thermo Fisher business): live Olink brand page on Danyel's site</t>
        </is>
      </c>
      <c r="G97" t="inlineStr">
        <is>
          <t>https://www.danyel.co.il</t>
        </is>
      </c>
      <c r="H97" t="inlineStr">
        <is>
          <t>1-800-711-911 (also +972 8-936-6066)</t>
        </is>
      </c>
      <c r="I97" t="inlineStr"/>
      <c r="J97" t="inlineStr">
        <is>
          <t>8 Hamada St., Science Park, Rehovot 7670308</t>
        </is>
      </c>
      <c r="K97" t="inlineStr">
        <is>
          <t>https://www.danyel.co.il/contact-us/</t>
        </is>
      </c>
      <c r="L97" t="n">
        <v>2026</v>
      </c>
      <c r="M97" t="inlineStr">
        <is>
          <t>עדכני</t>
        </is>
      </c>
      <c r="N97" t="inlineStr">
        <is>
          <t>prior_research</t>
        </is>
      </c>
      <c r="P97" t="inlineStr">
        <is>
          <t>https://www.danyel.co.il/olink/</t>
        </is>
      </c>
    </row>
    <row r="98">
      <c r="A98" t="n">
        <v>900</v>
      </c>
      <c r="B98" t="inlineStr">
        <is>
          <t>Nalgene</t>
        </is>
      </c>
      <c r="C98" t="inlineStr">
        <is>
          <t>Thermo Fisher Scientific – EM service location, Airport City</t>
        </is>
      </c>
      <c r="D98" t="inlineStr"/>
      <c r="E98" t="inlineStr">
        <is>
          <t>שירות</t>
        </is>
      </c>
      <c r="F98" t="inlineStr">
        <is>
          <t>Thermo Fisher's own Israeli sales/support organisation; thermofisher.com's Phenom desktop-SEM distributor page names 'Thermo Fisher Integrated Solutions' as the Israel contact (live page); a Thermo Fisher careers page lists jobs in Israel</t>
        </is>
      </c>
      <c r="G98" t="inlineStr">
        <is>
          <t>https://www.thermofisher.com</t>
        </is>
      </c>
      <c r="H98" t="inlineStr">
        <is>
          <t>+972 8-940-8618</t>
        </is>
      </c>
      <c r="I98" t="inlineStr"/>
      <c r="J98" t="inlineStr">
        <is>
          <t>5 Golda Meir St., Ness Ziona (also Airport City 1, Lod)</t>
        </is>
      </c>
      <c r="K98" t="inlineStr">
        <is>
          <t>https://www.thermofisher.com/il/en/home.html</t>
        </is>
      </c>
      <c r="L98" t="n">
        <v>2026</v>
      </c>
      <c r="M98" t="inlineStr">
        <is>
          <t>ראיה ישנה</t>
        </is>
      </c>
      <c r="N98" t="inlineStr">
        <is>
          <t>prior_research</t>
        </is>
      </c>
      <c r="P98" t="inlineStr">
        <is>
          <t>https://www.thermofisher.com/us/en/home/electron-microscopy/products/desktop-scanning-electron-microscopes/phenom-distributors.html</t>
        </is>
      </c>
    </row>
    <row r="99">
      <c r="A99" t="n">
        <v>900</v>
      </c>
      <c r="B99" t="inlineStr">
        <is>
          <t>Nalgene</t>
        </is>
      </c>
      <c r="C99" t="inlineStr">
        <is>
          <t>Iner-Tech Ltd. (Rehovot)</t>
        </is>
      </c>
      <c r="D99" t="inlineStr"/>
      <c r="E99" t="inlineStr">
        <is>
          <t>מפיץ</t>
        </is>
      </c>
      <c r="F99" t="inlineStr">
        <is>
          <t>Thermo Scientific portable pharma QA/QC analysers (handheld Raman/NIR material ID) - listed on thermofisher.com's distributor page for Israel</t>
        </is>
      </c>
      <c r="G99" t="inlineStr"/>
      <c r="H99" t="inlineStr"/>
      <c r="I99" t="inlineStr"/>
      <c r="J99" t="inlineStr"/>
      <c r="K99" t="inlineStr"/>
      <c r="L99" t="n">
        <v>2026</v>
      </c>
      <c r="M99" t="inlineStr">
        <is>
          <t>חדש</t>
        </is>
      </c>
      <c r="N99" t="inlineStr">
        <is>
          <t>prior_research</t>
        </is>
      </c>
      <c r="P99" t="inlineStr">
        <is>
          <t>https://www.thermofisher.com/us/en/home/industrial/spectroscopy-elemental-isotope-analysis/portable-analysis-material-id/portable-pharmaceutical-qa-qc-manufacturing-solutions/portable-pharma-qa-qc-manufacturing-solutions-distributors.html</t>
        </is>
      </c>
    </row>
    <row r="100">
      <c r="A100" t="n">
        <v>900</v>
      </c>
      <c r="B100" t="inlineStr">
        <is>
          <t>Nalgene</t>
        </is>
      </c>
      <c r="C100" t="inlineStr">
        <is>
          <t>R.B.M. Ltd. Control &amp; Mechanization (Hod Hasharon)</t>
        </is>
      </c>
      <c r="D100" t="inlineStr"/>
      <c r="E100" t="inlineStr">
        <is>
          <t>מפיץ</t>
        </is>
      </c>
      <c r="F100" t="inlineStr">
        <is>
          <t>Thermo Scientific Niton portable XRF / LIBS analysers - listed on thermofisher.com's authorized XRF &amp; LIBS distributor page for Israel</t>
        </is>
      </c>
      <c r="G100" t="inlineStr"/>
      <c r="H100" t="inlineStr"/>
      <c r="I100" t="inlineStr"/>
      <c r="J100" t="inlineStr"/>
      <c r="K100" t="inlineStr"/>
      <c r="L100" t="n">
        <v>2026</v>
      </c>
      <c r="M100" t="inlineStr">
        <is>
          <t>חדש</t>
        </is>
      </c>
      <c r="N100" t="inlineStr">
        <is>
          <t>prior_research</t>
        </is>
      </c>
      <c r="P100" t="inlineStr">
        <is>
          <t>https://www.thermofisher.com/us/en/home/industrial/spectroscopy-elemental-isotope-analysis/portable-analysis-material-id/portable-analysis-for-material-id-distributors.html</t>
        </is>
      </c>
    </row>
    <row r="101">
      <c r="A101" t="n">
        <v>900</v>
      </c>
      <c r="B101" t="inlineStr">
        <is>
          <t>Nalgene</t>
        </is>
      </c>
      <c r="C101" t="inlineStr">
        <is>
          <t>Madid Industrial Controls Ltd.</t>
        </is>
      </c>
      <c r="D101" t="inlineStr"/>
      <c r="E101" t="inlineStr">
        <is>
          <t>מפיץ</t>
        </is>
      </c>
      <c r="F101" t="inlineStr">
        <is>
          <t>Thermo Scientific dataTaker data loggers (industrial data acquisition) - listed on thermofisher.com's dataTaker distributor page for Israel</t>
        </is>
      </c>
      <c r="G101" t="inlineStr"/>
      <c r="H101" t="inlineStr"/>
      <c r="I101" t="inlineStr"/>
      <c r="J101" t="inlineStr"/>
      <c r="K101" t="inlineStr"/>
      <c r="L101" t="n">
        <v>2026</v>
      </c>
      <c r="M101" t="inlineStr">
        <is>
          <t>חדש</t>
        </is>
      </c>
      <c r="N101" t="inlineStr">
        <is>
          <t>prior_research</t>
        </is>
      </c>
      <c r="P101" t="inlineStr">
        <is>
          <t>https://www.thermofisher.com/us/en/home/industrial/manufacturing-processing/data-acquisition/datataker-distributors.html</t>
        </is>
      </c>
    </row>
    <row r="102">
      <c r="A102" t="n">
        <v>915</v>
      </c>
      <c r="B102" t="inlineStr">
        <is>
          <t>New England Biolabs (NEB)</t>
        </is>
      </c>
      <c r="C102" t="inlineStr">
        <is>
          <t>Ornat BioChemicals &amp; Lab Equipment Ltd.</t>
        </is>
      </c>
      <c r="D102" t="inlineStr">
        <is>
          <t>אורנת</t>
        </is>
      </c>
      <c r="E102" t="inlineStr">
        <is>
          <t>מפיץ</t>
        </is>
      </c>
      <c r="F102" t="inlineStr">
        <is>
          <t>New England Biolabs reagents - live Ornat product pages for NEB molecular biology, nucleic-acid purification, NGS and RNA products, plus Ornat's partners page</t>
        </is>
      </c>
      <c r="G102" t="inlineStr">
        <is>
          <t>https://www.ornat.co.il</t>
        </is>
      </c>
      <c r="H102" t="inlineStr">
        <is>
          <t>+972-8-9477077</t>
        </is>
      </c>
      <c r="I102" t="inlineStr">
        <is>
          <t>ornatbio@ornat.co.il</t>
        </is>
      </c>
      <c r="J102" t="inlineStr">
        <is>
          <t>19 Horvitz Eli St., Rehovot 7608802</t>
        </is>
      </c>
      <c r="K102" t="inlineStr"/>
      <c r="L102" t="n">
        <v>2026</v>
      </c>
      <c r="M102" t="inlineStr">
        <is>
          <t>עדכני</t>
        </is>
      </c>
      <c r="N102" t="inlineStr">
        <is>
          <t>prior_research</t>
        </is>
      </c>
      <c r="P102" t="inlineStr">
        <is>
          <t>https://ornat.co.il/product/new-england-biolabs-neb-molecular-biology/</t>
        </is>
      </c>
    </row>
    <row r="103">
      <c r="A103" t="n">
        <v>924</v>
      </c>
      <c r="B103" t="inlineStr">
        <is>
          <t>Nikon</t>
        </is>
      </c>
      <c r="C103" t="inlineStr">
        <is>
          <t>Agentek Ltd.</t>
        </is>
      </c>
      <c r="D103" t="inlineStr">
        <is>
          <t>אגנטק</t>
        </is>
      </c>
      <c r="E103" t="inlineStr">
        <is>
          <t>מפיץ</t>
        </is>
      </c>
      <c r="F10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03" t="inlineStr">
        <is>
          <t>https://agentek.co.il</t>
        </is>
      </c>
      <c r="H103" t="inlineStr">
        <is>
          <t>+972 9-965-7000</t>
        </is>
      </c>
      <c r="I103" t="inlineStr"/>
      <c r="J103" t="inlineStr">
        <is>
          <t>Greenwork Yakum Business Park, Yakum 6097200</t>
        </is>
      </c>
      <c r="K103" t="inlineStr">
        <is>
          <t>https://agentek.co.il/contact/</t>
        </is>
      </c>
      <c r="L103" t="n">
        <v>2026</v>
      </c>
      <c r="M103" t="inlineStr">
        <is>
          <t>עדכני</t>
        </is>
      </c>
      <c r="N103" t="inlineStr">
        <is>
          <t>prior_research</t>
        </is>
      </c>
      <c r="P103" t="inlineStr">
        <is>
          <t>https://www.microscope.healthcare.nikon.com/en_EU/contact/service/171079</t>
        </is>
      </c>
    </row>
    <row r="104">
      <c r="A104" t="n">
        <v>935</v>
      </c>
      <c r="B104" t="inlineStr">
        <is>
          <t>Novus Biologicals</t>
        </is>
      </c>
      <c r="C104" t="inlineStr">
        <is>
          <t>Getter Bio-Med (Getter Group)</t>
        </is>
      </c>
      <c r="D104" t="inlineStr">
        <is>
          <t>גטר ביו-מד</t>
        </is>
      </c>
      <c r="E104" t="inlineStr">
        <is>
          <t>מפיץ</t>
        </is>
      </c>
      <c r="F104" t="inlineStr">
        <is>
          <t>Lunaphore (a Bio-Techne brand) spatial-biology platforms – Getter describes itself as the official Israeli representative (LinkedIn)</t>
        </is>
      </c>
      <c r="G104" t="inlineStr">
        <is>
          <t>https://www.getter.co.il</t>
        </is>
      </c>
      <c r="H104" t="inlineStr">
        <is>
          <t>+972 3-576-1555 (Getter Group switchboard)</t>
        </is>
      </c>
      <c r="I104" t="inlineStr"/>
      <c r="J104" t="inlineStr">
        <is>
          <t>7 Shimshon St., Petah Tikva 4912502</t>
        </is>
      </c>
      <c r="K104" t="inlineStr"/>
      <c r="M104" t="inlineStr">
        <is>
          <t>ראיה ישנה</t>
        </is>
      </c>
      <c r="N104" t="inlineStr">
        <is>
          <t>prior_research</t>
        </is>
      </c>
      <c r="P104" t="inlineStr">
        <is>
          <t>https://www.getter.co.il/about-en/</t>
        </is>
      </c>
    </row>
    <row r="105">
      <c r="A105" t="n">
        <v>935</v>
      </c>
      <c r="B105" t="inlineStr">
        <is>
          <t>Novus Biologicals</t>
        </is>
      </c>
      <c r="C105" t="inlineStr">
        <is>
          <t>Biotest</t>
        </is>
      </c>
      <c r="D105" t="inlineStr"/>
      <c r="E105" t="inlineStr">
        <is>
          <t>מפיץ</t>
        </is>
      </c>
      <c r="F105" t="inlineStr">
        <is>
          <t>Israeli distributor listed on Bio-Techne's Novus Biologicals distributor directory: 6 Hasadna St., P.O. Box 8006, Kfar Saba 4442405 (phone/e-mail on page); coverage of other Bio-Techne brands (R&amp;D Systems, Tocris, ProteinSimple) not confirmed</t>
        </is>
      </c>
      <c r="G105" t="inlineStr"/>
      <c r="H105" t="inlineStr"/>
      <c r="I105" t="inlineStr"/>
      <c r="J105" t="inlineStr"/>
      <c r="K105" t="inlineStr"/>
      <c r="L105" t="n">
        <v>2026</v>
      </c>
      <c r="M105" t="inlineStr">
        <is>
          <t>חדש</t>
        </is>
      </c>
      <c r="N105" t="inlineStr">
        <is>
          <t>prior_research</t>
        </is>
      </c>
      <c r="P105" t="inlineStr">
        <is>
          <t>https://www.bio-techne.com/distributors/novus</t>
        </is>
      </c>
    </row>
    <row r="106">
      <c r="A106" t="n">
        <v>942</v>
      </c>
      <c r="B106" t="inlineStr">
        <is>
          <t>Oakton</t>
        </is>
      </c>
      <c r="C106" t="inlineStr">
        <is>
          <t>Medent Scientific Instruments</t>
        </is>
      </c>
      <c r="D106" t="inlineStr">
        <is>
          <t>מדנט מכשור מדעי</t>
        </is>
      </c>
      <c r="E106" t="inlineStr">
        <is>
          <t>מפיץ</t>
        </is>
      </c>
      <c r="F10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6" t="inlineStr">
        <is>
          <t>https://www.medent.co.il</t>
        </is>
      </c>
      <c r="H106" t="inlineStr">
        <is>
          <t>+972 72-395-0508 (sales); +972 8-683-6306 (service)</t>
        </is>
      </c>
      <c r="I106" t="inlineStr">
        <is>
          <t>info@medent.co.il</t>
        </is>
      </c>
      <c r="J106" t="inlineStr">
        <is>
          <t>110 Mordei HaGetaot St., Beer Sheva 8420643</t>
        </is>
      </c>
      <c r="K106" t="inlineStr">
        <is>
          <t>https://www.medent.co.il/scientific.equipment/%D7%A6%D7%95%D7%A8-%D7%A7%D7%A9%D7%A8/</t>
        </is>
      </c>
      <c r="L106" t="n">
        <v>2026</v>
      </c>
      <c r="M106" t="inlineStr">
        <is>
          <t>עדכני</t>
        </is>
      </c>
      <c r="N106" t="inlineStr">
        <is>
          <t>prior_research</t>
        </is>
      </c>
      <c r="P106" t="inlineStr">
        <is>
          <t>https://medent.co.il/scientific.equipment/product/%D7%A1%D7%A4%D7%A7%D7%98%D7%A8%D7%95%D7%A4%D7%95%D7%98%D7%95%D7%9E%D7%98%D7%A8-uvvis-%D7%9E%D7%A2%D7%91%D7%93%D7%AA%D7%99-%D7%93%D7%92%D7%9D-6305-%D7%AA%D7%95%D7%A6%D7%A8%D7%AA-jenway/</t>
        </is>
      </c>
    </row>
    <row r="107">
      <c r="A107" t="n">
        <v>947</v>
      </c>
      <c r="B107" t="inlineStr">
        <is>
          <t>Ohaus</t>
        </is>
      </c>
      <c r="C107" t="inlineStr">
        <is>
          <t>Labotal Scientific Equipment Ltd.</t>
        </is>
      </c>
      <c r="D107" t="inlineStr">
        <is>
          <t>לבוטל</t>
        </is>
      </c>
      <c r="E107" t="inlineStr">
        <is>
          <t>מפיץ</t>
        </is>
      </c>
      <c r="F107" t="inlineStr">
        <is>
          <t>OHAUS balances and centrifuges (e.g. FC-5515R refrigerated microcentrifuge) - Ohaus has a dedicated page in Labotal's live 'Represented Firms' archive, and Labotal's product/guide pages refer to Ohaus' 2024 acquisition of Hermle</t>
        </is>
      </c>
      <c r="G107" t="inlineStr">
        <is>
          <t>https://labotal.co.il</t>
        </is>
      </c>
      <c r="H107" t="inlineStr">
        <is>
          <t>+972 2-579-9222</t>
        </is>
      </c>
      <c r="I107" t="inlineStr">
        <is>
          <t>Sales@labotal.co.il</t>
        </is>
      </c>
      <c r="J107" t="inlineStr">
        <is>
          <t>Hashalom Rd., Abu Ghosh 9084500 (mail: Mevaseret Zion)</t>
        </is>
      </c>
      <c r="K107" t="inlineStr">
        <is>
          <t>https://labotal.co.il/contact/</t>
        </is>
      </c>
      <c r="L107" t="n">
        <v>2026</v>
      </c>
      <c r="M107" t="inlineStr">
        <is>
          <t>עדכני</t>
        </is>
      </c>
      <c r="N107" t="inlineStr">
        <is>
          <t>prior_research</t>
        </is>
      </c>
      <c r="P107" t="inlineStr">
        <is>
          <t>https://labotal.co.il/firms/ohaus/?lang=en</t>
        </is>
      </c>
    </row>
    <row r="108">
      <c r="A108" t="n">
        <v>965</v>
      </c>
      <c r="B108" t="inlineStr">
        <is>
          <t>Oxford Instruments America</t>
        </is>
      </c>
      <c r="C108" t="inlineStr">
        <is>
          <t>Advanced Technological Solutions Ltd. (ATSL)</t>
        </is>
      </c>
      <c r="D108" t="inlineStr"/>
      <c r="E108" t="inlineStr">
        <is>
          <t>מפיץ</t>
        </is>
      </c>
      <c r="F108" t="inlineStr">
        <is>
          <t>WITec (an Oxford Instruments company since 2021) SNOM/AFM/Raman imaging systems - appointed exclusive distributor in Israel in November 2012 (Kiryat Ata); no later confirmation found, current status unknown</t>
        </is>
      </c>
      <c r="G108" t="inlineStr"/>
      <c r="H108" t="inlineStr"/>
      <c r="I108" t="inlineStr"/>
      <c r="J108" t="inlineStr"/>
      <c r="K108" t="inlineStr"/>
      <c r="L108" t="n">
        <v>2012</v>
      </c>
      <c r="M108" t="inlineStr">
        <is>
          <t>ראיה ישנה</t>
        </is>
      </c>
      <c r="N108" t="inlineStr">
        <is>
          <t>prior_research</t>
        </is>
      </c>
      <c r="P108" t="inlineStr">
        <is>
          <t>https://www.analytica-world.com/en/news/140718/witec-appoints-new-distributor-in-israel.html</t>
        </is>
      </c>
    </row>
    <row r="109">
      <c r="A109" t="n">
        <v>965</v>
      </c>
      <c r="B109" t="inlineStr">
        <is>
          <t>Oxford Instruments America</t>
        </is>
      </c>
      <c r="C109" t="inlineStr">
        <is>
          <t>Quantum Design s.r.l. (Italy and Israel branch office, Rome) / Quantum Design Israel site</t>
        </is>
      </c>
      <c r="D109" t="inlineStr"/>
      <c r="E109" t="inlineStr">
        <is>
          <t>מפיץ</t>
        </is>
      </c>
      <c r="F109"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9" t="inlineStr">
        <is>
          <t>https://qd-europe.com/il/en</t>
        </is>
      </c>
      <c r="H109" t="inlineStr"/>
      <c r="I109" t="inlineStr"/>
      <c r="J109" t="inlineStr"/>
      <c r="K109" t="inlineStr"/>
      <c r="L109" t="n">
        <v>2026</v>
      </c>
      <c r="M109" t="inlineStr">
        <is>
          <t>חדש</t>
        </is>
      </c>
      <c r="N109" t="inlineStr">
        <is>
          <t>prior_research</t>
        </is>
      </c>
      <c r="P109" t="inlineStr">
        <is>
          <t>https://qd-europe.com/il/en/news/latest-updates/newsdetails/quantum-design-to-acquire-nanoscience-division-of-oxford-instruments--2384/</t>
        </is>
      </c>
    </row>
    <row r="110">
      <c r="A110" t="n">
        <v>967</v>
      </c>
      <c r="B110" t="inlineStr">
        <is>
          <t>OZ Biosciences</t>
        </is>
      </c>
      <c r="C110" t="inlineStr">
        <is>
          <t>Tivan Biotech</t>
        </is>
      </c>
      <c r="D110" t="inlineStr">
        <is>
          <t>טיבן ביוטק</t>
        </is>
      </c>
      <c r="E110" t="inlineStr">
        <is>
          <t>מפיץ</t>
        </is>
      </c>
      <c r="F110" t="inlineStr">
        <is>
          <t>OZ Biosciences announced Tivan Biotech as its distributor in Israel (blog post, undated)</t>
        </is>
      </c>
      <c r="G110" t="inlineStr">
        <is>
          <t>https://www.tivanbiotech.com</t>
        </is>
      </c>
      <c r="I110" t="inlineStr">
        <is>
          <t>customerservice@tivanbiotech.com</t>
        </is>
      </c>
      <c r="M110" t="inlineStr">
        <is>
          <t>עדכני</t>
        </is>
      </c>
      <c r="N110" t="inlineStr">
        <is>
          <t>manufacturer_or_press</t>
        </is>
      </c>
      <c r="P110" t="inlineStr">
        <is>
          <t>https://ozbiosciences.com/blog/welcome-to-our-new-distributor-in-israel-n6</t>
        </is>
      </c>
    </row>
    <row r="111">
      <c r="A111" t="n">
        <v>985</v>
      </c>
      <c r="B111" t="inlineStr">
        <is>
          <t>PerkinElmer</t>
        </is>
      </c>
      <c r="C111" t="inlineStr">
        <is>
          <t>PerkinElmer Israel Ltd.</t>
        </is>
      </c>
      <c r="D111" t="inlineStr"/>
      <c r="E111" t="inlineStr">
        <is>
          <t>חברה-בת</t>
        </is>
      </c>
      <c r="F111" t="inlineStr">
        <is>
          <t>direct sales, service and support for analytical instruments and OneSource lab services; HaSheizaf St 4, Ra'anana 4366411, +972 3655 8777 - live perkinelmer.com office-location pages</t>
        </is>
      </c>
      <c r="G111" t="inlineStr">
        <is>
          <t>https://www.perkinelmer.com</t>
        </is>
      </c>
      <c r="H111" t="inlineStr">
        <is>
          <t>1-700-500-512</t>
        </is>
      </c>
      <c r="I111" t="inlineStr">
        <is>
          <t>cc.israel@perkinelmer.com</t>
        </is>
      </c>
      <c r="J111" t="inlineStr">
        <is>
          <t>4 HaSheizaf St., Ra'anana</t>
        </is>
      </c>
      <c r="K111" t="inlineStr"/>
      <c r="L111" t="n">
        <v>2026</v>
      </c>
      <c r="M111" t="inlineStr">
        <is>
          <t>עדכני</t>
        </is>
      </c>
      <c r="N111" t="inlineStr">
        <is>
          <t>prior_research</t>
        </is>
      </c>
      <c r="P111" t="inlineStr">
        <is>
          <t>https://www.perkinelmer.com/node/3901</t>
        </is>
      </c>
    </row>
    <row r="112">
      <c r="A112" t="n">
        <v>985</v>
      </c>
      <c r="B112" t="inlineStr">
        <is>
          <t>PerkinElmer</t>
        </is>
      </c>
      <c r="C112" t="inlineStr">
        <is>
          <t>ISI Israel Scientific Instruments Ltd.</t>
        </is>
      </c>
      <c r="D112" t="inlineStr"/>
      <c r="E112" t="inlineStr">
        <is>
          <t>מפיץ</t>
        </is>
      </c>
      <c r="F112" t="inlineStr">
        <is>
          <t>food testing / food quality products, as listed on PerkinElmer's site; Shacham St 32, Petach Tikva, +972 3-9232202 (site given as isil.co.il)</t>
        </is>
      </c>
      <c r="G112" t="inlineStr">
        <is>
          <t>https://www.isil.co.il</t>
        </is>
      </c>
      <c r="H112" t="inlineStr">
        <is>
          <t>+972-3-9232202</t>
        </is>
      </c>
      <c r="I112" t="inlineStr">
        <is>
          <t>info@isil.co.il</t>
        </is>
      </c>
      <c r="J112" t="inlineStr">
        <is>
          <t>32 Shacham St., P.O. Box 7790, Petah Tikva 49170</t>
        </is>
      </c>
      <c r="K112" t="inlineStr"/>
      <c r="M112" t="inlineStr">
        <is>
          <t>ראיה ישנה</t>
        </is>
      </c>
      <c r="N112" t="inlineStr">
        <is>
          <t>prior_research</t>
        </is>
      </c>
      <c r="P112" t="inlineStr">
        <is>
          <t>https://www.perkinelmer.com/node/10826</t>
        </is>
      </c>
    </row>
    <row r="113">
      <c r="A113" t="n">
        <v>988</v>
      </c>
      <c r="B113" t="inlineStr">
        <is>
          <t>PHC Corporation of North America</t>
        </is>
      </c>
      <c r="C113" t="inlineStr">
        <is>
          <t>Eldan Electronic Instruments</t>
        </is>
      </c>
      <c r="D113" t="inlineStr"/>
      <c r="E113" t="inlineStr">
        <is>
          <t>מפיץ</t>
        </is>
      </c>
      <c r="F113" t="inlineStr">
        <is>
          <t>PHCbi CO2/multigas incubators and biomedical/pharmaceutical freezers - Eldan's live laboratory-instruments page lists PHCbi alongside Hettich and Martin Christ</t>
        </is>
      </c>
      <c r="G113" t="inlineStr">
        <is>
          <t>https://www.eldan.biz</t>
        </is>
      </c>
      <c r="H113" t="inlineStr">
        <is>
          <t>+972-3-937-1111</t>
        </is>
      </c>
      <c r="I113" t="inlineStr">
        <is>
          <t>info@eldan.biz</t>
        </is>
      </c>
      <c r="J113" t="inlineStr">
        <is>
          <t>6 Hashiloach Street, P.O. Box 7641, Petach Tikva 49170</t>
        </is>
      </c>
      <c r="K113" t="inlineStr"/>
      <c r="L113" t="n">
        <v>2026</v>
      </c>
      <c r="M113" t="inlineStr">
        <is>
          <t>עדכני</t>
        </is>
      </c>
      <c r="N113" t="inlineStr">
        <is>
          <t>prior_research</t>
        </is>
      </c>
      <c r="P113" t="inlineStr">
        <is>
          <t>https://www.eldan.biz/laboratory-instruments/</t>
        </is>
      </c>
    </row>
    <row r="114">
      <c r="A114" t="n">
        <v>988</v>
      </c>
      <c r="B114" t="inlineStr">
        <is>
          <t>PHC Corporation of North America</t>
        </is>
      </c>
      <c r="C114" t="inlineStr">
        <is>
          <t>Lumitron Ltd.</t>
        </is>
      </c>
      <c r="D114" t="inlineStr">
        <is>
          <t>לומיטרון</t>
        </is>
      </c>
      <c r="E114" t="inlineStr">
        <is>
          <t>מפיץ</t>
        </is>
      </c>
      <c r="F114" t="inlineStr">
        <is>
          <t>PHCbi listed on Lumitron's 'Our brands' page (earlier record); this session 'PHCBI' appears only as a brand tag on Lumitron's live CO2-incubator-shaker product pages, so the relationship is re-confirmed weakly (brand mention, no PHCbi product page seen)</t>
        </is>
      </c>
      <c r="G114" t="inlineStr">
        <is>
          <t>https://www.lumitron.co.il</t>
        </is>
      </c>
      <c r="H114" t="inlineStr">
        <is>
          <t>+972 52-525-6287</t>
        </is>
      </c>
      <c r="I114" t="inlineStr"/>
      <c r="J114" t="inlineStr">
        <is>
          <t>17 Hamiflasim St., Petah Tikva</t>
        </is>
      </c>
      <c r="K114" t="inlineStr"/>
      <c r="L114" t="n">
        <v>2026</v>
      </c>
      <c r="M114" t="inlineStr">
        <is>
          <t>עדכני</t>
        </is>
      </c>
      <c r="N114" t="inlineStr">
        <is>
          <t>prior_research</t>
        </is>
      </c>
      <c r="P114" t="inlineStr">
        <is>
          <t>https://www.lumitron.co.il/our-brands-heb/?lang=en</t>
        </is>
      </c>
    </row>
    <row r="115">
      <c r="A115" t="n">
        <v>989</v>
      </c>
      <c r="B115" t="inlineStr">
        <is>
          <t>PHCBI</t>
        </is>
      </c>
      <c r="C115" t="inlineStr">
        <is>
          <t>Eldan Electronic Instruments</t>
        </is>
      </c>
      <c r="D115" t="inlineStr"/>
      <c r="E115" t="inlineStr">
        <is>
          <t>מפיץ</t>
        </is>
      </c>
      <c r="F115" t="inlineStr">
        <is>
          <t>PHCbi CO2/multigas incubators and biomedical/pharmaceutical freezers - Eldan's live laboratory-instruments page lists PHCbi alongside Hettich and Martin Christ</t>
        </is>
      </c>
      <c r="G115" t="inlineStr">
        <is>
          <t>https://www.eldan.biz</t>
        </is>
      </c>
      <c r="H115" t="inlineStr">
        <is>
          <t>+972-3-937-1111</t>
        </is>
      </c>
      <c r="I115" t="inlineStr">
        <is>
          <t>info@eldan.biz</t>
        </is>
      </c>
      <c r="J115" t="inlineStr">
        <is>
          <t>6 Hashiloach Street, P.O. Box 7641, Petach Tikva 49170</t>
        </is>
      </c>
      <c r="K115" t="inlineStr"/>
      <c r="L115" t="n">
        <v>2026</v>
      </c>
      <c r="M115" t="inlineStr">
        <is>
          <t>עדכני</t>
        </is>
      </c>
      <c r="N115" t="inlineStr">
        <is>
          <t>prior_research</t>
        </is>
      </c>
      <c r="P115" t="inlineStr">
        <is>
          <t>https://www.eldan.biz/laboratory-instruments/</t>
        </is>
      </c>
    </row>
    <row r="116">
      <c r="A116" t="n">
        <v>989</v>
      </c>
      <c r="B116" t="inlineStr">
        <is>
          <t>PHCBI</t>
        </is>
      </c>
      <c r="C116" t="inlineStr">
        <is>
          <t>Lumitron Ltd.</t>
        </is>
      </c>
      <c r="D116" t="inlineStr">
        <is>
          <t>לומיטרון</t>
        </is>
      </c>
      <c r="E116" t="inlineStr">
        <is>
          <t>מפיץ</t>
        </is>
      </c>
      <c r="F116" t="inlineStr">
        <is>
          <t>PHCbi listed on Lumitron's 'Our brands' page (earlier record); this session 'PHCBI' appears only as a brand tag on Lumitron's live CO2-incubator-shaker product pages, so the relationship is re-confirmed weakly (brand mention, no PHCbi product page seen)</t>
        </is>
      </c>
      <c r="G116" t="inlineStr">
        <is>
          <t>https://www.lumitron.co.il</t>
        </is>
      </c>
      <c r="H116" t="inlineStr">
        <is>
          <t>+972 52-525-6287</t>
        </is>
      </c>
      <c r="I116" t="inlineStr"/>
      <c r="J116" t="inlineStr">
        <is>
          <t>17 Hamiflasim St., Petah Tikva</t>
        </is>
      </c>
      <c r="K116" t="inlineStr"/>
      <c r="L116" t="n">
        <v>2026</v>
      </c>
      <c r="M116" t="inlineStr">
        <is>
          <t>עדכני</t>
        </is>
      </c>
      <c r="N116" t="inlineStr">
        <is>
          <t>prior_research</t>
        </is>
      </c>
      <c r="P116" t="inlineStr">
        <is>
          <t>https://www.lumitron.co.il/our-brands-heb/?lang=en</t>
        </is>
      </c>
    </row>
    <row r="117">
      <c r="A117" t="n">
        <v>1029</v>
      </c>
      <c r="B117" t="inlineStr">
        <is>
          <t>Promega</t>
        </is>
      </c>
      <c r="C117" t="inlineStr">
        <is>
          <t>IM Beit HaEmek (Beit HaEmek Industries)</t>
        </is>
      </c>
      <c r="D117" t="inlineStr">
        <is>
          <t>תעשיות בית העמק</t>
        </is>
      </c>
      <c r="E117" t="inlineStr">
        <is>
          <t>מפיץ</t>
        </is>
      </c>
      <c r="F117" t="inlineStr">
        <is>
          <t>Promega distributor for Israel - Kibbutz Beit Ha'Emek 2511500, bemek.co.il, per Promega's live 'Contact Promega' distributor list; IM Beit HaEmek's own site names Promega among officially distributed brands (prior round)</t>
        </is>
      </c>
      <c r="G117" t="inlineStr">
        <is>
          <t>https://www.bemek.co.il</t>
        </is>
      </c>
      <c r="H117" t="inlineStr">
        <is>
          <t>+972 4-868-9015</t>
        </is>
      </c>
      <c r="I117" t="inlineStr">
        <is>
          <t>info@bemek.co.il</t>
        </is>
      </c>
      <c r="J117" t="inlineStr">
        <is>
          <t>Kibbutz Beit HaEmek</t>
        </is>
      </c>
      <c r="K117" t="inlineStr">
        <is>
          <t>https://www.bemek.co.il/about-us/</t>
        </is>
      </c>
      <c r="L117" t="n">
        <v>2026</v>
      </c>
      <c r="M117" t="inlineStr">
        <is>
          <t>עדכני</t>
        </is>
      </c>
      <c r="N117" t="inlineStr">
        <is>
          <t>prior_research</t>
        </is>
      </c>
      <c r="P117" t="inlineStr">
        <is>
          <t>https://www.promega.com/support/contact-promega/</t>
        </is>
      </c>
    </row>
    <row r="118">
      <c r="A118" t="n">
        <v>1048</v>
      </c>
      <c r="B118" t="inlineStr">
        <is>
          <t>Qiagen</t>
        </is>
      </c>
      <c r="C118" t="inlineStr">
        <is>
          <t>Ilex Medical Ltd.</t>
        </is>
      </c>
      <c r="D118" t="inlineStr"/>
      <c r="E118" t="inlineStr">
        <is>
          <t>מפיץ</t>
        </is>
      </c>
      <c r="F11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8" t="inlineStr">
        <is>
          <t>https://www.ilexmedical.com</t>
        </is>
      </c>
      <c r="H118" t="inlineStr">
        <is>
          <t>+972-3-9385500</t>
        </is>
      </c>
      <c r="I118" t="inlineStr"/>
      <c r="J118" t="inlineStr">
        <is>
          <t>7 HaTnufa St., Petah Tikva</t>
        </is>
      </c>
      <c r="K118" t="inlineStr"/>
      <c r="L118" t="n">
        <v>2026</v>
      </c>
      <c r="M118" t="inlineStr">
        <is>
          <t>עדכני</t>
        </is>
      </c>
      <c r="N118" t="inlineStr">
        <is>
          <t>prior_research</t>
        </is>
      </c>
      <c r="P118" t="inlineStr">
        <is>
          <t>https://www.ilexmedical.com/catalog_products/qpcr-dpcr/</t>
        </is>
      </c>
    </row>
    <row r="119">
      <c r="A119" t="n">
        <v>1048</v>
      </c>
      <c r="B119" t="inlineStr">
        <is>
          <t>Qiagen</t>
        </is>
      </c>
      <c r="C119" t="inlineStr">
        <is>
          <t>Eldan Electronic Instruments (Neopharm group)</t>
        </is>
      </c>
      <c r="D119" t="inlineStr"/>
      <c r="E119" t="inlineStr">
        <is>
          <t>מפיץ</t>
        </is>
      </c>
      <c r="F119" t="inlineStr">
        <is>
          <t>listed QIAGEN among the manufacturers it represents in Israel (life-science research) on a 2014 page and showed QIAGEN products at ISM/IIS meetings in 2015-2016; current status unconfirmed</t>
        </is>
      </c>
      <c r="G119" t="inlineStr">
        <is>
          <t>https://eldan.biz</t>
        </is>
      </c>
      <c r="H119" t="inlineStr">
        <is>
          <t>+972-3-937-1111</t>
        </is>
      </c>
      <c r="I119" t="inlineStr">
        <is>
          <t>info@eldan.biz</t>
        </is>
      </c>
      <c r="J119" t="inlineStr">
        <is>
          <t>6 Hashiloach Street, P.O. Box 7641, Petach Tikva 49170</t>
        </is>
      </c>
      <c r="K119" t="inlineStr"/>
      <c r="L119" t="n">
        <v>2014</v>
      </c>
      <c r="M119" t="inlineStr">
        <is>
          <t>ראיה ישנה</t>
        </is>
      </c>
      <c r="N119" t="inlineStr">
        <is>
          <t>prior_research</t>
        </is>
      </c>
      <c r="P119" t="inlineStr">
        <is>
          <t>https://eldan.biz/?p=1052</t>
        </is>
      </c>
    </row>
    <row r="120">
      <c r="A120" t="n">
        <v>1048</v>
      </c>
      <c r="B120" t="inlineStr">
        <is>
          <t>Qiagen</t>
        </is>
      </c>
      <c r="C120" t="inlineStr">
        <is>
          <t>Lifegene Ltd.</t>
        </is>
      </c>
      <c r="D120" t="inlineStr">
        <is>
          <t>לייפג'ין</t>
        </is>
      </c>
      <c r="E120" t="inlineStr">
        <is>
          <t>מפיץ</t>
        </is>
      </c>
      <c r="F120" t="inlineStr">
        <is>
          <t>https://www.lifegene.co.il</t>
        </is>
      </c>
      <c r="G120" t="inlineStr">
        <is>
          <t>QIAGEN enzymes / OEM reagents sold through the Lifegene catalogue (not the QIAGEN instrument line)</t>
        </is>
      </c>
      <c r="H120" t="inlineStr">
        <is>
          <t>+972 8-644-4314</t>
        </is>
      </c>
      <c r="I120" t="inlineStr">
        <is>
          <t>info@lifegene.co.il</t>
        </is>
      </c>
      <c r="J120" t="inlineStr">
        <is>
          <t>4 Ha'maayan St., Modi'in 7171101 (directory lists Modi'in; other sources say Mevo Horon – verify)</t>
        </is>
      </c>
      <c r="K120" t="inlineStr"/>
      <c r="M120" t="inlineStr">
        <is>
          <t>ראיה ישנה</t>
        </is>
      </c>
      <c r="N120" t="inlineStr">
        <is>
          <t>prior_research</t>
        </is>
      </c>
      <c r="P120" t="inlineStr">
        <is>
          <t>https://www.lifegene.co.il/page_30153</t>
        </is>
      </c>
    </row>
    <row r="121">
      <c r="A121" t="n">
        <v>1060</v>
      </c>
      <c r="B121" t="inlineStr">
        <is>
          <t>R&amp;D Systems</t>
        </is>
      </c>
      <c r="C121" t="inlineStr">
        <is>
          <t>Getter Bio-Med (Getter Group)</t>
        </is>
      </c>
      <c r="D121" t="inlineStr">
        <is>
          <t>גטר ביו-מד</t>
        </is>
      </c>
      <c r="E121" t="inlineStr">
        <is>
          <t>מפיץ</t>
        </is>
      </c>
      <c r="F121" t="inlineStr">
        <is>
          <t>Lunaphore (a Bio-Techne brand) spatial-biology platforms – Getter describes itself as the official Israeli representative (LinkedIn)</t>
        </is>
      </c>
      <c r="G121" t="inlineStr">
        <is>
          <t>https://www.getter.co.il</t>
        </is>
      </c>
      <c r="H121" t="inlineStr">
        <is>
          <t>+972 3-576-1555 (Getter Group switchboard)</t>
        </is>
      </c>
      <c r="I121" t="inlineStr"/>
      <c r="J121" t="inlineStr">
        <is>
          <t>7 Shimshon St., Petah Tikva 4912502</t>
        </is>
      </c>
      <c r="K121" t="inlineStr"/>
      <c r="M121" t="inlineStr">
        <is>
          <t>ראיה ישנה</t>
        </is>
      </c>
      <c r="N121" t="inlineStr">
        <is>
          <t>prior_research</t>
        </is>
      </c>
      <c r="P121" t="inlineStr">
        <is>
          <t>https://www.getter.co.il/about-en/</t>
        </is>
      </c>
    </row>
    <row r="122">
      <c r="A122" t="n">
        <v>1060</v>
      </c>
      <c r="B122" t="inlineStr">
        <is>
          <t>R&amp;D Systems</t>
        </is>
      </c>
      <c r="C122" t="inlineStr">
        <is>
          <t>Biotest</t>
        </is>
      </c>
      <c r="D122" t="inlineStr"/>
      <c r="E122" t="inlineStr">
        <is>
          <t>מפיץ</t>
        </is>
      </c>
      <c r="F122" t="inlineStr">
        <is>
          <t>Israeli distributor listed on Bio-Techne's Novus Biologicals distributor directory: 6 Hasadna St., P.O. Box 8006, Kfar Saba 4442405 (phone/e-mail on page); coverage of other Bio-Techne brands (R&amp;D Systems, Tocris, ProteinSimple) not confirmed</t>
        </is>
      </c>
      <c r="G122" t="inlineStr"/>
      <c r="H122" t="inlineStr"/>
      <c r="I122" t="inlineStr"/>
      <c r="J122" t="inlineStr"/>
      <c r="K122" t="inlineStr"/>
      <c r="L122" t="n">
        <v>2026</v>
      </c>
      <c r="M122" t="inlineStr">
        <is>
          <t>חדש</t>
        </is>
      </c>
      <c r="N122" t="inlineStr">
        <is>
          <t>prior_research</t>
        </is>
      </c>
      <c r="P122" t="inlineStr">
        <is>
          <t>https://www.bio-techne.com/distributors/novus</t>
        </is>
      </c>
    </row>
    <row r="123">
      <c r="A123" t="n">
        <v>1064</v>
      </c>
      <c r="B123" t="inlineStr">
        <is>
          <t>Rainin</t>
        </is>
      </c>
      <c r="C123" t="inlineStr">
        <is>
          <t>Agentek (1987) Ltd.</t>
        </is>
      </c>
      <c r="D123" t="inlineStr">
        <is>
          <t>אגנטק</t>
        </is>
      </c>
      <c r="E123" t="inlineStr">
        <is>
          <t>מפיץ</t>
        </is>
      </c>
      <c r="F12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23" t="inlineStr">
        <is>
          <t>https://agentek.co.il</t>
        </is>
      </c>
      <c r="H123" t="inlineStr">
        <is>
          <t>+972 9-965-7000</t>
        </is>
      </c>
      <c r="I123" t="inlineStr"/>
      <c r="J123" t="inlineStr">
        <is>
          <t>Greenwork Yakum Business Park, Yakum 6097200</t>
        </is>
      </c>
      <c r="K123" t="inlineStr">
        <is>
          <t>https://agentek.co.il/contact/</t>
        </is>
      </c>
      <c r="L123" t="n">
        <v>2026</v>
      </c>
      <c r="M123" t="inlineStr">
        <is>
          <t>עדכני</t>
        </is>
      </c>
      <c r="N123" t="inlineStr">
        <is>
          <t>prior_research</t>
        </is>
      </c>
      <c r="P123" t="inlineStr">
        <is>
          <t>https://agentek.co.il/representative/mettler-toledo/</t>
        </is>
      </c>
    </row>
    <row r="124">
      <c r="A124" t="n">
        <v>1064</v>
      </c>
      <c r="B124" t="inlineStr">
        <is>
          <t>Rainin</t>
        </is>
      </c>
      <c r="C124" t="inlineStr">
        <is>
          <t>Modcon Systems Ltd.</t>
        </is>
      </c>
      <c r="D124" t="inlineStr"/>
      <c r="E124" t="inlineStr">
        <is>
          <t>מפיץ</t>
        </is>
      </c>
      <c r="F124" t="inlineStr">
        <is>
          <t>process analytics (Ingold sensors/transmitters); Akko, +972 4 9553955</t>
        </is>
      </c>
      <c r="G124" t="inlineStr">
        <is>
          <t>https://modcon-systems.com</t>
        </is>
      </c>
      <c r="H124" t="inlineStr">
        <is>
          <t>+972-4-9553955</t>
        </is>
      </c>
      <c r="I124" t="inlineStr"/>
      <c r="J124" t="inlineStr">
        <is>
          <t>Modcon House, M. Boronshtein St., South Akko Industrial Park, Akko 24222</t>
        </is>
      </c>
      <c r="K124" t="inlineStr"/>
      <c r="M124" t="inlineStr">
        <is>
          <t>ראיה ישנה</t>
        </is>
      </c>
      <c r="N124" t="inlineStr">
        <is>
          <t>prior_research</t>
        </is>
      </c>
      <c r="P124" t="inlineStr">
        <is>
          <t>https://www.mt.com/il/en/home.html</t>
        </is>
      </c>
    </row>
    <row r="125">
      <c r="A125" t="n">
        <v>1064</v>
      </c>
      <c r="B125" t="inlineStr">
        <is>
          <t>Rainin</t>
        </is>
      </c>
      <c r="C125" t="inlineStr">
        <is>
          <t>Dinco Ltd.</t>
        </is>
      </c>
      <c r="D125" t="inlineStr"/>
      <c r="E125" t="inlineStr">
        <is>
          <t>מפיץ</t>
        </is>
      </c>
      <c r="F125" t="inlineStr">
        <is>
          <t>product inspection (Safeline X-ray etc.); Tirat Carmel, +972 4 813 15 15</t>
        </is>
      </c>
      <c r="G125" t="inlineStr"/>
      <c r="H125" t="inlineStr"/>
      <c r="I125" t="inlineStr"/>
      <c r="J125" t="inlineStr"/>
      <c r="K125" t="inlineStr"/>
      <c r="M125" t="inlineStr">
        <is>
          <t>ראיה ישנה</t>
        </is>
      </c>
      <c r="N125" t="inlineStr">
        <is>
          <t>prior_research</t>
        </is>
      </c>
      <c r="P125" t="inlineStr">
        <is>
          <t>https://www.mt.com/il/en/home.html</t>
        </is>
      </c>
    </row>
    <row r="126">
      <c r="A126" t="n">
        <v>1080</v>
      </c>
      <c r="B126" t="inlineStr">
        <is>
          <t>Retsch</t>
        </is>
      </c>
      <c r="C126" t="inlineStr">
        <is>
          <t>MRC Laboratory Equipment &amp; Instruments</t>
        </is>
      </c>
      <c r="D126" t="inlineStr">
        <is>
          <t>MRC</t>
        </is>
      </c>
      <c r="E126" t="inlineStr">
        <is>
          <t>מפיץ</t>
        </is>
      </c>
      <c r="F126"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26" t="inlineStr">
        <is>
          <t>https://www.mrclab.com</t>
        </is>
      </c>
      <c r="H126" t="inlineStr">
        <is>
          <t>+972 3-559-5252</t>
        </is>
      </c>
      <c r="I126" t="inlineStr"/>
      <c r="J126" t="inlineStr">
        <is>
          <t>3 Ha-Gavish St., Holon 5881702</t>
        </is>
      </c>
      <c r="K126" t="inlineStr"/>
      <c r="L126" t="n">
        <v>2026</v>
      </c>
      <c r="M126" t="inlineStr">
        <is>
          <t>עדכני</t>
        </is>
      </c>
      <c r="N126" t="inlineStr">
        <is>
          <t>prior_research</t>
        </is>
      </c>
      <c r="P126" t="inlineStr">
        <is>
          <t>https://www.mrclab.com/carbolite_drying_ovens_for_solvent</t>
        </is>
      </c>
    </row>
    <row r="127">
      <c r="A127" t="n">
        <v>1081</v>
      </c>
      <c r="B127" t="inlineStr">
        <is>
          <t>Revvity</t>
        </is>
      </c>
      <c r="C127" t="inlineStr">
        <is>
          <t>PerkinElmer Israel Ltd.</t>
        </is>
      </c>
      <c r="D127" t="inlineStr"/>
      <c r="E127" t="inlineStr">
        <is>
          <t>חברה-בת</t>
        </is>
      </c>
      <c r="F127" t="inlineStr">
        <is>
          <t>direct sales, service and support for analytical instruments and OneSource lab services; HaSheizaf St 4, Ra'anana 4366411, +972 3655 8777 - live perkinelmer.com office-location pages</t>
        </is>
      </c>
      <c r="G127" t="inlineStr">
        <is>
          <t>https://www.perkinelmer.com</t>
        </is>
      </c>
      <c r="H127" t="inlineStr">
        <is>
          <t>1-700-500-512</t>
        </is>
      </c>
      <c r="I127" t="inlineStr">
        <is>
          <t>cc.israel@perkinelmer.com</t>
        </is>
      </c>
      <c r="J127" t="inlineStr">
        <is>
          <t>4 HaSheizaf St., Ra'anana</t>
        </is>
      </c>
      <c r="K127" t="inlineStr"/>
      <c r="L127" t="n">
        <v>2026</v>
      </c>
      <c r="M127" t="inlineStr">
        <is>
          <t>עדכני</t>
        </is>
      </c>
      <c r="N127" t="inlineStr">
        <is>
          <t>prior_research</t>
        </is>
      </c>
      <c r="P127" t="inlineStr">
        <is>
          <t>https://www.perkinelmer.com/node/3901</t>
        </is>
      </c>
    </row>
    <row r="128">
      <c r="A128" t="n">
        <v>1081</v>
      </c>
      <c r="B128" t="inlineStr">
        <is>
          <t>Revvity</t>
        </is>
      </c>
      <c r="C128" t="inlineStr">
        <is>
          <t>ISI Israel Scientific Instruments Ltd.</t>
        </is>
      </c>
      <c r="D128" t="inlineStr"/>
      <c r="E128" t="inlineStr">
        <is>
          <t>מפיץ</t>
        </is>
      </c>
      <c r="F128" t="inlineStr">
        <is>
          <t>food testing / food quality products, as listed on PerkinElmer's site; Shacham St 32, Petach Tikva, +972 3-9232202 (site given as isil.co.il)</t>
        </is>
      </c>
      <c r="G128" t="inlineStr">
        <is>
          <t>https://www.isil.co.il</t>
        </is>
      </c>
      <c r="H128" t="inlineStr">
        <is>
          <t>+972-3-9232202</t>
        </is>
      </c>
      <c r="I128" t="inlineStr">
        <is>
          <t>info@isil.co.il</t>
        </is>
      </c>
      <c r="J128" t="inlineStr">
        <is>
          <t>32 Shacham St., P.O. Box 7790, Petah Tikva 49170</t>
        </is>
      </c>
      <c r="K128" t="inlineStr"/>
      <c r="M128" t="inlineStr">
        <is>
          <t>ראיה ישנה</t>
        </is>
      </c>
      <c r="N128" t="inlineStr">
        <is>
          <t>prior_research</t>
        </is>
      </c>
      <c r="P128" t="inlineStr">
        <is>
          <t>https://www.perkinelmer.com/node/10826</t>
        </is>
      </c>
    </row>
    <row r="129">
      <c r="A129" t="n">
        <v>1088</v>
      </c>
      <c r="B129" t="inlineStr">
        <is>
          <t>Roche</t>
        </is>
      </c>
      <c r="C129" t="inlineStr">
        <is>
          <t>Roche Pharmaceuticals (Israel) Ltd. - Diagnostics division ("Roche Diagnostics Israel")</t>
        </is>
      </c>
      <c r="D129" t="inlineStr"/>
      <c r="E129" t="inlineStr">
        <is>
          <t>חברה-בת</t>
        </is>
      </c>
      <c r="F12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9" t="inlineStr">
        <is>
          <t>https://www.roche.co.il</t>
        </is>
      </c>
      <c r="H129" t="inlineStr">
        <is>
          <t>+972-9-9737777</t>
        </is>
      </c>
      <c r="I129" t="inlineStr"/>
      <c r="J129" t="inlineStr">
        <is>
          <t>6 Hacharash St., P.O. Box 3691, Hod Hasharon 4524079</t>
        </is>
      </c>
      <c r="K129" t="inlineStr"/>
      <c r="L129" t="n">
        <v>2026</v>
      </c>
      <c r="M129" t="inlineStr">
        <is>
          <t>עדכני</t>
        </is>
      </c>
      <c r="N129" t="inlineStr">
        <is>
          <t>prior_research</t>
        </is>
      </c>
      <c r="P129" t="inlineStr">
        <is>
          <t>https://www.roche.com/solutions/diagnostics/safety-officers</t>
        </is>
      </c>
    </row>
    <row r="130">
      <c r="A130" t="n">
        <v>1088</v>
      </c>
      <c r="B130" t="inlineStr">
        <is>
          <t>Roche</t>
        </is>
      </c>
      <c r="C130" t="inlineStr">
        <is>
          <t>Gamidor Diagnostics</t>
        </is>
      </c>
      <c r="D130" t="inlineStr">
        <is>
          <t>גאמידור דיאגנוסטיקה בע"מ</t>
        </is>
      </c>
      <c r="E130" t="inlineStr">
        <is>
          <t>מפיץ</t>
        </is>
      </c>
      <c r="F130" t="inlineStr">
        <is>
          <t>Roche Tissue Diagnostics only: Gamidor's live Tissue Diagnostics page offers IHC, molecular ISH and histochemical staining on automated slide-preparation instruments from VENTANA (Roche); not cobas/LightCycler</t>
        </is>
      </c>
      <c r="G130" t="inlineStr">
        <is>
          <t>https://gamidor.co.il</t>
        </is>
      </c>
      <c r="H130" t="inlineStr">
        <is>
          <t>+972-3-927-7277</t>
        </is>
      </c>
      <c r="I130" t="inlineStr">
        <is>
          <t>info@gamidor.co.il</t>
        </is>
      </c>
      <c r="J130" t="inlineStr">
        <is>
          <t>Shaham 32, Petach Tikva</t>
        </is>
      </c>
      <c r="K130" t="inlineStr"/>
      <c r="L130" t="n">
        <v>2026</v>
      </c>
      <c r="M130" t="inlineStr">
        <is>
          <t>עדכני</t>
        </is>
      </c>
      <c r="N130" t="inlineStr">
        <is>
          <t>prior_research</t>
        </is>
      </c>
      <c r="P130" t="inlineStr">
        <is>
          <t>https://gamidor.co.il/en/tissue-diagnostics-2/</t>
        </is>
      </c>
    </row>
    <row r="131">
      <c r="A131" t="n">
        <v>1088</v>
      </c>
      <c r="B131" t="inlineStr">
        <is>
          <t>Roche</t>
        </is>
      </c>
      <c r="C131" t="inlineStr">
        <is>
          <t>Dyn Diagnostics</t>
        </is>
      </c>
      <c r="D131" t="inlineStr"/>
      <c r="E131" t="inlineStr">
        <is>
          <t>מפיץ</t>
        </is>
      </c>
      <c r="F131" t="inlineStr">
        <is>
          <t>Roche Diabetes Care only: Dyn's live Home Care page lists ACCU-CHEK among its brands and describes its partnership with Roche Diabetes Care (Germany); CoaguChek INR self-testing also mentioned; not laboratory analyzers</t>
        </is>
      </c>
      <c r="G131" t="inlineStr">
        <is>
          <t>https://dyn.co.il</t>
        </is>
      </c>
      <c r="H131" t="inlineStr"/>
      <c r="I131" t="inlineStr"/>
      <c r="J131" t="inlineStr"/>
      <c r="K131" t="inlineStr"/>
      <c r="L131" t="n">
        <v>2026</v>
      </c>
      <c r="M131" t="inlineStr">
        <is>
          <t>עדכני</t>
        </is>
      </c>
      <c r="N131" t="inlineStr">
        <is>
          <t>prior_research</t>
        </is>
      </c>
      <c r="P131" t="inlineStr">
        <is>
          <t>https://dyn.co.il/home-care-en</t>
        </is>
      </c>
    </row>
    <row r="132">
      <c r="A132" t="n">
        <v>1089</v>
      </c>
      <c r="B132" t="inlineStr">
        <is>
          <t>Roche Diagnostics Corp.</t>
        </is>
      </c>
      <c r="C132" t="inlineStr">
        <is>
          <t>Roche Pharmaceuticals (Israel) Ltd. - Diagnostics division ("Roche Diagnostics Israel")</t>
        </is>
      </c>
      <c r="D132" t="inlineStr"/>
      <c r="E132" t="inlineStr">
        <is>
          <t>חברה-בת</t>
        </is>
      </c>
      <c r="F13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32" t="inlineStr">
        <is>
          <t>https://www.roche.co.il</t>
        </is>
      </c>
      <c r="H132" t="inlineStr">
        <is>
          <t>+972-9-9737777</t>
        </is>
      </c>
      <c r="I132" t="inlineStr"/>
      <c r="J132" t="inlineStr">
        <is>
          <t>6 Hacharash St., P.O. Box 3691, Hod Hasharon 4524079</t>
        </is>
      </c>
      <c r="K132" t="inlineStr"/>
      <c r="L132" t="n">
        <v>2026</v>
      </c>
      <c r="M132" t="inlineStr">
        <is>
          <t>עדכני</t>
        </is>
      </c>
      <c r="N132" t="inlineStr">
        <is>
          <t>prior_research</t>
        </is>
      </c>
      <c r="P132" t="inlineStr">
        <is>
          <t>https://www.roche.com/solutions/diagnostics/safety-officers</t>
        </is>
      </c>
    </row>
    <row r="133">
      <c r="A133" t="n">
        <v>1089</v>
      </c>
      <c r="B133" t="inlineStr">
        <is>
          <t>Roche Diagnostics Corp.</t>
        </is>
      </c>
      <c r="C133" t="inlineStr">
        <is>
          <t>Gamidor Diagnostics</t>
        </is>
      </c>
      <c r="D133" t="inlineStr">
        <is>
          <t>גאמידור דיאגנוסטיקה בע"מ</t>
        </is>
      </c>
      <c r="E133" t="inlineStr">
        <is>
          <t>מפיץ</t>
        </is>
      </c>
      <c r="F133" t="inlineStr">
        <is>
          <t>Roche Tissue Diagnostics only: Gamidor's live Tissue Diagnostics page offers IHC, molecular ISH and histochemical staining on automated slide-preparation instruments from VENTANA (Roche); not cobas/LightCycler</t>
        </is>
      </c>
      <c r="G133" t="inlineStr">
        <is>
          <t>https://gamidor.co.il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https://gamidor.co.il/en/tissue-diagnostics-2/</t>
        </is>
      </c>
    </row>
    <row r="134">
      <c r="A134" t="n">
        <v>1089</v>
      </c>
      <c r="B134" t="inlineStr">
        <is>
          <t>Roche Diagnostics Corp.</t>
        </is>
      </c>
      <c r="C134" t="inlineStr">
        <is>
          <t>Dyn Diagnostics</t>
        </is>
      </c>
      <c r="D134" t="inlineStr"/>
      <c r="E134" t="inlineStr">
        <is>
          <t>מפיץ</t>
        </is>
      </c>
      <c r="F134" t="inlineStr">
        <is>
          <t>Roche Diabetes Care only: Dyn's live Home Care page lists ACCU-CHEK among its brands and describes its partnership with Roche Diabetes Care (Germany); CoaguChek INR self-testing also mentioned; not laboratory analyzers</t>
        </is>
      </c>
      <c r="G134" t="inlineStr">
        <is>
          <t>https://dyn.co.il</t>
        </is>
      </c>
      <c r="H134" t="inlineStr"/>
      <c r="I134" t="inlineStr"/>
      <c r="J134" t="inlineStr"/>
      <c r="K134" t="inlineStr"/>
      <c r="L134" t="n">
        <v>2026</v>
      </c>
      <c r="M134" t="inlineStr">
        <is>
          <t>עדכני</t>
        </is>
      </c>
      <c r="N134" t="inlineStr">
        <is>
          <t>prior_research</t>
        </is>
      </c>
      <c r="P134" t="inlineStr">
        <is>
          <t>https://dyn.co.il/home-care-en</t>
        </is>
      </c>
    </row>
    <row r="135">
      <c r="A135" t="n">
        <v>1112</v>
      </c>
      <c r="B135" t="inlineStr">
        <is>
          <t>Santa Cruz Biotechnology</t>
        </is>
      </c>
      <c r="C135" t="inlineStr">
        <is>
          <t>Enco Scientific Services Ltd. (Enco Diagnostics)</t>
        </is>
      </c>
      <c r="D135" t="inlineStr">
        <is>
          <t>אנקו</t>
        </is>
      </c>
      <c r="E135" t="inlineStr">
        <is>
          <t>מפיץ</t>
        </is>
      </c>
      <c r="F135" t="inlineStr">
        <is>
          <t>Enco's About page lists the brand among the international companies it distributes in Israel (antibodies/biochemicals)</t>
        </is>
      </c>
      <c r="G135" t="inlineStr">
        <is>
          <t>https://www.enco.co.il</t>
        </is>
      </c>
      <c r="L135" t="n">
        <v>2026</v>
      </c>
      <c r="M135" t="inlineStr">
        <is>
          <t>עדכני</t>
        </is>
      </c>
      <c r="N135" t="inlineStr">
        <is>
          <t>manufacturer_or_press</t>
        </is>
      </c>
      <c r="P135" t="inlineStr">
        <is>
          <t>https://www.enco.co.il/about.php</t>
        </is>
      </c>
    </row>
    <row r="136">
      <c r="A136" t="n">
        <v>1113</v>
      </c>
      <c r="B136" t="inlineStr">
        <is>
          <t>Sarstedt</t>
        </is>
      </c>
      <c r="C136" t="inlineStr">
        <is>
          <t>Tamar Laboratory Supplies Ltd.</t>
        </is>
      </c>
      <c r="D136" t="inlineStr">
        <is>
          <t>תמר ציוד מעבדתי</t>
        </is>
      </c>
      <c r="E136" t="inlineStr">
        <is>
          <t>מפיץ</t>
        </is>
      </c>
      <c r="F136"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36" t="inlineStr">
        <is>
          <t>https://www.tamar.co.il</t>
        </is>
      </c>
      <c r="H136" t="inlineStr">
        <is>
          <t>+972 2-533-6070 (also 02-579-9777)</t>
        </is>
      </c>
      <c r="I136" t="inlineStr"/>
      <c r="J136" t="inlineStr">
        <is>
          <t>HaAla St., Mevaseret Zion 90805</t>
        </is>
      </c>
      <c r="K136" t="inlineStr"/>
      <c r="L136" t="n">
        <v>2026</v>
      </c>
      <c r="M136" t="inlineStr">
        <is>
          <t>עדכני</t>
        </is>
      </c>
      <c r="N136" t="inlineStr">
        <is>
          <t>prior_research</t>
        </is>
      </c>
      <c r="P136" t="inlineStr">
        <is>
          <t>https://www.tamar.co.il/represented-companies/</t>
        </is>
      </c>
    </row>
    <row r="137">
      <c r="A137" t="n">
        <v>1114</v>
      </c>
      <c r="B137" t="inlineStr">
        <is>
          <t>Sartorius</t>
        </is>
      </c>
      <c r="C137" t="inlineStr">
        <is>
          <t>Sartorius Israel Ltd.</t>
        </is>
      </c>
      <c r="D137" t="inlineStr"/>
      <c r="E137" t="inlineStr">
        <is>
          <t>חברה-בת</t>
        </is>
      </c>
      <c r="F137" t="inlineStr">
        <is>
          <t>Sartorius' Israeli company at Kibbutz Beit Haemek 2511500 (ex-Biological Industries; cell-culture media production site opened 2021); local contact tel. +972-4-9960595, info.israel@sartorius.com per Sartorius' live local-contact page</t>
        </is>
      </c>
      <c r="G137" t="inlineStr">
        <is>
          <t>https://www.sartorius.com/en/contact-us/local-contact</t>
        </is>
      </c>
      <c r="H137" t="inlineStr">
        <is>
          <t>+972 4-996-0595</t>
        </is>
      </c>
      <c r="I137" t="inlineStr"/>
      <c r="J137" t="inlineStr">
        <is>
          <t>Kibbutz Beit Haemek 2511500</t>
        </is>
      </c>
      <c r="K137" t="inlineStr">
        <is>
          <t>https://www.sartorius.com/en/contact-us/local-contact</t>
        </is>
      </c>
      <c r="L137" t="n">
        <v>2026</v>
      </c>
      <c r="M137" t="inlineStr">
        <is>
          <t>עדכני</t>
        </is>
      </c>
      <c r="N137" t="inlineStr">
        <is>
          <t>prior_research</t>
        </is>
      </c>
      <c r="P137" t="inlineStr">
        <is>
          <t>https://www.sartorius.com/en/contact-us/local-contact</t>
        </is>
      </c>
    </row>
    <row r="138">
      <c r="A138" t="n">
        <v>1114</v>
      </c>
      <c r="B138" t="inlineStr">
        <is>
          <t>Sartorius</t>
        </is>
      </c>
      <c r="C138" t="inlineStr">
        <is>
          <t>Labotal Scientific Equipment</t>
        </is>
      </c>
      <c r="D138" t="inlineStr">
        <is>
          <t>לבוטל</t>
        </is>
      </c>
      <c r="E138" t="inlineStr">
        <is>
          <t>מפיץ</t>
        </is>
      </c>
      <c r="F138" t="inlineStr">
        <is>
          <t>self-described exclusive Sartorius representative in Israel for weighing (Cubis II balances, isoCAL) and lab products incl. pipettes - live Labotal guide and product pages</t>
        </is>
      </c>
      <c r="G138" t="inlineStr">
        <is>
          <t>https://labotal.co.il</t>
        </is>
      </c>
      <c r="H138" t="inlineStr">
        <is>
          <t>+972 2-579-9222</t>
        </is>
      </c>
      <c r="I138" t="inlineStr">
        <is>
          <t>Sales@labotal.co.il</t>
        </is>
      </c>
      <c r="J138" t="inlineStr">
        <is>
          <t>Hashalom Rd., Abu Ghosh 9084500 (mail: Mevaseret Zion)</t>
        </is>
      </c>
      <c r="K138" t="inlineStr">
        <is>
          <t>https://labotal.co.il/contact/</t>
        </is>
      </c>
      <c r="L138" t="n">
        <v>2026</v>
      </c>
      <c r="M138" t="inlineStr">
        <is>
          <t>עדכני</t>
        </is>
      </c>
      <c r="N138" t="inlineStr">
        <is>
          <t>prior_research</t>
        </is>
      </c>
      <c r="P138" t="inlineStr">
        <is>
          <t>https://labotal.co.il/המדריך-המקיף-לבחירת-מאזניים-אנליטיים/</t>
        </is>
      </c>
    </row>
    <row r="139">
      <c r="A139" t="n">
        <v>1210</v>
      </c>
      <c r="B139" t="inlineStr">
        <is>
          <t>STEMCELL Technologies</t>
        </is>
      </c>
      <c r="C139" t="inlineStr">
        <is>
          <t>Enco Scientific Services Ltd. (Enco Diagnostics)</t>
        </is>
      </c>
      <c r="D139" t="inlineStr">
        <is>
          <t>אנקו</t>
        </is>
      </c>
      <c r="E139" t="inlineStr">
        <is>
          <t>מפיץ</t>
        </is>
      </c>
      <c r="F139" t="inlineStr">
        <is>
          <t>Enco's About page lists 'Stem Cell' among distributed brands - most likely STEMCELL Technologies; to confirm</t>
        </is>
      </c>
      <c r="G139" t="inlineStr">
        <is>
          <t>https://www.enco.co.il</t>
        </is>
      </c>
      <c r="L139" t="n">
        <v>2026</v>
      </c>
      <c r="M139" t="inlineStr">
        <is>
          <t>עדכני</t>
        </is>
      </c>
      <c r="N139" t="inlineStr">
        <is>
          <t>manufacturer_or_press</t>
        </is>
      </c>
      <c r="O139" t="inlineStr">
        <is>
          <t>contained</t>
        </is>
      </c>
      <c r="P139" t="inlineStr">
        <is>
          <t>https://www.enco.co.il/about.php</t>
        </is>
      </c>
    </row>
    <row r="140">
      <c r="A140" t="n">
        <v>1219</v>
      </c>
      <c r="B140" t="inlineStr">
        <is>
          <t>Stuart (Cole-Parmer)</t>
        </is>
      </c>
      <c r="C140" t="inlineStr">
        <is>
          <t>Medent Scientific Instruments</t>
        </is>
      </c>
      <c r="D140" t="inlineStr">
        <is>
          <t>מדנט מכשור מדעי</t>
        </is>
      </c>
      <c r="E140" t="inlineStr">
        <is>
          <t>מפיץ</t>
        </is>
      </c>
      <c r="F14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prior_research</t>
        </is>
      </c>
      <c r="P140" t="inlineStr">
        <is>
          <t>https://medent.co.il/scientific.equipment/product/%D7%A1%D7%A4%D7%A7%D7%98%D7%A8%D7%95%D7%A4%D7%95%D7%98%D7%95%D7%9E%D7%98%D7%A8-uvvis-%D7%9E%D7%A2%D7%91%D7%93%D7%AA%D7%99-%D7%93%D7%92%D7%9D-6305-%D7%AA%D7%95%D7%A6%D7%A8%D7%AA-jenway/</t>
        </is>
      </c>
    </row>
    <row r="141">
      <c r="A141" t="n">
        <v>1237</v>
      </c>
      <c r="B141" t="inlineStr">
        <is>
          <t>Tecan</t>
        </is>
      </c>
      <c r="C141" t="inlineStr">
        <is>
          <t>Gamidor Diagnostics (1984) Ltd.</t>
        </is>
      </c>
      <c r="D141" t="inlineStr">
        <is>
          <t>גמידור דיאגנוסטיקה</t>
        </is>
      </c>
      <c r="E141" t="inlineStr">
        <is>
          <t>מפיץ</t>
        </is>
      </c>
      <c r="F14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41" t="inlineStr">
        <is>
          <t>https://www.gamidor.co.il</t>
        </is>
      </c>
      <c r="H141" t="inlineStr">
        <is>
          <t>+972-3-927-7277</t>
        </is>
      </c>
      <c r="I141" t="inlineStr">
        <is>
          <t>info@gamidor.co.il</t>
        </is>
      </c>
      <c r="J141" t="inlineStr">
        <is>
          <t>Shaham 32, Petach Tikva</t>
        </is>
      </c>
      <c r="K141" t="inlineStr"/>
      <c r="L141" t="n">
        <v>2026</v>
      </c>
      <c r="M141" t="inlineStr">
        <is>
          <t>עדכני</t>
        </is>
      </c>
      <c r="N141" t="inlineStr">
        <is>
          <t>prior_research</t>
        </is>
      </c>
      <c r="P141" t="inlineStr">
        <is>
          <t>https://www.tecan.com/contact-us</t>
        </is>
      </c>
    </row>
    <row r="142">
      <c r="A142" t="n">
        <v>1238</v>
      </c>
      <c r="B142" t="inlineStr">
        <is>
          <t>Techne (Cole-Parmer)</t>
        </is>
      </c>
      <c r="C142" t="inlineStr">
        <is>
          <t>Medent Scientific Instruments</t>
        </is>
      </c>
      <c r="D142" t="inlineStr">
        <is>
          <t>מדנט מכשור מדעי</t>
        </is>
      </c>
      <c r="E142" t="inlineStr">
        <is>
          <t>מפיץ</t>
        </is>
      </c>
      <c r="F14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42" t="inlineStr">
        <is>
          <t>https://www.medent.co.il</t>
        </is>
      </c>
      <c r="H142" t="inlineStr">
        <is>
          <t>+972 72-395-0508 (sales); +972 8-683-6306 (service)</t>
        </is>
      </c>
      <c r="I142" t="inlineStr">
        <is>
          <t>info@medent.co.il</t>
        </is>
      </c>
      <c r="J142" t="inlineStr">
        <is>
          <t>110 Mordei HaGetaot St., Beer Sheva 8420643</t>
        </is>
      </c>
      <c r="K142" t="inlineStr">
        <is>
          <t>https://www.medent.co.il/scientific.equipment/%D7%A6%D7%95%D7%A8-%D7%A7%D7%A9%D7%A8/</t>
        </is>
      </c>
      <c r="L142" t="n">
        <v>2026</v>
      </c>
      <c r="M142" t="inlineStr">
        <is>
          <t>עדכני</t>
        </is>
      </c>
      <c r="N142" t="inlineStr">
        <is>
          <t>prior_research</t>
        </is>
      </c>
      <c r="P142" t="inlineStr">
        <is>
          <t>https://medent.co.il/scientific.equipment/product/%D7%A1%D7%A4%D7%A7%D7%98%D7%A8%D7%95%D7%A4%D7%95%D7%98%D7%95%D7%9E%D7%98%D7%A8-uvvis-%D7%9E%D7%A2%D7%91%D7%93%D7%AA%D7%99-%D7%93%D7%92%D7%9D-6305-%D7%AA%D7%95%D7%A6%D7%A8%D7%AA-jenway/</t>
        </is>
      </c>
    </row>
    <row r="143">
      <c r="A143" t="n">
        <v>1255</v>
      </c>
      <c r="B143" t="inlineStr">
        <is>
          <t>Thermo Scientific</t>
        </is>
      </c>
      <c r="C143" t="inlineStr">
        <is>
          <t>Thermo Fisher Integrated Solutions Israel Ltd.</t>
        </is>
      </c>
      <c r="D143" t="inlineStr">
        <is>
          <t>תרמו פישר ישראל (רעננה)</t>
        </is>
      </c>
      <c r="E143" t="inlineStr">
        <is>
          <t>חברה-בת</t>
        </is>
      </c>
      <c r="F143" t="inlineStr">
        <is>
          <t>direct life-science sales &amp; field service organisation being built out 2025-26</t>
        </is>
      </c>
      <c r="G143" t="inlineStr">
        <is>
          <t>https://www.thermofisher.com</t>
        </is>
      </c>
      <c r="H143" t="inlineStr">
        <is>
          <t>+972 8-940-8618</t>
        </is>
      </c>
      <c r="I143" t="inlineStr"/>
      <c r="J143" t="inlineStr">
        <is>
          <t>5 Golda Meir St., Ness Ziona (also Airport City 1, Lod)</t>
        </is>
      </c>
      <c r="K143" t="inlineStr">
        <is>
          <t>https://www.thermofisher.com/il/en/home.html</t>
        </is>
      </c>
      <c r="M143" t="inlineStr"/>
      <c r="N143" t="inlineStr">
        <is>
          <t>prior_research</t>
        </is>
      </c>
      <c r="P143" t="inlineStr">
        <is>
          <t>https://www.thermofisher.com/il/en/home.html</t>
        </is>
      </c>
    </row>
    <row r="144">
      <c r="A144" t="n">
        <v>1255</v>
      </c>
      <c r="B144" t="inlineStr">
        <is>
          <t>Thermo Scientific</t>
        </is>
      </c>
      <c r="C144" t="inlineStr">
        <is>
          <t>Thermo Fisher Scientific Israel Ltd. (Kiryat Shmona)</t>
        </is>
      </c>
      <c r="D144" t="inlineStr">
        <is>
          <t>תרמו פישר קריית שמונה</t>
        </is>
      </c>
      <c r="E144" t="inlineStr">
        <is>
          <t>חברה-בת</t>
        </is>
      </c>
      <c r="F144" t="inlineStr">
        <is>
          <t>manufacturing / engineering site (ISO 9001/13485); not a sales channel</t>
        </is>
      </c>
      <c r="G144" t="inlineStr">
        <is>
          <t>https://www.thermofisher.com</t>
        </is>
      </c>
      <c r="H144" t="inlineStr">
        <is>
          <t>+972 8-940-8618</t>
        </is>
      </c>
      <c r="I144" t="inlineStr"/>
      <c r="J144" t="inlineStr">
        <is>
          <t>5 Golda Meir St., Ness Ziona (also Airport City 1, Lod)</t>
        </is>
      </c>
      <c r="K144" t="inlineStr">
        <is>
          <t>https://www.thermofisher.com/il/en/home.html</t>
        </is>
      </c>
      <c r="M144" t="inlineStr"/>
      <c r="N144" t="inlineStr">
        <is>
          <t>prior_research</t>
        </is>
      </c>
      <c r="P144" t="inlineStr"/>
    </row>
    <row r="145">
      <c r="A145" t="n">
        <v>1255</v>
      </c>
      <c r="B145" t="inlineStr">
        <is>
          <t>Thermo Scientific</t>
        </is>
      </c>
      <c r="C145" t="inlineStr">
        <is>
          <t>Rhenium Ltd.</t>
        </is>
      </c>
      <c r="D145" t="inlineStr">
        <is>
          <t>רניום</t>
        </is>
      </c>
      <c r="E145" t="inlineStr">
        <is>
          <t>מפיץ</t>
        </is>
      </c>
      <c r="F14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5" t="inlineStr">
        <is>
          <t>https://www.rhenium.co.il</t>
        </is>
      </c>
      <c r="H145" t="inlineStr">
        <is>
          <t>+972 8-955-8888</t>
        </is>
      </c>
      <c r="I145" t="inlineStr"/>
      <c r="J145" t="inlineStr">
        <is>
          <t>20 Hasatat St., P.O. Box 180, Modi'in 7171101</t>
        </is>
      </c>
      <c r="K145" t="inlineStr"/>
      <c r="L145" t="n">
        <v>2026</v>
      </c>
      <c r="M145" t="inlineStr">
        <is>
          <t>עדכני</t>
        </is>
      </c>
      <c r="N145" t="inlineStr">
        <is>
          <t>prior_research</t>
        </is>
      </c>
      <c r="P145" t="inlineStr">
        <is>
          <t>https://rhenium.co.il/products/bioproduction</t>
        </is>
      </c>
    </row>
    <row r="146">
      <c r="A146" t="n">
        <v>1255</v>
      </c>
      <c r="B146" t="inlineStr">
        <is>
          <t>Thermo Scientific</t>
        </is>
      </c>
      <c r="C146" t="inlineStr">
        <is>
          <t>Gamidor Diagnostics (1984) Ltd.</t>
        </is>
      </c>
      <c r="D146" t="inlineStr">
        <is>
          <t>גמידור דיאגנוסטיקה</t>
        </is>
      </c>
      <c r="E146" t="inlineStr">
        <is>
          <t>מפיץ</t>
        </is>
      </c>
      <c r="F14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6" t="inlineStr">
        <is>
          <t>https://www.gamidor.co.il</t>
        </is>
      </c>
      <c r="H146" t="inlineStr">
        <is>
          <t>+972-3-927-7277</t>
        </is>
      </c>
      <c r="I146" t="inlineStr">
        <is>
          <t>info@gamidor.co.il</t>
        </is>
      </c>
      <c r="J146" t="inlineStr">
        <is>
          <t>Shaham 32, Petach Tikva</t>
        </is>
      </c>
      <c r="K146" t="inlineStr"/>
      <c r="L146" t="n">
        <v>2026</v>
      </c>
      <c r="M146" t="inlineStr">
        <is>
          <t>עדכני</t>
        </is>
      </c>
      <c r="N146" t="inlineStr">
        <is>
          <t>prior_research</t>
        </is>
      </c>
      <c r="P146" t="inlineStr">
        <is>
          <t>https://gamidor.co.il/en/allergy/</t>
        </is>
      </c>
    </row>
    <row r="147">
      <c r="A147" t="n">
        <v>1255</v>
      </c>
      <c r="B147" t="inlineStr">
        <is>
          <t>Thermo Scientific</t>
        </is>
      </c>
      <c r="C147" t="inlineStr">
        <is>
          <t>Bargal Analytical Instruments Ltd.</t>
        </is>
      </c>
      <c r="D147" t="inlineStr">
        <is>
          <t>ברגל</t>
        </is>
      </c>
      <c r="E147" t="inlineStr">
        <is>
          <t>מפיץ</t>
        </is>
      </c>
      <c r="F14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7" t="inlineStr">
        <is>
          <t>https://www.bargal.co.il</t>
        </is>
      </c>
      <c r="H147" t="inlineStr">
        <is>
          <t>+972-3-979-6533</t>
        </is>
      </c>
      <c r="I147" t="inlineStr">
        <is>
          <t>sales@bargal.co.il</t>
        </is>
      </c>
      <c r="J147" t="inlineStr">
        <is>
          <t>10 Shaked Street, Modi'in Industrial Park, Shoham 6085102</t>
        </is>
      </c>
      <c r="K147" t="inlineStr"/>
      <c r="L147" t="n">
        <v>2026</v>
      </c>
      <c r="M147" t="inlineStr">
        <is>
          <t>עדכני</t>
        </is>
      </c>
      <c r="N147" t="inlineStr">
        <is>
          <t>prior_research</t>
        </is>
      </c>
      <c r="P147" t="inlineStr">
        <is>
          <t>https://bargal.co.il/product/q-exactive-uhmr-hybrid-quadrupole-orbitrap-ms-system/</t>
        </is>
      </c>
    </row>
    <row r="148">
      <c r="A148" t="n">
        <v>1255</v>
      </c>
      <c r="B148" t="inlineStr">
        <is>
          <t>Thermo Scientific</t>
        </is>
      </c>
      <c r="C148" t="inlineStr">
        <is>
          <t>Danyel Biotech Ltd.</t>
        </is>
      </c>
      <c r="D148" t="inlineStr">
        <is>
          <t>דניאל ביוטק</t>
        </is>
      </c>
      <c r="E148" t="inlineStr">
        <is>
          <t>מפיץ</t>
        </is>
      </c>
      <c r="F148" t="inlineStr">
        <is>
          <t>Olink proteomics (a Thermo Fisher business): live Olink brand page on Danyel's site</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https://www.danyel.co.il/olink/</t>
        </is>
      </c>
    </row>
    <row r="149">
      <c r="A149" t="n">
        <v>1255</v>
      </c>
      <c r="B149" t="inlineStr">
        <is>
          <t>Thermo Scientific</t>
        </is>
      </c>
      <c r="C149" t="inlineStr">
        <is>
          <t>Thermo Fisher Scientific – EM service location, Airport City</t>
        </is>
      </c>
      <c r="D149" t="inlineStr"/>
      <c r="E149" t="inlineStr">
        <is>
          <t>שירות</t>
        </is>
      </c>
      <c r="F149" t="inlineStr">
        <is>
          <t>Thermo Fisher's own Israeli sales/support organisation; thermofisher.com's Phenom desktop-SEM distributor page names 'Thermo Fisher Integrated Solutions' as the Israel contact (live page); a Thermo Fisher careers page lists jobs in Israel</t>
        </is>
      </c>
      <c r="G149" t="inlineStr">
        <is>
          <t>https://www.thermofisher.com</t>
        </is>
      </c>
      <c r="H149" t="inlineStr">
        <is>
          <t>+972 8-940-8618</t>
        </is>
      </c>
      <c r="I149" t="inlineStr"/>
      <c r="J149" t="inlineStr">
        <is>
          <t>5 Golda Meir St., Ness Ziona (also Airport City 1, Lod)</t>
        </is>
      </c>
      <c r="K149" t="inlineStr">
        <is>
          <t>https://www.thermofisher.com/il/en/home.html</t>
        </is>
      </c>
      <c r="L149" t="n">
        <v>2026</v>
      </c>
      <c r="M149" t="inlineStr">
        <is>
          <t>ראיה ישנה</t>
        </is>
      </c>
      <c r="N149" t="inlineStr">
        <is>
          <t>prior_research</t>
        </is>
      </c>
      <c r="P149" t="inlineStr">
        <is>
          <t>https://www.thermofisher.com/us/en/home/electron-microscopy/products/desktop-scanning-electron-microscopes/phenom-distributors.html</t>
        </is>
      </c>
    </row>
    <row r="150">
      <c r="A150" t="n">
        <v>1255</v>
      </c>
      <c r="B150" t="inlineStr">
        <is>
          <t>Thermo Scientific</t>
        </is>
      </c>
      <c r="C150" t="inlineStr">
        <is>
          <t>Iner-Tech Ltd. (Rehovot)</t>
        </is>
      </c>
      <c r="D150" t="inlineStr"/>
      <c r="E150" t="inlineStr">
        <is>
          <t>מפיץ</t>
        </is>
      </c>
      <c r="F150" t="inlineStr">
        <is>
          <t>Thermo Scientific portable pharma QA/QC analysers (handheld Raman/NIR material ID) - listed on thermofisher.com's distributor page for Israel</t>
        </is>
      </c>
      <c r="G150" t="inlineStr"/>
      <c r="H150" t="inlineStr"/>
      <c r="I150" t="inlineStr"/>
      <c r="J150" t="inlineStr"/>
      <c r="K150" t="inlineStr"/>
      <c r="L150" t="n">
        <v>2026</v>
      </c>
      <c r="M150" t="inlineStr">
        <is>
          <t>חדש</t>
        </is>
      </c>
      <c r="N150" t="inlineStr">
        <is>
          <t>prior_research</t>
        </is>
      </c>
      <c r="P150" t="inlineStr">
        <is>
          <t>https://www.thermofisher.com/us/en/home/industrial/spectroscopy-elemental-isotope-analysis/portable-analysis-material-id/portable-pharmaceutical-qa-qc-manufacturing-solutions/portable-pharma-qa-qc-manufacturing-solutions-distributors.html</t>
        </is>
      </c>
    </row>
    <row r="151">
      <c r="A151" t="n">
        <v>1255</v>
      </c>
      <c r="B151" t="inlineStr">
        <is>
          <t>Thermo Scientific</t>
        </is>
      </c>
      <c r="C151" t="inlineStr">
        <is>
          <t>R.B.M. Ltd. Control &amp; Mechanization (Hod Hasharon)</t>
        </is>
      </c>
      <c r="D151" t="inlineStr"/>
      <c r="E151" t="inlineStr">
        <is>
          <t>מפיץ</t>
        </is>
      </c>
      <c r="F151" t="inlineStr">
        <is>
          <t>Thermo Scientific Niton portable XRF / LIBS analysers - listed on thermofisher.com's authorized XRF &amp; LIBS distributor page for Israel</t>
        </is>
      </c>
      <c r="G151" t="inlineStr"/>
      <c r="H151" t="inlineStr"/>
      <c r="I151" t="inlineStr"/>
      <c r="J151" t="inlineStr"/>
      <c r="K151" t="inlineStr"/>
      <c r="L151" t="n">
        <v>2026</v>
      </c>
      <c r="M151" t="inlineStr">
        <is>
          <t>חדש</t>
        </is>
      </c>
      <c r="N151" t="inlineStr">
        <is>
          <t>prior_research</t>
        </is>
      </c>
      <c r="P151" t="inlineStr">
        <is>
          <t>https://www.thermofisher.com/us/en/home/industrial/spectroscopy-elemental-isotope-analysis/portable-analysis-material-id/portable-analysis-for-material-id-distributors.html</t>
        </is>
      </c>
    </row>
    <row r="152">
      <c r="A152" t="n">
        <v>1255</v>
      </c>
      <c r="B152" t="inlineStr">
        <is>
          <t>Thermo Scientific</t>
        </is>
      </c>
      <c r="C152" t="inlineStr">
        <is>
          <t>Madid Industrial Controls Ltd.</t>
        </is>
      </c>
      <c r="D152" t="inlineStr"/>
      <c r="E152" t="inlineStr">
        <is>
          <t>מפיץ</t>
        </is>
      </c>
      <c r="F152" t="inlineStr">
        <is>
          <t>Thermo Scientific dataTaker data loggers (industrial data acquisition) - listed on thermofisher.com's dataTaker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https://www.thermofisher.com/us/en/home/industrial/manufacturing-processing/data-acquisition/datataker-distributors.html</t>
        </is>
      </c>
    </row>
    <row r="153">
      <c r="A153" t="n">
        <v>1259</v>
      </c>
      <c r="B153" t="inlineStr">
        <is>
          <t>Thermo Scientific Nalgene</t>
        </is>
      </c>
      <c r="C153" t="inlineStr">
        <is>
          <t>Thermo Fisher Integrated Solutions Israel Ltd.</t>
        </is>
      </c>
      <c r="D153" t="inlineStr">
        <is>
          <t>תרמו פישר ישראל (רעננה)</t>
        </is>
      </c>
      <c r="E153" t="inlineStr">
        <is>
          <t>חברה-בת</t>
        </is>
      </c>
      <c r="F153" t="inlineStr">
        <is>
          <t>direct life-science sales &amp; field service organisation being built out 2025-26</t>
        </is>
      </c>
      <c r="G153" t="inlineStr">
        <is>
          <t>https://www.thermofisher.com</t>
        </is>
      </c>
      <c r="H153" t="inlineStr">
        <is>
          <t>+972 8-940-8618</t>
        </is>
      </c>
      <c r="I153" t="inlineStr"/>
      <c r="J153" t="inlineStr">
        <is>
          <t>5 Golda Meir St., Ness Ziona (also Airport City 1, Lod)</t>
        </is>
      </c>
      <c r="K153" t="inlineStr">
        <is>
          <t>https://www.thermofisher.com/il/en/home.html</t>
        </is>
      </c>
      <c r="M153" t="inlineStr"/>
      <c r="N153" t="inlineStr">
        <is>
          <t>prior_research</t>
        </is>
      </c>
      <c r="P153" t="inlineStr">
        <is>
          <t>https://www.thermofisher.com/il/en/home.html</t>
        </is>
      </c>
    </row>
    <row r="154">
      <c r="A154" t="n">
        <v>1259</v>
      </c>
      <c r="B154" t="inlineStr">
        <is>
          <t>Thermo Scientific Nalgene</t>
        </is>
      </c>
      <c r="C154" t="inlineStr">
        <is>
          <t>Thermo Fisher Scientific Israel Ltd. (Kiryat Shmona)</t>
        </is>
      </c>
      <c r="D154" t="inlineStr">
        <is>
          <t>תרמו פישר קריית שמונה</t>
        </is>
      </c>
      <c r="E154" t="inlineStr">
        <is>
          <t>חברה-בת</t>
        </is>
      </c>
      <c r="F154" t="inlineStr">
        <is>
          <t>manufacturing / engineering site (ISO 9001/13485); not a sales channel</t>
        </is>
      </c>
      <c r="G154" t="inlineStr">
        <is>
          <t>https://www.thermofisher.com</t>
        </is>
      </c>
      <c r="H154" t="inlineStr">
        <is>
          <t>+972 8-940-8618</t>
        </is>
      </c>
      <c r="I154" t="inlineStr"/>
      <c r="J154" t="inlineStr">
        <is>
          <t>5 Golda Meir St., Ness Ziona (also Airport City 1, Lod)</t>
        </is>
      </c>
      <c r="K154" t="inlineStr">
        <is>
          <t>https://www.thermofisher.com/il/en/home.html</t>
        </is>
      </c>
      <c r="M154" t="inlineStr"/>
      <c r="N154" t="inlineStr">
        <is>
          <t>prior_research</t>
        </is>
      </c>
      <c r="P154" t="inlineStr"/>
    </row>
    <row r="155">
      <c r="A155" t="n">
        <v>1259</v>
      </c>
      <c r="B155" t="inlineStr">
        <is>
          <t>Thermo Scientific Nalgene</t>
        </is>
      </c>
      <c r="C155" t="inlineStr">
        <is>
          <t>Rhenium Ltd.</t>
        </is>
      </c>
      <c r="D155" t="inlineStr">
        <is>
          <t>רניום</t>
        </is>
      </c>
      <c r="E155" t="inlineStr">
        <is>
          <t>מפיץ</t>
        </is>
      </c>
      <c r="F15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5" t="inlineStr">
        <is>
          <t>https://www.rhenium.co.il</t>
        </is>
      </c>
      <c r="H155" t="inlineStr">
        <is>
          <t>+972 8-955-8888</t>
        </is>
      </c>
      <c r="I155" t="inlineStr"/>
      <c r="J155" t="inlineStr">
        <is>
          <t>20 Hasatat St., P.O. Box 180, Modi'in 7171101</t>
        </is>
      </c>
      <c r="K155" t="inlineStr"/>
      <c r="L155" t="n">
        <v>2026</v>
      </c>
      <c r="M155" t="inlineStr">
        <is>
          <t>עדכני</t>
        </is>
      </c>
      <c r="N155" t="inlineStr">
        <is>
          <t>prior_research</t>
        </is>
      </c>
      <c r="P155" t="inlineStr">
        <is>
          <t>https://rhenium.co.il/products/bioproduction</t>
        </is>
      </c>
    </row>
    <row r="156">
      <c r="A156" t="n">
        <v>1259</v>
      </c>
      <c r="B156" t="inlineStr">
        <is>
          <t>Thermo Scientific Nalgene</t>
        </is>
      </c>
      <c r="C156" t="inlineStr">
        <is>
          <t>Gamidor Diagnostics (1984) Ltd.</t>
        </is>
      </c>
      <c r="D156" t="inlineStr">
        <is>
          <t>גמידור דיאגנוסטיקה</t>
        </is>
      </c>
      <c r="E156" t="inlineStr">
        <is>
          <t>מפיץ</t>
        </is>
      </c>
      <c r="F15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6" t="inlineStr">
        <is>
          <t>https://www.gamidor.co.il</t>
        </is>
      </c>
      <c r="H156" t="inlineStr">
        <is>
          <t>+972-3-927-7277</t>
        </is>
      </c>
      <c r="I156" t="inlineStr">
        <is>
          <t>info@gamidor.co.il</t>
        </is>
      </c>
      <c r="J156" t="inlineStr">
        <is>
          <t>Shaham 32, Petach Tikva</t>
        </is>
      </c>
      <c r="K156" t="inlineStr"/>
      <c r="L156" t="n">
        <v>2026</v>
      </c>
      <c r="M156" t="inlineStr">
        <is>
          <t>עדכני</t>
        </is>
      </c>
      <c r="N156" t="inlineStr">
        <is>
          <t>prior_research</t>
        </is>
      </c>
      <c r="P156" t="inlineStr">
        <is>
          <t>https://gamidor.co.il/en/allergy/</t>
        </is>
      </c>
    </row>
    <row r="157">
      <c r="A157" t="n">
        <v>1259</v>
      </c>
      <c r="B157" t="inlineStr">
        <is>
          <t>Thermo Scientific Nalgene</t>
        </is>
      </c>
      <c r="C157" t="inlineStr">
        <is>
          <t>Bargal Analytical Instruments Ltd.</t>
        </is>
      </c>
      <c r="D157" t="inlineStr">
        <is>
          <t>ברגל</t>
        </is>
      </c>
      <c r="E157" t="inlineStr">
        <is>
          <t>מפיץ</t>
        </is>
      </c>
      <c r="F15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7" t="inlineStr">
        <is>
          <t>https://www.bargal.co.il</t>
        </is>
      </c>
      <c r="H157" t="inlineStr">
        <is>
          <t>+972-3-979-6533</t>
        </is>
      </c>
      <c r="I157" t="inlineStr">
        <is>
          <t>sales@bargal.co.il</t>
        </is>
      </c>
      <c r="J157" t="inlineStr">
        <is>
          <t>10 Shaked Street, Modi'in Industrial Park, Shoham 6085102</t>
        </is>
      </c>
      <c r="K157" t="inlineStr"/>
      <c r="L157" t="n">
        <v>2026</v>
      </c>
      <c r="M157" t="inlineStr">
        <is>
          <t>עדכני</t>
        </is>
      </c>
      <c r="N157" t="inlineStr">
        <is>
          <t>prior_research</t>
        </is>
      </c>
      <c r="P157" t="inlineStr">
        <is>
          <t>https://bargal.co.il/product/q-exactive-uhmr-hybrid-quadrupole-orbitrap-ms-system/</t>
        </is>
      </c>
    </row>
    <row r="158">
      <c r="A158" t="n">
        <v>1259</v>
      </c>
      <c r="B158" t="inlineStr">
        <is>
          <t>Thermo Scientific Nalgene</t>
        </is>
      </c>
      <c r="C158" t="inlineStr">
        <is>
          <t>Danyel Biotech Ltd.</t>
        </is>
      </c>
      <c r="D158" t="inlineStr">
        <is>
          <t>דניאל ביוטק</t>
        </is>
      </c>
      <c r="E158" t="inlineStr">
        <is>
          <t>מפיץ</t>
        </is>
      </c>
      <c r="F158" t="inlineStr">
        <is>
          <t>Olink proteomics (a Thermo Fisher business): live Olink brand page on Danyel's site</t>
        </is>
      </c>
      <c r="G158" t="inlineStr">
        <is>
          <t>https://www.danyel.co.il</t>
        </is>
      </c>
      <c r="H158" t="inlineStr">
        <is>
          <t>1-800-711-911 (also +972 8-936-6066)</t>
        </is>
      </c>
      <c r="I158" t="inlineStr"/>
      <c r="J158" t="inlineStr">
        <is>
          <t>8 Hamada St., Science Park, Rehovot 7670308</t>
        </is>
      </c>
      <c r="K158" t="inlineStr">
        <is>
          <t>https://www.danyel.co.il/contact-us/</t>
        </is>
      </c>
      <c r="L158" t="n">
        <v>2026</v>
      </c>
      <c r="M158" t="inlineStr">
        <is>
          <t>עדכני</t>
        </is>
      </c>
      <c r="N158" t="inlineStr">
        <is>
          <t>prior_research</t>
        </is>
      </c>
      <c r="P158" t="inlineStr">
        <is>
          <t>https://www.danyel.co.il/olink/</t>
        </is>
      </c>
    </row>
    <row r="159">
      <c r="A159" t="n">
        <v>1259</v>
      </c>
      <c r="B159" t="inlineStr">
        <is>
          <t>Thermo Scientific Nalgene</t>
        </is>
      </c>
      <c r="C159" t="inlineStr">
        <is>
          <t>Thermo Fisher Scientific – EM service location, Airport City</t>
        </is>
      </c>
      <c r="D159" t="inlineStr"/>
      <c r="E159" t="inlineStr">
        <is>
          <t>שירות</t>
        </is>
      </c>
      <c r="F159" t="inlineStr">
        <is>
          <t>Thermo Fisher's own Israeli sales/support organisation; thermofisher.com's Phenom desktop-SEM distributor page names 'Thermo Fisher Integrated Solutions' as the Israel contact (live page); a Thermo Fisher careers page lists jobs in Israel</t>
        </is>
      </c>
      <c r="G159" t="inlineStr">
        <is>
          <t>https://www.thermofisher.com</t>
        </is>
      </c>
      <c r="H159" t="inlineStr">
        <is>
          <t>+972 8-940-8618</t>
        </is>
      </c>
      <c r="I159" t="inlineStr"/>
      <c r="J159" t="inlineStr">
        <is>
          <t>5 Golda Meir St., Ness Ziona (also Airport City 1, Lod)</t>
        </is>
      </c>
      <c r="K159" t="inlineStr">
        <is>
          <t>https://www.thermofisher.com/il/en/home.html</t>
        </is>
      </c>
      <c r="L159" t="n">
        <v>2026</v>
      </c>
      <c r="M159" t="inlineStr">
        <is>
          <t>ראיה ישנה</t>
        </is>
      </c>
      <c r="N159" t="inlineStr">
        <is>
          <t>prior_research</t>
        </is>
      </c>
      <c r="P159" t="inlineStr">
        <is>
          <t>https://www.thermofisher.com/us/en/home/electron-microscopy/products/desktop-scanning-electron-microscopes/phenom-distributors.html</t>
        </is>
      </c>
    </row>
    <row r="160">
      <c r="A160" t="n">
        <v>1259</v>
      </c>
      <c r="B160" t="inlineStr">
        <is>
          <t>Thermo Scientific Nalgene</t>
        </is>
      </c>
      <c r="C160" t="inlineStr">
        <is>
          <t>Iner-Tech Ltd. (Rehovot)</t>
        </is>
      </c>
      <c r="D160" t="inlineStr"/>
      <c r="E160" t="inlineStr">
        <is>
          <t>מפיץ</t>
        </is>
      </c>
      <c r="F160" t="inlineStr">
        <is>
          <t>Thermo Scientific portable pharma QA/QC analysers (handheld Raman/NIR material ID) - listed on thermofisher.com's distributor page for Israel</t>
        </is>
      </c>
      <c r="G160" t="inlineStr"/>
      <c r="H160" t="inlineStr"/>
      <c r="I160" t="inlineStr"/>
      <c r="J160" t="inlineStr"/>
      <c r="K160" t="inlineStr"/>
      <c r="L160" t="n">
        <v>2026</v>
      </c>
      <c r="M160" t="inlineStr">
        <is>
          <t>חדש</t>
        </is>
      </c>
      <c r="N160" t="inlineStr">
        <is>
          <t>prior_research</t>
        </is>
      </c>
      <c r="P160" t="inlineStr">
        <is>
          <t>https://www.thermofisher.com/us/en/home/industrial/spectroscopy-elemental-isotope-analysis/portable-analysis-material-id/portable-pharmaceutical-qa-qc-manufacturing-solutions/portable-pharma-qa-qc-manufacturing-solutions-distributors.html</t>
        </is>
      </c>
    </row>
    <row r="161">
      <c r="A161" t="n">
        <v>1259</v>
      </c>
      <c r="B161" t="inlineStr">
        <is>
          <t>Thermo Scientific Nalgene</t>
        </is>
      </c>
      <c r="C161" t="inlineStr">
        <is>
          <t>R.B.M. Ltd. Control &amp; Mechanization (Hod Hasharon)</t>
        </is>
      </c>
      <c r="D161" t="inlineStr"/>
      <c r="E161" t="inlineStr">
        <is>
          <t>מפיץ</t>
        </is>
      </c>
      <c r="F161" t="inlineStr">
        <is>
          <t>Thermo Scientific Niton portable XRF / LIBS analysers - listed on thermofisher.com's authorized XRF &amp; LIBS distributor page for Israel</t>
        </is>
      </c>
      <c r="G161" t="inlineStr"/>
      <c r="H161" t="inlineStr"/>
      <c r="I161" t="inlineStr"/>
      <c r="J161" t="inlineStr"/>
      <c r="K161" t="inlineStr"/>
      <c r="L161" t="n">
        <v>2026</v>
      </c>
      <c r="M161" t="inlineStr">
        <is>
          <t>חדש</t>
        </is>
      </c>
      <c r="N161" t="inlineStr">
        <is>
          <t>prior_research</t>
        </is>
      </c>
      <c r="P161" t="inlineStr">
        <is>
          <t>https://www.thermofisher.com/us/en/home/industrial/spectroscopy-elemental-isotope-analysis/portable-analysis-material-id/portable-analysis-for-material-id-distributors.html</t>
        </is>
      </c>
    </row>
    <row r="162">
      <c r="A162" t="n">
        <v>1259</v>
      </c>
      <c r="B162" t="inlineStr">
        <is>
          <t>Thermo Scientific Nalgene</t>
        </is>
      </c>
      <c r="C162" t="inlineStr">
        <is>
          <t>Madid Industrial Controls Ltd.</t>
        </is>
      </c>
      <c r="D162" t="inlineStr"/>
      <c r="E162" t="inlineStr">
        <is>
          <t>מפיץ</t>
        </is>
      </c>
      <c r="F162" t="inlineStr">
        <is>
          <t>Thermo Scientific dataTaker data loggers (industrial data acquisition) - listed on thermofisher.com's dataTaker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https://www.thermofisher.com/us/en/home/industrial/manufacturing-processing/data-acquisition/datataker-distributors.html</t>
        </is>
      </c>
    </row>
    <row r="163">
      <c r="A163" t="n">
        <v>1261</v>
      </c>
      <c r="B163" t="inlineStr">
        <is>
          <t>Thermo Scientific Orion</t>
        </is>
      </c>
      <c r="C163" t="inlineStr">
        <is>
          <t>Thermo Fisher Integrated Solutions Israel Ltd.</t>
        </is>
      </c>
      <c r="D163" t="inlineStr">
        <is>
          <t>תרמו פישר ישראל (רעננה)</t>
        </is>
      </c>
      <c r="E163" t="inlineStr">
        <is>
          <t>חברה-בת</t>
        </is>
      </c>
      <c r="F163" t="inlineStr">
        <is>
          <t>direct life-science sales &amp; field service organisation being built out 2025-26</t>
        </is>
      </c>
      <c r="G163" t="inlineStr">
        <is>
          <t>https://www.thermofisher.com</t>
        </is>
      </c>
      <c r="H163" t="inlineStr">
        <is>
          <t>+972 8-940-8618</t>
        </is>
      </c>
      <c r="I163" t="inlineStr"/>
      <c r="J163" t="inlineStr">
        <is>
          <t>5 Golda Meir St., Ness Ziona (also Airport City 1, Lod)</t>
        </is>
      </c>
      <c r="K163" t="inlineStr">
        <is>
          <t>https://www.thermofisher.com/il/en/home.html</t>
        </is>
      </c>
      <c r="M163" t="inlineStr"/>
      <c r="N163" t="inlineStr">
        <is>
          <t>prior_research</t>
        </is>
      </c>
      <c r="P163" t="inlineStr">
        <is>
          <t>https://www.thermofisher.com/il/en/home.html</t>
        </is>
      </c>
    </row>
    <row r="164">
      <c r="A164" t="n">
        <v>1261</v>
      </c>
      <c r="B164" t="inlineStr">
        <is>
          <t>Thermo Scientific Orion</t>
        </is>
      </c>
      <c r="C164" t="inlineStr">
        <is>
          <t>Thermo Fisher Scientific Israel Ltd. (Kiryat Shmona)</t>
        </is>
      </c>
      <c r="D164" t="inlineStr">
        <is>
          <t>תרמו פישר קריית שמונה</t>
        </is>
      </c>
      <c r="E164" t="inlineStr">
        <is>
          <t>חברה-בת</t>
        </is>
      </c>
      <c r="F164" t="inlineStr">
        <is>
          <t>manufacturing / engineering site (ISO 9001/13485); not a sales channel</t>
        </is>
      </c>
      <c r="G164" t="inlineStr">
        <is>
          <t>https://www.thermofisher.com</t>
        </is>
      </c>
      <c r="H164" t="inlineStr">
        <is>
          <t>+972 8-940-8618</t>
        </is>
      </c>
      <c r="I164" t="inlineStr"/>
      <c r="J164" t="inlineStr">
        <is>
          <t>5 Golda Meir St., Ness Ziona (also Airport City 1, Lod)</t>
        </is>
      </c>
      <c r="K164" t="inlineStr">
        <is>
          <t>https://www.thermofisher.com/il/en/home.html</t>
        </is>
      </c>
      <c r="M164" t="inlineStr"/>
      <c r="N164" t="inlineStr">
        <is>
          <t>prior_research</t>
        </is>
      </c>
      <c r="P164" t="inlineStr"/>
    </row>
    <row r="165">
      <c r="A165" t="n">
        <v>1261</v>
      </c>
      <c r="B165" t="inlineStr">
        <is>
          <t>Thermo Scientific Orion</t>
        </is>
      </c>
      <c r="C165" t="inlineStr">
        <is>
          <t>Rhenium Ltd.</t>
        </is>
      </c>
      <c r="D165" t="inlineStr">
        <is>
          <t>רניום</t>
        </is>
      </c>
      <c r="E165" t="inlineStr">
        <is>
          <t>מפיץ</t>
        </is>
      </c>
      <c r="F16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65" t="inlineStr">
        <is>
          <t>https://www.rhenium.co.il</t>
        </is>
      </c>
      <c r="H165" t="inlineStr">
        <is>
          <t>+972 8-955-8888</t>
        </is>
      </c>
      <c r="I165" t="inlineStr"/>
      <c r="J165" t="inlineStr">
        <is>
          <t>20 Hasatat St., P.O. Box 180, Modi'in 7171101</t>
        </is>
      </c>
      <c r="K165" t="inlineStr"/>
      <c r="L165" t="n">
        <v>2026</v>
      </c>
      <c r="M165" t="inlineStr">
        <is>
          <t>עדכני</t>
        </is>
      </c>
      <c r="N165" t="inlineStr">
        <is>
          <t>prior_research</t>
        </is>
      </c>
      <c r="P165" t="inlineStr">
        <is>
          <t>https://rhenium.co.il/products/bioproduction</t>
        </is>
      </c>
    </row>
    <row r="166">
      <c r="A166" t="n">
        <v>1261</v>
      </c>
      <c r="B166" t="inlineStr">
        <is>
          <t>Thermo Scientific Orion</t>
        </is>
      </c>
      <c r="C166" t="inlineStr">
        <is>
          <t>Gamidor Diagnostics (1984) Ltd.</t>
        </is>
      </c>
      <c r="D166" t="inlineStr">
        <is>
          <t>גמידור דיאגנוסטיקה</t>
        </is>
      </c>
      <c r="E166" t="inlineStr">
        <is>
          <t>מפיץ</t>
        </is>
      </c>
      <c r="F16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66" t="inlineStr">
        <is>
          <t>https://www.gamidor.co.il</t>
        </is>
      </c>
      <c r="H166" t="inlineStr">
        <is>
          <t>+972-3-927-7277</t>
        </is>
      </c>
      <c r="I166" t="inlineStr">
        <is>
          <t>info@gamidor.co.il</t>
        </is>
      </c>
      <c r="J166" t="inlineStr">
        <is>
          <t>Shaham 32, Petach Tikva</t>
        </is>
      </c>
      <c r="K166" t="inlineStr"/>
      <c r="L166" t="n">
        <v>2026</v>
      </c>
      <c r="M166" t="inlineStr">
        <is>
          <t>עדכני</t>
        </is>
      </c>
      <c r="N166" t="inlineStr">
        <is>
          <t>prior_research</t>
        </is>
      </c>
      <c r="P166" t="inlineStr">
        <is>
          <t>https://gamidor.co.il/en/allergy/</t>
        </is>
      </c>
    </row>
    <row r="167">
      <c r="A167" t="n">
        <v>1261</v>
      </c>
      <c r="B167" t="inlineStr">
        <is>
          <t>Thermo Scientific Orion</t>
        </is>
      </c>
      <c r="C167" t="inlineStr">
        <is>
          <t>Bargal Analytical Instruments Ltd.</t>
        </is>
      </c>
      <c r="D167" t="inlineStr">
        <is>
          <t>ברגל</t>
        </is>
      </c>
      <c r="E167" t="inlineStr">
        <is>
          <t>מפיץ</t>
        </is>
      </c>
      <c r="F16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67" t="inlineStr">
        <is>
          <t>https://www.bargal.co.il</t>
        </is>
      </c>
      <c r="H167" t="inlineStr">
        <is>
          <t>+972-3-979-6533</t>
        </is>
      </c>
      <c r="I167" t="inlineStr">
        <is>
          <t>sales@bargal.co.il</t>
        </is>
      </c>
      <c r="J167" t="inlineStr">
        <is>
          <t>10 Shaked Street, Modi'in Industrial Park, Shoham 6085102</t>
        </is>
      </c>
      <c r="K167" t="inlineStr"/>
      <c r="L167" t="n">
        <v>2026</v>
      </c>
      <c r="M167" t="inlineStr">
        <is>
          <t>עדכני</t>
        </is>
      </c>
      <c r="N167" t="inlineStr">
        <is>
          <t>prior_research</t>
        </is>
      </c>
      <c r="P167" t="inlineStr">
        <is>
          <t>https://bargal.co.il/product/q-exactive-uhmr-hybrid-quadrupole-orbitrap-ms-system/</t>
        </is>
      </c>
    </row>
    <row r="168">
      <c r="A168" t="n">
        <v>1261</v>
      </c>
      <c r="B168" t="inlineStr">
        <is>
          <t>Thermo Scientific Orion</t>
        </is>
      </c>
      <c r="C168" t="inlineStr">
        <is>
          <t>Danyel Biotech Ltd.</t>
        </is>
      </c>
      <c r="D168" t="inlineStr">
        <is>
          <t>דניאל ביוטק</t>
        </is>
      </c>
      <c r="E168" t="inlineStr">
        <is>
          <t>מפיץ</t>
        </is>
      </c>
      <c r="F168" t="inlineStr">
        <is>
          <t>Olink proteomics (a Thermo Fisher business): live Olink brand page on Danyel's site</t>
        </is>
      </c>
      <c r="G168" t="inlineStr">
        <is>
          <t>https://www.danyel.co.il</t>
        </is>
      </c>
      <c r="H168" t="inlineStr">
        <is>
          <t>1-800-711-911 (also +972 8-936-6066)</t>
        </is>
      </c>
      <c r="I168" t="inlineStr"/>
      <c r="J168" t="inlineStr">
        <is>
          <t>8 Hamada St., Science Park, Rehovot 7670308</t>
        </is>
      </c>
      <c r="K168" t="inlineStr">
        <is>
          <t>https://www.danyel.co.il/contact-us/</t>
        </is>
      </c>
      <c r="L168" t="n">
        <v>2026</v>
      </c>
      <c r="M168" t="inlineStr">
        <is>
          <t>עדכני</t>
        </is>
      </c>
      <c r="N168" t="inlineStr">
        <is>
          <t>prior_research</t>
        </is>
      </c>
      <c r="P168" t="inlineStr">
        <is>
          <t>https://www.danyel.co.il/olink/</t>
        </is>
      </c>
    </row>
    <row r="169">
      <c r="A169" t="n">
        <v>1261</v>
      </c>
      <c r="B169" t="inlineStr">
        <is>
          <t>Thermo Scientific Orion</t>
        </is>
      </c>
      <c r="C169" t="inlineStr">
        <is>
          <t>Thermo Fisher Scientific – EM service location, Airport City</t>
        </is>
      </c>
      <c r="D169" t="inlineStr"/>
      <c r="E169" t="inlineStr">
        <is>
          <t>שירות</t>
        </is>
      </c>
      <c r="F169" t="inlineStr">
        <is>
          <t>Thermo Fisher's own Israeli sales/support organisation; thermofisher.com's Phenom desktop-SEM distributor page names 'Thermo Fisher Integrated Solutions' as the Israel contact (live page); a Thermo Fisher careers page lists jobs in Israel</t>
        </is>
      </c>
      <c r="G169" t="inlineStr">
        <is>
          <t>https://www.thermofisher.com</t>
        </is>
      </c>
      <c r="H169" t="inlineStr">
        <is>
          <t>+972 8-940-8618</t>
        </is>
      </c>
      <c r="I169" t="inlineStr"/>
      <c r="J169" t="inlineStr">
        <is>
          <t>5 Golda Meir St., Ness Ziona (also Airport City 1, Lod)</t>
        </is>
      </c>
      <c r="K169" t="inlineStr">
        <is>
          <t>https://www.thermofisher.com/il/en/home.html</t>
        </is>
      </c>
      <c r="L169" t="n">
        <v>2026</v>
      </c>
      <c r="M169" t="inlineStr">
        <is>
          <t>ראיה ישנה</t>
        </is>
      </c>
      <c r="N169" t="inlineStr">
        <is>
          <t>prior_research</t>
        </is>
      </c>
      <c r="P169" t="inlineStr">
        <is>
          <t>https://www.thermofisher.com/us/en/home/electron-microscopy/products/desktop-scanning-electron-microscopes/phenom-distributors.html</t>
        </is>
      </c>
    </row>
    <row r="170">
      <c r="A170" t="n">
        <v>1261</v>
      </c>
      <c r="B170" t="inlineStr">
        <is>
          <t>Thermo Scientific Orion</t>
        </is>
      </c>
      <c r="C170" t="inlineStr">
        <is>
          <t>Iner-Tech Ltd. (Rehovot)</t>
        </is>
      </c>
      <c r="D170" t="inlineStr"/>
      <c r="E170" t="inlineStr">
        <is>
          <t>מפיץ</t>
        </is>
      </c>
      <c r="F170" t="inlineStr">
        <is>
          <t>Thermo Scientific portable pharma QA/QC analysers (handheld Raman/NIR material ID) - listed on thermofisher.com's distributor page for Israel</t>
        </is>
      </c>
      <c r="G170" t="inlineStr"/>
      <c r="H170" t="inlineStr"/>
      <c r="I170" t="inlineStr"/>
      <c r="J170" t="inlineStr"/>
      <c r="K170" t="inlineStr"/>
      <c r="L170" t="n">
        <v>2026</v>
      </c>
      <c r="M170" t="inlineStr">
        <is>
          <t>חדש</t>
        </is>
      </c>
      <c r="N170" t="inlineStr">
        <is>
          <t>prior_research</t>
        </is>
      </c>
      <c r="P170" t="inlineStr">
        <is>
          <t>https://www.thermofisher.com/us/en/home/industrial/spectroscopy-elemental-isotope-analysis/portable-analysis-material-id/portable-pharmaceutical-qa-qc-manufacturing-solutions/portable-pharma-qa-qc-manufacturing-solutions-distributors.html</t>
        </is>
      </c>
    </row>
    <row r="171">
      <c r="A171" t="n">
        <v>1261</v>
      </c>
      <c r="B171" t="inlineStr">
        <is>
          <t>Thermo Scientific Orion</t>
        </is>
      </c>
      <c r="C171" t="inlineStr">
        <is>
          <t>R.B.M. Ltd. Control &amp; Mechanization (Hod Hasharon)</t>
        </is>
      </c>
      <c r="D171" t="inlineStr"/>
      <c r="E171" t="inlineStr">
        <is>
          <t>מפיץ</t>
        </is>
      </c>
      <c r="F171" t="inlineStr">
        <is>
          <t>Thermo Scientific Niton portable XRF / LIBS analysers - listed on thermofisher.com's authorized XRF &amp; LIBS distributor page for Israel</t>
        </is>
      </c>
      <c r="G171" t="inlineStr"/>
      <c r="H171" t="inlineStr"/>
      <c r="I171" t="inlineStr"/>
      <c r="J171" t="inlineStr"/>
      <c r="K171" t="inlineStr"/>
      <c r="L171" t="n">
        <v>2026</v>
      </c>
      <c r="M171" t="inlineStr">
        <is>
          <t>חדש</t>
        </is>
      </c>
      <c r="N171" t="inlineStr">
        <is>
          <t>prior_research</t>
        </is>
      </c>
      <c r="P171" t="inlineStr">
        <is>
          <t>https://www.thermofisher.com/us/en/home/industrial/spectroscopy-elemental-isotope-analysis/portable-analysis-material-id/portable-analysis-for-material-id-distributors.html</t>
        </is>
      </c>
    </row>
    <row r="172">
      <c r="A172" t="n">
        <v>1261</v>
      </c>
      <c r="B172" t="inlineStr">
        <is>
          <t>Thermo Scientific Orion</t>
        </is>
      </c>
      <c r="C172" t="inlineStr">
        <is>
          <t>Madid Industrial Controls Ltd.</t>
        </is>
      </c>
      <c r="D172" t="inlineStr"/>
      <c r="E172" t="inlineStr">
        <is>
          <t>מפיץ</t>
        </is>
      </c>
      <c r="F172" t="inlineStr">
        <is>
          <t>Thermo Scientific dataTaker data loggers (industrial data acquisition) - listed on thermofisher.com's dataTaker distributor page for Israel</t>
        </is>
      </c>
      <c r="G172" t="inlineStr"/>
      <c r="H172" t="inlineStr"/>
      <c r="I172" t="inlineStr"/>
      <c r="J172" t="inlineStr"/>
      <c r="K172" t="inlineStr"/>
      <c r="L172" t="n">
        <v>2026</v>
      </c>
      <c r="M172" t="inlineStr">
        <is>
          <t>חדש</t>
        </is>
      </c>
      <c r="N172" t="inlineStr">
        <is>
          <t>prior_research</t>
        </is>
      </c>
      <c r="P172" t="inlineStr">
        <is>
          <t>https://www.thermofisher.com/us/en/home/industrial/manufacturing-processing/data-acquisition/datataker-distributors.html</t>
        </is>
      </c>
    </row>
    <row r="173">
      <c r="A173" t="n">
        <v>1276</v>
      </c>
      <c r="B173" t="inlineStr">
        <is>
          <t>Tocris</t>
        </is>
      </c>
      <c r="C173" t="inlineStr">
        <is>
          <t>Getter Bio-Med (Getter Group)</t>
        </is>
      </c>
      <c r="D173" t="inlineStr">
        <is>
          <t>גטר ביו-מד</t>
        </is>
      </c>
      <c r="E173" t="inlineStr">
        <is>
          <t>מפיץ</t>
        </is>
      </c>
      <c r="F173" t="inlineStr">
        <is>
          <t>Lunaphore (a Bio-Techne brand) spatial-biology platforms – Getter describes itself as the official Israeli representative (LinkedIn)</t>
        </is>
      </c>
      <c r="G173" t="inlineStr">
        <is>
          <t>https://www.getter.co.il</t>
        </is>
      </c>
      <c r="H173" t="inlineStr">
        <is>
          <t>+972 3-576-1555 (Getter Group switchboard)</t>
        </is>
      </c>
      <c r="I173" t="inlineStr"/>
      <c r="J173" t="inlineStr">
        <is>
          <t>7 Shimshon St., Petah Tikva 4912502</t>
        </is>
      </c>
      <c r="K173" t="inlineStr"/>
      <c r="M173" t="inlineStr">
        <is>
          <t>ראיה ישנה</t>
        </is>
      </c>
      <c r="N173" t="inlineStr">
        <is>
          <t>prior_research</t>
        </is>
      </c>
      <c r="P173" t="inlineStr">
        <is>
          <t>https://www.getter.co.il/about-en/</t>
        </is>
      </c>
    </row>
    <row r="174">
      <c r="A174" t="n">
        <v>1276</v>
      </c>
      <c r="B174" t="inlineStr">
        <is>
          <t>Tocris</t>
        </is>
      </c>
      <c r="C174" t="inlineStr">
        <is>
          <t>Biotest</t>
        </is>
      </c>
      <c r="D174" t="inlineStr"/>
      <c r="E174" t="inlineStr">
        <is>
          <t>מפיץ</t>
        </is>
      </c>
      <c r="F174" t="inlineStr">
        <is>
          <t>Israeli distributor listed on Bio-Techne's Novus Biologicals distributor directory: 6 Hasadna St., P.O. Box 8006, Kfar Saba 4442405 (phone/e-mail on page); coverage of other Bio-Techne brands (R&amp;D Systems, Tocris, ProteinSimple) not confirmed</t>
        </is>
      </c>
      <c r="G174" t="inlineStr"/>
      <c r="H174" t="inlineStr"/>
      <c r="I174" t="inlineStr"/>
      <c r="J174" t="inlineStr"/>
      <c r="K174" t="inlineStr"/>
      <c r="L174" t="n">
        <v>2026</v>
      </c>
      <c r="M174" t="inlineStr">
        <is>
          <t>חדש</t>
        </is>
      </c>
      <c r="N174" t="inlineStr">
        <is>
          <t>prior_research</t>
        </is>
      </c>
      <c r="P174" t="inlineStr">
        <is>
          <t>https://www.bio-techne.com/distributors/novus</t>
        </is>
      </c>
    </row>
    <row r="175">
      <c r="A175" t="n">
        <v>1299</v>
      </c>
      <c r="B175" t="inlineStr">
        <is>
          <t>Tuttnauer Ltd.</t>
        </is>
      </c>
      <c r="C175" t="inlineStr">
        <is>
          <t>Tuttnauer Ltd.</t>
        </is>
      </c>
      <c r="D175" t="inlineStr">
        <is>
          <t>טוטנאור</t>
        </is>
      </c>
      <c r="E175" t="inlineStr">
        <is>
          <t>חברה-בת</t>
        </is>
      </c>
      <c r="F175" t="inlineStr">
        <is>
          <t>Tuttnauer's Israeli legal entity, headquarters and manufacturing base: Har Tuv B Industrial Zone, P.O. Box 170, Beit Shemesh 9910101, Israel (founded 1925; described as the central base for worldwide operations and product development; US HQ in Hauppauge, NY).</t>
        </is>
      </c>
      <c r="G175" t="inlineStr">
        <is>
          <t>https://tuttnauer.com</t>
        </is>
      </c>
      <c r="L175" t="n">
        <v>2026</v>
      </c>
      <c r="M175" t="inlineStr">
        <is>
          <t>עדכני</t>
        </is>
      </c>
      <c r="N175" t="inlineStr">
        <is>
          <t>manufacturer_or_press</t>
        </is>
      </c>
      <c r="O175" t="inlineStr">
        <is>
          <t>search</t>
        </is>
      </c>
      <c r="P175" t="inlineStr">
        <is>
          <t>https://pharmchoices.com/list-of-medical-device-companies-in-israel-2/7/</t>
        </is>
      </c>
    </row>
    <row r="176">
      <c r="A176" t="n">
        <v>1327</v>
      </c>
      <c r="B176" t="inlineStr">
        <is>
          <t>Velp</t>
        </is>
      </c>
      <c r="C176" t="inlineStr">
        <is>
          <t>Labotal</t>
        </is>
      </c>
      <c r="D176" t="inlineStr">
        <is>
          <t>לבוטל ציוד מדעי</t>
        </is>
      </c>
      <c r="E176" t="inlineStr">
        <is>
          <t>מפיץ</t>
        </is>
      </c>
      <c r="F176"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1328</v>
      </c>
      <c r="B177" t="inlineStr">
        <is>
          <t>Velp Scientifica</t>
        </is>
      </c>
      <c r="C177" t="inlineStr">
        <is>
          <t>Labotal</t>
        </is>
      </c>
      <c r="D177" t="inlineStr">
        <is>
          <t>לבוטל ציוד מדעי</t>
        </is>
      </c>
      <c r="E177" t="inlineStr">
        <is>
          <t>מפיץ</t>
        </is>
      </c>
      <c r="F17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77" t="inlineStr">
        <is>
          <t>https://labotal.co.il</t>
        </is>
      </c>
      <c r="H177" t="inlineStr">
        <is>
          <t>+972 2-579-9222</t>
        </is>
      </c>
      <c r="I177" t="inlineStr">
        <is>
          <t>Sales@labotal.co.il</t>
        </is>
      </c>
      <c r="J177" t="inlineStr">
        <is>
          <t>Hashalom Rd., Abu Ghosh 9084500 (mail: Mevaseret Zion)</t>
        </is>
      </c>
      <c r="K177" t="inlineStr">
        <is>
          <t>https://labotal.co.il/contact/</t>
        </is>
      </c>
      <c r="L177" t="n">
        <v>2026</v>
      </c>
      <c r="M177" t="inlineStr">
        <is>
          <t>עדכני</t>
        </is>
      </c>
      <c r="N177" t="inlineStr">
        <is>
          <t>prior_research</t>
        </is>
      </c>
      <c r="P177" t="inlineStr">
        <is>
          <t>https://labotal.co.il/firms/?lang=en</t>
        </is>
      </c>
    </row>
    <row r="178">
      <c r="A178" t="n">
        <v>1345</v>
      </c>
      <c r="B178" t="inlineStr">
        <is>
          <t>Waters</t>
        </is>
      </c>
      <c r="C178" t="inlineStr">
        <is>
          <t>Waters (TC) Israel Ltd.</t>
        </is>
      </c>
      <c r="D178" t="inlineStr"/>
      <c r="E178" t="inlineStr">
        <is>
          <t>חברה-בת</t>
        </is>
      </c>
      <c r="F178"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78" t="inlineStr">
        <is>
          <t>https://www.waters.com</t>
        </is>
      </c>
      <c r="H178" t="inlineStr"/>
      <c r="I178" t="inlineStr"/>
      <c r="J178" t="inlineStr"/>
      <c r="K178" t="inlineStr"/>
      <c r="L178" t="n">
        <v>2024</v>
      </c>
      <c r="M178" t="inlineStr">
        <is>
          <t>עדכני</t>
        </is>
      </c>
      <c r="N178" t="inlineStr">
        <is>
          <t>prior_research</t>
        </is>
      </c>
      <c r="P178" t="inlineStr">
        <is>
          <t>https://www.sec.gov/Archives/edgar/data/1000697/000119312524047491/d691142dex211.htm</t>
        </is>
      </c>
    </row>
    <row r="179">
      <c r="A179" t="n">
        <v>1345</v>
      </c>
      <c r="B179" t="inlineStr">
        <is>
          <t>Waters</t>
        </is>
      </c>
      <c r="C179" t="inlineStr">
        <is>
          <t>Bargal Analytical Instruments Ltd.</t>
        </is>
      </c>
      <c r="D179" t="inlineStr">
        <is>
          <t>ברגל</t>
        </is>
      </c>
      <c r="E179" t="inlineStr">
        <is>
          <t>מפיץ</t>
        </is>
      </c>
      <c r="F179" t="inlineStr">
        <is>
          <t>TA Instruments (a Waters division) thermal analysis, rheology and microcalorimetry – listed in TA Instruments' Middle East directory</t>
        </is>
      </c>
      <c r="G179" t="inlineStr">
        <is>
          <t>https://www.bargal.co.il</t>
        </is>
      </c>
      <c r="H179" t="inlineStr">
        <is>
          <t>+972-3-979-6533</t>
        </is>
      </c>
      <c r="I179" t="inlineStr">
        <is>
          <t>sales@bargal.co.il</t>
        </is>
      </c>
      <c r="J179" t="inlineStr">
        <is>
          <t>10 Shaked Street, Modi'in Industrial Park, Shoham 6085102</t>
        </is>
      </c>
      <c r="K179" t="inlineStr"/>
      <c r="M179" t="inlineStr">
        <is>
          <t>ראיה ישנה</t>
        </is>
      </c>
      <c r="N179" t="inlineStr">
        <is>
          <t>prior_research</t>
        </is>
      </c>
      <c r="P179" t="inlineStr">
        <is>
          <t>https://www.tainstruments.com/events/middleeast-directory.html</t>
        </is>
      </c>
    </row>
    <row r="180">
      <c r="A180" t="n">
        <v>1355</v>
      </c>
      <c r="B180" t="inlineStr">
        <is>
          <t>Wheaton</t>
        </is>
      </c>
      <c r="C180" t="inlineStr">
        <is>
          <t>Danyel Biotech Ltd. (Gamida for Life group)</t>
        </is>
      </c>
      <c r="D180" t="inlineStr">
        <is>
          <t>דניאל ביוטק</t>
        </is>
      </c>
      <c r="E180" t="inlineStr">
        <is>
          <t>מפיץ</t>
        </is>
      </c>
      <c r="F18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0" t="inlineStr">
        <is>
          <t>https://www.danyel.co.il</t>
        </is>
      </c>
      <c r="H180" t="inlineStr">
        <is>
          <t>1-800-711-911 (also +972 8-936-6066)</t>
        </is>
      </c>
      <c r="I180" t="inlineStr"/>
      <c r="J180" t="inlineStr">
        <is>
          <t>8 Hamada St., Science Park, Rehovot 7670308</t>
        </is>
      </c>
      <c r="K180" t="inlineStr">
        <is>
          <t>https://www.danyel.co.il/contact-us/</t>
        </is>
      </c>
      <c r="L180" t="n">
        <v>2026</v>
      </c>
      <c r="M180" t="inlineStr">
        <is>
          <t>עדכני</t>
        </is>
      </c>
      <c r="N180" t="inlineStr">
        <is>
          <t>prior_research</t>
        </is>
      </c>
      <c r="P180" t="inlineStr">
        <is>
          <t>https://www.danyel.co.il/scilabware/</t>
        </is>
      </c>
    </row>
    <row r="181">
      <c r="A181" t="n">
        <v>1363</v>
      </c>
      <c r="B181" t="inlineStr">
        <is>
          <t>Worthington Biochemical</t>
        </is>
      </c>
      <c r="C181" t="inlineStr">
        <is>
          <t>Enco Scientific Services Ltd. (Enco Diagnostics)</t>
        </is>
      </c>
      <c r="D181" t="inlineStr">
        <is>
          <t>אנקו</t>
        </is>
      </c>
      <c r="E181" t="inlineStr">
        <is>
          <t>מפיץ</t>
        </is>
      </c>
      <c r="F181" t="inlineStr">
        <is>
          <t>Enco's About page lists the brand among the international companies it distributes in Israel (antibodies/biochemicals)</t>
        </is>
      </c>
      <c r="G181" t="inlineStr">
        <is>
          <t>https://www.enco.co.il</t>
        </is>
      </c>
      <c r="L181" t="n">
        <v>2026</v>
      </c>
      <c r="M181" t="inlineStr">
        <is>
          <t>עדכני</t>
        </is>
      </c>
      <c r="N181" t="inlineStr">
        <is>
          <t>manufacturer_or_press</t>
        </is>
      </c>
      <c r="P181" t="inlineStr">
        <is>
          <t>https://www.enco.co.il/about.php</t>
        </is>
      </c>
    </row>
    <row r="182">
      <c r="A182" t="n">
        <v>1371</v>
      </c>
      <c r="B182" t="inlineStr">
        <is>
          <t>Yamato</t>
        </is>
      </c>
      <c r="C182" t="inlineStr">
        <is>
          <t>S.L. Moran Ltd.</t>
        </is>
      </c>
      <c r="D182" t="inlineStr">
        <is>
          <t>ש.ל מורן</t>
        </is>
      </c>
      <c r="E182" t="inlineStr">
        <is>
          <t>מפיץ</t>
        </is>
      </c>
      <c r="F182" t="inlineStr">
        <is>
          <t>listed as Yamato Scientific's sales representative for Israel on Yamato's global partners page (Shatner Center bldg 7, Givat Shaul, Jerusalem, +972-74-7029898); no Yamato products seen on S.L. Moran's own site</t>
        </is>
      </c>
      <c r="G182" t="inlineStr">
        <is>
          <t>https://slmoran.co.il</t>
        </is>
      </c>
      <c r="H182" t="inlineStr">
        <is>
          <t>+972 74-702-9898</t>
        </is>
      </c>
      <c r="I182" t="inlineStr"/>
      <c r="J182" t="inlineStr">
        <is>
          <t>Shatner Center 7, Givat Shaul, Jerusalem</t>
        </is>
      </c>
      <c r="K182" t="inlineStr"/>
      <c r="L182" t="n">
        <v>2018</v>
      </c>
      <c r="M182" t="inlineStr">
        <is>
          <t>ראיה ישנה</t>
        </is>
      </c>
      <c r="N182" t="inlineStr">
        <is>
          <t>prior_research</t>
        </is>
      </c>
      <c r="P182" t="inlineStr">
        <is>
          <t>https://www.yamato-scientific.com/global/</t>
        </is>
      </c>
    </row>
    <row r="183">
      <c r="A183" t="n">
        <v>1372</v>
      </c>
      <c r="B183" t="inlineStr">
        <is>
          <t>Yamato Scientific America</t>
        </is>
      </c>
      <c r="C183" t="inlineStr">
        <is>
          <t>S.L. Moran Ltd.</t>
        </is>
      </c>
      <c r="D183" t="inlineStr">
        <is>
          <t>ש.ל מורן</t>
        </is>
      </c>
      <c r="E183" t="inlineStr">
        <is>
          <t>מפיץ</t>
        </is>
      </c>
      <c r="F183" t="inlineStr">
        <is>
          <t>listed as Yamato Scientific's sales representative for Israel on Yamato's global partners page (Shatner Center bldg 7, Givat Shaul, Jerusalem, +972-74-7029898); no Yamato products seen on S.L. Moran's own site</t>
        </is>
      </c>
      <c r="G183" t="inlineStr">
        <is>
          <t>https://slmoran.co.il</t>
        </is>
      </c>
      <c r="H183" t="inlineStr">
        <is>
          <t>+972 74-702-9898</t>
        </is>
      </c>
      <c r="I183" t="inlineStr"/>
      <c r="J183" t="inlineStr">
        <is>
          <t>Shatner Center 7, Givat Shaul, Jerusalem</t>
        </is>
      </c>
      <c r="K183" t="inlineStr"/>
      <c r="L183" t="n">
        <v>2018</v>
      </c>
      <c r="M183" t="inlineStr">
        <is>
          <t>ראיה ישנה</t>
        </is>
      </c>
      <c r="N183" t="inlineStr">
        <is>
          <t>prior_research</t>
        </is>
      </c>
      <c r="P183"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6</v>
      </c>
      <c r="I10" t="inlineStr">
        <is>
          <t>Biotium; 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Yair Technologies (Yair Tech)</t>
        </is>
      </c>
      <c r="B29" t="inlineStr">
        <is>
          <t>יאיר טכנולוגיות</t>
        </is>
      </c>
      <c r="C29" t="inlineStr">
        <is>
          <t>מפיץ</t>
        </is>
      </c>
      <c r="D29" t="inlineStr">
        <is>
          <t>https://www.yairtech.co.il</t>
        </is>
      </c>
      <c r="H29" t="n">
        <v>2</v>
      </c>
      <c r="I29" t="inlineStr">
        <is>
          <t>G-Biosciences; MTC Bio</t>
        </is>
      </c>
    </row>
    <row r="30">
      <c r="A30" t="inlineStr">
        <is>
          <t>Ophir Analytical Ltd.</t>
        </is>
      </c>
      <c r="B30" t="inlineStr"/>
      <c r="C30" t="inlineStr">
        <is>
          <t>מפיץ</t>
        </is>
      </c>
      <c r="D30" t="inlineStr">
        <is>
          <t>https://ophiranalytical.com</t>
        </is>
      </c>
      <c r="E30" t="inlineStr">
        <is>
          <t>+972 3-902-2277</t>
        </is>
      </c>
      <c r="F30" t="inlineStr"/>
      <c r="G30" t="inlineStr">
        <is>
          <t>Rosh Ha'ayin</t>
        </is>
      </c>
      <c r="H30" t="n">
        <v>2</v>
      </c>
      <c r="I30" t="inlineStr">
        <is>
          <t>Hamilton; Jasco</t>
        </is>
      </c>
    </row>
    <row r="31">
      <c r="A31" t="inlineStr">
        <is>
          <t>Sigma-Aldrich Israel Ltd. (affiliate of Merck KGaA, Darmstadt)</t>
        </is>
      </c>
      <c r="B31" t="inlineStr"/>
      <c r="C31" t="inlineStr">
        <is>
          <t>חברה-בת</t>
        </is>
      </c>
      <c r="D31" t="inlineStr">
        <is>
          <t>https://www.sigmaaldrich.com/IL/en</t>
        </is>
      </c>
      <c r="E31" t="inlineStr">
        <is>
          <t>+972-8-9484222 / +972-8-9484100</t>
        </is>
      </c>
      <c r="F31" t="inlineStr">
        <is>
          <t>isrcustserv@merckgroup.com; isrtechserv@merckgroup.com</t>
        </is>
      </c>
      <c r="G31" t="inlineStr">
        <is>
          <t>3 Plaut St., Rehovot 7670603</t>
        </is>
      </c>
      <c r="H31" t="n">
        <v>2</v>
      </c>
      <c r="I31" t="inlineStr">
        <is>
          <t>Merck; MilliporeSigma</t>
        </is>
      </c>
    </row>
    <row r="32">
      <c r="A32" t="inlineStr">
        <is>
          <t>Modcon Systems Ltd.</t>
        </is>
      </c>
      <c r="B32" t="inlineStr"/>
      <c r="C32" t="inlineStr">
        <is>
          <t>מפיץ</t>
        </is>
      </c>
      <c r="D32" t="inlineStr">
        <is>
          <t>https://modcon-systems.com</t>
        </is>
      </c>
      <c r="E32" t="inlineStr">
        <is>
          <t>+972-4-9553955</t>
        </is>
      </c>
      <c r="F32" t="inlineStr"/>
      <c r="G32" t="inlineStr">
        <is>
          <t>Modcon House, M. Boronshtein St., South Akko Industrial Park, Akko 24222</t>
        </is>
      </c>
      <c r="H32" t="n">
        <v>2</v>
      </c>
      <c r="I32" t="inlineStr">
        <is>
          <t>Mettler-Toledo; Rainin</t>
        </is>
      </c>
    </row>
    <row r="33">
      <c r="A33" t="inlineStr">
        <is>
          <t>Dinco Ltd.</t>
        </is>
      </c>
      <c r="B33" t="inlineStr"/>
      <c r="C33" t="inlineStr">
        <is>
          <t>מפיץ</t>
        </is>
      </c>
      <c r="D33" t="inlineStr"/>
      <c r="E33" t="inlineStr"/>
      <c r="F33" t="inlineStr"/>
      <c r="G33" t="inlineStr"/>
      <c r="H33" t="n">
        <v>2</v>
      </c>
      <c r="I33" t="inlineStr">
        <is>
          <t>Mettler-Toledo; Rainin</t>
        </is>
      </c>
    </row>
    <row r="34">
      <c r="A34" t="inlineStr">
        <is>
          <t>PerkinElmer Israel Ltd.</t>
        </is>
      </c>
      <c r="B34" t="inlineStr"/>
      <c r="C34" t="inlineStr">
        <is>
          <t>חברה-בת</t>
        </is>
      </c>
      <c r="D34" t="inlineStr">
        <is>
          <t>https://www.perkinelmer.com</t>
        </is>
      </c>
      <c r="E34" t="inlineStr">
        <is>
          <t>1-700-500-512</t>
        </is>
      </c>
      <c r="F34" t="inlineStr">
        <is>
          <t>cc.israel@perkinelmer.com</t>
        </is>
      </c>
      <c r="G34" t="inlineStr">
        <is>
          <t>4 HaSheizaf St., Ra'anana</t>
        </is>
      </c>
      <c r="H34" t="n">
        <v>2</v>
      </c>
      <c r="I34" t="inlineStr">
        <is>
          <t>PerkinElmer; Revvity</t>
        </is>
      </c>
    </row>
    <row r="35">
      <c r="A35" t="inlineStr">
        <is>
          <t>Roche Pharmaceuticals (Israel) Ltd. - Diagnostics division ("Roche Diagnostics Israel")</t>
        </is>
      </c>
      <c r="B35" t="inlineStr"/>
      <c r="C35" t="inlineStr">
        <is>
          <t>חברה-בת</t>
        </is>
      </c>
      <c r="D35" t="inlineStr">
        <is>
          <t>https://www.roche.co.il</t>
        </is>
      </c>
      <c r="E35" t="inlineStr">
        <is>
          <t>+972-9-9737777</t>
        </is>
      </c>
      <c r="F35" t="inlineStr"/>
      <c r="G35" t="inlineStr">
        <is>
          <t>6 Hacharash St., P.O. Box 3691, Hod Hasharon 4524079</t>
        </is>
      </c>
      <c r="H35" t="n">
        <v>2</v>
      </c>
      <c r="I35" t="inlineStr">
        <is>
          <t>Roche; Roche Diagnostics Corp.</t>
        </is>
      </c>
    </row>
    <row r="36">
      <c r="A36" t="inlineStr">
        <is>
          <t>Dyn Diagnostics</t>
        </is>
      </c>
      <c r="B36" t="inlineStr"/>
      <c r="C36" t="inlineStr">
        <is>
          <t>מפיץ</t>
        </is>
      </c>
      <c r="D36" t="inlineStr">
        <is>
          <t>https://dyn.co.il</t>
        </is>
      </c>
      <c r="E36" t="inlineStr"/>
      <c r="F36" t="inlineStr"/>
      <c r="G36" t="inlineStr"/>
      <c r="H36" t="n">
        <v>2</v>
      </c>
      <c r="I36" t="inlineStr">
        <is>
          <t>Roche; Roche Diagnostics Corp.</t>
        </is>
      </c>
    </row>
    <row r="37">
      <c r="A37" t="inlineStr">
        <is>
          <t>3M Israel</t>
        </is>
      </c>
      <c r="B37" t="inlineStr">
        <is>
          <t>3M ישראל</t>
        </is>
      </c>
      <c r="C37" t="inlineStr">
        <is>
          <t>חברה-בת</t>
        </is>
      </c>
      <c r="H37" t="n">
        <v>1</v>
      </c>
      <c r="I37" t="inlineStr">
        <is>
          <t>3M</t>
        </is>
      </c>
    </row>
    <row r="38">
      <c r="A38" t="inlineStr">
        <is>
          <t>Prime Lab Scientific Instruments Ltd.</t>
        </is>
      </c>
      <c r="B38" t="inlineStr">
        <is>
          <t>פריים לאב</t>
        </is>
      </c>
      <c r="C38" t="inlineStr">
        <is>
          <t>מפיץ</t>
        </is>
      </c>
      <c r="D38" t="inlineStr">
        <is>
          <t>https://primelab.co.il</t>
        </is>
      </c>
      <c r="E38" t="inlineStr"/>
      <c r="F38" t="inlineStr"/>
      <c r="G38" t="inlineStr"/>
      <c r="H38" t="n">
        <v>1</v>
      </c>
      <c r="I38" t="inlineStr">
        <is>
          <t>Anton Paar</t>
        </is>
      </c>
    </row>
    <row r="39">
      <c r="A39" t="inlineStr">
        <is>
          <t>BD Israel (Becton Dickinson)</t>
        </is>
      </c>
      <c r="B39" t="inlineStr"/>
      <c r="C39" t="inlineStr">
        <is>
          <t>חברה-בת</t>
        </is>
      </c>
      <c r="D39" t="inlineStr">
        <is>
          <t>https://www.bd.com/en-il</t>
        </is>
      </c>
      <c r="E39" t="inlineStr"/>
      <c r="F39" t="inlineStr"/>
      <c r="G39" t="inlineStr">
        <is>
          <t>Caesarea</t>
        </is>
      </c>
      <c r="H39" t="n">
        <v>1</v>
      </c>
      <c r="I39" t="inlineStr">
        <is>
          <t>BD Biosciences</t>
        </is>
      </c>
    </row>
    <row r="40">
      <c r="A40" t="inlineStr">
        <is>
          <t>Beckman Coulter (Israel) Ltd.</t>
        </is>
      </c>
      <c r="B40" t="inlineStr"/>
      <c r="C40" t="inlineStr">
        <is>
          <t>חברה-בת</t>
        </is>
      </c>
      <c r="D40" t="inlineStr"/>
      <c r="E40" t="inlineStr"/>
      <c r="F40" t="inlineStr"/>
      <c r="G40" t="inlineStr"/>
      <c r="H40" t="n">
        <v>1</v>
      </c>
      <c r="I40" t="inlineStr">
        <is>
          <t>Beckman Coulter</t>
        </is>
      </c>
    </row>
    <row r="41">
      <c r="A41" t="inlineStr">
        <is>
          <t>Syntezza Bioscience Ltd</t>
        </is>
      </c>
      <c r="B41" t="inlineStr">
        <is>
          <t>סינתזה ביוסיינס</t>
        </is>
      </c>
      <c r="C41" t="inlineStr">
        <is>
          <t>מפיץ</t>
        </is>
      </c>
      <c r="D41" t="inlineStr">
        <is>
          <t>https://www.syntezza.com</t>
        </is>
      </c>
      <c r="G41" t="inlineStr">
        <is>
          <t>17 Hartom St., Har Hotzvim, Jerusalem</t>
        </is>
      </c>
      <c r="H41" t="n">
        <v>1</v>
      </c>
      <c r="I41" t="inlineStr">
        <is>
          <t>Bio Basic Inc.</t>
        </is>
      </c>
    </row>
    <row r="42">
      <c r="A42" t="inlineStr">
        <is>
          <t>Doron Scientific</t>
        </is>
      </c>
      <c r="B42" t="inlineStr">
        <is>
          <t>דורון סיינטיפיק</t>
        </is>
      </c>
      <c r="C42" t="inlineStr">
        <is>
          <t>מפיץ</t>
        </is>
      </c>
      <c r="D42" t="inlineStr">
        <is>
          <t>https://www.doronscientific.com</t>
        </is>
      </c>
      <c r="E42" t="inlineStr">
        <is>
          <t>+972-54-554-4004</t>
        </is>
      </c>
      <c r="G42" t="inlineStr">
        <is>
          <t>8 Yehoshua Baum St., Kiryat Ono</t>
        </is>
      </c>
      <c r="H42" t="n">
        <v>1</v>
      </c>
      <c r="I42" t="inlineStr">
        <is>
          <t>Biotium</t>
        </is>
      </c>
    </row>
    <row r="43">
      <c r="A43" t="inlineStr">
        <is>
          <t>New Biotechnology Ltd</t>
        </is>
      </c>
      <c r="B43" t="inlineStr">
        <is>
          <t>ניו ביוטכנולוגי (NBT)</t>
        </is>
      </c>
      <c r="C43" t="inlineStr">
        <is>
          <t>מפיץ</t>
        </is>
      </c>
      <c r="D43" t="inlineStr">
        <is>
          <t>https://www.nbtltd.com</t>
        </is>
      </c>
      <c r="E43" t="inlineStr">
        <is>
          <t>+972-2-673-2001</t>
        </is>
      </c>
      <c r="F43" t="inlineStr">
        <is>
          <t>nbtsales@nbtltd.com</t>
        </is>
      </c>
      <c r="G43" t="inlineStr">
        <is>
          <t>3 Mekor Haim St., P.O. Box 8662, Jerusalem 91086</t>
        </is>
      </c>
      <c r="H43" t="n">
        <v>1</v>
      </c>
      <c r="I43" t="inlineStr">
        <is>
          <t>Biotium</t>
        </is>
      </c>
    </row>
    <row r="44">
      <c r="A44" t="inlineStr">
        <is>
          <t>Origolab Ltd</t>
        </is>
      </c>
      <c r="B44" t="inlineStr">
        <is>
          <t>אוריגולאב</t>
        </is>
      </c>
      <c r="C44" t="inlineStr">
        <is>
          <t>מפיץ</t>
        </is>
      </c>
      <c r="E44" t="inlineStr">
        <is>
          <t>+972-2-566-9285</t>
        </is>
      </c>
      <c r="F44" t="inlineStr">
        <is>
          <t>origolab@netmedia.net.il</t>
        </is>
      </c>
      <c r="G44" t="inlineStr">
        <is>
          <t>28 Kaf-Tet BeNovember St., Jerusalem</t>
        </is>
      </c>
      <c r="H44" t="n">
        <v>1</v>
      </c>
      <c r="I44" t="inlineStr">
        <is>
          <t>Biotium</t>
        </is>
      </c>
    </row>
    <row r="45">
      <c r="A45" t="inlineStr">
        <is>
          <t>Dr. Golik Scientific Solutions</t>
        </is>
      </c>
      <c r="B45" t="inlineStr">
        <is>
          <t>ד"ר גוליק</t>
        </is>
      </c>
      <c r="C45" t="inlineStr">
        <is>
          <t>מפיץ</t>
        </is>
      </c>
      <c r="D45" t="inlineStr">
        <is>
          <t>https://www.golik.co.il</t>
        </is>
      </c>
      <c r="E45" t="inlineStr">
        <is>
          <t>+972-3-518-7555</t>
        </is>
      </c>
      <c r="F45" t="inlineStr">
        <is>
          <t>marketing@golik.co.il</t>
        </is>
      </c>
      <c r="G45" t="inlineStr">
        <is>
          <t>34 Kibbutz Galuyot St, Tel Aviv 66550</t>
        </is>
      </c>
      <c r="H45" t="n">
        <v>1</v>
      </c>
      <c r="I45" t="inlineStr">
        <is>
          <t>Buchi</t>
        </is>
      </c>
    </row>
    <row r="46">
      <c r="A46" t="inlineStr">
        <is>
          <t>Modotec Ltd.</t>
        </is>
      </c>
      <c r="B46" t="inlineStr">
        <is>
          <t>מודוטק בע"מ</t>
        </is>
      </c>
      <c r="C46" t="inlineStr">
        <is>
          <t>מפיץ</t>
        </is>
      </c>
      <c r="D46" t="inlineStr">
        <is>
          <t>https://www.modotec.co.il</t>
        </is>
      </c>
      <c r="E46" t="inlineStr">
        <is>
          <t>+972-4-991-9988</t>
        </is>
      </c>
      <c r="F46" t="inlineStr"/>
      <c r="G46" t="inlineStr">
        <is>
          <t>16 Moshe Bernstein St., South Industrial Park, Acre (Akko) 2422238</t>
        </is>
      </c>
      <c r="H46" t="n">
        <v>1</v>
      </c>
      <c r="I46" t="inlineStr">
        <is>
          <t>Hach</t>
        </is>
      </c>
    </row>
    <row r="47">
      <c r="A47" t="inlineStr">
        <is>
          <t>Ex-Lab</t>
        </is>
      </c>
      <c r="B47" t="inlineStr">
        <is>
          <t>אקס-לאב</t>
        </is>
      </c>
      <c r="C47" t="inlineStr">
        <is>
          <t>מפיץ</t>
        </is>
      </c>
      <c r="D47" t="inlineStr">
        <is>
          <t>https://ex-lab.com</t>
        </is>
      </c>
      <c r="E47" t="inlineStr"/>
      <c r="F47" t="inlineStr"/>
      <c r="G47" t="inlineStr">
        <is>
          <t>4 Nevatim St., Petah Tikva</t>
        </is>
      </c>
      <c r="H47" t="n">
        <v>1</v>
      </c>
      <c r="I47" t="inlineStr">
        <is>
          <t>Haier</t>
        </is>
      </c>
    </row>
    <row r="48">
      <c r="A48" t="inlineStr">
        <is>
          <t>Tarom Applied Technologies Ltd.</t>
        </is>
      </c>
      <c r="B48" t="inlineStr"/>
      <c r="C48" t="inlineStr">
        <is>
          <t>מפיץ</t>
        </is>
      </c>
      <c r="D48" t="inlineStr">
        <is>
          <t>http://www.tarom.co.il</t>
        </is>
      </c>
      <c r="E48" t="inlineStr"/>
      <c r="F48" t="inlineStr"/>
      <c r="G48" t="inlineStr"/>
      <c r="H48" t="n">
        <v>1</v>
      </c>
      <c r="I48" t="inlineStr">
        <is>
          <t>Hamilton</t>
        </is>
      </c>
    </row>
    <row r="49">
      <c r="A49" t="inlineStr">
        <is>
          <t>BioAnalytics</t>
        </is>
      </c>
      <c r="B49" t="inlineStr"/>
      <c r="C49" t="inlineStr">
        <is>
          <t>מפיץ</t>
        </is>
      </c>
      <c r="D49" t="inlineStr">
        <is>
          <t>https://www.bioanalytics.co.il</t>
        </is>
      </c>
      <c r="E49" t="inlineStr">
        <is>
          <t>+972-72-242-9555</t>
        </is>
      </c>
      <c r="F49" t="inlineStr"/>
      <c r="G49" t="inlineStr">
        <is>
          <t>29 Omarim St. (listed as "29'th Omarim"), Omer 84965</t>
        </is>
      </c>
      <c r="H49" t="n">
        <v>1</v>
      </c>
      <c r="I49" t="inlineStr">
        <is>
          <t>Hanna Instruments</t>
        </is>
      </c>
    </row>
    <row r="50">
      <c r="A50" t="inlineStr">
        <is>
          <t>Cannadepot</t>
        </is>
      </c>
      <c r="B50" t="inlineStr"/>
      <c r="C50" t="inlineStr">
        <is>
          <t>מפיץ</t>
        </is>
      </c>
      <c r="D50" t="inlineStr">
        <is>
          <t>https://cannadepot.co.il</t>
        </is>
      </c>
      <c r="E50" t="inlineStr"/>
      <c r="F50" t="inlineStr"/>
      <c r="G50" t="inlineStr"/>
      <c r="H50" t="n">
        <v>1</v>
      </c>
      <c r="I50" t="inlineStr">
        <is>
          <t>Hanna Instruments</t>
        </is>
      </c>
    </row>
    <row r="51">
      <c r="A51" t="inlineStr">
        <is>
          <t>Master-Cold</t>
        </is>
      </c>
      <c r="B51" t="inlineStr"/>
      <c r="C51" t="inlineStr">
        <is>
          <t>מפיץ</t>
        </is>
      </c>
      <c r="D51" t="inlineStr">
        <is>
          <t>http://master-cold.co.il</t>
        </is>
      </c>
      <c r="E51" t="inlineStr"/>
      <c r="F51" t="inlineStr"/>
      <c r="G51" t="inlineStr"/>
      <c r="H51" t="n">
        <v>1</v>
      </c>
      <c r="I51" t="inlineStr">
        <is>
          <t>Huber USA</t>
        </is>
      </c>
    </row>
    <row r="52">
      <c r="A52" t="inlineStr">
        <is>
          <t>Citrine Solutions</t>
        </is>
      </c>
      <c r="B52" t="inlineStr">
        <is>
          <t>סיטרין</t>
        </is>
      </c>
      <c r="C52" t="inlineStr">
        <is>
          <t>מפיץ</t>
        </is>
      </c>
      <c r="D52" t="inlineStr">
        <is>
          <t>https://www.citrinesolutions.co.il</t>
        </is>
      </c>
      <c r="E52" t="inlineStr"/>
      <c r="F52" t="inlineStr"/>
      <c r="G52" t="inlineStr"/>
      <c r="H52" t="n">
        <v>1</v>
      </c>
      <c r="I52" t="inlineStr">
        <is>
          <t>Lauda</t>
        </is>
      </c>
    </row>
    <row r="53">
      <c r="A53" t="inlineStr">
        <is>
          <t>Avni &amp; Son</t>
        </is>
      </c>
      <c r="B53" t="inlineStr"/>
      <c r="C53" t="inlineStr">
        <is>
          <t>מפיץ</t>
        </is>
      </c>
      <c r="D53" t="inlineStr">
        <is>
          <t>https://avni-son.co.il</t>
        </is>
      </c>
      <c r="E53" t="inlineStr">
        <is>
          <t>+972-4-821-9989</t>
        </is>
      </c>
      <c r="F53" t="inlineStr">
        <is>
          <t>info@avni-son.co.il</t>
        </is>
      </c>
      <c r="G53" t="inlineStr">
        <is>
          <t>101 Bar Yehuda Rd. (דרך בר יהודה 101), Nesher</t>
        </is>
      </c>
      <c r="H53" t="n">
        <v>1</v>
      </c>
      <c r="I53" t="inlineStr">
        <is>
          <t>Lauda</t>
        </is>
      </c>
    </row>
    <row r="54">
      <c r="A54" t="inlineStr">
        <is>
          <t>Electrotherm Marketing 1978 Ltd.</t>
        </is>
      </c>
      <c r="B54" t="inlineStr">
        <is>
          <t>אלקטרוטרם</t>
        </is>
      </c>
      <c r="C54" t="inlineStr">
        <is>
          <t>מפיץ</t>
        </is>
      </c>
      <c r="D54" t="inlineStr">
        <is>
          <t>https://www.electrotherm.co.il</t>
        </is>
      </c>
      <c r="E54" t="inlineStr">
        <is>
          <t>+972-77-866-0600</t>
        </is>
      </c>
      <c r="F54" t="inlineStr">
        <is>
          <t>sales@electrotherm.co.il</t>
        </is>
      </c>
      <c r="G54" t="inlineStr">
        <is>
          <t>Migdal HaEmek</t>
        </is>
      </c>
      <c r="H54" t="n">
        <v>1</v>
      </c>
      <c r="I54" t="inlineStr">
        <is>
          <t>Nabertherm</t>
        </is>
      </c>
    </row>
    <row r="55">
      <c r="A55" t="inlineStr">
        <is>
          <t>Advanced Technological Solutions Ltd. (ATSL)</t>
        </is>
      </c>
      <c r="B55" t="inlineStr"/>
      <c r="C55" t="inlineStr">
        <is>
          <t>מפיץ</t>
        </is>
      </c>
      <c r="D55" t="inlineStr"/>
      <c r="E55" t="inlineStr"/>
      <c r="F55" t="inlineStr"/>
      <c r="G55" t="inlineStr"/>
      <c r="H55" t="n">
        <v>1</v>
      </c>
      <c r="I55" t="inlineStr">
        <is>
          <t>Oxford Instruments America</t>
        </is>
      </c>
    </row>
    <row r="56">
      <c r="A56" t="inlineStr">
        <is>
          <t>Quantum Design s.r.l. (Italy and Israel branch office, Rome) / Quantum Design Israel site</t>
        </is>
      </c>
      <c r="B56" t="inlineStr"/>
      <c r="C56" t="inlineStr">
        <is>
          <t>מפיץ</t>
        </is>
      </c>
      <c r="D56" t="inlineStr">
        <is>
          <t>https://qd-europe.com/il/en</t>
        </is>
      </c>
      <c r="E56" t="inlineStr"/>
      <c r="F56" t="inlineStr"/>
      <c r="G56" t="inlineStr"/>
      <c r="H56" t="n">
        <v>1</v>
      </c>
      <c r="I56" t="inlineStr">
        <is>
          <t>Oxford Instruments America</t>
        </is>
      </c>
    </row>
    <row r="57">
      <c r="A57" t="inlineStr">
        <is>
          <t>Tivan Biotech</t>
        </is>
      </c>
      <c r="B57" t="inlineStr">
        <is>
          <t>טיבן ביוטק</t>
        </is>
      </c>
      <c r="C57" t="inlineStr">
        <is>
          <t>מפיץ</t>
        </is>
      </c>
      <c r="D57" t="inlineStr">
        <is>
          <t>https://www.tivanbiotech.com</t>
        </is>
      </c>
      <c r="F57" t="inlineStr">
        <is>
          <t>customerservice@tivanbiotech.com</t>
        </is>
      </c>
      <c r="H57" t="n">
        <v>1</v>
      </c>
      <c r="I57" t="inlineStr">
        <is>
          <t>OZ Biosciences</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בחיפוש ראשוני</t>
        </is>
      </c>
      <c r="B12">
        <f>COUNTIF(Suppliers!AD2:AD1382,"לא נמצא בחיפוש ראשוני")</f>
        <v/>
      </c>
    </row>
    <row r="13">
      <c r="A13" s="3" t="inlineStr">
        <is>
          <t>לא נמצא בסריקת המפיצים</t>
        </is>
      </c>
      <c r="B13">
        <f>COUNTIF(Suppliers!AD2:AD1382,"לא נמצא בסריקת המפיצים")</f>
        <v/>
      </c>
    </row>
    <row r="14">
      <c r="A14" s="3" t="inlineStr">
        <is>
          <t>טרם נבדק</t>
        </is>
      </c>
      <c r="B14">
        <f>COUNTIF(Suppliers!AD2:AD1382,"טרם נבדק")</f>
        <v/>
      </c>
    </row>
    <row r="15">
      <c r="A15" s="3" t="inlineStr">
        <is>
          <t>עם אתר מזוהה</t>
        </is>
      </c>
      <c r="B15">
        <f>COUNTIF(Suppliers!H2:H1382,"http*")</f>
        <v/>
      </c>
    </row>
    <row r="16">
      <c r="A16" s="3" t="inlineStr">
        <is>
          <t>עם נתון עובדים</t>
        </is>
      </c>
      <c r="B16">
        <f>COUNT(Suppliers!P2:P1382)</f>
        <v/>
      </c>
    </row>
    <row r="17">
      <c r="A17" s="3" t="inlineStr">
        <is>
          <t>עם נתון הכנסות</t>
        </is>
      </c>
      <c r="B17">
        <f>COUNT(Suppliers!T2:T1382)</f>
        <v/>
      </c>
    </row>
    <row r="18">
      <c r="A18" s="3" t="inlineStr">
        <is>
          <t>עם 3 מוצרים</t>
        </is>
      </c>
      <c r="B18">
        <f>COUNTIF(Suppliers!AB2:AB1382,"?*")</f>
        <v/>
      </c>
    </row>
    <row r="19">
      <c r="A19" s="3" t="inlineStr">
        <is>
          <t>עם טלפון</t>
        </is>
      </c>
      <c r="B19">
        <f>COUNTIF(Suppliers!AJ2:AJ1382,"?*")</f>
        <v/>
      </c>
    </row>
    <row r="20">
      <c r="A20" s="3" t="inlineStr">
        <is>
          <t>חציון עובדים</t>
        </is>
      </c>
      <c r="B20">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2026-10-18T06:08:35Z</dcterms:created>
  <dcterms:modified xmlns:dcterms="http://purl.org/dc/terms/" xmlns:xsi="http://www.w3.org/2001/XMLSchema-instance" xsi:type="dcterms:W3CDTF">2026-10-18T06:08:35Z</dcterms:modified>
</cp:coreProperties>
</file>