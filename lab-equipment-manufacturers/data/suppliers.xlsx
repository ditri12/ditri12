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liers" sheetId="1" state="visible" r:id="rId3"/>
    <sheet name="Israel entities" sheetId="2" state="visible" r:id="rId4"/>
    <sheet name="Products" sheetId="3" state="visible" r:id="rId5"/>
    <sheet name="By Israeli entity" sheetId="4" state="visible" r:id="rId6"/>
    <sheet name="Summary" sheetId="5" state="visible" r:id="rId7"/>
  </sheets>
  <definedNames>
    <definedName function="false" hidden="true" localSheetId="3" name="_xlnm._FilterDatabase" vbProcedure="false">'By Israeli entity'!$A$1:$I$1</definedName>
    <definedName function="false" hidden="true" localSheetId="1" name="_xlnm._FilterDatabase" vbProcedure="false">'Israel entities'!$A$1:$P$1</definedName>
    <definedName function="false" hidden="true" localSheetId="2" name="_xlnm._FilterDatabase" vbProcedure="false">Products!$A$1:$F$1</definedName>
    <definedName function="false" hidden="true" localSheetId="0" name="_xlnm._FilterDatabase" vbProcedure="false">Suppliers!$A$1:$AR$1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<sst xmlns="http://schemas.openxmlformats.org/spreadsheetml/2006/main" count="43060" uniqueCount="15396">
  <si>
    <t xml:space="preserve">#</t>
  </si>
  <si>
    <r>
      <rPr>
        <b val="true"/>
        <sz val="11"/>
        <color rgb="FFFFFFFF"/>
        <rFont val="FreeSans"/>
        <family val="2"/>
      </rPr>
      <t xml:space="preserve">ספק</t>
    </r>
    <r>
      <rPr>
        <b val="true"/>
        <sz val="11"/>
        <color rgb="FFFFFFFF"/>
        <rFont val="Cambria"/>
        <family val="0"/>
        <charset val="1"/>
      </rPr>
      <t xml:space="preserve">/</t>
    </r>
    <r>
      <rPr>
        <b val="true"/>
        <sz val="11"/>
        <color rgb="FFFFFFFF"/>
        <rFont val="FreeSans"/>
        <family val="2"/>
      </rPr>
      <t xml:space="preserve">יצרן</t>
    </r>
  </si>
  <si>
    <t xml:space="preserve">קטלוגים</t>
  </si>
  <si>
    <t xml:space="preserve">Dutscher</t>
  </si>
  <si>
    <t xml:space="preserve">Thomas Sci.</t>
  </si>
  <si>
    <t xml:space="preserve">Quartzy</t>
  </si>
  <si>
    <r>
      <rPr>
        <b val="true"/>
        <sz val="11"/>
        <color rgb="FFFFFFFF"/>
        <rFont val="FreeSans"/>
        <family val="2"/>
      </rPr>
      <t xml:space="preserve">מותג</t>
    </r>
    <r>
      <rPr>
        <b val="true"/>
        <sz val="11"/>
        <color rgb="FFFFFFFF"/>
        <rFont val="Cambria"/>
        <family val="0"/>
        <charset val="1"/>
      </rPr>
      <t xml:space="preserve">-</t>
    </r>
    <r>
      <rPr>
        <b val="true"/>
        <sz val="11"/>
        <color rgb="FFFFFFFF"/>
        <rFont val="FreeSans"/>
        <family val="2"/>
      </rPr>
      <t xml:space="preserve">בית של</t>
    </r>
  </si>
  <si>
    <t xml:space="preserve">אתר</t>
  </si>
  <si>
    <t xml:space="preserve">מקור האתר</t>
  </si>
  <si>
    <t xml:space="preserve">מדינה</t>
  </si>
  <si>
    <t xml:space="preserve">מטה</t>
  </si>
  <si>
    <r>
      <rPr>
        <b val="true"/>
        <sz val="11"/>
        <color rgb="FFFFFFFF"/>
        <rFont val="FreeSans"/>
        <family val="2"/>
      </rPr>
      <t xml:space="preserve">חברת</t>
    </r>
    <r>
      <rPr>
        <b val="true"/>
        <sz val="11"/>
        <color rgb="FFFFFFFF"/>
        <rFont val="Cambria"/>
        <family val="0"/>
        <charset val="1"/>
      </rPr>
      <t xml:space="preserve">-</t>
    </r>
    <r>
      <rPr>
        <b val="true"/>
        <sz val="11"/>
        <color rgb="FFFFFFFF"/>
        <rFont val="FreeSans"/>
        <family val="2"/>
      </rPr>
      <t xml:space="preserve">אם</t>
    </r>
  </si>
  <si>
    <t xml:space="preserve">שנת ייסוד</t>
  </si>
  <si>
    <t xml:space="preserve">תחום</t>
  </si>
  <si>
    <t xml:space="preserve">קטגוריה</t>
  </si>
  <si>
    <t xml:space="preserve">מקור הקטגוריה</t>
  </si>
  <si>
    <t xml:space="preserve">תיאור</t>
  </si>
  <si>
    <t xml:space="preserve">עובדים</t>
  </si>
  <si>
    <t xml:space="preserve">שנת נתון</t>
  </si>
  <si>
    <t xml:space="preserve">היקף</t>
  </si>
  <si>
    <t xml:space="preserve">מקור</t>
  </si>
  <si>
    <r>
      <rPr>
        <b val="true"/>
        <sz val="11"/>
        <color rgb="FFFFFFFF"/>
        <rFont val="FreeSans"/>
        <family val="2"/>
      </rPr>
      <t xml:space="preserve">הכנסות </t>
    </r>
    <r>
      <rPr>
        <b val="true"/>
        <sz val="11"/>
        <color rgb="FFFFFFFF"/>
        <rFont val="Cambria"/>
        <family val="0"/>
        <charset val="1"/>
      </rPr>
      <t xml:space="preserve">(</t>
    </r>
    <r>
      <rPr>
        <b val="true"/>
        <sz val="11"/>
        <color rgb="FFFFFFFF"/>
        <rFont val="FreeSans"/>
        <family val="2"/>
      </rPr>
      <t xml:space="preserve">מיליוני </t>
    </r>
    <r>
      <rPr>
        <b val="true"/>
        <sz val="11"/>
        <color rgb="FFFFFFFF"/>
        <rFont val="Cambria"/>
        <family val="0"/>
        <charset val="1"/>
      </rPr>
      <t xml:space="preserve">$)</t>
    </r>
  </si>
  <si>
    <r>
      <rPr>
        <b val="true"/>
        <sz val="11"/>
        <color rgb="FFFFFFFF"/>
        <rFont val="FreeSans"/>
        <family val="2"/>
      </rPr>
      <t xml:space="preserve">הכנסות </t>
    </r>
    <r>
      <rPr>
        <b val="true"/>
        <sz val="11"/>
        <color rgb="FFFFFFFF"/>
        <rFont val="Cambria"/>
        <family val="0"/>
        <charset val="1"/>
      </rPr>
      <t xml:space="preserve">(</t>
    </r>
    <r>
      <rPr>
        <b val="true"/>
        <sz val="11"/>
        <color rgb="FFFFFFFF"/>
        <rFont val="FreeSans"/>
        <family val="2"/>
      </rPr>
      <t xml:space="preserve">מקור</t>
    </r>
    <r>
      <rPr>
        <b val="true"/>
        <sz val="11"/>
        <color rgb="FFFFFFFF"/>
        <rFont val="Cambria"/>
        <family val="0"/>
        <charset val="1"/>
      </rPr>
      <t xml:space="preserve">)</t>
    </r>
  </si>
  <si>
    <t xml:space="preserve">שנה</t>
  </si>
  <si>
    <t xml:space="preserve">בסיס הגודל</t>
  </si>
  <si>
    <r>
      <rPr>
        <b val="true"/>
        <sz val="11"/>
        <color rgb="FFFFFFFF"/>
        <rFont val="FreeSans"/>
        <family val="2"/>
      </rPr>
      <t xml:space="preserve">מוצר </t>
    </r>
    <r>
      <rPr>
        <b val="true"/>
        <sz val="11"/>
        <color rgb="FFFFFFFF"/>
        <rFont val="Cambria"/>
        <family val="0"/>
        <charset val="1"/>
      </rPr>
      <t xml:space="preserve">1</t>
    </r>
  </si>
  <si>
    <r>
      <rPr>
        <b val="true"/>
        <sz val="11"/>
        <color rgb="FFFFFFFF"/>
        <rFont val="FreeSans"/>
        <family val="2"/>
      </rPr>
      <t xml:space="preserve">מוצר </t>
    </r>
    <r>
      <rPr>
        <b val="true"/>
        <sz val="11"/>
        <color rgb="FFFFFFFF"/>
        <rFont val="Cambria"/>
        <family val="0"/>
        <charset val="1"/>
      </rPr>
      <t xml:space="preserve">2</t>
    </r>
  </si>
  <si>
    <r>
      <rPr>
        <b val="true"/>
        <sz val="11"/>
        <color rgb="FFFFFFFF"/>
        <rFont val="FreeSans"/>
        <family val="2"/>
      </rPr>
      <t xml:space="preserve">מוצר </t>
    </r>
    <r>
      <rPr>
        <b val="true"/>
        <sz val="11"/>
        <color rgb="FFFFFFFF"/>
        <rFont val="Cambria"/>
        <family val="0"/>
        <charset val="1"/>
      </rPr>
      <t xml:space="preserve">3</t>
    </r>
  </si>
  <si>
    <t xml:space="preserve">מקור המוצרים</t>
  </si>
  <si>
    <t xml:space="preserve">ייצוג בישראל</t>
  </si>
  <si>
    <t xml:space="preserve">סטטוס בדיקה</t>
  </si>
  <si>
    <t xml:space="preserve">שנת ראיה</t>
  </si>
  <si>
    <t xml:space="preserve">נציגים בישראל</t>
  </si>
  <si>
    <t xml:space="preserve">אנשי קשר – נציגים</t>
  </si>
  <si>
    <r>
      <rPr>
        <b val="true"/>
        <sz val="11"/>
        <color rgb="FFFFFFFF"/>
        <rFont val="FreeSans"/>
        <family val="2"/>
      </rPr>
      <t xml:space="preserve">הערה </t>
    </r>
    <r>
      <rPr>
        <b val="true"/>
        <sz val="11"/>
        <color rgb="FFFFFFFF"/>
        <rFont val="Cambria"/>
        <family val="0"/>
        <charset val="1"/>
      </rPr>
      <t xml:space="preserve">(</t>
    </r>
    <r>
      <rPr>
        <b val="true"/>
        <sz val="11"/>
        <color rgb="FFFFFFFF"/>
        <rFont val="FreeSans"/>
        <family val="2"/>
      </rPr>
      <t xml:space="preserve">ישראל</t>
    </r>
    <r>
      <rPr>
        <b val="true"/>
        <sz val="11"/>
        <color rgb="FFFFFFFF"/>
        <rFont val="Cambria"/>
        <family val="0"/>
        <charset val="1"/>
      </rPr>
      <t xml:space="preserve">)</t>
    </r>
  </si>
  <si>
    <t xml:space="preserve">טלפון</t>
  </si>
  <si>
    <r>
      <rPr>
        <b val="true"/>
        <sz val="11"/>
        <color rgb="FFFFFFFF"/>
        <rFont val="FreeSans"/>
        <family val="2"/>
      </rPr>
      <t xml:space="preserve">דוא</t>
    </r>
    <r>
      <rPr>
        <b val="true"/>
        <sz val="11"/>
        <color rgb="FFFFFFFF"/>
        <rFont val="Cambria"/>
        <family val="0"/>
        <charset val="1"/>
      </rPr>
      <t xml:space="preserve">"</t>
    </r>
    <r>
      <rPr>
        <b val="true"/>
        <sz val="11"/>
        <color rgb="FFFFFFFF"/>
        <rFont val="FreeSans"/>
        <family val="2"/>
      </rPr>
      <t xml:space="preserve">ל</t>
    </r>
  </si>
  <si>
    <t xml:space="preserve">כתובת</t>
  </si>
  <si>
    <t xml:space="preserve">דף יצירת קשר</t>
  </si>
  <si>
    <t xml:space="preserve">מקור אנשי קשר</t>
  </si>
  <si>
    <t xml:space="preserve">Wikidata</t>
  </si>
  <si>
    <t xml:space="preserve">מקורות</t>
  </si>
  <si>
    <t xml:space="preserve">1PlusChem</t>
  </si>
  <si>
    <t xml:space="preserve">Q</t>
  </si>
  <si>
    <t xml:space="preserve">yes</t>
  </si>
  <si>
    <t xml:space="preserve">https://pluschem.com</t>
  </si>
  <si>
    <t xml:space="preserve">clearbit</t>
  </si>
  <si>
    <t xml:space="preserve">unknown</t>
  </si>
  <si>
    <t xml:space="preserve">לא נמצא בסריקת המפיצים</t>
  </si>
  <si>
    <t xml:space="preserve">סריקת אתרי מפיצים</t>
  </si>
  <si>
    <t xml:space="preserve">https://www.quartzy.com/suppliers</t>
  </si>
  <si>
    <t xml:space="preserve">2 Mag</t>
  </si>
  <si>
    <t xml:space="preserve">D</t>
  </si>
  <si>
    <t xml:space="preserve">https://www.dutscher.com/search?initialFilters=brand:2+Mag</t>
  </si>
  <si>
    <t xml:space="preserve">ציוד</t>
  </si>
  <si>
    <t xml:space="preserve">catalog_facet</t>
  </si>
  <si>
    <t xml:space="preserve">Magnetic stirrer MIX 1 2mag</t>
  </si>
  <si>
    <t xml:space="preserve">Magnetic stirrer Mix15 Eco 2mag</t>
  </si>
  <si>
    <t xml:space="preserve">Asteroid 70 magnetic stirring bar - diam. x l = 39 x 70 mm</t>
  </si>
  <si>
    <t xml:space="preserve">dutscher</t>
  </si>
  <si>
    <t xml:space="preserve">3M</t>
  </si>
  <si>
    <t xml:space="preserve">D+T</t>
  </si>
  <si>
    <t xml:space="preserve">https://www.dutscher.com/search?initialFilters=brand:3M</t>
  </si>
  <si>
    <t xml:space="preserve">https://www.thomassci.com/browse-by/suppliers/3m</t>
  </si>
  <si>
    <t xml:space="preserve">https://www.3m.com/</t>
  </si>
  <si>
    <t xml:space="preserve">wikidata</t>
  </si>
  <si>
    <r>
      <rPr>
        <sz val="11"/>
        <color theme="1"/>
        <rFont val="FreeSans"/>
        <family val="2"/>
      </rPr>
      <t xml:space="preserve">ארה</t>
    </r>
    <r>
      <rPr>
        <sz val="11"/>
        <color theme="1"/>
        <rFont val="Calibri"/>
        <family val="2"/>
        <charset val="1"/>
      </rPr>
      <t xml:space="preserve">"</t>
    </r>
    <r>
      <rPr>
        <sz val="11"/>
        <color theme="1"/>
        <rFont val="FreeSans"/>
        <family val="2"/>
      </rPr>
      <t xml:space="preserve">ב</t>
    </r>
  </si>
  <si>
    <t xml:space="preserve">Maplewood</t>
  </si>
  <si>
    <t xml:space="preserve">1902</t>
  </si>
  <si>
    <t xml:space="preserve">בטיחות</t>
  </si>
  <si>
    <t xml:space="preserve">American multinational corporation</t>
  </si>
  <si>
    <t xml:space="preserve">2020</t>
  </si>
  <si>
    <t xml:space="preserve">company</t>
  </si>
  <si>
    <t xml:space="preserve">USD 34,229.0 m</t>
  </si>
  <si>
    <t xml:space="preserve">2022</t>
  </si>
  <si>
    <t xml:space="preserve">reported</t>
  </si>
  <si>
    <t xml:space="preserve">3M HEAD HARNESS ASSEMBLY FOR 6000 SERIES</t>
  </si>
  <si>
    <t xml:space="preserve">Comply™ Lead Free Steam Indicator Tape</t>
  </si>
  <si>
    <t xml:space="preserve">3M™ SecureFit™, Protective Eyewear, SF201AF, Clear Lens</t>
  </si>
  <si>
    <t xml:space="preserve">thomassci</t>
  </si>
  <si>
    <r>
      <rPr>
        <sz val="11"/>
        <color theme="1"/>
        <rFont val="FreeSans"/>
        <family val="2"/>
      </rPr>
      <t xml:space="preserve">חברה</t>
    </r>
    <r>
      <rPr>
        <sz val="11"/>
        <color theme="1"/>
        <rFont val="Calibri"/>
        <family val="2"/>
        <charset val="1"/>
      </rPr>
      <t xml:space="preserve">-</t>
    </r>
    <r>
      <rPr>
        <sz val="11"/>
        <color theme="1"/>
        <rFont val="FreeSans"/>
        <family val="2"/>
      </rPr>
      <t xml:space="preserve">בת בישראל</t>
    </r>
  </si>
  <si>
    <t xml:space="preserve">חיפוש חלקי</t>
  </si>
  <si>
    <t xml:space="preserve">3M Israel</t>
  </si>
  <si>
    <t xml:space="preserve">3M Israel:</t>
  </si>
  <si>
    <t xml:space="preserve">Multiple news items (NoCamels 2014 and 2015, Globes interview) plus a startupim company directory page confirm a 3M Israel subsidiary (Ra'anana/Herzliya); no current official 3M Israel contact page surfaced in results, so details are older evidence. 3M later sold its Israeli electronic-monitoring unit Attenti (2017).</t>
  </si>
  <si>
    <t xml:space="preserve">Q159433</t>
  </si>
  <si>
    <t xml:space="preserve">https://www.dutscher.com/search?initialFilters=brand:3M | https://www.thomassci.com/browse-by/suppliers/3m | https://www.wikidata.org/wiki/Q159433 | https://nocamels.com/2015/12/3m-opens-customer-innovation-center-in-israel/</t>
  </si>
  <si>
    <t xml:space="preserve">3M Health Care</t>
  </si>
  <si>
    <t xml:space="preserve">T</t>
  </si>
  <si>
    <t xml:space="preserve">https://www.thomassci.com/browse-by/suppliers/3m-health-care</t>
  </si>
  <si>
    <t xml:space="preserve">https://3mhealthcare.in</t>
  </si>
  <si>
    <t xml:space="preserve">3M Safety</t>
  </si>
  <si>
    <t xml:space="preserve">https://www.thomassci.com/browse-by/suppliers/3m-safety</t>
  </si>
  <si>
    <t xml:space="preserve">https://www.3m.com</t>
  </si>
  <si>
    <t xml:space="preserve">manual</t>
  </si>
  <si>
    <t xml:space="preserve">בטיחות וציוד מגן</t>
  </si>
  <si>
    <t xml:space="preserve">keyword_guess</t>
  </si>
  <si>
    <t xml:space="preserve">8511 Particulate Respirator N95</t>
  </si>
  <si>
    <t xml:space="preserve">1860 Particulate Respirator Mask N95</t>
  </si>
  <si>
    <t xml:space="preserve">Versaflo™ Ammonia/Methylamine/HEPA Cartridge, for TR-600/800 PAPR</t>
  </si>
  <si>
    <t xml:space="preserve">4Titude</t>
  </si>
  <si>
    <t xml:space="preserve">https://www.dutscher.com/search?initialFilters=brand:4Titude</t>
  </si>
  <si>
    <t xml:space="preserve">https://www.thomassci.com/browse-by/suppliers/4titude</t>
  </si>
  <si>
    <t xml:space="preserve">https://www.azenta.com</t>
  </si>
  <si>
    <t xml:space="preserve">מתכלים וציוד קטן</t>
  </si>
  <si>
    <t xml:space="preserve">FrameStar® Break-A-Way PCR Plates</t>
  </si>
  <si>
    <t xml:space="preserve">Tear-A-Way™ PCR Plates</t>
  </si>
  <si>
    <t xml:space="preserve">384 Well Skirted PCR Plates</t>
  </si>
  <si>
    <r>
      <rPr>
        <sz val="11"/>
        <color theme="1"/>
        <rFont val="FreeSans"/>
        <family val="2"/>
      </rPr>
      <t xml:space="preserve">מפיץ</t>
    </r>
    <r>
      <rPr>
        <sz val="11"/>
        <color theme="1"/>
        <rFont val="Calibri"/>
        <family val="2"/>
        <charset val="1"/>
      </rPr>
      <t xml:space="preserve">/</t>
    </r>
    <r>
      <rPr>
        <sz val="11"/>
        <color theme="1"/>
        <rFont val="FreeSans"/>
        <family val="2"/>
      </rPr>
      <t xml:space="preserve">נציג בישראל</t>
    </r>
  </si>
  <si>
    <t xml:space="preserve">Tamar Laboratory Supplies Ltd.</t>
  </si>
  <si>
    <t xml:space="preserve">Tamar Laboratory Supplies Ltd.: +972 2-533-6070 (also 02-579-9777) mail@tamar.co.il</t>
  </si>
  <si>
    <t xml:space="preserve">No result mentioned 4titude; only unrelated Israeli distributor pages (Corning optical, AVM, audio gear).</t>
  </si>
  <si>
    <t xml:space="preserve">https://www.dutscher.com/search?initialFilters=brand:4Titude | https://www.thomassci.com/browse-by/suppliers/4titude | https://www.tamar.co.il/represented-companies/</t>
  </si>
  <si>
    <t xml:space="preserve">A&amp;D Company</t>
  </si>
  <si>
    <t xml:space="preserve">https://www.aandd.jp</t>
  </si>
  <si>
    <t xml:space="preserve">prior</t>
  </si>
  <si>
    <t xml:space="preserve">יפן</t>
  </si>
  <si>
    <t xml:space="preserve">Toshima-ku, Tokyo</t>
  </si>
  <si>
    <t xml:space="preserve">Lab balances &amp; weighing</t>
  </si>
  <si>
    <t xml:space="preserve">מכשור אנליטי ומדידה</t>
  </si>
  <si>
    <t xml:space="preserve">JPY 69,326 million</t>
  </si>
  <si>
    <t xml:space="preserve">FY ending Mar-2026</t>
  </si>
  <si>
    <t xml:space="preserve">Apollo GX-A / GF-A series</t>
  </si>
  <si>
    <t xml:space="preserve">HR-A / HR-AZ series</t>
  </si>
  <si>
    <t xml:space="preserve">MX-50 / MS-70 moisture analyzers</t>
  </si>
  <si>
    <t xml:space="preserve">לא נמצא ערוץ ישראלי</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</si>
  <si>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Re-checked on 2026-10-15 with three searches: 'A&amp;D' Israel distributor restricted to aandd.jp/aandd.com (corporate, regional-affiliate and worldwide-links pages only, no Israel entry); 'A&amp;D' balance/scale/</t>
    </r>
    <r>
      <rPr>
        <sz val="11"/>
        <color theme="1"/>
        <rFont val="FreeSans"/>
        <family val="2"/>
      </rPr>
      <t xml:space="preserve">מאזניים </t>
    </r>
    <r>
      <rPr>
        <sz val="11"/>
        <color theme="1"/>
        <rFont val="Calibri"/>
        <family val="2"/>
        <charset val="1"/>
      </rPr>
      <t xml:space="preserve">across 22 Israeli distributor and scale-dealer domains (only generic Labotal balance guides and Precisa pages); and a general '"A&amp;D Company" OR "A&amp;D Weighing" Israel distributor' search (only US/international retailers). No Israeli distributor, dealer or subsidiary was found. Four approaches found no Israeli entity: 'A&amp;D balance' and 'A&amp;D Company Japan balances GX GF' restricted to the Israeli distributor domain list (only generic MRC balance guides), 'A&amp;D Israel distributor' restricted to aandd.jp (corporate pages only; the global network page's Israel entry, if any, is not indexed), and two .co.il-wide searches ('A&amp;D analytical balance Japan GX-A HR-A', 'A&amp;D Weighing') that returned Labotal/MRC/Ohaus/Precisa balance pages and unrelated hits. The brand name is hard to search (ampersand) and A&amp;D may be sold in Israel through a weighing/industrial-scale importer rather than a lab distributor, or supplied from abroad; no credible lead was seen. Result: none_found after English, Hebrew-domain and manufacturer-site searches.</t>
    </r>
  </si>
  <si>
    <t xml:space="preserve">+81 3-5391-6132</t>
  </si>
  <si>
    <t xml:space="preserve">3-23-14 Higashi-Ikebukuro, Toshima-ku, Tokyo 170-0013, Japan</t>
  </si>
  <si>
    <t xml:space="preserve">https://aandd.jp/company/contact_us.html</t>
  </si>
  <si>
    <t xml:space="preserve">https://www.quartzy.com/suppliers | https://stockanalysis.com/quote/tyo/7745/financials/income-statement/ | https://envalith.com/en/companies/7745/overview | https://envalith.com/en/companies/7745/segments | https://simplywall.st/stock/tse/7745 | https://finance.logmi.jp/companies/3343 | https://www.tipranks.com/stocks/jp:7745/revenue | https://global.aandd.jp/ | https://www.aandd.jp/company/company_profile.html | https://labotal.co.il/product-category/balances/0-01mg-balances/ | https://www.mrclab.co.il/Media/Doc/Balances_Catalog2017.pdf | https://www.aandd.jp/worldwide/worldwide.html | https://www.aandd.jp/</t>
  </si>
  <si>
    <t xml:space="preserve">A&amp;D Engineering</t>
  </si>
  <si>
    <t xml:space="preserve">https://www.thomassci.com/browse-by/suppliers/a-and-d-engineering</t>
  </si>
  <si>
    <t xml:space="preserve">https://www.thomassci.com/browse-by/suppliers/a-and-d-engineering | https://stockanalysis.com/quote/tyo/7745/financials/income-statement/ | https://envalith.com/en/companies/7745/overview | https://envalith.com/en/companies/7745/segments | https://simplywall.st/stock/tse/7745 | https://finance.logmi.jp/companies/3343 | https://www.tipranks.com/stocks/jp:7745/revenue | https://global.aandd.jp/ | https://www.aandd.jp/company/company_profile.html | https://labotal.co.il/product-category/balances/0-01mg-balances/ | https://www.mrclab.co.il/Media/Doc/Balances_Catalog2017.pdf | https://www.aandd.jp/worldwide/worldwide.html | https://www.aandd.jp/</t>
  </si>
  <si>
    <t xml:space="preserve">A&amp;D instruments</t>
  </si>
  <si>
    <t xml:space="preserve">https://www.dutscher.com/search?initialFilters=brand:A%26D+instruments</t>
  </si>
  <si>
    <t xml:space="preserve">מכשירי מדידה</t>
  </si>
  <si>
    <t xml:space="preserve">https://www.dutscher.com/search?initialFilters=brand:A%26D+instruments | https://stockanalysis.com/quote/tyo/7745/financials/income-statement/ | https://envalith.com/en/companies/7745/overview | https://envalith.com/en/companies/7745/segments | https://simplywall.st/stock/tse/7745 | https://finance.logmi.jp/companies/3343 | https://www.tipranks.com/stocks/jp:7745/revenue | https://global.aandd.jp/ | https://www.aandd.jp/company/company_profile.html | https://labotal.co.il/product-category/balances/0-01mg-balances/ | https://www.mrclab.co.il/Media/Doc/Balances_Catalog2017.pdf | https://www.aandd.jp/worldwide/worldwide.html | https://www.aandd.jp/</t>
  </si>
  <si>
    <t xml:space="preserve">A&amp;D Weighing</t>
  </si>
  <si>
    <t xml:space="preserve">https://www.thomassci.com/browse-by/suppliers/a-and-d-weighing</t>
  </si>
  <si>
    <t xml:space="preserve">https://www.thomassci.com/browse-by/suppliers/a-and-d-weighing | https://stockanalysis.com/quote/tyo/7745/financials/income-statement/ | https://envalith.com/en/companies/7745/overview | https://envalith.com/en/companies/7745/segments | https://simplywall.st/stock/tse/7745 | https://finance.logmi.jp/companies/3343 | https://www.tipranks.com/stocks/jp:7745/revenue | https://global.aandd.jp/ | https://www.aandd.jp/company/company_profile.html | https://labotal.co.il/product-category/balances/0-01mg-balances/ | https://www.mrclab.co.il/Media/Doc/Balances_Catalog2017.pdf | https://www.aandd.jp/worldwide/worldwide.html | https://www.aandd.jp/</t>
  </si>
  <si>
    <t xml:space="preserve">A-M Systems, Inc.</t>
  </si>
  <si>
    <t xml:space="preserve">AA Blocks</t>
  </si>
  <si>
    <t xml:space="preserve">https://aablocks.com</t>
  </si>
  <si>
    <t xml:space="preserve">Aaron Chemicals</t>
  </si>
  <si>
    <t xml:space="preserve">Q+Q+</t>
  </si>
  <si>
    <t xml:space="preserve">yes +new</t>
  </si>
  <si>
    <t xml:space="preserve">כימיקלים ותקנים</t>
  </si>
  <si>
    <t xml:space="preserve">Aaron Chemicals LLC. is a chemical supplier and manufacturer. We offer over 100,000 in-stock products including building blocks, screening compounds, catalysts and so on. Our focus is to accelerate our customers' research development. That is why we aim to keep the majority of our inventory in stock. If you can't find a desired compound, You can also send us an inquiry. We add new products daily, so don't hesitate to contact us about your needs.</t>
  </si>
  <si>
    <t xml:space="preserve">לא נמצא בחיפוש ראשוני</t>
  </si>
  <si>
    <t xml:space="preserve">No result mentions Aaron Chemicals; results were Aaron Industries (India) and Israeli specialty-chemical distributors (Lidorr/Azelis, Orokia, Y.S. Ashkenazi/Brenntag, Depotchem) with no link to this supplier.</t>
  </si>
  <si>
    <t xml:space="preserve">https://www.quartzy.com/suppliers | https://info.quartzy.com/new-suppliers</t>
  </si>
  <si>
    <t xml:space="preserve">AAT Bioquest</t>
  </si>
  <si>
    <t xml:space="preserve">https://aatbio.com</t>
  </si>
  <si>
    <t xml:space="preserve">clearbit_verified</t>
  </si>
  <si>
    <t xml:space="preserve">distributor of Recombinant Proteins, Antibodies, Cell Line, ELISA Kit</t>
  </si>
  <si>
    <t xml:space="preserve">distributor of Recombinant Proteins, Antibodies, Cell Line, ELISA Kit: 054-5544004 info@doronscientific.com</t>
  </si>
  <si>
    <t xml:space="preserve">408-733-1304</t>
  </si>
  <si>
    <t xml:space="preserve">https://www.aatbio.com/careers.html</t>
  </si>
  <si>
    <t xml:space="preserve">https://www.quartzy.com/suppliers | https://doronscientific.com/products/ | https://www.aatbio.com/careers.html</t>
  </si>
  <si>
    <t xml:space="preserve">Abcam</t>
  </si>
  <si>
    <t xml:space="preserve">https://www.abcam.com/en-us</t>
  </si>
  <si>
    <t xml:space="preserve">בריטניה</t>
  </si>
  <si>
    <t xml:space="preserve">Cambridge</t>
  </si>
  <si>
    <t xml:space="preserve">1998</t>
  </si>
  <si>
    <t xml:space="preserve">biotechnology</t>
  </si>
  <si>
    <t xml:space="preserve">UK business</t>
  </si>
  <si>
    <t xml:space="preserve">Zotal Ltd.</t>
  </si>
  <si>
    <t xml:space="preserve">Zotal Ltd.: +972 3-649-2444 sales@zotal.co.il</t>
  </si>
  <si>
    <t xml:space="preserve">Q4664502</t>
  </si>
  <si>
    <t xml:space="preserve">https://www.quartzy.com/suppliers | https://www.wikidata.org/wiki/Q4664502 | https://www.zotal.co.il/brands/</t>
  </si>
  <si>
    <t xml:space="preserve">ABclonal</t>
  </si>
  <si>
    <t xml:space="preserve">Enco; IM Beit HaEmek (Beit HaEmek Industries); distributor of Recombinant Proteins, Antibodies, Cell Line, ELISA Kit</t>
  </si>
  <si>
    <t xml:space="preserve">Enco: +972-3-934-9922 orders@enco.co.il; IM Beit HaEmek (Beit HaEmek Industries): +972 4-868-9015 info@bemek.co.il; distributor of Recombinant Proteins, Antibodies, Cell Line, ELISA Kit: 054-5544004 info@doronscientific.com</t>
  </si>
  <si>
    <t xml:space="preserve">https://www.quartzy.com/suppliers | https://www.enco.co.il/suppliers.php | https://www.bemek.co.il/ | https://doronscientific.com/products/</t>
  </si>
  <si>
    <t xml:space="preserve">Abgene</t>
  </si>
  <si>
    <t xml:space="preserve">https://www.dutscher.com/search?initialFilters=brand:Abgene</t>
  </si>
  <si>
    <t xml:space="preserve">https://abgenex.com</t>
  </si>
  <si>
    <t xml:space="preserve">Strip of 8 natural* microtubes + domed cap ABgene</t>
  </si>
  <si>
    <t xml:space="preserve">PCR plate Thermo-Fast 96 wells natural colour ABgene</t>
  </si>
  <si>
    <t xml:space="preserve">BEARING PLATES, 96 WELL, 0.8 ML PU = 50</t>
  </si>
  <si>
    <t xml:space="preserve">+91-9437550560</t>
  </si>
  <si>
    <t xml:space="preserve">https://abgenex.com/contact</t>
  </si>
  <si>
    <t xml:space="preserve">https://www.dutscher.com/search?initialFilters=brand:Abgene | https://abgenex.com/contact</t>
  </si>
  <si>
    <t xml:space="preserve">Abraxis</t>
  </si>
  <si>
    <t xml:space="preserve">https://www.thomassci.com/browse-by/suppliers/abraxis</t>
  </si>
  <si>
    <t xml:space="preserve">ריאגנטים וביולוגיה מולקולרית</t>
  </si>
  <si>
    <t xml:space="preserve">AbraMag™ Biotin Magnetic Beads</t>
  </si>
  <si>
    <t xml:space="preserve">AbraMag™ anti-Mouse IgG Magnetic Beads</t>
  </si>
  <si>
    <t xml:space="preserve">AbraMag™ anti E. coli IMS Beads</t>
  </si>
  <si>
    <t xml:space="preserve">Accegen Biotechnology</t>
  </si>
  <si>
    <t xml:space="preserve">Accent Control Systems</t>
  </si>
  <si>
    <t xml:space="preserve">https://www.thomassci.com/browse-by/suppliers/accent-control-systems</t>
  </si>
  <si>
    <t xml:space="preserve">https://accent-control.com</t>
  </si>
  <si>
    <t xml:space="preserve">ACCO Brands</t>
  </si>
  <si>
    <t xml:space="preserve">https://www.accobrands.com</t>
  </si>
  <si>
    <t xml:space="preserve">1-800-222-6462</t>
  </si>
  <si>
    <t xml:space="preserve">https://www.accobrands.com/contact-us/</t>
  </si>
  <si>
    <t xml:space="preserve">https://www.quartzy.com/suppliers | https://www.accobrands.com/contact-us/</t>
  </si>
  <si>
    <t xml:space="preserve">Accu-Glass Products</t>
  </si>
  <si>
    <t xml:space="preserve">https://www.thomassci.com/browse-by/suppliers/accu-glass-products</t>
  </si>
  <si>
    <t xml:space="preserve">https://accuglassproducts.com</t>
  </si>
  <si>
    <t xml:space="preserve">פיפטות ומתכלים</t>
  </si>
  <si>
    <t xml:space="preserve">Capillary Tube Micropipettes, Full Fill</t>
  </si>
  <si>
    <t xml:space="preserve">Micropipette, Calibrated</t>
  </si>
  <si>
    <t xml:space="preserve">Micropipette Bulb x 10</t>
  </si>
  <si>
    <t xml:space="preserve">6616070250</t>
  </si>
  <si>
    <t xml:space="preserve">sales@accuglassproducts.com</t>
  </si>
  <si>
    <t xml:space="preserve">https://www.accuglassproducts.com/contact-us</t>
  </si>
  <si>
    <t xml:space="preserve">https://www.thomassci.com/browse-by/suppliers/accu-glass-products | https://www.accuglassproducts.com/contact-us</t>
  </si>
  <si>
    <t xml:space="preserve">Accucold</t>
  </si>
  <si>
    <t xml:space="preserve">https://www.thomassci.com/browse-by/suppliers/accucold</t>
  </si>
  <si>
    <t xml:space="preserve">https://accucold.com</t>
  </si>
  <si>
    <t xml:space="preserve">ציוד מעבדה</t>
  </si>
  <si>
    <t xml:space="preserve">Upright Controlled Room Temperature Cabinet</t>
  </si>
  <si>
    <t xml:space="preserve">Counter Height Vaccine Refrigerator, Certified to NSF/ANSI 456 Vaccine Storage Standard</t>
  </si>
  <si>
    <t xml:space="preserve">Freezers</t>
  </si>
  <si>
    <t xml:space="preserve">8884633522</t>
  </si>
  <si>
    <t xml:space="preserve">service@accucold.com</t>
  </si>
  <si>
    <t xml:space="preserve">https://www.accucold.com/contact</t>
  </si>
  <si>
    <t xml:space="preserve">https://www.thomassci.com/browse-by/suppliers/accucold | https://www.accucold.com/contact</t>
  </si>
  <si>
    <t xml:space="preserve">Accuflow</t>
  </si>
  <si>
    <t xml:space="preserve">https://www.thomassci.com/browse-by/suppliers/accuflow</t>
  </si>
  <si>
    <t xml:space="preserve">AccuformNMC</t>
  </si>
  <si>
    <t xml:space="preserve">https://www.thomassci.com/browse-by/suppliers/accuformnmc</t>
  </si>
  <si>
    <t xml:space="preserve">https://accuform.com</t>
  </si>
  <si>
    <r>
      <rPr>
        <sz val="11"/>
        <color theme="1"/>
        <rFont val="FreeSans"/>
        <family val="2"/>
      </rPr>
      <t xml:space="preserve">סימון</t>
    </r>
    <r>
      <rPr>
        <sz val="11"/>
        <color theme="1"/>
        <rFont val="Calibri"/>
        <family val="2"/>
        <charset val="1"/>
      </rPr>
      <t xml:space="preserve">, </t>
    </r>
    <r>
      <rPr>
        <sz val="11"/>
        <color theme="1"/>
        <rFont val="FreeSans"/>
        <family val="2"/>
      </rPr>
      <t xml:space="preserve">משרד ואריזה</t>
    </r>
  </si>
  <si>
    <t xml:space="preserve">NFPA Custom Placards &amp; Labels</t>
  </si>
  <si>
    <t xml:space="preserve">Hazardous Materials Systems Labels</t>
  </si>
  <si>
    <t xml:space="preserve">Notice, Safety Glasses Required Beyond This Point Signs</t>
  </si>
  <si>
    <t xml:space="preserve">Accurate Wirecraft</t>
  </si>
  <si>
    <t xml:space="preserve">https://www.thomassci.com/browse-by/suppliers/accurate-wirecraft</t>
  </si>
  <si>
    <t xml:space="preserve">Accuris Instruments</t>
  </si>
  <si>
    <t xml:space="preserve">https://www.thomassci.com/browse-by/suppliers/accuris-instruments</t>
  </si>
  <si>
    <t xml:space="preserve">myVolt™ Mini Power Supply, 100V / 200V (EU Plug)</t>
  </si>
  <si>
    <t xml:space="preserve">SmartDoc™ 2.0 Gel Visualization and Smart Phone Imaging System</t>
  </si>
  <si>
    <t xml:space="preserve">Series Tx Analytical Balances</t>
  </si>
  <si>
    <t xml:space="preserve">AccuTec Blade</t>
  </si>
  <si>
    <t xml:space="preserve">https://www.thomassci.com/browse-by/suppliers/accutec-blade</t>
  </si>
  <si>
    <t xml:space="preserve">כלי עבודה ותחזוקה</t>
  </si>
  <si>
    <t xml:space="preserve">AccuTec PRO Coated Stainless Steel Single Edge Razor Blade, 100 Pack</t>
  </si>
  <si>
    <t xml:space="preserve">AccuForge GEM Single-Edge Blade Dispenser</t>
  </si>
  <si>
    <t xml:space="preserve">AccuTec PRO SE Blades in Pop Up Dispenser, 100 Blades per Card</t>
  </si>
  <si>
    <t xml:space="preserve">Ace Glass</t>
  </si>
  <si>
    <t xml:space="preserve">T+Q</t>
  </si>
  <si>
    <t xml:space="preserve">https://www.thomassci.com/browse-by/suppliers/ace-glass</t>
  </si>
  <si>
    <t xml:space="preserve">https://aceglass.net</t>
  </si>
  <si>
    <t xml:space="preserve">Adapter, Rotary Evaporator Vial Adapter</t>
  </si>
  <si>
    <t xml:space="preserve">1mL Tissue Grinder, Dounce Type, Glass</t>
  </si>
  <si>
    <t xml:space="preserve">Adapter, Gas Inlet</t>
  </si>
  <si>
    <t xml:space="preserve">Results only describe Ace Glass Inc. (Vineland, NJ) and its US role as a Corning/PYREX regional distributor and reseller of Lauda/IKA/KNF; no Israel mention at all.</t>
  </si>
  <si>
    <t xml:space="preserve">5013720595</t>
  </si>
  <si>
    <t xml:space="preserve">https://www.aceglass.net/contact/</t>
  </si>
  <si>
    <t xml:space="preserve">https://www.quartzy.com/suppliers | https://www.thomassci.com/browse-by/suppliers/ace-glass | https://www.aceglass.net/contact/</t>
  </si>
  <si>
    <t xml:space="preserve">Acme United</t>
  </si>
  <si>
    <t xml:space="preserve">https://www.thomassci.com/browse-by/suppliers/acme-united</t>
  </si>
  <si>
    <t xml:space="preserve">https://acmeunited.com</t>
  </si>
  <si>
    <t xml:space="preserve">Pac-Kit, Ansi #50, Plastic First Aid Kit, 50 Person, 165 Items</t>
  </si>
  <si>
    <t xml:space="preserve">First Aid Metal Cabinet, 3 shelf, without Medications, ANSI Class A, 94 pieces, 9.5" X 12" X 3", sold as EACH.</t>
  </si>
  <si>
    <t xml:space="preserve">First Aid Cabinet &amp; Accessories</t>
  </si>
  <si>
    <t xml:space="preserve">1-800-835-2263</t>
  </si>
  <si>
    <t xml:space="preserve">customerservice@acmeunited.com</t>
  </si>
  <si>
    <t xml:space="preserve">https://acmeunited.com/company/contact/</t>
  </si>
  <si>
    <t xml:space="preserve">https://www.thomassci.com/browse-by/suppliers/acme-united | https://acmeunited.com/company/contact/</t>
  </si>
  <si>
    <t xml:space="preserve">Acrobiosystems</t>
  </si>
  <si>
    <t xml:space="preserve">https://www.acrobiosystems.com</t>
  </si>
  <si>
    <t xml:space="preserve">https://www.acrobiosystems.com/</t>
  </si>
  <si>
    <t xml:space="preserve">https://www.quartzy.com/suppliers | https://doronscientific.com/products/ | https://www.acrobiosystems.com/</t>
  </si>
  <si>
    <t xml:space="preserve">Across International</t>
  </si>
  <si>
    <t xml:space="preserve">https://www.thomassci.com/browse-by/suppliers/across-international</t>
  </si>
  <si>
    <t xml:space="preserve">https://acrossinternational.com</t>
  </si>
  <si>
    <t xml:space="preserve">1200°C Muffle Furnaces</t>
  </si>
  <si>
    <t xml:space="preserve">PTFE Sealing Sleeves</t>
  </si>
  <si>
    <t xml:space="preserve">Ai WaterVac 2-Head Recirculating Water Vacuum Pumps</t>
  </si>
  <si>
    <t xml:space="preserve">No result mentioned Across International; only generic Israeli distributor/trade-guide pages.</t>
  </si>
  <si>
    <t xml:space="preserve">8889880899</t>
  </si>
  <si>
    <t xml:space="preserve">https://www.acrossinternational.com/</t>
  </si>
  <si>
    <t xml:space="preserve">https://www.quartzy.com/suppliers | https://www.thomassci.com/browse-by/suppliers/across-international | https://www.acrossinternational.com/</t>
  </si>
  <si>
    <t xml:space="preserve">Acrotein ChemBio</t>
  </si>
  <si>
    <t xml:space="preserve">ACTGene, Inc.</t>
  </si>
  <si>
    <t xml:space="preserve">https://www.thomassci.com/browse-by/suppliers/actgene</t>
  </si>
  <si>
    <t xml:space="preserve">RT PCR Tube, 0.1mL, 12-strip, Flat Cap, White, Sterile, 80/pk</t>
  </si>
  <si>
    <t xml:space="preserve">RT PCR Tube, 0.2mL, 8-strip, Flat Cap, White, Sterile, 125/pk</t>
  </si>
  <si>
    <t xml:space="preserve">RT PCR Tube, 0.1mL, 8-strip, Flat Cap, White, Sterile, 125/pk</t>
  </si>
  <si>
    <t xml:space="preserve">Tivan Biotech</t>
  </si>
  <si>
    <t xml:space="preserve">Tivan Biotech: 077-4701591 customerservice@tivanbiotech.com</t>
  </si>
  <si>
    <t xml:space="preserve">https://www.thomassci.com/browse-by/suppliers/actgene | https://tivanbiotech.com/manufacturers</t>
  </si>
  <si>
    <t xml:space="preserve">Action Health</t>
  </si>
  <si>
    <t xml:space="preserve">https://www.thomassci.com/browse-by/suppliers/action-health</t>
  </si>
  <si>
    <t xml:space="preserve">https://actionhealth.ca</t>
  </si>
  <si>
    <t xml:space="preserve">No result mentioned Action Health; only unrelated Israeli medical distributors (Medtechnica, Eldan, Promedico, Lapidot, Propharm).</t>
  </si>
  <si>
    <t xml:space="preserve">4032438114</t>
  </si>
  <si>
    <t xml:space="preserve">https://www.actionhealth.ca/contact-us/</t>
  </si>
  <si>
    <t xml:space="preserve">https://www.quartzy.com/suppliers | https://www.thomassci.com/browse-by/suppliers/action-health | https://www.actionhealth.ca/contact-us/</t>
  </si>
  <si>
    <t xml:space="preserve">Activate</t>
  </si>
  <si>
    <t xml:space="preserve">https://www.thomassci.com/browse-by/suppliers/activate</t>
  </si>
  <si>
    <t xml:space="preserve">Active Motif</t>
  </si>
  <si>
    <t xml:space="preserve">https://activemotif.com</t>
  </si>
  <si>
    <t xml:space="preserve">877 222 9543</t>
  </si>
  <si>
    <t xml:space="preserve">https://www.activemotif.com/contact-us</t>
  </si>
  <si>
    <t xml:space="preserve">https://www.quartzy.com/suppliers | https://www.activemotif.com/contact-us</t>
  </si>
  <si>
    <t xml:space="preserve">Acute Care</t>
  </si>
  <si>
    <t xml:space="preserve">https://www.thomassci.com/browse-by/suppliers/acute-care</t>
  </si>
  <si>
    <t xml:space="preserve">Pharma-Chemo Mat® Sterile Lint Less</t>
  </si>
  <si>
    <t xml:space="preserve">Pharmacy Fluid Transfer Sets Universal Spike Inlet Male Luer Outlet</t>
  </si>
  <si>
    <t xml:space="preserve">Pharma-Wipe™ Sterile</t>
  </si>
  <si>
    <t xml:space="preserve">Acute Care Pharmaceuticals</t>
  </si>
  <si>
    <t xml:space="preserve">https://www.thomassci.com/browse-by/suppliers/acute-care-pharmaceuticals</t>
  </si>
  <si>
    <t xml:space="preserve">PHARMA-SAT PLUS™ 70% IPA Sterile Low-lint 9x9 Polyester/Cellulose Wipes</t>
  </si>
  <si>
    <t xml:space="preserve">Sterile Isopropyl Alcohol, 70% IPA, 16oz Trigger Spray, Acute Care Brand, Double Bagged, 1/EA, 9EA/CS</t>
  </si>
  <si>
    <t xml:space="preserve">PHARMA-SAT PLUS™ 9 x 11" 70% IPA Poly/Cell, Low-lint, Sterile Wiper, 50 Wipes/Pouches, 24 Pouches/Cases (1,200)</t>
  </si>
  <si>
    <t xml:space="preserve">Adam equipment</t>
  </si>
  <si>
    <t xml:space="preserve">D+T+Q</t>
  </si>
  <si>
    <t xml:space="preserve">https://www.dutscher.com/search?initialFilters=brand:Adam+equipment</t>
  </si>
  <si>
    <t xml:space="preserve">https://www.thomassci.com/browse-by/suppliers/adam-equipment</t>
  </si>
  <si>
    <t xml:space="preserve">https://adamequipment.com</t>
  </si>
  <si>
    <t xml:space="preserve">Scale</t>
  </si>
  <si>
    <t xml:space="preserve">Person Scale, Mechanical &amp; Digital</t>
  </si>
  <si>
    <t xml:space="preserve">Highland® Approved Portable Precision Balances</t>
  </si>
  <si>
    <t xml:space="preserve">CPWplus Bench Scales</t>
  </si>
  <si>
    <t xml:space="preserve">Results were only product listings (RS Online, Agar Scientific) and company background claiming a worldwide distributor network; no Israeli distributor named.</t>
  </si>
  <si>
    <t xml:space="preserve">+1 (203) 790-4774</t>
  </si>
  <si>
    <t xml:space="preserve">sales@adamequipment.com</t>
  </si>
  <si>
    <t xml:space="preserve">https://adamequipment.com/contact/</t>
  </si>
  <si>
    <t xml:space="preserve">https://www.dutscher.com/search?initialFilters=brand:Adam+equipment | https://www.quartzy.com/suppliers | https://www.thomassci.com/browse-by/suppliers/adam-equipment | https://adamequipment.com/contact/</t>
  </si>
  <si>
    <t xml:space="preserve">Adipogen</t>
  </si>
  <si>
    <t xml:space="preserve">https://www.quartzy.com/suppliers | https://www.tamar.co.il/represented-companies/</t>
  </si>
  <si>
    <t xml:space="preserve">Advanced ChemBlocks</t>
  </si>
  <si>
    <t xml:space="preserve">Advanced ChemTech</t>
  </si>
  <si>
    <t xml:space="preserve">https://www.thomassci.com/browse-by/suppliers/advanced-chemtech</t>
  </si>
  <si>
    <t xml:space="preserve">https://advancedchemtech.com</t>
  </si>
  <si>
    <t xml:space="preserve">Boc-Cys(Trt)-OH; Boc-S-trityl-L-cysteine; CAS Number: 21947-98-8</t>
  </si>
  <si>
    <t xml:space="preserve">Boc-Glu(OBzl)-ONp; N-T-Boc-Gamma-Benzyl-L-Glutamic Acid P-Nitrophenyl Ester; CAS Number: 7536-59-6</t>
  </si>
  <si>
    <t xml:space="preserve">PyBOP; Benzotriazole-1-ly-oxy-tris-pyrrolidinophosphonium hexafluorphosphate; CAS Number: 128625-52-5</t>
  </si>
  <si>
    <t xml:space="preserve">18333175620</t>
  </si>
  <si>
    <t xml:space="preserve">https://advancedchemtech.com/contact/</t>
  </si>
  <si>
    <t xml:space="preserve">https://www.thomassci.com/browse-by/suppliers/advanced-chemtech | https://advancedchemtech.com/contact/</t>
  </si>
  <si>
    <t xml:space="preserve">Advanced Genetic Mapping</t>
  </si>
  <si>
    <t xml:space="preserve">https://advancedgeneticmapping.com</t>
  </si>
  <si>
    <t xml:space="preserve">Advanced Tech Group</t>
  </si>
  <si>
    <t xml:space="preserve">Advansta</t>
  </si>
  <si>
    <t xml:space="preserve">https://www.thomassci.com/browse-by/suppliers/advansta</t>
  </si>
  <si>
    <t xml:space="preserve">https://advansta.com</t>
  </si>
  <si>
    <t xml:space="preserve">Blot Development Folders</t>
  </si>
  <si>
    <t xml:space="preserve">WesternBright™ ECL HRP Substrate</t>
  </si>
  <si>
    <t xml:space="preserve">Afyon™ SDS-PAGE Sample Preparation Kit</t>
  </si>
  <si>
    <t xml:space="preserve">No result mentions Advansta; the only similar-name hit was ADVANSYS Technologies for Life (Israeli distributor of Genovis, 2010), an unrelated company.</t>
  </si>
  <si>
    <t xml:space="preserve">1-855-238-2678</t>
  </si>
  <si>
    <t xml:space="preserve">https://advansta.com/contact-sales-support/</t>
  </si>
  <si>
    <t xml:space="preserve">https://www.quartzy.com/suppliers | https://www.thomassci.com/browse-by/suppliers/advansta | https://advansta.com/contact-sales-support/</t>
  </si>
  <si>
    <t xml:space="preserve">Advantage Lab</t>
  </si>
  <si>
    <t xml:space="preserve">https://www.dutscher.com/search?initialFilters=brand:Advantage+Lab</t>
  </si>
  <si>
    <t xml:space="preserve">https://advantage-lab.com</t>
  </si>
  <si>
    <t xml:space="preserve">Water bath and circulator</t>
  </si>
  <si>
    <t xml:space="preserve">HEATING ELEMENT AL03-07-230</t>
  </si>
  <si>
    <t xml:space="preserve">Stainless steel "roof shaped" cover for 45 L water bath</t>
  </si>
  <si>
    <t xml:space="preserve">Rack for 56 tubes ø 13 mm (use with support for tube racks)</t>
  </si>
  <si>
    <t xml:space="preserve">+3256531133</t>
  </si>
  <si>
    <t xml:space="preserve">info@mls.be</t>
  </si>
  <si>
    <t xml:space="preserve">https://www.mls.be/en/contact</t>
  </si>
  <si>
    <t xml:space="preserve">https://www.dutscher.com/search?initialFilters=brand:Advantage+Lab | https://www.mls.be/en/contact</t>
  </si>
  <si>
    <t xml:space="preserve">Advantec MFS</t>
  </si>
  <si>
    <t xml:space="preserve">https://www.thomassci.com/browse-by/suppliers/advantec-mfs</t>
  </si>
  <si>
    <t xml:space="preserve">https://advantecmfs.com</t>
  </si>
  <si>
    <t xml:space="preserve">Hydrophobic PTFE Membrane Filters</t>
  </si>
  <si>
    <t xml:space="preserve">Quantitative Ashless Filter Paper, No. 6</t>
  </si>
  <si>
    <t xml:space="preserve">Stainless Steel Vacuum Manifold</t>
  </si>
  <si>
    <t xml:space="preserve">925-479-0625</t>
  </si>
  <si>
    <t xml:space="preserve">customerservice@advantecmfs.com</t>
  </si>
  <si>
    <t xml:space="preserve">https://www.advantecmfs.com/contact-us</t>
  </si>
  <si>
    <t xml:space="preserve">https://www.thomassci.com/browse-by/suppliers/advantec-mfs | https://www.advantecmfs.com/contact-us</t>
  </si>
  <si>
    <t xml:space="preserve">Advantech</t>
  </si>
  <si>
    <t xml:space="preserve">https://www.thomassci.com/browse-by/suppliers/advantech</t>
  </si>
  <si>
    <t xml:space="preserve">https://advantech.com</t>
  </si>
  <si>
    <t xml:space="preserve">8" Diameter (203.2 mm) Covers and Pans</t>
  </si>
  <si>
    <t xml:space="preserve">8" Diameter (203.2 mm) Test Sieves, #50</t>
  </si>
  <si>
    <t xml:space="preserve">Sonic Sieve 3" Acrylic</t>
  </si>
  <si>
    <t xml:space="preserve">1-888-576-9668</t>
  </si>
  <si>
    <t xml:space="preserve">https://www.advantech.com/en-us/contact/service-request-form</t>
  </si>
  <si>
    <t xml:space="preserve">https://www.thomassci.com/browse-by/suppliers/advantech | https://www.advantech.com/en-us/contact/service-request-form</t>
  </si>
  <si>
    <t xml:space="preserve">Affinisep</t>
  </si>
  <si>
    <t xml:space="preserve">https://affinisep.com</t>
  </si>
  <si>
    <t xml:space="preserve">1-888-808-0309</t>
  </si>
  <si>
    <t xml:space="preserve">contact@affinisep.com</t>
  </si>
  <si>
    <t xml:space="preserve">https://www.affinisep.com/support-services/contact-us/</t>
  </si>
  <si>
    <t xml:space="preserve">https://www.quartzy.com/suppliers | https://www.affinisep.com/support-services/contact-us/</t>
  </si>
  <si>
    <t xml:space="preserve">AFG Bioscience</t>
  </si>
  <si>
    <t xml:space="preserve">https://www.thomassci.com/browse-by/suppliers/afg-bioscience</t>
  </si>
  <si>
    <t xml:space="preserve">Human RBP3(Retinol Binding Protein 3, Interstitial) ELISA Kit</t>
  </si>
  <si>
    <t xml:space="preserve">Sucrose, Beet derived(Manufactured as per GMP) USP/NF, EP, JP, High Purity, Low Endotoxin</t>
  </si>
  <si>
    <t xml:space="preserve">Mouse C1qA(Complement Component 1, Q Subcomponent A) ELISA Kit</t>
  </si>
  <si>
    <t xml:space="preserve">AG Scientific</t>
  </si>
  <si>
    <t xml:space="preserve">https://agscientific.com</t>
  </si>
  <si>
    <t xml:space="preserve">Agilent</t>
  </si>
  <si>
    <t xml:space="preserve">D+Q</t>
  </si>
  <si>
    <t xml:space="preserve">https://www.dutscher.com/search?initialFilters=brand:Agilent</t>
  </si>
  <si>
    <t xml:space="preserve">https://www.agilent.com</t>
  </si>
  <si>
    <t xml:space="preserve">Santa Clara, California</t>
  </si>
  <si>
    <t xml:space="preserve">Diversified analytical &amp; life-science instruments</t>
  </si>
  <si>
    <t xml:space="preserve">USD 6.95 billion</t>
  </si>
  <si>
    <t xml:space="preserve">FY2025 (ended 31 Oct 2025)</t>
  </si>
  <si>
    <t xml:space="preserve">Agilent 1290 Infinity III LC</t>
  </si>
  <si>
    <t xml:space="preserve">Agilent 8890 GC / 7010 Triple Quad GC/MS</t>
  </si>
  <si>
    <t xml:space="preserve">Agilent BioTek Cytation</t>
  </si>
  <si>
    <t xml:space="preserve">אומת</t>
  </si>
  <si>
    <t xml:space="preserve">Eldan Electronic Instruments Ltd. (Neopharm group); Lumitron Ltd.</t>
  </si>
  <si>
    <t xml:space="preserve">Eldan Electronic Instruments Ltd. (Neopharm group): +972-3-937-1111 info@eldan.biz; Lumitron Ltd.: +972 52-525-6287 lumitron@lumitron.co.il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</si>
  <si>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Agilent's own live Israel contact page (agilent.com/en/contact-us/israel) still lists Eldan Electronic Instruments Ltd., Petach Tikva, as its authorized distributor with phone and e-mail; a second Agilent partner page gives an Eldan contact address. A search restricted to eldan.biz returned only SEC filings (search-engine quirk), but Eldan pages seen in other searches (2014 ILANIT listing, 2017 Seahorse users meeting) are consistent. No direct Agilent office in Israel surfaced. Agilent's own Israel contact page lists Eldan Electronic Instruments (Kiryat Gat / Petah Tikva, Neopharm group) as its authorised distributor; Eldan's site says it has represented Agilent for over four decades. Whether Agilent also has a direct office for genomics/cell analysis (BioTek) remains to be checked.</t>
    </r>
  </si>
  <si>
    <t xml:space="preserve">+1 408-345-8886 / +1 877-424-4536</t>
  </si>
  <si>
    <t xml:space="preserve">contact_us@agilent.com</t>
  </si>
  <si>
    <t xml:space="preserve">5301 Stevens Creek Blvd., Santa Clara, CA 95051, USA</t>
  </si>
  <si>
    <t xml:space="preserve">https://reporting.chem.agilent.com/cdc/bottom_page.html</t>
  </si>
  <si>
    <t xml:space="preserve">https://www.dutscher.com/search?initialFilters=brand:Agilent | https://www.quartzy.com/suppliers | https://www.agilent.com/en/contact-us/israel | https://www.chem-nextgen.agilent.com/cs/Satellite?assettype=GSA_C&amp;assetid=1404943326173&amp;d=&amp;formassembly=false&amp;pagename=Agilent/GSA_C/GenericInnerTemplateWithFourZones_New | http://eldan.biz/fisebilanit-2014/ | https://www.sec.gov/Archives/edgar/data/1090872/000109087225000087/a-20251031.htm | https://www.businesswire.com/news/home/20251124941358/en/Agilent-Reports-Fourth-Quarter-Fiscal-Year-2025-Financial-Results | https://www.lumitron.co.il/</t>
  </si>
  <si>
    <t xml:space="preserve">Agilent Genomics</t>
  </si>
  <si>
    <t xml:space="preserve">https://www.thomassci.com/browse-by/suppliers/agilent-genomics</t>
  </si>
  <si>
    <t xml:space="preserve">Difficult Cloning Competent Cell Pack</t>
  </si>
  <si>
    <t xml:space="preserve">Markers, 1bp + 1500bp, 3.2mL</t>
  </si>
  <si>
    <t xml:space="preserve">dsDNA 915 Reagent Kit (35-5000bp), 1000</t>
  </si>
  <si>
    <t xml:space="preserve">Agilent Microplates</t>
  </si>
  <si>
    <t xml:space="preserve">https://www.thomassci.com/browse-by/suppliers/agilent-microplates</t>
  </si>
  <si>
    <t xml:space="preserve">Filter Microplates</t>
  </si>
  <si>
    <t xml:space="preserve">Storage Plates</t>
  </si>
  <si>
    <t xml:space="preserve">Microplates Accessories</t>
  </si>
  <si>
    <t xml:space="preserve">Agilent Technologies</t>
  </si>
  <si>
    <t xml:space="preserve">https://www.thomassci.com/browse-by/suppliers/agilent-technologies</t>
  </si>
  <si>
    <t xml:space="preserve">Eldan Electronic Instruments Ltd. (Neopharm group)</t>
  </si>
  <si>
    <t xml:space="preserve">Eldan Electronic Instruments Ltd. (Neopharm group): +972-3-937-1111 info@eldan.biz</t>
  </si>
  <si>
    <t xml:space="preserve">https://www.thomassci.com/browse-by/suppliers/agilent-technologies | https://www.agilent.com/en/contact-us/israel | https://www.chem-nextgen.agilent.com/cs/Satellite?assettype=GSA_C&amp;assetid=1404943326173&amp;d=&amp;formassembly=false&amp;pagename=Agilent/GSA_C/GenericInnerTemplateWithFourZones_New | http://eldan.biz/fisebilanit-2014/ | https://www.sec.gov/Archives/edgar/data/1090872/000109087225000087/a-20251031.htm | https://www.businesswire.com/news/home/20251124941358/en/Agilent-Reports-Fourth-Quarter-Fiscal-Year-2025-Financial-Results</t>
  </si>
  <si>
    <t xml:space="preserve">Ahlstrom</t>
  </si>
  <si>
    <t xml:space="preserve">https://www.dutscher.com/search?initialFilters=brand:Ahlstrom</t>
  </si>
  <si>
    <t xml:space="preserve">https://ahlstrom.com</t>
  </si>
  <si>
    <t xml:space="preserve">Antibiotics disc 6 mm</t>
  </si>
  <si>
    <t xml:space="preserve">Pack of non-folded white filter paper, 42 x 52 cm, 64 g/m²</t>
  </si>
  <si>
    <t xml:space="preserve">Sterile membrane, grid pattern, ø 47 mm - porosity 0.45 µm - black grid pattern on white background - ClearLine®</t>
  </si>
  <si>
    <t xml:space="preserve">https://www.ahlstrom.com/Media/Media-contacts/</t>
  </si>
  <si>
    <t xml:space="preserve">https://www.dutscher.com/search?initialFilters=brand:Ahlstrom | https://www.ahlstrom.com/Media/Media-contacts/</t>
  </si>
  <si>
    <t xml:space="preserve">Ahlstrom-Munksjo</t>
  </si>
  <si>
    <t xml:space="preserve">https://www.thomassci.com/browse-by/suppliers/ahlstrom-munksjo</t>
  </si>
  <si>
    <t xml:space="preserve">AiFChem</t>
  </si>
  <si>
    <t xml:space="preserve">Air Science USA, LLC</t>
  </si>
  <si>
    <t xml:space="preserve">https://www.thomassci.com/browse-by/suppliers/air-science-usa-llc</t>
  </si>
  <si>
    <t xml:space="preserve">Fume Carbon Hood filters</t>
  </si>
  <si>
    <t xml:space="preserve">Laminar Flow Hoods</t>
  </si>
  <si>
    <t xml:space="preserve">Ductless Fume Hoods</t>
  </si>
  <si>
    <t xml:space="preserve">Air-Tite</t>
  </si>
  <si>
    <t xml:space="preserve">https://www.thomassci.com/browse-by/suppliers/air-tite</t>
  </si>
  <si>
    <t xml:space="preserve">HSW Norm-Ject® Luer Lock Syringes</t>
  </si>
  <si>
    <t xml:space="preserve">Sterile Hypodermic Needle</t>
  </si>
  <si>
    <t xml:space="preserve">All-Plastic Syringes</t>
  </si>
  <si>
    <t xml:space="preserve">Results only describe Air-Tite Products (Virginia; exclusive North American distributor for Henke Sass Wolf, TSK, Poulten &amp; Graf) and US resellers (VWR, Thomas Scientific, Fisher); no Israel mention.</t>
  </si>
  <si>
    <t xml:space="preserve">https://www.quartzy.com/suppliers | https://www.thomassci.com/browse-by/suppliers/air-tite</t>
  </si>
  <si>
    <t xml:space="preserve">AirClean® Systems</t>
  </si>
  <si>
    <t xml:space="preserve">https://www.thomassci.com/browse-by/suppliers/airclean-systems</t>
  </si>
  <si>
    <t xml:space="preserve">https://aircleansystems.com</t>
  </si>
  <si>
    <t xml:space="preserve">Combination PCR Workstations with UVTect Microprocessor Controller</t>
  </si>
  <si>
    <t xml:space="preserve">Activated Bonded Carbon Filters</t>
  </si>
  <si>
    <t xml:space="preserve">PowderSafe™ Type B Enclosures</t>
  </si>
  <si>
    <t xml:space="preserve">919-255-3220</t>
  </si>
  <si>
    <t xml:space="preserve">sales@aircleansystems.com</t>
  </si>
  <si>
    <t xml:space="preserve">https://aircleansystems.com/contact</t>
  </si>
  <si>
    <t xml:space="preserve">https://www.thomassci.com/browse-by/suppliers/airclean-systems | https://aircleansystems.com/contact</t>
  </si>
  <si>
    <t xml:space="preserve">Airgas Safety</t>
  </si>
  <si>
    <t xml:space="preserve">https://www.thomassci.com/browse-by/suppliers/airgas-safety</t>
  </si>
  <si>
    <t xml:space="preserve">Sight Savers Anti-Fog Optical and Lens Wiper</t>
  </si>
  <si>
    <t xml:space="preserve">Eye Glass Lens Cleaner, Allegro #0350, 100/BX (K-408)</t>
  </si>
  <si>
    <t xml:space="preserve">GAS DETECTION TUBE SULFUR DIOXIDE 0.02 TO 0.30%</t>
  </si>
  <si>
    <t xml:space="preserve">AK Ltd</t>
  </si>
  <si>
    <t xml:space="preserve">https://www.thomassci.com/browse-by/suppliers/ak-ltd</t>
  </si>
  <si>
    <t xml:space="preserve">Wipes Dispensers</t>
  </si>
  <si>
    <t xml:space="preserve">Cleanroom Wiper Dispenser, PETG, Wall Mountable with Lid</t>
  </si>
  <si>
    <t xml:space="preserve">Flip Top Small Item Dispenser</t>
  </si>
  <si>
    <t xml:space="preserve">AK Scientific</t>
  </si>
  <si>
    <t xml:space="preserve">https://aksci.com</t>
  </si>
  <si>
    <t xml:space="preserve">AK Scientific is a chemical manufacturer and supplier that provides researchers, biotechnology companies, and academic institutions with a wide range of fine chemicals, APIs (Active Pharmaceutical Ingredients), and advanced intermediates.</t>
  </si>
  <si>
    <t xml:space="preserve">AK Scientific's own distributors page (aksci.com/distributors.php) lists networks in Asia, Europe, Oceania and South America; Israel is not listed. Agentek/Enco surfaced but without any AK Scientific link.</t>
  </si>
  <si>
    <t xml:space="preserve">Akro-Mils</t>
  </si>
  <si>
    <t xml:space="preserve">https://www.thomassci.com/browse-by/suppliers/akro-mils</t>
  </si>
  <si>
    <t xml:space="preserve">https://akro-mils.com</t>
  </si>
  <si>
    <t xml:space="preserve">Stackable Storage Cabinets</t>
  </si>
  <si>
    <t xml:space="preserve">AkroBin® Standard Storage Bins</t>
  </si>
  <si>
    <t xml:space="preserve">+18002532467</t>
  </si>
  <si>
    <t xml:space="preserve">inquiry@akro-mils.com</t>
  </si>
  <si>
    <t xml:space="preserve">https://akro-mils.com/contact/</t>
  </si>
  <si>
    <t xml:space="preserve">https://www.thomassci.com/browse-by/suppliers/akro-mils | https://akro-mils.com/contact/</t>
  </si>
  <si>
    <t xml:space="preserve">Aladdin Scientific</t>
  </si>
  <si>
    <t xml:space="preserve">Aladdin Scientific provides research-grade lab chemicals, biochemicals, and specialty reagents for laboratories and institutions worldwide. Our catalog includes over 224,000 products spanning proteins, antibodies, ELISA kits, chemical building blocks, PEG linkers, bioactive small molecules, and reference materials for chromatography, spectroscopy, and trace analysis.</t>
  </si>
  <si>
    <t xml:space="preserve">Aladdin's contact page names only US (Riverside CA) and German (Bueren) hubs and has a distributor-recruitment form; Israel not mentioned; Eldan/Agentek appeared with no link.</t>
  </si>
  <si>
    <t xml:space="preserve">Alconox</t>
  </si>
  <si>
    <t xml:space="preserve">https://www.thomassci.com/browse-by/suppliers/alconox</t>
  </si>
  <si>
    <t xml:space="preserve">https://alconox.com</t>
  </si>
  <si>
    <t xml:space="preserve">Alconox General Purpose Powdered Precision Cleaner, Laboratory Detergent</t>
  </si>
  <si>
    <t xml:space="preserve">Tergajet™ Powdered Detergent</t>
  </si>
  <si>
    <t xml:space="preserve">Solujet Liquid Cleaner</t>
  </si>
  <si>
    <t xml:space="preserve">Alconox says its detergents are sold through distributors in 40-50+ countries (and it joined TCP Analytical in 2025), but no Israeli distributor is named in any result.</t>
  </si>
  <si>
    <t xml:space="preserve">9149484040</t>
  </si>
  <si>
    <t xml:space="preserve">https://alconox.com/contact-us/</t>
  </si>
  <si>
    <t xml:space="preserve">https://www.quartzy.com/suppliers | https://www.thomassci.com/browse-by/suppliers/alconox | https://alconox.com/contact-us/</t>
  </si>
  <si>
    <t xml:space="preserve">Aldon</t>
  </si>
  <si>
    <t xml:space="preserve">Alere</t>
  </si>
  <si>
    <t xml:space="preserve">https://www.thomassci.com/browse-by/suppliers/alere</t>
  </si>
  <si>
    <t xml:space="preserve">https://www.abbott.com</t>
  </si>
  <si>
    <t xml:space="preserve">Alere POC Acceava® hCG Testing</t>
  </si>
  <si>
    <t xml:space="preserve">Alere POC Clearview® hCG Kits</t>
  </si>
  <si>
    <t xml:space="preserve">Abbott BinaxNOW™ COVID-19 Antigen Self-Test</t>
  </si>
  <si>
    <t xml:space="preserve">https://www.abbott.com/en-us/about-abbott/contact</t>
  </si>
  <si>
    <t xml:space="preserve">https://www.thomassci.com/browse-by/suppliers/alere | https://www.abbott.com/en-us/about-abbott/contact</t>
  </si>
  <si>
    <t xml:space="preserve">ALIT Lifetech Inc.</t>
  </si>
  <si>
    <t xml:space="preserve">https://www.thomassci.com/browse-by/suppliers/alit-lifetech-inc-</t>
  </si>
  <si>
    <t xml:space="preserve">ALK-Abelló</t>
  </si>
  <si>
    <t xml:space="preserve">https://www.thomassci.com/browse-by/suppliers/alk-abello</t>
  </si>
  <si>
    <t xml:space="preserve">Sterile Empty Vials, Clear, FluroTec® Barrier</t>
  </si>
  <si>
    <t xml:space="preserve">Sterile Empty Vial, Clear</t>
  </si>
  <si>
    <t xml:space="preserve">Sterile Empty Vial, Amber</t>
  </si>
  <si>
    <t xml:space="preserve">Alkali Scientific</t>
  </si>
  <si>
    <t xml:space="preserve">https://alkalisci.com</t>
  </si>
  <si>
    <t xml:space="preserve">1-888-927-5629</t>
  </si>
  <si>
    <t xml:space="preserve">sales@alkalisci.com</t>
  </si>
  <si>
    <t xml:space="preserve">https://alkalisci.com/contact-us/</t>
  </si>
  <si>
    <t xml:space="preserve">https://www.quartzy.com/suppliers | https://alkalisci.com/contact-us/</t>
  </si>
  <si>
    <t xml:space="preserve">All Foils</t>
  </si>
  <si>
    <t xml:space="preserve">https://www.thomassci.com/browse-by/suppliers/all-foils</t>
  </si>
  <si>
    <t xml:space="preserve">https://allfoils.com</t>
  </si>
  <si>
    <t xml:space="preserve">Ultra High Vacuum Aluminum Foil</t>
  </si>
  <si>
    <t xml:space="preserve">Aluminum Foil, Cleanroom C100 , 24 x 500ft x .0015in</t>
  </si>
  <si>
    <t xml:space="preserve">4405723645</t>
  </si>
  <si>
    <t xml:space="preserve">info@allfoils.com</t>
  </si>
  <si>
    <t xml:space="preserve">https://allfoils.com/contact/</t>
  </si>
  <si>
    <t xml:space="preserve">https://www.thomassci.com/browse-by/suppliers/all-foils | https://allfoils.com/contact/</t>
  </si>
  <si>
    <t xml:space="preserve">Alla France</t>
  </si>
  <si>
    <t xml:space="preserve">https://www.thomassci.com/browse-by/suppliers/alla-france</t>
  </si>
  <si>
    <t xml:space="preserve">https://www.allafrance.com</t>
  </si>
  <si>
    <t xml:space="preserve">T-Bar Digital Thermometer</t>
  </si>
  <si>
    <t xml:space="preserve">Infra Red Thermometer</t>
  </si>
  <si>
    <t xml:space="preserve">Freezer-Fridge Digital "French Cooking" Thermometer</t>
  </si>
  <si>
    <t xml:space="preserve">https://allafrance.com/</t>
  </si>
  <si>
    <t xml:space="preserve">https://www.thomassci.com/browse-by/suppliers/alla-france | https://allafrance.com/</t>
  </si>
  <si>
    <t xml:space="preserve">Allegro Industries</t>
  </si>
  <si>
    <t xml:space="preserve">https://www.thomassci.com/browse-by/suppliers/allegro-industries</t>
  </si>
  <si>
    <t xml:space="preserve">https://allegrosafety.com</t>
  </si>
  <si>
    <t xml:space="preserve">Allegro® FlexKnee</t>
  </si>
  <si>
    <t xml:space="preserve">Allegro® Respirator Storage Bag</t>
  </si>
  <si>
    <t xml:space="preserve">Allegro® Respirator Cleaning Pad</t>
  </si>
  <si>
    <t xml:space="preserve">8006223530</t>
  </si>
  <si>
    <t xml:space="preserve">contact@billitonglory.mn</t>
  </si>
  <si>
    <t xml:space="preserve">https://www.allegrosafety.com/contact/</t>
  </si>
  <si>
    <t xml:space="preserve">https://www.thomassci.com/browse-by/suppliers/allegro-industries | https://www.allegrosafety.com/contact/</t>
  </si>
  <si>
    <t xml:space="preserve">Allentown</t>
  </si>
  <si>
    <t xml:space="preserve">https://www.thomassci.com/browse-by/suppliers/allentown</t>
  </si>
  <si>
    <t xml:space="preserve">Safety Cabinet SC Plus</t>
  </si>
  <si>
    <t xml:space="preserve">Phantom2 Mini Animal Transfer Station</t>
  </si>
  <si>
    <t xml:space="preserve">Blower, Ecoflo, Tower, 115 Volt, Purple Label, Touchscreen</t>
  </si>
  <si>
    <t xml:space="preserve">Allied K&amp;R</t>
  </si>
  <si>
    <t xml:space="preserve">https://www.thomassci.com/browse-by/suppliers/allied-k-and-r</t>
  </si>
  <si>
    <t xml:space="preserve">https://alliedkr.com</t>
  </si>
  <si>
    <t xml:space="preserve">Test Tube Brushes</t>
  </si>
  <si>
    <t xml:space="preserve">Bottle and Cylinder Brushes</t>
  </si>
  <si>
    <t xml:space="preserve">Dairy Testing Bottle Brushes</t>
  </si>
  <si>
    <t xml:space="preserve">(718) 625-6610</t>
  </si>
  <si>
    <t xml:space="preserve">info@alliedkr.com</t>
  </si>
  <si>
    <t xml:space="preserve">https://alliedkr.com/about/contact-us/</t>
  </si>
  <si>
    <t xml:space="preserve">https://www.thomassci.com/browse-by/suppliers/allied-k-and-r | https://alliedkr.com/about/contact-us/</t>
  </si>
  <si>
    <t xml:space="preserve">Allied Medical</t>
  </si>
  <si>
    <t xml:space="preserve">https://www.thomassci.com/browse-by/suppliers/allied-medical</t>
  </si>
  <si>
    <t xml:space="preserve">https://alliedmedical.net</t>
  </si>
  <si>
    <t xml:space="preserve">Alomone Labs</t>
  </si>
  <si>
    <t xml:space="preserve">https://alomone.com</t>
  </si>
  <si>
    <t xml:space="preserve">1-800-791-3904</t>
  </si>
  <si>
    <t xml:space="preserve">inquiries@alomone.com</t>
  </si>
  <si>
    <t xml:space="preserve">https://www.alomone.com/contact-us</t>
  </si>
  <si>
    <t xml:space="preserve">https://www.quartzy.com/suppliers | https://www.alomone.com/contact-us</t>
  </si>
  <si>
    <t xml:space="preserve">Alpaqua Engineering</t>
  </si>
  <si>
    <t xml:space="preserve">https://www.thomassci.com/browse-by/suppliers/alpaqua-engineering</t>
  </si>
  <si>
    <t xml:space="preserve">https://alpaqua.com</t>
  </si>
  <si>
    <t xml:space="preserve">Magnum™ EX Universal Magnet Plate</t>
  </si>
  <si>
    <t xml:space="preserve">POGO® Chiller Block</t>
  </si>
  <si>
    <t xml:space="preserve">384-Well Post Magnet Plate</t>
  </si>
  <si>
    <t xml:space="preserve">+1 (978) 878-9489</t>
  </si>
  <si>
    <t xml:space="preserve">info@alpaqua.com</t>
  </si>
  <si>
    <t xml:space="preserve">https://www.alpaqua.com/contact/</t>
  </si>
  <si>
    <t xml:space="preserve">https://www.thomassci.com/browse-by/suppliers/alpaqua-engineering | https://www.alpaqua.com/contact/</t>
  </si>
  <si>
    <t xml:space="preserve">Alpha Laboratories</t>
  </si>
  <si>
    <t xml:space="preserve">https://www.thomassci.com/browse-by/suppliers/alpha-laboratories</t>
  </si>
  <si>
    <t xml:space="preserve">https://alphalabs.co.uk</t>
  </si>
  <si>
    <t xml:space="preserve">+44 2380 487209</t>
  </si>
  <si>
    <t xml:space="preserve">https://www.alphalabs.co.uk/international-contact</t>
  </si>
  <si>
    <t xml:space="preserve">https://www.thomassci.com/browse-by/suppliers/alpha-laboratories | https://www.alphalabs.co.uk/international-contact</t>
  </si>
  <si>
    <t xml:space="preserve">AlphaGem Bio, Inc</t>
  </si>
  <si>
    <t xml:space="preserve">https://www.thomassci.com/browse-by/suppliers/alphagem-bio-inc</t>
  </si>
  <si>
    <t xml:space="preserve">PCR 8 strip caps polypropylene</t>
  </si>
  <si>
    <t xml:space="preserve">MgPure 96 ezFilter Plasmid Kits</t>
  </si>
  <si>
    <t xml:space="preserve">Express Plasmid Kits</t>
  </si>
  <si>
    <t xml:space="preserve">AlphaProTech</t>
  </si>
  <si>
    <t xml:space="preserve">https://www.thomassci.com/browse-by/suppliers/alphaprotech</t>
  </si>
  <si>
    <t xml:space="preserve">https://alphaprotech.co.uk</t>
  </si>
  <si>
    <t xml:space="preserve">Shoecovers, Critical Cover, Safe Step, Non-Skid, Serged Seams</t>
  </si>
  <si>
    <t xml:space="preserve">Critical Cover, SureGrip Shoe Covers, ESD Conductive, Anti-Skid, Serged Seams, Blue, Sizes X-Large and Universal</t>
  </si>
  <si>
    <t xml:space="preserve">Critical Cover® Coverall® Face Shields</t>
  </si>
  <si>
    <t xml:space="preserve">Alsit</t>
  </si>
  <si>
    <t xml:space="preserve">https://www.dutscher.com/search?initialFilters=brand:Alsit</t>
  </si>
  <si>
    <t xml:space="preserve">https://alsit.dk</t>
  </si>
  <si>
    <t xml:space="preserve">ריהוט מעבדה</t>
  </si>
  <si>
    <t xml:space="preserve">Polyurethane Technical chair, 5 wheels (height adjustable: 55 - 80 cm), colour: black</t>
  </si>
  <si>
    <t xml:space="preserve">Stool 5-star base with castors - seat height 55 - 80 cm - with footrest - colour: Aegean Blue</t>
  </si>
  <si>
    <t xml:space="preserve">Technical chair - with footrests - 5-star base on castors - seat: 43 - 56 cm</t>
  </si>
  <si>
    <t xml:space="preserve">AltemisLab</t>
  </si>
  <si>
    <t xml:space="preserve">https://www.thomassci.com/browse-by/suppliers/altemislab</t>
  </si>
  <si>
    <t xml:space="preserve">https://altemislab.com</t>
  </si>
  <si>
    <t xml:space="preserve">TPE Septum Caps for 96 SBS Rack Format Tubes</t>
  </si>
  <si>
    <t xml:space="preserve">AlteTube™ 2D Barcoded Tubes, Internal</t>
  </si>
  <si>
    <t xml:space="preserve">AlteTube™ 2D Barcoded Tubes, Internal, 0.75mL</t>
  </si>
  <si>
    <t xml:space="preserve">+441223344900</t>
  </si>
  <si>
    <t xml:space="preserve">info@altemislab.com</t>
  </si>
  <si>
    <t xml:space="preserve">https://www.altemislab.com/contact-us/</t>
  </si>
  <si>
    <t xml:space="preserve">https://www.thomassci.com/browse-by/suppliers/altemislab | https://www.altemislab.com/contact-us/</t>
  </si>
  <si>
    <t xml:space="preserve">ALX Technical</t>
  </si>
  <si>
    <t xml:space="preserve">https://www.thomassci.com/browse-by/suppliers/alx-technical</t>
  </si>
  <si>
    <t xml:space="preserve">https://alxtechnical.com</t>
  </si>
  <si>
    <t xml:space="preserve">ESD Tags</t>
  </si>
  <si>
    <t xml:space="preserve">ESD Thermal Sheet 12 x 19 x 0.030 (thick), 50 sheets / BOX</t>
  </si>
  <si>
    <t xml:space="preserve">ESD Paper</t>
  </si>
  <si>
    <t xml:space="preserve">https://alxtechnical.com/#contact</t>
  </si>
  <si>
    <t xml:space="preserve">https://www.thomassci.com/browse-by/suppliers/alx-technical | https://alxtechnical.com/#contact</t>
  </si>
  <si>
    <t xml:space="preserve">Ambeed</t>
  </si>
  <si>
    <t xml:space="preserve">https://ambeed.com</t>
  </si>
  <si>
    <t xml:space="preserve">630-580-1088</t>
  </si>
  <si>
    <t xml:space="preserve">sales@ambeed.com</t>
  </si>
  <si>
    <t xml:space="preserve">https://www.ambeed.com/contact-us.html</t>
  </si>
  <si>
    <t xml:space="preserve">https://www.quartzy.com/suppliers | https://doronscientific.com/products/ | https://www.ambeed.com/contact-us.html</t>
  </si>
  <si>
    <t xml:space="preserve">Ambi-dex® by PIP Global Safety</t>
  </si>
  <si>
    <t xml:space="preserve">https://www.thomassci.com/browse-by/suppliers/ambi-dex-by-pip-global-safety</t>
  </si>
  <si>
    <t xml:space="preserve">AMD-Medicom</t>
  </si>
  <si>
    <t xml:space="preserve">https://www.thomassci.com/browse-by/suppliers/amd-medicom</t>
  </si>
  <si>
    <t xml:space="preserve">Shields</t>
  </si>
  <si>
    <t xml:space="preserve">Triangular Bandage with Safety Pins</t>
  </si>
  <si>
    <t xml:space="preserve">Shoe Covers</t>
  </si>
  <si>
    <t xml:space="preserve">American BioTech Supply</t>
  </si>
  <si>
    <t xml:space="preserve">https://www.thomassci.com/browse-by/suppliers/american-biotech-supply</t>
  </si>
  <si>
    <t xml:space="preserve">Standard Undercounter Refrigerators &amp; Freezers</t>
  </si>
  <si>
    <t xml:space="preserve">Premier Undercounter Freezers</t>
  </si>
  <si>
    <t xml:space="preserve">Premier Manual Defrost Freezers</t>
  </si>
  <si>
    <t xml:space="preserve">American Diagnostic Corporation</t>
  </si>
  <si>
    <t xml:space="preserve">https://www.thomassci.com/browse-by/suppliers/american-diagnostic-corporation</t>
  </si>
  <si>
    <t xml:space="preserve">ADC Adtemp™ III Digitial Thermometer</t>
  </si>
  <si>
    <t xml:space="preserve">Advantage Pulse Oximeter, Fingertip, Disp pkg</t>
  </si>
  <si>
    <t xml:space="preserve">ADSCOPE Conv Stethoscope</t>
  </si>
  <si>
    <t xml:space="preserve">American Scientific Products</t>
  </si>
  <si>
    <t xml:space="preserve">https://www.thomassci.com/browse-by/suppliers/american-scientific-products</t>
  </si>
  <si>
    <t xml:space="preserve">https://american-sp.com</t>
  </si>
  <si>
    <t xml:space="preserve">PETG Square Media/Packaging Bottle</t>
  </si>
  <si>
    <t xml:space="preserve">Sterile 96 Round Well 500ul Plate Low Profile V-Bottom Microplate 80/CS</t>
  </si>
  <si>
    <t xml:space="preserve">Deep Well U-Bottom Plate</t>
  </si>
  <si>
    <t xml:space="preserve">734.884.4770</t>
  </si>
  <si>
    <t xml:space="preserve">https://american-sp.com/contact-us/</t>
  </si>
  <si>
    <t xml:space="preserve">https://www.thomassci.com/browse-by/suppliers/american-scientific-products | https://american-sp.com/contact-us/</t>
  </si>
  <si>
    <t xml:space="preserve">Ammex</t>
  </si>
  <si>
    <t xml:space="preserve">https://www.thomassci.com/browse-by/suppliers/ammex</t>
  </si>
  <si>
    <t xml:space="preserve">https://www.ammex.com</t>
  </si>
  <si>
    <t xml:space="preserve">AMMEX Cerulean Medical Nitrile Exam Latex Free Disposable Gloves (Case of 1000), Size Small</t>
  </si>
  <si>
    <t xml:space="preserve">Nitrile Gloves</t>
  </si>
  <si>
    <t xml:space="preserve">Gloveworks 6mil Black Exam Nitrile PF Gloves</t>
  </si>
  <si>
    <t xml:space="preserve">https://www.ammex.com/</t>
  </si>
  <si>
    <t xml:space="preserve">https://www.thomassci.com/browse-by/suppliers/ammex | https://www.ammex.com/</t>
  </si>
  <si>
    <t xml:space="preserve">Ampac Flexibles</t>
  </si>
  <si>
    <t xml:space="preserve">https://www.thomassci.com/browse-by/suppliers/ampac-flexibles</t>
  </si>
  <si>
    <t xml:space="preserve">צרפת</t>
  </si>
  <si>
    <t xml:space="preserve">2016</t>
  </si>
  <si>
    <t xml:space="preserve">industrial parts manufacturer</t>
  </si>
  <si>
    <t xml:space="preserve">500 Series SealPAK Pouches</t>
  </si>
  <si>
    <t xml:space="preserve">400 Series SealPAK Pouches</t>
  </si>
  <si>
    <t xml:space="preserve">900 Series StandPAK®</t>
  </si>
  <si>
    <t xml:space="preserve">Q134630671</t>
  </si>
  <si>
    <t xml:space="preserve">https://www.thomassci.com/browse-by/suppliers/ampac-flexibles | https://www.wikidata.org/wiki/Q134630671</t>
  </si>
  <si>
    <t xml:space="preserve">AMSBIO</t>
  </si>
  <si>
    <t xml:space="preserve">https://amsbio.com</t>
  </si>
  <si>
    <t xml:space="preserve">+4401235828200</t>
  </si>
  <si>
    <t xml:space="preserve">https://www.amsbio.com/contact-us/</t>
  </si>
  <si>
    <t xml:space="preserve">https://www.quartzy.com/suppliers | https://tivanbiotech.com/manufacturers | https://www.amsbio.com/contact-us/</t>
  </si>
  <si>
    <t xml:space="preserve">Amsino International</t>
  </si>
  <si>
    <t xml:space="preserve">https://www.thomassci.com/browse-by/suppliers/amsino-international</t>
  </si>
  <si>
    <t xml:space="preserve">Analytichem</t>
  </si>
  <si>
    <t xml:space="preserve">https://www.thomassci.com/browse-by/suppliers/scp-science</t>
  </si>
  <si>
    <t xml:space="preserve">https://analytichem.com</t>
  </si>
  <si>
    <t xml:space="preserve">Villebon-sur-Yvette</t>
  </si>
  <si>
    <t xml:space="preserve">1991</t>
  </si>
  <si>
    <t xml:space="preserve">DigiTUBEs</t>
  </si>
  <si>
    <t xml:space="preserve">Atomic Absorption Single Element Standards</t>
  </si>
  <si>
    <t xml:space="preserve">DigiFILTER 0.45 micron for 50ml Tubes</t>
  </si>
  <si>
    <t xml:space="preserve">info@analytichem.com</t>
  </si>
  <si>
    <t xml:space="preserve">https://www.analytichem.com/contact-us</t>
  </si>
  <si>
    <t xml:space="preserve">Q134630749</t>
  </si>
  <si>
    <t xml:space="preserve">https://www.thomassci.com/browse-by/suppliers/scp-science | https://www.wikidata.org/wiki/Q134630749 | https://www.analytichem.com/contact-us</t>
  </si>
  <si>
    <t xml:space="preserve">Analytik Jena</t>
  </si>
  <si>
    <t xml:space="preserve">https://www.thomassci.com/browse-by/suppliers/analytik-jena</t>
  </si>
  <si>
    <t xml:space="preserve">https://www.analytik-jena.com</t>
  </si>
  <si>
    <t xml:space="preserve">גרמניה</t>
  </si>
  <si>
    <t xml:space="preserve">Jena</t>
  </si>
  <si>
    <t xml:space="preserve">Endress+Hauser Group</t>
  </si>
  <si>
    <t xml:space="preserve">Analytical instruments (chromatography / mass spectrometry / spectroscopy)</t>
  </si>
  <si>
    <t xml:space="preserve">estimate</t>
  </si>
  <si>
    <t xml:space="preserve">EUR ~180 million (trade estimate)</t>
  </si>
  <si>
    <t xml:space="preserve">2024 (estimate)</t>
  </si>
  <si>
    <t xml:space="preserve">PlasmaQuant 9100 / PlasmaQuant MS</t>
  </si>
  <si>
    <t xml:space="preserve">contrAA 800</t>
  </si>
  <si>
    <t xml:space="preserve">multi N/C series</t>
  </si>
  <si>
    <t xml:space="preserve">Lifegene; Tamar Laboratory Supplies; Lumitron</t>
  </si>
  <si>
    <t xml:space="preserve">Lifegene: +972 8-644-4314 info@lifegene.co.il; Tamar Laboratory Supplies: +972 2-533-6070 (also 02-579-9777); Lumitron: +972 52-525-6287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</si>
  <si>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All three distributor pages are live: Lifegene's Biometra TAdvanced, TOne and TRobot II pages describe them as premium PCR instruments from Analytik Jena; Tamar Laboratory Supplies' qTOWER³ page and its 'PCR instruments from Biometra' project page are current; Lumitron's About page describes UVP as a part of Analytik Jena. analytik-jena.com's partners page lists global distribution and service partners by location but the Israel entry was not exposed in snippets, so the chemical-analysis portfolio (AAS, ICP, TOC) still has no confirmed Israeli channel. Three Israeli distributors carry Analytik Jena life-science lines on their own sites: Lifegene (Biometra TOne and TAdvanced thermal cyclers), Tamar Laboratory Supplies (qTOWER³ real-time PCR) and Lumitron (UVP bio-imaging, described as 'a part of Analytik Jena'). The BioFindly directory also lists one Israeli representative for Analytik Jena tied to qPCR/spectrophotometers (text garbled in the snippet). The chemical-analysis portfolio (AAS, ICP-OES/MS, TOC, mercury) has no confirmed Israeli channel: analytik-jena.com's partner finder did not expose an Israel entry in search snippets.</t>
    </r>
  </si>
  <si>
    <t xml:space="preserve">+49 3641 77-70</t>
  </si>
  <si>
    <t xml:space="preserve">info@analytik-jena.com</t>
  </si>
  <si>
    <t xml:space="preserve">Konrad-Zuse-Str. 1, 07745 Jena, Germany</t>
  </si>
  <si>
    <t xml:space="preserve">https://analytik-jena.com/contact</t>
  </si>
  <si>
    <t xml:space="preserve">https://www.analytik-jena.fr/en/print/company/career/contact.html</t>
  </si>
  <si>
    <t xml:space="preserve">Q136196</t>
  </si>
  <si>
    <t xml:space="preserve">https://www.thomassci.com/browse-by/suppliers/analytik-jena | https://www.labroots.com/companies/analytik-jena | https://v1.israelphysicalsociety.org/ips-conference-2009/fairs/agentek-ltd | https://www.analytik-jena.com/contact/ | https://www.lifegene.co.il/biometra_tone_pcr | https://www.lifegene.co.il/biometra_tadvanced_pcr | https://www.lifegene.co.il/pcr_instrumentation | http://www.tamar.co.il/qtower%C2%B3/ | https://www.lumitron.co.il/about-us/ | https://biofindly.co.il/manufacturer/analytik-jena/ | https://www.analytik-jena.com/company/partners/ | https://www.lifegene.co.il/page_29382 | https://tamar.co.il/qtower%C2%B3 | https://www.tamar.co.il/project/sales-2/ | https://www.wikidata.org/wiki/Q136196 | https://www.analytik-jena.com/service-support/service-contact/</t>
  </si>
  <si>
    <t xml:space="preserve">Anaspec</t>
  </si>
  <si>
    <t xml:space="preserve">https://anaspec.com</t>
  </si>
  <si>
    <t xml:space="preserve">+18004525530</t>
  </si>
  <si>
    <t xml:space="preserve">service@anaspec.com</t>
  </si>
  <si>
    <t xml:space="preserve">https://www.anaspec.com/en/contact</t>
  </si>
  <si>
    <t xml:space="preserve">https://www.quartzy.com/suppliers | https://www.anaspec.com/en/contact</t>
  </si>
  <si>
    <t xml:space="preserve">Anatrace</t>
  </si>
  <si>
    <t xml:space="preserve">https://www.anatrace.com</t>
  </si>
  <si>
    <t xml:space="preserve">customerservice@anatrace.com</t>
  </si>
  <si>
    <t xml:space="preserve">https://anatrace.com/en</t>
  </si>
  <si>
    <t xml:space="preserve">https://www.quartzy.com/suppliers | https://anatrace.com/en</t>
  </si>
  <si>
    <t xml:space="preserve">Andrews Glass Co.</t>
  </si>
  <si>
    <t xml:space="preserve">https://www.thomassci.com/browse-by/suppliers/andrews-glass-co-</t>
  </si>
  <si>
    <t xml:space="preserve">Andwin Scientific</t>
  </si>
  <si>
    <t xml:space="preserve">https://andwinsci.com</t>
  </si>
  <si>
    <t xml:space="preserve">Anios</t>
  </si>
  <si>
    <t xml:space="preserve">https://www.dutscher.com/search?initialFilters=brand:Anios</t>
  </si>
  <si>
    <t xml:space="preserve">Surfa'Safe premium - surface disinfecting foam - diffused foam</t>
  </si>
  <si>
    <t xml:space="preserve">Aniosafe mild soap HF - 1 liter airless bottle</t>
  </si>
  <si>
    <t xml:space="preserve">ANIOS soaking bin - 5 Litre model</t>
  </si>
  <si>
    <t xml:space="preserve">Ansell</t>
  </si>
  <si>
    <t xml:space="preserve">https://www.dutscher.com/search?initialFilters=brand:Ansell</t>
  </si>
  <si>
    <t xml:space="preserve">https://www.thomassci.com/browse-by/suppliers/ansell</t>
  </si>
  <si>
    <t xml:space="preserve">https://ansell.com</t>
  </si>
  <si>
    <t xml:space="preserve">Hand protection</t>
  </si>
  <si>
    <t xml:space="preserve">Kimtech™ G3 NXT™ White Nitrile Gloves</t>
  </si>
  <si>
    <t xml:space="preserve">Purple Nitrile™ Exam Gloves</t>
  </si>
  <si>
    <t xml:space="preserve">Kimtech™ A5 Cleanroom Coveralls, Sterile</t>
  </si>
  <si>
    <t xml:space="preserve">Ansell cites 100+ countries and an authorized-distributor network; only a UK distributor appeared; no Israel mention.</t>
  </si>
  <si>
    <t xml:space="preserve">800-800-0444</t>
  </si>
  <si>
    <t xml:space="preserve">https://www.ansell.com/us/en/contact-us</t>
  </si>
  <si>
    <t xml:space="preserve">https://www.dutscher.com/search?initialFilters=brand:Ansell | https://www.thomassci.com/browse-by/suppliers/ansell | https://www.ansell.com/us/en/contact-us</t>
  </si>
  <si>
    <t xml:space="preserve">Antibodies, Inc</t>
  </si>
  <si>
    <t xml:space="preserve">For over sixty years, the people of Antibodies Incorporated have dedicated themselves to supporting the life-enhancing, breakthrough work of scientists everywhere. We fulfill our mission with an extensive catalog of validated neuroscience antibodies and a suite of services governed by a stringent and long-established Quality Management System -- and we do it all in Davis, California, USA.</t>
  </si>
  <si>
    <t xml:space="preserve">antibodiesinc.com has a 'Global Distribution Partners' page but the snippet showed no Israel entry. A 'Zotal (Tel Aviv)' Israel listing surfaced, but it is on antibodies.com (a different UK company), so it is not attributable to Antibodies Inc.</t>
  </si>
  <si>
    <t xml:space="preserve">Antibodies.com</t>
  </si>
  <si>
    <t xml:space="preserve">https://antibodies.com</t>
  </si>
  <si>
    <t xml:space="preserve">92-0384576</t>
  </si>
  <si>
    <t xml:space="preserve">info@antibodies.com</t>
  </si>
  <si>
    <t xml:space="preserve">https://www.antibodies.com/support/contact-us</t>
  </si>
  <si>
    <t xml:space="preserve">https://www.quartzy.com/suppliers | https://www.zotal.co.il/brands/ | https://www.antibodies.com/support/contact-us</t>
  </si>
  <si>
    <t xml:space="preserve">Anton Paar</t>
  </si>
  <si>
    <t xml:space="preserve">https://www.dutscher.com/search?initialFilters=brand:Anton+Paar</t>
  </si>
  <si>
    <t xml:space="preserve">https://www.thomassci.com/browse-by/suppliers/anton-paar</t>
  </si>
  <si>
    <t xml:space="preserve">https://www.anton-paar.com</t>
  </si>
  <si>
    <t xml:space="preserve">אוסטריה</t>
  </si>
  <si>
    <t xml:space="preserve">Graz</t>
  </si>
  <si>
    <t xml:space="preserve">Anton Paar Group AG (owned by the charitable Santner Foundation)</t>
  </si>
  <si>
    <t xml:space="preserve">כימיה</t>
  </si>
  <si>
    <t xml:space="preserve">EUR 629 million</t>
  </si>
  <si>
    <t xml:space="preserve">FY2025</t>
  </si>
  <si>
    <t xml:space="preserve">DMA density meters (e.g. DMA 5000 M)</t>
  </si>
  <si>
    <t xml:space="preserve">MCR rheometer series (e.g. MCR 702e)</t>
  </si>
  <si>
    <t xml:space="preserve">Multiwave 5000 / 7000</t>
  </si>
  <si>
    <t xml:space="preserve">Prime Lab Scientific Instruments Ltd.</t>
  </si>
  <si>
    <t xml:space="preserve">Prime Lab Scientific Instruments Ltd.:</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</si>
  <si>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Prime Lab's live home page still lists Anton Paar rheometers, density meters and SAXS systems among its products (the page is about 2.6 years old per the search index), keeping it as the distributor-side evidence. anton-paar.com exposes no Israel subsidiary or distributor in snippets (35 subsidiaries, 30+ distribution partners, contact via web form), so exclusivity and full product scope remain stated by the distributor only. Prime Lab Scientific Instruments Ltd. (Kfar Saba) lists Anton Paar GmbH among its partner manufacturers on its own site, hosts an Anton Paar SAXS product page, and describes itself as the local partner/distributor offering import, installation, IQ/OQ/PQ, calibration and after-sales service. The BioFindly directory independently names Prime Lab as the single Israeli representative handling sales, service and quotes for Anton Paar. Not cross-checked on anton-paar.com (search budget), so exclusivity and the full product scope are stated by the distributor and a directory rather than by the manufacturer.</t>
    </r>
  </si>
  <si>
    <t xml:space="preserve">+43 316 257-0</t>
  </si>
  <si>
    <t xml:space="preserve">Anton-Paar-Straße 20, 8054 Graz, Austria</t>
  </si>
  <si>
    <t xml:space="preserve">https://fluidhandlingpro.com/manufacturers/anton-paar-gmbh/</t>
  </si>
  <si>
    <t xml:space="preserve">https://www.dutscher.com/search?initialFilters=brand:Anton+Paar | https://www.thomassci.com/browse-by/suppliers/anton-paar | https://www.anton-paar.com/fileadmin/About_Us/Media_relations/20260603_EN_Anton_Paar_Factsheet.pdf | https://en.wikipedia.org/wiki/Anton_Paar | https://www.reveliolabs.com/companies/anton-paar/employees | https://il.linkedin.com/in/keren-tenenbaum-8b476a19a | https://www.anton-paar.com/ca-en/about-us/newsroom/news/detail/anton-paar-opens-subsidiaries-in-spain-and-taiwan | https://primelab.co.il/about-us/ | https://primelab.co.il/ | https://primelab.co.il/products/nanostructure-solutions-saxs/ | https://biofindly.co.il/manufacturer/anton-paar/ | https://www.anton-paar.com/corp-en/about-us/company/ | https://www.anton-paar.com/corp-en/contact/</t>
  </si>
  <si>
    <t xml:space="preserve">AOBChem</t>
  </si>
  <si>
    <t xml:space="preserve">AOBChem is a technology-enabled platform and strategic partner for pharmaceutical R&amp;D, dedicated to accelerating the journey from discovery to development. Serving as a seamless extension of your laboratory, we offer an extensive catalog of in-stock research chemicals, supported by robust custom synthesis and scale-up services.</t>
  </si>
  <si>
    <t xml:space="preserve">Only AOBChem USA company profiles (Knowde, scientist.com); Israeli chemical distributors Orokia and BSC Distributors appeared with no link to AOBChem.</t>
  </si>
  <si>
    <t xml:space="preserve">Apelex</t>
  </si>
  <si>
    <t xml:space="preserve">https://www.dutscher.com/search?initialFilters=brand:Apelex</t>
  </si>
  <si>
    <t xml:space="preserve">Horizontal electrophoresis system</t>
  </si>
  <si>
    <t xml:space="preserve">PLASTIC SCREW FOR SEMI DRY BLOTTER 049225 AND 049226 x3</t>
  </si>
  <si>
    <t xml:space="preserve">Comb for vertical electrophoresis tank MiniVertigel 2</t>
  </si>
  <si>
    <t xml:space="preserve">Comb for vertical electrophoresis tank Mini Wide Greenigel 2</t>
  </si>
  <si>
    <t xml:space="preserve">ApexBio</t>
  </si>
  <si>
    <t xml:space="preserve">Apiezon</t>
  </si>
  <si>
    <t xml:space="preserve">https://www.thomassci.com/browse-by/suppliers/apiezon</t>
  </si>
  <si>
    <t xml:space="preserve">https://apiezon.com</t>
  </si>
  <si>
    <t xml:space="preserve">Vapour Booster Pump Fluid, Apiezon AP201 Oil</t>
  </si>
  <si>
    <t xml:space="preserve">Silicone-Free, Ultra High Vacuum Grease</t>
  </si>
  <si>
    <t xml:space="preserve">Vacuum Sealing Compound And Mounting Wax</t>
  </si>
  <si>
    <t xml:space="preserve">161 864 5419</t>
  </si>
  <si>
    <t xml:space="preserve">https://apiezon.com/contact-us/</t>
  </si>
  <si>
    <t xml:space="preserve">https://www.thomassci.com/browse-by/suppliers/apiezon | https://apiezon.com/contact-us/</t>
  </si>
  <si>
    <t xml:space="preserve">APIS Assay Technologies</t>
  </si>
  <si>
    <t xml:space="preserve">https://www.thomassci.com/browse-by/suppliers/apis-assay-technologies</t>
  </si>
  <si>
    <t xml:space="preserve">https://apisassay.com</t>
  </si>
  <si>
    <t xml:space="preserve">APIS ESR1 Mutations Kit</t>
  </si>
  <si>
    <t xml:space="preserve">APIS MET Alterations Kit</t>
  </si>
  <si>
    <t xml:space="preserve">APIS Breast Cancer Subtyping Kit</t>
  </si>
  <si>
    <t xml:space="preserve">161 938 8179</t>
  </si>
  <si>
    <t xml:space="preserve">info@apisassay.com</t>
  </si>
  <si>
    <t xml:space="preserve">https://www.apisassay.com/contact</t>
  </si>
  <si>
    <t xml:space="preserve">https://www.thomassci.com/browse-by/suppliers/apis-assay-technologies | https://www.apisassay.com/contact</t>
  </si>
  <si>
    <t xml:space="preserve">Applied Biological Materials (ABM)</t>
  </si>
  <si>
    <t xml:space="preserve">Applied Separations</t>
  </si>
  <si>
    <t xml:space="preserve">https://www.thomassci.com/browse-by/suppliers/applied-separations</t>
  </si>
  <si>
    <t xml:space="preserve">https://appliedseparations.com</t>
  </si>
  <si>
    <t xml:space="preserve">610-770-0900</t>
  </si>
  <si>
    <t xml:space="preserve">https://appliedseparations.com/contact/</t>
  </si>
  <si>
    <t xml:space="preserve">https://www.thomassci.com/browse-by/suppliers/applied-separations | https://appliedseparations.com/contact/</t>
  </si>
  <si>
    <t xml:space="preserve">AQUAFILL</t>
  </si>
  <si>
    <t xml:space="preserve">https://www.thomassci.com/browse-by/suppliers/aquafill</t>
  </si>
  <si>
    <t xml:space="preserve">Disposable High Throughput Screening (HTS) Reservoirs</t>
  </si>
  <si>
    <t xml:space="preserve">Disposable Reagent Reservoirs</t>
  </si>
  <si>
    <t xml:space="preserve">Disposable Antistatic Polystrene Weigh Vessels</t>
  </si>
  <si>
    <t xml:space="preserve">AquaPhoenix</t>
  </si>
  <si>
    <t xml:space="preserve">https://aquaphoenixsci.com</t>
  </si>
  <si>
    <t xml:space="preserve">717-632-1291</t>
  </si>
  <si>
    <t xml:space="preserve">info@aquaphoenixsci.com</t>
  </si>
  <si>
    <t xml:space="preserve">https://www.aquaphoenixsci.com/contact-us/</t>
  </si>
  <si>
    <t xml:space="preserve">https://www.quartzy.com/suppliers | https://www.aquaphoenixsci.com/contact-us/</t>
  </si>
  <si>
    <t xml:space="preserve">AquaPhoenix Scientific</t>
  </si>
  <si>
    <t xml:space="preserve">https://www.thomassci.com/browse-by/suppliers/aquaphoenix-scientific</t>
  </si>
  <si>
    <t xml:space="preserve">Phenols - Activator Solution Pack A-8000</t>
  </si>
  <si>
    <t xml:space="preserve">pH Buffer Solutions</t>
  </si>
  <si>
    <t xml:space="preserve">POTASSIUM CHROMATE – Indicator Solution 5%, 60mL, BO</t>
  </si>
  <si>
    <t xml:space="preserve">Arbor Assays</t>
  </si>
  <si>
    <t xml:space="preserve">https://arborassays.com</t>
  </si>
  <si>
    <t xml:space="preserve">Enco</t>
  </si>
  <si>
    <t xml:space="preserve">Enco: +972-3-934-9922 orders@enco.co.il</t>
  </si>
  <si>
    <t xml:space="preserve">+1 (734) 677-1774</t>
  </si>
  <si>
    <t xml:space="preserve">info@arborassays.com</t>
  </si>
  <si>
    <t xml:space="preserve">https://www.arborassays.com/contact-us/</t>
  </si>
  <si>
    <t xml:space="preserve">https://www.quartzy.com/suppliers | https://www.enco.co.il/suppliers.php | https://www.arborassays.com/contact-us/</t>
  </si>
  <si>
    <t xml:space="preserve">Arcus Manufacturing</t>
  </si>
  <si>
    <t xml:space="preserve">https://www.thomassci.com/browse-by/suppliers/arcus-manufacturing</t>
  </si>
  <si>
    <t xml:space="preserve">https://arcusmanufacturing.com</t>
  </si>
  <si>
    <t xml:space="preserve">NebulaOne™ Dry-Mist HOCL Disinfectant Fogger 110V</t>
  </si>
  <si>
    <t xml:space="preserve">Annihilyte® Hypochlorous Disinfectant</t>
  </si>
  <si>
    <t xml:space="preserve">+4352613976</t>
  </si>
  <si>
    <t xml:space="preserve">info@arcuspure.com</t>
  </si>
  <si>
    <t xml:space="preserve">https://arcuspure.com/contact-us/</t>
  </si>
  <si>
    <t xml:space="preserve">https://www.thomassci.com/browse-by/suppliers/arcus-manufacturing | https://arcuspure.com/contact-us/</t>
  </si>
  <si>
    <t xml:space="preserve">Argos Technologies</t>
  </si>
  <si>
    <t xml:space="preserve">https://www.thomassci.com/browse-by/suppliers/argos-technologies</t>
  </si>
  <si>
    <t xml:space="preserve">https://argos-tech.com</t>
  </si>
  <si>
    <t xml:space="preserve">Aspirating Pipettes</t>
  </si>
  <si>
    <t xml:space="preserve">HandEvac Handheld Aspirator</t>
  </si>
  <si>
    <t xml:space="preserve">Cardboard Freezer Boxes</t>
  </si>
  <si>
    <t xml:space="preserve">ARIES (a ResinTech brand)</t>
  </si>
  <si>
    <t xml:space="preserve">https://www.thomassci.com/browse-by/suppliers/aries-a-resintech-brand</t>
  </si>
  <si>
    <t xml:space="preserve">VPK Series Cartridges</t>
  </si>
  <si>
    <t xml:space="preserve">VP Series Cartridges</t>
  </si>
  <si>
    <t xml:space="preserve">HPL-RO Reverse Osmosis System</t>
  </si>
  <si>
    <t xml:space="preserve">Arista Biologicals Inc</t>
  </si>
  <si>
    <t xml:space="preserve">Ark Pharm</t>
  </si>
  <si>
    <t xml:space="preserve">Arkray USA, Inc.</t>
  </si>
  <si>
    <t xml:space="preserve">https://www.thomassci.com/browse-by/suppliers/arkray-usa-inc-</t>
  </si>
  <si>
    <t xml:space="preserve">Arkray Glucocard® Vital™ Blood Glucose Monitoring System</t>
  </si>
  <si>
    <t xml:space="preserve">Arkray Assure® Lance Safety Lancets</t>
  </si>
  <si>
    <t xml:space="preserve">Assure® Safety Lancet</t>
  </si>
  <si>
    <t xml:space="preserve">Arrow Mixing Products</t>
  </si>
  <si>
    <t xml:space="preserve">https://www.thomassci.com/browse-by/suppliers/arrow-mixing-products</t>
  </si>
  <si>
    <t xml:space="preserve">https://arrowmixingproducts.com</t>
  </si>
  <si>
    <t xml:space="preserve">PTFE Shafts and Propellers</t>
  </si>
  <si>
    <t xml:space="preserve">Electric Laboratory Stirrers</t>
  </si>
  <si>
    <t xml:space="preserve">Clamping Systems</t>
  </si>
  <si>
    <t xml:space="preserve">(866) 649-6505</t>
  </si>
  <si>
    <t xml:space="preserve">https://www.arrowmixingproducts.com/contact-us/</t>
  </si>
  <si>
    <t xml:space="preserve">https://www.thomassci.com/browse-by/suppliers/arrow-mixing-products | https://www.arrowmixingproducts.com/contact-us/</t>
  </si>
  <si>
    <t xml:space="preserve">Arrowhead Forensics</t>
  </si>
  <si>
    <t xml:space="preserve">https://www.thomassci.com/browse-by/suppliers/arrowhead-forensics</t>
  </si>
  <si>
    <t xml:space="preserve">https://arrowheadforensics.com</t>
  </si>
  <si>
    <t xml:space="preserve">SealGuard™ Split Back Evidence Tape</t>
  </si>
  <si>
    <t xml:space="preserve">VaporLok Heavy Duty 5mil Nylon Barrier Heat Seal Bags</t>
  </si>
  <si>
    <t xml:space="preserve">Adhesive Evidence Labels</t>
  </si>
  <si>
    <t xml:space="preserve">9138948388</t>
  </si>
  <si>
    <t xml:space="preserve">sales@arrowheadforensics.com</t>
  </si>
  <si>
    <t xml:space="preserve">https://arrowheadforensics.com/contact-us/</t>
  </si>
  <si>
    <t xml:space="preserve">https://www.thomassci.com/browse-by/suppliers/arrowhead-forensics | https://arrowheadforensics.com/contact-us/</t>
  </si>
  <si>
    <t xml:space="preserve">Arvensis</t>
  </si>
  <si>
    <t xml:space="preserve">https://www.dutscher.com/search?initialFilters=brand:Arvensis</t>
  </si>
  <si>
    <t xml:space="preserve">https://www.thomassci.com/browse-by/suppliers/arvensis</t>
  </si>
  <si>
    <t xml:space="preserve">Plate</t>
  </si>
  <si>
    <t xml:space="preserve">A-Frame® Random Access PCR Tube Strip Plate</t>
  </si>
  <si>
    <t xml:space="preserve">AutoMat Microplate Sealing Lid</t>
  </si>
  <si>
    <t xml:space="preserve">A-Frame® 384 Well PCR Plate</t>
  </si>
  <si>
    <t xml:space="preserve">No result mentions Arvensis at all; hits are generic Israeli distributor pages (Rhenium, Enco, Agentek, Ornat/LI-COR, S.L. Moran) unrelated to Arvensis.</t>
  </si>
  <si>
    <t xml:space="preserve">https://www.dutscher.com/search?initialFilters=brand:Arvensis | https://www.thomassci.com/browse-by/suppliers/arvensis</t>
  </si>
  <si>
    <t xml:space="preserve">Ascensia Diabetes Care</t>
  </si>
  <si>
    <t xml:space="preserve">https://www.thomassci.com/browse-by/suppliers/ascensia-diabetes-care</t>
  </si>
  <si>
    <t xml:space="preserve">https://www.ascensia.com</t>
  </si>
  <si>
    <t xml:space="preserve">+41 61 560 87 00</t>
  </si>
  <si>
    <t xml:space="preserve">https://www.ascensia.com/contact-us/</t>
  </si>
  <si>
    <t xml:space="preserve">https://www.thomassci.com/browse-by/suppliers/ascensia-diabetes-care | https://www.ascensia.com/contact-us/</t>
  </si>
  <si>
    <t xml:space="preserve">Asco</t>
  </si>
  <si>
    <t xml:space="preserve">https://www.thomassci.com/browse-by/suppliers/asco</t>
  </si>
  <si>
    <t xml:space="preserve">Asecos</t>
  </si>
  <si>
    <t xml:space="preserve">https://www.dutscher.com/search?initialFilters=brand:Asecos</t>
  </si>
  <si>
    <t xml:space="preserve">https://asecos.com</t>
  </si>
  <si>
    <t xml:space="preserve">Ventilation chamber for corrosive products</t>
  </si>
  <si>
    <t xml:space="preserve">Ventilation chamber for solvents</t>
  </si>
  <si>
    <t xml:space="preserve">Plastic drip tray 32 l - Dimensions W x L x H (mm): 400 x 800 x 120 - without gratings</t>
  </si>
  <si>
    <t xml:space="preserve">+49605192200</t>
  </si>
  <si>
    <t xml:space="preserve">info@asecos.com</t>
  </si>
  <si>
    <t xml:space="preserve">https://www.asecos.com/Kontakt/DE_index_1460.html</t>
  </si>
  <si>
    <t xml:space="preserve">https://www.dutscher.com/search?initialFilters=brand:Asecos | https://www.asecos.com/Kontakt/DE_index_1460.html</t>
  </si>
  <si>
    <t xml:space="preserve">Aspen Surgical Products</t>
  </si>
  <si>
    <t xml:space="preserve">https://www.thomassci.com/browse-by/suppliers/aspen-surgical-products</t>
  </si>
  <si>
    <t xml:space="preserve">Bard-Parker® Carbon Steel Blades with Rib-Back® Design</t>
  </si>
  <si>
    <t xml:space="preserve">Procedure Mask, FluidGard® 120, Blue, ASTM Level 2, Non-Sterile BFE&gt;99.0</t>
  </si>
  <si>
    <t xml:space="preserve">CPE Shoe Covers</t>
  </si>
  <si>
    <t xml:space="preserve">Assay Genie</t>
  </si>
  <si>
    <t xml:space="preserve">T+Q+Q+</t>
  </si>
  <si>
    <t xml:space="preserve">https://www.thomassci.com/browse-by/suppliers/assay-genie</t>
  </si>
  <si>
    <t xml:space="preserve">https://assaygenie.com</t>
  </si>
  <si>
    <t xml:space="preserve">Assay Genie was built by scientists, for scientists. Tired of low-quality reagents, poor documentation, and slow support from big biotech brands, co-founders Colm and Sean created Assay Genie in 2017. Assay Genie’s mission is simple: make scientists smile through validated reagents, excellent documentation, and real scientific support. Now trusted by thousands of labs worldwide, we deliver high-performance research products with a human touch. Faster. Smarter. Built for breakthroughs.</t>
  </si>
  <si>
    <t xml:space="preserve">Mouse AMH (Anti-Mullerian Hormone) ELISA Kit, 96 Assays</t>
  </si>
  <si>
    <t xml:space="preserve">hfb1 Antibody , 50ug</t>
  </si>
  <si>
    <t xml:space="preserve">Mouse Myelin Basic Protein/MBP ELISA Kit</t>
  </si>
  <si>
    <t xml:space="preserve">Ornat BioChemicals &amp; Lab Equipment Ltd.</t>
  </si>
  <si>
    <t xml:space="preserve">Ornat BioChemicals &amp; Lab Equipment Ltd.: +972-8-9477077 ornatbio@ornat.co.il</t>
  </si>
  <si>
    <t xml:space="preserve">Manufacturer has regional distributor pages (assaygenie.com/distributors, incl. a Middle East section whose content was not visible in snippets); no Israel entry surfaced. May 2024 release names new distributors only for Saudi Arabia (AFMS), India and Hong Kong. No Hebrew sources.</t>
  </si>
  <si>
    <t xml:space="preserve">https://www.quartzy.com/suppliers | https://info.quartzy.com/new-suppliers | https://www.thomassci.com/browse-by/suppliers/assay-genie | https://ornat.co.il/our-partners-reagents/</t>
  </si>
  <si>
    <t xml:space="preserve">Assaypro</t>
  </si>
  <si>
    <t xml:space="preserve">https://assaypro.com</t>
  </si>
  <si>
    <t xml:space="preserve">(636) 447-9175</t>
  </si>
  <si>
    <t xml:space="preserve">support@assaypro.com</t>
  </si>
  <si>
    <t xml:space="preserve">https://assaypro.com/contact/</t>
  </si>
  <si>
    <t xml:space="preserve">https://www.quartzy.com/suppliers | https://www.enco.co.il/suppliers.php | https://assaypro.com/contact/</t>
  </si>
  <si>
    <t xml:space="preserve">Associated Bag</t>
  </si>
  <si>
    <t xml:space="preserve">https://www.thomassci.com/browse-by/suppliers/associated-bag</t>
  </si>
  <si>
    <t xml:space="preserve">https://associatedbag.com</t>
  </si>
  <si>
    <t xml:space="preserve">18009266100</t>
  </si>
  <si>
    <t xml:space="preserve">https://associatedbag.com/contact-us/</t>
  </si>
  <si>
    <t xml:space="preserve">https://www.thomassci.com/browse-by/suppliers/associated-bag | https://associatedbag.com/contact-us/</t>
  </si>
  <si>
    <t xml:space="preserve">Assurance® by PIP Global Safety</t>
  </si>
  <si>
    <t xml:space="preserve">https://www.thomassci.com/browse-by/suppliers/assurance-by-pip-global-safety</t>
  </si>
  <si>
    <t xml:space="preserve">Unsupported Nitrile, Unlined with Raised Diamond Grip - 15 Mil</t>
  </si>
  <si>
    <t xml:space="preserve">Assurance® Chemical-Resistant Gloves</t>
  </si>
  <si>
    <t xml:space="preserve">Unsupported Nitrile, Unlined with Raised Diamond Grip - 15 Mil, Medium</t>
  </si>
  <si>
    <t xml:space="preserve">AstaTech</t>
  </si>
  <si>
    <t xml:space="preserve">https://astatech.com.cn</t>
  </si>
  <si>
    <t xml:space="preserve">AstraGlass</t>
  </si>
  <si>
    <t xml:space="preserve">Atago</t>
  </si>
  <si>
    <t xml:space="preserve">https://www.dutscher.com/search?initialFilters=brand:Atago</t>
  </si>
  <si>
    <t xml:space="preserve">https://www.thomassci.com/browse-by/suppliers/atago</t>
  </si>
  <si>
    <t xml:space="preserve">https://www.atago.net</t>
  </si>
  <si>
    <t xml:space="preserve">Digital Refractometer</t>
  </si>
  <si>
    <t xml:space="preserve">RX-5000i Digital Refractometers</t>
  </si>
  <si>
    <t xml:space="preserve">PAL-SALT Pocket Salt Meter</t>
  </si>
  <si>
    <t xml:space="preserve">No Israeli distributor in results; only ATAGO U.S.A. (subsidiary, Bellevue WA), Avantor/VWR listings and Indian resellers.</t>
  </si>
  <si>
    <t xml:space="preserve">https://atago.net/</t>
  </si>
  <si>
    <t xml:space="preserve">https://www.dutscher.com/search?initialFilters=brand:Atago | https://www.thomassci.com/browse-by/suppliers/atago | https://atago.net/</t>
  </si>
  <si>
    <t xml:space="preserve">ATG® by PIP Global Safety</t>
  </si>
  <si>
    <t xml:space="preserve">https://www.thomassci.com/browse-by/suppliers/atg-by-pip-global-safety</t>
  </si>
  <si>
    <t xml:space="preserve">Seamless Knit Nylon Glove with Nitrile Coating and ViroSan™ Technology on Full Hand - Touchscreen Compatible</t>
  </si>
  <si>
    <t xml:space="preserve">Premium MaxiFoam® Foam Nitrile Grip Gloves</t>
  </si>
  <si>
    <t xml:space="preserve">MaxiFlex® Ultimate™ Black Micro-Foam Coated Gloves</t>
  </si>
  <si>
    <t xml:space="preserve">Atlanta Biologicals</t>
  </si>
  <si>
    <t xml:space="preserve">Atlas Antibodies</t>
  </si>
  <si>
    <t xml:space="preserve">https://www.thomassci.com/browse-by/suppliers/atlas-antibodies</t>
  </si>
  <si>
    <t xml:space="preserve">https://atlasantibodies.com</t>
  </si>
  <si>
    <t xml:space="preserve">Imagine a company born not from a boardroom, but from the very heart of a monumental scientific mission: the Human Protein Atlas, a historic project aiming to map the full human proteome. Atlas Antibodies emerged from researchers working at the core of that mission, building antibodies for scientists like themselves.</t>
  </si>
  <si>
    <t xml:space="preserve">Anti-SH3RF3 SH3 domain containing ring finger 3</t>
  </si>
  <si>
    <t xml:space="preserve">Anti-PRRT2 proline-rich transmembrane protein 2</t>
  </si>
  <si>
    <t xml:space="preserve">Anti-RIT1 Ras-like without CAAX 1</t>
  </si>
  <si>
    <t xml:space="preserve">Yair Technologies</t>
  </si>
  <si>
    <t xml:space="preserve">Yair Technologies: +97288544856 contact@yairtech.co.il</t>
  </si>
  <si>
    <t xml:space="preserve">No Israeli distributor named; a GlobalData company profile says Atlas markets its products in Israel (among other countries) but no channel is identified. Only older context: 2008 Sigma-Aldrich ex-Europe distribution deal; Bio-Connect for Benelux.</t>
  </si>
  <si>
    <t xml:space="preserve">6000 0000 0004</t>
  </si>
  <si>
    <t xml:space="preserve">support@atlasantibodies.com</t>
  </si>
  <si>
    <t xml:space="preserve">https://www.atlasantibodies.com/company/contact-us/</t>
  </si>
  <si>
    <t xml:space="preserve">https://www.quartzy.com/suppliers | https://info.quartzy.com/new-suppliers | https://www.thomassci.com/browse-by/suppliers/atlas-antibodies | https://www.yairtech.co.il/partners/ | https://www.atlasantibodies.com/company/contact-us/</t>
  </si>
  <si>
    <t xml:space="preserve">Atlas Biologicals</t>
  </si>
  <si>
    <t xml:space="preserve">https://atlasbio.com</t>
  </si>
  <si>
    <t xml:space="preserve">Avanti Polar Lipids</t>
  </si>
  <si>
    <t xml:space="preserve">https://avantilipids.com</t>
  </si>
  <si>
    <t xml:space="preserve">+1 205 663 2494</t>
  </si>
  <si>
    <t xml:space="preserve">https://www.avantiresearch.com/en-gb/contact-us</t>
  </si>
  <si>
    <t xml:space="preserve">https://www.quartzy.com/suppliers | https://www.avantiresearch.com/en-gb/contact-us</t>
  </si>
  <si>
    <t xml:space="preserve">Avantor - J.T.Baker®</t>
  </si>
  <si>
    <t xml:space="preserve">https://www.thomassci.com/browse-by/suppliers/avantor-j-t-baker</t>
  </si>
  <si>
    <t xml:space="preserve">https://www.avantorsciences.com</t>
  </si>
  <si>
    <t xml:space="preserve">Radnor, Pennsylvania</t>
  </si>
  <si>
    <t xml:space="preserve">Lab distribution &amp; own-brand products</t>
  </si>
  <si>
    <t xml:space="preserve">USD 6.55 billion</t>
  </si>
  <si>
    <t xml:space="preserve">VWR-brand consumables and lab supplies</t>
  </si>
  <si>
    <t xml:space="preserve">J.T.Baker chemicals</t>
  </si>
  <si>
    <t xml:space="preserve">NuSil silicones</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</si>
  <si>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A 2025/2026 search for a VWR/Avantor Israeli distributor, </t>
    </r>
    <r>
      <rPr>
        <sz val="11"/>
        <color theme="1"/>
        <rFont val="FreeSans"/>
        <family val="2"/>
      </rPr>
      <t xml:space="preserve">נציג </t>
    </r>
    <r>
      <rPr>
        <sz val="11"/>
        <color theme="1"/>
        <rFont val="Calibri"/>
        <family val="2"/>
        <charset val="1"/>
      </rPr>
      <t xml:space="preserve">or </t>
    </r>
    <r>
      <rPr>
        <sz val="11"/>
        <color theme="1"/>
        <rFont val="FreeSans"/>
        <family val="2"/>
      </rPr>
      <t xml:space="preserve">יבואן </t>
    </r>
    <r>
      <rPr>
        <sz val="11"/>
        <color theme="1"/>
        <rFont val="Calibri"/>
        <family val="2"/>
        <charset val="1"/>
      </rPr>
      <t xml:space="preserve">returned only Avantor investor summaries (Q1/Q2 2026 results), job ads and a UK expo listing; no Israeli partner, office or Israeli lab-supply site carrying VWR/Avantor was named. Status unchanged: no Israeli channel identified. Round 3 ran four searches: the brand restricted to the 40 Israeli distributor domains (only SEC filings surfaced; no Israeli lab-supply site mentions VWR or Avantor), a Hebrew-only query 'VWR Avantor </t>
    </r>
    <r>
      <rPr>
        <sz val="11"/>
        <color theme="1"/>
        <rFont val="FreeSans"/>
        <family val="2"/>
      </rPr>
      <t xml:space="preserve">יבואן נציגות בישראל ציוד מעבדה</t>
    </r>
    <r>
      <rPr>
        <sz val="11"/>
        <color theme="1"/>
        <rFont val="Calibri"/>
        <family val="2"/>
        <charset val="1"/>
      </rPr>
      <t xml:space="preserve">' (only acquisition news and a VWR International GmbH exhibitor listing that cites a Dubai hub), an 'Israel' query restricted to vwr.com/avantorsciences.com (no Israel page) and an extended English query (no Israeli partner named). VWR describes itself as Avantor's direct selling channel serving customers in ~180 countries, so Israel is probably served directly from Avantor/VWR Europe or through unnamed local resellers, but no Israeli entity could be identified.</t>
    </r>
  </si>
  <si>
    <t xml:space="preserve">+1 610 386 1700</t>
  </si>
  <si>
    <t xml:space="preserve">One Radnor Corporate Center, Building One, Suite 200, 100 Matsonford Road, Radnor, PA 19087, USA</t>
  </si>
  <si>
    <t xml:space="preserve">https://corporate.avantorsciences.com/us/en/contact</t>
  </si>
  <si>
    <t xml:space="preserve">https://www.thomassci.com/browse-by/suppliers/avantor-j-t-baker | https://www.sec.gov/Archives/edgar/data/1722482/000162828026007118/avtr-20251231.htm | https://seekingalpha.com/pr/20395342 | https://pitchbook.com/profiles/company/43001-47 | https://www.reveliolabs.com/companies/avantor/employees/ | https://gqp.avantorsciences.com/pages/en/vwr-part-of-avantor | https://www.chemie.de/firmen/12501/vwr-international-gmbh.html | https://www.sec.gov/Archives/edgar/data/1722482/000130817926000162/avtr015027-arsa.pdf | https://corporate.avantorsciences.com/in/en/about/who-we-are | https://arablab.german-pavilion.com/en/sites/exhibitors/98661 | https://en.wikipedia.org/wiki/Avantor | https://briefglance.com/companies/avantor-inc/pulses/63337 | https://www.chemicalukexpo.com/exhibitors/vwr-240914/ | https://www.vwr.com/</t>
  </si>
  <si>
    <t xml:space="preserve">Avantor - Macron Fine Chemicals™</t>
  </si>
  <si>
    <t xml:space="preserve">https://www.thomassci.com/browse-by/suppliers/avantor-macron-fine-chemicals</t>
  </si>
  <si>
    <t xml:space="preserve">https://www.thomassci.com/browse-by/suppliers/avantor-macron-fine-chemicals | https://www.sec.gov/Archives/edgar/data/1722482/000162828026007118/avtr-20251231.htm | https://seekingalpha.com/pr/20395342 | https://pitchbook.com/profiles/company/43001-47 | https://www.reveliolabs.com/companies/avantor/employees/ | https://gqp.avantorsciences.com/pages/en/vwr-part-of-avantor | https://www.chemie.de/firmen/12501/vwr-international-gmbh.html | https://www.sec.gov/Archives/edgar/data/1722482/000130817926000162/avtr015027-arsa.pdf | https://corporate.avantorsciences.com/in/en/about/who-we-are | https://arablab.german-pavilion.com/en/sites/exhibitors/98661 | https://en.wikipedia.org/wiki/Avantor | https://briefglance.com/companies/avantor-inc/pulses/63337 | https://www.chemicalukexpo.com/exhibitors/vwr-240914/ | https://www.vwr.com/</t>
  </si>
  <si>
    <t xml:space="preserve">Avidity Science</t>
  </si>
  <si>
    <t xml:space="preserve">https://www.dutscher.com/search?initialFilters=brand:Avidity+Science</t>
  </si>
  <si>
    <t xml:space="preserve">https://www.thomassci.com/browse-by/suppliers/avidity-science</t>
  </si>
  <si>
    <t xml:space="preserve">https://avidityscience.com</t>
  </si>
  <si>
    <t xml:space="preserve">Alto™ Type 1 Ultrapure Water System</t>
  </si>
  <si>
    <t xml:space="preserve">Puro III T and Geno II T all in one water systems</t>
  </si>
  <si>
    <t xml:space="preserve">Geno™ Type 2 Deionized Water System</t>
  </si>
  <si>
    <t xml:space="preserve">Only company profiles (UK/US sites, acquired by ATS 2023); no Israel mention.</t>
  </si>
  <si>
    <t xml:space="preserve">(800) 558-5913</t>
  </si>
  <si>
    <t xml:space="preserve">https://www.avidityscience.com/contact-avidity-science-us</t>
  </si>
  <si>
    <t xml:space="preserve">https://www.dutscher.com/search?initialFilters=brand:Avidity+Science | https://www.thomassci.com/browse-by/suppliers/avidity-science | https://www.avidityscience.com/contact-avidity-science-us</t>
  </si>
  <si>
    <t xml:space="preserve">Aviva Systems Biology</t>
  </si>
  <si>
    <t xml:space="preserve">https://avivasysbio.com</t>
  </si>
  <si>
    <t xml:space="preserve">858-552-6979</t>
  </si>
  <si>
    <t xml:space="preserve">info@avivasysbio.com</t>
  </si>
  <si>
    <t xml:space="preserve">https://www.avivasysbio.com/contact</t>
  </si>
  <si>
    <t xml:space="preserve">https://www.quartzy.com/suppliers | https://www.avivasysbio.com/contact</t>
  </si>
  <si>
    <t xml:space="preserve">Azenta</t>
  </si>
  <si>
    <t xml:space="preserve">https://www.dutscher.com/search?initialFilters=brand:Azenta</t>
  </si>
  <si>
    <t xml:space="preserve">Burlington, Massachusetts</t>
  </si>
  <si>
    <t xml:space="preserve">Lab refrigeration &amp; cold storage</t>
  </si>
  <si>
    <t xml:space="preserve">USD 594 million</t>
  </si>
  <si>
    <t xml:space="preserve">FY2025 (ended 30-Sep-2025)</t>
  </si>
  <si>
    <t xml:space="preserve">mixed</t>
  </si>
  <si>
    <t xml:space="preserve">BioStore III Cryo</t>
  </si>
  <si>
    <t xml:space="preserve">FluidX / Ziath tubes and readers</t>
  </si>
  <si>
    <t xml:space="preserve">GENEWIZ services</t>
  </si>
  <si>
    <t xml:space="preserve">HyLabs (Hy Laboratories Ltd.); Tamar Laboratory Supplies Ltd.</t>
  </si>
  <si>
    <t xml:space="preserve">HyLabs (Hy Laboratories Ltd.): +972-8-936-6475; Tamar Laboratory Supplies Ltd.: +972 2-533-6070 (also 02-579-9777)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</si>
  <si>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azenta.com has only a form-based distributor finder and its pages do not name an Israeli partner. HyLabs' live 'AZENTA - GENOMICS SERVICES' / 'AZENTA (GENEWIZ)' pages (research and clinical categories) still offer Azenta/GENEWIZ gene synthesis, cloning, oligo pools, mutagenesis and plasmid prep, and Tamar's live 'Represented companies' page lists 4titude as an Azenta Life Sciences (UK) brand; the FluidX part of Tamar's scope did not surface in this round's snippets. Both distributor pages are live, so the relationships count as current. General search ('Azenta' OR 'GENEWIZ'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returned only Azenta/GENEWIZ's own pages with no Israel mention. Domain-restricted search found Tamar's 'Represented companies' page listing both 'Azenta Life Sciences (United Kingdom)' and '4titude (Azenta Life Sciences)', plus a 4titude automatic roll heat sealer product page. No Israeli channel found for GENEWIZ genomics services (likely ordered directly online) or for automated -80 C / cryogenic sample stores; Azenta's own where-to-buy page not fetched.</t>
    </r>
  </si>
  <si>
    <t xml:space="preserve">+1 888-229-3682</t>
  </si>
  <si>
    <t xml:space="preserve">200 Summit Drive, Burlington, MA 01803, USA</t>
  </si>
  <si>
    <t xml:space="preserve">https://www.azenta.com/global-locations</t>
  </si>
  <si>
    <t xml:space="preserve">https://www.dutscher.com/search?initialFilters=brand:Azenta | https://www.sec.gov/Archives/edgar/data/933974/000143774925036931/azta20250930_10k.htm | https://investors.azenta.com/2025-02-05-Azenta-Reports-First-Quarter-Results-for-Fiscal-2025,-Ended-December-31,-2024 | https://investors.azenta.com/2025-05-07-Azenta-Reports-Second-Quarter-Results-for-Fiscal-2025,-Ended-March-31,-2025 | https://investors.azenta.com/2025-08-05-Azenta-Reports-Third-Quarter-Results-for-Fiscal-2025,-Ended-June-30,-2025-Reiterates-Full-Year-Fiscal-2025-Guidance | https://investors.azenta.com/2025-12-29-Azenta-Enters-Definitive-Agreement-for-the-Sale-of-its-B-Medical-Systems-Business-to-THELEMA-S-A-R-L?asPDF=1 | https://www.taylorwessing.com/de/insights-and-events/news/media-centre/press-releases/2026/01/advising-azenta | https://en.wikipedia.org/wiki/Azenta | https://www.hylabs.co.il/services/genewiz-genomics-services/ | https://www.hylabs.co.il/product-cat/research/custom-made-products/azenta-genomics-services/ | https://www.hylabs.co.il/product-cat/clinical-veterinary-diagnostic/custom-made-products-clinical/azenta-genomics-services-clinical/ | https://www.hylabs.co.il/products/fragment-gene-gblock/ | https://www.hylabs.co.il/blog/microbiome-and-next-generation-sequencing/ | https://www.tamar.co.il/represented-companies/ | https://www.tamar.co.il/tube-cappping-decapping/ | https://investors.azenta.com/2025-11-21-Azenta-Reports-Fourth-Quarter-and-Full-Year-Fiscal-2025-Results,-Ended-September-30,-2025 | http://www.tamar.co.il/automatic-roll-heat-sealer/ | https://www.azenta.com/distributors</t>
  </si>
  <si>
    <t xml:space="preserve">Azenta Life Sciences (formerly 4titude)</t>
  </si>
  <si>
    <t xml:space="preserve">https://www.thomassci.com/browse-by/suppliers/azenta-life-sciences</t>
  </si>
  <si>
    <t xml:space="preserve">https://www.thomassci.com/browse-by/suppliers/azenta-life-sciences | https://www.sec.gov/Archives/edgar/data/933974/000143774925036931/azta20250930_10k.htm | https://investors.azenta.com/2025-02-05-Azenta-Reports-First-Quarter-Results-for-Fiscal-2025,-Ended-December-31,-2024 | https://investors.azenta.com/2025-05-07-Azenta-Reports-Second-Quarter-Results-for-Fiscal-2025,-Ended-March-31,-2025 | https://investors.azenta.com/2025-08-05-Azenta-Reports-Third-Quarter-Results-for-Fiscal-2025,-Ended-June-30,-2025-Reiterates-Full-Year-Fiscal-2025-Guidance | https://investors.azenta.com/2025-12-29-Azenta-Enters-Definitive-Agreement-for-the-Sale-of-its-B-Medical-Systems-Business-to-THELEMA-S-A-R-L?asPDF=1 | https://www.taylorwessing.com/de/insights-and-events/news/media-centre/press-releases/2026/01/advising-azenta | https://en.wikipedia.org/wiki/Azenta | https://www.hylabs.co.il/services/genewiz-genomics-services/ | https://www.hylabs.co.il/product-cat/research/custom-made-products/azenta-genomics-services/ | https://www.hylabs.co.il/product-cat/clinical-veterinary-diagnostic/custom-made-products-clinical/azenta-genomics-services-clinical/ | https://www.hylabs.co.il/products/fragment-gene-gblock/ | https://www.hylabs.co.il/blog/microbiome-and-next-generation-sequencing/ | https://www.tamar.co.il/represented-companies/ | https://www.tamar.co.il/tube-cappping-decapping/ | https://investors.azenta.com/2025-11-21-Azenta-Reports-Fourth-Quarter-and-Full-Year-Fiscal-2025-Results,-Ended-September-30,-2025 | http://www.tamar.co.il/automatic-roll-heat-sealer/ | https://www.azenta.com/distributors</t>
  </si>
  <si>
    <t xml:space="preserve">Azer Scientific</t>
  </si>
  <si>
    <t xml:space="preserve">https://www.thomassci.com/browse-by/suppliers/azer-scientific</t>
  </si>
  <si>
    <t xml:space="preserve">https://azerscientific.com</t>
  </si>
  <si>
    <t xml:space="preserve">Screw Top Pathology Containers</t>
  </si>
  <si>
    <t xml:space="preserve">Giemsa Stain Kit (May-Grunwald)</t>
  </si>
  <si>
    <t xml:space="preserve">Molasses</t>
  </si>
  <si>
    <t xml:space="preserve">Azlon</t>
  </si>
  <si>
    <t xml:space="preserve">https://www.dutscher.com/search?initialFilters=brand:Azlon</t>
  </si>
  <si>
    <t xml:space="preserve">TPX volumetric flask 100 ml</t>
  </si>
  <si>
    <t xml:space="preserve">AZLON USP Class VI carboy with stopcock - HDPE - 5 L</t>
  </si>
  <si>
    <t xml:space="preserve">Carboy with stopcock AZLON USP Class VI - HDPE - 10 L</t>
  </si>
  <si>
    <t xml:space="preserve">Azura Genomics</t>
  </si>
  <si>
    <t xml:space="preserve">https://www.thomassci.com/browse-by/suppliers/azura-genomics</t>
  </si>
  <si>
    <t xml:space="preserve">https://azuragenomics.com</t>
  </si>
  <si>
    <t xml:space="preserve">Agarose LE</t>
  </si>
  <si>
    <t xml:space="preserve">Proteinase K</t>
  </si>
  <si>
    <t xml:space="preserve">Azura™ 2x Taq Red Mix</t>
  </si>
  <si>
    <t xml:space="preserve">No result mentions Azura Genomics; hits concern other genomics vendors' Israeli distributors (Eisenberg Bros for Fluidigm, Eldan for Vizgen/Medicinal Genomics, Syntezza for IDT/BGI).</t>
  </si>
  <si>
    <t xml:space="preserve">888-333-3895</t>
  </si>
  <si>
    <t xml:space="preserve">info@azuragenomics.com</t>
  </si>
  <si>
    <t xml:space="preserve">https://azuragenomics.com/pages/contact</t>
  </si>
  <si>
    <t xml:space="preserve">https://www.quartzy.com/suppliers | https://www.thomassci.com/browse-by/suppliers/azura-genomics | https://www.yairtech.co.il/partners/ | https://azuragenomics.com/pages/contact</t>
  </si>
  <si>
    <t xml:space="preserve">Azure Biosystems</t>
  </si>
  <si>
    <t xml:space="preserve">https://www.thomassci.com/browse-by/suppliers/azure-biosystems</t>
  </si>
  <si>
    <t xml:space="preserve">https://azurebiosystems.com</t>
  </si>
  <si>
    <t xml:space="preserve">Azure Chemi Blot Blocking Buffer</t>
  </si>
  <si>
    <t xml:space="preserve">Blot Development Folder</t>
  </si>
  <si>
    <t xml:space="preserve">HRP Stripping Buffer</t>
  </si>
  <si>
    <t xml:space="preserve">+ (925) 307-7127</t>
  </si>
  <si>
    <t xml:space="preserve">info@azurebiosystems.com</t>
  </si>
  <si>
    <t xml:space="preserve">https://azurebiosystems.com/about/contact-us/</t>
  </si>
  <si>
    <t xml:space="preserve">https://www.thomassci.com/browse-by/suppliers/azure-biosystems | https://azurebiosystems.com/about/contact-us/</t>
  </si>
  <si>
    <t xml:space="preserve">Bürkle</t>
  </si>
  <si>
    <t xml:space="preserve">https://www.thomassci.com/browse-by/suppliers/burkle</t>
  </si>
  <si>
    <t xml:space="preserve">https://buerkle.de</t>
  </si>
  <si>
    <t xml:space="preserve">Spray Bottles</t>
  </si>
  <si>
    <t xml:space="preserve">Disposable Forceps</t>
  </si>
  <si>
    <t xml:space="preserve">Automatic Titrating Burette</t>
  </si>
  <si>
    <t xml:space="preserve">+49763561210</t>
  </si>
  <si>
    <t xml:space="preserve">info@buerkle.de</t>
  </si>
  <si>
    <t xml:space="preserve">https://www.buerkle.de/de/kontakt</t>
  </si>
  <si>
    <t xml:space="preserve">https://www.thomassci.com/browse-by/suppliers/burkle | https://www.buerkle.de/de/kontakt</t>
  </si>
  <si>
    <t xml:space="preserve">Bacharach</t>
  </si>
  <si>
    <t xml:space="preserve">https://www.thomassci.com/browse-by/suppliers/bacharach</t>
  </si>
  <si>
    <t xml:space="preserve">https://bacharach.org</t>
  </si>
  <si>
    <t xml:space="preserve">Bachem</t>
  </si>
  <si>
    <t xml:space="preserve">https://bachem.com</t>
  </si>
  <si>
    <t xml:space="preserve">+41 58 595 2021</t>
  </si>
  <si>
    <t xml:space="preserve">https://www.bachem.com/contact/</t>
  </si>
  <si>
    <t xml:space="preserve">https://www.quartzy.com/suppliers | https://www.enco.co.il/suppliers.php | https://www.bachem.com/contact/</t>
  </si>
  <si>
    <t xml:space="preserve">BACtrack</t>
  </si>
  <si>
    <t xml:space="preserve">https://www.thomassci.com/browse-by/suppliers/bactrack</t>
  </si>
  <si>
    <t xml:space="preserve">https://bactrack.com</t>
  </si>
  <si>
    <t xml:space="preserve">18773346876</t>
  </si>
  <si>
    <t xml:space="preserve">info@bactrack.com</t>
  </si>
  <si>
    <t xml:space="preserve">https://www.bactrack.com/pages/contact-us</t>
  </si>
  <si>
    <t xml:space="preserve">https://www.thomassci.com/browse-by/suppliers/bactrack | https://www.bactrack.com/pages/contact-us</t>
  </si>
  <si>
    <t xml:space="preserve">Bal Supply</t>
  </si>
  <si>
    <t xml:space="preserve">https://www.thomassci.com/browse-by/suppliers/bal-supply</t>
  </si>
  <si>
    <t xml:space="preserve">Plastic Joint Clips</t>
  </si>
  <si>
    <t xml:space="preserve">Small Dropper Bulbs</t>
  </si>
  <si>
    <t xml:space="preserve">Large Red Bulbs</t>
  </si>
  <si>
    <t xml:space="preserve">No result mentions Bal Supply at all; hits are generic Israeli distributor listings (Rhenium, Tamar Laboratory Supplies, Agentek, Enco, Ornat, Lumitron).</t>
  </si>
  <si>
    <t xml:space="preserve">https://www.quartzy.com/suppliers | https://www.thomassci.com/browse-by/suppliers/bal-supply</t>
  </si>
  <si>
    <t xml:space="preserve">Barnstead</t>
  </si>
  <si>
    <t xml:space="preserve">https://www.thomassci.com/browse-by/suppliers/barnstead</t>
  </si>
  <si>
    <t xml:space="preserve">Thermolyne BenchTop Muffle Furnaces, 1200°C</t>
  </si>
  <si>
    <t xml:space="preserve">GenPure Systems</t>
  </si>
  <si>
    <t xml:space="preserve">Cord Set Assembly</t>
  </si>
  <si>
    <t xml:space="preserve">Batteries Plus</t>
  </si>
  <si>
    <t xml:space="preserve">https://www.thomassci.com/browse-by/suppliers/batteries-plus</t>
  </si>
  <si>
    <t xml:space="preserve">https://batteriesplus.com</t>
  </si>
  <si>
    <t xml:space="preserve">1-800-677-8278</t>
  </si>
  <si>
    <t xml:space="preserve">https://www.batteriesplus.com/contact-us</t>
  </si>
  <si>
    <t xml:space="preserve">https://www.thomassci.com/browse-by/suppliers/batteries-plus | https://www.batteriesplus.com/contact-us</t>
  </si>
  <si>
    <t xml:space="preserve">Bausch &amp; Lomb</t>
  </si>
  <si>
    <t xml:space="preserve">https://www.thomassci.com/browse-by/suppliers/bausch-and-lomb</t>
  </si>
  <si>
    <t xml:space="preserve">https://www.bausch.com</t>
  </si>
  <si>
    <t xml:space="preserve">Plastic Lens Cleaning Station, Wet</t>
  </si>
  <si>
    <t xml:space="preserve">Pre-Moistened Lens Cleaning Tissues</t>
  </si>
  <si>
    <t xml:space="preserve">FogShield XP Lens Cleaning Station</t>
  </si>
  <si>
    <t xml:space="preserve">1-800-553-5340</t>
  </si>
  <si>
    <t xml:space="preserve">https://www.bausch.com/about-bausch-lomb/contact-us/</t>
  </si>
  <si>
    <t xml:space="preserve">https://www.thomassci.com/browse-by/suppliers/bausch-and-lomb | https://www.bausch.com/about-bausch-lomb/contact-us/</t>
  </si>
  <si>
    <t xml:space="preserve">Bbraun</t>
  </si>
  <si>
    <t xml:space="preserve">https://www.dutscher.com/search?initialFilters=brand:Bbraun</t>
  </si>
  <si>
    <t xml:space="preserve">https://bbraun.co.uk</t>
  </si>
  <si>
    <t xml:space="preserve">Syringe Injekt 2 pieces volume 2 ml</t>
  </si>
  <si>
    <t xml:space="preserve">Tuberculin syringe 2 pieces volume 1 ml</t>
  </si>
  <si>
    <t xml:space="preserve">Omnifix syringe 3 pieces 10 ml</t>
  </si>
  <si>
    <t xml:space="preserve">+44 114 225 9000</t>
  </si>
  <si>
    <t xml:space="preserve">https://www.bbraun.co.uk/en/about-us/contact.html</t>
  </si>
  <si>
    <t xml:space="preserve">https://www.dutscher.com/search?initialFilters=brand:Bbraun | https://www.bbraun.co.uk/en/about-us/contact.html</t>
  </si>
  <si>
    <t xml:space="preserve">BD</t>
  </si>
  <si>
    <t xml:space="preserve">https://www.thomassci.com/browse-by/suppliers/bd</t>
  </si>
  <si>
    <t xml:space="preserve">https://bd.com</t>
  </si>
  <si>
    <t xml:space="preserve">Disposable BD Plastipak Syringes Without Needles</t>
  </si>
  <si>
    <t xml:space="preserve">Sterile, Disposable, Luer-Lok™ Syringe Needles</t>
  </si>
  <si>
    <t xml:space="preserve">Violet Red Bile Agar</t>
  </si>
  <si>
    <t xml:space="preserve">BD Biosciences</t>
  </si>
  <si>
    <t xml:space="preserve">https://www.bdbiosciences.com</t>
  </si>
  <si>
    <t xml:space="preserve">Milford, Massachusetts (Waters Corp.); former BD Biosciences HQ San Jose, California; BD corporate HQ Franklin Lakes, New Jersey</t>
  </si>
  <si>
    <t xml:space="preserve">Waters Corporation (since 9 Feb 2026; previously Becton Dickinson)</t>
  </si>
  <si>
    <t xml:space="preserve">Cell analysis (flow cytometry / cell sorting)</t>
  </si>
  <si>
    <t xml:space="preserve">USD 3.4 billion</t>
  </si>
  <si>
    <t xml:space="preserve">CY2025E (basis used in the Jul-2025 deal announcement)</t>
  </si>
  <si>
    <t xml:space="preserve">segment</t>
  </si>
  <si>
    <t xml:space="preserve">BD FACSDiscover S8</t>
  </si>
  <si>
    <t xml:space="preserve">BD FACSymphony A5 SE / A1</t>
  </si>
  <si>
    <t xml:space="preserve">BD BACTEC FX, BD MAX, BD Phoenix</t>
  </si>
  <si>
    <t xml:space="preserve">Augusta Life Sciences Israel Ltd. (Waters subsidiary, ex-BD Biosciences &amp; Diagnostic Solutions); BD Israel (Becton Dickinson); Lapidot Group (Lapidot Medical)</t>
  </si>
  <si>
    <t xml:space="preserve">Augusta Life Sciences Israel Ltd. (Waters subsidiary, ex-BD Biosciences &amp; Diagnostic Solutions):; BD Israel (Becton Dickinson):; Lapidot Group (Lapidot Medical): +972-4-6309630 / +972-74-7797836 customerservice@lapidot.com</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</si>
  <si>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jobs.bd.com's live Israel pages describe BD's own commercial arm in Israel (direct entity since 2017, Life Science BDB/IDS and Medical units, ~400 associates) and the BD Caesarea manufacturing site, and a 2026 Israeli medical-device directory lists BD Israel at Harduf HaNehalim St 2, Caesarea with the BDBIsrael@bd.com address - the same address Waters gives for Augusta Life Sciences Israel Ltd. The Augusta entity was not re-surfaced by search but rests on Waters' own 9-Feb-2026 transaction page. Note the BD careers text may predate the Feb-2026 separation; Lapidot's BD listing was not re-seen in snippets. Searched BD Biosciences/BD Israel/Becton Dickinson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Israeli distributor domains (BD, FACSymphony, FACSLyric, BD MAX, BACTEC), bd.com/waters.com, and the Waters-BD combination. bd.com's Israel pages show BD's own office and technical-service line in Caesarea, and Waters' BD-transaction legal page (dated 9 Feb 2026) lists Augusta Life Sciences Israel Ltd., Caesarea, among the acquired SpinCo entities now wholly owned by Waters - i.e. the ex-BD Biosciences &amp; Diagnostic Solutions business has its own Israeli entity under Waters. Waters states there are 'no changes for customers at this time' and that BD remains legal manufacturer of certain regulated products until registrations transfer, so sales/service of FACS, BD MAX and BACTEC in Israel presumably continue from the Caesarea operation, but no page spelled out the post-combination commercial arrangement; no independent Israeli distributor for BD flow cytometers or BD diagnostics was found (Almog Diagnostic distributes competing Cytek/Miltenyi/Slingshot lines; Lapidot lists BD without product scope). Lapidot's history page says it became BD's local representative in 1992; whether this covers the former BD Biosciences / Diagnostic Solutions lines after the Feb-2026 Waters combination is not stated. A 2026 directory lists BD Israel (Harduf HaNehalim St. 2, Caesarea, BDBIsrael@bd.com) and names Elad Health (+972 3 769 3000) as a BD distributor; both unverified.</t>
    </r>
  </si>
  <si>
    <t xml:space="preserve">BDBIsrael@bd.com</t>
  </si>
  <si>
    <t xml:space="preserve">Harduf HaNehalim St. 2, Caesarea, Israel</t>
  </si>
  <si>
    <t xml:space="preserve">https://pharmchoices.com/list-of-medical-device-companies-in-israel-2/2/</t>
  </si>
  <si>
    <t xml:space="preserve">https://www.quartzy.com/suppliers | https://www.biospace.com/press-releases/waters-completes-combination-with-bds-biosciences-diagnostic-solutions-businesses | https://tools.prnewswire.com/en-us/live/20823/release/20260209EN83221 | https://pulse2.com/waters-completes-combination-with-bd-biosciences-and-diagnostic-solutions-and-forms-four-new-divisions | https://www.analytica-world.com/en/news/1188060/waters-completes-combination-with-bd-s-biosciences-diagnostic-solutions-businesses.html | https://jobs.bd.com/location-israel | https://www.sec.gov/Archives/edgar/data/1000697/000119312524047491/d691142dex211.htm | https://www.sec.gov/Archives/edgar/data/1000697/000119312523050827/d412746dex211.htm | https://innovationisrael.org.il/en/calls_for_proposal/call-for-proposals-no-5-bd/ | https://www.bdbiosciences.com/en-in/products/instruments/flow-cytometers | https://www.enco.co.il/about.php | https://v1.israelphysicalsociety.org/ips-conference-2009/fairs/rhenium-ltd | https://www.bd.com/en-il/support/customer-support-contacts/bd-israel | https://www.bd.com/en-il/support/contact-us | https://www.waters.com/nextgen/us/en/about-waters/corporate-governance/legal-and-privacy-notices/bdtransaction.html | https://ir.waters.com/News--Events/newsroom/news-details/2026/Waters-Completes-Combination-with-BDs-Biosciences--Diagnostic-Solutions-Businesses/default.aspx | https://www.sec.gov/Archives/edgar/data/0001000697/000119312526344691/d170082d10q.htm | https://www.lapidot.com/en/partners/ | https://www.businesswire.com/news/home/20220626005007/en/Slingshot-Biosciences-Inc.-Partners-With-Almog-Diagnostic-to-Distribute-Synthetic-Cells-Throughout-Israel | https://www.lapidot.com/en/about/ | https://jobs.bd.com/en/locations-israel | https://pharmchoices.com/list-of-medical-device-companies-in-israel-2/2/ | https://en.globes.co.il/en/article-bd-buys-caesarea-medical-electronics-1001184126</t>
  </si>
  <si>
    <t xml:space="preserve">BD medical</t>
  </si>
  <si>
    <t xml:space="preserve">https://www.dutscher.com/search?initialFilters=brand:BD+medical</t>
  </si>
  <si>
    <t xml:space="preserve">Anaerobic atmosphere production and indicator system</t>
  </si>
  <si>
    <t xml:space="preserve">Plastipak insulin syringe - 0.5 ml - length: 12.7 mm</t>
  </si>
  <si>
    <t xml:space="preserve">Emerald syringe, 5 ml, centred luer cone</t>
  </si>
  <si>
    <t xml:space="preserve">BeanTown Chemical</t>
  </si>
  <si>
    <t xml:space="preserve">https://www.thomassci.com/browse-by/suppliers/beantown-chemical</t>
  </si>
  <si>
    <t xml:space="preserve">https://beantownchem.com</t>
  </si>
  <si>
    <t xml:space="preserve">n-Pentane, HPLC, 99.0% min.</t>
  </si>
  <si>
    <t xml:space="preserve">Agar powder</t>
  </si>
  <si>
    <t xml:space="preserve">Potassium sulfate, 99%</t>
  </si>
  <si>
    <t xml:space="preserve">Beckman Coulter</t>
  </si>
  <si>
    <t xml:space="preserve">https://www.thomassci.com/browse-by/suppliers/beckman-coulter</t>
  </si>
  <si>
    <t xml:space="preserve">https://www.beckmancoulter.com</t>
  </si>
  <si>
    <t xml:space="preserve">Brea, California (Diagnostics); Indianapolis, Indiana (Life Sciences)</t>
  </si>
  <si>
    <t xml:space="preserve">Danaher Corporation</t>
  </si>
  <si>
    <t xml:space="preserve">Clinical / IVD laboratory analyzers</t>
  </si>
  <si>
    <t xml:space="preserve">USD ~9.9 billion (Danaher Diagnostics segment, FY2025)</t>
  </si>
  <si>
    <t xml:space="preserve">DxH 900</t>
  </si>
  <si>
    <t xml:space="preserve">DxI 9000 Access</t>
  </si>
  <si>
    <t xml:space="preserve">CytoFLEX</t>
  </si>
  <si>
    <t xml:space="preserve">Rhenium Ltd.; Beckman Coulter (Israel) Ltd.</t>
  </si>
  <si>
    <t xml:space="preserve">Rhenium Ltd.: +972 8-955-8888; Beckman Coulter (Israel) Ltd.:</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</si>
  <si>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Beckman Coulter Life Sciences' own live Israel contact page (beckman.com/contact-us/israel) still lists Rhenium Ltd., Modi'in, as distributor with address and phone, so the life-science channel is current and the 2009 listing is superseded (Rhenium's own site did not expose a Beckman page in snippets). New: Beckman Coulter's EU data-controller list names a Beckman Coulter (Israel) Ltd. in Rehovot under the Diagnostics group, suggesting the diagnostics business has its own Israeli entity; its sales/service role was not established. Life Sciences: Beckman Coulter Life Sciences' own contact page for Israel (beckman.com/contact-us/israel, mirrored on mybeckman.vn) lists 'Rhenium Ltd (Distributor), 20 Hasatat, P.O.B. 180, Modi'in 7171101, Israel, +972 8 955 8888'. A 2009 Israel Physical Society trade-fair listing also names Beckman Coulter among the brands Rhenium represents. Diagnostics: no Israeli distributor or office was identified - the search ('Beckman Coulter diagnostics Israel distributor hematology DxH AU analyzer') returned only regulatory recall records listing Israel among AU5800 distribution countries; the Hebrew query and a beckmancoulter.com domain search were blocked by the search budget and the Diagnostics site could not be opened (fetch failure). The Diagnostics channel therefore remains unverified and may be a different Israeli partner (the brief's hints Ilex Medical / Dyn Diagnostics were not checked). Agentek appeared in results but shows no Beckman Coulter link.</t>
    </r>
  </si>
  <si>
    <t xml:space="preserve">+1 714-993-5321</t>
  </si>
  <si>
    <t xml:space="preserve">250 South Kraemer Boulevard, Brea, CA 92821-6232, USA</t>
  </si>
  <si>
    <t xml:space="preserve">https://www.beckmancoulter.com/en/support/contact-us</t>
  </si>
  <si>
    <t xml:space="preserve">https://www.globaldata.com/company-profile/beckman-coulter-inc/locations/</t>
  </si>
  <si>
    <t xml:space="preserve">https://www.quartzy.com/suppliers | https://www.thomassci.com/browse-by/suppliers/beckman-coulter | https://www.beckman.com/contact-us/israel | https://mybeckman.vn/contact-us/israel | https://archive.israelphysicalsociety.org/ips-conference-2009/fairs/rhenium-ltd.html | https://www.sec.gov/Archives/edgar/data/313616/000031361626000062/dhr-20251231.htm | https://hudson-labs.com/research/danaher-corporation-dhr-equity-initiation-report | https://tickerleague.com/companies/DHR/employee-count | https://www.excedr.com/blog/featured-manufacturer-beckman-coulter-diagnostics | https://media.beckmancoulter.com/-/media/diagnostics/eu-assets/pdf/controller-list.pdf?rev=e10665d675ed4f24adf07082e61099f6&amp;hash=DF4541DC81268F0844822FB104DF7F66 | https://rhenium.co.il/rhenium-medical-2 | https://www.beckmancoulter.com/en/support/contact-us</t>
  </si>
  <si>
    <t xml:space="preserve">BEING Scientific</t>
  </si>
  <si>
    <t xml:space="preserve">https://beinglab-usa.com</t>
  </si>
  <si>
    <t xml:space="preserve">BEING Scientific is the US subsidiary of BEING Technology Co., Ltd. Over the past 25 years, BEING has emerged as a leading global developer and manufacturer of high-quality, professional laboratory equipment for researchers and lab technicians. We are committed to providing customers with innovative and reliable products to meet the ever-changing laboratory needs on instruments like mechanical and natural convection, cooling, and CO2 incubators, mechanical and natural convection drying and vacuum ovens, orbital and incubated shakers, square magnetic heated stirrers, rotary evaporators, chillers, circulating and water baths, vacuum pumps, and much more!</t>
  </si>
  <si>
    <t xml:space="preserve">Only BEING Scientific (US arm of BEING Technology, Ontario CA) profiles and US resellers (San Diego Scale, Labfilterz); nothing for Israel.</t>
  </si>
  <si>
    <t xml:space="preserve">+1 (800) 278-1390</t>
  </si>
  <si>
    <t xml:space="preserve">https://beinglab-usa.com/contact-us</t>
  </si>
  <si>
    <t xml:space="preserve">https://www.quartzy.com/suppliers | https://info.quartzy.com/new-suppliers | https://beinglab-usa.com/contact-us</t>
  </si>
  <si>
    <t xml:space="preserve">Bel-Art - SP Scienceware</t>
  </si>
  <si>
    <t xml:space="preserve">https://www.thomassci.com/browse-by/suppliers/bel-art-sp-scienceware</t>
  </si>
  <si>
    <t xml:space="preserve">Sampling Scoop, Sterile, 250ML (8oz.), Red, Plastic, Individually packed</t>
  </si>
  <si>
    <t xml:space="preserve">Jerrican Vent Cap</t>
  </si>
  <si>
    <t xml:space="preserve">Sterileware® Economy Sterile Sample Spoons</t>
  </si>
  <si>
    <t xml:space="preserve">BelArt</t>
  </si>
  <si>
    <t xml:space="preserve">https://shopbelart.com</t>
  </si>
  <si>
    <t xml:space="preserve">Bellco</t>
  </si>
  <si>
    <t xml:space="preserve">https://www.dutscher.com/search?initialFilters=brand:Bellco</t>
  </si>
  <si>
    <t xml:space="preserve">Borosilicate glass cloning cylinder</t>
  </si>
  <si>
    <t xml:space="preserve">100 ml Spinner Flask GBS 2000 with Bellco Ball Shaft</t>
  </si>
  <si>
    <t xml:space="preserve">Fernbach bottle 2800 ml Bellco</t>
  </si>
  <si>
    <t xml:space="preserve">Danyel Biotech Ltd.; EX-LAB Ltd.</t>
  </si>
  <si>
    <t xml:space="preserve">Danyel Biotech Ltd.: 1-800-711-911 (also +972 8-936-6066) danyel@danyel.co.il; EX-LAB Ltd.: 03-9214108 info@ex-lab.com</t>
  </si>
  <si>
    <t xml:space="preserve">https://www.dutscher.com/search?initialFilters=brand:Bellco | https://www.danyel.co.il/ | https://ex-lab.com/?taxonomy=product-category&amp;term=pharmaceutical-equipment-manufacturing-used-equipment</t>
  </si>
  <si>
    <t xml:space="preserve">Bellco Glass</t>
  </si>
  <si>
    <t xml:space="preserve">https://www.thomassci.com/browse-by/suppliers/bellco-glass</t>
  </si>
  <si>
    <t xml:space="preserve">https://bellcoglass.com</t>
  </si>
  <si>
    <t xml:space="preserve">Metric Bioreactor Stand, 7L</t>
  </si>
  <si>
    <t xml:space="preserve">Photoetch Coverslip,23x23mm</t>
  </si>
  <si>
    <t xml:space="preserve">Heating circulator +20…+100 °C; 1 kW heater; 27L plastic tank</t>
  </si>
  <si>
    <t xml:space="preserve">לא ברור</t>
  </si>
  <si>
    <t xml:space="preserve">Bellco's company profile (pharmaceutical-tech.com/suppliers/bellco-glass-inc) lists Israel among the countries in its worldwide distributor network, but no result names the Israeli distributor.</t>
  </si>
  <si>
    <t xml:space="preserve">1-856-691-1075</t>
  </si>
  <si>
    <t xml:space="preserve">https://bellcoglass.com/contact-us/</t>
  </si>
  <si>
    <t xml:space="preserve">https://www.quartzy.com/suppliers | https://www.thomassci.com/browse-by/suppliers/bellco-glass | https://bellcoglass.com/contact-us/</t>
  </si>
  <si>
    <t xml:space="preserve">Bellingham &amp; Stanley</t>
  </si>
  <si>
    <t xml:space="preserve">https://www.thomassci.com/browse-by/suppliers/bellingham-and-stanley</t>
  </si>
  <si>
    <t xml:space="preserve">https://bellinghamandstanley.com</t>
  </si>
  <si>
    <t xml:space="preserve">OPTi® Digital Handheld Refractometer</t>
  </si>
  <si>
    <t xml:space="preserve">RFM300-M Refractometers</t>
  </si>
  <si>
    <t xml:space="preserve">RFM300-T Refractometers</t>
  </si>
  <si>
    <t xml:space="preserve">+49 881 183-0</t>
  </si>
  <si>
    <t xml:space="preserve">https://www.xylemanalytics.com/en/contact/general-contact</t>
  </si>
  <si>
    <t xml:space="preserve">https://www.thomassci.com/browse-by/suppliers/bellingham-and-stanley | https://www.xylemanalytics.com/en/contact/general-contact</t>
  </si>
  <si>
    <t xml:space="preserve">Bemis</t>
  </si>
  <si>
    <t xml:space="preserve">Benchmark</t>
  </si>
  <si>
    <t xml:space="preserve">https://www.dutscher.com/search?initialFilters=brand:Benchmark</t>
  </si>
  <si>
    <t xml:space="preserve">https://www.benchmarkscientific.com</t>
  </si>
  <si>
    <t xml:space="preserve">Ventilated hematocrit centrifuge HC-24</t>
  </si>
  <si>
    <t xml:space="preserve">Digital dry bath 1 block</t>
  </si>
  <si>
    <t xml:space="preserve">SmartGlow safe loading dye 20 µl</t>
  </si>
  <si>
    <t xml:space="preserve">Danyel Biotech Ltd.</t>
  </si>
  <si>
    <t xml:space="preserve">Danyel Biotech Ltd.: 1-800-711-911 (also +972 8-936-6066) danyel@danyel.co.il</t>
  </si>
  <si>
    <t xml:space="preserve">https://www.dutscher.com/search?initialFilters=brand:Benchmark | https://www.danyel.co.il/</t>
  </si>
  <si>
    <t xml:space="preserve">Benchmark Scientific</t>
  </si>
  <si>
    <t xml:space="preserve">https://www.thomassci.com/browse-by/suppliers/benchmark-scientific</t>
  </si>
  <si>
    <t xml:space="preserve">Sayreville</t>
  </si>
  <si>
    <t xml:space="preserve">2004</t>
  </si>
  <si>
    <t xml:space="preserve">seller of scientific instruments</t>
  </si>
  <si>
    <t xml:space="preserve">2023</t>
  </si>
  <si>
    <t xml:space="preserve">BeadBath Duo Series</t>
  </si>
  <si>
    <t xml:space="preserve">Accuris Quantification Kits</t>
  </si>
  <si>
    <t xml:space="preserve">BenchMixer™ Vortex Mixers</t>
  </si>
  <si>
    <t xml:space="preserve">Q117192945</t>
  </si>
  <si>
    <t xml:space="preserve">https://www.thomassci.com/browse-by/suppliers/benchmark-scientific | https://www.wikidata.org/wiki/Q117192945 | https://www.danyel.co.il/</t>
  </si>
  <si>
    <t xml:space="preserve">BenchPro</t>
  </si>
  <si>
    <t xml:space="preserve">https://www.thomassci.com/browse-by/suppliers/benchpro</t>
  </si>
  <si>
    <t xml:space="preserve">https://www.benchpro.com</t>
  </si>
  <si>
    <t xml:space="preserve">ריהוט ותשתיות מעבדה</t>
  </si>
  <si>
    <t xml:space="preserve">Kennedy Series Workbench with 1" Thick Phenolic Resin Top</t>
  </si>
  <si>
    <t xml:space="preserve">Kennedy Stainless Steel Frame and Top</t>
  </si>
  <si>
    <t xml:space="preserve">Kennedy Series Workbench with Cleanroom Laminate Top</t>
  </si>
  <si>
    <t xml:space="preserve">BenchPro (US industrial/lab workbench maker) results are US-only (Bench Depot as US distributor, EIS); Israeli distributor pages (Rhenium, Agentek, Enco, S.L. Moran) do not mention BenchPro.</t>
  </si>
  <si>
    <t xml:space="preserve">619-478-5478</t>
  </si>
  <si>
    <t xml:space="preserve">info@benchpro.com</t>
  </si>
  <si>
    <t xml:space="preserve">https://benchpro.com/contact-us-2/</t>
  </si>
  <si>
    <t xml:space="preserve">https://www.quartzy.com/suppliers | https://www.thomassci.com/browse-by/suppliers/benchpro | https://benchpro.com/contact-us-2/</t>
  </si>
  <si>
    <t xml:space="preserve">Berk International</t>
  </si>
  <si>
    <t xml:space="preserve">https://www.thomassci.com/browse-by/suppliers/berk-international</t>
  </si>
  <si>
    <t xml:space="preserve">https://berkwiperconverting.net</t>
  </si>
  <si>
    <t xml:space="preserve">Eden Soft Multi-Fold Hand Towels</t>
  </si>
  <si>
    <t xml:space="preserve">Wiper, DRC Roll, Perforated, White, 9 x 12 inch, 325 Foot Rolls, Light Weight, Lightweight, 6RL/CS</t>
  </si>
  <si>
    <t xml:space="preserve">Berkshire</t>
  </si>
  <si>
    <t xml:space="preserve">https://www.thomassci.com/browse-by/suppliers/berkshire</t>
  </si>
  <si>
    <t xml:space="preserve">Twillx® 1622</t>
  </si>
  <si>
    <t xml:space="preserve">VALUCLEAN® PLUS Wipers</t>
  </si>
  <si>
    <t xml:space="preserve">Irradiated V Foam Mop Cover</t>
  </si>
  <si>
    <t xml:space="preserve">Berlin Packaging</t>
  </si>
  <si>
    <t xml:space="preserve">https://www.thomassci.com/browse-by/suppliers/berlin-packaging</t>
  </si>
  <si>
    <t xml:space="preserve">https://berlinpackaging.com</t>
  </si>
  <si>
    <t xml:space="preserve">food packaging</t>
  </si>
  <si>
    <t xml:space="preserve">American packaging corporation</t>
  </si>
  <si>
    <t xml:space="preserve">General Purpose Spray Bottles with Trigger Sprayer</t>
  </si>
  <si>
    <t xml:space="preserve">Qorpak® Weigh Dish</t>
  </si>
  <si>
    <t xml:space="preserve">Bottle Straight Side Glass 2oz</t>
  </si>
  <si>
    <t xml:space="preserve">800-363-9822</t>
  </si>
  <si>
    <t xml:space="preserve">https://www.berlinpackaging.com/contact-us/</t>
  </si>
  <si>
    <t xml:space="preserve">Q4892453</t>
  </si>
  <si>
    <t xml:space="preserve">https://www.thomassci.com/browse-by/suppliers/berlin-packaging | https://www.wikidata.org/wiki/Q4892453 | https://www.berlinpackaging.com/contact-us/</t>
  </si>
  <si>
    <t xml:space="preserve">Bertin Corp</t>
  </si>
  <si>
    <t xml:space="preserve">https://www.thomassci.com/browse-by/suppliers/bertin-corp</t>
  </si>
  <si>
    <t xml:space="preserve">Empty 2mL Reinforced Tubes</t>
  </si>
  <si>
    <t xml:space="preserve">Tissue grinding CKMix50, 7mL</t>
  </si>
  <si>
    <t xml:space="preserve">Precellys®24</t>
  </si>
  <si>
    <t xml:space="preserve">Bertin Technologies cites a network of ~50 distributors worldwide, but results name none for Israel (only VWR, ThomasSci, Szabo-Scandic product pages).</t>
  </si>
  <si>
    <t xml:space="preserve">https://www.quartzy.com/suppliers | https://www.thomassci.com/browse-by/suppliers/bertin-corp | https://www.tamar.co.il/represented-companies/</t>
  </si>
  <si>
    <t xml:space="preserve">Best Sanitizers</t>
  </si>
  <si>
    <t xml:space="preserve">https://www.thomassci.com/browse-by/suppliers/best-sanitizers</t>
  </si>
  <si>
    <t xml:space="preserve">https://bestsanitizers.com</t>
  </si>
  <si>
    <t xml:space="preserve">Alpet D2 Sanitizer Cleaner, 50 Gallon Drum</t>
  </si>
  <si>
    <t xml:space="preserve">Alpet No-Rinse Quat Sanitizer</t>
  </si>
  <si>
    <t xml:space="preserve">Alpet D2 Surface Sanitizer / Disinfectant</t>
  </si>
  <si>
    <t xml:space="preserve">18882253267</t>
  </si>
  <si>
    <t xml:space="preserve">sales@bestsanitizers.com</t>
  </si>
  <si>
    <t xml:space="preserve">https://www.bestsanitizers.com/contact/</t>
  </si>
  <si>
    <t xml:space="preserve">https://www.thomassci.com/browse-by/suppliers/best-sanitizers | https://www.bestsanitizers.com/contact/</t>
  </si>
  <si>
    <t xml:space="preserve">Best Value Vacs</t>
  </si>
  <si>
    <t xml:space="preserve">https://www.thomassci.com/browse-by/suppliers/best-value-vacs</t>
  </si>
  <si>
    <t xml:space="preserve">מיקרוביולוגיה</t>
  </si>
  <si>
    <t xml:space="preserve">5 Gallon Aluminum Chamber</t>
  </si>
  <si>
    <t xml:space="preserve">Quadpod Open Blast Extractors</t>
  </si>
  <si>
    <t xml:space="preserve">3 Gallon Aluminum Vacuum Chamber</t>
  </si>
  <si>
    <t xml:space="preserve">Bethyl Laboratories</t>
  </si>
  <si>
    <t xml:space="preserve">Bevco</t>
  </si>
  <si>
    <t xml:space="preserve">https://www.thomassci.com/browse-by/suppliers/bevco</t>
  </si>
  <si>
    <t xml:space="preserve">Everlast (7000 Series) Industrial Seating</t>
  </si>
  <si>
    <t xml:space="preserve">Doral ISO 5 Cleanroom Vinyl Chair</t>
  </si>
  <si>
    <t xml:space="preserve">Everlast (7000 Series) Class 10 Cleanroom and ESD Polyurethane Seating</t>
  </si>
  <si>
    <t xml:space="preserve">Bimake.com (Biotool)</t>
  </si>
  <si>
    <t xml:space="preserve">Bimos</t>
  </si>
  <si>
    <t xml:space="preserve">https://www.dutscher.com/search?initialFilters=brand:Bimos</t>
  </si>
  <si>
    <t xml:space="preserve">https://bimos.com</t>
  </si>
  <si>
    <t xml:space="preserve">Chair</t>
  </si>
  <si>
    <t xml:space="preserve">LABSIT 4 GRAY PU SEAT WITH CASTERS FOOTREST POLYAMIDE BASE</t>
  </si>
  <si>
    <t xml:space="preserve">Labsit PU black stool with castors</t>
  </si>
  <si>
    <t xml:space="preserve">Labsit 4 Chair integral foam, Blue</t>
  </si>
  <si>
    <t xml:space="preserve">0013123850240</t>
  </si>
  <si>
    <t xml:space="preserve">info@bimos.de</t>
  </si>
  <si>
    <t xml:space="preserve">https://www.bimos.com/us-en/bimos-contact</t>
  </si>
  <si>
    <t xml:space="preserve">https://www.dutscher.com/search?initialFilters=brand:Bimos | https://www.bimos.com/us-en/bimos-contact</t>
  </si>
  <si>
    <t xml:space="preserve">Binder</t>
  </si>
  <si>
    <t xml:space="preserve">https://www.dutscher.com/search?initialFilters=brand:Binder</t>
  </si>
  <si>
    <t xml:space="preserve">https://www.thomassci.com/browse-by/suppliers/binder</t>
  </si>
  <si>
    <t xml:space="preserve">https://www.binder-world.com</t>
  </si>
  <si>
    <t xml:space="preserve">Tuttlingen</t>
  </si>
  <si>
    <t xml:space="preserve">General lab equipment (incubators, ovens, baths, shakers, stirrers)</t>
  </si>
  <si>
    <t xml:space="preserve">USD ~110-133 million (aggregator estimates: Prospeo ~110.5M, ZoomInfo/Datanyze ~133.1M)</t>
  </si>
  <si>
    <t xml:space="preserve">undated aggregator estimates (c. 2024)</t>
  </si>
  <si>
    <t xml:space="preserve">KBF / KBF P series</t>
  </si>
  <si>
    <t xml:space="preserve">CB / CB-S series</t>
  </si>
  <si>
    <t xml:space="preserve">FD / FED / FP series</t>
  </si>
  <si>
    <t xml:space="preserve">Labotal Scientific Equipment Ltd.</t>
  </si>
  <si>
    <t xml:space="preserve">Labotal Scientific Equipment Ltd.: +972 2-579-9222 Sales@labotal.co.il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</si>
  <si>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Labotal's live site still lists BINDER among its represented firms (dedicated Binder page plus the Represented Firms and drying-systems pages), so the relationship is current on the distributor's side. BINDER's own distributor locator (binder-world.com) returned nothing in a domain-restricted search, so the manufacturer side is not independently confirmed. No other Israeli BINDER channel surfaced. Labotal's own site lists the brand among the firms it represents and sells its products in Israel (some Labotal pages are several years old; the manufacturer's distributor page was not opened).</t>
    </r>
  </si>
  <si>
    <t xml:space="preserve">+49 7462 2005-0</t>
  </si>
  <si>
    <t xml:space="preserve">info@binder-world.com</t>
  </si>
  <si>
    <t xml:space="preserve">Im Mittleren Ösch 5, 78532 Tuttlingen, Germany</t>
  </si>
  <si>
    <t xml:space="preserve">https://www.binder-world.com/int-en/company/locations</t>
  </si>
  <si>
    <t xml:space="preserve">https://www.dutscher.com/search?initialFilters=brand:Binder | https://www.thomassci.com/browse-by/suppliers/binder | https://www.binder-world.com/us-en/company/news/detail/binder-opens-doors | https://www.binder-world.com/us-en/company/news/detail/spatenstich-competence-factory-ii | https://www.chemie.de/news/165142/binder-baut-firmensitz-in-tuttlingen-aus.html | https://www.chemie.de/firmen/562/ | https://www.zoominfo.com/c/binder/21352556 | https://www.datanyze.com/companies/binder/21352556 | https://prospeo.io/c/binder-revenue | https://www.owler.com/company/binder-world | https://labotal.co.il/firms/binder/ | https://labotal.co.il/firms/binder/?lang=en | https://labotal.co.il/firms/?lang=en | https://labotal.co.il/product-category/drying-systems/?lang=en</t>
  </si>
  <si>
    <t xml:space="preserve">Bio Basic Inc.</t>
  </si>
  <si>
    <t xml:space="preserve">https://www.thomassci.com/browse-by/suppliers/bio-basic-inc-</t>
  </si>
  <si>
    <t xml:space="preserve">Coomassie Brilliant Blue G-250</t>
  </si>
  <si>
    <t xml:space="preserve">EZ-10 Spin Column DNA Gel Extraction Kit</t>
  </si>
  <si>
    <t xml:space="preserve">Bradford reagent</t>
  </si>
  <si>
    <t xml:space="preserve">Syntezza Bioscience Ltd</t>
  </si>
  <si>
    <t xml:space="preserve">Syntezza Bioscience Ltd:</t>
  </si>
  <si>
    <t xml:space="preserve">Distributor-side evidence: Syntezza's own live About page plus its ISO document (https://www.syntezza.com/wp-content/uploads/2020/02/ISO-Regulatory-Compliance-Syntezza-Bioscience-Ltd-2-2020-1.pdf); exclusivity claim only in the scientist.com profile (https://app.scientist.com/providers/syntezza-contract-services). No manufacturer-side page found.</t>
  </si>
  <si>
    <t xml:space="preserve">https://www.quartzy.com/suppliers | https://www.thomassci.com/browse-by/suppliers/bio-basic-inc- | https://www.syntezza.com/about/</t>
  </si>
  <si>
    <t xml:space="preserve">Bio Plas</t>
  </si>
  <si>
    <t xml:space="preserve">https://www.thomassci.com/browse-by/suppliers/bio-plas</t>
  </si>
  <si>
    <t xml:space="preserve">https://bioplas.com</t>
  </si>
  <si>
    <t xml:space="preserve">Pestles in G-Tubes®</t>
  </si>
  <si>
    <t xml:space="preserve">Screw-Cap Microcentrifuge Tubes</t>
  </si>
  <si>
    <t xml:space="preserve">Siliconized 1.5mL G-Tube, Flat Top Microcentrifuge Tube, Sterile</t>
  </si>
  <si>
    <t xml:space="preserve">Bio Plas Inc. (California) sells exclusively through a B2B distributor network; results name only US resellers (MAP Medical). The Israeli 'Bio-Lab Ltd' (Jerusalem) hit is an unrelated name match.</t>
  </si>
  <si>
    <t xml:space="preserve">(415) 472-3777</t>
  </si>
  <si>
    <t xml:space="preserve">info@bioplas.com</t>
  </si>
  <si>
    <t xml:space="preserve">https://www.bioplas.com/location</t>
  </si>
  <si>
    <t xml:space="preserve">https://www.quartzy.com/suppliers | https://www.thomassci.com/browse-by/suppliers/bio-plas | https://www.bioplas.com/location</t>
  </si>
  <si>
    <t xml:space="preserve">Bio-Rad</t>
  </si>
  <si>
    <t xml:space="preserve">https://www.bio-rad.com</t>
  </si>
  <si>
    <t xml:space="preserve">Hercules, California</t>
  </si>
  <si>
    <t xml:space="preserve">Life-science instruments &amp; reagents</t>
  </si>
  <si>
    <t xml:space="preserve">USD 2.58 billion</t>
  </si>
  <si>
    <t xml:space="preserve">QX600 Droplet Digital PCR</t>
  </si>
  <si>
    <t xml:space="preserve">CFX Opus Real-Time PCR</t>
  </si>
  <si>
    <t xml:space="preserve">ChemiDoc MP</t>
  </si>
  <si>
    <t xml:space="preserve">Bio-Rad Israel Ltd. (Bio-Rad Laboratories (Rishon)); Bio-Rad Haifa Ltd.; Enco</t>
  </si>
  <si>
    <t xml:space="preserve">Bio-Rad Israel Ltd. (Bio-Rad Laboratories (Rishon)):; Bio-Rad Haifa Ltd.:; Enco: +972-3-934-9922 orders@enco.co.il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</si>
  <si>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Bio-Rad's own site re-confirms the Israeli subsidiary: the Israel trading-terms document names Bio-Rad Laboratories Ltd., 14 Homa Street, Rishon LeZion; the quality-certificates page covers an ISO 9001:2015 certificate for the Rishon LeZion site (sales, distribution and after-sales service; expiring 12 Nov 2026); and careers.bio-rad.com has a dedicated Israel page. Bio-Rad Haifa Ltd. (R&amp;D) has only the 2006 acquisition/SEC-exhibit evidence. Own subsidiary confirmed. Bio-Rad's careers site has a dedicated Israel page and job postings under 'Bio-Rad Israel Ltd' with work location 'Bio-Rad Laboratories Ltd, Rishon Le Zion, Israel, 75655'. Bio-Rad's SEC Exhibit 21.1 (FY2019 and FY2021 10-Ks) lists 'Bio-Rad Laboratories (Rishon), Inc.' (f/k/a Bio-Rad Laboratories (Israel), Inc., California jurisdiction) and 'Bio-Rad Haifa Ltd.' (Israel). A company directory (startupim) gives the Rishon LeZion address as 14 HaHoma St. and says the Israeli sales branch was established in 1991; Bio-Rad Haifa is the R&amp;D centre created from the 2006 ProteOptics acquisition. Sources conflict on the exact legal form of the Rishon entity (Israeli 'Ltd' vs California 'Inc.'). Direct sales via the own subsidiary is the channel; no independent distributor surfaced. Limitation: bio-rad.com contact page could not be opened (fetch tool failure) and the search budget ran out before a domain-restricted check.</t>
    </r>
  </si>
  <si>
    <t xml:space="preserve">Hahoma Street 14, Rishon LeZion, Israel</t>
  </si>
  <si>
    <t xml:space="preserve">https://www.bio-rad.com/en-il/contact-us</t>
  </si>
  <si>
    <t xml:space="preserve">https://slimpages.startupim.com/company_page/bio-rad-laboratories</t>
  </si>
  <si>
    <t xml:space="preserve">https://www.quartzy.com/suppliers | https://careers.bio-rad.com/israel | https://careers.bio-rad.com/zh/jobs/field-service-eng-rishon-le-zion-israel | https://www.sec.gov/Archives/edgar/data/12208/000001220822000011/ex211123121.htm | https://www.sec.gov/Archives/edgar/data/12208/000001220820000012/ex211123119.htm | https://slimpages.startupim.com/company_page/bio-rad-laboratories | https://app.edgar.tools/companies/BIO | https://bitscale.ai/directory/bio-rad-laboratories | https://www.reveliolabs.com/companies/bio-rad-laboratories/employees | https://www.bio-rad.com/webroot/web/pdf/general/trading_terms/AGB_IL.pdf | https://www.bio-rad.com/en-us/feature/quality-management-systems-certificates.html | https://www.enco.co.il/suppliers.php</t>
  </si>
  <si>
    <t xml:space="preserve">Bio X Cell</t>
  </si>
  <si>
    <t xml:space="preserve">https://bxcell.co.kr</t>
  </si>
  <si>
    <t xml:space="preserve">https://www.quartzy.com/suppliers | https://www.enco.co.il/suppliers.php</t>
  </si>
  <si>
    <t xml:space="preserve">BioAssay Systems</t>
  </si>
  <si>
    <t xml:space="preserve">https://www.thomassci.com/browse-by/suppliers/bioassay-systems</t>
  </si>
  <si>
    <t xml:space="preserve">https://bioassaysys.com</t>
  </si>
  <si>
    <t xml:space="preserve">QuantiChrom™ Glutamate Dehydrogenase Assay Kit</t>
  </si>
  <si>
    <t xml:space="preserve">QuantiChrom™ Magnesium Assay Kit</t>
  </si>
  <si>
    <t xml:space="preserve">EnzyChrom™ Succinate Assay Kit</t>
  </si>
  <si>
    <t xml:space="preserve">+15107829988</t>
  </si>
  <si>
    <t xml:space="preserve">https://bioassaysys.com/contact-us/</t>
  </si>
  <si>
    <t xml:space="preserve">https://www.thomassci.com/browse-by/suppliers/bioassay-systems | https://bioassaysys.com/contact-us/</t>
  </si>
  <si>
    <t xml:space="preserve">Biocare Medical</t>
  </si>
  <si>
    <t xml:space="preserve">https://biocare.net</t>
  </si>
  <si>
    <t xml:space="preserve">8007999499</t>
  </si>
  <si>
    <t xml:space="preserve">info@biocare.net</t>
  </si>
  <si>
    <t xml:space="preserve">https://biocare.net/contact/</t>
  </si>
  <si>
    <t xml:space="preserve">https://www.quartzy.com/suppliers | https://biocare.net/contact/</t>
  </si>
  <si>
    <t xml:space="preserve">Biochrom</t>
  </si>
  <si>
    <t xml:space="preserve">https://www.dutscher.com/search?initialFilters=brand:Biochrom</t>
  </si>
  <si>
    <t xml:space="preserve">https://www.thomassci.com/browse-by/suppliers/biochrom</t>
  </si>
  <si>
    <t xml:space="preserve">https://biochrom.co.uk</t>
  </si>
  <si>
    <t xml:space="preserve">Test Tube Adapter Set</t>
  </si>
  <si>
    <t xml:space="preserve">Spare Printer Paper</t>
  </si>
  <si>
    <t xml:space="preserve">Thermal Printer Paper</t>
  </si>
  <si>
    <t xml:space="preserve">Harvard Bioscience (owner of Biochrom) has a 'Where to Buy' distributor directory (harvardbioscience.com/contact-us/where-to-buy) but no Israel entry was visible in the results; no Israeli distributor named.</t>
  </si>
  <si>
    <t xml:space="preserve">https://www.harvardbioscience.com/contact-us/brands</t>
  </si>
  <si>
    <t xml:space="preserve">https://www.dutscher.com/search?initialFilters=brand:Biochrom | https://www.quartzy.com/suppliers | https://www.thomassci.com/browse-by/suppliers/biochrom | https://www.danyel.co.il/ | https://www.harvardbioscience.com/contact-us/brands</t>
  </si>
  <si>
    <t xml:space="preserve">BioCision</t>
  </si>
  <si>
    <t xml:space="preserve">https://www.thomassci.com/browse-by/suppliers/biocision</t>
  </si>
  <si>
    <t xml:space="preserve">CoolRack® and CoolSink™ modules</t>
  </si>
  <si>
    <t xml:space="preserve">TruCool® Cryogenic Vials</t>
  </si>
  <si>
    <t xml:space="preserve">CoolCell® Stem Cell Cryopreservation Systems</t>
  </si>
  <si>
    <t xml:space="preserve">BioDesign of NY</t>
  </si>
  <si>
    <t xml:space="preserve">Bioer</t>
  </si>
  <si>
    <t xml:space="preserve">https://www.dutscher.com/search?initialFilters=brand:Bioer</t>
  </si>
  <si>
    <t xml:space="preserve">https://bioera.it</t>
  </si>
  <si>
    <t xml:space="preserve">4 Litre water bath Bioer N3-4</t>
  </si>
  <si>
    <t xml:space="preserve">RNA Safeguard, 120 ml flask</t>
  </si>
  <si>
    <t xml:space="preserve">Cooling and heating stirrerThermocell</t>
  </si>
  <si>
    <t xml:space="preserve">https://www.dutscher.com/search?initialFilters=brand:Bioer | https://www.tamar.co.il/represented-companies/</t>
  </si>
  <si>
    <t xml:space="preserve">BioFit</t>
  </si>
  <si>
    <t xml:space="preserve">https://www.thomassci.com/browse-by/suppliers/biofit</t>
  </si>
  <si>
    <t xml:space="preserve">Bridgeport Series Chair, High Bench Height</t>
  </si>
  <si>
    <t xml:space="preserve">ArmorSeat G Series Chairs</t>
  </si>
  <si>
    <t xml:space="preserve">Cleanroom Stool, Biofit, 14" diameter seat, 4 legs, 16" diameter footring, Adjustable 24" seat Height, Chrome, urethane seat material.</t>
  </si>
  <si>
    <t xml:space="preserve">Bioland Scientific</t>
  </si>
  <si>
    <t xml:space="preserve">Bioline</t>
  </si>
  <si>
    <t xml:space="preserve">https://bioline.com</t>
  </si>
  <si>
    <t xml:space="preserve">Lifegene Ltd.</t>
  </si>
  <si>
    <t xml:space="preserve">Lifegene Ltd.: +972 8-644-4314 info@lifegene.co.il</t>
  </si>
  <si>
    <t xml:space="preserve">38134-5611</t>
  </si>
  <si>
    <t xml:space="preserve">info@meridianlifescience.comtechnical</t>
  </si>
  <si>
    <t xml:space="preserve">https://www.bioline.com/contact-tech-support/</t>
  </si>
  <si>
    <t xml:space="preserve">https://www.quartzy.com/suppliers | https://www.lifegene.co.il/ | https://www.bioline.com/contact-tech-support/</t>
  </si>
  <si>
    <t xml:space="preserve">Biologix</t>
  </si>
  <si>
    <t xml:space="preserve">https://www.dutscher.com/search?initialFilters=brand:Biologix</t>
  </si>
  <si>
    <t xml:space="preserve">https://www.thomassci.com/browse-by/suppliers/biologix</t>
  </si>
  <si>
    <t xml:space="preserve">https://www.biologixgroup.com</t>
  </si>
  <si>
    <t xml:space="preserve">Cell Scrapers &amp; Lifters</t>
  </si>
  <si>
    <t xml:space="preserve">Cryogenic Vials, S series</t>
  </si>
  <si>
    <t xml:space="preserve">Tri-Corner Beakers</t>
  </si>
  <si>
    <t xml:space="preserve">Results only show Biologix (Jinan, China; BIOLOGIX/CryoKING brands, heavy private-label OEM) catalogs and profiles plus unrelated Israeli distributor pages (Rhenium, Agentek, Medix Biochemica's Petach Tikva partner); nothing links any Israeli company to Biologix.</t>
  </si>
  <si>
    <t xml:space="preserve">inquiry@biologixgroup.com</t>
  </si>
  <si>
    <t xml:space="preserve">https://www.biologixgroup.com/</t>
  </si>
  <si>
    <t xml:space="preserve">https://www.dutscher.com/search?initialFilters=brand:Biologix | https://www.quartzy.com/suppliers | https://www.thomassci.com/browse-by/suppliers/biologix | https://www.biologixgroup.com/</t>
  </si>
  <si>
    <t xml:space="preserve">Biomatik</t>
  </si>
  <si>
    <t xml:space="preserve">https://biomatik.com</t>
  </si>
  <si>
    <t xml:space="preserve">(519) 489-7195</t>
  </si>
  <si>
    <t xml:space="preserve">https://biomatik.com/pages/contact</t>
  </si>
  <si>
    <t xml:space="preserve">https://www.quartzy.com/suppliers | https://biomatik.com/pages/contact</t>
  </si>
  <si>
    <t xml:space="preserve">Biomedical Polymers</t>
  </si>
  <si>
    <t xml:space="preserve">https://www.thomassci.com/browse-by/suppliers/biomedical-polymers</t>
  </si>
  <si>
    <t xml:space="preserve">Centrifuge Bottles</t>
  </si>
  <si>
    <t xml:space="preserve">Ultra Series Tissue Grinders</t>
  </si>
  <si>
    <t xml:space="preserve">Lab Disposable Beakers</t>
  </si>
  <si>
    <t xml:space="preserve">Only the company's SelectScience profile (Gardner, MA) and unrelated Israeli distributors (Enco, Agentek, Tivan for OZ Biosciences, Ornat); no connection found.</t>
  </si>
  <si>
    <t xml:space="preserve">https://www.quartzy.com/suppliers | https://www.thomassci.com/browse-by/suppliers/biomedical-polymers</t>
  </si>
  <si>
    <t xml:space="preserve">Biomiga</t>
  </si>
  <si>
    <t xml:space="preserve">https://www.thomassci.com/browse-by/suppliers/biomiga</t>
  </si>
  <si>
    <t xml:space="preserve">https://biomiga.com</t>
  </si>
  <si>
    <t xml:space="preserve">Biomiga, Inc. is an innovative biotech research and service company based in San Diego, California. Our mission is to provide the highest quality laboratory products while maintaining the best possible service and support to our end-users. Our products maximize efficiency and cost-effectiveness through our cutting-edge technology and effective process.</t>
  </si>
  <si>
    <t xml:space="preserve">Universal Pathogen DNA/RNA Extraction Kit</t>
  </si>
  <si>
    <t xml:space="preserve">MgPure Blood/Tissue DNA Extraction Kit</t>
  </si>
  <si>
    <t xml:space="preserve">Cell Tissue RNA Mini Kit</t>
  </si>
  <si>
    <t xml:space="preserve">No result mentioned Biomiga at all; only unrelated Israeli distributors (Enco, Agentek, Biotron, Syntezza) surfaced.</t>
  </si>
  <si>
    <t xml:space="preserve">18666681698</t>
  </si>
  <si>
    <t xml:space="preserve">info@biomiga.com</t>
  </si>
  <si>
    <t xml:space="preserve">https://biomiga.com/contact/</t>
  </si>
  <si>
    <t xml:space="preserve">https://www.quartzy.com/suppliers | https://info.quartzy.com/new-suppliers | https://www.thomassci.com/browse-by/suppliers/biomiga | https://biomiga.com/contact/</t>
  </si>
  <si>
    <t xml:space="preserve">Bioneer</t>
  </si>
  <si>
    <t xml:space="preserve">https://www.thomassci.com/browse-by/suppliers/bioneer</t>
  </si>
  <si>
    <t xml:space="preserve">bp Plus DNA Ladder</t>
  </si>
  <si>
    <t xml:space="preserve">DNA Ladder</t>
  </si>
  <si>
    <t xml:space="preserve">MagListo™ 5M Plasmid Extraction Kit</t>
  </si>
  <si>
    <t xml:space="preserve">Bionix, LLC.</t>
  </si>
  <si>
    <t xml:space="preserve">https://www.thomassci.com/browse-by/suppliers/bionix-llc-</t>
  </si>
  <si>
    <t xml:space="preserve">Bioplast Manufacturing</t>
  </si>
  <si>
    <t xml:space="preserve">https://bioplastmfg.com</t>
  </si>
  <si>
    <t xml:space="preserve">609-807-3070</t>
  </si>
  <si>
    <t xml:space="preserve">https://bioplastmfg.com/contact/</t>
  </si>
  <si>
    <t xml:space="preserve">https://www.quartzy.com/suppliers | https://bioplastmfg.com/contact/</t>
  </si>
  <si>
    <t xml:space="preserve">Bioplastics</t>
  </si>
  <si>
    <t xml:space="preserve">https://www.dutscher.com/search?initialFilters=brand:Bioplastics</t>
  </si>
  <si>
    <t xml:space="preserve">https://bioplastics.com</t>
  </si>
  <si>
    <t xml:space="preserve">Microtube 0.2 ml E.U. individual domed cap with tab natural colour</t>
  </si>
  <si>
    <t xml:space="preserve">8 microtubes strip 0,1 ml E.U. low form + labelling surface, natural</t>
  </si>
  <si>
    <t xml:space="preserve">Single Microtube 0.2 ml E.U. Flat Cap, Green</t>
  </si>
  <si>
    <t xml:space="preserve">https://bioplastics.com/contactus.aspx</t>
  </si>
  <si>
    <t xml:space="preserve">https://www.dutscher.com/search?initialFilters=brand:Bioplastics | https://www.danyel.co.il/ | https://bioplastics.com/contactus.aspx</t>
  </si>
  <si>
    <t xml:space="preserve">Bioptechs</t>
  </si>
  <si>
    <t xml:space="preserve">https://www.thomassci.com/browse-by/suppliers/bioptechs</t>
  </si>
  <si>
    <t xml:space="preserve">https://bioptechs.com</t>
  </si>
  <si>
    <t xml:space="preserve">FCS2® &amp; FCS3® System Supplies</t>
  </si>
  <si>
    <t xml:space="preserve">FCS Micro-Perfusion Pumps</t>
  </si>
  <si>
    <t xml:space="preserve">Culture Cylinders</t>
  </si>
  <si>
    <t xml:space="preserve">+1-724-282-7145</t>
  </si>
  <si>
    <t xml:space="preserve">info@bioptechs.com</t>
  </si>
  <si>
    <t xml:space="preserve">https://bioptechs.com/contact-us/</t>
  </si>
  <si>
    <t xml:space="preserve">https://www.thomassci.com/browse-by/suppliers/bioptechs | https://bioptechs.com/contact-us/</t>
  </si>
  <si>
    <t xml:space="preserve">Biorbyt</t>
  </si>
  <si>
    <t xml:space="preserve">https://biorbyt.com</t>
  </si>
  <si>
    <t xml:space="preserve">+1 (415) 906-5211</t>
  </si>
  <si>
    <t xml:space="preserve">info@biorbyt.com</t>
  </si>
  <si>
    <t xml:space="preserve">https://www.biorbyt.com/contact-us</t>
  </si>
  <si>
    <t xml:space="preserve">https://www.quartzy.com/suppliers | https://doronscientific.com/products/ | https://www.biorbyt.com/contact-us</t>
  </si>
  <si>
    <t xml:space="preserve">Bioscience International</t>
  </si>
  <si>
    <t xml:space="preserve">https://www.thomassci.com/browse-by/suppliers/bioscience-international</t>
  </si>
  <si>
    <t xml:space="preserve">https://bioscienceinternational.com</t>
  </si>
  <si>
    <t xml:space="preserve">Mipaw Sampler</t>
  </si>
  <si>
    <t xml:space="preserve">Carrying Case</t>
  </si>
  <si>
    <t xml:space="preserve">Multipro Sector Probe 55G</t>
  </si>
  <si>
    <t xml:space="preserve">8779589030</t>
  </si>
  <si>
    <t xml:space="preserve">info@bioscienceinternational.com</t>
  </si>
  <si>
    <t xml:space="preserve">https://www.bioscienceinternational.com/contact-us/</t>
  </si>
  <si>
    <t xml:space="preserve">https://www.thomassci.com/browse-by/suppliers/bioscience-international | https://www.bioscienceinternational.com/contact-us/</t>
  </si>
  <si>
    <t xml:space="preserve">Biosigma</t>
  </si>
  <si>
    <t xml:space="preserve">https://www.dutscher.com/search?initialFilters=brand:Biosigma</t>
  </si>
  <si>
    <t xml:space="preserve">https://biosigma.it</t>
  </si>
  <si>
    <t xml:space="preserve">Drosophila vials ø x h = 25 x 95 mm - on tray of 100</t>
  </si>
  <si>
    <t xml:space="preserve">Cryogen Box PC 132 x 132 x 52 mm for 100 screwless cryotubes - 1.2 and 2 ml, red</t>
  </si>
  <si>
    <t xml:space="preserve">Seed dispenser 10 μl Blue</t>
  </si>
  <si>
    <t xml:space="preserve">Biosolve</t>
  </si>
  <si>
    <t xml:space="preserve">https://www.dutscher.com/search?initialFilters=brand:Biosolve</t>
  </si>
  <si>
    <t xml:space="preserve">https://www.biosolve-chemicals.eu</t>
  </si>
  <si>
    <t xml:space="preserve">METHANOL ULC-MS 2.5l x4</t>
  </si>
  <si>
    <t xml:space="preserve">info@biosolve-chimie.com</t>
  </si>
  <si>
    <t xml:space="preserve">http://www.biosolve-chemicals.eu/EN/contact.php</t>
  </si>
  <si>
    <t xml:space="preserve">https://www.dutscher.com/search?initialFilters=brand:Biosolve | http://www.biosolve-chemicals.eu/EN/contact.php</t>
  </si>
  <si>
    <t xml:space="preserve">Biospec</t>
  </si>
  <si>
    <t xml:space="preserve">https://www.dutscher.com/search?initialFilters=brand:Biospec</t>
  </si>
  <si>
    <t xml:space="preserve">https://www.thomassci.com/browse-by/suppliers/biospec</t>
  </si>
  <si>
    <t xml:space="preserve">https://biospec.de</t>
  </si>
  <si>
    <t xml:space="preserve">Silicon-Carbide Sharp Particles</t>
  </si>
  <si>
    <t xml:space="preserve">BioSqueezer</t>
  </si>
  <si>
    <t xml:space="preserve">Stainless Steel Microvials</t>
  </si>
  <si>
    <t xml:space="preserve">Ormir Scientific Instruments</t>
  </si>
  <si>
    <t xml:space="preserve">Ormir Scientific Instruments: +972-586272546 info@ormir.co.il</t>
  </si>
  <si>
    <t xml:space="preserve">BioSpec Products' distributor page (biospec.com/distributors) lists partners by country but the visible part stopped at China; Israeli distributors Enco, Rhenium, Syntezza appeared without any link to BioSpec. Target site biospec.de may be a different company.</t>
  </si>
  <si>
    <t xml:space="preserve">https://www.dutscher.com/search?initialFilters=brand:Biospec | https://www.quartzy.com/suppliers | https://www.thomassci.com/browse-by/suppliers/biospec | https://ormir.co.il/card-with-image/</t>
  </si>
  <si>
    <t xml:space="preserve">Biotage</t>
  </si>
  <si>
    <t xml:space="preserve">https://www.thomassci.com/browse-by/suppliers/biotage</t>
  </si>
  <si>
    <t xml:space="preserve">https://www.biotage.com</t>
  </si>
  <si>
    <t xml:space="preserve">שוודיה</t>
  </si>
  <si>
    <t xml:space="preserve">Uppsala</t>
  </si>
  <si>
    <t xml:space="preserve">KKR (via RWK BidCo AB)</t>
  </si>
  <si>
    <t xml:space="preserve">SEK 2,056 million</t>
  </si>
  <si>
    <t xml:space="preserve">FY2024</t>
  </si>
  <si>
    <t xml:space="preserve">Biotage Selekt (with Sfär columns)</t>
  </si>
  <si>
    <t xml:space="preserve">Biotage Extrahera</t>
  </si>
  <si>
    <t xml:space="preserve">Biotage Initiator+ / Alstra+</t>
  </si>
  <si>
    <t xml:space="preserve">Bargal Analytical Instruments Ltd.</t>
  </si>
  <si>
    <t xml:space="preserve">Bargal Analytical Instruments Ltd.: +972-3-979-6533 sales@bargal.co.il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</si>
  <si>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Re-verified on both sides: Biotage's live contact pages (biotage.com/company/contact and /contact) list BARGAL as the Israel distributor with sales@bargal.co.il and the product areas it covers, and Bargal's own live site has Biotage product pages (Initiator+, Syro Wave, Isolera flash purification, RapidTrace+). No Biotage office in Israel; Biotage sells in 70+ countries through offices and distributors. Status unchanged from the earlier record, now backed by live pages of the manufacturer and the distributor. Biotage's own contact/distributor page (biotage.com/contact) lists 'BARGAL' with the e-mail sales@bargal.co.il among its distributor contacts — seen via a search-engine extract of that page; the page itself and bargal.co.il could not be opened this session (WebFetch DNS failure; direct HTTPS blocked by the session proxy), so the listing was not confirmed on the distributor's own site. No Biotage Israeli office found: Biotage's own offices are in Sweden, USA, UK, China, Japan, South Korea and India and its corporate page says the Middle East is served through distributors. Searches run: 'Biotage Israel distributor', 'Biotage </t>
    </r>
    <r>
      <rPr>
        <sz val="11"/>
        <color theme="1"/>
        <rFont val="FreeSans"/>
        <family val="2"/>
      </rPr>
      <t xml:space="preserve">ישראל נציג</t>
    </r>
    <r>
      <rPr>
        <sz val="11"/>
        <color theme="1"/>
        <rFont val="Calibri"/>
        <family val="2"/>
        <charset val="1"/>
      </rPr>
      <t xml:space="preserve">', 'Biotage site:co.il'.</t>
    </r>
  </si>
  <si>
    <t xml:space="preserve">+46 18 56 59 00</t>
  </si>
  <si>
    <t xml:space="preserve">info@biotage.com</t>
  </si>
  <si>
    <t xml:space="preserve">Vimpelgatan 5 (visiting; postal: Box 8, 751 03 Uppsala), Uppsala, Sweden</t>
  </si>
  <si>
    <t xml:space="preserve">https://www.biotage.com/contact</t>
  </si>
  <si>
    <t xml:space="preserve">https://www.thomassci.com/browse-by/suppliers/biotage | https://biotage.com/contact | https://biotage.com/this-is-biotage | https://www.inderes.se/releases/biotage-ab-publ-year-end-report-january-december-2024 | https://www.pharmaceutical-technology.com/news/kkr-offers-1-2bn-to-buy-swedish-life-sciences-group-biotage/ | https://news.mergerlinks.com/daily-review/apollo-backed-new-home-completes-the-acquisition-of-landsea-homes-for-$-1-2bn | https://www.biotage.com/company/contact | https://www.biotage.com/contact | https://bargal.co.il/product/microwave-synthesizer-biotage-initiator/ | https://bargal.co.il/%D7%A7%D7%98%D7%92%D7%95%D7%A8%D7%99%D7%99%D7%AA-%D7%90%D7%A4%D7%9C%D7%99%D7%A7%D7%A6%D7%99%D7%94/flash-purification/ | https://bargal.co.il/about-bargal/ | https://www.biotage.com/support/contact</t>
  </si>
  <si>
    <t xml:space="preserve">Biotech Rabbit</t>
  </si>
  <si>
    <t xml:space="preserve">https://www.dutscher.com/search?initialFilters=brand:Biotech+Rabbit</t>
  </si>
  <si>
    <t xml:space="preserve">https://biotechrabbit.com</t>
  </si>
  <si>
    <t xml:space="preserve">Amplification reagent for molecular biology</t>
  </si>
  <si>
    <t xml:space="preserve">DNTP-MIX 1000 µl, 10 mM each</t>
  </si>
  <si>
    <t xml:space="preserve">LONG AND HIGH FIDELITY PCR ENZYME MIX 2,5U/µ For amplification of complex or GC-rich sample fragments up to 30 kb contains high-fidelity amp</t>
  </si>
  <si>
    <t xml:space="preserve">GENUP plant DNA kit, 50 preps</t>
  </si>
  <si>
    <t xml:space="preserve">+493055578210</t>
  </si>
  <si>
    <t xml:space="preserve">info@biotechrabbit.com</t>
  </si>
  <si>
    <t xml:space="preserve">https://www.biotechrabbit.com/contact-us.html</t>
  </si>
  <si>
    <t xml:space="preserve">https://www.dutscher.com/search?initialFilters=brand:Biotech+Rabbit | https://www.biotechrabbit.com/contact-us.html</t>
  </si>
  <si>
    <t xml:space="preserve">Biotium</t>
  </si>
  <si>
    <t xml:space="preserve">https://www.dutscher.com/search?initialFilters=brand:Biotium</t>
  </si>
  <si>
    <t xml:space="preserve">https://www.thomassci.com/browse-by/suppliers/biotium</t>
  </si>
  <si>
    <t xml:space="preserve">https://biotium.com</t>
  </si>
  <si>
    <t xml:space="preserve">ריאגנטים ביולוגיים</t>
  </si>
  <si>
    <t xml:space="preserve">TrueBlack® Plus Lipofuscin Autofluorescence Quencher, 40X in DMSO</t>
  </si>
  <si>
    <t xml:space="preserve">LipidSpot™ 610 Lipid Droplet Stain</t>
  </si>
  <si>
    <t xml:space="preserve">LipidSpot™ 488 Lipid Droplet Stain</t>
  </si>
  <si>
    <t xml:space="preserve">Doron Scientific; Enco Scientific Services Ltd. (Enco Diagnostics); New Biotechnology Ltd; Origolab Ltd</t>
  </si>
  <si>
    <t xml:space="preserve">Doron Scientific: +972-54-554-4004; Enco Scientific Services Ltd. (Enco Diagnostics):; New Biotechnology Ltd: +972-2-673-2001 nbtsales@nbtltd.com; Origolab Ltd: +972-2-566-9285 origolab@netmedia.net.il</t>
  </si>
  <si>
    <t xml:space="preserve">Manufacturer-side evidence: Biotium's own authorized-distributors page (Middle East) lists four Israeli distributors; Biotium sells direct only to US customers. Contact details are on that page but were not shown in the search snippet. Enco's own site (enco.co.il) appeared but does not name Biotium.</t>
  </si>
  <si>
    <t xml:space="preserve">https://www.dutscher.com/search?initialFilters=brand:Biotium | https://www.quartzy.com/suppliers | https://www.thomassci.com/browse-by/suppliers/biotium | https://biotium.com/authorized-distributors/middle-east</t>
  </si>
  <si>
    <t xml:space="preserve">Biotix</t>
  </si>
  <si>
    <t xml:space="preserve">https://www.thomassci.com/browse-by/suppliers/biotix</t>
  </si>
  <si>
    <t xml:space="preserve">https://biotix.com</t>
  </si>
  <si>
    <t xml:space="preserve">uTIP™ Filter Pipette Tips</t>
  </si>
  <si>
    <t xml:space="preserve">xTIP4 LTS™ Style Filter Pipet Tips</t>
  </si>
  <si>
    <t xml:space="preserve">uTIP™ Non-Filtered Pipette Tips</t>
  </si>
  <si>
    <t xml:space="preserve">858.875.7696</t>
  </si>
  <si>
    <t xml:space="preserve">https://biotix.com/contact/</t>
  </si>
  <si>
    <t xml:space="preserve">https://www.thomassci.com/browse-by/suppliers/biotix | https://www.lifegene.co.il/ | https://biotix.com/contact/</t>
  </si>
  <si>
    <t xml:space="preserve">BioVision</t>
  </si>
  <si>
    <t xml:space="preserve">https://biovision.com</t>
  </si>
  <si>
    <t xml:space="preserve">BioWORLD</t>
  </si>
  <si>
    <t xml:space="preserve">https://www.thomassci.com/browse-by/suppliers/bioworld</t>
  </si>
  <si>
    <t xml:space="preserve">https://bioworld.com</t>
  </si>
  <si>
    <t xml:space="preserve">Potassium iodide</t>
  </si>
  <si>
    <t xml:space="preserve">Protease Inhibitor Cocktail</t>
  </si>
  <si>
    <t xml:space="preserve">Glycerol</t>
  </si>
  <si>
    <t xml:space="preserve">distributor of Recombinant Proteins, Antibodies, Cell Line, ELISA Kit; Tivan Biotech</t>
  </si>
  <si>
    <t xml:space="preserve">distributor of Recombinant Proteins, Antibodies, Cell Line, ELISA Kit: 054-5544004 info@doronscientific.com; Tivan Biotech: 077-4701591 customerservice@tivanbiotech.com</t>
  </si>
  <si>
    <t xml:space="preserve">bioWORLD (Dublin, OH) claims distribution partners in 45 countries but none named for Israel; results polluted by the BioWorld news publication; Enco appeared with no link.</t>
  </si>
  <si>
    <t xml:space="preserve">https://www.bioworld.com/</t>
  </si>
  <si>
    <t xml:space="preserve">https://www.quartzy.com/suppliers | https://www.thomassci.com/browse-by/suppliers/bioworld | https://doronscientific.com/products/ | https://tivanbiotech.com/manufacturers | https://www.bioworld.com/</t>
  </si>
  <si>
    <t xml:space="preserve">Birch Biotech</t>
  </si>
  <si>
    <t xml:space="preserve">https://www.thomassci.com/browse-by/suppliers/birch-biotech</t>
  </si>
  <si>
    <t xml:space="preserve">https://birchbiotech.com</t>
  </si>
  <si>
    <t xml:space="preserve">LC-MS Water (4 x 4 L)</t>
  </si>
  <si>
    <t xml:space="preserve">LC-MS Acetonitrile, (4 x 4 L)</t>
  </si>
  <si>
    <t xml:space="preserve">Pristine® Water, HPLC Grade</t>
  </si>
  <si>
    <t xml:space="preserve">orders@birchbiotech.com</t>
  </si>
  <si>
    <t xml:space="preserve">https://www.birchbiotech.com/pages/contact</t>
  </si>
  <si>
    <t xml:space="preserve">https://www.thomassci.com/browse-by/suppliers/birch-biotech | https://www.birchbiotech.com/pages/contact</t>
  </si>
  <si>
    <t xml:space="preserve">Bird Applicator Inc.</t>
  </si>
  <si>
    <t xml:space="preserve">https://www.thomassci.com/browse-by/suppliers/bird-applicator-inc-</t>
  </si>
  <si>
    <t xml:space="preserve">Blazer</t>
  </si>
  <si>
    <t xml:space="preserve">https://www.thomassci.com/browse-by/suppliers/blazer</t>
  </si>
  <si>
    <t xml:space="preserve">BLD Pharmatech</t>
  </si>
  <si>
    <t xml:space="preserve">Blue Ocean Life Sciences</t>
  </si>
  <si>
    <t xml:space="preserve">https://www.thomassci.com/browse-by/suppliers/blue-ocean-life-sciences</t>
  </si>
  <si>
    <t xml:space="preserve">https://blueoceanlifesciences.com</t>
  </si>
  <si>
    <t xml:space="preserve">Automated Tangential Flow Filtration System</t>
  </si>
  <si>
    <t xml:space="preserve">Benchtop Single Use Mixer</t>
  </si>
  <si>
    <t xml:space="preserve">Pure-Lock Sanitary Clamps</t>
  </si>
  <si>
    <t xml:space="preserve">9085684885</t>
  </si>
  <si>
    <t xml:space="preserve">https://blueoceanlifesciences.com/contact</t>
  </si>
  <si>
    <t xml:space="preserve">https://www.thomassci.com/browse-by/suppliers/blue-ocean-life-sciences | https://blueoceanlifesciences.com/contact</t>
  </si>
  <si>
    <t xml:space="preserve">Blue-Ray Biotech Corporation</t>
  </si>
  <si>
    <t xml:space="preserve">https://www.dutscher.com/search?initialFilters=brand:Blue-Ray+Biotech</t>
  </si>
  <si>
    <t xml:space="preserve">https://www.thomassci.com/browse-by/suppliers/blue-ray-biotech-corporation</t>
  </si>
  <si>
    <t xml:space="preserve">פיפטות</t>
  </si>
  <si>
    <t xml:space="preserve">EzMate Automated Pipetting System</t>
  </si>
  <si>
    <t xml:space="preserve">EzScope 101 Live Cell Imaging System</t>
  </si>
  <si>
    <t xml:space="preserve">TurboCycler 2 Thermal Cylcer Designed to Perform PCR (polymerase chain reaction) Using Samples of DNA</t>
  </si>
  <si>
    <t xml:space="preserve">No result mentions Blue-Ray Biotech; hits are generic Israeli distributor profiles (Enco, Agentek, Eldan, Rhenium, Ornat) and unrelated press releases.</t>
  </si>
  <si>
    <t xml:space="preserve">https://www.dutscher.com/search?initialFilters=brand:Blue-Ray+Biotech | https://www.thomassci.com/browse-by/suppliers/blue-ray-biotech-corporation | https://ornat.co.il/instruments/</t>
  </si>
  <si>
    <t xml:space="preserve">BMS</t>
  </si>
  <si>
    <t xml:space="preserve">https://www.dutscher.com/search?initialFilters=brand:BMS</t>
  </si>
  <si>
    <t xml:space="preserve">Mic qPCR Cycler Thermocycler - 2-channel model</t>
  </si>
  <si>
    <t xml:space="preserve">MYRA Liquid Handling System</t>
  </si>
  <si>
    <t xml:space="preserve">Warranty extension 1-year for MYRA-PLUS (3 years additional max. total)</t>
  </si>
  <si>
    <t xml:space="preserve">https://www.dutscher.com/search?initialFilters=brand:BMS | https://www.tamar.co.il/represented-companies/</t>
  </si>
  <si>
    <t xml:space="preserve">Boekel</t>
  </si>
  <si>
    <t xml:space="preserve">https://www.thomassci.com/browse-by/suppliers/boekel</t>
  </si>
  <si>
    <t xml:space="preserve">Small &amp; Large Desiccators</t>
  </si>
  <si>
    <t xml:space="preserve">Automatic, Stainless Desiccator Cabinets</t>
  </si>
  <si>
    <t xml:space="preserve">RapidFISH Slide Hybridizer</t>
  </si>
  <si>
    <t xml:space="preserve">Boekel Scientific cites a worldwide distribution network, but the results did not include its distributor list or any Israeli partner (Agentek surfaced without a Boekel link).</t>
  </si>
  <si>
    <t xml:space="preserve">https://www.quartzy.com/suppliers | https://www.thomassci.com/browse-by/suppliers/boekel</t>
  </si>
  <si>
    <t xml:space="preserve">Boise Office Solutions</t>
  </si>
  <si>
    <t xml:space="preserve">https://www.thomassci.com/browse-by/suppliers/boise-office-solutions</t>
  </si>
  <si>
    <t xml:space="preserve">Tape Dispenser</t>
  </si>
  <si>
    <t xml:space="preserve">Peel-Off™ China Marker</t>
  </si>
  <si>
    <t xml:space="preserve">Bolle Safety</t>
  </si>
  <si>
    <t xml:space="preserve">https://www.thomassci.com/browse-by/suppliers/bolle-safety</t>
  </si>
  <si>
    <t xml:space="preserve">https://bolle-safety.com</t>
  </si>
  <si>
    <t xml:space="preserve">Rush+ Safety Glasses</t>
  </si>
  <si>
    <t xml:space="preserve">Tracker Ii Safety Glasses</t>
  </si>
  <si>
    <t xml:space="preserve">Bl20 Faceshield</t>
  </si>
  <si>
    <t xml:space="preserve">Bootie Butler</t>
  </si>
  <si>
    <t xml:space="preserve">https://www.thomassci.com/browse-by/suppliers/bootie-butler</t>
  </si>
  <si>
    <t xml:space="preserve">Kinetic Shoe Cover</t>
  </si>
  <si>
    <t xml:space="preserve">Shoe Cover Dispensers</t>
  </si>
  <si>
    <t xml:space="preserve">BootieButler® Shoe Covers</t>
  </si>
  <si>
    <t xml:space="preserve">Borosil</t>
  </si>
  <si>
    <t xml:space="preserve">https://www.thomassci.com/browse-by/suppliers/borosil</t>
  </si>
  <si>
    <t xml:space="preserve">https://myborosil.com</t>
  </si>
  <si>
    <t xml:space="preserve">Borosil® Allihn Condensers</t>
  </si>
  <si>
    <t xml:space="preserve">Borosil® Reagent Square Bottles</t>
  </si>
  <si>
    <t xml:space="preserve">Borosil® Reusable Class B Serological Pipettes</t>
  </si>
  <si>
    <t xml:space="preserve">1800224552</t>
  </si>
  <si>
    <t xml:space="preserve">marketing@newsletterborosil.com</t>
  </si>
  <si>
    <t xml:space="preserve">https://myborosil.com/pages/contact-us</t>
  </si>
  <si>
    <t xml:space="preserve">https://www.thomassci.com/browse-by/suppliers/borosil | https://myborosil.com/pages/contact-us</t>
  </si>
  <si>
    <t xml:space="preserve">Boss® by PIP Global Safety</t>
  </si>
  <si>
    <t xml:space="preserve">https://www.thomassci.com/browse-by/suppliers/boss-by-pip-global-safety</t>
  </si>
  <si>
    <t xml:space="preserve">Boss® Xtreme AR Top Grain Goatskin Leather Drivers Glove with Oil Armor™ Finish and Para -Aramid Lining - TPR Impact Protection M</t>
  </si>
  <si>
    <t xml:space="preserve">PIP Cut Resistant Gloves</t>
  </si>
  <si>
    <t xml:space="preserve">Boss® Xtreme AR Top Grain Goatskin Leather Drivers Glove with Oil Armor™ Finish and Para -Aramid Lining - TPR Impact Protection 2XL</t>
  </si>
  <si>
    <t xml:space="preserve">Boster Bio</t>
  </si>
  <si>
    <t xml:space="preserve">https://bosterbio.com</t>
  </si>
  <si>
    <t xml:space="preserve">888-466-3604</t>
  </si>
  <si>
    <t xml:space="preserve">sales@bosterbio.com</t>
  </si>
  <si>
    <t xml:space="preserve">https://www.bosterbio.com/contact-us</t>
  </si>
  <si>
    <t xml:space="preserve">https://www.quartzy.com/suppliers | https://doronscientific.com/products/ | https://www.bosterbio.com/contact-us</t>
  </si>
  <si>
    <t xml:space="preserve">Boston Biochem</t>
  </si>
  <si>
    <t xml:space="preserve">Boston Bioproducts</t>
  </si>
  <si>
    <t xml:space="preserve">https://www.thomassci.com/browse-by/suppliers/boston-bioproducts</t>
  </si>
  <si>
    <t xml:space="preserve">https://bostonbioproducts.com</t>
  </si>
  <si>
    <t xml:space="preserve">Potassium Phosphate Buffer (0.2 M, pH 7.4) - 1L</t>
  </si>
  <si>
    <t xml:space="preserve">Tris-HCl Buffer (1 M, pH 7.4) - 1L</t>
  </si>
  <si>
    <t xml:space="preserve">HEPES Buffer (1 M, pH 7.0, pH Adjusted with KOH) - 500ml</t>
  </si>
  <si>
    <t xml:space="preserve">Only Israel hit was Boston Scientific / Amos Gazit (2014), a different company; Boston BioProducts profiles mention no Israeli partner.</t>
  </si>
  <si>
    <t xml:space="preserve">(508) 231-4777</t>
  </si>
  <si>
    <t xml:space="preserve">https://www.bostonbioproducts.com/contact-us</t>
  </si>
  <si>
    <t xml:space="preserve">https://www.quartzy.com/suppliers | https://www.thomassci.com/browse-by/suppliers/boston-bioproducts | https://www.bostonbioproducts.com/contact-us</t>
  </si>
  <si>
    <t xml:space="preserve">Botron</t>
  </si>
  <si>
    <t xml:space="preserve">https://www.thomassci.com/browse-by/suppliers/botron</t>
  </si>
  <si>
    <t xml:space="preserve">https://botron.com</t>
  </si>
  <si>
    <t xml:space="preserve">5" x 1/4" Black Dissipative Rubber Bands (apx 210)</t>
  </si>
  <si>
    <t xml:space="preserve">Anti-Static Bags</t>
  </si>
  <si>
    <t xml:space="preserve">623-582-6700</t>
  </si>
  <si>
    <t xml:space="preserve">https://www.botron.com/contact-us/</t>
  </si>
  <si>
    <t xml:space="preserve">https://www.thomassci.com/browse-by/suppliers/botron | https://www.botron.com/contact-us/</t>
  </si>
  <si>
    <t xml:space="preserve">Bouton® Optical by PIP Global Safety</t>
  </si>
  <si>
    <t xml:space="preserve">https://www.thomassci.com/browse-by/suppliers/bouton-optical-by-pip-global-safety</t>
  </si>
  <si>
    <t xml:space="preserve">Captain Rimless Safety Glasses with Clear Temple, Clear Lens and Anti-Scratch / Anti-Fog Coating</t>
  </si>
  <si>
    <t xml:space="preserve">Bouton® Optical The Scout Visitor Specs</t>
  </si>
  <si>
    <t xml:space="preserve">Bouton® Optical Zenon Z13™ Eyewear</t>
  </si>
  <si>
    <t xml:space="preserve">Bowman Dispensers</t>
  </si>
  <si>
    <t xml:space="preserve">https://www.thomassci.com/browse-by/suppliers/bowman-dispensers</t>
  </si>
  <si>
    <t xml:space="preserve">https://bowmandispensers.com</t>
  </si>
  <si>
    <t xml:space="preserve">Infection Prevention System</t>
  </si>
  <si>
    <t xml:space="preserve">Glove Box Dispenser - Double - Clear PETG Plastic</t>
  </si>
  <si>
    <t xml:space="preserve">Box Partners</t>
  </si>
  <si>
    <t xml:space="preserve">https://www.thomassci.com/browse-by/suppliers/box-partners</t>
  </si>
  <si>
    <t xml:space="preserve">Reclosable Poly Bags</t>
  </si>
  <si>
    <t xml:space="preserve">Anti-Static Reclosable Poly Bags</t>
  </si>
  <si>
    <t xml:space="preserve">3 x 3 1/2" Self-Seal Bubble Pouches</t>
  </si>
  <si>
    <t xml:space="preserve">Box Scientific</t>
  </si>
  <si>
    <t xml:space="preserve">https://www.thomassci.com/browse-by/suppliers/box-scientific</t>
  </si>
  <si>
    <t xml:space="preserve">https://boxscientific.com</t>
  </si>
  <si>
    <t xml:space="preserve">Heliport Sample Thawing Station</t>
  </si>
  <si>
    <t xml:space="preserve">Heliport Plus Heated Sample Thawing Station</t>
  </si>
  <si>
    <t xml:space="preserve">Station One Sample Thawing Station</t>
  </si>
  <si>
    <t xml:space="preserve">(724) 413-0076</t>
  </si>
  <si>
    <t xml:space="preserve">info@boxscientific.com</t>
  </si>
  <si>
    <t xml:space="preserve">https://boxscientific.com/contact/</t>
  </si>
  <si>
    <t xml:space="preserve">https://www.thomassci.com/browse-by/suppliers/box-scientific | https://boxscientific.com/contact/</t>
  </si>
  <si>
    <t xml:space="preserve">Brady</t>
  </si>
  <si>
    <t xml:space="preserve">https://www.dutscher.com/search?initialFilters=brand:Brady</t>
  </si>
  <si>
    <t xml:space="preserve">https://www.bradyid.com</t>
  </si>
  <si>
    <t xml:space="preserve">Code Reader™ CR1500 barcode scanner</t>
  </si>
  <si>
    <t xml:space="preserve">GHS label dangerous products (NF Standard) - Dim. (mm) 10 x 10 Inflammable solid material</t>
  </si>
  <si>
    <t xml:space="preserve">XENON 1950G HD handheld barcode scanner</t>
  </si>
  <si>
    <t xml:space="preserve">Only US parts-distributor listings and a 2016 Brady laboratory-identification catalog with regional contacts (visible portion excluded Israel).</t>
  </si>
  <si>
    <t xml:space="preserve">https://www.dutscher.com/search?initialFilters=brand:Brady | https://www.quartzy.com/suppliers</t>
  </si>
  <si>
    <t xml:space="preserve">Brady Worldwide</t>
  </si>
  <si>
    <t xml:space="preserve">https://www.thomassci.com/browse-by/suppliers/brady-worldwide</t>
  </si>
  <si>
    <t xml:space="preserve">Self-Laminating Cryogenic Labels</t>
  </si>
  <si>
    <t xml:space="preserve">B33 Series Polyester Chemical Resistant Laboratory Labels with Vial Top</t>
  </si>
  <si>
    <t xml:space="preserve">M511 Label Printer</t>
  </si>
  <si>
    <t xml:space="preserve">Brand</t>
  </si>
  <si>
    <t xml:space="preserve">https://www.dutscher.com/search?initialFilters=brand:Brand</t>
  </si>
  <si>
    <t xml:space="preserve">https://www.brand.de</t>
  </si>
  <si>
    <t xml:space="preserve">Wertheim</t>
  </si>
  <si>
    <t xml:space="preserve">Liquid handling &amp; lab automation</t>
  </si>
  <si>
    <t xml:space="preserve">parent</t>
  </si>
  <si>
    <t xml:space="preserve">EUR ~160 million p.a.</t>
  </si>
  <si>
    <t xml:space="preserve">c. FY2024 (undated current company brochure)</t>
  </si>
  <si>
    <t xml:space="preserve">Transferpette S / electronic</t>
  </si>
  <si>
    <t xml:space="preserve">Dispensette S &amp; HandyStep</t>
  </si>
  <si>
    <t xml:space="preserve">BLAUBRAND volumetric glassware</t>
  </si>
  <si>
    <t xml:space="preserve">Labotal Scientific Equipment Ltd.; Yoel Naim Ltd.</t>
  </si>
  <si>
    <t xml:space="preserve">Labotal Scientific Equipment Ltd.: +972 2-579-9222 Sales@labotal.co.il; Yoel Naim Ltd.:</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</si>
  <si>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on the manufacturers' own sites: BRAND's live 'Sales and Consulting worldwide' page names Yoel Naim Ltd., industrial area, Rehovot, as its distributor/service partner for Israel, while VACUUBRAND's live 'Contact persons worldwide' page lists Labotal Scientific Equipment (1997) Ltd., Mevaseret Zion, alongside a VACUUBRAND area sales manager for Israel. Labotal is therefore confirmed current for VACUUBRAND; its BRAND liquid-handling line (per its own 2018 news page) is not reflected on BRAND's worldwide list, which names Yoel Naim instead. A general search for Yoel Naim returned no website or further details. The 40-domain sweep returned Labotal's own product and news pages: a 'Brand Pipettors, New Series: Transferpette α' page, single-channel pipettor category pages, VACUUBRAND ME 2 NT, ME 4 NT and MV-10C-EX pump pages, and a company-news page stating that Labotal is an authorised VACUUBRAND distributor for the laboratory segment and began carrying BRAND liquid-handling products in 2018. No other Israeli distributor site mentioned BRAND or VACUUBRAND. The manufacturers' own distributor pages (brand.de, vacuubrand.com) were not searched within the budget, so exclusivity and other channels (e.g. BRAND consumables via general lab-supply houses) are unknown.</t>
    </r>
  </si>
  <si>
    <t xml:space="preserve">+49 9342 808-0</t>
  </si>
  <si>
    <t xml:space="preserve">info@brand.de</t>
  </si>
  <si>
    <t xml:space="preserve">Otto-Schott-Str. 25, 97877 Wertheim, Germany</t>
  </si>
  <si>
    <t xml:space="preserve">https://brand.de/en/contact/how-to-find-us</t>
  </si>
  <si>
    <t xml:space="preserve">https://www.brand.de/en/imprint/</t>
  </si>
  <si>
    <t xml:space="preserve">https://www.dutscher.com/search?initialFilters=brand:Brand | https://brand.de/en/company/history | https://brand.de/es/company/newsroom/brand-gruppe | https://www.spectaris.de/en/verband/members/address/brand-gmbh-co-kg | https://www.brandtech.com/about-us/news-and-events/default-7c49f2f8450cc894e258b05c8eac039e-1 | https://www.ibisworld.com/united-states/supplieriq/brand-gmbh-co-kg/426747/ | https://www.stepstone.de/cmp/de/brand-gmbh-%2b-co-kg-40514/jobs | https://arablab.german-pavilion.com/en/sites/exhibitors/98692 | https://labotal.co.il/company-news/?lang=en | https://labotal.co.il/product/brand-pipettors-new-series-transferpette-%CE%B1/ | https://labotal.co.il/product/vacuubrand-me2-nt-new-diaphragm-vacuum-pump/ | https://labotal.co.il/product/vacuubrand-me-4-nt-diaphragm-vacuum-pump/ | https://labotal.co.il/product/vacuubrand-mv-10c-ex-atex-approved-vacuum-pump/ | https://labotal.co.il/product-category/liquid-handling/single-channel-pipettors/?lang=en | https://www.stepstone.de/results/manufacturing-manager/in-wertheim | https://www.brand.de/en/company/sales-worldwide | https://www.vacuubrand.com/service-advice/contact/contacts-worldwide | https://www.brand.de/brand/contentserv_data/Context/BRAND%20GMBH%20%2B%20CO%20KG/Dokumente/Firma%20intern/Markenbrosch%C3%BCre/Markenbrosch%C3%BCre_BRAND.pdf | https://www.brand.de/fileadmin/user_upload/documents/Stellenanzeigen/202300406_Anzeige_Techniker_TPD_Serienentwicklung.pdf | https://group.brand.de/en/about-us/about-us</t>
  </si>
  <si>
    <t xml:space="preserve">BrandTech®</t>
  </si>
  <si>
    <t xml:space="preserve">https://www.thomassci.com/browse-by/suppliers/brandtech</t>
  </si>
  <si>
    <t xml:space="preserve">https://www.brandtech.com</t>
  </si>
  <si>
    <t xml:space="preserve">https://www.quartzy.com/suppliers | https://www.thomassci.com/browse-by/suppliers/brandtech | https://brand.de/en/company/history | https://brand.de/es/company/newsroom/brand-gruppe | https://www.spectaris.de/en/verband/members/address/brand-gmbh-co-kg | https://www.brandtech.com/about-us/news-and-events/default-7c49f2f8450cc894e258b05c8eac039e-1 | https://www.ibisworld.com/united-states/supplieriq/brand-gmbh-co-kg/426747/ | https://www.stepstone.de/cmp/de/brand-gmbh-%2b-co-kg-40514/jobs | https://arablab.german-pavilion.com/en/sites/exhibitors/98692 | https://labotal.co.il/company-news/?lang=en | https://labotal.co.il/product/brand-pipettors-new-series-transferpette-%CE%B1/ | https://labotal.co.il/product/vacuubrand-me2-nt-new-diaphragm-vacuum-pump/ | https://labotal.co.il/product/vacuubrand-me-4-nt-diaphragm-vacuum-pump/ | https://labotal.co.il/product/vacuubrand-mv-10c-ex-atex-approved-vacuum-pump/ | https://labotal.co.il/product-category/liquid-handling/single-channel-pipettors/?lang=en | https://www.stepstone.de/results/manufacturing-manager/in-wertheim | https://www.brand.de/en/company/sales-worldwide | https://www.vacuubrand.com/service-advice/contact/contacts-worldwide | https://www.brand.de/brand/contentserv_data/Context/BRAND%20GMBH%20%2B%20CO%20KG/Dokumente/Firma%20intern/Markenbrosch%C3%BCre/Markenbrosch%C3%BCre_BRAND.pdf | https://www.brand.de/fileadmin/user_upload/documents/Stellenanzeigen/202300406_Anzeige_Techniker_TPD_Serienentwicklung.pdf | https://group.brand.de/en/about-us/about-us | https://www.brandtech.com/contact/contact-us</t>
  </si>
  <si>
    <t xml:space="preserve">Branson</t>
  </si>
  <si>
    <t xml:space="preserve">https://www.thomassci.com/browse-by/suppliers/branson</t>
  </si>
  <si>
    <t xml:space="preserve">Concentrated Cleaning Chemistries for use in Ultrasonic Cleaners</t>
  </si>
  <si>
    <t xml:space="preserve">Accessories &amp; Microtips for Branson SFX250, SFX550, 250 and 450 Sonifiers</t>
  </si>
  <si>
    <t xml:space="preserve">Spanner Wrench</t>
  </si>
  <si>
    <t xml:space="preserve">S.L. Moran Ltd.</t>
  </si>
  <si>
    <t xml:space="preserve">S.L. Moran Ltd.: +972 74-702-9898 office@slmoran.co.il</t>
  </si>
  <si>
    <t xml:space="preserve">https://www.thomassci.com/browse-by/suppliers/branson | https://slmoran.co.il/%d7%a1%d7%a4%d7%a7%d7%99%d7%9d/</t>
  </si>
  <si>
    <t xml:space="preserve">Brasel Products</t>
  </si>
  <si>
    <t xml:space="preserve">https://www.thomassci.com/browse-by/suppliers/brasel-products</t>
  </si>
  <si>
    <t xml:space="preserve">Finger Tape</t>
  </si>
  <si>
    <t xml:space="preserve">Bantex Cohesive Guaze Finger Tape</t>
  </si>
  <si>
    <t xml:space="preserve">Braun Brush</t>
  </si>
  <si>
    <t xml:space="preserve">https://www.thomassci.com/browse-by/suppliers/braun-brush</t>
  </si>
  <si>
    <t xml:space="preserve">Brenntag Pacific</t>
  </si>
  <si>
    <t xml:space="preserve">https://www.thomassci.com/browse-by/suppliers/brenntag-pacific</t>
  </si>
  <si>
    <t xml:space="preserve">BriskHeat</t>
  </si>
  <si>
    <t xml:space="preserve">https://www.thomassci.com/browse-by/suppliers/briskheat</t>
  </si>
  <si>
    <t xml:space="preserve">https://briskheat.com</t>
  </si>
  <si>
    <t xml:space="preserve">SRL-ADJ Silicone Rubber Heating Blankets with Control (no PSA)</t>
  </si>
  <si>
    <t xml:space="preserve">SDC Benchtop Temperature Controllers</t>
  </si>
  <si>
    <t xml:space="preserve">SDX Digital PID Temperature Controllers</t>
  </si>
  <si>
    <t xml:space="preserve">18884120122</t>
  </si>
  <si>
    <t xml:space="preserve">https://www.briskheat.com/pages/contact</t>
  </si>
  <si>
    <t xml:space="preserve">https://www.thomassci.com/browse-by/suppliers/briskheat | https://www.briskheat.com/pages/contact</t>
  </si>
  <si>
    <t xml:space="preserve">BroadPharm</t>
  </si>
  <si>
    <t xml:space="preserve">https://broadpharm.com</t>
  </si>
  <si>
    <t xml:space="preserve">858-677-6760</t>
  </si>
  <si>
    <t xml:space="preserve">sales@broadpharm.com</t>
  </si>
  <si>
    <t xml:space="preserve">https://broadpharm.com/contact</t>
  </si>
  <si>
    <t xml:space="preserve">https://www.quartzy.com/suppliers | https://broadpharm.com/contact</t>
  </si>
  <si>
    <t xml:space="preserve">Brother</t>
  </si>
  <si>
    <t xml:space="preserve">https://www.thomassci.com/browse-by/suppliers/brother</t>
  </si>
  <si>
    <t xml:space="preserve">TC Style Replacement Tapes</t>
  </si>
  <si>
    <t xml:space="preserve">TZe Replacement Tapes, 12mm (0.47")</t>
  </si>
  <si>
    <t xml:space="preserve">Brush Tech</t>
  </si>
  <si>
    <t xml:space="preserve">https://www.thomassci.com/browse-by/suppliers/brush-tech</t>
  </si>
  <si>
    <t xml:space="preserve">Test Tube Brush</t>
  </si>
  <si>
    <t xml:space="preserve">Flexible Vinyl Brushes For Tubes</t>
  </si>
  <si>
    <t xml:space="preserve">Glassware Brushes</t>
  </si>
  <si>
    <t xml:space="preserve">BRW Safety and Supply</t>
  </si>
  <si>
    <t xml:space="preserve">https://www.thomassci.com/browse-by/suppliers/brw-safety-and-supply</t>
  </si>
  <si>
    <t xml:space="preserve">Polyvinyl Chloride (PVC) Vinyl Sleeves, 18" Length</t>
  </si>
  <si>
    <t xml:space="preserve">Splash Protection PVC Coat Apron</t>
  </si>
  <si>
    <t xml:space="preserve">Buchi</t>
  </si>
  <si>
    <t xml:space="preserve">https://www.dutscher.com/search?initialFilters=brand:Buchi</t>
  </si>
  <si>
    <t xml:space="preserve">https://www.thomassci.com/browse-by/suppliers/buchi</t>
  </si>
  <si>
    <t xml:space="preserve">https://www.buchi.com</t>
  </si>
  <si>
    <t xml:space="preserve">שווייץ</t>
  </si>
  <si>
    <t xml:space="preserve">Flawil (St. Gallen)</t>
  </si>
  <si>
    <t xml:space="preserve">USD ~204 million (aggregator estimate; other aggregators range from USD 8M to USD 750M)</t>
  </si>
  <si>
    <t xml:space="preserve">undated aggregator estimate (c. 2024)</t>
  </si>
  <si>
    <t xml:space="preserve">Rotavapor R-300</t>
  </si>
  <si>
    <t xml:space="preserve">Mini Spray Dryer S-300 / B-290</t>
  </si>
  <si>
    <t xml:space="preserve">KjelMaster K-375 / Kjeldahl line</t>
  </si>
  <si>
    <t xml:space="preserve">Dr. Golik Scientific Solutions</t>
  </si>
  <si>
    <t xml:space="preserve">Dr. Golik Scientific Solutions: +972-3-518-7555 marketing@golik.co.il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</si>
  <si>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Dr. Golik's live site re-confirms it as the Israeli BUCHI channel with a BUCHI manufacturer page, Rotavapor and laboratory-evaporation pages and a BUCHI Pure chromatography page, plus Kugelrohr and fraction-collector listings, so the scope is wider than evaporation alone. BUCHI's own 'BUCHI Worldwide' support page includes Israel in its country filter but the partner name was not visible in the snippet. No other Israeli BUCHI channel surfaced. A search for 'Buchi Rotavapor' restricted to Israeli distributor domains returned Dr. Golik's own BUCHI manufacturer page, its 'Dr. Golik - BUCHI - Laboratory Evaporation' page and a Hebrew Rotavapor product page (noting the R-100 discontinuation and pointing to R-80/R-300), so Dr. Golik (</t>
    </r>
    <r>
      <rPr>
        <sz val="11"/>
        <color theme="1"/>
        <rFont val="FreeSans"/>
        <family val="2"/>
      </rPr>
      <t xml:space="preserve">ד</t>
    </r>
    <r>
      <rPr>
        <sz val="11"/>
        <color theme="1"/>
        <rFont val="Calibri"/>
        <family val="2"/>
        <charset val="1"/>
      </rPr>
      <t xml:space="preserve">"</t>
    </r>
    <r>
      <rPr>
        <sz val="11"/>
        <color theme="1"/>
        <rFont val="FreeSans"/>
        <family val="2"/>
      </rPr>
      <t xml:space="preserve">ר גוליק</t>
    </r>
    <r>
      <rPr>
        <sz val="11"/>
        <color theme="1"/>
        <rFont val="Calibri"/>
        <family val="2"/>
        <charset val="1"/>
      </rPr>
      <t xml:space="preserve">) is recorded as the Israeli distributor. MRC pages in the same results concern MRC's own-brand rotary evaporators, not BUCHI. BUCHI's own distributor locator (buchi.com) was not searched within the budget, so whether Dr. Golik also carries BUCHI's extraction, Kjeldahl, NIR or spray-drying lines is unconfirmed.</t>
    </r>
  </si>
  <si>
    <t xml:space="preserve">+41 71 394 63 63</t>
  </si>
  <si>
    <t xml:space="preserve">Meierseggstrasse 40, Postfach, 9230 Flawil, Switzerland</t>
  </si>
  <si>
    <t xml:space="preserve">https://www.buchi.com/en/support/contact</t>
  </si>
  <si>
    <t xml:space="preserve">https://www.americanpharmaceuticalreview.com/105589-BUCHI-Labortechnik-AG/</t>
  </si>
  <si>
    <r>
      <rPr>
        <sz val="11"/>
        <color theme="1"/>
        <rFont val="Calibri"/>
        <family val="2"/>
        <charset val="1"/>
      </rPr>
      <t xml:space="preserve">https://www.dutscher.com/search?initialFilters=brand:Buchi | https://www.thomassci.com/browse-by/suppliers/buchi | https://www.s-ge.com/export/de/artikel/success-stories/buechi-labortechnik-konsequente-go-market-strategie | https://www.zoominfo.com/c/buchi/5783630 | https://bitscale.ai/directory/buchi-laboratory-equipment | https://www.a-leads.co/company/20279059_4c358ef4 | https://prospeo.io/c/buchi-laboratory-equipment | https://www.pharmaceutical-technology.com/contractors/lab_equip/buchi/ | https://www.golik.co.il/manufacturers/buchi | https://www.golik.co.il/laboratory-evaporation | https://golik.co.il/products/rotavapor-</t>
    </r>
    <r>
      <rPr>
        <sz val="11"/>
        <color theme="1"/>
        <rFont val="FreeSans"/>
        <family val="2"/>
      </rPr>
      <t xml:space="preserve">מערכות</t>
    </r>
    <r>
      <rPr>
        <sz val="11"/>
        <color theme="1"/>
        <rFont val="Calibri"/>
        <family val="2"/>
        <charset val="1"/>
      </rPr>
      <t xml:space="preserve">-</t>
    </r>
    <r>
      <rPr>
        <sz val="11"/>
        <color theme="1"/>
        <rFont val="FreeSans"/>
        <family val="2"/>
      </rPr>
      <t xml:space="preserve">נידוף</t>
    </r>
    <r>
      <rPr>
        <sz val="11"/>
        <color theme="1"/>
        <rFont val="Calibri"/>
        <family val="2"/>
        <charset val="1"/>
      </rPr>
      <t xml:space="preserve">/ | https://golik.co.il/?lang=en | https://www.s-ge.com/export/en/articles/success-stories/buchi-labortechnik-consistent-go-market-strategy | https://golik.co.il/products/rotavapor-%D7%9E%D7%A2%D7%A8%D7%9B%D7%95%D7%AA-%D7%A0%D7%99%D7%93%D7%95%D7%A3/ | https://www.golik.co.il/puresystem | https://www.buchi.com/en/support/buchi-worldwide | https://www.buchi.com/en/support/contact</t>
    </r>
  </si>
  <si>
    <t xml:space="preserve">Bulbtronics Group</t>
  </si>
  <si>
    <t xml:space="preserve">https://www.thomassci.com/browse-by/suppliers/bulbtronics</t>
  </si>
  <si>
    <t xml:space="preserve">XENOPHOT HLX, Volts: 24V, Watts: 150W, Base: G6.35 / 2-PIN</t>
  </si>
  <si>
    <t xml:space="preserve">Philips 30 Watt 36" T8 Germicial Fluorescent Bulb</t>
  </si>
  <si>
    <t xml:space="preserve">Tung-Halo 6605 6V 10W T3 G4</t>
  </si>
  <si>
    <t xml:space="preserve">https://www.quartzy.com/suppliers | https://www.thomassci.com/browse-by/suppliers/bulbtronics</t>
  </si>
  <si>
    <t xml:space="preserve">Bullard</t>
  </si>
  <si>
    <t xml:space="preserve">https://www.thomassci.com/browse-by/suppliers/bullard</t>
  </si>
  <si>
    <t xml:space="preserve">https://bullard.com</t>
  </si>
  <si>
    <t xml:space="preserve">Loose-fitting Facepiece</t>
  </si>
  <si>
    <t xml:space="preserve">inflatable neck cuff, free floating, 1000 APF, Dupont Tychem QC</t>
  </si>
  <si>
    <t xml:space="preserve">Batteries for EVA and EVAHL</t>
  </si>
  <si>
    <t xml:space="preserve">18592346616</t>
  </si>
  <si>
    <t xml:space="preserve">https://www.bullard.com/contact-us/</t>
  </si>
  <si>
    <t xml:space="preserve">https://www.thomassci.com/browse-by/suppliers/bullard | https://www.bullard.com/contact-us/</t>
  </si>
  <si>
    <t xml:space="preserve">Bulldog Bio</t>
  </si>
  <si>
    <t xml:space="preserve">https://bulldog-bio.com</t>
  </si>
  <si>
    <t xml:space="preserve">Bulwark FR</t>
  </si>
  <si>
    <t xml:space="preserve">https://www.thomassci.com/browse-by/suppliers/bulwark-fr</t>
  </si>
  <si>
    <t xml:space="preserve">Men's Flame-Resistant / Chemical Splash Protection Lab Coats</t>
  </si>
  <si>
    <t xml:space="preserve">Women's Flame-Resistant / Chemical Splash Protection Lab Coats</t>
  </si>
  <si>
    <t xml:space="preserve">Burkle</t>
  </si>
  <si>
    <t xml:space="preserve">D+Q+Q+</t>
  </si>
  <si>
    <t xml:space="preserve">https://www.dutscher.com/search?initialFilters=brand:Burkle</t>
  </si>
  <si>
    <t xml:space="preserve">Bürkle offers a wide range of high-quality samplers, drum and container pumps as well as laboratory supplies with a focus on quality and innovation. With a wide range of products and comprehensive consulting services, Bürkle supports customers from a wide variety of industrial, laboratory and scientific sectors worldwide.</t>
  </si>
  <si>
    <t xml:space="preserve">LaboPlast Spoon with spatula</t>
  </si>
  <si>
    <t xml:space="preserve">White polyethylene bioplastic Ladle - from renewable raw materials - volume 30 ml - sterile</t>
  </si>
  <si>
    <t xml:space="preserve">White polyethylene bioplastic Ladle - from renewable raw materials - volume 30 ml - non-sterile</t>
  </si>
  <si>
    <t xml:space="preserve">Only Buerkle GmbH's own site (country-selector distributor page) and trade-fair/company profiles; no Israeli partner shown in the results.</t>
  </si>
  <si>
    <t xml:space="preserve">https://www.dutscher.com/search?initialFilters=brand:Burkle | https://www.quartzy.com/suppliers | https://info.quartzy.com/new-suppliers</t>
  </si>
  <si>
    <t xml:space="preserve">Burrell</t>
  </si>
  <si>
    <t xml:space="preserve">https://www.thomassci.com/browse-by/suppliers/burrell</t>
  </si>
  <si>
    <t xml:space="preserve">https://burrell.ie</t>
  </si>
  <si>
    <t xml:space="preserve">Snap-N-Lock Clamps</t>
  </si>
  <si>
    <t xml:space="preserve">Wrist Action® Shakers</t>
  </si>
  <si>
    <t xml:space="preserve">Wrist Action® Simethicone Shakers</t>
  </si>
  <si>
    <t xml:space="preserve">BYK-Gardner</t>
  </si>
  <si>
    <t xml:space="preserve">https://www.thomassci.com/browse-by/suppliers/byk-gardner</t>
  </si>
  <si>
    <t xml:space="preserve">Abrasion Tester</t>
  </si>
  <si>
    <t xml:space="preserve">Weight Per Gallon Cups</t>
  </si>
  <si>
    <t xml:space="preserve">Liquid Color Meter (LCM+)</t>
  </si>
  <si>
    <t xml:space="preserve">C &amp; G Container</t>
  </si>
  <si>
    <t xml:space="preserve">https://www.thomassci.com/browse-by/suppliers/c-and-g-container</t>
  </si>
  <si>
    <t xml:space="preserve">PFAS Free Bottles</t>
  </si>
  <si>
    <t xml:space="preserve">1oz Amb BR 20-400 BLK PHEN PC L3 432/cs</t>
  </si>
  <si>
    <t xml:space="preserve">VOA Vials</t>
  </si>
  <si>
    <t xml:space="preserve">C.B.S. Scientific</t>
  </si>
  <si>
    <t xml:space="preserve">https://www.thomassci.com/browse-by/suppliers/c-b-s-scientific</t>
  </si>
  <si>
    <t xml:space="preserve">PCR Workstations 36"</t>
  </si>
  <si>
    <t xml:space="preserve">PCR Workstations 48"</t>
  </si>
  <si>
    <t xml:space="preserve">Replacement Bulbs</t>
  </si>
  <si>
    <t xml:space="preserve">Cadence Science</t>
  </si>
  <si>
    <t xml:space="preserve">https://www.thomassci.com/browse-by/suppliers/cadence-science</t>
  </si>
  <si>
    <t xml:space="preserve">Threaded End (UTS) Adapters</t>
  </si>
  <si>
    <t xml:space="preserve">1-Way PEEK Luer Adapters</t>
  </si>
  <si>
    <t xml:space="preserve">Standard Reusable Animal Feeding Needles</t>
  </si>
  <si>
    <t xml:space="preserve">Only a Fisher Scientific brand page for Cadence Science Inc. (animal feeding needles); all Israel hits concern Cadence Design Systems (EDA software, Haifa) - unrelated.</t>
  </si>
  <si>
    <t xml:space="preserve">https://www.quartzy.com/suppliers | https://www.thomassci.com/browse-by/suppliers/cadence-science</t>
  </si>
  <si>
    <t xml:space="preserve">Caframo</t>
  </si>
  <si>
    <t xml:space="preserve">https://www.thomassci.com/browse-by/suppliers/caframo</t>
  </si>
  <si>
    <t xml:space="preserve">https://caframo.com</t>
  </si>
  <si>
    <t xml:space="preserve">Accessories for Caframo Overhead Stirrers</t>
  </si>
  <si>
    <t xml:space="preserve">Petite Digital Overhead Stirrer, Model BDC250</t>
  </si>
  <si>
    <t xml:space="preserve">Ultra Torque Overhead Stirrer, Model BDC1850</t>
  </si>
  <si>
    <t xml:space="preserve">1-800-567-3556</t>
  </si>
  <si>
    <t xml:space="preserve">https://www.caframo.com/contact-us/</t>
  </si>
  <si>
    <t xml:space="preserve">https://www.thomassci.com/browse-by/suppliers/caframo | https://www.caframo.com/contact-us/</t>
  </si>
  <si>
    <t xml:space="preserve">Cahn Scientific</t>
  </si>
  <si>
    <t xml:space="preserve">https://www.thomassci.com/browse-by/suppliers/cahn-scientific</t>
  </si>
  <si>
    <t xml:space="preserve">Caisson Labs</t>
  </si>
  <si>
    <t xml:space="preserve">https://caissonlabs.com</t>
  </si>
  <si>
    <t xml:space="preserve">https://www.quartzy.com/suppliers | https://tivanbiotech.com/manufacturers</t>
  </si>
  <si>
    <t xml:space="preserve">Calapro</t>
  </si>
  <si>
    <t xml:space="preserve">https://www.thomassci.com/browse-by/suppliers/calapro</t>
  </si>
  <si>
    <t xml:space="preserve">Finger Cots</t>
  </si>
  <si>
    <t xml:space="preserve">FY01 Powderfree Latex Rolled Fingercots</t>
  </si>
  <si>
    <t xml:space="preserve">Static Dissipative Black Finger Cots</t>
  </si>
  <si>
    <t xml:space="preserve">Cambridge Diagnostic</t>
  </si>
  <si>
    <t xml:space="preserve">https://www.thomassci.com/browse-by/suppliers/cambridge-diagnostic</t>
  </si>
  <si>
    <t xml:space="preserve">https://cambridge-diagnostics.pl</t>
  </si>
  <si>
    <t xml:space="preserve">Camco Quik Stain® II (Wright - Giemsa)</t>
  </si>
  <si>
    <t xml:space="preserve">Camco Quik Stain® (Wright)</t>
  </si>
  <si>
    <t xml:space="preserve">Erada-Stain® &amp; Erado-Sol® Stain Removers</t>
  </si>
  <si>
    <t xml:space="preserve">Cannon Instrument</t>
  </si>
  <si>
    <t xml:space="preserve">https://www.thomassci.com/browse-by/suppliers/cannon-instrument</t>
  </si>
  <si>
    <t xml:space="preserve">https://cannoninstrument.com</t>
  </si>
  <si>
    <t xml:space="preserve">Viscometer Holder</t>
  </si>
  <si>
    <t xml:space="preserve">Silicone Viscosity Standards</t>
  </si>
  <si>
    <t xml:space="preserve">CT-500 And CT-518 Constant Temperature Baths</t>
  </si>
  <si>
    <t xml:space="preserve">800-676-6232</t>
  </si>
  <si>
    <t xml:space="preserve">https://cannoninstrument.com/contact</t>
  </si>
  <si>
    <t xml:space="preserve">https://www.thomassci.com/browse-by/suppliers/cannon-instrument | https://cannoninstrument.com/contact</t>
  </si>
  <si>
    <t xml:space="preserve">Caplugs</t>
  </si>
  <si>
    <t xml:space="preserve">https://caplugs.com</t>
  </si>
  <si>
    <t xml:space="preserve">18882275847</t>
  </si>
  <si>
    <t xml:space="preserve">sales@caplugs.com</t>
  </si>
  <si>
    <t xml:space="preserve">https://www.caplugs.com/contact-us</t>
  </si>
  <si>
    <t xml:space="preserve">https://www.quartzy.com/suppliers | https://www.caplugs.com/contact-us</t>
  </si>
  <si>
    <t xml:space="preserve">Caplugs Evergreen®</t>
  </si>
  <si>
    <t xml:space="preserve">https://www.thomassci.com/browse-by/suppliers/caplugs-evergreen</t>
  </si>
  <si>
    <t xml:space="preserve">Test Tubes</t>
  </si>
  <si>
    <t xml:space="preserve">Test Tube Stopper Caps</t>
  </si>
  <si>
    <t xml:space="preserve">50 mL Centrifuge Tubes with Caps</t>
  </si>
  <si>
    <t xml:space="preserve">Capp</t>
  </si>
  <si>
    <t xml:space="preserve">https://www.dutscher.com/search?initialFilters=brand:Capp</t>
  </si>
  <si>
    <t xml:space="preserve">1 m silicone tube</t>
  </si>
  <si>
    <t xml:space="preserve">ExpellPlus sterile tip individual wrapping, 10 µl</t>
  </si>
  <si>
    <t xml:space="preserve">Origami reservoir 30 ml sterile for pipettes 8 or 16 channels</t>
  </si>
  <si>
    <t xml:space="preserve">Caprico Biotechnologies</t>
  </si>
  <si>
    <t xml:space="preserve">https://capricobio.com</t>
  </si>
  <si>
    <t xml:space="preserve">16786912143</t>
  </si>
  <si>
    <t xml:space="preserve">info@capricobio.com</t>
  </si>
  <si>
    <t xml:space="preserve">https://www.capricobio.com/contact-us/</t>
  </si>
  <si>
    <t xml:space="preserve">https://www.quartzy.com/suppliers | https://www.capricobio.com/contact-us/</t>
  </si>
  <si>
    <t xml:space="preserve">Cardinal Health</t>
  </si>
  <si>
    <t xml:space="preserve">https://www.thomassci.com/browse-by/suppliers/cardinal-health</t>
  </si>
  <si>
    <t xml:space="preserve">https://cardinalhealth.com</t>
  </si>
  <si>
    <t xml:space="preserve">Protexis® Latex Micro Surgical Gloves</t>
  </si>
  <si>
    <t xml:space="preserve">AAMI Level 4 Surgical Gowns</t>
  </si>
  <si>
    <t xml:space="preserve">Disposable Sleeve</t>
  </si>
  <si>
    <t xml:space="preserve">Cargille</t>
  </si>
  <si>
    <t xml:space="preserve">https://www.thomassci.com/browse-by/suppliers/cargille</t>
  </si>
  <si>
    <t xml:space="preserve">https://cargille.com</t>
  </si>
  <si>
    <t xml:space="preserve">Microscope Immersion Oils</t>
  </si>
  <si>
    <t xml:space="preserve">Polypropylene Staccups</t>
  </si>
  <si>
    <t xml:space="preserve">Brix Index Chart</t>
  </si>
  <si>
    <t xml:space="preserve">(973)-239-6633</t>
  </si>
  <si>
    <t xml:space="preserve">https://www.cargille.com/contact/</t>
  </si>
  <si>
    <t xml:space="preserve">https://www.thomassci.com/browse-by/suppliers/cargille | https://www.cargille.com/contact/</t>
  </si>
  <si>
    <t xml:space="preserve">Carlo Erba</t>
  </si>
  <si>
    <t xml:space="preserve">https://www.dutscher.com/search?initialFilters=brand:Carlo+Erba</t>
  </si>
  <si>
    <t xml:space="preserve">575101-CER · Conductivity solution 1413 µS/cm - 500 ml</t>
  </si>
  <si>
    <t xml:space="preserve">502721-CER · Sodium hydroxide solution 40% - RS - For agroalimentary analysis - Plastic bottle 5 Litres</t>
  </si>
  <si>
    <t xml:space="preserve">412042-CER · RS Acetonitrile - for UHPLC-MS - Glass bottle 2.5 Litre</t>
  </si>
  <si>
    <t xml:space="preserve">Carolina Components Group</t>
  </si>
  <si>
    <t xml:space="preserve">https://www.thomassci.com/browse-by/suppliers/carolina-components-group</t>
  </si>
  <si>
    <t xml:space="preserve">https://carolinaflow.com</t>
  </si>
  <si>
    <t xml:space="preserve">FlowLinX TPE Tubing Ends</t>
  </si>
  <si>
    <t xml:space="preserve">Beta Bags</t>
  </si>
  <si>
    <t xml:space="preserve">PET Media Bottle Assemblies</t>
  </si>
  <si>
    <t xml:space="preserve">919-635-8438</t>
  </si>
  <si>
    <t xml:space="preserve">customerservice@carolinaflow.com</t>
  </si>
  <si>
    <t xml:space="preserve">https://carolinaflow.com/contact/</t>
  </si>
  <si>
    <t xml:space="preserve">https://www.thomassci.com/browse-by/suppliers/carolina-components-group | https://carolinaflow.com/contact/</t>
  </si>
  <si>
    <t xml:space="preserve">Caron Products and Services Inc.</t>
  </si>
  <si>
    <t xml:space="preserve">https://www.thomassci.com/browse-by/suppliers/caron-products-and-services-inc-</t>
  </si>
  <si>
    <t xml:space="preserve">Freeze/Thaw Chambers</t>
  </si>
  <si>
    <t xml:space="preserve">CO2 Incubators, Reach-In</t>
  </si>
  <si>
    <t xml:space="preserve">CO2 Incubators, GelJacket</t>
  </si>
  <si>
    <t xml:space="preserve">Carver Inc</t>
  </si>
  <si>
    <t xml:space="preserve">https://www.thomassci.com/browse-by/suppliers/carver</t>
  </si>
  <si>
    <t xml:space="preserve">Pellet Die</t>
  </si>
  <si>
    <t xml:space="preserve">Pellet Presses</t>
  </si>
  <si>
    <t xml:space="preserve">Test Cylinder Outfits (TCO's)</t>
  </si>
  <si>
    <t xml:space="preserve">Only manufacturer (Carver/ACS Group) and US reseller pages (VWR, CCSI, American Laboratory Trading); nothing for Israel.</t>
  </si>
  <si>
    <t xml:space="preserve">https://www.quartzy.com/suppliers | https://www.thomassci.com/browse-by/suppliers/carver</t>
  </si>
  <si>
    <t xml:space="preserve">Cascade Sciences LLC</t>
  </si>
  <si>
    <t xml:space="preserve">https://www.thomassci.com/browse-by/suppliers/cascade-sciences-llc</t>
  </si>
  <si>
    <t xml:space="preserve">Cayman Chemical Company</t>
  </si>
  <si>
    <t xml:space="preserve">https://www.thomassci.com/browse-by/suppliers/cayman-chemical</t>
  </si>
  <si>
    <t xml:space="preserve">Linoleic Acid</t>
  </si>
  <si>
    <t xml:space="preserve">a-Linolenic Acid</t>
  </si>
  <si>
    <t xml:space="preserve">Oleic Acid</t>
  </si>
  <si>
    <t xml:space="preserve">Cayman's site says worldwide distribution runs via Cayman Europe (Tallinn) plus independent distributors, and Cayman Europe's page says its network extends to 'the Middle East', but no Israeli distributor is named; the site's International Distributors section was not visible in results.</t>
  </si>
  <si>
    <t xml:space="preserve">https://www.quartzy.com/suppliers | https://www.thomassci.com/browse-by/suppliers/cayman-chemical | https://www.enco.co.il/suppliers.php</t>
  </si>
  <si>
    <t xml:space="preserve">CCP Industries</t>
  </si>
  <si>
    <t xml:space="preserve">https://www.thomassci.com/browse-by/suppliers/ccp-industries</t>
  </si>
  <si>
    <t xml:space="preserve">CDS Empore™</t>
  </si>
  <si>
    <t xml:space="preserve">https://www.thomassci.com/browse-by/suppliers/cds-empore</t>
  </si>
  <si>
    <t xml:space="preserve">6093 SDB-XC StageTips</t>
  </si>
  <si>
    <t xml:space="preserve">CDS Empore™ 2370: Oil &amp; Grease Disk</t>
  </si>
  <si>
    <t xml:space="preserve">CDS Empore™ 2215: C18-HD Bonded Silica, 12um SPE Disk</t>
  </si>
  <si>
    <t xml:space="preserve">CDW</t>
  </si>
  <si>
    <t xml:space="preserve">https://cdw.com</t>
  </si>
  <si>
    <t xml:space="preserve">CE-Force® (powered by Thomas Scientific)</t>
  </si>
  <si>
    <t xml:space="preserve">https://www.thomassci.com/browse-by/suppliers/ce-force-powered-by-thomas-scientific</t>
  </si>
  <si>
    <t xml:space="preserve">Thomas Scientific</t>
  </si>
  <si>
    <t xml:space="preserve">CE-Force Sticky Floor Mats</t>
  </si>
  <si>
    <t xml:space="preserve">Cleanroom Backpack and Sling bag</t>
  </si>
  <si>
    <t xml:space="preserve">CE-Force, Sticky Mat Frame, Aluminum</t>
  </si>
  <si>
    <t xml:space="preserve">Cedarlane</t>
  </si>
  <si>
    <t xml:space="preserve">https://www.thomassci.com/browse-by/suppliers/cedarlane</t>
  </si>
  <si>
    <t xml:space="preserve">https://cedarlanebookkeeping.com</t>
  </si>
  <si>
    <t xml:space="preserve">Lympholyte® Cell Separation Media</t>
  </si>
  <si>
    <t xml:space="preserve">Rat serum</t>
  </si>
  <si>
    <t xml:space="preserve">Anti- NGF, beta subunit</t>
  </si>
  <si>
    <t xml:space="preserve">Cedarlane / Cytomark</t>
  </si>
  <si>
    <t xml:space="preserve">https://www.thomassci.com/browse-by/suppliers/cedarlane-/-cytomark</t>
  </si>
  <si>
    <t xml:space="preserve">Cell Biolabs</t>
  </si>
  <si>
    <t xml:space="preserve">https://cellbiolabs.com</t>
  </si>
  <si>
    <t xml:space="preserve">1-858-271-6500</t>
  </si>
  <si>
    <t xml:space="preserve">info@cellbiolabs.com</t>
  </si>
  <si>
    <t xml:space="preserve">https://www.cellbiolabs.com/contact-technical-service</t>
  </si>
  <si>
    <t xml:space="preserve">https://www.quartzy.com/suppliers | https://www.cellbiolabs.com/contact-technical-service</t>
  </si>
  <si>
    <t xml:space="preserve">Cell Point Scientific</t>
  </si>
  <si>
    <t xml:space="preserve">https://www.thomassci.com/browse-by/suppliers/cell-point-scientific</t>
  </si>
  <si>
    <t xml:space="preserve">Cell Signaling Technology</t>
  </si>
  <si>
    <t xml:space="preserve">https://cellsignal.com</t>
  </si>
  <si>
    <t xml:space="preserve">Ornat BioChemicals &amp; Lab Equipment Ltd.:</t>
  </si>
  <si>
    <t xml:space="preserve">877-678-8324</t>
  </si>
  <si>
    <t xml:space="preserve">https://www.cellsignal.com:443/learn-and-support/support-information</t>
  </si>
  <si>
    <t xml:space="preserve">https://www.quartzy.com/suppliers | https://www.cellsignal.com:443/learn-and-support/support-information | https://www.fiseb.org/vendors/</t>
  </si>
  <si>
    <t xml:space="preserve">Cell Systems</t>
  </si>
  <si>
    <t xml:space="preserve">https://cell-systems.com</t>
  </si>
  <si>
    <t xml:space="preserve">425-823-1010</t>
  </si>
  <si>
    <t xml:space="preserve">customerservice@cell-systems.com</t>
  </si>
  <si>
    <t xml:space="preserve">https://cell-systems.com/pages/contact</t>
  </si>
  <si>
    <t xml:space="preserve">https://www.quartzy.com/suppliers | https://doronscientific.com/products/ | https://cell-systems.com/pages/contact</t>
  </si>
  <si>
    <t xml:space="preserve">Cellaven</t>
  </si>
  <si>
    <t xml:space="preserve">https://www.dutscher.com/search?initialFilters=brand:Cellaven</t>
  </si>
  <si>
    <t xml:space="preserve">https://cellaven.com</t>
  </si>
  <si>
    <t xml:space="preserve">Nestor automatic medium changer for cell culture</t>
  </si>
  <si>
    <t xml:space="preserve">Consumables kit for plates</t>
  </si>
  <si>
    <t xml:space="preserve">Consumables kit for culture flasks</t>
  </si>
  <si>
    <t xml:space="preserve">contact@cellaven.com</t>
  </si>
  <si>
    <t xml:space="preserve">https://cellaven.com/contact-cellaven-cell-culture-automation/</t>
  </si>
  <si>
    <t xml:space="preserve">https://www.dutscher.com/search?initialFilters=brand:Cellaven | https://cellaven.com/contact-cellaven-cell-culture-automation/</t>
  </si>
  <si>
    <t xml:space="preserve">Cellecta</t>
  </si>
  <si>
    <t xml:space="preserve">https://cellecta.com</t>
  </si>
  <si>
    <t xml:space="preserve">16509383910</t>
  </si>
  <si>
    <t xml:space="preserve">info@cellecta.com</t>
  </si>
  <si>
    <t xml:space="preserve">https://cellecta.com/pages/company-contact-us</t>
  </si>
  <si>
    <t xml:space="preserve">https://www.quartzy.com/suppliers | https://cellecta.com/pages/company-contact-us</t>
  </si>
  <si>
    <t xml:space="preserve">Cellomics</t>
  </si>
  <si>
    <t xml:space="preserve">Cellomics Technology</t>
  </si>
  <si>
    <t xml:space="preserve">https://www.thomassci.com/browse-by/suppliers/cellomics-technology</t>
  </si>
  <si>
    <t xml:space="preserve">https://cellomicstech.com</t>
  </si>
  <si>
    <t xml:space="preserve">hTERT lentivirus (CMV, Puro)</t>
  </si>
  <si>
    <t xml:space="preserve">Set of lentivirus (Tet-driven SOX2, OCT3/4, KLF4 and C-MYC)</t>
  </si>
  <si>
    <t xml:space="preserve">Inducible tet-on miR-302 lentivirus</t>
  </si>
  <si>
    <t xml:space="preserve">1-800-586-6038</t>
  </si>
  <si>
    <t xml:space="preserve">info@cellomicstech.com</t>
  </si>
  <si>
    <t xml:space="preserve">https://www.cellomicstech.com/contactus</t>
  </si>
  <si>
    <t xml:space="preserve">https://www.thomassci.com/browse-by/suppliers/cellomics-technology | https://www.cellomicstech.com/contactus</t>
  </si>
  <si>
    <t xml:space="preserve">Cells Online</t>
  </si>
  <si>
    <t xml:space="preserve">https://cells-online.com</t>
  </si>
  <si>
    <t xml:space="preserve">(650) 488 1598</t>
  </si>
  <si>
    <t xml:space="preserve">info@cells-online.com</t>
  </si>
  <si>
    <t xml:space="preserve">https://cells-online.com/contact-expert-on-cells/</t>
  </si>
  <si>
    <t xml:space="preserve">https://www.quartzy.com/suppliers | https://cells-online.com/contact-expert-on-cells/</t>
  </si>
  <si>
    <t xml:space="preserve">Celltreat</t>
  </si>
  <si>
    <t xml:space="preserve">https://www.dutscher.com/search?initialFilters=brand:Celltreat</t>
  </si>
  <si>
    <t xml:space="preserve">Pasteur pipette - individually packaged sterile - Length 229 mm</t>
  </si>
  <si>
    <t xml:space="preserve">Cell scraper - Scraper type - lenght manche 25 mm - largeur lame 20 mm</t>
  </si>
  <si>
    <t xml:space="preserve">50 ml centrifuge tube 25 on cardboard rack - sterile</t>
  </si>
  <si>
    <t xml:space="preserve">Only US wholesaler listings (MAP Medical) and unrelated Israeli distributors; no CELLTREAT Israel link.</t>
  </si>
  <si>
    <t xml:space="preserve">https://www.dutscher.com/search?initialFilters=brand:Celltreat | https://www.quartzy.com/suppliers</t>
  </si>
  <si>
    <t xml:space="preserve">Celltreat Scientific</t>
  </si>
  <si>
    <t xml:space="preserve">https://www.thomassci.com/browse-by/suppliers/celltreat-scientific</t>
  </si>
  <si>
    <t xml:space="preserve">Large Volume Centrifuge Tubes</t>
  </si>
  <si>
    <t xml:space="preserve">Serological Pipets - Individually Wrapped, Bag, Paper/Plastic</t>
  </si>
  <si>
    <t xml:space="preserve">Syringe Filters</t>
  </si>
  <si>
    <t xml:space="preserve">Cellucap</t>
  </si>
  <si>
    <t xml:space="preserve">https://www.thomassci.com/browse-by/suppliers/cellucap</t>
  </si>
  <si>
    <t xml:space="preserve">Shoe Cover</t>
  </si>
  <si>
    <t xml:space="preserve">Bouffant Cap</t>
  </si>
  <si>
    <t xml:space="preserve">Cellular Engineering Technologies</t>
  </si>
  <si>
    <t xml:space="preserve">https://www.thomassci.com/browse-by/suppliers/cellular-engineering-technologies</t>
  </si>
  <si>
    <t xml:space="preserve">Cellvis</t>
  </si>
  <si>
    <t xml:space="preserve">CEM</t>
  </si>
  <si>
    <t xml:space="preserve">https://www.dutscher.com/search?initialFilters=brand:CEM</t>
  </si>
  <si>
    <t xml:space="preserve">MICROWAVE AND IR MOISTURE ANALYSER CEM SMART 6</t>
  </si>
  <si>
    <t xml:space="preserve">PADS SQUARE FOR SMART 6 CM x400</t>
  </si>
  <si>
    <t xml:space="preserve">MICROWAVE HEATING SYSTEM CEM SAM 255</t>
  </si>
  <si>
    <t xml:space="preserve">Cenmed</t>
  </si>
  <si>
    <t xml:space="preserve">Certoclav</t>
  </si>
  <si>
    <t xml:space="preserve">https://www.dutscher.com/search?initialFilters=brand:Certoclav</t>
  </si>
  <si>
    <t xml:space="preserve">https://certoclav.com</t>
  </si>
  <si>
    <t xml:space="preserve">Accessory for autoclave</t>
  </si>
  <si>
    <t xml:space="preserve">12-Litre EL Certoclav with aluminium chamber (max. temperature: 125/140 °C)</t>
  </si>
  <si>
    <t xml:space="preserve">18-Litre Connect Certoclav with stainless steel chamber (max. temperature: 140 °C)</t>
  </si>
  <si>
    <t xml:space="preserve">12-Litre EL Certoclav with aluminium chamber (max. temperature: 115/121 °C) + wire basket</t>
  </si>
  <si>
    <t xml:space="preserve">+43732674278</t>
  </si>
  <si>
    <t xml:space="preserve">support@certoclav.com</t>
  </si>
  <si>
    <t xml:space="preserve">https://www.certoclav.com/contact/</t>
  </si>
  <si>
    <t xml:space="preserve">https://www.dutscher.com/search?initialFilters=brand:Certoclav | https://www.certoclav.com/contact/</t>
  </si>
  <si>
    <t xml:space="preserve">Charles River Laboratories</t>
  </si>
  <si>
    <t xml:space="preserve">https://criver.com</t>
  </si>
  <si>
    <t xml:space="preserve">Chart Biomedical</t>
  </si>
  <si>
    <t xml:space="preserve">https://www.thomassci.com/browse-by/suppliers/chart-biomedical</t>
  </si>
  <si>
    <t xml:space="preserve">MVE CryoSystem Series Cryopreservation Equipment</t>
  </si>
  <si>
    <t xml:space="preserve">MVE Doble QWick™ &amp; Doble Series Cryopreservation Equipment</t>
  </si>
  <si>
    <t xml:space="preserve">MVE Lab Series Cryopreservation Equipment</t>
  </si>
  <si>
    <t xml:space="preserve">Chase Instruments</t>
  </si>
  <si>
    <t xml:space="preserve">https://www.thomassci.com/browse-by/suppliers/chase-instruments</t>
  </si>
  <si>
    <t xml:space="preserve">Infrared Thermometer</t>
  </si>
  <si>
    <t xml:space="preserve">Precision Thermo Hydrometer</t>
  </si>
  <si>
    <t xml:space="preserve">Baume Heavy Specific Gravity Hydrometer</t>
  </si>
  <si>
    <t xml:space="preserve">Chase Scientific</t>
  </si>
  <si>
    <t xml:space="preserve">https://www.thomassci.com/browse-by/suppliers/chase-scientific</t>
  </si>
  <si>
    <t xml:space="preserve">https://chase-scientific.com</t>
  </si>
  <si>
    <t xml:space="preserve">https://chase-scientific.com/sales.html</t>
  </si>
  <si>
    <t xml:space="preserve">https://www.thomassci.com/browse-by/suppliers/chase-scientific | https://chase-scientific.com/sales.html</t>
  </si>
  <si>
    <t xml:space="preserve">CheckSammy</t>
  </si>
  <si>
    <t xml:space="preserve">https://www.thomassci.com/browse-by/suppliers/checksammy</t>
  </si>
  <si>
    <t xml:space="preserve">https://checksammy.com</t>
  </si>
  <si>
    <t xml:space="preserve">https://checksammy.com/contact-us</t>
  </si>
  <si>
    <t xml:space="preserve">https://www.thomassci.com/browse-by/suppliers/checksammy | https://checksammy.com/contact-us</t>
  </si>
  <si>
    <t xml:space="preserve">Chem-Impex</t>
  </si>
  <si>
    <t xml:space="preserve">https://chemimpex.com</t>
  </si>
  <si>
    <t xml:space="preserve">800-869-9290</t>
  </si>
  <si>
    <t xml:space="preserve">https://www.chemimpex.com/pages/contact</t>
  </si>
  <si>
    <t xml:space="preserve">https://www.quartzy.com/suppliers | https://www.chemimpex.com/pages/contact</t>
  </si>
  <si>
    <t xml:space="preserve">CHEMetrics</t>
  </si>
  <si>
    <t xml:space="preserve">https://www.thomassci.com/browse-by/suppliers/chemetrics</t>
  </si>
  <si>
    <t xml:space="preserve">https://chemetrics.com</t>
  </si>
  <si>
    <t xml:space="preserve">Phosphate CHEMets® Kits</t>
  </si>
  <si>
    <t xml:space="preserve">Iron (Total &amp; Ferrous) Vacu-vials Kit</t>
  </si>
  <si>
    <t xml:space="preserve">Sulfide CHEMets® Kits</t>
  </si>
  <si>
    <t xml:space="preserve">https://www.thomassci.com/browse-by/suppliers/chemetrics | https://slmoran.co.il/%d7%a1%d7%a4%d7%a7%d7%99%d7%9d/ | https://www.aquaphoenixsci.com/contact-us/</t>
  </si>
  <si>
    <t xml:space="preserve">chemForce® (powered by Thomas Scientific)</t>
  </si>
  <si>
    <t xml:space="preserve">https://www.thomassci.com/browse-by/suppliers/chemforce-powered-by-thomas-scientific</t>
  </si>
  <si>
    <t xml:space="preserve">Conductivity Standard KCl 1413 µS/cm</t>
  </si>
  <si>
    <t xml:space="preserve">Conductivity Standards</t>
  </si>
  <si>
    <t xml:space="preserve">Fehling's Solution B</t>
  </si>
  <si>
    <t xml:space="preserve">Chemglass</t>
  </si>
  <si>
    <t xml:space="preserve">https://www.thomassci.com/browse-by/suppliers/chemglass</t>
  </si>
  <si>
    <t xml:space="preserve">https://www.chemglass.com</t>
  </si>
  <si>
    <t xml:space="preserve">Solid Cap, PTFE Seal, GL-14 Thread</t>
  </si>
  <si>
    <t xml:space="preserve">Kalrez® 4079 O-Rings</t>
  </si>
  <si>
    <t xml:space="preserve">Adapters, Distillation, 105°</t>
  </si>
  <si>
    <t xml:space="preserve">Chemglass Life Sciences 2026 capabilities PDFs and company profile only; Agentek appeared in results with no stated link to Chemglass.</t>
  </si>
  <si>
    <t xml:space="preserve">1-800-843-1794</t>
  </si>
  <si>
    <t xml:space="preserve">https://chemglass.com/ContactUs</t>
  </si>
  <si>
    <t xml:space="preserve">https://www.quartzy.com/suppliers | https://www.thomassci.com/browse-by/suppliers/chemglass | https://slmoran.co.il/%d7%a1%d7%a4%d7%a7%d7%99%d7%9d/ | https://chemglass.com/ContactUs</t>
  </si>
  <si>
    <t xml:space="preserve">Chemicals Reagents W</t>
  </si>
  <si>
    <t xml:space="preserve">https://www.thomassci.com/browse-by/suppliers/chemicals-reagents-w</t>
  </si>
  <si>
    <t xml:space="preserve">ChemScene</t>
  </si>
  <si>
    <t xml:space="preserve">https://chemscene.com</t>
  </si>
  <si>
    <t xml:space="preserve">Chemsolute</t>
  </si>
  <si>
    <t xml:space="preserve">https://www.dutscher.com/search?initialFilters=brand:Chemsolute</t>
  </si>
  <si>
    <t xml:space="preserve">1626-1KG-KIS · SILICA GEL WITH COBALT-FREE HUMIDTY INDICATOR (PEARLS) 3-5MM 1KG</t>
  </si>
  <si>
    <t xml:space="preserve">Chemical absorbent Chemsolute - 4000 ml bottle</t>
  </si>
  <si>
    <t xml:space="preserve">Chemical absorbent Chemsolute - 1000 ml bottle</t>
  </si>
  <si>
    <t xml:space="preserve">Chemteq</t>
  </si>
  <si>
    <t xml:space="preserve">https://www.thomassci.com/browse-by/suppliers/chemteq</t>
  </si>
  <si>
    <t xml:space="preserve">https://chemteq.net</t>
  </si>
  <si>
    <t xml:space="preserve">BTI Inline: Filters Breakthrough Indicators Inline</t>
  </si>
  <si>
    <t xml:space="preserve">BTI Carbon Adsorbers and Filters Change Indicators</t>
  </si>
  <si>
    <t xml:space="preserve">Filter Breakthrough Indicators: for Low-Flow Waste Containers Filters</t>
  </si>
  <si>
    <t xml:space="preserve">Chemtronics</t>
  </si>
  <si>
    <t xml:space="preserve">https://www.thomassci.com/browse-by/suppliers/chemtronics</t>
  </si>
  <si>
    <t xml:space="preserve">https://chemtronics.com</t>
  </si>
  <si>
    <t xml:space="preserve">Swabs, Blunt Tip, Wrapped Foam Tip, Wooden Handle 3 inches, 500/pk/cs</t>
  </si>
  <si>
    <t xml:space="preserve">Swab, Chemtronics-Coventry, Pointed Tip Wrapped Polyester Fabric, Cleanroom Non-Linting and Solvent Compatible, 2.8" Length Plastic Handle, 500EA/BG, 5BG/CS</t>
  </si>
  <si>
    <t xml:space="preserve">Swabs, Pointed Wrap, Foam, 3 inches, 500 per pack, 5 packs per case</t>
  </si>
  <si>
    <t xml:space="preserve">+17704244888</t>
  </si>
  <si>
    <t xml:space="preserve">https://www.chemtronics.com/contact-cleaners</t>
  </si>
  <si>
    <t xml:space="preserve">https://www.thomassci.com/browse-by/suppliers/chemtronics | https://www.chemtronics.com/contact-cleaners</t>
  </si>
  <si>
    <t xml:space="preserve">Choice Taq Blue Mastermix™</t>
  </si>
  <si>
    <t xml:space="preserve">https://www.thomassci.com/browse-by/suppliers/choice-taq-blue-mastermix</t>
  </si>
  <si>
    <t xml:space="preserve">ChromaDex</t>
  </si>
  <si>
    <t xml:space="preserve">https://chromadex.com</t>
  </si>
  <si>
    <t xml:space="preserve">+ 44 0208 943 8480</t>
  </si>
  <si>
    <t xml:space="preserve">info@asm.com.py</t>
  </si>
  <si>
    <t xml:space="preserve">https://www.lgcstandards.com/GB/en/contact-us</t>
  </si>
  <si>
    <t xml:space="preserve">https://www.quartzy.com/suppliers | https://www.lgcstandards.com/GB/en/contact-us</t>
  </si>
  <si>
    <t xml:space="preserve">ChromoTek</t>
  </si>
  <si>
    <t xml:space="preserve">CHUMS</t>
  </si>
  <si>
    <t xml:space="preserve">https://www.thomassci.com/browse-by/suppliers/chums</t>
  </si>
  <si>
    <t xml:space="preserve">https://chums.com</t>
  </si>
  <si>
    <t xml:space="preserve">Chums Breakaway Safety Eyewear Retainers</t>
  </si>
  <si>
    <t xml:space="preserve">SECURITY ARM BAND</t>
  </si>
  <si>
    <t xml:space="preserve">https://chums.com/pages/contact-us</t>
  </si>
  <si>
    <t xml:space="preserve">https://www.thomassci.com/browse-by/suppliers/chums | https://chums.com/pages/contact-us</t>
  </si>
  <si>
    <t xml:space="preserve">Cincinnati Surgical</t>
  </si>
  <si>
    <t xml:space="preserve">https://www.thomassci.com/browse-by/suppliers/cincinnati-surgical</t>
  </si>
  <si>
    <t xml:space="preserve">Stitch Cutters</t>
  </si>
  <si>
    <t xml:space="preserve">Swann Morton Blade, Carbon Steel, Sterile</t>
  </si>
  <si>
    <t xml:space="preserve">Swann Morton Blade, Stainless Steel, Sterile</t>
  </si>
  <si>
    <t xml:space="preserve">CLïR (a ResinTech brand)</t>
  </si>
  <si>
    <t xml:space="preserve">https://www.thomassci.com/browse-by/suppliers/clir-a-resintech-brand</t>
  </si>
  <si>
    <t xml:space="preserve">CLïR 5000 High Purity Water System</t>
  </si>
  <si>
    <t xml:space="preserve">CLïR 3000 High Purity Water System</t>
  </si>
  <si>
    <t xml:space="preserve">Clariant Inc.</t>
  </si>
  <si>
    <t xml:space="preserve">https://www.thomassci.com/browse-by/suppliers/clariant-inc-</t>
  </si>
  <si>
    <t xml:space="preserve">Clarity Diagnostics, LLC</t>
  </si>
  <si>
    <t xml:space="preserve">https://www.thomassci.com/browse-by/suppliers/clarity-diagnostics-llc</t>
  </si>
  <si>
    <t xml:space="preserve">Clarity Platinum Urine Chemistry Test System</t>
  </si>
  <si>
    <t xml:space="preserve">Clarity Diagnostics Urinalysis</t>
  </si>
  <si>
    <t xml:space="preserve">Clarity Diagnostics Hemoglobin</t>
  </si>
  <si>
    <t xml:space="preserve">Clean Edge</t>
  </si>
  <si>
    <t xml:space="preserve">https://www.thomassci.com/browse-by/suppliers/clean-edge</t>
  </si>
  <si>
    <t xml:space="preserve">https://cleanedge.com</t>
  </si>
  <si>
    <t xml:space="preserve">STD Flo Orange Saf-t Cap PAA (P-5072)</t>
  </si>
  <si>
    <t xml:space="preserve">Safe-T-Feed® STD-Flo Drum System</t>
  </si>
  <si>
    <t xml:space="preserve">https://cleanedge.com/contact/</t>
  </si>
  <si>
    <t xml:space="preserve">https://www.thomassci.com/browse-by/suppliers/clean-edge | https://cleanedge.com/contact/</t>
  </si>
  <si>
    <t xml:space="preserve">Clean Packaging Solutions LLC</t>
  </si>
  <si>
    <t xml:space="preserve">https://www.thomassci.com/browse-by/suppliers/clean-packaging-solutions-llc</t>
  </si>
  <si>
    <t xml:space="preserve">Cleanroom Visqueen / Film</t>
  </si>
  <si>
    <t xml:space="preserve">HDPE Can Liner - Natural</t>
  </si>
  <si>
    <t xml:space="preserve">Clear Flex Vinyl Matting, 20gauge material, 54”x120’x0.020 gauge (20mil)</t>
  </si>
  <si>
    <t xml:space="preserve">Clean Rooms International</t>
  </si>
  <si>
    <t xml:space="preserve">https://www.thomassci.com/browse-by/suppliers/clean-rooms-international</t>
  </si>
  <si>
    <t xml:space="preserve">Hy Laboratories Ltd. (hylabs)</t>
  </si>
  <si>
    <t xml:space="preserve">Hy Laboratories Ltd. (hylabs): +972-8-936-6475 oligo@hylabs.co.il</t>
  </si>
  <si>
    <t xml:space="preserve">https://www.thomassci.com/browse-by/suppliers/clean-rooms-international | https://www.hylabs.co.il/</t>
  </si>
  <si>
    <t xml:space="preserve">CleanMark Labels</t>
  </si>
  <si>
    <t xml:space="preserve">https://www.thomassci.com/browse-by/suppliers/cleanmark-labels</t>
  </si>
  <si>
    <t xml:space="preserve">https://cleanmarklabels.com</t>
  </si>
  <si>
    <t xml:space="preserve">CLEANMARK® Biomet Label</t>
  </si>
  <si>
    <t xml:space="preserve">CLEANMARK® Resin Ribbon</t>
  </si>
  <si>
    <t xml:space="preserve">CLEANMARK® Applied Materials Caution Label</t>
  </si>
  <si>
    <t xml:space="preserve">+15039688303</t>
  </si>
  <si>
    <t xml:space="preserve">orders@cleanmarklabels.com</t>
  </si>
  <si>
    <t xml:space="preserve">https://cleanmarklabels.com/contact/</t>
  </si>
  <si>
    <t xml:space="preserve">https://www.thomassci.com/browse-by/suppliers/cleanmark-labels | https://cleanmarklabels.com/contact/</t>
  </si>
  <si>
    <t xml:space="preserve">Cleanmo</t>
  </si>
  <si>
    <t xml:space="preserve">https://www.thomassci.com/browse-by/suppliers/cleanmo</t>
  </si>
  <si>
    <t xml:space="preserve">Cleanroom Film &amp; Bags</t>
  </si>
  <si>
    <t xml:space="preserve">https://www.thomassci.com/browse-by/suppliers/cleanroom-film-and-bags</t>
  </si>
  <si>
    <t xml:space="preserve">https://cleanroomfilm.com</t>
  </si>
  <si>
    <t xml:space="preserve">Bag</t>
  </si>
  <si>
    <t xml:space="preserve">Tubing</t>
  </si>
  <si>
    <t xml:space="preserve">Tubing, CRFB Cleanroom LDPE Rollstock, Class 100 Cleaned and Certified, 4 mil, 15 inch x 250 feet, 250FT/RL</t>
  </si>
  <si>
    <t xml:space="preserve">(714) 744-8361</t>
  </si>
  <si>
    <t xml:space="preserve">sales@cleanbags.com</t>
  </si>
  <si>
    <t xml:space="preserve">https://www.cleanroomfilm.com/contact-us</t>
  </si>
  <si>
    <t xml:space="preserve">https://www.thomassci.com/browse-by/suppliers/cleanroom-film-and-bags | https://www.cleanroomfilm.com/contact-us</t>
  </si>
  <si>
    <t xml:space="preserve">CleanTeam® by PIP Global Safety</t>
  </si>
  <si>
    <t xml:space="preserve">https://www.thomassci.com/browse-by/suppliers/cleanteam-by-pip-global-safety</t>
  </si>
  <si>
    <t xml:space="preserve">Gloves, Cotton Lisle, Med Wgt, Premium, Overcast Hem, Ladies, White, 50dz/cs</t>
  </si>
  <si>
    <t xml:space="preserve">Cotton Lisle Inspection Gloves, Economy, Light Weight - Mens and Womens - ISO9001:2000 Certified</t>
  </si>
  <si>
    <t xml:space="preserve">Cotton Lisle Economy Light Weight Glove Liners</t>
  </si>
  <si>
    <t xml:space="preserve">ClearBags</t>
  </si>
  <si>
    <t xml:space="preserve">https://www.thomassci.com/browse-by/suppliers/clearbags</t>
  </si>
  <si>
    <t xml:space="preserve">https://clearbags.com</t>
  </si>
  <si>
    <t xml:space="preserve">ClearLine</t>
  </si>
  <si>
    <t xml:space="preserve">https://www.dutscher.com/search?initialFilters=brand:ClearLine</t>
  </si>
  <si>
    <t xml:space="preserve">https://clearlineapps.com</t>
  </si>
  <si>
    <t xml:space="preserve">Single use spectrophotometer cuvette 4 ml Macro type ClearLine®</t>
  </si>
  <si>
    <t xml:space="preserve">ClearLine® 2 ml Cryotube, skirted, external thread with natural screw cap</t>
  </si>
  <si>
    <t xml:space="preserve">ClearLine® 2 ml Cryotube, skirted, internal thread with natural screw cap</t>
  </si>
  <si>
    <t xml:space="preserve">+1 (818) 322-3411</t>
  </si>
  <si>
    <t xml:space="preserve">https://clearlineapps.com/contacts/</t>
  </si>
  <si>
    <t xml:space="preserve">https://www.dutscher.com/search?initialFilters=brand:ClearLine | https://clearlineapps.com/contacts/</t>
  </si>
  <si>
    <t xml:space="preserve">Cleaver Scientific</t>
  </si>
  <si>
    <t xml:space="preserve">https://www.dutscher.com/search?initialFilters=brand:Cleaver+Scientific</t>
  </si>
  <si>
    <t xml:space="preserve">https://cleaverscientific.com</t>
  </si>
  <si>
    <t xml:space="preserve">White tray, 460 x 260 mm</t>
  </si>
  <si>
    <t xml:space="preserve">White tray, 1130 x 540 mm</t>
  </si>
  <si>
    <t xml:space="preserve">CELLOPHANE SHEET FOR GEL DRYER 24x24cm x50</t>
  </si>
  <si>
    <t xml:space="preserve">Yarden Biotec Ltd.; BDL (Beith Dekel) Ltd.</t>
  </si>
  <si>
    <t xml:space="preserve">Yarden Biotec Ltd.: +972 2-651-1102 info@yarden-biotec.co.il; BDL (Beith Dekel) Ltd.: +972 9-761-1800 info@bdl.co.il</t>
  </si>
  <si>
    <t xml:space="preserve">https://www.dutscher.com/search?initialFilters=brand:Cleaver+Scientific | https://www.yarden-biotec.co.il/manufacturer/thistle-scientific | https://www.bdl.co.il/Search.aspx?Category=Chemistry&amp;FCD=1</t>
  </si>
  <si>
    <t xml:space="preserve">ClickBio</t>
  </si>
  <si>
    <t xml:space="preserve">https://www.thomassci.com/browse-by/suppliers/clickbio</t>
  </si>
  <si>
    <t xml:space="preserve">https://click-bio.com</t>
  </si>
  <si>
    <t xml:space="preserve">XBLOK630</t>
  </si>
  <si>
    <t xml:space="preserve">XBLOK2412 Adapter</t>
  </si>
  <si>
    <t xml:space="preserve">Snap Cap Tube Rack</t>
  </si>
  <si>
    <t xml:space="preserve">+775 622 9713</t>
  </si>
  <si>
    <t xml:space="preserve">info@clickbio.com</t>
  </si>
  <si>
    <t xml:space="preserve">https://click-bio.com/pages/contact-us</t>
  </si>
  <si>
    <t xml:space="preserve">https://www.thomassci.com/browse-by/suppliers/clickbio | https://click-bio.com/pages/contact-us</t>
  </si>
  <si>
    <t xml:space="preserve">Clorox</t>
  </si>
  <si>
    <t xml:space="preserve">https://www.thomassci.com/browse-by/suppliers/clorox</t>
  </si>
  <si>
    <t xml:space="preserve">https://www.clorox.com</t>
  </si>
  <si>
    <t xml:space="preserve">Clorox Liquid Bleach</t>
  </si>
  <si>
    <t xml:space="preserve">Clorox® Disinfectant Wipes</t>
  </si>
  <si>
    <t xml:space="preserve">800-292-2200</t>
  </si>
  <si>
    <t xml:space="preserve">https://www.clorox.com/contact-us/</t>
  </si>
  <si>
    <t xml:space="preserve">https://www.thomassci.com/browse-by/suppliers/clorox | https://www.clorox.com/contact-us/</t>
  </si>
  <si>
    <t xml:space="preserve">Codigel</t>
  </si>
  <si>
    <t xml:space="preserve">https://www.dutscher.com/search?initialFilters=brand:Codigel</t>
  </si>
  <si>
    <t xml:space="preserve">https://codigel.com</t>
  </si>
  <si>
    <t xml:space="preserve">Storage shelf all stainless steel H x W x D: 2000 x 1000 x 500 mm</t>
  </si>
  <si>
    <t xml:space="preserve">Shelf 3 levels - length: 1725 mm</t>
  </si>
  <si>
    <t xml:space="preserve">Shelf 4 levels for corners - length: 1450 mm</t>
  </si>
  <si>
    <t xml:space="preserve">777 777 777</t>
  </si>
  <si>
    <t xml:space="preserve">https://codigel.com/content/7-sav-assistance</t>
  </si>
  <si>
    <t xml:space="preserve">https://www.dutscher.com/search?initialFilters=brand:Codigel | https://codigel.com/content/7-sav-assistance</t>
  </si>
  <si>
    <t xml:space="preserve">Cold Chain Technologies</t>
  </si>
  <si>
    <t xml:space="preserve">https://www.thomassci.com/browse-by/suppliers/cold-chain-technologies</t>
  </si>
  <si>
    <t xml:space="preserve">https://coldchaintech.com</t>
  </si>
  <si>
    <t xml:space="preserve">Franklin</t>
  </si>
  <si>
    <t xml:space="preserve">Koolit® Refrigerant Foam Bricks</t>
  </si>
  <si>
    <t xml:space="preserve">KoolitAdvanced Refrigerant PCMs</t>
  </si>
  <si>
    <t xml:space="preserve">KoolTemp® Insulated Envelopes</t>
  </si>
  <si>
    <t xml:space="preserve">3708566</t>
  </si>
  <si>
    <t xml:space="preserve">orders@coldchaintech.com</t>
  </si>
  <si>
    <t xml:space="preserve">https://www.coldchaintech.com/contact-us</t>
  </si>
  <si>
    <t xml:space="preserve">Q140305457</t>
  </si>
  <si>
    <t xml:space="preserve">https://www.thomassci.com/browse-by/suppliers/cold-chain-technologies | https://www.wikidata.org/wiki/Q140305457 | https://www.coldchaintech.com/contact-us</t>
  </si>
  <si>
    <t xml:space="preserve">Cole parmer</t>
  </si>
  <si>
    <t xml:space="preserve">https://www.dutscher.com/search?initialFilters=brand:Cole+parmer</t>
  </si>
  <si>
    <t xml:space="preserve">https://www.thomassci.com/browse-by/suppliers/cole-parmer</t>
  </si>
  <si>
    <t xml:space="preserve">https://www.antylia.com</t>
  </si>
  <si>
    <t xml:space="preserve">Vernon Hills, Illinois</t>
  </si>
  <si>
    <t xml:space="preserve">Brookfield Business Partners &amp; CDPQ (since May 2025)</t>
  </si>
  <si>
    <t xml:space="preserve">medical and environmental products company</t>
  </si>
  <si>
    <t xml:space="preserve">approx. USD 400 million (third-party directory estimate)</t>
  </si>
  <si>
    <t xml:space="preserve">n/a (directory estimate seen Oct 2026)</t>
  </si>
  <si>
    <t xml:space="preserve">Jenway spectrophotometers</t>
  </si>
  <si>
    <t xml:space="preserve">Environmental Express HotBlock</t>
  </si>
  <si>
    <t xml:space="preserve">Stuart / Techne benchtop equipment</t>
  </si>
  <si>
    <t xml:space="preserve">Medent Scientific Instruments</t>
  </si>
  <si>
    <t xml:space="preserve">Medent Scientific Instruments: +972 72-395-0508 (sales); +972 8-683-6306 (service) info@medent.co.il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</si>
  <si>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Medent's live product pages re-confirm it as an Israeli channel for Antylia's Stuart brand (stirrers, hotplates, rotary evaporators, rotators, water stills) and add the Jenway brand (6305 UV/Vis spectrophotometer). Cole-Parmer's own site names no Israeli distributor; its privacy policy only states that Antylia Scientific operates through direct fulfilment and distributors worldwide. The channel for the Cole-Parmer brand itself, Techne and Environmental Express remains unidentified. General search ('Cole-Parmer' OR 'Antylia'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returned no Israeli entity and no Israel listing on Antylia/IDEX distributor pages (only Australia/NZ: John Morris; Italy). A search restricted to Israeli distributor domains found Medent (medent.co.il) listing Stuart-brand shakers, heated stirrers and water stills. No Israeli partner found for the Cole-Parmer brand itself, Jenway, Techne or Environmental Express; Masterflex is now Avantor and was not searched. Antylia's own 'find a distributor' page was not fetched (fetching blocked). Corporate note seen in snippet: Brookfield and CDPQ completed the acquisition of Antylia Scientific for approximately USD 1.3 billion (CDPQ news release).</t>
    </r>
  </si>
  <si>
    <t xml:space="preserve">+1 800-323-4340</t>
  </si>
  <si>
    <t xml:space="preserve">sales@antylia.com</t>
  </si>
  <si>
    <t xml:space="preserve">625 East Bunker Court, Vernon Hills, IL 60061, USA</t>
  </si>
  <si>
    <t xml:space="preserve">https://www.thomasnet.com/company/cole-parmer-1148924/profile</t>
  </si>
  <si>
    <t xml:space="preserve">Q5142613</t>
  </si>
  <si>
    <t xml:space="preserve">https://www.dutscher.com/search?initialFilters=brand:Cole+parmer | https://www.quartzy.com/suppliers | https://www.thomassci.com/browse-by/suppliers/cole-parmer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 | https://www.wikidata.org/wiki/Q5142613</t>
  </si>
  <si>
    <t xml:space="preserve">Columbia Printing &amp; Cleanroom</t>
  </si>
  <si>
    <t xml:space="preserve">https://www.thomassci.com/browse-by/suppliers/columbia-printing-and-cleanroom</t>
  </si>
  <si>
    <t xml:space="preserve">Paper,Non-Cleanroom Continuous Form, 20# White Bond, 9.5 X 11, with two X 1/2inch Tab one on either side for continuous feed, 2300 sheets/Case</t>
  </si>
  <si>
    <t xml:space="preserve">Cleanroom Notebook, 8.5 x 11, Grid, 20 each per case</t>
  </si>
  <si>
    <t xml:space="preserve">Cleanroom Sharpie, Columbia, Medium Fine Point, Black Ink, Cleanroom ink and packaging, #FTM-FINE-BLK, 12EA/PK (1DZ/PK)</t>
  </si>
  <si>
    <t xml:space="preserve">Columbus Chemical Industries</t>
  </si>
  <si>
    <t xml:space="preserve">https://www.thomassci.com/browse-by/suppliers/columbus-chemical-industries</t>
  </si>
  <si>
    <t xml:space="preserve">https://columbuschemical.com</t>
  </si>
  <si>
    <t xml:space="preserve">Acetone</t>
  </si>
  <si>
    <t xml:space="preserve">Isopropyl Alcohol, 99% Semiconductor Grade, 1 gallon each, 4 each per case, Formerly 128D-2855GD</t>
  </si>
  <si>
    <t xml:space="preserve">Nitric Acid</t>
  </si>
  <si>
    <t xml:space="preserve">888-265-2436</t>
  </si>
  <si>
    <t xml:space="preserve">info@columbuschemical.com</t>
  </si>
  <si>
    <t xml:space="preserve">https://www.columbuschemical.com/contact/?request=Quote</t>
  </si>
  <si>
    <t xml:space="preserve">https://www.thomassci.com/browse-by/suppliers/columbus-chemical-industries | https://www.columbuschemical.com/contact/?request=Quote</t>
  </si>
  <si>
    <t xml:space="preserve">Combi-Blocks</t>
  </si>
  <si>
    <t xml:space="preserve">https://combi-blocks.com</t>
  </si>
  <si>
    <t xml:space="preserve">1-877-525-6257</t>
  </si>
  <si>
    <t xml:space="preserve">https://www.combi-blocks.com/others/contact.htm</t>
  </si>
  <si>
    <t xml:space="preserve">https://www.quartzy.com/suppliers | https://www.combi-blocks.com/others/contact.htm</t>
  </si>
  <si>
    <t xml:space="preserve">Complete Environmental Products</t>
  </si>
  <si>
    <t xml:space="preserve">https://www.thomassci.com/browse-by/suppliers/complete-environmental-products</t>
  </si>
  <si>
    <t xml:space="preserve">https://cepsorbents.com</t>
  </si>
  <si>
    <t xml:space="preserve">800-444-4237</t>
  </si>
  <si>
    <t xml:space="preserve">info@cepsorbents.com</t>
  </si>
  <si>
    <t xml:space="preserve">https://cepsorbents.com/contact-us/</t>
  </si>
  <si>
    <t xml:space="preserve">https://www.thomassci.com/browse-by/suppliers/complete-environmental-products | https://cepsorbents.com/contact-us/</t>
  </si>
  <si>
    <t xml:space="preserve">Computype, Inc</t>
  </si>
  <si>
    <t xml:space="preserve">https://www.thomassci.com/browse-by/suppliers/computype-inc</t>
  </si>
  <si>
    <t xml:space="preserve">Scan-One-Print-One Label Replicator</t>
  </si>
  <si>
    <t xml:space="preserve">Custom-Printed Barcoded Plate Labels</t>
  </si>
  <si>
    <t xml:space="preserve">Wrap-Around Cryo Label Kit</t>
  </si>
  <si>
    <t xml:space="preserve">Conda</t>
  </si>
  <si>
    <t xml:space="preserve">https://www.dutscher.com/search?initialFilters=brand:Conda</t>
  </si>
  <si>
    <t xml:space="preserve">https://mashup-finance.de</t>
  </si>
  <si>
    <t xml:space="preserve">Potato detrose broth - Condalab - for microbiology</t>
  </si>
  <si>
    <t xml:space="preserve">Casein peptone - Condalab - for microbiology</t>
  </si>
  <si>
    <t xml:space="preserve">Meat peptone - Condalab - for microbiology</t>
  </si>
  <si>
    <t xml:space="preserve">https://www.dutscher.com/search?initialFilters=brand:Conda | https://www.lifegene.co.il/</t>
  </si>
  <si>
    <t xml:space="preserve">Conlon Products</t>
  </si>
  <si>
    <t xml:space="preserve">https://www.thomassci.com/browse-by/suppliers/conlon-products</t>
  </si>
  <si>
    <t xml:space="preserve">https://conlonproducts.net</t>
  </si>
  <si>
    <t xml:space="preserve">978-682-8482</t>
  </si>
  <si>
    <t xml:space="preserve">https://conlonproducts.net/catalog/</t>
  </si>
  <si>
    <t xml:space="preserve">https://www.thomassci.com/browse-by/suppliers/conlon-products | https://conlonproducts.net/catalog/</t>
  </si>
  <si>
    <t xml:space="preserve">Connecticut Cleanroom</t>
  </si>
  <si>
    <t xml:space="preserve">https://www.thomassci.com/browse-by/suppliers/connecticut-cleanroom</t>
  </si>
  <si>
    <t xml:space="preserve">PolyTack Roll Mop</t>
  </si>
  <si>
    <t xml:space="preserve">22# Munising Ltd, Green 8.5 in. x 11 in., 2500 sheets/case</t>
  </si>
  <si>
    <t xml:space="preserve">CR-2 All Purpose Cleanroom Cleaner</t>
  </si>
  <si>
    <t xml:space="preserve">Consolidated Plastics</t>
  </si>
  <si>
    <t xml:space="preserve">https://www.thomassci.com/browse-by/suppliers/consolidated-plastics</t>
  </si>
  <si>
    <t xml:space="preserve">https://consolidatedplastics.com</t>
  </si>
  <si>
    <t xml:space="preserve">(800) 362-1000</t>
  </si>
  <si>
    <t xml:space="preserve">https://www.consolidatedplastics.com/pages/contact-us</t>
  </si>
  <si>
    <t xml:space="preserve">https://www.thomassci.com/browse-by/suppliers/consolidated-plastics | https://www.consolidatedplastics.com/pages/contact-us</t>
  </si>
  <si>
    <t xml:space="preserve">Consort</t>
  </si>
  <si>
    <t xml:space="preserve">https://www.dutscher.com/search?initialFilters=brand:Consort</t>
  </si>
  <si>
    <t xml:space="preserve">CONSORT power supply with LCD display, EV2310</t>
  </si>
  <si>
    <t xml:space="preserve">Portable UV lamp with UV filter 2 x 15 W 312 nm</t>
  </si>
  <si>
    <t xml:space="preserve">CONSORT power supply with LCD display, EV2650</t>
  </si>
  <si>
    <t xml:space="preserve">Contec</t>
  </si>
  <si>
    <t xml:space="preserve">https://www.thomassci.com/browse-by/suppliers/contec</t>
  </si>
  <si>
    <t xml:space="preserve">https://contec.com</t>
  </si>
  <si>
    <t xml:space="preserve">CONSTIX™ Swabs - Sealed Foam</t>
  </si>
  <si>
    <t xml:space="preserve">Edgeless® Mops</t>
  </si>
  <si>
    <t xml:space="preserve">Amplitude™ Theta™ Wipes</t>
  </si>
  <si>
    <t xml:space="preserve">CoorsTek</t>
  </si>
  <si>
    <t xml:space="preserve">https://www.thomassci.com/browse-by/suppliers/coorstek</t>
  </si>
  <si>
    <t xml:space="preserve">https://coorstek.com</t>
  </si>
  <si>
    <t xml:space="preserve">Mortor &amp; Pestle</t>
  </si>
  <si>
    <t xml:space="preserve">High Form Ceramic Crucible</t>
  </si>
  <si>
    <t xml:space="preserve">Bitumen/Gooch &amp; Rose Crucible</t>
  </si>
  <si>
    <t xml:space="preserve">Copan</t>
  </si>
  <si>
    <t xml:space="preserve">https://www.dutscher.com/search?initialFilters=brand:Copan</t>
  </si>
  <si>
    <t xml:space="preserve">https://www.thomassci.com/browse-by/suppliers/copan</t>
  </si>
  <si>
    <t xml:space="preserve">https://copanusa.com</t>
  </si>
  <si>
    <t xml:space="preserve">CLASSIQSwabs™ Dry Swabs</t>
  </si>
  <si>
    <t xml:space="preserve">FLOQSwabs®</t>
  </si>
  <si>
    <t xml:space="preserve">Disposable Transfer Pipets</t>
  </si>
  <si>
    <t xml:space="preserve">Results cover Copan's global deals (bioMerieux exclusive worldwide for certain swabs, 2007; Beckman Coulter amendment for 21 markets; Thermo Fisher US-only for WASP) and US/AU resellers; no Israeli distributor named.</t>
  </si>
  <si>
    <t xml:space="preserve">(800) 216 - 4016</t>
  </si>
  <si>
    <t xml:space="preserve">https://www.copanusa.com/about/contact/</t>
  </si>
  <si>
    <t xml:space="preserve">https://www.dutscher.com/search?initialFilters=brand:Copan | https://www.thomassci.com/browse-by/suppliers/copan | https://www.copanusa.com/about/contact/</t>
  </si>
  <si>
    <t xml:space="preserve">Copeland</t>
  </si>
  <si>
    <t xml:space="preserve">https://www.thomassci.com/browse-by/suppliers/copeland</t>
  </si>
  <si>
    <t xml:space="preserve">Refrig. / Freezer / Dry Storage Thermometer, HACCP</t>
  </si>
  <si>
    <t xml:space="preserve">Oven Thermometer, HACCP</t>
  </si>
  <si>
    <t xml:space="preserve">Candy/Jelly/Deep Fry Thermometer</t>
  </si>
  <si>
    <t xml:space="preserve">Cordova Safety Products</t>
  </si>
  <si>
    <t xml:space="preserve">https://www.thomassci.com/browse-by/suppliers/cordova-safety-products</t>
  </si>
  <si>
    <t xml:space="preserve">https://cordovasafety.com</t>
  </si>
  <si>
    <t xml:space="preserve">Cordova Standard Gloves</t>
  </si>
  <si>
    <t xml:space="preserve">StormFront™, Rain Suit, 3 Piece: #RS353Y</t>
  </si>
  <si>
    <t xml:space="preserve">ECONOMY WEIGHT STRING KNIT GLOVE, 1 DZ, 25DZ/CS, LG</t>
  </si>
  <si>
    <t xml:space="preserve">Corepoint Scientific</t>
  </si>
  <si>
    <t xml:space="preserve">https://www.thomassci.com/browse-by/suppliers/corepoint-scientific</t>
  </si>
  <si>
    <t xml:space="preserve">White Diamond Series Freestanding Countertop and Undercounter Refrigerators</t>
  </si>
  <si>
    <t xml:space="preserve">White Diamond Series Flammable Storage Undercounter Refrigerators</t>
  </si>
  <si>
    <t xml:space="preserve">White Diamond Series Freestanding Auto Defrost Undercounter Freezers</t>
  </si>
  <si>
    <t xml:space="preserve">Corning</t>
  </si>
  <si>
    <t xml:space="preserve">https://www.dutscher.com/search?initialFilters=brand:Corning</t>
  </si>
  <si>
    <t xml:space="preserve">https://www.thomassci.com/browse-by/suppliers/corning</t>
  </si>
  <si>
    <t xml:space="preserve">https://www.corning.com/worldwide/en/products/life-sciences.html</t>
  </si>
  <si>
    <t xml:space="preserve">Corning, New York</t>
  </si>
  <si>
    <t xml:space="preserve">Corning Incorporated</t>
  </si>
  <si>
    <t xml:space="preserve">Labware &amp; consumables (plastic &amp; glass)</t>
  </si>
  <si>
    <t xml:space="preserve">USD 972 million</t>
  </si>
  <si>
    <t xml:space="preserve">Falcon</t>
  </si>
  <si>
    <t xml:space="preserve">Corning Matrigel Matrix</t>
  </si>
  <si>
    <t xml:space="preserve">Axygen</t>
  </si>
  <si>
    <t xml:space="preserve">Getter Group (Getter Bio-Med); Getter Bio-Med (Getter Group)</t>
  </si>
  <si>
    <t xml:space="preserve">Getter Group (Getter Bio-Med): +972 3-576-1555 (Getter Group switchboard); Getter Bio-Med (Getter Group): +972 3-576-1555 (Getter Group switchboard) info@getter.co.il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</si>
  <si>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A search restricted to getter.co.il returned Getter Group's live English and Hebrew about pages (Corning listed among exclusively represented brands; the English page is about two years old but live) and a Hebrew Corning brand profile page. The scope (Corning Life Sciences labware vs. optical/other lines) is still not stated, and Corning's own site was not searched. Getter Group's about page says it exclusively represents Corning, Olympus and Zeiss in Israel (seen in a search excerpt; ~2 years old). Getter Group's brand page and about page name Corning among the brands it exclusively represents.</t>
    </r>
  </si>
  <si>
    <t xml:space="preserve">+1 978-442-2200</t>
  </si>
  <si>
    <t xml:space="preserve">CLSCustServ@corning.com</t>
  </si>
  <si>
    <t xml:space="preserve">One Riverfront Plaza, Corning, NY 14831, USA</t>
  </si>
  <si>
    <t xml:space="preserve">https://www.corning.com/emea/en/products/life-sciences/support-main.html</t>
  </si>
  <si>
    <t xml:space="preserve">https://www.dutscher.com/search?initialFilters=brand:Corning | https://www.quartzy.com/suppliers | https://www.thomassci.com/browse-by/suppliers/corning | https://www.corning.com/au/en/products/life-sciences/config/Distributors/CLS-APAC-Distributors.html | https://www.corning.com/emea/en/products/life-sciences/config/Distributors/CLS-NA-Distributors.html | https://www.corning.com/au/en/products/life-sciences/config/Distributors.html | https://www.corning.com/worldwide/en/products/life-sciences/resources/brands.html | https://www.corning.com/asean/en/products/life-sciences/resources/brands/axygen-brand-products.html | https://www.corning.com/worldwide/en/products/life-sciences/resources/digital-campaign/life-sciences.html | https://www.getter.co.il/about-en/ | https://www.getter.co.il/brands/ | https://www.getter.co.il/about/ | https://getter.co.il/4203-2 | https://www.businesswire.com/news/home/20260127020453/en | https://www.sec.gov/Archives/edgar/data/24741/000002474126000124/glw-20251231.htm | https://www.getter.co.il/</t>
  </si>
  <si>
    <t xml:space="preserve">Covidien</t>
  </si>
  <si>
    <t xml:space="preserve">https://www.thomassci.com/browse-by/suppliers/covidien</t>
  </si>
  <si>
    <t xml:space="preserve">General-Purpose Polypropylene Specimen Containers</t>
  </si>
  <si>
    <t xml:space="preserve">Sharps-A-Gator™ General Purpose Sharps Containers</t>
  </si>
  <si>
    <t xml:space="preserve">ChemoPlus™ IVA Seals for Bottles and Vials</t>
  </si>
  <si>
    <t xml:space="preserve">Cowie</t>
  </si>
  <si>
    <t xml:space="preserve">https://www.dutscher.com/search?initialFilters=brand:Cowie</t>
  </si>
  <si>
    <t xml:space="preserve">Cylindrical magnetic stirring bar</t>
  </si>
  <si>
    <t xml:space="preserve">Cylinder only for Potter-Elvehjem Homogenizer PTFE</t>
  </si>
  <si>
    <t xml:space="preserve">StirBar octahedral stirring magnet with pivot ring, L x ø = 16 x 8 mm</t>
  </si>
  <si>
    <t xml:space="preserve">CoWin Biosciences</t>
  </si>
  <si>
    <t xml:space="preserve">CP Lab Safety</t>
  </si>
  <si>
    <t xml:space="preserve">https://calpaclab.com</t>
  </si>
  <si>
    <t xml:space="preserve">(888) 322-5722</t>
  </si>
  <si>
    <t xml:space="preserve">https://www.cplabsafety.com/contact-us/</t>
  </si>
  <si>
    <t xml:space="preserve">https://www.quartzy.com/suppliers | https://www.cplabsafety.com/contact-us/</t>
  </si>
  <si>
    <t xml:space="preserve">CPS Serum</t>
  </si>
  <si>
    <t xml:space="preserve">https://cpsserum.com</t>
  </si>
  <si>
    <t xml:space="preserve">+1-518-500-4709</t>
  </si>
  <si>
    <t xml:space="preserve">info@cpsserum.com</t>
  </si>
  <si>
    <t xml:space="preserve">https://www.cpsserum.com/contact</t>
  </si>
  <si>
    <t xml:space="preserve">https://www.quartzy.com/suppliers | https://www.cpsserum.com/contact</t>
  </si>
  <si>
    <t xml:space="preserve">Cramer</t>
  </si>
  <si>
    <t xml:space="preserve">https://www.thomassci.com/browse-by/suppliers/cramer</t>
  </si>
  <si>
    <t xml:space="preserve">Athletic Tape</t>
  </si>
  <si>
    <t xml:space="preserve">Shark Tape Cutter</t>
  </si>
  <si>
    <t xml:space="preserve">Tennis Elbow Strap, Black</t>
  </si>
  <si>
    <t xml:space="preserve">Crews Glasses</t>
  </si>
  <si>
    <t xml:space="preserve">https://www.thomassci.com/browse-by/suppliers/crews-glasses</t>
  </si>
  <si>
    <t xml:space="preserve">BearKat® Safety Glasses</t>
  </si>
  <si>
    <t xml:space="preserve">Stryker™ Premium Goggles</t>
  </si>
  <si>
    <t xml:space="preserve">Storm® Safety Glasses</t>
  </si>
  <si>
    <t xml:space="preserve">Criticore - White Knight</t>
  </si>
  <si>
    <t xml:space="preserve">https://www.thomassci.com/browse-by/suppliers/criticore-white-knight</t>
  </si>
  <si>
    <t xml:space="preserve">100% Cotton Lab Coat</t>
  </si>
  <si>
    <t xml:space="preserve">ESD Fluid Barrier Lab Coat in Navy</t>
  </si>
  <si>
    <t xml:space="preserve">Lab Coat</t>
  </si>
  <si>
    <t xml:space="preserve">Crosstex</t>
  </si>
  <si>
    <t xml:space="preserve">https://www.thomassci.com/browse-by/suppliers/crosstex</t>
  </si>
  <si>
    <t xml:space="preserve">https://crosstex.com.pk</t>
  </si>
  <si>
    <t xml:space="preserve">Chemical Process Indicators – Gamma &amp; E-Beam (Radiation) Sterilization</t>
  </si>
  <si>
    <t xml:space="preserve">Growth Promotion Test Suspensions</t>
  </si>
  <si>
    <t xml:space="preserve">Spore Ampoules with Geobacillus stearothermophilus</t>
  </si>
  <si>
    <t xml:space="preserve">+923236115100</t>
  </si>
  <si>
    <t xml:space="preserve">info@crosstex.com.pk</t>
  </si>
  <si>
    <t xml:space="preserve">https://crosstex.com.pk/contact/</t>
  </si>
  <si>
    <t xml:space="preserve">https://www.thomassci.com/browse-by/suppliers/crosstex | https://crosstex.com.pk/contact/</t>
  </si>
  <si>
    <t xml:space="preserve">CRS by Trajan</t>
  </si>
  <si>
    <t xml:space="preserve">https://www.thomassci.com/browse-by/suppliers/crs-by-trajan</t>
  </si>
  <si>
    <t xml:space="preserve">Ergonomic Crimper, 8mm</t>
  </si>
  <si>
    <t xml:space="preserve">Graphite Ferrule 0.5mm For Hp</t>
  </si>
  <si>
    <t xml:space="preserve">Ergonomic Crimper/Decapper, 20mm</t>
  </si>
  <si>
    <t xml:space="preserve">Cryokit</t>
  </si>
  <si>
    <t xml:space="preserve">https://www.dutscher.com/search?initialFilters=brand:Cryokit</t>
  </si>
  <si>
    <t xml:space="preserve">CryoPlus 2.0 Glove - size 8</t>
  </si>
  <si>
    <t xml:space="preserve">CryoPlus 2.0 Glove - size 11</t>
  </si>
  <si>
    <t xml:space="preserve">Goggle mask Vision-Cryo</t>
  </si>
  <si>
    <t xml:space="preserve">Cryopal</t>
  </si>
  <si>
    <t xml:space="preserve">https://www.dutscher.com/search?initialFilters=brand:Cryopal</t>
  </si>
  <si>
    <t xml:space="preserve">https://www.cryopal.com</t>
  </si>
  <si>
    <t xml:space="preserve">ARPEGE 110 Cryopreservative - Initial Pack</t>
  </si>
  <si>
    <t xml:space="preserve">ARPEGE 55 Cryopreservative - Essential Pack</t>
  </si>
  <si>
    <t xml:space="preserve">ARPEGE 40 Cryopreservative - Initial Pack</t>
  </si>
  <si>
    <t xml:space="preserve">https://cryopal.com/fr/accueil</t>
  </si>
  <si>
    <t xml:space="preserve">https://www.dutscher.com/search?initialFilters=brand:Cryopal | https://cryopal.com/fr/accueil</t>
  </si>
  <si>
    <t xml:space="preserve">Cryoveritas</t>
  </si>
  <si>
    <t xml:space="preserve">https://www.thomassci.com/browse-by/suppliers/cryoveritas</t>
  </si>
  <si>
    <t xml:space="preserve">Crystal Chem</t>
  </si>
  <si>
    <t xml:space="preserve">https://crystalchem.com</t>
  </si>
  <si>
    <t xml:space="preserve">sales@crystalchem.com</t>
  </si>
  <si>
    <t xml:space="preserve">https://www.crystalchem.com/inquiries.html</t>
  </si>
  <si>
    <t xml:space="preserve">https://www.quartzy.com/suppliers | https://www.crystalchem.com/inquiries.html</t>
  </si>
  <si>
    <t xml:space="preserve">Crystal Technologies</t>
  </si>
  <si>
    <t xml:space="preserve">https://www.thomassci.com/browse-by/suppliers/crystal-technologies</t>
  </si>
  <si>
    <t xml:space="preserve">https://www.crystaltech.com</t>
  </si>
  <si>
    <t xml:space="preserve">Cardboard Cell Dividers</t>
  </si>
  <si>
    <t xml:space="preserve">Microincinerators</t>
  </si>
  <si>
    <t xml:space="preserve">No result connected Crystal Technologies (lab supplier) to an Israeli channel; only generic Israeli lab distributors (Rhenium, Agentek, Enco, S.L. Moran, Ornat) and an unrelated press release about A-Crystal Electronic Technology/Paradox Israel.</t>
  </si>
  <si>
    <t xml:space="preserve">https://www.crystaltech.com/</t>
  </si>
  <si>
    <t xml:space="preserve">https://www.quartzy.com/suppliers | https://www.thomassci.com/browse-by/suppliers/crystal-technologies | https://www.crystaltech.com/</t>
  </si>
  <si>
    <t xml:space="preserve">Crystalgen</t>
  </si>
  <si>
    <t xml:space="preserve">https://www.thomassci.com/browse-by/suppliers/crystalgen</t>
  </si>
  <si>
    <t xml:space="preserve">https://crystalgen.com</t>
  </si>
  <si>
    <t xml:space="preserve">PBS (Phosphate Buffered Saline), 1X</t>
  </si>
  <si>
    <t xml:space="preserve">Conical Centrifuge Tubes</t>
  </si>
  <si>
    <t xml:space="preserve">Disposable Ultra Centrifuge Tubes</t>
  </si>
  <si>
    <t xml:space="preserve">Only a GlobalData profile of Crystalgen (Commack, NY); Israeli distributors in results (Enco, Agentek) not linked to Crystalgen.</t>
  </si>
  <si>
    <t xml:space="preserve">(888) 510-1782</t>
  </si>
  <si>
    <t xml:space="preserve">sales@crystalgen.com</t>
  </si>
  <si>
    <t xml:space="preserve">https://crystalgen.com/contact</t>
  </si>
  <si>
    <t xml:space="preserve">https://www.quartzy.com/suppliers | https://www.thomassci.com/browse-by/suppliers/crystalgen | https://crystalgen.com/contact</t>
  </si>
  <si>
    <t xml:space="preserve">CSC Scientific</t>
  </si>
  <si>
    <t xml:space="preserve">https://www.thomassci.com/browse-by/suppliers/csc-scientific</t>
  </si>
  <si>
    <t xml:space="preserve">https://cscscientific.com</t>
  </si>
  <si>
    <t xml:space="preserve">Tensiometer - Du Nouy</t>
  </si>
  <si>
    <t xml:space="preserve">Du Nouy Interfacial Tensiometer</t>
  </si>
  <si>
    <t xml:space="preserve">Bostwick Consistometer</t>
  </si>
  <si>
    <t xml:space="preserve">CT International</t>
  </si>
  <si>
    <t xml:space="preserve">https://www.thomassci.com/browse-by/suppliers/ct-international</t>
  </si>
  <si>
    <t xml:space="preserve">https://ctint.org</t>
  </si>
  <si>
    <t xml:space="preserve">NWCP Nitrile Class 10 Cleanroom White Long Length Gloves</t>
  </si>
  <si>
    <t xml:space="preserve">CTI Nitrile NCP Lite Series 12" Class 100 ISO 5 Cleanroom Glove</t>
  </si>
  <si>
    <t xml:space="preserve">AquaResist II Nonskid Shoecovers</t>
  </si>
  <si>
    <t xml:space="preserve">800.755.7575</t>
  </si>
  <si>
    <t xml:space="preserve">sales@ctint.org</t>
  </si>
  <si>
    <t xml:space="preserve">https://ctint.org/contact/</t>
  </si>
  <si>
    <t xml:space="preserve">https://www.thomassci.com/browse-by/suppliers/ct-international | https://ctint.org/contact/</t>
  </si>
  <si>
    <t xml:space="preserve">CTI Biotech</t>
  </si>
  <si>
    <t xml:space="preserve">https://www.dutscher.com/search?initialFilters=brand:CTI+Biotech</t>
  </si>
  <si>
    <t xml:space="preserve">https://ctibiotech.com</t>
  </si>
  <si>
    <t xml:space="preserve">Biological product for cell culture</t>
  </si>
  <si>
    <t xml:space="preserve">Adult human scalp with fresh hair follicles - size: 4 cm²</t>
  </si>
  <si>
    <t xml:space="preserve">Keratinocyte Growth Medium - 500 ml</t>
  </si>
  <si>
    <t xml:space="preserve">Fresh adult human skin - size: 50 cm²</t>
  </si>
  <si>
    <t xml:space="preserve">+1 (215) 391 0300</t>
  </si>
  <si>
    <t xml:space="preserve">office@ctibiotech.com</t>
  </si>
  <si>
    <t xml:space="preserve">https://ctibiotech.com/contact</t>
  </si>
  <si>
    <t xml:space="preserve">https://www.dutscher.com/search?initialFilters=brand:CTI+Biotech | https://ctibiotech.com/contact</t>
  </si>
  <si>
    <t xml:space="preserve">CTL Scientific</t>
  </si>
  <si>
    <t xml:space="preserve">https://www.thomassci.com/browse-by/suppliers/ctl-scientific</t>
  </si>
  <si>
    <t xml:space="preserve">UNIVERSAL pH 1-14 Paper - 1 roll</t>
  </si>
  <si>
    <t xml:space="preserve">Fluoride test paper - box of 200 strips</t>
  </si>
  <si>
    <t xml:space="preserve">Cube Biotech</t>
  </si>
  <si>
    <t xml:space="preserve">https://cube-biotech.com</t>
  </si>
  <si>
    <t xml:space="preserve">06108-3666</t>
  </si>
  <si>
    <t xml:space="preserve">info@cube-biotech.com</t>
  </si>
  <si>
    <t xml:space="preserve">https://cube-biotech.com/contact/</t>
  </si>
  <si>
    <t xml:space="preserve">https://www.quartzy.com/suppliers | https://tivanbiotech.com/manufacturers | https://cube-biotech.com/contact/</t>
  </si>
  <si>
    <t xml:space="preserve">Curiosis Inc.</t>
  </si>
  <si>
    <t xml:space="preserve">https://www.thomassci.com/browse-by/suppliers/curiosis-inc-</t>
  </si>
  <si>
    <t xml:space="preserve">Celloger® Mini Plus</t>
  </si>
  <si>
    <t xml:space="preserve">Celloger® Stack</t>
  </si>
  <si>
    <t xml:space="preserve">Vessel Holders for Celloger</t>
  </si>
  <si>
    <t xml:space="preserve">Current Technologies</t>
  </si>
  <si>
    <t xml:space="preserve">https://www.thomassci.com/browse-by/suppliers/current-technologies</t>
  </si>
  <si>
    <t xml:space="preserve">https://current-techinc.com</t>
  </si>
  <si>
    <t xml:space="preserve">Bio-Screen® Wipes and Liners</t>
  </si>
  <si>
    <t xml:space="preserve">Hype-Wipe® Bleach Towelettes</t>
  </si>
  <si>
    <t xml:space="preserve">Bleach-Rite® Disinfecting Spray</t>
  </si>
  <si>
    <t xml:space="preserve">Curtec</t>
  </si>
  <si>
    <t xml:space="preserve">https://www.dutscher.com/search?initialFilters=brand:Curtec</t>
  </si>
  <si>
    <t xml:space="preserve">https://curtec.com</t>
  </si>
  <si>
    <t xml:space="preserve">Bottle/flask/can</t>
  </si>
  <si>
    <t xml:space="preserve">HDPE wide mouth keg - 10 Litres - without handles</t>
  </si>
  <si>
    <t xml:space="preserve">HDPE wide mouth keg - 20 Litres - without handles</t>
  </si>
  <si>
    <t xml:space="preserve">HDPE wide mouth keg - 26 Litres - without handles</t>
  </si>
  <si>
    <t xml:space="preserve">+442035144624</t>
  </si>
  <si>
    <t xml:space="preserve">https://www.curtec.com/</t>
  </si>
  <si>
    <t xml:space="preserve">https://www.dutscher.com/search?initialFilters=brand:Curtec | https://www.curtec.com/</t>
  </si>
  <si>
    <t xml:space="preserve">Custom Biogenic Systems</t>
  </si>
  <si>
    <t xml:space="preserve">https://www.thomassci.com/browse-by/suppliers/custom-biogenic-systems</t>
  </si>
  <si>
    <t xml:space="preserve">https://custombiogenics.com</t>
  </si>
  <si>
    <t xml:space="preserve">Stainless Steel Boxes</t>
  </si>
  <si>
    <t xml:space="preserve">Cardboard Cryogenic Storage Boxes</t>
  </si>
  <si>
    <t xml:space="preserve">+1.586.331.2600</t>
  </si>
  <si>
    <t xml:space="preserve">https://custombiogenics.com/contact/</t>
  </si>
  <si>
    <t xml:space="preserve">https://www.thomassci.com/browse-by/suppliers/custom-biogenic-systems | https://custombiogenics.com/contact/</t>
  </si>
  <si>
    <t xml:space="preserve">Cytiva</t>
  </si>
  <si>
    <t xml:space="preserve">https://www.dutscher.com/search?initialFilters=brand:Cytiva</t>
  </si>
  <si>
    <t xml:space="preserve">https://www.cytivalifesciences.com</t>
  </si>
  <si>
    <t xml:space="preserve">Marlborough, Massachusetts</t>
  </si>
  <si>
    <t xml:space="preserve">Bioprocess &amp; filtration</t>
  </si>
  <si>
    <t xml:space="preserve">USD 7.3 billion (Danaher Biotechnology segment)</t>
  </si>
  <si>
    <t xml:space="preserve">AKTA</t>
  </si>
  <si>
    <t xml:space="preserve">MabSelect / Capto resins</t>
  </si>
  <si>
    <t xml:space="preserve">Biacore</t>
  </si>
  <si>
    <t xml:space="preserve">Danyel Biotech; Lifegene Ltd.; Eisenberg Bros. Ltd.; Tamar Laboratory Supplies Ltd.</t>
  </si>
  <si>
    <t xml:space="preserve">Danyel Biotech: 1-800-711-911 (also +972 8-936-6066); Lifegene Ltd.: +972 8-644-4314 info@lifegene.co.il; Eisenberg Bros. Ltd.: +972 3-977-7000; Tamar Laboratory Supplies Ltd.: +972 2-533-6070 (also 02-579-9777) mail@tamar.co.il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</si>
  <si>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Danyel Biotech's live site carries a 'Biacore (Cytiva)' brand page (alongside its Cytiva page from the prior round), confirming Danyel as a current Cytiva channel. Cytiva's own find-a-distributor page lists Israel as a country option but the partner name is not in snippets, and Cytiva's contracting-entity table assigns Israel to Pall Austria Filter Ges.m.b.H. Lifegene (Whatman) was not re-searched. Searched generic queries (incl. ÄKTA/Whatman/Amersham), 27 Israeli distributor domains, cytivalifesciences.com and a Whatman-specific query. Danyel Biotech's own site has a Cytiva brand page (ÄKTA pure chromatography; Biacore listed as a Cytiva supplier), so Danyel is a current Israeli channel. Cytiva's 'find a distributor' page lists Israel as a selectable country but the partner name was not visible in snippets, and Cytiva's terms document lists Israel under its international contracting entity Pall Austria Filter Ges.m.b.H., i.e. direct contracts are also written from abroad. The 2009 Rhenium-for-Whatman listing could not be re-confirmed and no current Israeli Whatman/Amersham channel was found. Lifegene's catalogue carries Whatman (Cytiva) filtration products; Danyel Biotech has Cytiva brand pages for ÄKTA and Biacore.</t>
    </r>
  </si>
  <si>
    <t xml:space="preserve">+1 800-526-3593</t>
  </si>
  <si>
    <t xml:space="preserve">100 Results Way, Marlborough, MA, USA</t>
  </si>
  <si>
    <t xml:space="preserve">https://www.gulfcoastconference.com/exhibitorDetails.php?eid=3143</t>
  </si>
  <si>
    <t xml:space="preserve">https://www.dutscher.com/search?initialFilters=brand:Cytiva | https://www.quartzy.com/suppliers | https://archive.israelphysicalsociety.org/ips-conference-2009/fairs/rhenium-ltd.html | https://www.bccresearch.com/company-index/profile/danaher-corp | https://www.sec.gov/Archives/edgar/data/313616/000031361626000062/dhr-20251231.htm | https://hudson-labs.com/research/danaher-corporation-dhr-equity-initiation-report | https://tickerleague.com/companies/DHR/employee-count | https://www.merckmillipore.com/AL/en/products/labware/labware-partners/cytiva | https://www.danyel.co.il/cytiva/ | https://www.danyel.co.il/ | https://www.cytivalifesciences.com/en/us/support/find-a-distributor | https://cdn.cytivalifesciences.com/api/public/content/-MImMANCxU2x6jtGoYWcjA-pdf?v=9a570e4d | https://www.analytics-shop.com/us/filters-filtration/filters-by-manufacturer/whatman-filters | https://lifegene.co.il/product/puradisc-13-syringe-filter-045µm-polypropylene-100-pk/ | https://www.danyel.co.il/biacore-cytiva/ | https://www.danyel.co.il/suppliers/ | https://eisenbros.co.il/partners/ | https://www.tamar.co.il/represented-companies/ | https://www.cytivalifesciences.com/en/us/</t>
  </si>
  <si>
    <t xml:space="preserve">D&amp;N</t>
  </si>
  <si>
    <t xml:space="preserve">https://www.dutscher.com/search?initialFilters=brand:D%26N</t>
  </si>
  <si>
    <t xml:space="preserve">Natural rubber pipette bulb for ø 5-8 mm pipette, universal fitting</t>
  </si>
  <si>
    <t xml:space="preserve">Natural rubber pipette bulb for ø 3.5-10 mm pipette, universal fitting</t>
  </si>
  <si>
    <t xml:space="preserve">PTFE pipe ø int. x ø ext. = 3 x 5 mm length 25 m</t>
  </si>
  <si>
    <t xml:space="preserve">Daicel Arbor Biosciences</t>
  </si>
  <si>
    <t xml:space="preserve">Decagon Devices</t>
  </si>
  <si>
    <t xml:space="preserve">https://www.thomassci.com/browse-by/suppliers/decagon-devices</t>
  </si>
  <si>
    <t xml:space="preserve">https://waterinfood.com</t>
  </si>
  <si>
    <t xml:space="preserve">Decon Labs</t>
  </si>
  <si>
    <t xml:space="preserve">https://www.thomassci.com/browse-by/suppliers/decon-labs</t>
  </si>
  <si>
    <t xml:space="preserve">https://deconlabs.com</t>
  </si>
  <si>
    <t xml:space="preserve">BACDOWN® Handsoap</t>
  </si>
  <si>
    <t xml:space="preserve">DRI-CONTRAD® Powder Detergent</t>
  </si>
  <si>
    <t xml:space="preserve">Molecular Biology Ethanol</t>
  </si>
  <si>
    <t xml:space="preserve">Results describe Decon Labs (US cleaning/disinfection products, 'one of North America's leading suppliers'); Israeli distributor pages (Enco, Agentek, Rhenium) do not mention Decon.</t>
  </si>
  <si>
    <t xml:space="preserve">(800) 332-6647</t>
  </si>
  <si>
    <t xml:space="preserve">https://deconlabs.com/contact/</t>
  </si>
  <si>
    <t xml:space="preserve">https://www.quartzy.com/suppliers | https://www.thomassci.com/browse-by/suppliers/decon-labs | https://deconlabs.com/contact/</t>
  </si>
  <si>
    <t xml:space="preserve">DeconGel</t>
  </si>
  <si>
    <t xml:space="preserve">https://www.thomassci.com/browse-by/suppliers/decongel</t>
  </si>
  <si>
    <t xml:space="preserve">https://www.decongel.com</t>
  </si>
  <si>
    <t xml:space="preserve">https://decongel.com/</t>
  </si>
  <si>
    <t xml:space="preserve">https://www.thomassci.com/browse-by/suppliers/decongel | https://decongel.com/</t>
  </si>
  <si>
    <t xml:space="preserve">Defelsko</t>
  </si>
  <si>
    <t xml:space="preserve">https://www.thomassci.com/browse-by/suppliers/defelsko</t>
  </si>
  <si>
    <t xml:space="preserve">https://defelsko.com</t>
  </si>
  <si>
    <t xml:space="preserve">PosiTector® Inspection Kits</t>
  </si>
  <si>
    <t xml:space="preserve">PosiTector® Surface Profile Gages</t>
  </si>
  <si>
    <t xml:space="preserve">PosiTest® DFT Coating Thickness Gage</t>
  </si>
  <si>
    <t xml:space="preserve">+18004483835</t>
  </si>
  <si>
    <t xml:space="preserve">https://www.defelsko.com/</t>
  </si>
  <si>
    <t xml:space="preserve">https://www.thomassci.com/browse-by/suppliers/defelsko | https://www.defelsko.com/</t>
  </si>
  <si>
    <t xml:space="preserve">Defined Bioscience</t>
  </si>
  <si>
    <t xml:space="preserve">https://definedbioscience.com</t>
  </si>
  <si>
    <t xml:space="preserve">1-929-333-4633</t>
  </si>
  <si>
    <t xml:space="preserve">info@definedbioscience.com</t>
  </si>
  <si>
    <t xml:space="preserve">https://definedbioscience.com/pages/contact</t>
  </si>
  <si>
    <t xml:space="preserve">https://www.quartzy.com/suppliers | https://definedbioscience.com/pages/contact</t>
  </si>
  <si>
    <t xml:space="preserve">Denominator</t>
  </si>
  <si>
    <t xml:space="preserve">https://www.thomassci.com/browse-by/suppliers/denominator</t>
  </si>
  <si>
    <t xml:space="preserve">https://denominator.one</t>
  </si>
  <si>
    <t xml:space="preserve">Counter Double Unit</t>
  </si>
  <si>
    <t xml:space="preserve">Single Unit Laboratory Counters</t>
  </si>
  <si>
    <t xml:space="preserve">Multiple Unit Counters Without Totalizers</t>
  </si>
  <si>
    <t xml:space="preserve">info@denominator.com</t>
  </si>
  <si>
    <t xml:space="preserve">https://www.denominator.com/contact?source=main-page</t>
  </si>
  <si>
    <t xml:space="preserve">https://www.thomassci.com/browse-by/suppliers/denominator | https://www.denominator.com/contact?source=main-page</t>
  </si>
  <si>
    <t xml:space="preserve">Denville</t>
  </si>
  <si>
    <t xml:space="preserve">https://www.thomassci.com/browse-by/suppliers/denville</t>
  </si>
  <si>
    <t xml:space="preserve">https://www.denvillescientific.com</t>
  </si>
  <si>
    <t xml:space="preserve">HyBlot CL® Autoradiography Film</t>
  </si>
  <si>
    <t xml:space="preserve">Syringe Filter, PES</t>
  </si>
  <si>
    <t xml:space="preserve">Microcapillary Pipet Tips, UltraFlat Orifice, 83mm x 0.17mm diam. (Fits 0.2mm openings), Rack of 200</t>
  </si>
  <si>
    <t xml:space="preserve">Desco</t>
  </si>
  <si>
    <t xml:space="preserve">https://www.thomassci.com/browse-by/suppliers/desco</t>
  </si>
  <si>
    <t xml:space="preserve">https://www.desco.com</t>
  </si>
  <si>
    <t xml:space="preserve">STATIC SHIELD BAG, 1000 SERIES METAL-IN</t>
  </si>
  <si>
    <t xml:space="preserve">Statshield Dissipative Chair Cover, Royal Blue</t>
  </si>
  <si>
    <t xml:space="preserve">Statshield Metal-in Zip Top Bag, 8x12</t>
  </si>
  <si>
    <t xml:space="preserve">Diba</t>
  </si>
  <si>
    <t xml:space="preserve">https://www.thomassci.com/browse-by/suppliers/diba</t>
  </si>
  <si>
    <t xml:space="preserve">Omnifit® Packing Sleeves for EZ and EZ SolventPlus™ Columns</t>
  </si>
  <si>
    <t xml:space="preserve">Omnifit® Bottle Thread Adapter</t>
  </si>
  <si>
    <t xml:space="preserve">Omnifit® Activated Carbon Vapor Traps for T-Series Solvent Waste Caps</t>
  </si>
  <si>
    <t xml:space="preserve">Dickson</t>
  </si>
  <si>
    <t xml:space="preserve">https://www.thomassci.com/browse-by/suppliers/dickson</t>
  </si>
  <si>
    <t xml:space="preserve">https://dicksondata.com</t>
  </si>
  <si>
    <t xml:space="preserve">Circular Chart Recorder Accessories</t>
  </si>
  <si>
    <t xml:space="preserve">High-Medium-Low 3-Point Nist Calibration</t>
  </si>
  <si>
    <t xml:space="preserve">Chart 4" -30/50C 7 Day Bx60</t>
  </si>
  <si>
    <t xml:space="preserve">DigiVac™</t>
  </si>
  <si>
    <t xml:space="preserve">https://www.thomassci.com/browse-by/suppliers/digivac</t>
  </si>
  <si>
    <t xml:space="preserve">https://digivac.com</t>
  </si>
  <si>
    <t xml:space="preserve">Bullseye Precision Gauge</t>
  </si>
  <si>
    <t xml:space="preserve">TracVac Meter Visual Vacuum Instrument</t>
  </si>
  <si>
    <t xml:space="preserve">StrataVac 775i</t>
  </si>
  <si>
    <t xml:space="preserve">Dilux</t>
  </si>
  <si>
    <t xml:space="preserve">https://www.thomassci.com/browse-by/suppliers/dilux</t>
  </si>
  <si>
    <t xml:space="preserve">https://diluxi.com</t>
  </si>
  <si>
    <t xml:space="preserve">DirectAmp™</t>
  </si>
  <si>
    <t xml:space="preserve">https://www.thomassci.com/browse-by/suppliers/directamp</t>
  </si>
  <si>
    <t xml:space="preserve">DirectAmp™ Plant Genomic DNA Amplification Kit, 10 reactions</t>
  </si>
  <si>
    <t xml:space="preserve">DirectAmp™ Genomic DNA Amplification Kits, Preparation Solution for DirectAmp™ Tissue DNA Extraction &amp; Amplification Kit, 100 reactions</t>
  </si>
  <si>
    <t xml:space="preserve">DirectAmp™ Tissue Genomic DNA Amplification Kit, 100 reactions</t>
  </si>
  <si>
    <t xml:space="preserve">Discovery Life Sciences</t>
  </si>
  <si>
    <t xml:space="preserve">https://dls.com</t>
  </si>
  <si>
    <t xml:space="preserve">We help accelerate the discovery and development of new therapies and diagnostics by providing biopharma and diagnostic companies with the highest quality biospecimens, in vitro preclinical products, and cell &amp; gene therapy starting materials coupled with specialty lab services that are grounded in science and offered at scale to support large scale clinical trials. By enhancing their capabilities, we enable the incredibly important work that our customers are doing to improve patient outcomes.</t>
  </si>
  <si>
    <t xml:space="preserve">No Israel link in results (company profiles only); unrelated Israeli distributors Eldan and Agentek surfaced.</t>
  </si>
  <si>
    <t xml:space="preserve">+1 (866) 838-2798</t>
  </si>
  <si>
    <t xml:space="preserve">info@dls.com</t>
  </si>
  <si>
    <t xml:space="preserve">https://dls.com/contact-us/</t>
  </si>
  <si>
    <t xml:space="preserve">https://www.quartzy.com/suppliers | https://info.quartzy.com/new-suppliers | https://dls.com/contact-us/</t>
  </si>
  <si>
    <t xml:space="preserve">Diversified Biotech</t>
  </si>
  <si>
    <t xml:space="preserve">https://www.thomassci.com/browse-by/suppliers/diversified-biotech</t>
  </si>
  <si>
    <t xml:space="preserve">https://divbio.com</t>
  </si>
  <si>
    <t xml:space="preserve">PetriSeal</t>
  </si>
  <si>
    <t xml:space="preserve">Thermal Transfer Cryo-Tags® and Cryo-Babies®</t>
  </si>
  <si>
    <t xml:space="preserve">Direct Thermal Cryo-Tags®</t>
  </si>
  <si>
    <t xml:space="preserve">Yarden Biotec Ltd.</t>
  </si>
  <si>
    <t xml:space="preserve">Yarden Biotec Ltd.: +972 2-651-1102 info@yarden-biotec.co.il</t>
  </si>
  <si>
    <t xml:space="preserve">info@divbio.com</t>
  </si>
  <si>
    <t xml:space="preserve">https://www.divbio.com/contact-us</t>
  </si>
  <si>
    <t xml:space="preserve">https://www.thomassci.com/browse-by/suppliers/diversified-biotech | https://www.yarden-biotec.co.il/ | https://www.divbio.com/contact-us</t>
  </si>
  <si>
    <t xml:space="preserve">DLAB Scientific</t>
  </si>
  <si>
    <t xml:space="preserve">https://www.thomassci.com/browse-by/suppliers/dlab-scientific</t>
  </si>
  <si>
    <t xml:space="preserve">https://www.dlabsci.com</t>
  </si>
  <si>
    <t xml:space="preserve">MS-H280-Pro LED Digital Magnetic Hotplate Stirrer</t>
  </si>
  <si>
    <t xml:space="preserve">dPette Electronic Pipettors</t>
  </si>
  <si>
    <t xml:space="preserve">D1524R High Speed Micro-Centrifuge</t>
  </si>
  <si>
    <t xml:space="preserve">https://www.dlabsci.com/</t>
  </si>
  <si>
    <t xml:space="preserve">https://www.thomassci.com/browse-by/suppliers/dlab-scientific | https://ormir.co.il/card-with-image/ | https://www.dlabsci.com/</t>
  </si>
  <si>
    <t xml:space="preserve">Dojindo Molecular Technologies</t>
  </si>
  <si>
    <t xml:space="preserve">https://dojindo.com</t>
  </si>
  <si>
    <t xml:space="preserve">+1-301-987-2667</t>
  </si>
  <si>
    <t xml:space="preserve">info@dojindo.cn</t>
  </si>
  <si>
    <t xml:space="preserve">https://www.dojindo.com/contents/inquiry.html</t>
  </si>
  <si>
    <t xml:space="preserve">https://www.quartzy.com/suppliers | https://www.dojindo.com/contents/inquiry.html</t>
  </si>
  <si>
    <t xml:space="preserve">Dolan Jenner</t>
  </si>
  <si>
    <t xml:space="preserve">https://www.thomassci.com/browse-by/suppliers/dolan-jenner</t>
  </si>
  <si>
    <t xml:space="preserve">https://dolan-jenner.com</t>
  </si>
  <si>
    <t xml:space="preserve">Fiber-Lite® MI-150 Gooseneck Systems</t>
  </si>
  <si>
    <t xml:space="preserve">Fiber-Lite® Mi-LED Fiber Optic Illuminator</t>
  </si>
  <si>
    <t xml:space="preserve">Fiber-lite® 3100 Illuminator</t>
  </si>
  <si>
    <t xml:space="preserve">800-257-3872</t>
  </si>
  <si>
    <t xml:space="preserve">https://dolan-jenner.com/pages/contact-us</t>
  </si>
  <si>
    <t xml:space="preserve">https://www.thomassci.com/browse-by/suppliers/dolan-jenner | https://dolan-jenner.com/pages/contact-us</t>
  </si>
  <si>
    <t xml:space="preserve">Dr. Weigert</t>
  </si>
  <si>
    <t xml:space="preserve">https://www.thomassci.com/browse-by/suppliers/dr-weigert</t>
  </si>
  <si>
    <t xml:space="preserve">https://drweigert.com</t>
  </si>
  <si>
    <t xml:space="preserve">BDL (Beith Dekel) Ltd.</t>
  </si>
  <si>
    <t xml:space="preserve">BDL (Beith Dekel) Ltd.: +972 9-761-1800 info@bdl.co.il</t>
  </si>
  <si>
    <t xml:space="preserve">+351 919 270 294</t>
  </si>
  <si>
    <t xml:space="preserve">https://www.drweigert.com/com/contacts-distribution/dr-weigert-international-contact/subsidiaries</t>
  </si>
  <si>
    <t xml:space="preserve">https://www.thomassci.com/browse-by/suppliers/dr-weigert | https://www.bdl.co.il/Search.aspx?Category=Chemistry&amp;FCD=1 | https://www.drweigert.com/com/contacts-distribution/dr-weigert-international-contact/subsidiaries</t>
  </si>
  <si>
    <t xml:space="preserve">Draeger Safety</t>
  </si>
  <si>
    <t xml:space="preserve">https://www.thomassci.com/browse-by/suppliers/draeger-safety</t>
  </si>
  <si>
    <t xml:space="preserve">X-plore 8000, PAPR, Flexible hose, Helmets and Hoods</t>
  </si>
  <si>
    <t xml:space="preserve">X-plore 8000, PAPR, Helmet Model HL1</t>
  </si>
  <si>
    <t xml:space="preserve">X-plore 1350, N95 Respirator, Medium/Large</t>
  </si>
  <si>
    <t xml:space="preserve">Drucker Diagnostics</t>
  </si>
  <si>
    <t xml:space="preserve">https://www.thomassci.com/browse-by/suppliers/drucker-diagnostics</t>
  </si>
  <si>
    <t xml:space="preserve">https://druckerdiagnostics.com</t>
  </si>
  <si>
    <t xml:space="preserve">Model 614B Fixed Angle Single-Speed Centrifuge</t>
  </si>
  <si>
    <t xml:space="preserve">DASH Flex 24 Programmable STAT Centrifuge</t>
  </si>
  <si>
    <t xml:space="preserve">HORIZON 6 Flex Programmable Routine Centrifuge</t>
  </si>
  <si>
    <t xml:space="preserve">Lapidot Group</t>
  </si>
  <si>
    <t xml:space="preserve">Lapidot Group: +972-4-6309630 / +972-74-7797836 customerservice@lapidot.com</t>
  </si>
  <si>
    <t xml:space="preserve">https://www.thomassci.com/browse-by/suppliers/drucker-diagnostics | https://www.lapidot.com/business-partners/</t>
  </si>
  <si>
    <t xml:space="preserve">Drummond</t>
  </si>
  <si>
    <t xml:space="preserve">https://www.dutscher.com/search?initialFilters=brand:Drummond</t>
  </si>
  <si>
    <t xml:space="preserve">https://www.thomassci.com/browse-by/suppliers/drummond</t>
  </si>
  <si>
    <t xml:space="preserve">https://www.drummondsci.com</t>
  </si>
  <si>
    <t xml:space="preserve">Nanoject II Auto-Nanoliter Injector</t>
  </si>
  <si>
    <t xml:space="preserve">Microcaps®</t>
  </si>
  <si>
    <t xml:space="preserve">Calibrated Pipets</t>
  </si>
  <si>
    <t xml:space="preserve">Drummond Scientific's find-a-distributor page (drummondsci.com/find-a-distributor/) lists international partners by country but the snippet cut off at Hungary, before Israel; nothing confirmed. Target website (drummondgolf.com.au) is wrong; the lab supplier is Drummond Scientific, Broomall PA.</t>
  </si>
  <si>
    <t xml:space="preserve">+18005237480</t>
  </si>
  <si>
    <t xml:space="preserve">info@drummondsci.com</t>
  </si>
  <si>
    <t xml:space="preserve">https://drummondsci.com/contact/</t>
  </si>
  <si>
    <t xml:space="preserve">https://www.dutscher.com/search?initialFilters=brand:Drummond | https://www.thomassci.com/browse-by/suppliers/drummond | https://drummondsci.com/contact/</t>
  </si>
  <si>
    <t xml:space="preserve">Drummond Scientific</t>
  </si>
  <si>
    <t xml:space="preserve">https://drummondsci.com</t>
  </si>
  <si>
    <t xml:space="preserve">https://www.quartzy.com/suppliers | https://drummondsci.com/contact/</t>
  </si>
  <si>
    <t xml:space="preserve">Dual Manufacturing</t>
  </si>
  <si>
    <t xml:space="preserve">https://www.thomassci.com/browse-by/suppliers/dual-manufacturing</t>
  </si>
  <si>
    <t xml:space="preserve">https://dualmfg.com</t>
  </si>
  <si>
    <t xml:space="preserve">Aluminum Dishes with Covers</t>
  </si>
  <si>
    <t xml:space="preserve">Copper Beakers</t>
  </si>
  <si>
    <t xml:space="preserve">Nickel Crucibles</t>
  </si>
  <si>
    <t xml:space="preserve">847.260.5370</t>
  </si>
  <si>
    <t xml:space="preserve">info@dualmfg.com</t>
  </si>
  <si>
    <t xml:space="preserve">https://dualmfg.com/contactus-2</t>
  </si>
  <si>
    <t xml:space="preserve">https://www.thomassci.com/browse-by/suppliers/dual-manufacturing | https://dualmfg.com/contactus-2</t>
  </si>
  <si>
    <t xml:space="preserve">Dukal Corporation</t>
  </si>
  <si>
    <t xml:space="preserve">https://www.thomassci.com/browse-by/suppliers/dukal-corporation</t>
  </si>
  <si>
    <t xml:space="preserve">Leg Fracture Splint</t>
  </si>
  <si>
    <t xml:space="preserve">Waterseal™ Adhesive Bandage</t>
  </si>
  <si>
    <t xml:space="preserve">Dukal Cohesive Bandages - Latex Free</t>
  </si>
  <si>
    <t xml:space="preserve">Dupont</t>
  </si>
  <si>
    <t xml:space="preserve">https://www.dutscher.com/search?initialFilters=brand:Dupont</t>
  </si>
  <si>
    <t xml:space="preserve">https://www.thomassci.com/browse-by/suppliers/dupont</t>
  </si>
  <si>
    <t xml:space="preserve">https://dupont.com</t>
  </si>
  <si>
    <t xml:space="preserve">Single-use clothing</t>
  </si>
  <si>
    <t xml:space="preserve">Tyvek® 400 TY212S Labcoat</t>
  </si>
  <si>
    <t xml:space="preserve">Tyvek® IsoClean® IC264S Frock</t>
  </si>
  <si>
    <t xml:space="preserve">Tyvek® 400 Frocks, Elastic Wrists</t>
  </si>
  <si>
    <t xml:space="preserve">DuPont Tyvek contact directory and converter/distributor lists appeared but no Israel entry visible; only Brazil/Mexico (IIMAK) and US deals named.</t>
  </si>
  <si>
    <t xml:space="preserve">https://www.dutscher.com/search?initialFilters=brand:Dupont | https://www.thomassci.com/browse-by/suppliers/dupont</t>
  </si>
  <si>
    <t xml:space="preserve">Duracell®</t>
  </si>
  <si>
    <t xml:space="preserve">https://www.thomassci.com/browse-by/suppliers/duracell</t>
  </si>
  <si>
    <t xml:space="preserve">https://duracell.com</t>
  </si>
  <si>
    <t xml:space="preserve">Duracell® Alkaline Battery</t>
  </si>
  <si>
    <t xml:space="preserve">Duracell® Rechargeable Battery</t>
  </si>
  <si>
    <t xml:space="preserve">Duracell® Procell® Alkaline Battery</t>
  </si>
  <si>
    <t xml:space="preserve">800-551-2355</t>
  </si>
  <si>
    <t xml:space="preserve">https://duracell.com/contact</t>
  </si>
  <si>
    <t xml:space="preserve">https://www.thomassci.com/browse-by/suppliers/duracell | https://duracell.com/contact</t>
  </si>
  <si>
    <t xml:space="preserve">Duran</t>
  </si>
  <si>
    <t xml:space="preserve">https://www.dutscher.com/search?initialFilters=brand:Duran</t>
  </si>
  <si>
    <t xml:space="preserve">https://www.dwk.com</t>
  </si>
  <si>
    <t xml:space="preserve">Mainz (sources also cite Wertheim; US headquarters Millville, New Jersey)</t>
  </si>
  <si>
    <t xml:space="preserve">One Equity Partners (portfolio company)</t>
  </si>
  <si>
    <t xml:space="preserve">USD 105.7 million</t>
  </si>
  <si>
    <t xml:space="preserve">FY2023</t>
  </si>
  <si>
    <t xml:space="preserve">DURAN laboratory glass bottles</t>
  </si>
  <si>
    <t xml:space="preserve">WHEATON vials &amp; serum bottles</t>
  </si>
  <si>
    <t xml:space="preserve">KIMBLE KIMAX glassware</t>
  </si>
  <si>
    <t xml:space="preserve">Danyel Biotech Ltd. (Gamida for Life group)</t>
  </si>
  <si>
    <t xml:space="preserve">Danyel Biotech Ltd. (Gamida for Life group): 1-800-711-911 (also +972 8-936-6066)</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</si>
  <si>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Re-checked on 2026-10-15: dwk.com's 'Global Distributors' locator is location based and no Israeli distributor appears in any snippet. Danyel Biotech's live SciLabware brand page still presents SciLabware as 'a DWK Life Sciences company' and lists the Pyrex, Quickfit, MBL, Azlon, Ramboldi and WHEATON lines, so Danyel's SciLabware/Wheaton channel is current; no Israeli site naming DURAN or KIMBLE surfaced, so the channel for those lines remains unknown. Danyel Biotech's own brand page 'SciLabware - Danyel Biotech' presents SciLabware as 'a DWK Life Sciences company' and lists its 6,000+ products (Pyrex borosilicate and Quickfit jointed glassware, MBL volumetric ware, Azlon plasticware, Wheaton packaging and dropper bottles), so Danyel represents at least DWK's UK SciLabware/Wheaton range in Israel. Searches for DURAN, Wheaton and Kimble across the 40 Israeli distributor domains and a Hebrew query ('DURAN </t>
    </r>
    <r>
      <rPr>
        <sz val="11"/>
        <color theme="1"/>
        <rFont val="FreeSans"/>
        <family val="2"/>
      </rPr>
      <t xml:space="preserve">בקבוקי זכוכית מעבדה יבואן ישראל</t>
    </r>
    <r>
      <rPr>
        <sz val="11"/>
        <color theme="1"/>
        <rFont val="Calibri"/>
        <family val="2"/>
        <charset val="1"/>
      </rPr>
      <t xml:space="preserve">') found no Israeli site naming DURAN or KIMBLE, so the channel for those lines (possibly general lab-supply houses or VWR/Thermo catalogues) remains unidentified. DWK's own site was not searched within the budget.</t>
    </r>
  </si>
  <si>
    <t xml:space="preserve">+49 9342 802-0</t>
  </si>
  <si>
    <t xml:space="preserve">Otto-Schott-Str. 21, 97877 Wertheim, Germany</t>
  </si>
  <si>
    <t xml:space="preserve">https://www.dwk.com/request-a-quote</t>
  </si>
  <si>
    <t xml:space="preserve">https://dwk.com/na/locations/wertheim-germany</t>
  </si>
  <si>
    <t xml:space="preserve">https://www.dutscher.com/search?initialFilters=brand:Duran | https://www.dwk.com/careers-europe | https://www.chromatographytoday.com/buyers-guide/profile/14925/dwk-life-sciences-gmbh | https://oneequity.com/portfolio/dwk-life-sciences | https://www.preqin.com/data/profile/asset/dwk-life-sciences-gmbh/226945 | https://rocketreach.co/dwk-life-sciences-profile_b455fd2cfc8bc717 | https://prospeo.io/c/dwk-life-sciences | https://www.reatorg.ru/eng/about/news/reatorg-distribyutor-dwk-duran-wheaton-kimble/ | https://www.chamber.org.il/37679/40433/52076/?id=86053 | https://www.danyel.co.il/scilabware/ | https://en.wikipedia.org/wiki/Duran_(glass) | https://www.dwk.com/na/distributors | https://www.dwk.com/na/contact-us</t>
  </si>
  <si>
    <t xml:space="preserve">Duratherm</t>
  </si>
  <si>
    <t xml:space="preserve">https://www.thomassci.com/browse-by/suppliers/duratherm</t>
  </si>
  <si>
    <t xml:space="preserve">https://duratherm.com</t>
  </si>
  <si>
    <t xml:space="preserve">630-443-9772</t>
  </si>
  <si>
    <t xml:space="preserve">https://www.duratherm.com/contact-us/</t>
  </si>
  <si>
    <t xml:space="preserve">https://www.thomassci.com/browse-by/suppliers/duratherm | https://www.duratherm.com/contact-us/</t>
  </si>
  <si>
    <t xml:space="preserve">Durham Manufacturing</t>
  </si>
  <si>
    <t xml:space="preserve">https://www.thomassci.com/browse-by/suppliers/durham-manufacturing</t>
  </si>
  <si>
    <t xml:space="preserve">https://durhammfg.com</t>
  </si>
  <si>
    <t xml:space="preserve">Plastic Compartment Boxes</t>
  </si>
  <si>
    <t xml:space="preserve">Box Large 12-Compartment</t>
  </si>
  <si>
    <t xml:space="preserve">BOX LARGE 16-COMPARTMENT</t>
  </si>
  <si>
    <t xml:space="preserve">800243-3774</t>
  </si>
  <si>
    <t xml:space="preserve">info@durhammfg.com</t>
  </si>
  <si>
    <t xml:space="preserve">https://www.durhammfg.com/contact-us/</t>
  </si>
  <si>
    <t xml:space="preserve">https://www.thomassci.com/browse-by/suppliers/durham-manufacturing | https://www.durhammfg.com/contact-us/</t>
  </si>
  <si>
    <t xml:space="preserve">Dutscher chemicals</t>
  </si>
  <si>
    <t xml:space="preserve">https://www.dutscher.com/head-display/private-label?language=en</t>
  </si>
  <si>
    <t xml:space="preserve">DWK Life Sciences (Wheaton)</t>
  </si>
  <si>
    <t xml:space="preserve">https://www.thomassci.com/browse-by/suppliers/dwk-life-sciences-azlon</t>
  </si>
  <si>
    <t xml:space="preserve">https://www.quartzy.com/suppliers | https://www.thomassci.com/browse-by/suppliers/dwk-life-sciences-azlon | https://www.dwk.com/careers-europe | https://www.chromatographytoday.com/buyers-guide/profile/14925/dwk-life-sciences-gmbh | https://oneequity.com/portfolio/dwk-life-sciences | https://www.preqin.com/data/profile/asset/dwk-life-sciences-gmbh/226945 | https://rocketreach.co/dwk-life-sciences-profile_b455fd2cfc8bc717 | https://prospeo.io/c/dwk-life-sciences | https://www.reatorg.ru/eng/about/news/reatorg-distribyutor-dwk-duran-wheaton-kimble/ | https://www.chamber.org.il/37679/40433/52076/?id=86053 | https://www.danyel.co.il/scilabware/ | https://en.wikipedia.org/wiki/Duran_(glass) | https://www.dwk.com/na/distributors | https://www.dwk.com/na/contact-us</t>
  </si>
  <si>
    <t xml:space="preserve">Dyn-A-Med</t>
  </si>
  <si>
    <t xml:space="preserve">https://www.thomassci.com/browse-by/suppliers/dyn-a-med</t>
  </si>
  <si>
    <t xml:space="preserve">Aluminum Foil Pans</t>
  </si>
  <si>
    <t xml:space="preserve">Glass Fiber Pad, 9 cm</t>
  </si>
  <si>
    <t xml:space="preserve">Slide Box, Polypropylene, 100 Slide</t>
  </si>
  <si>
    <t xml:space="preserve">Dynalon</t>
  </si>
  <si>
    <t xml:space="preserve">https://www.thomassci.com/browse-by/suppliers/dynalon</t>
  </si>
  <si>
    <t xml:space="preserve">Bottles, High-Density Polyethylene Narrow Mouth</t>
  </si>
  <si>
    <t xml:space="preserve">Pi-Pump Pipet Filler</t>
  </si>
  <si>
    <t xml:space="preserve">Cylindrical Jars with Cap High-Density Polyethylene</t>
  </si>
  <si>
    <t xml:space="preserve">No result mentions Dynalon; 'DYN Diagnostics' (Caesarea, Roche IVD representative) and Eldan hits are unrelated name/industry matches.</t>
  </si>
  <si>
    <t xml:space="preserve">https://www.quartzy.com/suppliers | https://www.thomassci.com/browse-by/suppliers/dynalon</t>
  </si>
  <si>
    <t xml:space="preserve">Dynamic™ by PIP Global Safety</t>
  </si>
  <si>
    <t xml:space="preserve">https://www.thomassci.com/browse-by/suppliers/dynamic-by-pip-global-safety</t>
  </si>
  <si>
    <t xml:space="preserve">Dynamo Distributors</t>
  </si>
  <si>
    <t xml:space="preserve">https://www.thomassci.com/browse-by/suppliers/dynamo-distributors</t>
  </si>
  <si>
    <t xml:space="preserve">https://dynamo411.com</t>
  </si>
  <si>
    <t xml:space="preserve">Detergent, Palmolive Original 5 Gallon Pail</t>
  </si>
  <si>
    <t xml:space="preserve">Ammonia, Cleaner, 1 Gallon each, 4 each per case</t>
  </si>
  <si>
    <t xml:space="preserve">info@dynamo411.com</t>
  </si>
  <si>
    <t xml:space="preserve">https://dynamo411.com/contact.php</t>
  </si>
  <si>
    <t xml:space="preserve">https://www.thomassci.com/browse-by/suppliers/dynamo-distributors | https://dynamo411.com/contact.php</t>
  </si>
  <si>
    <t xml:space="preserve">Dynarex</t>
  </si>
  <si>
    <t xml:space="preserve">https://www.thomassci.com/browse-by/suppliers/dynarex</t>
  </si>
  <si>
    <t xml:space="preserve">https://www.dynarex.com</t>
  </si>
  <si>
    <t xml:space="preserve">Medicut Scalpels Disposable Sterile</t>
  </si>
  <si>
    <t xml:space="preserve">Biopsy Punches</t>
  </si>
  <si>
    <t xml:space="preserve">Gauze Pad Sterile</t>
  </si>
  <si>
    <t xml:space="preserve">https://dynarex.com/</t>
  </si>
  <si>
    <t xml:space="preserve">https://www.thomassci.com/browse-by/suppliers/dynarex | https://dynarex.com/</t>
  </si>
  <si>
    <t xml:space="preserve">E Com Seating</t>
  </si>
  <si>
    <t xml:space="preserve">https://ecomseating.com</t>
  </si>
  <si>
    <t xml:space="preserve">+9313722688</t>
  </si>
  <si>
    <t xml:space="preserve">info@ecomseating.com</t>
  </si>
  <si>
    <t xml:space="preserve">https://ecomseating.com/contact/</t>
  </si>
  <si>
    <t xml:space="preserve">https://www.quartzy.com/suppliers | https://ecomseating.com/contact/</t>
  </si>
  <si>
    <t xml:space="preserve">Eagle Group</t>
  </si>
  <si>
    <t xml:space="preserve">https://www.thomassci.com/browse-by/suppliers/eagle-group</t>
  </si>
  <si>
    <t xml:space="preserve">https://eagle.international</t>
  </si>
  <si>
    <t xml:space="preserve">Solid Top Cleanroom Tables with C-Frame</t>
  </si>
  <si>
    <t xml:space="preserve">Freestanding Growning Racks with Hanger Tube</t>
  </si>
  <si>
    <t xml:space="preserve">Wall Mounted Gowning Racks with Hanger Tube</t>
  </si>
  <si>
    <t xml:space="preserve">Eagle Biosciences</t>
  </si>
  <si>
    <t xml:space="preserve">https://eaglebio.com</t>
  </si>
  <si>
    <t xml:space="preserve">(617) 419-2019</t>
  </si>
  <si>
    <t xml:space="preserve">info@eaglebio.com</t>
  </si>
  <si>
    <t xml:space="preserve">https://eaglebio.com/contact/</t>
  </si>
  <si>
    <t xml:space="preserve">https://www.quartzy.com/suppliers | https://eaglebio.com/contact/</t>
  </si>
  <si>
    <t xml:space="preserve">Eagle Manufacturing Company</t>
  </si>
  <si>
    <t xml:space="preserve">https://www.thomassci.com/browse-by/suppliers/eagle-manufacturing-company</t>
  </si>
  <si>
    <t xml:space="preserve">defunct farm equipment company in Appleton, Wisconsin</t>
  </si>
  <si>
    <t xml:space="preserve">Type 1 Safety Cans</t>
  </si>
  <si>
    <t xml:space="preserve">Containment Utility Trays</t>
  </si>
  <si>
    <t xml:space="preserve">Quik-Assembly™ Modular Poly Cabinets</t>
  </si>
  <si>
    <t xml:space="preserve">Q5325159</t>
  </si>
  <si>
    <t xml:space="preserve">https://www.thomassci.com/browse-by/suppliers/eagle-manufacturing-company | https://www.wikidata.org/wiki/Q5325159</t>
  </si>
  <si>
    <t xml:space="preserve">Eagle Protect</t>
  </si>
  <si>
    <t xml:space="preserve">https://www.thomassci.com/browse-by/suppliers/eagle-protect</t>
  </si>
  <si>
    <t xml:space="preserve">https://eagleprotect.mu</t>
  </si>
  <si>
    <t xml:space="preserve">FineTOUGH Nitrile Gloves, Indigo</t>
  </si>
  <si>
    <t xml:space="preserve">Sensitive Nitrile Gloves, Indigo</t>
  </si>
  <si>
    <t xml:space="preserve">FineTOUGH Nitrile Gloves, White</t>
  </si>
  <si>
    <t xml:space="preserve">Eagle Thermoplastics</t>
  </si>
  <si>
    <t xml:space="preserve">https://www.thomassci.com/browse-by/suppliers/eagle-thermoplastics</t>
  </si>
  <si>
    <t xml:space="preserve">Disposable Smooth-Walled Weighing Dishes</t>
  </si>
  <si>
    <t xml:space="preserve">Hexagonal Polystyrene Weighing Dishes (Anti-Static)</t>
  </si>
  <si>
    <t xml:space="preserve">Lab Bottle Carrier Bucket, Rubber</t>
  </si>
  <si>
    <t xml:space="preserve">No result mentions Eagle Thermoplastics; hits are Albis Distribution (polymer distributor opening a Tel Aviv subsidiary) and Eagle Plastics UK - unrelated.</t>
  </si>
  <si>
    <t xml:space="preserve">https://www.quartzy.com/suppliers | https://www.thomassci.com/browse-by/suppliers/eagle-thermoplastics</t>
  </si>
  <si>
    <t xml:space="preserve">EAI</t>
  </si>
  <si>
    <t xml:space="preserve">https://www.thomassci.com/browse-by/suppliers/eai</t>
  </si>
  <si>
    <t xml:space="preserve">Texas Instruments® TI-36X Pro Scientific Calculator</t>
  </si>
  <si>
    <t xml:space="preserve">Texas Instruments® TI-30X IIS Scientific Calculator</t>
  </si>
  <si>
    <t xml:space="preserve">Eastern Business Forms</t>
  </si>
  <si>
    <t xml:space="preserve">https://www.thomassci.com/browse-by/suppliers/eastern-business-forms</t>
  </si>
  <si>
    <t xml:space="preserve">https://ebf-inc.com</t>
  </si>
  <si>
    <t xml:space="preserve">EBF Foil Bag</t>
  </si>
  <si>
    <t xml:space="preserve">903 Five Spot Blood Card (EU)</t>
  </si>
  <si>
    <t xml:space="preserve">903 Five Spot Blood Card (US)</t>
  </si>
  <si>
    <t xml:space="preserve">(800) 387-2648</t>
  </si>
  <si>
    <t xml:space="preserve">info@ebf-inc.com</t>
  </si>
  <si>
    <t xml:space="preserve">https://ebf-inc.com/contact/</t>
  </si>
  <si>
    <t xml:space="preserve">https://www.thomassci.com/browse-by/suppliers/eastern-business-forms | https://ebf-inc.com/contact/</t>
  </si>
  <si>
    <t xml:space="preserve">Eberbach</t>
  </si>
  <si>
    <t xml:space="preserve">https://www.thomassci.com/browse-by/suppliers/eberbach</t>
  </si>
  <si>
    <t xml:space="preserve">https://eberbachlabtools.com</t>
  </si>
  <si>
    <t xml:space="preserve">Large Orbital Shaker</t>
  </si>
  <si>
    <t xml:space="preserve">Small Orbital Shaker</t>
  </si>
  <si>
    <t xml:space="preserve">Heavy Duty Orbital Shaker</t>
  </si>
  <si>
    <t xml:space="preserve">1-800-422-2558</t>
  </si>
  <si>
    <t xml:space="preserve">orders@eberbachlabtools.com</t>
  </si>
  <si>
    <t xml:space="preserve">https://eberbachlabtools.com/pages/contact-us</t>
  </si>
  <si>
    <t xml:space="preserve">https://www.thomassci.com/browse-by/suppliers/eberbach | https://eberbachlabtools.com/pages/contact-us</t>
  </si>
  <si>
    <t xml:space="preserve">Echelon Biosciences</t>
  </si>
  <si>
    <t xml:space="preserve">https://echelon-inc.com</t>
  </si>
  <si>
    <t xml:space="preserve">801.588.0455</t>
  </si>
  <si>
    <t xml:space="preserve">https://www.echelon-inc.com/contact/</t>
  </si>
  <si>
    <t xml:space="preserve">https://www.quartzy.com/suppliers | https://www.echelon-inc.com/contact/</t>
  </si>
  <si>
    <t xml:space="preserve">ECM Biosciences</t>
  </si>
  <si>
    <t xml:space="preserve">Ecocyte Bioscience</t>
  </si>
  <si>
    <t xml:space="preserve">https://www.thomassci.com/browse-by/suppliers/ecocyte-bioscience</t>
  </si>
  <si>
    <t xml:space="preserve">Artificial Cerebrospinal Fluid (ACSF)</t>
  </si>
  <si>
    <t xml:space="preserve">Modified Tyrode’s Solution (MTS)</t>
  </si>
  <si>
    <t xml:space="preserve">Choline Chloride Brain Slice Cutting Solution (CC-BSCS)</t>
  </si>
  <si>
    <t xml:space="preserve">Ecolab</t>
  </si>
  <si>
    <t xml:space="preserve">https://www.thomassci.com/browse-by/suppliers/ecolab</t>
  </si>
  <si>
    <t xml:space="preserve">https://ecolab.com</t>
  </si>
  <si>
    <t xml:space="preserve">Klercide™ Sporicidal Active Chlorine</t>
  </si>
  <si>
    <t xml:space="preserve">COSA™ CIP 90</t>
  </si>
  <si>
    <t xml:space="preserve">COSA™ CIP 94</t>
  </si>
  <si>
    <t xml:space="preserve">Edge Biologicals</t>
  </si>
  <si>
    <t xml:space="preserve">https://www.thomassci.com/browse-by/suppliers/edge-biologicals</t>
  </si>
  <si>
    <t xml:space="preserve">mFC Broth Ampoules</t>
  </si>
  <si>
    <t xml:space="preserve">Modified MRS Agar</t>
  </si>
  <si>
    <t xml:space="preserve">Petri dishes 100x15</t>
  </si>
  <si>
    <t xml:space="preserve">Edge BioSystems</t>
  </si>
  <si>
    <t xml:space="preserve">https://www.thomassci.com/browse-by/suppliers/edge-biosystems</t>
  </si>
  <si>
    <t xml:space="preserve">Optima DTR™ 96-Well Plate Kits</t>
  </si>
  <si>
    <t xml:space="preserve">Performa® DTR Gel Filtration Cartridges</t>
  </si>
  <si>
    <t xml:space="preserve">Optima DTR™ 8-Well Strip Kit</t>
  </si>
  <si>
    <t xml:space="preserve">Edmund Buehler</t>
  </si>
  <si>
    <t xml:space="preserve">https://www.dutscher.com/search?initialFilters=brand:Edmund+Buehler</t>
  </si>
  <si>
    <t xml:space="preserve">Shaker</t>
  </si>
  <si>
    <t xml:space="preserve">Orbital or reciprocating shaker SM 30C Control</t>
  </si>
  <si>
    <t xml:space="preserve">Large capacity Microplate Shaker TiMix 5 - Controller with digital display and programmable</t>
  </si>
  <si>
    <t xml:space="preserve">KS 15 A compact orbital shaker</t>
  </si>
  <si>
    <t xml:space="preserve">Ormir Scientific Instruments; EX-LAB Ltd.</t>
  </si>
  <si>
    <t xml:space="preserve">Ormir Scientific Instruments: +972-586272546 info@ormir.co.il; EX-LAB Ltd.: 03-9214108 info@ex-lab.com</t>
  </si>
  <si>
    <t xml:space="preserve">https://www.dutscher.com/search?initialFilters=brand:Edmund+Buehler | https://ormir.co.il/card-with-image/ | https://ex-lab.com/?taxonomy=product-category&amp;term=benchtop</t>
  </si>
  <si>
    <t xml:space="preserve">Edvotek</t>
  </si>
  <si>
    <t xml:space="preserve">https://www.thomassci.com/browse-by/suppliers/edvotek</t>
  </si>
  <si>
    <t xml:space="preserve">https://edvotek.com</t>
  </si>
  <si>
    <t xml:space="preserve">Blue/White Cloning of a DNA Fragment &amp; Assay of ß-galactosidase Kit</t>
  </si>
  <si>
    <t xml:space="preserve">Exploring the Genetics of Taste Kit: SNP Analysis of the PTC Gene Using PCR</t>
  </si>
  <si>
    <t xml:space="preserve">MV10 Vertical Electrophoresis Apparatus</t>
  </si>
  <si>
    <t xml:space="preserve">Eichrom</t>
  </si>
  <si>
    <t xml:space="preserve">https://www.thomassci.com/browse-by/suppliers/eichrom</t>
  </si>
  <si>
    <t xml:space="preserve">UTEVA Resin</t>
  </si>
  <si>
    <t xml:space="preserve">Accessories for Cartridges</t>
  </si>
  <si>
    <t xml:space="preserve">Cartridge Vacuum Box</t>
  </si>
  <si>
    <t xml:space="preserve">EIS</t>
  </si>
  <si>
    <t xml:space="preserve">https://www.thomassci.com/browse-by/suppliers/eis</t>
  </si>
  <si>
    <t xml:space="preserve">https://eis.de</t>
  </si>
  <si>
    <t xml:space="preserve">Eisco</t>
  </si>
  <si>
    <t xml:space="preserve">https://www.thomassci.com/browse-by/suppliers/eisco</t>
  </si>
  <si>
    <t xml:space="preserve">https://www.eiscolabs.com</t>
  </si>
  <si>
    <t xml:space="preserve">Volumetric Flasks with PE Stopper - Class A, with Calibration Certificate</t>
  </si>
  <si>
    <t xml:space="preserve">Volumetric Flasks with Glass Stopper - ASTM Class A</t>
  </si>
  <si>
    <t xml:space="preserve">Clavicle Bone Model</t>
  </si>
  <si>
    <t xml:space="preserve">Eisco's sales page (eiscolabs.com/pages/sales) routes buyers to regional contacts (Asia/Middle East/Africa) and customer support; no Israeli distributor named. Biotium's Middle East list (Doron Scientific, Enco, New Biotechnology, Origolab) is unrelated.</t>
  </si>
  <si>
    <t xml:space="preserve">+1-585-563-7963</t>
  </si>
  <si>
    <t xml:space="preserve">info@eiscolabs.com</t>
  </si>
  <si>
    <t xml:space="preserve">https://www.eiscolabs.com/pages/sales</t>
  </si>
  <si>
    <t xml:space="preserve">https://www.quartzy.com/suppliers | https://www.thomassci.com/browse-by/suppliers/eisco | https://www.eiscolabs.com/pages/sales</t>
  </si>
  <si>
    <t xml:space="preserve">Eldon James</t>
  </si>
  <si>
    <t xml:space="preserve">https://www.thomassci.com/browse-by/suppliers/eldon-james</t>
  </si>
  <si>
    <t xml:space="preserve">https://eldonjames.com</t>
  </si>
  <si>
    <t xml:space="preserve">Reduction Elbows</t>
  </si>
  <si>
    <t xml:space="preserve">Flexelene™ SFX Tubing</t>
  </si>
  <si>
    <t xml:space="preserve">Flexelene™ Tubing - 135C</t>
  </si>
  <si>
    <t xml:space="preserve">970-667-2728</t>
  </si>
  <si>
    <t xml:space="preserve">sales@eldonjames.com</t>
  </si>
  <si>
    <t xml:space="preserve">https://eldonjames.com/contact-us/</t>
  </si>
  <si>
    <t xml:space="preserve">https://www.thomassci.com/browse-by/suppliers/eldon-james | https://eldonjames.com/contact-us/</t>
  </si>
  <si>
    <t xml:space="preserve">Electron Microscopy (EMS)</t>
  </si>
  <si>
    <t xml:space="preserve">Bargal Analytical Instruments Ltd.; Rhenium Ltd.; Enco</t>
  </si>
  <si>
    <t xml:space="preserve">Bargal Analytical Instruments Ltd.: +972-3-979-6533 sales@bargal.co.il; Rhenium Ltd.: +972 8-955-8888; Enco: +972-3-934-9922 orders@enco.co.il</t>
  </si>
  <si>
    <t xml:space="preserve">https://www.quartzy.com/suppliers | https://bargal.co.il/%d7%9e%d7%95%d7%a6%d7%a8%d7%99%d7%9d/ | https://rheniumbio.co.il/ | https://www.enco.co.il/</t>
  </si>
  <si>
    <t xml:space="preserve">Electron Microscopy Sciences</t>
  </si>
  <si>
    <t xml:space="preserve">https://www.thomassci.com/browse-by/suppliers/electron-microscopy-sciences</t>
  </si>
  <si>
    <t xml:space="preserve">https://emsdiasum.com</t>
  </si>
  <si>
    <t xml:space="preserve">Silver Nitrate, Reagent, A.C.S.</t>
  </si>
  <si>
    <t xml:space="preserve">Paraformaldehyde (Formaldehyde)</t>
  </si>
  <si>
    <t xml:space="preserve">Phosphomolybdic Acid, Crystal, Reagent, A.C.S.</t>
  </si>
  <si>
    <t xml:space="preserve">Electrothermal (Cole-Parmer)</t>
  </si>
  <si>
    <t xml:space="preserve">https://www.thomassci.com/browse-by/suppliers/electrothermal-cole-parmer</t>
  </si>
  <si>
    <t xml:space="preserve">https://www.thomassci.com/browse-by/suppliers/electrothermal-cole-parmer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t>
  </si>
  <si>
    <t xml:space="preserve">ELITechGroup MDx</t>
  </si>
  <si>
    <t xml:space="preserve">https://www.thomassci.com/browse-by/suppliers/elitechgroup-mdx</t>
  </si>
  <si>
    <t xml:space="preserve">Elko Filtering</t>
  </si>
  <si>
    <t xml:space="preserve">https://www.elkofiltering.com</t>
  </si>
  <si>
    <t xml:space="preserve">877-205-2710</t>
  </si>
  <si>
    <t xml:space="preserve">https://www.elkofiltering.com/store/pg/5-Contact-Us.aspx</t>
  </si>
  <si>
    <t xml:space="preserve">https://www.quartzy.com/suppliers | https://www.elkofiltering.com/store/pg/5-Contact-Us.aspx</t>
  </si>
  <si>
    <t xml:space="preserve">Ellsworth Adhesives</t>
  </si>
  <si>
    <t xml:space="preserve">https://www.thomassci.com/browse-by/suppliers/ellsworth-adhesives</t>
  </si>
  <si>
    <t xml:space="preserve">https://ellsworth.com</t>
  </si>
  <si>
    <t xml:space="preserve">Dow Corning High Vacuum Grease</t>
  </si>
  <si>
    <t xml:space="preserve">Dow DOWSIL™ 3-6751 Thermally Conductive Adhesive Gray 1 kg Kit</t>
  </si>
  <si>
    <t xml:space="preserve">Sulzer Mixpac Statomix EA6.3-21SA MA Static Mixer 0.25 in ID x 6.02 x 21 Element from Ellsworth. 50/pk</t>
  </si>
  <si>
    <t xml:space="preserve">Ellsworth's own list of countries where it has a presence (job-board page) does not include Israel; no Israeli distributor found.</t>
  </si>
  <si>
    <t xml:space="preserve">(877) 454-9224</t>
  </si>
  <si>
    <t xml:space="preserve">info@ellsworth.com</t>
  </si>
  <si>
    <t xml:space="preserve">https://www.ellsworth.com/contact-us/</t>
  </si>
  <si>
    <t xml:space="preserve">https://www.quartzy.com/suppliers | https://www.thomassci.com/browse-by/suppliers/ellsworth-adhesives | https://www.ellsworth.com/contact-us/</t>
  </si>
  <si>
    <t xml:space="preserve">Elma</t>
  </si>
  <si>
    <t xml:space="preserve">https://www.dutscher.com/search?initialFilters=brand:Elma</t>
  </si>
  <si>
    <t xml:space="preserve">https://www.thomassci.com/browse-by/suppliers/elma</t>
  </si>
  <si>
    <t xml:space="preserve">https://www.elma-ultrasonic.com</t>
  </si>
  <si>
    <t xml:space="preserve">Elmasonic Plus Ultrasonic Bath with Pulse Mode for Mixing, Cleaning, and Degassing</t>
  </si>
  <si>
    <t xml:space="preserve">Elmasonic Select Extra Powerful Ultrasonic Cleaners, Heater/Timer/Memory/Digital Display/5 Modes</t>
  </si>
  <si>
    <t xml:space="preserve">Accessories for Elma Ultrasonic Cleaners</t>
  </si>
  <si>
    <t xml:space="preserve">Labotal Scientific Equipment (1997) Ltd.</t>
  </si>
  <si>
    <t xml:space="preserve">Labotal Scientific Equipment (1997) Ltd.: +972 2-579-9222 Sales@labotal.co.il</t>
  </si>
  <si>
    <t xml:space="preserve">Elma Schmidbauer GmbH (Singen) sells in 80+ countries via distributors (DKSH, VWR listings); no Israel mention. Target website elmaz.com is wrong (elma-ultrasonic.com).</t>
  </si>
  <si>
    <t xml:space="preserve">sales@elma-ultrasonic.com</t>
  </si>
  <si>
    <t xml:space="preserve">https://www.elma-ultrasonic.com/en/kontakt-beratung</t>
  </si>
  <si>
    <t xml:space="preserve">https://www.dutscher.com/search?initialFilters=brand:Elma | https://www.thomassci.com/browse-by/suppliers/elma | https://labotal.co.il/represented-firms/ | https://www.elma-ultrasonic.com/en/kontakt-beratung</t>
  </si>
  <si>
    <t xml:space="preserve">ELMI</t>
  </si>
  <si>
    <t xml:space="preserve">https://www.thomassci.com/browse-by/suppliers/elmi</t>
  </si>
  <si>
    <t xml:space="preserve">Sky Line Analog Orbital Shakers</t>
  </si>
  <si>
    <t xml:space="preserve">Intelli-Mixers</t>
  </si>
  <si>
    <t xml:space="preserve">Sky Line Digital Rocking Shakers</t>
  </si>
  <si>
    <t xml:space="preserve">ELPRO</t>
  </si>
  <si>
    <t xml:space="preserve">https://www.thomassci.com/browse-by/suppliers/elpro</t>
  </si>
  <si>
    <t xml:space="preserve">LIBERO CD datalogger with internal probe for direct placement in dry ice</t>
  </si>
  <si>
    <t xml:space="preserve">Freezer Datalogger Kit for -80°C Application</t>
  </si>
  <si>
    <t xml:space="preserve">LIBERO CB datalogger with internal NTC probe</t>
  </si>
  <si>
    <t xml:space="preserve">Embitec</t>
  </si>
  <si>
    <t xml:space="preserve">https://www.dutscher.com/search?initialFilters=brand:Embitec</t>
  </si>
  <si>
    <t xml:space="preserve">https://embitec.com</t>
  </si>
  <si>
    <t xml:space="preserve">Complete electrophoresis system RunOne for nucleic acids</t>
  </si>
  <si>
    <t xml:space="preserve">Kit: RunOne + Multicaster 8 rows 116 x 118 mm turquoise colour</t>
  </si>
  <si>
    <t xml:space="preserve">Complete unit Multicaster HLA Multicasting 116 x 89 mm Yellow (supplied with 2 combs)</t>
  </si>
  <si>
    <t xml:space="preserve">858-684-3190</t>
  </si>
  <si>
    <t xml:space="preserve">info@embitec.com</t>
  </si>
  <si>
    <t xml:space="preserve">https://embitec.com/contact/</t>
  </si>
  <si>
    <t xml:space="preserve">https://www.dutscher.com/search?initialFilters=brand:Embitec | https://embitec.com/contact/</t>
  </si>
  <si>
    <t xml:space="preserve">emp Biotech</t>
  </si>
  <si>
    <t xml:space="preserve">https://www.thomassci.com/browse-by/suppliers/emp-biotech</t>
  </si>
  <si>
    <t xml:space="preserve">https://empbiotech.com</t>
  </si>
  <si>
    <t xml:space="preserve">EMP Rotomoulage</t>
  </si>
  <si>
    <t xml:space="preserve">https://www.dutscher.com/search?initialFilters=brand:EMP+Rotomoulage</t>
  </si>
  <si>
    <t xml:space="preserve">https://emp-rotomoulage.fr</t>
  </si>
  <si>
    <t xml:space="preserve">Retention bin with grating 20 l - colour green</t>
  </si>
  <si>
    <t xml:space="preserve">Retention bin without grating 5 l - colour grey</t>
  </si>
  <si>
    <t xml:space="preserve">Retention bin with grating 8 l - colour green</t>
  </si>
  <si>
    <t xml:space="preserve">Empirical Bioscience</t>
  </si>
  <si>
    <t xml:space="preserve">https://empiricalbioscience.com</t>
  </si>
  <si>
    <t xml:space="preserve">1.800.338.9579</t>
  </si>
  <si>
    <t xml:space="preserve">info@fortislife.com</t>
  </si>
  <si>
    <t xml:space="preserve">https://www.fortislife.com/contact-us</t>
  </si>
  <si>
    <t xml:space="preserve">https://www.quartzy.com/suppliers | https://www.fortislife.com/contact-us</t>
  </si>
  <si>
    <t xml:space="preserve">eNasco</t>
  </si>
  <si>
    <t xml:space="preserve">Endecotts</t>
  </si>
  <si>
    <t xml:space="preserve">https://www.thomassci.com/browse-by/suppliers/endecotts</t>
  </si>
  <si>
    <t xml:space="preserve">Octagon D200 Digital Sieve Shaker</t>
  </si>
  <si>
    <t xml:space="preserve">8" Stainless Steel Sieves</t>
  </si>
  <si>
    <t xml:space="preserve">12" Stainless Steel Sieves</t>
  </si>
  <si>
    <t xml:space="preserve">Environmental Express</t>
  </si>
  <si>
    <t xml:space="preserve">https://www.thomassci.com/browse-by/suppliers/environmental-express</t>
  </si>
  <si>
    <t xml:space="preserve">https://environmentalexpress.com</t>
  </si>
  <si>
    <t xml:space="preserve">GhostWipes</t>
  </si>
  <si>
    <t xml:space="preserve">ProWeigh Filters for TSS</t>
  </si>
  <si>
    <t xml:space="preserve">ProWeigh Double for TSS/VSS</t>
  </si>
  <si>
    <t xml:space="preserve">Results show Environmental Express (Charleston, SC) with distributors in NZ (John Morris Group) and via Core &amp; Main; Israeli hits (Chemitron, Veridis) are unrelated and do not mention the brand.</t>
  </si>
  <si>
    <t xml:space="preserve">https://www.quartzy.com/suppliers | https://www.thomassci.com/browse-by/suppliers/environmental-express</t>
  </si>
  <si>
    <t xml:space="preserve">Environmental Sampling Supply</t>
  </si>
  <si>
    <t xml:space="preserve">https://www.thomassci.com/browse-by/suppliers/environmental-sampling-supply</t>
  </si>
  <si>
    <t xml:space="preserve">https://essvial.com</t>
  </si>
  <si>
    <t xml:space="preserve">Glass Wide Mouth Sample Jars</t>
  </si>
  <si>
    <t xml:space="preserve">Capsure™ Wide Mouth Bottles</t>
  </si>
  <si>
    <t xml:space="preserve">Plastic Container, Wide Mouth,8oz (250mL), precleaned</t>
  </si>
  <si>
    <t xml:space="preserve">5106148312</t>
  </si>
  <si>
    <t xml:space="preserve">orders@essvial.com</t>
  </si>
  <si>
    <t xml:space="preserve">https://essvial.com/contact/</t>
  </si>
  <si>
    <t xml:space="preserve">https://www.thomassci.com/browse-by/suppliers/environmental-sampling-supply | https://essvial.com/contact/</t>
  </si>
  <si>
    <t xml:space="preserve">Enzo Life Sciences</t>
  </si>
  <si>
    <t xml:space="preserve">https://enzolifesciences.com</t>
  </si>
  <si>
    <t xml:space="preserve">https://www.enzo.com/</t>
  </si>
  <si>
    <t xml:space="preserve">https://www.quartzy.com/suppliers | https://www.enzo.com/</t>
  </si>
  <si>
    <t xml:space="preserve">EP Scientific Products</t>
  </si>
  <si>
    <t xml:space="preserve">https://www.thomassci.com/browse-by/suppliers/ep-scientific-products</t>
  </si>
  <si>
    <t xml:space="preserve">Tall Closed-Top Wide-Mouth Jars</t>
  </si>
  <si>
    <t xml:space="preserve">Screw-Top Sterile Coliform Water Sample Bottles</t>
  </si>
  <si>
    <t xml:space="preserve">Depyrogenated Sterile Empty Vials</t>
  </si>
  <si>
    <t xml:space="preserve">Epic Medical</t>
  </si>
  <si>
    <t xml:space="preserve">https://www.thomassci.com/browse-by/suppliers/epic-medical</t>
  </si>
  <si>
    <t xml:space="preserve">https://epic-med.com</t>
  </si>
  <si>
    <t xml:space="preserve">Knit Wrist Lab Coats with 3 Pockets</t>
  </si>
  <si>
    <t xml:space="preserve">Medium Weight White Lab Coats</t>
  </si>
  <si>
    <t xml:space="preserve">Impervious PE Coated Isolation Gown</t>
  </si>
  <si>
    <t xml:space="preserve">65 6221 2660</t>
  </si>
  <si>
    <t xml:space="preserve">info@epic-med.com</t>
  </si>
  <si>
    <t xml:space="preserve">https://www.epic-med.com/contact-us</t>
  </si>
  <si>
    <t xml:space="preserve">https://www.thomassci.com/browse-by/suppliers/epic-medical | https://www.epic-med.com/contact-us</t>
  </si>
  <si>
    <t xml:space="preserve">EpiCypher</t>
  </si>
  <si>
    <t xml:space="preserve">https://epicypher.com</t>
  </si>
  <si>
    <t xml:space="preserve">+18553742461</t>
  </si>
  <si>
    <t xml:space="preserve">sales@epicypher.com</t>
  </si>
  <si>
    <t xml:space="preserve">https://www.epicypher.com/contact-us/</t>
  </si>
  <si>
    <t xml:space="preserve">https://www.quartzy.com/suppliers | https://www.epicypher.com/contact-us/</t>
  </si>
  <si>
    <t xml:space="preserve">Eppendorf</t>
  </si>
  <si>
    <t xml:space="preserve">https://www.dutscher.com/search?initialFilters=brand:Eppendorf</t>
  </si>
  <si>
    <t xml:space="preserve">https://www.thomassci.com/browse-by/suppliers/eppendorf</t>
  </si>
  <si>
    <t xml:space="preserve">https://www.eppendorf.com</t>
  </si>
  <si>
    <t xml:space="preserve">Hamburg</t>
  </si>
  <si>
    <t xml:space="preserve">EUR 924 million</t>
  </si>
  <si>
    <t xml:space="preserve">Eppendorf Research plus</t>
  </si>
  <si>
    <t xml:space="preserve">Centrifuge 5430 / 5910 Ri</t>
  </si>
  <si>
    <t xml:space="preserve">epMotion</t>
  </si>
  <si>
    <t xml:space="preserve">Lumitron Ltd. (Comtel Technologies &amp; Engineering group)</t>
  </si>
  <si>
    <t xml:space="preserve">Lumitron Ltd. (Comtel Technologies &amp; Engineering group): +972 52-525-6287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</si>
  <si>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Lumitron's live site carries a broad Eppendorf range (centrifuges, pipettes, BioFlo/BioBLU bioreactors, CellXpert incubator shakers, Eporator, micromanipulators) with hosted Eppendorf brochures, which replaces the earlier LinkedIn-only evidence. Eppendorf's own site lists Israel in its country selector and says the Dubai regional company (Eppendorf Middle East and Africa FZ-LLC) works through local partners, but its distributor overview's Israel entry was not visible in snippets, so manufacturer-side naming is still missing. Evidence is indirect: a Hebrew LinkedIn post (Nili Krool, Israel) announcing the Israeli launch (6 March) of the Eppendorf SpinPro 6 R centrifuge directs enquiries to Lumitron (</t>
    </r>
    <r>
      <rPr>
        <sz val="11"/>
        <color theme="1"/>
        <rFont val="FreeSans"/>
        <family val="2"/>
      </rPr>
      <t xml:space="preserve">לומיטרון</t>
    </r>
    <r>
      <rPr>
        <sz val="11"/>
        <color theme="1"/>
        <rFont val="Calibri"/>
        <family val="2"/>
        <charset val="1"/>
      </rPr>
      <t xml:space="preserve">), described as part of the Comtel Technologies &amp; Engineering group (</t>
    </r>
    <r>
      <rPr>
        <sz val="11"/>
        <color theme="1"/>
        <rFont val="FreeSans"/>
        <family val="2"/>
      </rPr>
      <t xml:space="preserve">קומטל</t>
    </r>
    <r>
      <rPr>
        <sz val="11"/>
        <color theme="1"/>
        <rFont val="Calibri"/>
        <family val="2"/>
        <charset val="1"/>
      </rPr>
      <t xml:space="preserve">) and an importer of laboratory equipment and consumables - implying Lumitron markets Eppendorf in Israel, although the post does not state the distributorship explicitly. Eppendorf's corporate site says it has subsidiaries in 33 countries and is represented elsewhere by distribution partners; no 'Eppendorf Israel' subsidiary surfaced. Searched 'Eppendorf Israel distributor' and '</t>
    </r>
    <r>
      <rPr>
        <sz val="11"/>
        <color theme="1"/>
        <rFont val="FreeSans"/>
        <family val="2"/>
      </rPr>
      <t xml:space="preserve">אפנדורף </t>
    </r>
    <r>
      <rPr>
        <sz val="11"/>
        <color theme="1"/>
        <rFont val="Calibri"/>
        <family val="2"/>
        <charset val="1"/>
      </rPr>
      <t xml:space="preserve">Eppendorf </t>
    </r>
    <r>
      <rPr>
        <sz val="11"/>
        <color theme="1"/>
        <rFont val="FreeSans"/>
        <family val="2"/>
      </rPr>
      <t xml:space="preserve">נציג בישראל</t>
    </r>
    <r>
      <rPr>
        <sz val="11"/>
        <color theme="1"/>
        <rFont val="Calibri"/>
        <family val="2"/>
        <charset val="1"/>
      </rPr>
      <t xml:space="preserve">'. The eppendorf.com distributor/contact page and Lumitron's own site could not be opened (fetch failure; search budget exhausted), so this needs confirmation.</t>
    </r>
  </si>
  <si>
    <t xml:space="preserve">+49 40 53801-0</t>
  </si>
  <si>
    <t xml:space="preserve">eppendorf@eppendorf.de</t>
  </si>
  <si>
    <t xml:space="preserve">Barkhausenweg 1, 22339 Hamburg, Germany</t>
  </si>
  <si>
    <t xml:space="preserve">https://www.eppendorf.com/us-en/company-careers/news-media/press-contact/</t>
  </si>
  <si>
    <t xml:space="preserve">https://www.eppendorf.com/be-en/company-careers/legal/imprint/</t>
  </si>
  <si>
    <t xml:space="preserve">https://www.dutscher.com/search?initialFilters=brand:Eppendorf | https://www.thomassci.com/browse-by/suppliers/eppendorf | https://annual-report.eppendorf.com/EN/Eppendorf_GB2025_e_editorial.pdf | https://annual-report.eppendorf.com/EN/Eppendorf_GB2025_e_vorwort.pdf | https://en.wikipedia.org/wiki/Eppendorf_(company) | https://corporate.eppendorf.com | https://il.linkedin.com/in/nili-krool | https://www.lumitron.co.il/products/bioflo120-bioreactor-fermenter-2/?lang=en | https://www.lumitron.co.il/products/cellxpert-cs220-co2-incubator-shaker/?lang=en | https://www.lumitron.co.il/wp-content/uploads/2021/02/5910-Ri_Accelerate-Your-Research.pdf | https://www.eppendorf.com/ae-en/ | https://www.eppendorf.com/us-en/service-support/ordering/ | https://www.eppendorf.com/us-en/company-careers/news-media/press-contact/</t>
  </si>
  <si>
    <t xml:space="preserve">Epredia</t>
  </si>
  <si>
    <t xml:space="preserve">https://www.dutscher.com/search?initialFilters=brand:Epredia</t>
  </si>
  <si>
    <t xml:space="preserve">https://www.thomassci.com/browse-by/suppliers/erie-scientific</t>
  </si>
  <si>
    <t xml:space="preserve">https://epredia.com</t>
  </si>
  <si>
    <t xml:space="preserve">Special slide Superfrost Plus Gold for in-situ hybridisation</t>
  </si>
  <si>
    <t xml:space="preserve">Super-Frost slides 76 x 26 mm standard version Yellow</t>
  </si>
  <si>
    <t xml:space="preserve">Star-Frost slides 76 x 26 mm standard version Green</t>
  </si>
  <si>
    <t xml:space="preserve">Eldan Electronic Instruments</t>
  </si>
  <si>
    <t xml:space="preserve">Eldan Electronic Instruments: +972-3-937-1111 info@eldan.biz</t>
  </si>
  <si>
    <t xml:space="preserve">Only Epredia distribution deals for US/UK/Germany/Japan (Lunaphore LabSat, Paige, Aiforia, Medline); nothing for Israel.</t>
  </si>
  <si>
    <t xml:space="preserve">https://www.dutscher.com/search?initialFilters=brand:Epredia | https://www.thomassci.com/browse-by/suppliers/erie-scientific | https://www.eldan.biz/</t>
  </si>
  <si>
    <t xml:space="preserve">Equipment Presses</t>
  </si>
  <si>
    <t xml:space="preserve">https://www.thomassci.com/browse-by/suppliers/equipment-presses</t>
  </si>
  <si>
    <t xml:space="preserve">Eraser Company</t>
  </si>
  <si>
    <t xml:space="preserve">https://www.thomassci.com/browse-by/suppliers/eraser-company</t>
  </si>
  <si>
    <t xml:space="preserve">Erdco Engineering</t>
  </si>
  <si>
    <t xml:space="preserve">https://www.thomassci.com/browse-by/suppliers/erdco-engineering</t>
  </si>
  <si>
    <t xml:space="preserve">Ergodyne</t>
  </si>
  <si>
    <t xml:space="preserve">https://www.thomassci.com/browse-by/suppliers/ergodyne</t>
  </si>
  <si>
    <t xml:space="preserve">https://ergodyne.com</t>
  </si>
  <si>
    <t xml:space="preserve">800-225-8238</t>
  </si>
  <si>
    <t xml:space="preserve">support@ergodyne.com</t>
  </si>
  <si>
    <t xml:space="preserve">https://www.ergodyne.com/contact-us</t>
  </si>
  <si>
    <t xml:space="preserve">https://www.thomassci.com/browse-by/suppliers/ergodyne | https://www.ergodyne.com/contact-us</t>
  </si>
  <si>
    <t xml:space="preserve">Erlab</t>
  </si>
  <si>
    <t xml:space="preserve">https://www.dutscher.com/search?initialFilters=brand:Erlab</t>
  </si>
  <si>
    <t xml:space="preserve">https://www.thomassci.com/browse-by/suppliers/erlab</t>
  </si>
  <si>
    <t xml:space="preserve">https://erlab.com</t>
  </si>
  <si>
    <t xml:space="preserve">Replacement Filters for Erlab ChemTrap V201</t>
  </si>
  <si>
    <t xml:space="preserve">HALO 32 1P Commercial Grade Air Purification Stations, 80-240V/ 50-60 Hz</t>
  </si>
  <si>
    <t xml:space="preserve">Captair 321 - New Bundled Solutions</t>
  </si>
  <si>
    <t xml:space="preserve">Erlab reports a dealer network in 40+ countries, none named for Israel; the Nanomix 'eLab'/Biotron Ltd (2022) hit is an unrelated company; Eldan/Rhenium appeared with no link.</t>
  </si>
  <si>
    <t xml:space="preserve">(800) 964-4434</t>
  </si>
  <si>
    <t xml:space="preserve">https://www.erlab.com/en/company/contact-quote-request/</t>
  </si>
  <si>
    <t xml:space="preserve">https://www.dutscher.com/search?initialFilters=brand:Erlab | https://www.thomassci.com/browse-by/suppliers/erlab | https://www.erlab.com/en/company/contact-quote-request/</t>
  </si>
  <si>
    <t xml:space="preserve">Esco</t>
  </si>
  <si>
    <t xml:space="preserve">https://www.dutscher.com/search?initialFilters=brand:Esco</t>
  </si>
  <si>
    <t xml:space="preserve">https://www.escolifesciences.com</t>
  </si>
  <si>
    <t xml:space="preserve">סינגפור</t>
  </si>
  <si>
    <t xml:space="preserve">Singapore (Changi South)</t>
  </si>
  <si>
    <t xml:space="preserve">Biosafety cabinets &amp; clean-air equipment</t>
  </si>
  <si>
    <t xml:space="preserve">USD ~115 million (aggregator estimate; RocketReach gives USD 18.5M)</t>
  </si>
  <si>
    <t xml:space="preserve">Airstream Class II (Gen 3)</t>
  </si>
  <si>
    <t xml:space="preserve">CelCulture</t>
  </si>
  <si>
    <t xml:space="preserve">Isoclean / Streamline isolators</t>
  </si>
  <si>
    <t xml:space="preserve">Danyel Biotech</t>
  </si>
  <si>
    <t xml:space="preserve">Danyel Biotech: 1-800-711-911 (also +972 8-936-6066)</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</si>
  <si>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Danyel Biotech's live Esco page still describes the full Esco controlled-environment range (Airstream and Labculture biosafety cabinets, fume hoods, incubators, CO2 incubators, ULT freezers), so Danyel remains the current Israeli channel on the distributor's side. Esco's own site (contact page, conditions of supply) describes region-restricted distributors and a Dubai trading office but did not show an Israel entry in snippets. No other Israeli Esco channel surfaced. A search for 'Esco biosafety cabinet' restricted to Israeli distributor domains returned Danyel Biotech's dedicated Esco page (danyel.co.il/esco), which describes Esco's Life Sciences division range (biological safety cabinets, fume hoods, incubators, ULT freezers) with model families such as Airstream and Labculture; the same page surfaced again in two later .co.il-wide searches. Danyel Biotech is therefore recorded as the Israeli distributor. Esco's own distributor locator (escolifesciences.com) was not searched within the budget, so Esco's Medical/pharma-isolator lines may have a different Israeli channel.</t>
    </r>
  </si>
  <si>
    <t xml:space="preserve">+65 6542 0833</t>
  </si>
  <si>
    <t xml:space="preserve">mail@escolifesciences.com</t>
  </si>
  <si>
    <t xml:space="preserve">19 Changi South Street 1, Singapore 486777</t>
  </si>
  <si>
    <t xml:space="preserve">https://www.escolifesciences.com/contact-us</t>
  </si>
  <si>
    <t xml:space="preserve">https://careers.escolifesciences.com/about-us</t>
  </si>
  <si>
    <t xml:space="preserve">https://www.dutscher.com/search?initialFilters=brand:Esco | https://escolifesciences.com/about-us/overview | https://www.escolifesciences.com/about-us/our-story | https://my.jobstreet.com/companies/esco-lifesciences-group-168554036945479 | https://a-leads.co/company/6196714_bbf95de2 | https://builtin.com/company/esco | https://rocketreach.co/esco-profile_b5c791adf42e0d75 | https://www.reveliolabs.com/companies/esco-micro/employees/ | https://www.escolifesciences.com/pdf/9010395_Esco_BSC_LFC_Service_Tri-fold brochure_A4_vB_LR.pdf | https://www.danyel.co.il/esco/ | https://www.escolifesciences.com/contact-us | https://www.escolifesciences.com/conditions-of-supply</t>
  </si>
  <si>
    <t xml:space="preserve">Essendant</t>
  </si>
  <si>
    <t xml:space="preserve">https://www.thomassci.com/browse-by/suppliers/essendant</t>
  </si>
  <si>
    <t xml:space="preserve">https://essendant.com</t>
  </si>
  <si>
    <t xml:space="preserve">Bag, Trash, Heavy Perforated Roll Can Liners, 56 Gallon, 43 x 47, .60m, Black, 100 per case</t>
  </si>
  <si>
    <t xml:space="preserve">Clorox Germicidal Bleach, 121 oz,</t>
  </si>
  <si>
    <t xml:space="preserve">HDPE Can Liner - 30gal- 145mil | Natural</t>
  </si>
  <si>
    <t xml:space="preserve">https://www.quartzy.com/suppliers | https://www.thomassci.com/browse-by/suppliers/essendant</t>
  </si>
  <si>
    <t xml:space="preserve">Ethos Biosciences</t>
  </si>
  <si>
    <t xml:space="preserve">https://www.thomassci.com/browse-by/suppliers/ethos-biosciences</t>
  </si>
  <si>
    <t xml:space="preserve">https://ethosbiosciences.com</t>
  </si>
  <si>
    <t xml:space="preserve">Papanicolaou Stain EA-36</t>
  </si>
  <si>
    <t xml:space="preserve">Ferric Subsulfate (Monsel’s Solution)</t>
  </si>
  <si>
    <t xml:space="preserve">Saccomanno Solution, 1 Liter</t>
  </si>
  <si>
    <t xml:space="preserve">Ethos Biosciences (Logan Township, NJ; Ott Group) distributes via sister companies; Israeli hits (Enco, Eldan, Tivan/OZ Biosciences release) do not mention Ethos.</t>
  </si>
  <si>
    <t xml:space="preserve">(856) 224-0900</t>
  </si>
  <si>
    <t xml:space="preserve">https://www.ethosbiosciences.com/contact</t>
  </si>
  <si>
    <t xml:space="preserve">https://www.quartzy.com/suppliers | https://www.thomassci.com/browse-by/suppliers/ethos-biosciences | https://www.ethosbiosciences.com/contact</t>
  </si>
  <si>
    <t xml:space="preserve">Eurofins DiscoverX</t>
  </si>
  <si>
    <t xml:space="preserve">Eurogentec</t>
  </si>
  <si>
    <t xml:space="preserve">https://eurogentec.com</t>
  </si>
  <si>
    <t xml:space="preserve">003243727400</t>
  </si>
  <si>
    <t xml:space="preserve">info@eurogentec.com</t>
  </si>
  <si>
    <t xml:space="preserve">https://www.eurogentec.com/en/gmp-manufacturing-contact-form</t>
  </si>
  <si>
    <t xml:space="preserve">https://www.quartzy.com/suppliers | https://www.eurogentec.com/en/gmp-manufacturing-contact-form</t>
  </si>
  <si>
    <t xml:space="preserve">EurX</t>
  </si>
  <si>
    <t xml:space="preserve">https://www.dutscher.com/search?initialFilters=brand:EurX</t>
  </si>
  <si>
    <t xml:space="preserve">https://eurx.com.pl</t>
  </si>
  <si>
    <t xml:space="preserve">DNase I (RNase-free), 1000 U</t>
  </si>
  <si>
    <t xml:space="preserve">Blue loading buffer for agarose or polyacrylamide gel 1 ml</t>
  </si>
  <si>
    <t xml:space="preserve">RNase A (DNase-free), 10 mg (1 ml)</t>
  </si>
  <si>
    <t xml:space="preserve">sales@eurx.com.pl</t>
  </si>
  <si>
    <t xml:space="preserve">https://eurx.com.pl/contact/</t>
  </si>
  <si>
    <t xml:space="preserve">https://www.dutscher.com/search?initialFilters=brand:EurX | https://eurx.com.pl/contact/</t>
  </si>
  <si>
    <t xml:space="preserve">Evoqua Water Technologies</t>
  </si>
  <si>
    <t xml:space="preserve">https://www.thomassci.com/browse-by/suppliers/evoqua-water-technologies</t>
  </si>
  <si>
    <t xml:space="preserve">https://evoqua.com</t>
  </si>
  <si>
    <t xml:space="preserve">Evoqua Universal II Ion-X-Changer™ Cartridge Filter 3C0600003 (6 PK)</t>
  </si>
  <si>
    <t xml:space="preserve">IWT Ion Exchanger Universal II</t>
  </si>
  <si>
    <t xml:space="preserve">Milli Q Purification Pack RO Feed</t>
  </si>
  <si>
    <t xml:space="preserve">800-466-7873</t>
  </si>
  <si>
    <t xml:space="preserve">customerservice@evoqua.com</t>
  </si>
  <si>
    <t xml:space="preserve">https://www.xylem.com/en-us/contact-us/</t>
  </si>
  <si>
    <t xml:space="preserve">https://www.thomassci.com/browse-by/suppliers/evoqua-water-technologies | https://www.xylem.com/en-us/contact-us/</t>
  </si>
  <si>
    <t xml:space="preserve">Exaxol</t>
  </si>
  <si>
    <t xml:space="preserve">https://www.thomassci.com/browse-by/suppliers/exaxol</t>
  </si>
  <si>
    <t xml:space="preserve">https://exaxol.com</t>
  </si>
  <si>
    <t xml:space="preserve">Hydrochloric Acid 1.00N</t>
  </si>
  <si>
    <t xml:space="preserve">Buffer Standard, pH 7.00</t>
  </si>
  <si>
    <t xml:space="preserve">Buffer Standard, pH 10.00</t>
  </si>
  <si>
    <t xml:space="preserve">727-524-7732</t>
  </si>
  <si>
    <t xml:space="preserve">info@exaxol.com</t>
  </si>
  <si>
    <t xml:space="preserve">https://exaxol.com/pages/contact-us</t>
  </si>
  <si>
    <t xml:space="preserve">https://www.thomassci.com/browse-by/suppliers/exaxol | https://exaxol.com/pages/contact-us</t>
  </si>
  <si>
    <t xml:space="preserve">Excel Scientific</t>
  </si>
  <si>
    <t xml:space="preserve">https://www.thomassci.com/browse-by/suppliers/excel-scientific</t>
  </si>
  <si>
    <t xml:space="preserve">https://excelscientific.com</t>
  </si>
  <si>
    <t xml:space="preserve">SealPlate® Films for ELISA, Incubation and Storage</t>
  </si>
  <si>
    <t xml:space="preserve">Sealplate® Colortab™ Sealing Films</t>
  </si>
  <si>
    <t xml:space="preserve">AlumaSeal® II™ Sealing Films for PCR and Cold Storage</t>
  </si>
  <si>
    <t xml:space="preserve">Only company profiles (Victorville, CA) and a New Zealand distributor (Mediray); no Israeli entity connected.</t>
  </si>
  <si>
    <t xml:space="preserve">(760) 246-4545</t>
  </si>
  <si>
    <t xml:space="preserve">info@excelscientific.com</t>
  </si>
  <si>
    <t xml:space="preserve">https://excelscientific.com/contact/</t>
  </si>
  <si>
    <t xml:space="preserve">https://www.quartzy.com/suppliers | https://www.thomassci.com/browse-by/suppliers/excel-scientific | https://www.danyel.co.il/ | https://excelscientific.com/contact/</t>
  </si>
  <si>
    <t xml:space="preserve">Excelta</t>
  </si>
  <si>
    <t xml:space="preserve">https://www.thomassci.com/browse-by/suppliers/excelta</t>
  </si>
  <si>
    <t xml:space="preserve">Pointed Tip ESD Safe Tweezers</t>
  </si>
  <si>
    <t xml:space="preserve">Three Star Angled Flat Sharp Point Anti-magnetic Tweezer, Excelta # 6-SA</t>
  </si>
  <si>
    <t xml:space="preserve">Straight Tapered Ultra-Fine Point Anti-magnetic Tweezer, 4 1/4" Long</t>
  </si>
  <si>
    <t xml:space="preserve">EXEL International</t>
  </si>
  <si>
    <t xml:space="preserve">https://www.thomassci.com/browse-by/suppliers/exel-international</t>
  </si>
  <si>
    <t xml:space="preserve">https://exelinternational.com</t>
  </si>
  <si>
    <t xml:space="preserve">Disposable Syringes</t>
  </si>
  <si>
    <t xml:space="preserve">Syringe &amp; Needle</t>
  </si>
  <si>
    <t xml:space="preserve">5-6cc Syringes</t>
  </si>
  <si>
    <t xml:space="preserve">1 514 222-3687</t>
  </si>
  <si>
    <t xml:space="preserve">https://exelinternational.com/contact-us/</t>
  </si>
  <si>
    <t xml:space="preserve">https://www.thomassci.com/browse-by/suppliers/exel-international | https://exelinternational.com/contact-us/</t>
  </si>
  <si>
    <t xml:space="preserve">Exeter Analytical</t>
  </si>
  <si>
    <t xml:space="preserve">https://www.thomassci.com/browse-by/suppliers/exeter-analytical</t>
  </si>
  <si>
    <t xml:space="preserve">https://exeteranalytical.co.uk</t>
  </si>
  <si>
    <t xml:space="preserve">024 7632 3223</t>
  </si>
  <si>
    <t xml:space="preserve">info@exeteranalytical.co.uk</t>
  </si>
  <si>
    <t xml:space="preserve">https://www.exeteranalytical.co.uk/contact-us</t>
  </si>
  <si>
    <t xml:space="preserve">https://www.thomassci.com/browse-by/suppliers/exeter-analytical | https://www.exeteranalytical.co.uk/contact-us</t>
  </si>
  <si>
    <t xml:space="preserve">Exodus Bio</t>
  </si>
  <si>
    <t xml:space="preserve">EXODUS Bio has established itself as a leader in developing upstream core exosome tools through its innovative membrane vibration separation technology. The company’s independently developed EXODUS system, recognized as the world’s first fully automated exosome separation and purification device, employs negative-pressure oscillation and ultrasonic oscillation technologies to create an advanced membrane vibration separation system. EXODUS Bio is committed to becoming a globally recognized leader in life science and technology, ushering exosome technology into a new era.</t>
  </si>
  <si>
    <t xml:space="preserve">Distributors named only for Australia/NZ (ATA Scientific) and UK/Ireland (Analytik); Israeli distributors Enco/Eldan appeared with no link to EXODUS Bio.</t>
  </si>
  <si>
    <t xml:space="preserve">Expression Systems</t>
  </si>
  <si>
    <t xml:space="preserve">https://expressionsystems.com</t>
  </si>
  <si>
    <t xml:space="preserve">+5307472034</t>
  </si>
  <si>
    <t xml:space="preserve">orders@expressionsystems.com</t>
  </si>
  <si>
    <t xml:space="preserve">https://expressionsystems.com/contact/</t>
  </si>
  <si>
    <t xml:space="preserve">https://www.quartzy.com/suppliers | https://expressionsystems.com/contact/</t>
  </si>
  <si>
    <t xml:space="preserve">Extech</t>
  </si>
  <si>
    <t xml:space="preserve">https://www.thomassci.com/browse-by/suppliers/extech</t>
  </si>
  <si>
    <t xml:space="preserve">https://www.extech.com</t>
  </si>
  <si>
    <t xml:space="preserve">Meters/Dataloggers</t>
  </si>
  <si>
    <t xml:space="preserve">Salinity/Temperature Meter</t>
  </si>
  <si>
    <t xml:space="preserve">Video Particle Counter with Built-in Camera</t>
  </si>
  <si>
    <t xml:space="preserve">Eyesaline® by PIP Global Safety</t>
  </si>
  <si>
    <t xml:space="preserve">https://www.thomassci.com/browse-by/suppliers/eyesaline-by-pip-global-safety</t>
  </si>
  <si>
    <t xml:space="preserve">EZ Biosystems</t>
  </si>
  <si>
    <t xml:space="preserve">For the past decade, EZ Biosystems™ has dedicated itself exclusively to pioneering research, development, and manufacturing of next-generation transfection reagents. Leveraging our expertise in combinatorial chemistry, molecular biology, and cell biology, we have honed our focus on advancing transfection technology. Guided by our vision and fueled by our passion, we take pride in our position as leaders at the forefront of next-generation transfection reagent development and production.</t>
  </si>
  <si>
    <t xml:space="preserve">No result mentions EZ Biosystems; hits concern other companies' Israeli distributors (Eldan for Element Biosciences, Tivan Biotech for OZ Biosciences, Eisenberg Bros for Fluidigm, Rhenium for Life Technologies).</t>
  </si>
  <si>
    <t xml:space="preserve">https://www.quartzy.com/suppliers | https://info.quartzy.com/new-suppliers | https://tivanbiotech.com/manufacturers</t>
  </si>
  <si>
    <t xml:space="preserve">EZ Rack®</t>
  </si>
  <si>
    <t xml:space="preserve">https://www.thomassci.com/browse-by/suppliers/ez-rack</t>
  </si>
  <si>
    <t xml:space="preserve">https://ezracksgeorgia.com</t>
  </si>
  <si>
    <t xml:space="preserve">EZBiolab</t>
  </si>
  <si>
    <t xml:space="preserve">https://www.thomassci.com/browse-by/suppliers/ezbiolab</t>
  </si>
  <si>
    <t xml:space="preserve">EZ-Viewer LED Transilluminator</t>
  </si>
  <si>
    <t xml:space="preserve">flg22 (Flagelin 22)</t>
  </si>
  <si>
    <t xml:space="preserve">Precast EZgel</t>
  </si>
  <si>
    <t xml:space="preserve">https://www.dutscher.com/search?initialFilters=brand:Falcon</t>
  </si>
  <si>
    <t xml:space="preserve">https://www.thomassci.com/browse-by/suppliers/falcon</t>
  </si>
  <si>
    <t xml:space="preserve">https://www.corning.com/worldwide/en/products/life-sciences/brands/falcon.html</t>
  </si>
  <si>
    <t xml:space="preserve">Dust-Off ECO Duster</t>
  </si>
  <si>
    <t xml:space="preserve">Dust-Off</t>
  </si>
  <si>
    <t xml:space="preserve">Falcon® Cell culture 6 TC-well plate, flat bottom + lid</t>
  </si>
  <si>
    <t xml:space="preserve">Searched as Corning's Falcon labware brand: Corning APAC/NA distributor pages and Falcon product sheets surfaced; no Israel distributor listed in results.</t>
  </si>
  <si>
    <t xml:space="preserve">https://www.dutscher.com/search?initialFilters=brand:Falcon | https://www.thomassci.com/browse-by/suppliers/falcon | https://www.lapidot.com/business-partners/</t>
  </si>
  <si>
    <t xml:space="preserve">Fashion Seal Healthcare</t>
  </si>
  <si>
    <t xml:space="preserve">https://www.thomassci.com/browse-by/suppliers/fashion-seal-healthcare</t>
  </si>
  <si>
    <t xml:space="preserve">https://fashionsealhealthcare.com</t>
  </si>
  <si>
    <t xml:space="preserve">Blue Unisex Lab Coats</t>
  </si>
  <si>
    <t xml:space="preserve">Unisex Long Sleeve Scrub Shirts</t>
  </si>
  <si>
    <t xml:space="preserve">Unisex Lab Coats</t>
  </si>
  <si>
    <t xml:space="preserve">888-491-5818</t>
  </si>
  <si>
    <t xml:space="preserve">https://fashionsealhealthcare.com/contact-us/</t>
  </si>
  <si>
    <t xml:space="preserve">https://www.thomassci.com/browse-by/suppliers/fashion-seal-healthcare | https://fashionsealhealthcare.com/contact-us/</t>
  </si>
  <si>
    <t xml:space="preserve">FD Neurotechnologies</t>
  </si>
  <si>
    <t xml:space="preserve">https://www.thomassci.com/browse-by/suppliers/fd-neurotechnologies</t>
  </si>
  <si>
    <t xml:space="preserve">https://fdneurotech.com</t>
  </si>
  <si>
    <t xml:space="preserve">FD NeuroSilver™ Kit II</t>
  </si>
  <si>
    <t xml:space="preserve">EmbryoFix™</t>
  </si>
  <si>
    <t xml:space="preserve">FD Tissue Cryoprotection Solution™</t>
  </si>
  <si>
    <t xml:space="preserve">Only a Cedarlane supplier page; the 'Neurotechnology' distributor page listing Israel is a different company; Eldan/AMI Technologies appeared with no link.</t>
  </si>
  <si>
    <t xml:space="preserve">+1 (301)-490-8878</t>
  </si>
  <si>
    <t xml:space="preserve">info@fdneurotech.com</t>
  </si>
  <si>
    <t xml:space="preserve">https://www.fdneurotech.com/contact-us</t>
  </si>
  <si>
    <t xml:space="preserve">https://www.quartzy.com/suppliers | https://www.thomassci.com/browse-by/suppliers/fd-neurotechnologies | https://www.fdneurotech.com/contact-us</t>
  </si>
  <si>
    <t xml:space="preserve">Fendall® by PIP Global Safety</t>
  </si>
  <si>
    <t xml:space="preserve">https://www.thomassci.com/browse-by/suppliers/fendall-by-pip-global-safety</t>
  </si>
  <si>
    <t xml:space="preserve">Flash Flood Eyewash Station</t>
  </si>
  <si>
    <t xml:space="preserve">Pure Flow 1000 Eyewash Station</t>
  </si>
  <si>
    <t xml:space="preserve">Eyesaline Wall Stations</t>
  </si>
  <si>
    <t xml:space="preserve">FG Clean Wipes</t>
  </si>
  <si>
    <t xml:space="preserve">https://www.thomassci.com/browse-by/suppliers/fg-clean-wipes</t>
  </si>
  <si>
    <t xml:space="preserve">https://fgcleanwipes.com</t>
  </si>
  <si>
    <t xml:space="preserve">36" Wide Wiper Roll Polyester Cellulose C30</t>
  </si>
  <si>
    <t xml:space="preserve">9" x 11" - 70% Presat IPA Alcohol - Polypropylene Wipes in Pouches</t>
  </si>
  <si>
    <t xml:space="preserve">Bemcot™ M3 Wipers, 4.5 x 4.5 inch</t>
  </si>
  <si>
    <t xml:space="preserve">+1 (413) 598-8344</t>
  </si>
  <si>
    <t xml:space="preserve">https://www.fgcleanwipes.com/contact-us/</t>
  </si>
  <si>
    <t xml:space="preserve">https://www.thomassci.com/browse-by/suppliers/fg-clean-wipes | https://www.fgcleanwipes.com/contact-us/</t>
  </si>
  <si>
    <t xml:space="preserve">Filtrous Corp.</t>
  </si>
  <si>
    <t xml:space="preserve">https://www.thomassci.com/browse-by/suppliers/filtrous-corp-</t>
  </si>
  <si>
    <t xml:space="preserve">Our mission is to make science accessible to everyone by removing unnecessary complexity from scientific work. We create streamlined products, intuitive software, and clear resources that let researchers focus on discovery, not on figuring out how to use their tools.</t>
  </si>
  <si>
    <t xml:space="preserve">No results about the company at all; only unrelated Israeli filtration/water pages.</t>
  </si>
  <si>
    <t xml:space="preserve">https://www.quartzy.com/suppliers | https://info.quartzy.com/new-suppliers | https://www.thomassci.com/browse-by/suppliers/filtrous-corp-</t>
  </si>
  <si>
    <t xml:space="preserve">Fine Science Tools</t>
  </si>
  <si>
    <t xml:space="preserve">https://finescience.com</t>
  </si>
  <si>
    <t xml:space="preserve">NBT</t>
  </si>
  <si>
    <t xml:space="preserve">NBT:</t>
  </si>
  <si>
    <t xml:space="preserve">+1800-521-2109</t>
  </si>
  <si>
    <t xml:space="preserve">https://finescience.com/</t>
  </si>
  <si>
    <t xml:space="preserve">https://www.quartzy.com/suppliers | https://nbtltd.com/products-page | https://finescience.com/</t>
  </si>
  <si>
    <t xml:space="preserve">Finnpipette</t>
  </si>
  <si>
    <t xml:space="preserve">https://www.thomassci.com/browse-by/suppliers/finnpipette</t>
  </si>
  <si>
    <t xml:space="preserve">Finntip Flex Filter Tips</t>
  </si>
  <si>
    <t xml:space="preserve">Finnpipette F2 Variable Volume Multi-Channel Pipette</t>
  </si>
  <si>
    <t xml:space="preserve">Finnpipette Multistepper Pipettors</t>
  </si>
  <si>
    <t xml:space="preserve">Fischer &amp; Porter/Capital Controls</t>
  </si>
  <si>
    <t xml:space="preserve">https://www.thomassci.com/browse-by/suppliers/fischer-and-porter/capital-controls</t>
  </si>
  <si>
    <t xml:space="preserve">Fischer Technical</t>
  </si>
  <si>
    <t xml:space="preserve">https://www.thomassci.com/browse-by/suppliers/fischer-technical</t>
  </si>
  <si>
    <t xml:space="preserve">https://fischertech.com</t>
  </si>
  <si>
    <t xml:space="preserve">Fischer Technical Company has over twenty years experience as manufacturer's representatives specializing in the educational and industrial lab supply market. We also import products from Europe to be sold wholesale to dealers all over North America. Fischer Technical Company also offers an extensive line of high vacuum pumps to be sold wholesale as well.</t>
  </si>
  <si>
    <t xml:space="preserve">Flip Style Pipette Fillers</t>
  </si>
  <si>
    <t xml:space="preserve">High Vacuum Pump Shutoff and Vacuum Release Ball Valve</t>
  </si>
  <si>
    <t xml:space="preserve">Parts &amp; Accessories for Vacuum Pumps</t>
  </si>
  <si>
    <t xml:space="preserve">Only a Fisher Scientific brand page describing Fischer Technical Company as a US manufacturer's representative for the educational/industrial lab market; other hits concern the unrelated Fischer Technology (coating measurement) and generic Israeli distributors (Eisenberg Bros, Ornat) with no link.</t>
  </si>
  <si>
    <t xml:space="preserve">6309809780</t>
  </si>
  <si>
    <t xml:space="preserve">https://fischertech.com/contact-us</t>
  </si>
  <si>
    <t xml:space="preserve">https://www.quartzy.com/suppliers | https://info.quartzy.com/new-suppliers | https://www.thomassci.com/browse-by/suppliers/fischer-technical | https://fischertech.com/contact-us</t>
  </si>
  <si>
    <t xml:space="preserve">FLIR</t>
  </si>
  <si>
    <t xml:space="preserve">https://www.thomassci.com/browse-by/suppliers/flir</t>
  </si>
  <si>
    <t xml:space="preserve">Breach PTQ136 Multi-Purpose Thermal Imaging Monocular</t>
  </si>
  <si>
    <t xml:space="preserve">TG297 Thermal Camera</t>
  </si>
  <si>
    <t xml:space="preserve">General Purpose Videoscope Kit &amp; Accessories</t>
  </si>
  <si>
    <t xml:space="preserve">Florida Biotech</t>
  </si>
  <si>
    <t xml:space="preserve">https://www.thomassci.com/browse-by/suppliers/florida-biotech</t>
  </si>
  <si>
    <t xml:space="preserve">Fluotics</t>
  </si>
  <si>
    <t xml:space="preserve">https://fluotics.com</t>
  </si>
  <si>
    <t xml:space="preserve">info@fluotics.com</t>
  </si>
  <si>
    <t xml:space="preserve">https://www.fluotics.com/contact/</t>
  </si>
  <si>
    <t xml:space="preserve">https://www.quartzy.com/suppliers | https://www.fluotics.com/contact/</t>
  </si>
  <si>
    <t xml:space="preserve">Foamtec International</t>
  </si>
  <si>
    <t xml:space="preserve">https://www.thomassci.com/browse-by/suppliers/foamtec-international</t>
  </si>
  <si>
    <t xml:space="preserve">https://foamtecintl.com</t>
  </si>
  <si>
    <t xml:space="preserve">Wipers, Foamtec, MiraWIPE, Cleanroom ISO Level 5, 9x9, Wide Border Sealed Edges, Class 100 Laundered, 50EA/BG, 3BG/PK, 8PK/CS</t>
  </si>
  <si>
    <t xml:space="preserve">UltraMOP ™ SW, Self Wringing Cleanroom Sponge Mop Head, Stainless Steel Bracket, Sterile, 14" x 3.5" x 2.25"</t>
  </si>
  <si>
    <t xml:space="preserve">MiraWIPE Microdenier Wiper, 9x9</t>
  </si>
  <si>
    <t xml:space="preserve">https://foamtecintl.com/contact/</t>
  </si>
  <si>
    <t xml:space="preserve">https://www.thomassci.com/browse-by/suppliers/foamtec-international | https://foamtecintl.com/contact/</t>
  </si>
  <si>
    <t xml:space="preserve">Follett Scientific</t>
  </si>
  <si>
    <t xml:space="preserve">Foxx</t>
  </si>
  <si>
    <t xml:space="preserve">https://www.dutscher.com/search?initialFilters=brand:Foxx</t>
  </si>
  <si>
    <t xml:space="preserve">Ezwaste Outgoing air filter kit - configuration A - vol. 20 Litres</t>
  </si>
  <si>
    <t xml:space="preserve">5L HDPE rectangular carboy (131 x 220 x 417 mm), amber</t>
  </si>
  <si>
    <t xml:space="preserve">5L PP rectangular carboy (131 x 220 x 417 mm) with spigot, white</t>
  </si>
  <si>
    <t xml:space="preserve">Foxx Life Sciences</t>
  </si>
  <si>
    <t xml:space="preserve">https://www.thomassci.com/browse-by/suppliers/foxx-life-sciences</t>
  </si>
  <si>
    <t xml:space="preserve">https://foxxlifesciences.com</t>
  </si>
  <si>
    <t xml:space="preserve">Imaprene® Pharmaceutical Grade Thermoplastic Elastomer (TPE) tubing</t>
  </si>
  <si>
    <t xml:space="preserve">EZLabpure™ Cellulose Nitrate CN Membrane Disc Filters</t>
  </si>
  <si>
    <t xml:space="preserve">EZFlow® Nylon Membrane Disc Filters</t>
  </si>
  <si>
    <t xml:space="preserve">Foxx results cover its Netherlands EU distribution centre, North American master-distribution deals (Ami Polymer, Abdos, Borosil) and a Thomas Scientific agreement; no Israel mention.</t>
  </si>
  <si>
    <t xml:space="preserve">+1 617 320-1138</t>
  </si>
  <si>
    <t xml:space="preserve">sales@foxxlifesciences.com</t>
  </si>
  <si>
    <t xml:space="preserve">https://www.foxxlifesciences.com/pages/contact-us</t>
  </si>
  <si>
    <t xml:space="preserve">https://www.quartzy.com/suppliers | https://www.thomassci.com/browse-by/suppliers/foxx-life-sciences | https://www.danyel.co.il/ | https://www.foxxlifesciences.com/pages/contact-us</t>
  </si>
  <si>
    <t xml:space="preserve">Franklab</t>
  </si>
  <si>
    <t xml:space="preserve">https://www.dutscher.com/search?initialFilters=brand:Franklab</t>
  </si>
  <si>
    <t xml:space="preserve">https://www.franklab.com</t>
  </si>
  <si>
    <t xml:space="preserve">Aeroseptine 4 - 50 ml Bottle</t>
  </si>
  <si>
    <t xml:space="preserve">TFD peau radioactivity decontaminant Cleaner 460 g</t>
  </si>
  <si>
    <t xml:space="preserve">Alkaline degreasing detergent for scrubbers TFD 7 - 5 L</t>
  </si>
  <si>
    <t xml:space="preserve">03 3503 1711</t>
  </si>
  <si>
    <t xml:space="preserve">info@korea.franklab.com</t>
  </si>
  <si>
    <t xml:space="preserve">https://franklab.com/</t>
  </si>
  <si>
    <t xml:space="preserve">Q126875135</t>
  </si>
  <si>
    <t xml:space="preserve">https://www.dutscher.com/search?initialFilters=brand:Franklab | https://www.wikidata.org/wiki/Q126875135 | https://franklab.com/</t>
  </si>
  <si>
    <t xml:space="preserve">Franklin Electric</t>
  </si>
  <si>
    <t xml:space="preserve">https://www.thomassci.com/browse-by/suppliers/franklin-electric</t>
  </si>
  <si>
    <t xml:space="preserve">http://www.franklin-electric.com/</t>
  </si>
  <si>
    <t xml:space="preserve">Fort Wayne</t>
  </si>
  <si>
    <t xml:space="preserve">1944</t>
  </si>
  <si>
    <t xml:space="preserve">industrial manufacturing</t>
  </si>
  <si>
    <t xml:space="preserve">Manufacturing company</t>
  </si>
  <si>
    <t xml:space="preserve">+1 800-437-6897</t>
  </si>
  <si>
    <t xml:space="preserve">sales@pioneerpump.com</t>
  </si>
  <si>
    <t xml:space="preserve">https://www.franklin-electric.com/contacts/</t>
  </si>
  <si>
    <t xml:space="preserve">Q5491478</t>
  </si>
  <si>
    <t xml:space="preserve">https://www.thomassci.com/browse-by/suppliers/franklin-electric | https://www.wikidata.org/wiki/Q5491478 | https://www.franklin-electric.com/contacts/</t>
  </si>
  <si>
    <t xml:space="preserve">Freudenberg Medical</t>
  </si>
  <si>
    <t xml:space="preserve">https://www.thomassci.com/browse-by/suppliers/freudenberg-medical</t>
  </si>
  <si>
    <t xml:space="preserve">https://freudenbergmedical.com</t>
  </si>
  <si>
    <t xml:space="preserve">Tubing Silicone 0.250 x 0.375 500’ coil</t>
  </si>
  <si>
    <t xml:space="preserve">Silicone Tubing, FHP Helix, Dow Silastic Platinum Cured, Dimensions: (0.375 ID x 0.563 OD x 0.094 Wall), #60-011-29, 50FT/RL</t>
  </si>
  <si>
    <t xml:space="preserve">Tubing, PharmaFocus Premium Peristaltic Pump Tubing, Helixmark, .25" ID, .437" OD, High-Purity Silicone, 25FT/EA</t>
  </si>
  <si>
    <t xml:space="preserve">https://www.freudenbergmedical.com/about/contact-us</t>
  </si>
  <si>
    <t xml:space="preserve">https://www.thomassci.com/browse-by/suppliers/freudenberg-medical | https://www.freudenbergmedical.com/about/contact-us</t>
  </si>
  <si>
    <t xml:space="preserve">Fritsch</t>
  </si>
  <si>
    <t xml:space="preserve">https://www.dutscher.com/search?initialFilters=brand:Fritsch</t>
  </si>
  <si>
    <t xml:space="preserve">https://fritsch-international.com</t>
  </si>
  <si>
    <t xml:space="preserve">Stainless steel sieve ISO 565 R20/3 - ø x H (mm): 203 x 51 - mesh 180 µm</t>
  </si>
  <si>
    <t xml:space="preserve">Stainless steel sieve ISO 3310-1 - ø x H (mm): 200 x 50 - mesh 40 µm</t>
  </si>
  <si>
    <t xml:space="preserve">Stainless steel sieve ISO 3310-1 - ø x H (mm): 200 x 25 - mesh 600 µm</t>
  </si>
  <si>
    <t xml:space="preserve">https://www.fritsch-international.com/contact/my-information-request-list/</t>
  </si>
  <si>
    <t xml:space="preserve">https://www.dutscher.com/search?initialFilters=brand:Fritsch | https://www.fritsch-international.com/contact/my-information-request-list/</t>
  </si>
  <si>
    <t xml:space="preserve">FroggaBio</t>
  </si>
  <si>
    <t xml:space="preserve">https://www.thomassci.com/browse-by/suppliers/froggabio</t>
  </si>
  <si>
    <t xml:space="preserve">https://froggabio.com</t>
  </si>
  <si>
    <t xml:space="preserve">FroggaBio is itself a Canadian distributor (Concord, ON); no Israel channel found. BioLamina's distributor page lists Almog Diagnostic for Israel, which is unrelated to FroggaBio.</t>
  </si>
  <si>
    <t xml:space="preserve">1-877-318-7277</t>
  </si>
  <si>
    <t xml:space="preserve">info@froggabio.com</t>
  </si>
  <si>
    <t xml:space="preserve">https://www.froggabio.com/globalstoreview/contact/</t>
  </si>
  <si>
    <t xml:space="preserve">https://www.quartzy.com/suppliers | https://www.thomassci.com/browse-by/suppliers/froggabio | https://www.lifegene.co.il/ | https://www.froggabio.com/globalstoreview/contact/</t>
  </si>
  <si>
    <t xml:space="preserve">Froilabo</t>
  </si>
  <si>
    <t xml:space="preserve">https://www.dutscher.com/search?initialFilters=brand:Froilabo</t>
  </si>
  <si>
    <t xml:space="preserve">https://froilabo.com</t>
  </si>
  <si>
    <t xml:space="preserve">Aluminium racking system 5 drawers (h = 63 mm), for 50 boxes of 51 x 133 x 133 mm for upright freezers BM340/BM515/BM690/BM100</t>
  </si>
  <si>
    <t xml:space="preserve">FROILABO Evolution BM EVO Vertical freezer -86 °C, 690 L - green gas</t>
  </si>
  <si>
    <t xml:space="preserve">Aluminium racking system 2 drawers (h = 164 mm), for 60 boxes of 51 x 133 x 133 mm for upright freezers BM340 / BM515 / BM690 / BM100</t>
  </si>
  <si>
    <t xml:space="preserve">+33(0)478047575</t>
  </si>
  <si>
    <t xml:space="preserve">https://www.froilabo.com/contact/</t>
  </si>
  <si>
    <t xml:space="preserve">https://www.dutscher.com/search?initialFilters=brand:Froilabo | https://www.froilabo.com/contact/</t>
  </si>
  <si>
    <t xml:space="preserve">Frontier Scientific</t>
  </si>
  <si>
    <t xml:space="preserve">https://www.thomassci.com/browse-by/suppliers/frontier-scientific</t>
  </si>
  <si>
    <t xml:space="preserve">https://frontierscientific.com</t>
  </si>
  <si>
    <t xml:space="preserve">(302) 266-6891</t>
  </si>
  <si>
    <t xml:space="preserve">https://www.frontierscientific.com/contact/</t>
  </si>
  <si>
    <t xml:space="preserve">https://www.thomassci.com/browse-by/suppliers/frontier-scientific | https://www.frontierscientific.com/contact/</t>
  </si>
  <si>
    <t xml:space="preserve">Fruth Custom Plastics</t>
  </si>
  <si>
    <t xml:space="preserve">https://www.thomassci.com/browse-by/suppliers/fruth-plastics</t>
  </si>
  <si>
    <t xml:space="preserve">Antistatic Ziptop Bags</t>
  </si>
  <si>
    <t xml:space="preserve">Anti Static Sheet</t>
  </si>
  <si>
    <t xml:space="preserve">Antistatic Bag</t>
  </si>
  <si>
    <t xml:space="preserve">FTR Enterprises</t>
  </si>
  <si>
    <t xml:space="preserve">https://www.thomassci.com/browse-by/suppliers/ftr-enterprises</t>
  </si>
  <si>
    <t xml:space="preserve">Push-Up Box Dispensers</t>
  </si>
  <si>
    <t xml:space="preserve">Acrylic Dispensing Bins</t>
  </si>
  <si>
    <t xml:space="preserve">SmoothRack Test Tube Racks</t>
  </si>
  <si>
    <t xml:space="preserve">FuGENE</t>
  </si>
  <si>
    <t xml:space="preserve">https://www.thomassci.com/browse-by/suppliers/fugene</t>
  </si>
  <si>
    <t xml:space="preserve">https://fugene.com</t>
  </si>
  <si>
    <t xml:space="preserve">FuGENE® SI Transfection Reagent</t>
  </si>
  <si>
    <t xml:space="preserve">FuGENE® 4K Transfection Reagent</t>
  </si>
  <si>
    <t xml:space="preserve">FuGENE® HD Transfection Reagent</t>
  </si>
  <si>
    <t xml:space="preserve">1-608-628-7772</t>
  </si>
  <si>
    <t xml:space="preserve">contact@fugene.com</t>
  </si>
  <si>
    <t xml:space="preserve">https://fugene.com/contact-us/</t>
  </si>
  <si>
    <t xml:space="preserve">https://www.thomassci.com/browse-by/suppliers/fugene | https://fugene.com/contact-us/</t>
  </si>
  <si>
    <t xml:space="preserve">FujiFilm Biosciences</t>
  </si>
  <si>
    <t xml:space="preserve">https://www.thomassci.com/browse-by/suppliers/fujifilm</t>
  </si>
  <si>
    <t xml:space="preserve">Recombinant Human HB-EGF</t>
  </si>
  <si>
    <t xml:space="preserve">Recombinant Human FRACTALKINE / CX3CL1</t>
  </si>
  <si>
    <t xml:space="preserve">Recombinant Human BCA-1 / CXCL13</t>
  </si>
  <si>
    <t xml:space="preserve">FyterTech Nonwovens</t>
  </si>
  <si>
    <t xml:space="preserve">https://www.thomassci.com/browse-by/suppliers/fytertech-nonwovens</t>
  </si>
  <si>
    <t xml:space="preserve">https://orderfytertech.com</t>
  </si>
  <si>
    <t xml:space="preserve">Spilfyter Universal Single-Ply Heavyweight Sorbent Pads</t>
  </si>
  <si>
    <t xml:space="preserve">Multi-Purpose Lab Soakers</t>
  </si>
  <si>
    <t xml:space="preserve">Aqualockit Solidifier For Neutral Liquids</t>
  </si>
  <si>
    <t xml:space="preserve">(800) 615-8699</t>
  </si>
  <si>
    <t xml:space="preserve">https://orderfytertech.com/contact-us/</t>
  </si>
  <si>
    <t xml:space="preserve">https://www.thomassci.com/browse-by/suppliers/fytertech-nonwovens | https://orderfytertech.com/contact-us/</t>
  </si>
  <si>
    <t xml:space="preserve">G-Biosciences</t>
  </si>
  <si>
    <t xml:space="preserve">https://www.thomassci.com/browse-by/suppliers/g-biosciences</t>
  </si>
  <si>
    <t xml:space="preserve">https://gbiosciences.com</t>
  </si>
  <si>
    <t xml:space="preserve">DMSO, Sterile Filtered</t>
  </si>
  <si>
    <t xml:space="preserve">Streptavidin</t>
  </si>
  <si>
    <t xml:space="preserve">Nonidet® P-40 Substitute</t>
  </si>
  <si>
    <t xml:space="preserve">Yair Technologies (Yair Tech)</t>
  </si>
  <si>
    <t xml:space="preserve">Yair Technologies (Yair Tech):</t>
  </si>
  <si>
    <t xml:space="preserve">Distributor-side evidence from Yair Technologies' live site (brand page, partners page https://yairtech.co.il/partners/, services page naming G-Biosciences as a main supplier); G-Biosciences' own distributor list was not visible in results. Site is Israeli (Hebrew/English).</t>
  </si>
  <si>
    <t xml:space="preserve">https://www.quartzy.com/suppliers | https://www.thomassci.com/browse-by/suppliers/g-biosciences | https://www.yairtech.co.il/cat_product/g-biosciences/</t>
  </si>
  <si>
    <t xml:space="preserve">G C Fuller</t>
  </si>
  <si>
    <t xml:space="preserve">https://www.thomassci.com/browse-by/suppliers/g-c-fuller</t>
  </si>
  <si>
    <t xml:space="preserve">G-Tek® by PIP Global Safety</t>
  </si>
  <si>
    <t xml:space="preserve">https://www.thomassci.com/browse-by/suppliers/g-tek-by-pip-global-safety</t>
  </si>
  <si>
    <t xml:space="preserve">G-Tek® Salt &amp; Pepper Polyurethane Grip Gloves with HPPE Fiber</t>
  </si>
  <si>
    <t xml:space="preserve">G-Tek® NP White Nylon Gloves with Polyurethane Grip</t>
  </si>
  <si>
    <t xml:space="preserve">G-Tek® Blue Micro-Surface Nitrile Grip Gloves with HPPE Fiber</t>
  </si>
  <si>
    <t xml:space="preserve">GA International</t>
  </si>
  <si>
    <t xml:space="preserve">https://www.thomassci.com/browse-by/suppliers/ga-international</t>
  </si>
  <si>
    <t xml:space="preserve">https://ga-international.com</t>
  </si>
  <si>
    <t xml:space="preserve">Cryogenic Direct Thermal Labels</t>
  </si>
  <si>
    <t xml:space="preserve">DTermo™ DYMO® Compatible Paper Labels</t>
  </si>
  <si>
    <t xml:space="preserve">NitroTAG™ - Rectangle Labels for Barcode and Thermal-Transfer Printers, 1.5" x 0.75"</t>
  </si>
  <si>
    <t xml:space="preserve">GA International / LabTAG (Laval, Quebec) says it ships worldwide; the only Israeli hits are unrelated label/sticker importers on chamber.org.il; no distributor named.</t>
  </si>
  <si>
    <t xml:space="preserve">+1-450-973-9420</t>
  </si>
  <si>
    <t xml:space="preserve">https://www.ga-international.com/</t>
  </si>
  <si>
    <t xml:space="preserve">https://www.quartzy.com/suppliers | https://www.thomassci.com/browse-by/suppliers/ga-international | https://www.ga-international.com/</t>
  </si>
  <si>
    <t xml:space="preserve">Gagne</t>
  </si>
  <si>
    <t xml:space="preserve">https://www.thomassci.com/browse-by/suppliers/gagne</t>
  </si>
  <si>
    <t xml:space="preserve">https://gagneinc.com</t>
  </si>
  <si>
    <t xml:space="preserve">Acrylic Frame Light Panel</t>
  </si>
  <si>
    <t xml:space="preserve">Stainless Steel LED Lightbox</t>
  </si>
  <si>
    <t xml:space="preserve">ABS Plastic LED Lightbox</t>
  </si>
  <si>
    <t xml:space="preserve">18008005954</t>
  </si>
  <si>
    <t xml:space="preserve">sales@gagneinc.com</t>
  </si>
  <si>
    <t xml:space="preserve">https://gagneinc.com/contact/</t>
  </si>
  <si>
    <t xml:space="preserve">https://www.thomassci.com/browse-by/suppliers/gagne | https://gagneinc.com/contact/</t>
  </si>
  <si>
    <t xml:space="preserve">Gardner Bender</t>
  </si>
  <si>
    <t xml:space="preserve">https://www.thomassci.com/browse-by/suppliers/gardner-bender</t>
  </si>
  <si>
    <t xml:space="preserve">https://gardnerbender.com</t>
  </si>
  <si>
    <t xml:space="preserve">866-803-5397</t>
  </si>
  <si>
    <t xml:space="preserve">https://www.gardnerbender.com/contact</t>
  </si>
  <si>
    <t xml:space="preserve">https://www.thomassci.com/browse-by/suppliers/gardner-bender | https://www.gardnerbender.com/contact</t>
  </si>
  <si>
    <t xml:space="preserve">Gast</t>
  </si>
  <si>
    <t xml:space="preserve">https://www.thomassci.com/browse-by/suppliers/gast</t>
  </si>
  <si>
    <t xml:space="preserve">Gate Scientific</t>
  </si>
  <si>
    <t xml:space="preserve">https://www.thomassci.com/browse-by/suppliers/gate-scientific</t>
  </si>
  <si>
    <t xml:space="preserve">https://gatescientific.com</t>
  </si>
  <si>
    <t xml:space="preserve">16502235509</t>
  </si>
  <si>
    <t xml:space="preserve">https://gatescientific.com/contact-us-2</t>
  </si>
  <si>
    <t xml:space="preserve">https://www.thomassci.com/browse-by/suppliers/gate-scientific | https://gatescientific.com/contact-us-2</t>
  </si>
  <si>
    <t xml:space="preserve">Gawet Marble &amp; Granite</t>
  </si>
  <si>
    <t xml:space="preserve">https://www.thomassci.com/browse-by/suppliers/gawet-marble-and-granite</t>
  </si>
  <si>
    <t xml:space="preserve">Marble Slab</t>
  </si>
  <si>
    <t xml:space="preserve">Balance Tables</t>
  </si>
  <si>
    <t xml:space="preserve">GD Care</t>
  </si>
  <si>
    <t xml:space="preserve">https://www.thomassci.com/browse-by/suppliers/gd-care</t>
  </si>
  <si>
    <t xml:space="preserve">https://gdcareinc.com</t>
  </si>
  <si>
    <t xml:space="preserve">Great Glove Nitrile Powder-Free Gloves</t>
  </si>
  <si>
    <t xml:space="preserve">SKINTX™ Extra Thick 12" Nitrile Exam Powder-Free Gloves</t>
  </si>
  <si>
    <t xml:space="preserve">CARE ON™ Nitrile Exam Powder-Free Gloves</t>
  </si>
  <si>
    <t xml:space="preserve">+1(626)-969-7838</t>
  </si>
  <si>
    <t xml:space="preserve">sales@gdcareinc.com</t>
  </si>
  <si>
    <t xml:space="preserve">https://www.gdcareinc.com/contact</t>
  </si>
  <si>
    <t xml:space="preserve">https://www.thomassci.com/browse-by/suppliers/gd-care | https://www.gdcareinc.com/contact</t>
  </si>
  <si>
    <t xml:space="preserve">Gel Company</t>
  </si>
  <si>
    <t xml:space="preserve">https://www.quartzy.com/suppliers | https://www.yarden-biotec.co.il/</t>
  </si>
  <si>
    <t xml:space="preserve">Gemini Bio-Products</t>
  </si>
  <si>
    <t xml:space="preserve">GeminiBio</t>
  </si>
  <si>
    <t xml:space="preserve">https://www.thomassci.com/browse-by/suppliers/geminibio</t>
  </si>
  <si>
    <t xml:space="preserve">https://geminibio.com</t>
  </si>
  <si>
    <t xml:space="preserve">Human Serum Albumin (HSA) Powder</t>
  </si>
  <si>
    <t xml:space="preserve">GemCell Plus™ U.S. Human Serum AB - Xeno-Free</t>
  </si>
  <si>
    <t xml:space="preserve">GemCell™ U.S. Human Serum AB</t>
  </si>
  <si>
    <t xml:space="preserve">901-005-203</t>
  </si>
  <si>
    <t xml:space="preserve">customerservice@geminibio.com</t>
  </si>
  <si>
    <t xml:space="preserve">https://www.geminibio.com/</t>
  </si>
  <si>
    <t xml:space="preserve">https://www.thomassci.com/browse-by/suppliers/geminibio | https://www.geminibio.com/</t>
  </si>
  <si>
    <t xml:space="preserve">Gene Bio-Application</t>
  </si>
  <si>
    <t xml:space="preserve">https://www.dutscher.com/search?initialFilters=brand:Gene+Bio-Application</t>
  </si>
  <si>
    <t xml:space="preserve">Kit GeBAflex Midi 50 - 800 µl - retention threshold: 8 kDa</t>
  </si>
  <si>
    <t xml:space="preserve">Kit GeBAflex Mini - 10 - 250 µl - retention threshold: 8 kDa</t>
  </si>
  <si>
    <t xml:space="preserve">Kit GeBAflex Maxi 0.1 - 3 ml - retention threshold: 3.5 kDa</t>
  </si>
  <si>
    <t xml:space="preserve">General Data Healthcare</t>
  </si>
  <si>
    <t xml:space="preserve">https://www.thomassci.com/browse-by/suppliers/general-data-healthcare</t>
  </si>
  <si>
    <t xml:space="preserve">Minotome Plus Cryostat Accessories</t>
  </si>
  <si>
    <t xml:space="preserve">Para/Gard Paraffin Repellent</t>
  </si>
  <si>
    <t xml:space="preserve">TMD™ Tissue Marking Dyes</t>
  </si>
  <si>
    <t xml:space="preserve">General Lab Products</t>
  </si>
  <si>
    <t xml:space="preserve">https://www.thomassci.com/browse-by/suppliers/general-lab-products</t>
  </si>
  <si>
    <t xml:space="preserve">MacConkey Broth</t>
  </si>
  <si>
    <t xml:space="preserve">Tryptic Soy Broth</t>
  </si>
  <si>
    <t xml:space="preserve">R2A Agar</t>
  </si>
  <si>
    <t xml:space="preserve">https://www.thomassci.com/browse-by/suppliers/general-lab-products | https://bargal.co.il/</t>
  </si>
  <si>
    <t xml:space="preserve">Genesee</t>
  </si>
  <si>
    <t xml:space="preserve">https://www.dutscher.com/search?initialFilters=brand:Genesee</t>
  </si>
  <si>
    <t xml:space="preserve">Tray only for tubes ø 28.5 mm</t>
  </si>
  <si>
    <t xml:space="preserve">Egg-laying cage mini model for Petri dishes ø 35 mm</t>
  </si>
  <si>
    <t xml:space="preserve">Flugs cap for tube ø 25 mm</t>
  </si>
  <si>
    <t xml:space="preserve">Genetex</t>
  </si>
  <si>
    <t xml:space="preserve">https://genetex.com</t>
  </si>
  <si>
    <t xml:space="preserve">Lifegene Ltd.; Enco</t>
  </si>
  <si>
    <t xml:space="preserve">Lifegene Ltd.: +972 8-644-4314 info@lifegene.co.il; Enco: +972-3-934-9922 orders@enco.co.il</t>
  </si>
  <si>
    <t xml:space="preserve">1-949-553-1900</t>
  </si>
  <si>
    <t xml:space="preserve">info@genetex.com</t>
  </si>
  <si>
    <t xml:space="preserve">https://www.genetex.com/contact</t>
  </si>
  <si>
    <t xml:space="preserve">https://www.quartzy.com/suppliers | https://www.lifegene.co.il/ | https://www.enco.co.il/suppliers.php | https://www.genetex.com/contact</t>
  </si>
  <si>
    <t xml:space="preserve">Genie Group</t>
  </si>
  <si>
    <t xml:space="preserve">https://www.thomassci.com/browse-by/suppliers/genie-group</t>
  </si>
  <si>
    <t xml:space="preserve">Genlantis</t>
  </si>
  <si>
    <t xml:space="preserve">https://genlantisdx.com</t>
  </si>
  <si>
    <t xml:space="preserve">support@genlantisdx.com</t>
  </si>
  <si>
    <t xml:space="preserve">https://genlantisdx.com/</t>
  </si>
  <si>
    <t xml:space="preserve">https://www.quartzy.com/suppliers | https://genlantisdx.com/</t>
  </si>
  <si>
    <t xml:space="preserve">Genovis</t>
  </si>
  <si>
    <t xml:space="preserve">https://genovis.com</t>
  </si>
  <si>
    <t xml:space="preserve">+86 187 2162 7299</t>
  </si>
  <si>
    <t xml:space="preserve">order@genovis.com</t>
  </si>
  <si>
    <t xml:space="preserve">https://www.genovis.com/support/contact-us/</t>
  </si>
  <si>
    <t xml:space="preserve">https://www.quartzy.com/suppliers | https://www.yairtech.co.il/partners/ | https://www.genovis.com/support/contact-us/</t>
  </si>
  <si>
    <t xml:space="preserve">Genscript</t>
  </si>
  <si>
    <t xml:space="preserve">https://www.dutscher.com/search?initialFilters=brand:Genscript</t>
  </si>
  <si>
    <t xml:space="preserve">https://www.thomassci.com/browse-by/suppliers/genscript</t>
  </si>
  <si>
    <t xml:space="preserve">https://genscript.com</t>
  </si>
  <si>
    <t xml:space="preserve">Antibodies, conjugate and marker</t>
  </si>
  <si>
    <t xml:space="preserve">HRG1-ß1, Human</t>
  </si>
  <si>
    <t xml:space="preserve">SARS-CoV-2 Spike (E484) Neutralizing Antibody (COV2109),100ug</t>
  </si>
  <si>
    <t xml:space="preserve">CHO-K1/NPY2/Gqi5 Stable Cell Line,2vials</t>
  </si>
  <si>
    <t xml:space="preserve">No distributor named. A third-party job listing (Mar 2026) for 'Sales Account Manager, Israel' at 'GenScript Israel' suggests direct sales coverage, and a company-data profile lists Israel as a new market, but nothing was confirmed on a GenScript page.</t>
  </si>
  <si>
    <t xml:space="preserve">+86-025-58897288</t>
  </si>
  <si>
    <t xml:space="preserve">order@genscript.com</t>
  </si>
  <si>
    <t xml:space="preserve">https://www.genscript.com/contact.html</t>
  </si>
  <si>
    <t xml:space="preserve">https://www.dutscher.com/search?initialFilters=brand:Genscript | https://www.quartzy.com/suppliers | https://www.thomassci.com/browse-by/suppliers/genscript | https://www.genscript.com/contact.html</t>
  </si>
  <si>
    <t xml:space="preserve">Georgia-Pacific</t>
  </si>
  <si>
    <t xml:space="preserve">https://www.thomassci.com/browse-by/suppliers/georgia-pacific</t>
  </si>
  <si>
    <t xml:space="preserve">https://gp.com</t>
  </si>
  <si>
    <t xml:space="preserve">https://www.gp.com/</t>
  </si>
  <si>
    <t xml:space="preserve">https://www.thomassci.com/browse-by/suppliers/georgia-pacific | https://www.gp.com/</t>
  </si>
  <si>
    <t xml:space="preserve">Gerhardt</t>
  </si>
  <si>
    <t xml:space="preserve">https://www.dutscher.com/search?initialFilters=brand:Gerhardt</t>
  </si>
  <si>
    <t xml:space="preserve">TB 51 equiped tray for 30 Erlenmeyer flasks of 50 - 100 ml</t>
  </si>
  <si>
    <t xml:space="preserve">Back and forth shaker LS 500 Gerhardt</t>
  </si>
  <si>
    <t xml:space="preserve">TB 52 equiped tray for 20 Erlenmeyer flasks of 200 - 300 ml</t>
  </si>
  <si>
    <t xml:space="preserve">GFG</t>
  </si>
  <si>
    <t xml:space="preserve">https://www.thomassci.com/browse-by/suppliers/gfg</t>
  </si>
  <si>
    <t xml:space="preserve">G888C with 5-yr O2 / cc LEL / CO / H2S sensors</t>
  </si>
  <si>
    <t xml:space="preserve">GFG Calibration Gases</t>
  </si>
  <si>
    <t xml:space="preserve">G450 with O2 / LEL / CO / H2S sensors</t>
  </si>
  <si>
    <t xml:space="preserve">GFS Chemicals</t>
  </si>
  <si>
    <t xml:space="preserve">https://www.thomassci.com/browse-by/suppliers/gfs-chemicals</t>
  </si>
  <si>
    <t xml:space="preserve">https://www.gfschemicals.com</t>
  </si>
  <si>
    <t xml:space="preserve">Phenol (ACS), Loose Crystals</t>
  </si>
  <si>
    <t xml:space="preserve">Sodium Carbonate, Anhydrous, Granular (ACS)</t>
  </si>
  <si>
    <t xml:space="preserve">Ammonium Hydroxide, ACS Reagent</t>
  </si>
  <si>
    <t xml:space="preserve">No result mentioned GFS Chemicals; only general Israeli specialty-chemical distributors (BSC Distributors, Orokia/Azelis, Lidorr, Y.S. Ashkenazi/Brenntag).</t>
  </si>
  <si>
    <t xml:space="preserve">https://www.gfschemicals.com/</t>
  </si>
  <si>
    <t xml:space="preserve">https://www.quartzy.com/suppliers | https://www.thomassci.com/browse-by/suppliers/gfs-chemicals | https://www.gfschemicals.com/</t>
  </si>
  <si>
    <t xml:space="preserve">Gilac</t>
  </si>
  <si>
    <t xml:space="preserve">https://www.dutscher.com/search?initialFilters=brand:Gilac</t>
  </si>
  <si>
    <t xml:space="preserve">https://gilac.com</t>
  </si>
  <si>
    <t xml:space="preserve">Flat HDPE tray 5 Litres</t>
  </si>
  <si>
    <t xml:space="preserve">Scoop for ice or powder, capacity 1 kg</t>
  </si>
  <si>
    <t xml:space="preserve">HACCP-compliant reinforced white container, 400 x 300 mm, 12 L capacity, with lid</t>
  </si>
  <si>
    <t xml:space="preserve">+3320042072201720572072</t>
  </si>
  <si>
    <t xml:space="preserve">https://www.gilac.com/en/contact-us</t>
  </si>
  <si>
    <t xml:space="preserve">https://www.dutscher.com/search?initialFilters=brand:Gilac | https://www.gilac.com/en/contact-us</t>
  </si>
  <si>
    <t xml:space="preserve">Gilson Co. Inc.</t>
  </si>
  <si>
    <t xml:space="preserve">https://www.dutscher.com/search?initialFilters=brand:Gilson</t>
  </si>
  <si>
    <t xml:space="preserve">https://www.thomassci.com/browse-by/suppliers/gilson</t>
  </si>
  <si>
    <t xml:space="preserve">https://www.gilson.com</t>
  </si>
  <si>
    <t xml:space="preserve">Middleton, Wisconsin</t>
  </si>
  <si>
    <t xml:space="preserve">USD ~200 million (trade estimate; private)</t>
  </si>
  <si>
    <t xml:space="preserve">PIPETMAN L / G / P</t>
  </si>
  <si>
    <t xml:space="preserve">PLC 2050 / 2250 purification systems</t>
  </si>
  <si>
    <t xml:space="preserve">GX-271 / GX-274 ASPEC</t>
  </si>
  <si>
    <t xml:space="preserve">Agentek (1987) Ltd.; Lifegene Ltd.</t>
  </si>
  <si>
    <t xml:space="preserve">Agentek (1987) Ltd.: +972 9-965-7000; Lifegene Ltd.: +972 8-644-4314 info@lifegene.co.il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</si>
  <si>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gilson.com's 'Worldwide Distributors' page offers a country lookup but no Israeli partner appears in any snippet. A search restricted to agentek.co.il and lifegene.co.il returned only Lifegene pages: a dedicated '</t>
    </r>
    <r>
      <rPr>
        <sz val="11"/>
        <color theme="1"/>
        <rFont val="FreeSans"/>
        <family val="2"/>
      </rPr>
      <t xml:space="preserve">פיפטורים </t>
    </r>
    <r>
      <rPr>
        <sz val="11"/>
        <color theme="1"/>
        <rFont val="Calibri"/>
        <family val="2"/>
        <charset val="1"/>
      </rPr>
      <t xml:space="preserve">Gilson' page, a Gilson pipette category, PIPETMAN G/L/M and NEO listings, Diamond tips and the PlateMaster P220, so Lifegene's Gilson channel is current; Agentek's earlier vendors-list entry did not resurface and is kept as older evidence only. The recorded Lifegene website/scope fields were swapped in the source row and have been corrected. Searched '"Gilson" PIPETMAN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Hebrew '</t>
    </r>
    <r>
      <rPr>
        <sz val="11"/>
        <color theme="1"/>
        <rFont val="FreeSans"/>
        <family val="2"/>
      </rPr>
      <t xml:space="preserve">גילסון פיפטות יבואן</t>
    </r>
    <r>
      <rPr>
        <sz val="11"/>
        <color theme="1"/>
        <rFont val="Calibri"/>
        <family val="2"/>
        <charset val="1"/>
      </rPr>
      <t xml:space="preserve">', the 29 Israeli distributor domains and gilson.com. Gilson's site says it sells through distribution partners in many countries via a country lookup on its 'Worldwide Distributors' page, but no snippet names an Israeli partner, and no Israeli distributor site returned a Gilson brand page (Ornat's pipettes category and Tamar's 'Pipetman-compatible tips' page appeared, neither evidencing representation). Result: no Israeli entity identified; the manufacturer's country selector probably lists one but could not be read through search snippets. Agentek's own vendors page (agentek.co.il/vendors) lists the brand among the manufacturers it represents in Israel (seen in a search excerpt; the manufacturer's own distributor page was not opened). Lifegene's own site has Gilson brand and category pages (PIPETMAN Classic/Neo, PLATEMASTER); Agentek's vendors list also names Gilson, so there appear to be two Israeli channels.</t>
    </r>
  </si>
  <si>
    <t xml:space="preserve">+1 608-836-1551</t>
  </si>
  <si>
    <t xml:space="preserve">3000 Parmenter Street, P.O. Box 620027, Middleton, WI 53562-0027, USA</t>
  </si>
  <si>
    <t xml:space="preserve">https://gmlh.gilson.com/GMLHSV/services-and-support/contact.html</t>
  </si>
  <si>
    <t xml:space="preserve">https://www.dutscher.com/search?initialFilters=brand:Gilson | https://www.quartzy.com/suppliers | https://www.thomassci.com/browse-by/suppliers/gilson | https://www.gilson.com/worldwide-distributors | https://www.gilson.com/default/about/our-company.html | https://ornat.co.il/category/instruments/pipettes/ | http://www.tamar.co.il/plasticware-gloves/tubes-tips/gel-loading-tips/ | https://www.thomassci.com/scientific-supplies/Pipetman | https://agentek.co.il/vendors/ | https://lifegene.co.il/product-category/instrumentation/pipettes/gilson/ | https://www.lifegene.co.il/gilson_pipettes | https://lifegene.co.il/product-category/instrumentation/pipettes/gilson | https://www.lifegene.co.il/miutichannel_pipette | https://www.lifegene.co.il/page_29641</t>
  </si>
  <si>
    <t xml:space="preserve">Glas-Col</t>
  </si>
  <si>
    <t xml:space="preserve">https://www.thomassci.com/browse-by/suppliers/glas-col</t>
  </si>
  <si>
    <t xml:space="preserve">https://glascol.com</t>
  </si>
  <si>
    <t xml:space="preserve">Glas-Col Heating Mantle</t>
  </si>
  <si>
    <t xml:space="preserve">Tissue-Culture Tube Head</t>
  </si>
  <si>
    <t xml:space="preserve">Shaker Accessories</t>
  </si>
  <si>
    <t xml:space="preserve">812-235-6167</t>
  </si>
  <si>
    <t xml:space="preserve">https://www.glascol.com/Contact-Us</t>
  </si>
  <si>
    <t xml:space="preserve">https://www.thomassci.com/browse-by/suppliers/glas-col | https://www.glascol.com/Contact-Us</t>
  </si>
  <si>
    <t xml:space="preserve">Glass Vials</t>
  </si>
  <si>
    <t xml:space="preserve">https://www.thomassci.com/browse-by/suppliers/glass-vials</t>
  </si>
  <si>
    <t xml:space="preserve">https://glassvials.net</t>
  </si>
  <si>
    <t xml:space="preserve">Clear Screw Thread Vials with Phenolic Cone Lined Caps</t>
  </si>
  <si>
    <t xml:space="preserve">Amber Screw Thread Vials – without Caps</t>
  </si>
  <si>
    <t xml:space="preserve">Clear Screw Thread Vials with PTFE Lined Polypropylene Caps</t>
  </si>
  <si>
    <t xml:space="preserve">Glastron</t>
  </si>
  <si>
    <t xml:space="preserve">https://www.thomassci.com/browse-by/suppliers/glastron</t>
  </si>
  <si>
    <t xml:space="preserve">Globe Scientific</t>
  </si>
  <si>
    <t xml:space="preserve">https://www.thomassci.com/browse-by/suppliers/globe-scientific</t>
  </si>
  <si>
    <t xml:space="preserve">https://globescientific.com</t>
  </si>
  <si>
    <t xml:space="preserve">DiamondPRO™ Adjustable Volume Pipettor</t>
  </si>
  <si>
    <t xml:space="preserve">50mL Centrifuge Tube, Polypropylene (PP)</t>
  </si>
  <si>
    <t xml:space="preserve">Disposable Funnel</t>
  </si>
  <si>
    <t xml:space="preserve">+12015991400</t>
  </si>
  <si>
    <t xml:space="preserve">mail@globescientific.com</t>
  </si>
  <si>
    <t xml:space="preserve">https://globescientific.com/pages/contact-us</t>
  </si>
  <si>
    <t xml:space="preserve">https://www.thomassci.com/browse-by/suppliers/globe-scientific | https://globescientific.com/pages/contact-us</t>
  </si>
  <si>
    <t xml:space="preserve">GMP Labeling</t>
  </si>
  <si>
    <t xml:space="preserve">https://gmplabeling.com</t>
  </si>
  <si>
    <t xml:space="preserve">For nearly four decades, GMP Labeling has stood as the gold standard in providing compliance identification products, ensuring unmatched quality and customer service across various industries, reaffirming our position as your trusted compliance partner since 1987.</t>
  </si>
  <si>
    <t xml:space="preserve">No result mentions the company; hits were unrelated Israeli pharma labeling services (Dor), importers (Propharm) and MoH GMP certificates.</t>
  </si>
  <si>
    <t xml:space="preserve">(800) 637-4487</t>
  </si>
  <si>
    <t xml:space="preserve">sales@gmplabeling.com</t>
  </si>
  <si>
    <t xml:space="preserve">https://gmplabeling.com/contact-us/</t>
  </si>
  <si>
    <t xml:space="preserve">https://www.quartzy.com/suppliers | https://info.quartzy.com/new-suppliers | https://gmplabeling.com/contact-us/</t>
  </si>
  <si>
    <t xml:space="preserve">GoatThroat</t>
  </si>
  <si>
    <t xml:space="preserve">https://www.thomassci.com/browse-by/suppliers/goatthroat</t>
  </si>
  <si>
    <t xml:space="preserve">https://www.thomassci.com/browse-by/suppliers/goatthroat | https://www.yairtech.co.il/product/</t>
  </si>
  <si>
    <t xml:space="preserve">Gold Biotechnology</t>
  </si>
  <si>
    <t xml:space="preserve">Gordon Brush</t>
  </si>
  <si>
    <t xml:space="preserve">https://www.thomassci.com/browse-by/suppliers/gordon-brush</t>
  </si>
  <si>
    <t xml:space="preserve">https://gordonbrush.com</t>
  </si>
  <si>
    <t xml:space="preserve">18009507950</t>
  </si>
  <si>
    <t xml:space="preserve">https://www.gordonbrush.com/contact</t>
  </si>
  <si>
    <t xml:space="preserve">https://www.thomassci.com/browse-by/suppliers/gordon-brush | https://www.gordonbrush.com/contact</t>
  </si>
  <si>
    <t xml:space="preserve">Gosselin</t>
  </si>
  <si>
    <t xml:space="preserve">https://www.dutscher.com/search?initialFilters=brand:Gosselin</t>
  </si>
  <si>
    <t xml:space="preserve">Sterile sampling spoon - capacity: 8 ml - Length: 150 mm - Unit package</t>
  </si>
  <si>
    <t xml:space="preserve">Sterile L-shape spreader ø 3 mm with curved right elbow White</t>
  </si>
  <si>
    <t xml:space="preserve">Inoculator shaker sterile (packs of 5)</t>
  </si>
  <si>
    <t xml:space="preserve">Grace Bio-Labs</t>
  </si>
  <si>
    <t xml:space="preserve">https://gracebio.com</t>
  </si>
  <si>
    <t xml:space="preserve">+18008137339</t>
  </si>
  <si>
    <t xml:space="preserve">https://gracebio.com/contact-us/</t>
  </si>
  <si>
    <t xml:space="preserve">https://www.quartzy.com/suppliers | https://gracebio.com/contact-us/</t>
  </si>
  <si>
    <t xml:space="preserve">Graham Medical</t>
  </si>
  <si>
    <t xml:space="preserve">https://www.thomassci.com/browse-by/suppliers/graham-medical</t>
  </si>
  <si>
    <t xml:space="preserve">https://grahammedical.com</t>
  </si>
  <si>
    <t xml:space="preserve">Table Paper</t>
  </si>
  <si>
    <t xml:space="preserve">Drape Sheets, White, 40" x 48", 2-Ply</t>
  </si>
  <si>
    <t xml:space="preserve">Exam Roll</t>
  </si>
  <si>
    <t xml:space="preserve">(800) 558-6765</t>
  </si>
  <si>
    <t xml:space="preserve">https://www.grahammedical.com/</t>
  </si>
  <si>
    <t xml:space="preserve">https://www.thomassci.com/browse-by/suppliers/graham-medical | https://www.grahammedical.com/</t>
  </si>
  <si>
    <t xml:space="preserve">Grainger</t>
  </si>
  <si>
    <t xml:space="preserve">https://www.thomassci.com/browse-by/suppliers/grainger</t>
  </si>
  <si>
    <t xml:space="preserve">https://www.grainger.com</t>
  </si>
  <si>
    <t xml:space="preserve">GRAINGER Trash Bags: 56 gal Capacity, 43 in Wd, 48 in Ht, 22 micron Thick, Black, 150 PK</t>
  </si>
  <si>
    <t xml:space="preserve">GRAINGER Trash Bags: 60 gal Capacity, 38 in Wd, 58 in Ht, 0.95 mil Thick, Black, 100 PK</t>
  </si>
  <si>
    <t xml:space="preserve">pH Test Strips</t>
  </si>
  <si>
    <t xml:space="preserve">1-800-472-4643</t>
  </si>
  <si>
    <t xml:space="preserve">https://www.grainger.com/</t>
  </si>
  <si>
    <t xml:space="preserve">https://www.thomassci.com/browse-by/suppliers/grainger | https://www.grainger.com/</t>
  </si>
  <si>
    <t xml:space="preserve">GraLab</t>
  </si>
  <si>
    <t xml:space="preserve">https://www.thomassci.com/browse-by/suppliers/gralab</t>
  </si>
  <si>
    <t xml:space="preserve">Model 171 60-Minute General Purpose Timers</t>
  </si>
  <si>
    <t xml:space="preserve">Time Switches</t>
  </si>
  <si>
    <t xml:space="preserve">Grant</t>
  </si>
  <si>
    <t xml:space="preserve">https://www.dutscher.com/search?initialFilters=brand:Grant</t>
  </si>
  <si>
    <t xml:space="preserve">Sub Aqua Pro Advance water bath - SAP 12 model - 12 Litres</t>
  </si>
  <si>
    <t xml:space="preserve">JB Nova water bath - JBN 18 model - 18 Litres</t>
  </si>
  <si>
    <t xml:space="preserve">Orbital Shaker PSU-10i Grant-Bio (to be completed with a platform)</t>
  </si>
  <si>
    <t xml:space="preserve">Grant Instruments</t>
  </si>
  <si>
    <t xml:space="preserve">https://www.thomassci.com/browse-by/suppliers/grant-instruments</t>
  </si>
  <si>
    <t xml:space="preserve">https://grantinstruments.com</t>
  </si>
  <si>
    <t xml:space="preserve">PSU-10i Orbital Shaking Platform</t>
  </si>
  <si>
    <t xml:space="preserve">PHMT Series Thermoshaker For Microtubes and Microplates</t>
  </si>
  <si>
    <t xml:space="preserve">UVT-S-AR PCR UV Cabinet</t>
  </si>
  <si>
    <t xml:space="preserve">1763 260 811</t>
  </si>
  <si>
    <t xml:space="preserve">https://www.grantinstruments.com/pages/contact-us</t>
  </si>
  <si>
    <t xml:space="preserve">https://www.thomassci.com/browse-by/suppliers/grant-instruments | https://www.grantinstruments.com/pages/contact-us</t>
  </si>
  <si>
    <t xml:space="preserve">Graphic Controls</t>
  </si>
  <si>
    <t xml:space="preserve">https://www.thomassci.com/browse-by/suppliers/graphic-controls</t>
  </si>
  <si>
    <t xml:space="preserve">https://graphiccontrols.com</t>
  </si>
  <si>
    <t xml:space="preserve">Partlow Chart Paper</t>
  </si>
  <si>
    <t xml:space="preserve">Syringe Filter: Cellulose Acetate</t>
  </si>
  <si>
    <t xml:space="preserve">HONEYWELL, Circular Chart 100cs</t>
  </si>
  <si>
    <t xml:space="preserve">+800.669.1535</t>
  </si>
  <si>
    <t xml:space="preserve">https://www.graphiccontrols.com/en/contact-us/</t>
  </si>
  <si>
    <t xml:space="preserve">https://www.thomassci.com/browse-by/suppliers/graphic-controls | https://www.graphiccontrols.com/en/contact-us/</t>
  </si>
  <si>
    <t xml:space="preserve">Great White® by PIP Global Safety</t>
  </si>
  <si>
    <t xml:space="preserve">https://www.thomassci.com/browse-by/suppliers/great-white-by-pip-global-safety</t>
  </si>
  <si>
    <t xml:space="preserve">Greenfield Global</t>
  </si>
  <si>
    <t xml:space="preserve">https://www.thomassci.com/browse-by/suppliers/greenfield-global</t>
  </si>
  <si>
    <t xml:space="preserve">Isopropyl Alcohol, 99% ACS Reagent, USP/NF Grade</t>
  </si>
  <si>
    <t xml:space="preserve">Acetone 99.9% Reagent, ACS/USP Grade, 1 gal</t>
  </si>
  <si>
    <t xml:space="preserve">Isopropyl Alcohol, 70% ACS Reagent USP/NF Grade</t>
  </si>
  <si>
    <t xml:space="preserve">GreenGlo™</t>
  </si>
  <si>
    <t xml:space="preserve">https://www.thomassci.com/browse-by/suppliers/greenglo</t>
  </si>
  <si>
    <t xml:space="preserve">GreenGlo™ Safe DNA Dye, 20,000X in Water, 500µl</t>
  </si>
  <si>
    <t xml:space="preserve">GreenGlo™ Safe DNA Dye, 20,000X in Water, 5mL</t>
  </si>
  <si>
    <t xml:space="preserve">Greenwood Products</t>
  </si>
  <si>
    <t xml:space="preserve">https://www.thomassci.com/browse-by/suppliers/greenwood-products</t>
  </si>
  <si>
    <t xml:space="preserve">https://greenwoodproducts.com</t>
  </si>
  <si>
    <t xml:space="preserve">Color-Coded Chemical Sample Labels</t>
  </si>
  <si>
    <t xml:space="preserve">Amber Wide Mouth Packer Bottles, Certified</t>
  </si>
  <si>
    <t xml:space="preserve">60mL Clear VOA Vial Assembled w/Open Top Bonded T/S Septa Cap #ID (72/cs)</t>
  </si>
  <si>
    <t xml:space="preserve">Greenwood Products (Piscataway, NJ; acquired by Calibre Scientific, April 2023) results are US-only; Israeli distributor pages (Rhenium, Enco, S.L. Moran) do not mention Greenwood.</t>
  </si>
  <si>
    <t xml:space="preserve">800-333-3898</t>
  </si>
  <si>
    <t xml:space="preserve">https://greenwoodproducts.com/pages/contact-sales</t>
  </si>
  <si>
    <t xml:space="preserve">https://www.quartzy.com/suppliers | https://www.thomassci.com/browse-by/suppliers/greenwood-products | https://greenwoodproducts.com/pages/contact-sales</t>
  </si>
  <si>
    <t xml:space="preserve">Greiner Bio-One</t>
  </si>
  <si>
    <t xml:space="preserve">https://www.dutscher.com/search?initialFilters=brand:Greiner+Bio-One</t>
  </si>
  <si>
    <t xml:space="preserve">https://www.thomassci.com/browse-by/suppliers/greiner-bio-one</t>
  </si>
  <si>
    <t xml:space="preserve">https://www.gbo.com</t>
  </si>
  <si>
    <t xml:space="preserve">Kremsmünster</t>
  </si>
  <si>
    <t xml:space="preserve">Greiner AG</t>
  </si>
  <si>
    <t xml:space="preserve">EUR 637 million</t>
  </si>
  <si>
    <t xml:space="preserve">VACUETTE</t>
  </si>
  <si>
    <t xml:space="preserve">CELLSTAR</t>
  </si>
  <si>
    <t xml:space="preserve">Sapphire tips &amp; µClear microplates</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</si>
  <si>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Greiner Bio-One's live 'Subsidiaries &amp; distributors' page lists Danyel Biotech, 8 Hamada - Science Park, 7414002 Rehovot, +972-8-9366066, danyel.co.il, as its Israeli distributor for the Preanalytics, BioScience and CLiP safety IV catheter divisions. This upgrades the earlier distributor-side-only evidence to a manufacturer-side listing. Danyel's own Greiner page was not re-searched within the budget. Danyel Biotech's own site has a Greiner Bio-One brand page and lists Greiner among the companies it represents in Israel.</t>
    </r>
  </si>
  <si>
    <t xml:space="preserve">+43 7583 6791-0</t>
  </si>
  <si>
    <t xml:space="preserve">office@gbo.com</t>
  </si>
  <si>
    <t xml:space="preserve">Bad Haller Straße 32, 4550 Kremsmünster, Austria</t>
  </si>
  <si>
    <t xml:space="preserve">https://www.gbo.com/en-us/contact</t>
  </si>
  <si>
    <t xml:space="preserve">https://www.gbo.com/en-int/imprint</t>
  </si>
  <si>
    <t xml:space="preserve">https://www.dutscher.com/search?initialFilters=brand:Greiner+Bio-One | https://www.quartzy.com/suppliers | https://www.thomassci.com/browse-by/suppliers/greiner-bio-one | https://www.greiner.com/en/blog/detail/financial-year-2025-greiner-strengthens-its-resilience-and-invests-in-the-future-despite-a-challenging-environment/ | https://www.gbo.com/en-us/press-events/press/article/financial-year-2025 | https://www.gbo.com/en-at/press-events/press/article/greiner-achieved-stable-total-sales-and-growth-in-core-areas-in-2024 | https://www.greiner.com/en/divisions/greiner-bio-one/ | https://www.gbo.com/en-us/press-events/press/article/greiner-bio-one-opens-new-sales-office-in-dubai | https://www.selectscience.net/company/greiner-bio-one-gmbh | https://www.danyel.co.il/greiner-bio-one/ | https://www.gbo.com/en-int/company/subsidiaries-distributors | https://www.greiner-gpi.com/en/Newsroom/Press/Greiner-publishes-2025-Annual-and-Sustainability-Report_s_366661 | https://www.gbo.com/en-us/contact</t>
  </si>
  <si>
    <t xml:space="preserve">Grippaz™ by PIP Global Safety</t>
  </si>
  <si>
    <t xml:space="preserve">https://www.thomassci.com/browse-by/suppliers/grippaz-by-pip-global-safety</t>
  </si>
  <si>
    <t xml:space="preserve">Extended Use Ambidextrous Nitrile Glove with Textured Fish Scale Grip</t>
  </si>
  <si>
    <t xml:space="preserve">Grippaz™ Glove</t>
  </si>
  <si>
    <t xml:space="preserve">Grippaz™ Orange Powder Free Nitrile Gloves with Textured Grip 7 Mi</t>
  </si>
  <si>
    <t xml:space="preserve">Grobet File</t>
  </si>
  <si>
    <t xml:space="preserve">https://www.thomassci.com/browse-by/suppliers/grobet-file</t>
  </si>
  <si>
    <t xml:space="preserve">Specimen Forceps</t>
  </si>
  <si>
    <t xml:space="preserve">Spatulas Plastic Mixing</t>
  </si>
  <si>
    <t xml:space="preserve">Dissecting Forceps</t>
  </si>
  <si>
    <t xml:space="preserve">Growcells</t>
  </si>
  <si>
    <t xml:space="preserve">https://www.thomassci.com/browse-by/suppliers/growcells</t>
  </si>
  <si>
    <t xml:space="preserve">https://growcells.com</t>
  </si>
  <si>
    <t xml:space="preserve">SuperBroth Media</t>
  </si>
  <si>
    <t xml:space="preserve">Sodium Acetate Solution, 3M PH 5.5</t>
  </si>
  <si>
    <t xml:space="preserve">LB Lennox Broth</t>
  </si>
  <si>
    <t xml:space="preserve">877-780-6200</t>
  </si>
  <si>
    <t xml:space="preserve">support@growcells.comorders</t>
  </si>
  <si>
    <t xml:space="preserve">https://www.growcells.com/contact-us/</t>
  </si>
  <si>
    <t xml:space="preserve">https://www.thomassci.com/browse-by/suppliers/growcells | https://www.growcells.com/contact-us/</t>
  </si>
  <si>
    <t xml:space="preserve">GS Medical Packaging</t>
  </si>
  <si>
    <t xml:space="preserve">https://www.thomassci.com/browse-by/suppliers/gs-medical-packaging</t>
  </si>
  <si>
    <t xml:space="preserve">https://gsmedicalpackaging.com</t>
  </si>
  <si>
    <t xml:space="preserve">1 800 361-2862</t>
  </si>
  <si>
    <t xml:space="preserve">https://medicom.com/contact-us/</t>
  </si>
  <si>
    <t xml:space="preserve">https://www.thomassci.com/browse-by/suppliers/gs-medical-packaging | https://medicom.com/contact-us/</t>
  </si>
  <si>
    <t xml:space="preserve">GSC International, Inc.</t>
  </si>
  <si>
    <t xml:space="preserve">https://www.thomassci.com/browse-by/suppliers/gsc-international-inc-</t>
  </si>
  <si>
    <t xml:space="preserve">Laser Pointer</t>
  </si>
  <si>
    <t xml:space="preserve">Black Rubber Stoppers</t>
  </si>
  <si>
    <t xml:space="preserve">Porcelain Evaporating Dish</t>
  </si>
  <si>
    <t xml:space="preserve">Guardian</t>
  </si>
  <si>
    <t xml:space="preserve">https://www.thomassci.com/browse-by/suppliers/guardian</t>
  </si>
  <si>
    <t xml:space="preserve">https://guardianlife.com</t>
  </si>
  <si>
    <t xml:space="preserve">15 Gallon Portable Eyewash/Drench Hose Unit</t>
  </si>
  <si>
    <t xml:space="preserve">Aquasep® Bacteriostatic Additive for Portable Eye Wash</t>
  </si>
  <si>
    <t xml:space="preserve">Plastic Bowl Wall-Mounted Eyewash</t>
  </si>
  <si>
    <t xml:space="preserve">Eisenberg Bros. Ltd.</t>
  </si>
  <si>
    <t xml:space="preserve">Eisenberg Bros. Ltd.: +972 3-977-7000</t>
  </si>
  <si>
    <t xml:space="preserve">+18884827342</t>
  </si>
  <si>
    <t xml:space="preserve">https://www.guardianlife.com/contact-us</t>
  </si>
  <si>
    <t xml:space="preserve">https://www.thomassci.com/browse-by/suppliers/guardian | https://eisenbros.co.il/product-category/life-sciences-and-healthcare/ | https://www.guardianlife.com/contact-us</t>
  </si>
  <si>
    <t xml:space="preserve">Guardian Manufacturing</t>
  </si>
  <si>
    <t xml:space="preserve">https://www.thomassci.com/browse-by/suppliers/guardian-manufacturing</t>
  </si>
  <si>
    <t xml:space="preserve">https://guardianmfg.com</t>
  </si>
  <si>
    <t xml:space="preserve">32926 2971</t>
  </si>
  <si>
    <t xml:space="preserve">https://www.guardianmfg.com/contact/</t>
  </si>
  <si>
    <t xml:space="preserve">https://www.thomassci.com/browse-by/suppliers/guardian-manufacturing | https://www.guardianmfg.com/contact/</t>
  </si>
  <si>
    <t xml:space="preserve">GVS Filter Technology</t>
  </si>
  <si>
    <t xml:space="preserve">https://www.thomassci.com/browse-by/suppliers/gvs-filter-technology</t>
  </si>
  <si>
    <t xml:space="preserve">https://gvs.com</t>
  </si>
  <si>
    <t xml:space="preserve">Extracto Vacuum Filter 250ml</t>
  </si>
  <si>
    <t xml:space="preserve">Calyx Capsule Filter NY</t>
  </si>
  <si>
    <t xml:space="preserve">VENT FILTER</t>
  </si>
  <si>
    <t xml:space="preserve">00644831208</t>
  </si>
  <si>
    <t xml:space="preserve">https://www.gvs.com/en/contact-us/careers/</t>
  </si>
  <si>
    <t xml:space="preserve">https://www.thomassci.com/browse-by/suppliers/gvs-filter-technology | https://www.gvs.com/en/contact-us/careers/</t>
  </si>
  <si>
    <t xml:space="preserve">GVS Life Sciences</t>
  </si>
  <si>
    <t xml:space="preserve">H-B Instrument - SP Scienceware</t>
  </si>
  <si>
    <t xml:space="preserve">https://www.thomassci.com/browse-by/suppliers/h-b-instrument-sp-scienceware</t>
  </si>
  <si>
    <t xml:space="preserve">DURAC® Plus™ ASTM Like Liquid-In-Glass Thermometer</t>
  </si>
  <si>
    <t xml:space="preserve">Easy-Read® Individually Calibrated Liquid-In-Glass Thermometer</t>
  </si>
  <si>
    <t xml:space="preserve">DURAC® Calibrated Electronic Stainless Steel Stem Thermometers</t>
  </si>
  <si>
    <t xml:space="preserve">Hach</t>
  </si>
  <si>
    <t xml:space="preserve">https://www.dutscher.com/search?initialFilters=brand:Hach</t>
  </si>
  <si>
    <t xml:space="preserve">https://www.hach.com</t>
  </si>
  <si>
    <t xml:space="preserve">Loveland, Colorado</t>
  </si>
  <si>
    <t xml:space="preserve">Veralto Corporation</t>
  </si>
  <si>
    <t xml:space="preserve">Water &amp; electrochemical analysis</t>
  </si>
  <si>
    <t xml:space="preserve">USD 3,321 million</t>
  </si>
  <si>
    <t xml:space="preserve">DR3900 / DR6000</t>
  </si>
  <si>
    <t xml:space="preserve">TNTplus</t>
  </si>
  <si>
    <t xml:space="preserve">HQ series (HQ1100/HQ4300) with Intellical probes</t>
  </si>
  <si>
    <t xml:space="preserve">Modotec Ltd.</t>
  </si>
  <si>
    <t xml:space="preserve">Modotec Ltd.: +972-4-991-9988</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</si>
  <si>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Modotec's live website (supplier page plus analyzers, controllers, turbidity, spectrophotometer, oxygen/UV meter and sampler pages) presents Hach as its supplier across the online and laboratory water-analysis range, so the relationship is documented on the distributor's current site and the scope is broader than the Hach Flow listing recorded before; the search engine dates those pages at about 4-7 years old. Hach's own side could not be confirmed this session: hach.com's global-distributor page is a map picker whose Israel entry was not visible, and an unrestricted search found only Hach's Dubai (MENA) site and ESS-ME, a Middle East distributor that does not name Israel. Marked partial because the manufacturer-side listing seen earlier (nz.hach.com/flow, ~5 years old) remains the only Hach-side confirmation. Hach's own 'Hach Flow' distributor page (nz.hach.com/flow, about five years old) lists Modotec Ltd., Akko (modotec@modotec.co.il) under Israel for Hach Flow products. No Israeli distributor was found for Hach's core lab/water-analysis lines (DR spectrophotometers, HQ meters, 2100Q turbidimeters): searches across 43 Israeli distributor domains, Hebrew queries, hach.com's global-distributor pages and model-number queries surfaced nothing, and Hach's regional contact is Hach Middle East &amp; Africa in Dubai (+971 4 303 1700). Treat the Modotec listing as stale and partial in scope, and verify.</t>
    </r>
  </si>
  <si>
    <t xml:space="preserve">+1 800-227-4224 (toll-free); +1 970-669-3050 (international line)</t>
  </si>
  <si>
    <t xml:space="preserve">orders@hach.com; support@hach.com</t>
  </si>
  <si>
    <t xml:space="preserve">P.O. Box 389, Loveland, CO 80539, USA (street address 5600 Lindbergh Drive, Loveland, CO per directories only)</t>
  </si>
  <si>
    <t xml:space="preserve">https://hach.com/contact</t>
  </si>
  <si>
    <t xml:space="preserve">https://www.dutscher.com/search?initialFilters=brand:Hach | https://www.quartzy.com/suppliers | https://en.wikipedia.org/wiki/Hach_Company | https://veralto.com/company/hach | https://nz.hach.com/flow | https://au.hach.com/flow | https://my.hach.com/global-distributor-support | https://www.hach.com/resources/faq | https://mena.hach.com/contact | https://www.modotec.co.il/%D7%A1%D7%A4%D7%A7%D7%99%D7%9D/ | https://www.modotec.co.il/%D7%90%D7%A0%D7%9C%D7%99%D7%99%D7%96%D7%A8%D7%99%D7%9D/ | https://www.modotec.co.il/%D7%A1%D7%A4%D7%A7%D7%98%D7%95%D7%A4%D7%95%D7%98%D7%95%D7%9E%D7%98%D7%A8%D7%99%D7%9D/ | https://www.modotec.co.il/%D7%91%D7%A7%D7%A8%D7%99%D7%9D/ | https://www.hach.com/support/global-distributors | https://mena.hach.com/global-distributor-support | https://www.sec.gov/Archives/edgar/data/1967680/000196768026000011/vlto-20251231.htm | https://www.sec.gov/Archives/edgar/data/1967680/000196768026000018/a2025_annualxreportxfina.htm | https://www.hach.com/support/chat?origin=dropdown&amp;c1=support-service&amp;c2=support&amp;c3=contact-technical-support&amp;clickedon=contact-technical-support</t>
  </si>
  <si>
    <t xml:space="preserve">Haier</t>
  </si>
  <si>
    <t xml:space="preserve">https://www.thomassci.com/browse-by/suppliers/haier</t>
  </si>
  <si>
    <t xml:space="preserve">https://www.haiermedical.com</t>
  </si>
  <si>
    <t xml:space="preserve">סין</t>
  </si>
  <si>
    <t xml:space="preserve">Qingdao, Shandong</t>
  </si>
  <si>
    <t xml:space="preserve">Haier Group (controlling shareholder)</t>
  </si>
  <si>
    <t xml:space="preserve">CNY 2.329 billion</t>
  </si>
  <si>
    <t xml:space="preserve">DW-86L series</t>
  </si>
  <si>
    <t xml:space="preserve">Automated Biobank</t>
  </si>
  <si>
    <t xml:space="preserve">HXC / HYC series</t>
  </si>
  <si>
    <t xml:space="preserve">Ex-Lab</t>
  </si>
  <si>
    <t xml:space="preserve">Ex-Lab:</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</si>
  <si>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Ex-Lab's website was located (ex-lab.com): its live homepage names Haier Biomedical among the brands it supplies and it has live product pages for Haier Biomedical -80C ULT freezers (UltraEco, portable DW-80WZ15), -20C freezers and a Haier vertical autoclave, with installations shown at the Weizmann Institute and Ben-Gurion University; this matches Haier Biomedical's own live news item naming Ex-Lab as its partner at the Weizmann/Technion expo. Ex-Lab also trades used equipment. Yesh-Lab2 lists a used Haier ULT freezer but is a second-hand dealer, not a channel. A search restricted to haiermedical.com surfaced the news item 'HB Showcases Cutting-Edge Innovations at Israel Expo', whose snippet says Haier Biomedical's partner Ex-Lab presented its lineup of laboratory equipment at a university expo hosted by the Weizmann Institute and the Technion, so Ex-Lab is recorded as the Israeli partner on the manufacturer's own word. Two follow-up searches (unrestricted and .co.il-wide) could not locate Ex-Lab's website or any Israeli page selling Haier Biomedical ULT freezers (results were Eppendorf, Nordiclab/BDL, Kalstein and household Haier retail), and the distributor-domain search returned nothing. The date of the expo is not visible in the snippet, so the partnership's current status is unconfirmed. Haier Biomedical's own news page names Ex-Lab (Petah Tikva) as its Israeli partner; a directory profile says EX-LAB also carries Daihan, DLab, Heal Force, Frimed and Marathon.</t>
    </r>
  </si>
  <si>
    <t xml:space="preserve">+86 532 8893 7380</t>
  </si>
  <si>
    <t xml:space="preserve">inquiry@haierbiomedical.com</t>
  </si>
  <si>
    <t xml:space="preserve">Branding Building, No. 1 Haier Road, Qingdao 266101, Shandong, China (CB Insights lists No. 280 Feng Yuan Road, Qingdao)</t>
  </si>
  <si>
    <t xml:space="preserve">https://www.haiermedical.com/contact</t>
  </si>
  <si>
    <t xml:space="preserve">https://disfold.com/company/qingdao-haier-biomedical-co-ltd/</t>
  </si>
  <si>
    <t xml:space="preserve">https://www.thomassci.com/browse-by/suppliers/haier | https://www.aap.com.au/aapreleases/cision20260430ae47721/ | https://stockanalysis.com/quote/sha/688139/financials/income-statement/ | https://www.sse.com.cn/star/en/marketdata/snapshot/c/5485106.shtml | https://www.biospace.com/press-releases/haier-biomedical-achieves-double-no-1-ranking-in-euromonitors-global-life-science-lab-equipment-report-caps-three-phase-global-expansion | https://onenucleus.com/haier-biomedical | https://www.haiermedical.com/News/HB-Showcases-Cutting-Edge-Innovations-at-Israel-Expo | https://www.haiermedical.com/news/Haier-Biomedical-Distributor-Conference-Concluded.html | https://www.cls.cn/detail/2327752 | https://kyodonewsprwire.jp/release/202605018460 | https://ex-lab.com/ | https://ex-lab.com/products/%D7%9E%D7%A7%D7%A4%D7%99%D7%90-%D7%9E%D7%A2%D7%91%D7%93%D7%AA%D7%99-haier-80c/ | https://ex-lab.com/products/%D7%90%D7%95%D7%98%D7%95%D7%A7%D7%9C%D7%90%D7%91-%D7%95%D7%A8%D7%98%D7%99%D7%A7%D7%9C%D7%99-haier/ | https://ex-lab.com/gallery/ | https://www.haiermedical.com/contact</t>
  </si>
  <si>
    <t xml:space="preserve">Halyard Health</t>
  </si>
  <si>
    <t xml:space="preserve">https://www.thomassci.com/browse-by/suppliers/halyard-health</t>
  </si>
  <si>
    <t xml:space="preserve">https://halyardhealth.sg</t>
  </si>
  <si>
    <t xml:space="preserve">HALYARD* PUREZERO* MARIN* Nitrile Exam Gloves</t>
  </si>
  <si>
    <t xml:space="preserve">HALYARD* PUREZERO* LIMON* Nitrile Exam Gloves</t>
  </si>
  <si>
    <t xml:space="preserve">HALYARD* Universal Precautions Lab Coat, White</t>
  </si>
  <si>
    <t xml:space="preserve">https://www.halyardhealth.sg/contact-a-sales-rep/</t>
  </si>
  <si>
    <t xml:space="preserve">https://www.thomassci.com/browse-by/suppliers/halyard-health | https://www.halyardhealth.sg/contact-a-sales-rep/</t>
  </si>
  <si>
    <t xml:space="preserve">Hamilton</t>
  </si>
  <si>
    <t xml:space="preserve">https://www.dutscher.com/search?initialFilters=brand:Hamilton</t>
  </si>
  <si>
    <t xml:space="preserve">https://www.thomassci.com/browse-by/suppliers/hamilton</t>
  </si>
  <si>
    <t xml:space="preserve">https://www.hamiltoncompany.com</t>
  </si>
  <si>
    <t xml:space="preserve">Reno, Nevada (co-headquarters: Franklin, Massachusetts and Bonaduz, Graubuenden, Switzerland)</t>
  </si>
  <si>
    <t xml:space="preserve">USD ~600 million (trade estimate; private)</t>
  </si>
  <si>
    <t xml:space="preserve">Microlab STAR / STARlet / Vantage</t>
  </si>
  <si>
    <t xml:space="preserve">Hamilton precision syringes (Microliter / Gastight)</t>
  </si>
  <si>
    <t xml:space="preserve">Hamilton Storage BiOS / SAM</t>
  </si>
  <si>
    <t xml:space="preserve">Danyel Biotech Ltd. (Gamida for Life group); Ophir Analytical Ltd.; Tarom Applied Technologies Ltd.; Bepex</t>
  </si>
  <si>
    <t xml:space="preserve">Danyel Biotech Ltd. (Gamida for Life group): 1-800-711-911 (also +972 8-936-6066); Ophir Analytical Ltd.: +972 3-902-2277; Tarom Applied Technologies Ltd.:; Bepex: +972-9-972-7600 cs@bepex.co.il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</si>
  <si>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Re-confirmed on the manufacturer's side: Hamilton's live 'Find a Distributor' (laboratory products) page lists Danyel Biotech (Rehovot, danyel.co.il) and Ophir Analytical (Rosh Ha'ayin; lab syringes, needles, Microlab 600 diluter/dispenser, GC septa, HPLC columns) for Israel, and its process-analytics sensor distributor page lists Tarom Applied Technologies Ltd. (Petach-Tikva, tarom.co.il). Hamilton says it sells directly through its website and via major distributors; the exact Hamilton business lines covered by Danyel (robotics/storage) are still not itemised in the snippet. Danyel Biotech's home page lists Hamilton among the brands it works with (seen in a search excerpt); which Hamilton business (robotics / storage / syringes) is not stated. Danyel Biotech's site has Hamilton and Hamilton Storage brand pages.</t>
    </r>
  </si>
  <si>
    <t xml:space="preserve">+1 775 858 3000</t>
  </si>
  <si>
    <t xml:space="preserve">4970 Energy Way, Reno, NV 89502, USA</t>
  </si>
  <si>
    <t xml:space="preserve">https://www.hamiltoncompany.com/contact</t>
  </si>
  <si>
    <t xml:space="preserve">https://www.hamiltoncompany.com/support/global-headquarters-subsidiaries</t>
  </si>
  <si>
    <t xml:space="preserve">https://www.dutscher.com/search?initialFilters=brand:Hamilton | https://www.quartzy.com/suppliers | https://www.thomassci.com/browse-by/suppliers/hamilton | https://www.gr.ch/EN/institutions/administration/dvs/awt/wirtschaftsstandort/testimonials/Seiten/65_Hamilton-Bonaduz-AG.aspx | https://www.reveliolabs.com/companies/hamilton/employees | https://www.reveliolabs.com/companies/hamilton-bonaduz/employees/ | https://www.blick.ch/news/wirtschaft/jobwunder-in-bonaduz-gr-hamilton-sucht-300-neue-mitarbeiter-id16108254.html | https://www.hamiltoncompany.com/products/automated-liquid-handling/liquid-handling-workstations/microlab-star-line | https://jobs.hamilton.ch/en/about-us/robotics/ | https://www.danyel.co.il/ | https://www.danyel.co.il/hamilton/ | https://www.hamiltoncompany.com/laboratory-product-distribution-list | https://www.hamiltoncompany.com/process-analystics-sensor-product-distribution-list | https://www.hamiltoncompany.com/distributors | https://www.bepex.co.il/</t>
  </si>
  <si>
    <t xml:space="preserve">Hammacher</t>
  </si>
  <si>
    <t xml:space="preserve">https://www.dutscher.com/search?initialFilters=brand:Hammacher</t>
  </si>
  <si>
    <t xml:space="preserve">Reusable spatula and spoon</t>
  </si>
  <si>
    <t xml:space="preserve">Stainless steel micro-spoon 18/12 Wironit - 140 mm</t>
  </si>
  <si>
    <t xml:space="preserve">Micro-pestle, length 124 mm, diameter 1.5 mm - for 1.5 ml tube</t>
  </si>
  <si>
    <t xml:space="preserve">Stainless steel tweezers Wironit - Dumont type - curved number 7 - 105 mm</t>
  </si>
  <si>
    <t xml:space="preserve">Hanna</t>
  </si>
  <si>
    <t xml:space="preserve">https://www.dutscher.com/search?initialFilters=brand:Hanna</t>
  </si>
  <si>
    <t xml:space="preserve">Standard solution pH 7.01 - 20 ml bag</t>
  </si>
  <si>
    <t xml:space="preserve">pH tester Hanna HI 98130 pH/EC Combo</t>
  </si>
  <si>
    <t xml:space="preserve">Checker® pH Meter</t>
  </si>
  <si>
    <t xml:space="preserve">Agrolan Ltd.</t>
  </si>
  <si>
    <t xml:space="preserve">Agrolan Ltd.: +972-4-666-9999 agrolan@agrolan.co.il</t>
  </si>
  <si>
    <t xml:space="preserve">https://www.dutscher.com/search?initialFilters=brand:Hanna | http://www.agrolan.com/index.asp</t>
  </si>
  <si>
    <t xml:space="preserve">Hanna Instruments</t>
  </si>
  <si>
    <t xml:space="preserve">https://www.thomassci.com/browse-by/suppliers/hanna-instruments</t>
  </si>
  <si>
    <t xml:space="preserve">https://www.hannainst.com</t>
  </si>
  <si>
    <t xml:space="preserve">Woonsocket, Rhode Island</t>
  </si>
  <si>
    <t xml:space="preserve">USD ~150 million (trade estimate; private)</t>
  </si>
  <si>
    <t xml:space="preserve">HI931 / HI932</t>
  </si>
  <si>
    <t xml:space="preserve">edge (HI2020)</t>
  </si>
  <si>
    <t xml:space="preserve">HI83300 series &amp; Checker HC</t>
  </si>
  <si>
    <t xml:space="preserve">Medent Scientific Instruments; BioAnalytics; Cannadepot; Mercury (mercury-ltd.co.il; part of Gadot Chemicals Group)</t>
  </si>
  <si>
    <t xml:space="preserve">Medent Scientific Instruments: +972 72-395-0508 (sales); +972 8-683-6306 (service) info@medent.co.il; BioAnalytics: +972-72-242-9555; Cannadepot:; Mercury (mercury-ltd.co.il; part of Gadot Chemicals Group): +972 3-938-7164</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</si>
  <si>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Changed: Hanna's own live Israel page names Mercury (mercury-ltd.co.il, Gadot Chemicals Group since 2022) as its distributor, with the partnership active since 2023, which settles the official importer question the earlier record left open; Mercury is added as a new entity. Medent remains a current reseller on the strength of its live Hanna product pages and partners page. BioAnalytics and Cannadepot were not re-checked within the search budget and are kept as older evidence. Hanna products are sold in Israel by Medent Scientific Instruments (</t>
    </r>
    <r>
      <rPr>
        <sz val="11"/>
        <color theme="1"/>
        <rFont val="FreeSans"/>
        <family val="2"/>
      </rPr>
      <t xml:space="preserve">מדנט מכשור מדעי</t>
    </r>
    <r>
      <rPr>
        <sz val="11"/>
        <color theme="1"/>
        <rFont val="Calibri"/>
        <family val="2"/>
        <charset val="1"/>
      </rPr>
      <t xml:space="preserve">; an extensive Hanna catalogue of pH/EC/TDS meters, electrodes and photometers on its own site), BioAnalytics (bioanalytics.co.il; Hanna pool/spa and food pH testers) and the online retailer Cannadepot (Hanna portable testers). Hanna's own 'Find My Hanna' page lists Israel, but the local contact was not visible in search snippets, so the official importer or exclusive distributor is not established; the companies above may be resellers of that importer.</t>
    </r>
  </si>
  <si>
    <t xml:space="preserve">+1 401-765-0048</t>
  </si>
  <si>
    <t xml:space="preserve">intsales@hannainst.com; sales@hannainst.com (US sales/technical service office, Smithfield RI)</t>
  </si>
  <si>
    <t xml:space="preserve">584 Park East Drive, Highland Industrial Park, Woonsocket, RI 02895, USA</t>
  </si>
  <si>
    <t xml:space="preserve">https://hannainst.com/contact-us/</t>
  </si>
  <si>
    <t xml:space="preserve">https://hannainst.ec/catalogo/14</t>
  </si>
  <si>
    <t xml:space="preserve">https://www.thomassci.com/browse-by/suppliers/hanna-instruments | https://healthmanagement.org/site/p/hanna-instruments-inc | https://hannaservice.eu/about-us | https://www.tradearabia.com/news/IND_214894.html | https://www.medent.co.il/scientific.equipment/store/product-tag/hanna-instruments/ | https://www.medent.co.il/scientific.equipment/wp-content/uploads/2019/09/Hanna-Instruments-HI99161-1.pdf | https://www.bioanalytics.co.il/products/hannah-pool-line-ph-tester-according-to-6223-israeli-standard/ | https://www.bioanalytics.co.il/products/hi-9810382-bread-and-dough-ph-tester/ | https://cannadepot.co.il/product-category/%D7%9E%D7%93%D7%99%D7%93%D7%94-%D7%95%D7%91%D7%A7%D7%A8%D7%94/hanna-instruments-%D7%9E%D7%9B%D7%A9%D7%99%D7%A8%D7%99%D7%9D-%D7%94%D7%90%D7%A0%D7%94/ | https://pages.hannainst.com/find-my-hanna | https://hannainst.com/contact-us-international-inquiry/ | https://pages.hannainst.com/israel | https://www.medent.co.il/en/project/page/2/ | https://medent.co.il/scientific.equipment/product/hi-901w-wine-titrator/ | https://medent.co.il/scientific.equipment/product/%D7%9E%D7%93-phorpise-%D7%95%D7%98%D7%9E%D7%A4%D7%A8%D7%98%D7%95%D7%A8%D7%94-%D7%9E%D7%AA%D7%A7%D7%93%D7%9D-%D7%93%D7%92%D7%9D-hi5222/ | https://hannainst.com/contact-us/</t>
  </si>
  <si>
    <t xml:space="preserve">Hardy Diagnostics</t>
  </si>
  <si>
    <t xml:space="preserve">https://www.thomassci.com/browse-by/suppliers/hardy-diagnostics</t>
  </si>
  <si>
    <t xml:space="preserve">https://hardydiagnostics.com</t>
  </si>
  <si>
    <t xml:space="preserve">CompactDry™ E.Coli (EC) and Coliforms for colony counting</t>
  </si>
  <si>
    <t xml:space="preserve">Blood Agar Plate, 5% Sheep Blood in Tryptic Soy Agar (TSA) Base</t>
  </si>
  <si>
    <t xml:space="preserve">KWIK-STIK™ Escherichia coli derived from ATCC® 35218™</t>
  </si>
  <si>
    <t xml:space="preserve">Hardy Diagnostics (Santa Maria, CA) exports to 80+ foreign distributors (unnamed); no Israeli distributor named in results.</t>
  </si>
  <si>
    <t xml:space="preserve">https://www.quartzy.com/suppliers | https://www.thomassci.com/browse-by/suppliers/hardy-diagnostics</t>
  </si>
  <si>
    <t xml:space="preserve">Hartmann</t>
  </si>
  <si>
    <t xml:space="preserve">https://www.dutscher.com/search?initialFilters=brand:Hartmann</t>
  </si>
  <si>
    <t xml:space="preserve">https://www.hartmann.info</t>
  </si>
  <si>
    <t xml:space="preserve">Medimask protective glasses</t>
  </si>
  <si>
    <t xml:space="preserve">Pur-Zellin cellulose buffer</t>
  </si>
  <si>
    <t xml:space="preserve">Sterilisation sheet</t>
  </si>
  <si>
    <t xml:space="preserve">https://www.hartmann.info/en-dx/country-selection</t>
  </si>
  <si>
    <t xml:space="preserve">https://www.dutscher.com/search?initialFilters=brand:Hartmann | https://www.hartmann.info/en-dx/country-selection</t>
  </si>
  <si>
    <t xml:space="preserve">Harvard Apparatus</t>
  </si>
  <si>
    <t xml:space="preserve">https://www.thomassci.com/browse-by/suppliers/harvard-apparatus</t>
  </si>
  <si>
    <t xml:space="preserve">https://harvardapparatus.com</t>
  </si>
  <si>
    <t xml:space="preserve">Small Diameter Coverslips</t>
  </si>
  <si>
    <t xml:space="preserve">Coverslip: #1.5 Thickness (0.17 mm or 0.0067 in.)</t>
  </si>
  <si>
    <t xml:space="preserve">Needle Array</t>
  </si>
  <si>
    <t xml:space="preserve">Harvard Bioscience says it sells via direct and distribution channels; no Israeli distributor named (only a used-equipment eBay seller in Petah Tikva).</t>
  </si>
  <si>
    <t xml:space="preserve">+800-232-2380</t>
  </si>
  <si>
    <t xml:space="preserve">orders@harvardapparatus.com</t>
  </si>
  <si>
    <t xml:space="preserve">https://www.harvardapparatus.com/contact</t>
  </si>
  <si>
    <t xml:space="preserve">https://www.quartzy.com/suppliers | https://www.thomassci.com/browse-by/suppliers/harvard-apparatus | https://nbtltd.com/products-page | https://www.harvardapparatus.com/contact</t>
  </si>
  <si>
    <t xml:space="preserve">Hausser Scientific</t>
  </si>
  <si>
    <t xml:space="preserve">https://www.thomassci.com/browse-by/suppliers/hausser-scientific</t>
  </si>
  <si>
    <t xml:space="preserve">https://hausserscientific.com</t>
  </si>
  <si>
    <t xml:space="preserve">Rectangular Cover Glass</t>
  </si>
  <si>
    <t xml:space="preserve">Hausser Hy-Lite Hemacytometers</t>
  </si>
  <si>
    <t xml:space="preserve">Hemacytometer Cover Glass</t>
  </si>
  <si>
    <t xml:space="preserve">215.675.7769</t>
  </si>
  <si>
    <t xml:space="preserve">sales@hausserscientific.com</t>
  </si>
  <si>
    <t xml:space="preserve">https://www.hausserscientific.com/Contact-Us.html</t>
  </si>
  <si>
    <t xml:space="preserve">https://www.thomassci.com/browse-by/suppliers/hausser-scientific | https://www.hausserscientific.com/Contact-Us.html</t>
  </si>
  <si>
    <t xml:space="preserve">Haver &amp; Boeker</t>
  </si>
  <si>
    <t xml:space="preserve">https://www.dutscher.com/search?initialFilters=brand:Haver+%26+Boeker</t>
  </si>
  <si>
    <t xml:space="preserve">Sieve</t>
  </si>
  <si>
    <t xml:space="preserve">Test Sieve ø x H (mm) = 100 x 45 - opening size 2 mm</t>
  </si>
  <si>
    <t xml:space="preserve">Test Sieve ø x H (mm) = 200 x 50 - opening size 2 mm</t>
  </si>
  <si>
    <t xml:space="preserve">Test Sieve ø x H (mm) = 200 x 50 - opening size 50 µm</t>
  </si>
  <si>
    <t xml:space="preserve">Heathrow Scientific</t>
  </si>
  <si>
    <t xml:space="preserve">https://www.thomassci.com/browse-by/suppliers/heathrow-scientific</t>
  </si>
  <si>
    <t xml:space="preserve">https://heathrowscientific.com</t>
  </si>
  <si>
    <t xml:space="preserve">OneRack® Full-Size Delrin® POM Test Tube Racks</t>
  </si>
  <si>
    <t xml:space="preserve">Cube Rack</t>
  </si>
  <si>
    <t xml:space="preserve">Only distributor listings in Australia/NZ/US (DKSH, Raptor, Mediray, VWR, Sigma); no Israel mention.</t>
  </si>
  <si>
    <t xml:space="preserve">1-847-816-5070</t>
  </si>
  <si>
    <t xml:space="preserve">https://www.heathrowscientific.com/contactus/</t>
  </si>
  <si>
    <t xml:space="preserve">https://www.quartzy.com/suppliers | https://www.thomassci.com/browse-by/suppliers/heathrow-scientific | https://www.heathrowscientific.com/contactus/</t>
  </si>
  <si>
    <t xml:space="preserve">Heidolph</t>
  </si>
  <si>
    <t xml:space="preserve">https://www.dutscher.com/search?initialFilters=brand:Heidolph</t>
  </si>
  <si>
    <t xml:space="preserve">https://www.thomassci.com/browse-by/suppliers/heidolph</t>
  </si>
  <si>
    <t xml:space="preserve">https://heidolph.com</t>
  </si>
  <si>
    <t xml:space="preserve">Schwabach</t>
  </si>
  <si>
    <t xml:space="preserve">ATS Corporation (Cambridge, Ontario, Canada)</t>
  </si>
  <si>
    <t xml:space="preserve">laboratory equipment manufacturer</t>
  </si>
  <si>
    <t xml:space="preserve">EUR ~50 million</t>
  </si>
  <si>
    <t xml:space="preserve">FY ending Mar-2024</t>
  </si>
  <si>
    <t xml:space="preserve">Hei-VAP series</t>
  </si>
  <si>
    <t xml:space="preserve">Hei-TORQUE series</t>
  </si>
  <si>
    <t xml:space="preserve">Hei-PLATE / Hei-Tec</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</si>
  <si>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Labotal's live Represented Firms page still lists Heidolph and the site describes Labotal as a Heidolph premium distributor with a three-year Heidolph warranty, so the relationship is current on the distributor's side. A search restricted to heidolph.com returned no Israel page, so the manufacturer's own listing was not seen. No other Israeli Heidolph channel surfaced. Labotal's own site lists the brand among the firms it represents and sells its products in Israel (some Labotal pages are several years old; the manufacturer's distributor page was not opened).</t>
    </r>
  </si>
  <si>
    <t xml:space="preserve">+49 9122 9920-0</t>
  </si>
  <si>
    <t xml:space="preserve">sales@heidolph.de</t>
  </si>
  <si>
    <t xml:space="preserve">Walpersdorfer Str. 12, 91126 Schwabach, Germany</t>
  </si>
  <si>
    <t xml:space="preserve">https://www.heidolph.com/asia/ko/Contact/WorldWideExperts</t>
  </si>
  <si>
    <t xml:space="preserve">https://prod.heidolph.com/Images%20%26%20Graphics/Africa%2C%20Asia%2C%20Middle%20East%2C%20South%20America.pdf</t>
  </si>
  <si>
    <t xml:space="preserve">Q5699017</t>
  </si>
  <si>
    <t xml:space="preserve">https://www.dutscher.com/search?initialFilters=brand:Heidolph | https://www.quartzy.com/suppliers | https://www.thomassci.com/browse-by/suppliers/heidolph | https://www.businesswire.com/news/home/20240807352286/en | https://www.analytica-world.com/en/news/1184197 | https://mergr.com/company/heidolph | https://imap.com/ba-bs/transactions/ats-corporation-heidolph-instruments-gmbh-and-co-kg-and-hans-heidolph-gmbh~t | https://www.bayern-international.de/en/company-database/company-details/heidolph-instruments-gmbh-co-kg-3084 | https://heidolph.com/emea/en/Contact/WorldWideExperts | https://www.heidolph-instruments.com/com/en/company | https://labotal.co.il/company-news/?lang=en | https://labotal.co.il/firms/?lang=en | https://labotal.co.il/awards/?lang=en | https://www.wikidata.org/wiki/Q5699017 | https://heidolph.com/dach/en/Contact</t>
  </si>
  <si>
    <t xml:space="preserve">Hellma</t>
  </si>
  <si>
    <t xml:space="preserve">https://www.dutscher.com/search?initialFilters=brand:Hellma</t>
  </si>
  <si>
    <t xml:space="preserve">Hellma high precision cell for spectrophotometry with PTFE lid - QS quartz, light path: 10 mm</t>
  </si>
  <si>
    <t xml:space="preserve">STANDARD MICROPLATE FOR CHECKING ABSORBANCE WITH NEUTRAL GLASS</t>
  </si>
  <si>
    <t xml:space="preserve">UV5 LIQUID FILTER</t>
  </si>
  <si>
    <t xml:space="preserve">Lumitron Ltd.</t>
  </si>
  <si>
    <t xml:space="preserve">Lumitron Ltd.: +972 52-525-6287 lumitron@lumitron.co.il</t>
  </si>
  <si>
    <t xml:space="preserve">https://www.dutscher.com/search?initialFilters=brand:Hellma | https://www.lumitron.co.il/</t>
  </si>
  <si>
    <t xml:space="preserve">HelloBio</t>
  </si>
  <si>
    <t xml:space="preserve">https://hellobio.com</t>
  </si>
  <si>
    <t xml:space="preserve">609-683-7500</t>
  </si>
  <si>
    <t xml:space="preserve">hello@hellobio.com</t>
  </si>
  <si>
    <t xml:space="preserve">https://hellobio.com/contact-us</t>
  </si>
  <si>
    <t xml:space="preserve">https://www.quartzy.com/suppliers | https://hellobio.com/contact-us</t>
  </si>
  <si>
    <t xml:space="preserve">Hemco</t>
  </si>
  <si>
    <t xml:space="preserve">https://www.thomassci.com/browse-by/suppliers/hemco</t>
  </si>
  <si>
    <t xml:space="preserve">https://hemcocorp.com</t>
  </si>
  <si>
    <t xml:space="preserve">(816) 796-2900</t>
  </si>
  <si>
    <t xml:space="preserve">info@hemcocorp.com</t>
  </si>
  <si>
    <t xml:space="preserve">https://hemcocorp.com/contactus.html</t>
  </si>
  <si>
    <t xml:space="preserve">https://www.thomassci.com/browse-by/suppliers/hemco | https://hemcocorp.com/contactus.html</t>
  </si>
  <si>
    <t xml:space="preserve">Hemp's Power Tool Repair</t>
  </si>
  <si>
    <t xml:space="preserve">https://www.thomassci.com/browse-by/suppliers/hemps-power-tool-repair</t>
  </si>
  <si>
    <t xml:space="preserve">Hengar</t>
  </si>
  <si>
    <t xml:space="preserve">https://www.thomassci.com/browse-by/suppliers/hengar</t>
  </si>
  <si>
    <t xml:space="preserve">https://hengary.com</t>
  </si>
  <si>
    <t xml:space="preserve">Plain Boiling Granules</t>
  </si>
  <si>
    <t xml:space="preserve">Carborundum #12 Boiling Granules</t>
  </si>
  <si>
    <t xml:space="preserve">Selenized Boiling Granules</t>
  </si>
  <si>
    <t xml:space="preserve">Hettich</t>
  </si>
  <si>
    <t xml:space="preserve">https://www.dutscher.com/search?initialFilters=brand:Hettich</t>
  </si>
  <si>
    <t xml:space="preserve">https://www.hettichlab.com</t>
  </si>
  <si>
    <t xml:space="preserve">Bregal Unternehmerkapital (investor via 2024 growth partnership; stake size not verified)</t>
  </si>
  <si>
    <t xml:space="preserve">Centrifuges</t>
  </si>
  <si>
    <t xml:space="preserve">&gt; EUR 100 million</t>
  </si>
  <si>
    <t xml:space="preserve">UNIVERSAL 320 / 320 R</t>
  </si>
  <si>
    <t xml:space="preserve">ROTINA 380 / 420 (R)</t>
  </si>
  <si>
    <t xml:space="preserve">HettCube</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</si>
  <si>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Upgraded from the 2016 archive page: Hettich's own live contact page names Eldan Electronic Instruments Co. Ltd. (Neopharm Building, Petach-Tikva) as its Israel contact, and Eldan's live laboratory-instruments page lists Hettich benchtop, floor-standing and high-performance centrifuges plus HettCube/CO2 incubators. Both sides therefore confirm the relationship as current. The same Hettich page lists Arcomed (Ramallah) separately for Palestine. Search '"Hettich" centrifuge Israel distributor' returned Eldan's own page 'Hettich Lab Technology' (https://eldan.biz/?p=9327, Neopharm Group) stating 'Eldan offers in Israel the whole product range by Hettich'; the page sits in Eldan's 2016 archive (eldan.biz/2016/page/3), so the relationship is documented as of 2016 and its current status should be re-confirmed. Not cross-checked on hettichlab.com (page could not be opened). A Sigma-Aldrich Israel catalogue entry for a Hettich item also appeared but is a global catalogue listing, not distribution evidence. Hebrew search 'Hettich </t>
    </r>
    <r>
      <rPr>
        <sz val="11"/>
        <color theme="1"/>
        <rFont val="FreeSans"/>
        <family val="2"/>
      </rPr>
      <t xml:space="preserve">צנטריפוגה יבואן ישראל אלדן</t>
    </r>
    <r>
      <rPr>
        <sz val="11"/>
        <color theme="1"/>
        <rFont val="Calibri"/>
        <family val="2"/>
        <charset val="1"/>
      </rPr>
      <t xml:space="preserve">' added nothing. Tooling caveat: in this session WebFetch failed with DNS errors on every host, direct HTTPS was policy-blocked by the proxy, and the shared per-turn WebSearch budget ran out before .co.il-restricted and manufacturer-site-restricted searches could run. Steps (b) manufacturer distributor page and (c) Israeli distributor site check were therefore NOT completed; only step (a) searches were done.</t>
    </r>
  </si>
  <si>
    <t xml:space="preserve">+49 7461 705-0</t>
  </si>
  <si>
    <t xml:space="preserve">info@hettichlab.com</t>
  </si>
  <si>
    <t xml:space="preserve">Föhrenstraße 12, 78532 Tuttlingen, Germany</t>
  </si>
  <si>
    <t xml:space="preserve">https://www.hettichlab.com/contact/</t>
  </si>
  <si>
    <t xml:space="preserve">https://www.hettichlab.com/imprint</t>
  </si>
  <si>
    <t xml:space="preserve">https://www.dutscher.com/search?initialFilters=brand:Hettich | https://eldan.biz/?p=9327 | https://eldan.biz/2016/page/3 | https://hettichlab.com/about-us/company/ | https://www.hettichlab.com/about-us/company/history/ | https://www.life-sciences-europe.com/organisation/hettich-group-tuttlingen-baden-wuerttemberg-federal-state-germany-2001-19542.html | https://www.selectscience.net/company/andreas-hettich-gmbh | https://www.medicalexpo.com/ja/soc/andreas-hettich-gmbh-cokg-67600.html | https://prospeo.io/c/andreas-hettich-revenue | https://b2b.sigmaaldrich.com/IL/en/product/sigma/z631116 | https://www.hettichlab.com/contact/ | https://www.eldan.biz/laboratory-instruments/ | https://www.bionity.com/de/news/1182379/hettich-schliesst-uebernahme-von-kirsch-medical-zum-jahresende-erfolgreich-ab.html | https://www.stepstone.de/cmp/de/Andreas-Hettich-GmbH-239096/jobs.html | https://www.life-sciences-europe.com/organisation/andreas-hettich-gmbh-group-tuttlingen-baden-wuerttemberg-federal-2001-19621.html</t>
  </si>
  <si>
    <t xml:space="preserve">Hettich Instruments</t>
  </si>
  <si>
    <t xml:space="preserve">https://www.thomassci.com/browse-by/suppliers/hettich-instruments</t>
  </si>
  <si>
    <t xml:space="preserve">https://www.thomassci.com/browse-by/suppliers/hettich-instruments | https://eldan.biz/?p=9327 | https://eldan.biz/2016/page/3 | https://hettichlab.com/about-us/company/ | https://www.hettichlab.com/about-us/company/history/ | https://www.life-sciences-europe.com/organisation/hettich-group-tuttlingen-baden-wuerttemberg-federal-state-germany-2001-19542.html | https://www.selectscience.net/company/andreas-hettich-gmbh | https://www.medicalexpo.com/ja/soc/andreas-hettich-gmbh-cokg-67600.html | https://prospeo.io/c/andreas-hettich-revenue | https://b2b.sigmaaldrich.com/IL/en/product/sigma/z631116 | https://www.hettichlab.com/contact/ | https://www.eldan.biz/laboratory-instruments/ | https://www.bionity.com/de/news/1182379/hettich-schliesst-uebernahme-von-kirsch-medical-zum-jahresende-erfolgreich-ab.html | https://www.stepstone.de/cmp/de/Andreas-Hettich-GmbH-239096/jobs.html | https://www.life-sciences-europe.com/organisation/andreas-hettich-gmbh-group-tuttlingen-baden-wuerttemberg-federal-2001-19621.html</t>
  </si>
  <si>
    <t xml:space="preserve">HF Scientific</t>
  </si>
  <si>
    <t xml:space="preserve">https://www.thomassci.com/browse-by/suppliers/hf-scientific</t>
  </si>
  <si>
    <t xml:space="preserve">Chlorine Testing Dispenser</t>
  </si>
  <si>
    <t xml:space="preserve">ProCal Turbidity Calibration Standards</t>
  </si>
  <si>
    <t xml:space="preserve">Accessories for Micro100 Laboratory Turbidimeters</t>
  </si>
  <si>
    <t xml:space="preserve">High Five</t>
  </si>
  <si>
    <t xml:space="preserve">https://www.thomassci.com/browse-by/suppliers/high-five</t>
  </si>
  <si>
    <t xml:space="preserve">https://highfive.org</t>
  </si>
  <si>
    <t xml:space="preserve">High Five Long Cuff Nitrile Exam Gloves</t>
  </si>
  <si>
    <t xml:space="preserve">E-GRIP® MAX Latex Exam Gloves</t>
  </si>
  <si>
    <t xml:space="preserve">Integra EC Nitrile Exam Gloves</t>
  </si>
  <si>
    <t xml:space="preserve">https://www.highfive.org/</t>
  </si>
  <si>
    <t xml:space="preserve">https://www.thomassci.com/browse-by/suppliers/high-five | https://www.highfive.org/</t>
  </si>
  <si>
    <t xml:space="preserve">High-Purity Standards</t>
  </si>
  <si>
    <t xml:space="preserve">https://highpuritystandards.com</t>
  </si>
  <si>
    <t xml:space="preserve">+1.716.882.0920</t>
  </si>
  <si>
    <t xml:space="preserve">https://www.zeptometrix.com/us/en/contact</t>
  </si>
  <si>
    <t xml:space="preserve">https://www.quartzy.com/suppliers | https://www.zeptometrix.com/us/en/contact</t>
  </si>
  <si>
    <t xml:space="preserve">High Tech Conversions</t>
  </si>
  <si>
    <t xml:space="preserve">https://www.thomassci.com/browse-by/suppliers/high-tech-conversions</t>
  </si>
  <si>
    <t xml:space="preserve">https://high-techconversions.com</t>
  </si>
  <si>
    <t xml:space="preserve">ULTIMATE 60™ Polyester Sealed Edge Cleanroom Wipers</t>
  </si>
  <si>
    <t xml:space="preserve">Tacky Traxx™ Mats</t>
  </si>
  <si>
    <t xml:space="preserve">FREE-SAT™ ULTIMATE 70™ Pre-Saturated Polyester Wipers</t>
  </si>
  <si>
    <t xml:space="preserve">860-265-2633</t>
  </si>
  <si>
    <t xml:space="preserve">info@high-techconversions.com</t>
  </si>
  <si>
    <t xml:space="preserve">https://high-techconversions.com/contact/</t>
  </si>
  <si>
    <t xml:space="preserve">https://www.thomassci.com/browse-by/suppliers/high-tech-conversions | https://high-techconversions.com/contact/</t>
  </si>
  <si>
    <t xml:space="preserve">HiMedia</t>
  </si>
  <si>
    <t xml:space="preserve">https://www.dutscher.com/search?initialFilters=brand:HiMedia</t>
  </si>
  <si>
    <t xml:space="preserve">https://www.thomassci.com/browse-by/suppliers/himedia</t>
  </si>
  <si>
    <t xml:space="preserve">https://www.himedialabs.com</t>
  </si>
  <si>
    <t xml:space="preserve">Bismuth Sulphite Agar</t>
  </si>
  <si>
    <t xml:space="preserve">Litmus Milk</t>
  </si>
  <si>
    <t xml:space="preserve">Potassium Tellurite 3.5%</t>
  </si>
  <si>
    <t xml:space="preserve">HiMedia distributors found for Germany (neoFroxx, exclusive) and North America (own subsidiary HiMedia Laboratories LLC) plus a VWR India agreement; no Israel entry.</t>
  </si>
  <si>
    <t xml:space="preserve">https://www.dutscher.com/search?initialFilters=brand:HiMedia | https://www.thomassci.com/browse-by/suppliers/himedia</t>
  </si>
  <si>
    <t xml:space="preserve">HiMedia Labs</t>
  </si>
  <si>
    <t xml:space="preserve">Hirschmann</t>
  </si>
  <si>
    <t xml:space="preserve">https://www.dutscher.com/search?initialFilters=brand:Hirschmann</t>
  </si>
  <si>
    <t xml:space="preserve">https://www.thomassci.com/browse-by/suppliers/hirschmann</t>
  </si>
  <si>
    <t xml:space="preserve">https://hirschmann-inc.com</t>
  </si>
  <si>
    <t xml:space="preserve">Pipetus®</t>
  </si>
  <si>
    <t xml:space="preserve">Suction Tube, Length 16 Inches</t>
  </si>
  <si>
    <t xml:space="preserve">Graduated glass pipette 10 ml</t>
  </si>
  <si>
    <t xml:space="preserve">Hirschmann Laborgeraete claims sales partners in 100+ countries but none named for Israel; results polluted by the unrelated Hirschmann Test &amp; Measurement (SOS electronic).</t>
  </si>
  <si>
    <t xml:space="preserve">https://www.dutscher.com/search?initialFilters=brand:Hirschmann | https://www.quartzy.com/suppliers | https://www.thomassci.com/browse-by/suppliers/hirschmann</t>
  </si>
  <si>
    <t xml:space="preserve">Hoefer</t>
  </si>
  <si>
    <t xml:space="preserve">https://www.thomassci.com/browse-by/suppliers/hoefer</t>
  </si>
  <si>
    <t xml:space="preserve">https://hoeferinc.com</t>
  </si>
  <si>
    <t xml:space="preserve">SE400 Vertical Electrophoresis Systems</t>
  </si>
  <si>
    <t xml:space="preserve">Small Glass and Alumina Plates for Mini Vertical Units</t>
  </si>
  <si>
    <t xml:space="preserve">EvoPower300 and EvoPower500 Electrophoresis Power Supplies</t>
  </si>
  <si>
    <t xml:space="preserve">Only product/brand pages (Sigma-Aldrich, DKSH, Fisher, ThomasSci); no Israeli partner.</t>
  </si>
  <si>
    <t xml:space="preserve">+1 (508) 807-4665</t>
  </si>
  <si>
    <t xml:space="preserve">sales@hoeferinc.com</t>
  </si>
  <si>
    <t xml:space="preserve">https://hoeferinc.com/pages/contact</t>
  </si>
  <si>
    <t xml:space="preserve">https://www.quartzy.com/suppliers | https://www.thomassci.com/browse-by/suppliers/hoefer | https://hoeferinc.com/pages/contact</t>
  </si>
  <si>
    <t xml:space="preserve">Honeywell</t>
  </si>
  <si>
    <t xml:space="preserve">https://www.dutscher.com/search?initialFilters=brand:Honeywell</t>
  </si>
  <si>
    <t xml:space="preserve">https://www.thomassci.com/browse-by/suppliers/honeywell</t>
  </si>
  <si>
    <t xml:space="preserve">https://honeywell.com</t>
  </si>
  <si>
    <t xml:space="preserve">Fluka Phosphoric acid ACS reagent, =85 wt. % in H2O</t>
  </si>
  <si>
    <t xml:space="preserve">Capping Reagent BioSyn™, for DNA/RNA synthesis, 80/10/10 THF/Pyridine/Acetic Anhydride (v/v) UN2924</t>
  </si>
  <si>
    <t xml:space="preserve">Oxidation BioSyn™, for DNA/RNA synthesis, 0.05M Iodine in 80/10/10 Acetonitrile/Pyridine/Water (v/v) 16 [4x4L]</t>
  </si>
  <si>
    <t xml:space="preserve">Searched for Honeywell Research Chemicals (Fluka/Riedel-de Haen): only acquisition news (2015) and a German dealer (Altmann Analytik, 2016); no Israeli channel surfaced. Honeywell's wider corporate presence in Israel was not covered by this search.</t>
  </si>
  <si>
    <t xml:space="preserve">https://www.honeywell.com/us/en/contact</t>
  </si>
  <si>
    <t xml:space="preserve">https://www.dutscher.com/search?initialFilters=brand:Honeywell | https://www.thomassci.com/browse-by/suppliers/honeywell | https://www.honeywell.com/us/en/contact</t>
  </si>
  <si>
    <t xml:space="preserve">Honeywell Burdick &amp; Jackson</t>
  </si>
  <si>
    <t xml:space="preserve">https://www.thomassci.com/browse-by/suppliers/honeywell-burdick-and-jackson</t>
  </si>
  <si>
    <t xml:space="preserve">Dichloromethane, B&amp;J Brand®, Contains Cyclohexene Preservative</t>
  </si>
  <si>
    <t xml:space="preserve">Acetone, Laboratory Plus</t>
  </si>
  <si>
    <t xml:space="preserve">Acetonitrile, B&amp;J Brand®, Carbonyl-Free, Meets UV Specifications</t>
  </si>
  <si>
    <t xml:space="preserve">Honeywell Personal Protective Equipment</t>
  </si>
  <si>
    <t xml:space="preserve">https://www.thomassci.com/browse-by/suppliers/honeywell-personal-protective-equipment</t>
  </si>
  <si>
    <t xml:space="preserve">Butyl Gloves</t>
  </si>
  <si>
    <t xml:space="preserve">Uvex Astrospec 3000 Safety Glasses</t>
  </si>
  <si>
    <t xml:space="preserve">Adaptec™ Protective Eyewear System</t>
  </si>
  <si>
    <t xml:space="preserve">Honeywell Research Chemicals</t>
  </si>
  <si>
    <t xml:space="preserve">https://www.thomassci.com/browse-by/suppliers/honeywell-research-chemicals</t>
  </si>
  <si>
    <t xml:space="preserve">FLUKA HYDRANAL®-Methanol dry, reagent for volumetric one-component KF titration (working medium)</t>
  </si>
  <si>
    <t xml:space="preserve">Fluka HYDRANAL®-Composite 5 Reagent for volumetric one-component Karl Fischer titration (methanol free)</t>
  </si>
  <si>
    <t xml:space="preserve">FLUKA HYDRANAL®-Coulomat AG, reagent for coulometric KF titration (anolyte solution), for cells with and without diaphragm</t>
  </si>
  <si>
    <t xml:space="preserve">Hongene</t>
  </si>
  <si>
    <t xml:space="preserve">Horizon Industries</t>
  </si>
  <si>
    <t xml:space="preserve">https://www.thomassci.com/browse-by/suppliers/horizon-industries</t>
  </si>
  <si>
    <t xml:space="preserve">https://horizonind.com</t>
  </si>
  <si>
    <t xml:space="preserve">Soft Tech Laboratory Grade Wipers</t>
  </si>
  <si>
    <t xml:space="preserve">10.5 Cu. Ft. Premier Compact Laboratory Manual Defrost Freezer</t>
  </si>
  <si>
    <t xml:space="preserve">(903) 595-3444</t>
  </si>
  <si>
    <t xml:space="preserve">https://www.horizonind.com/pages/contact-us/</t>
  </si>
  <si>
    <t xml:space="preserve">https://www.thomassci.com/browse-by/suppliers/horizon-industries | https://www.horizonind.com/pages/contact-us/</t>
  </si>
  <si>
    <t xml:space="preserve">Horizon Scientific</t>
  </si>
  <si>
    <t xml:space="preserve">https://www.thomassci.com/browse-by/suppliers/horizon-scientific</t>
  </si>
  <si>
    <t xml:space="preserve">https://horizonscientific.com</t>
  </si>
  <si>
    <t xml:space="preserve">Corepoint Scientific White Diamond Series Flammable Storage Freezer</t>
  </si>
  <si>
    <t xml:space="preserve">Undercounter Vaccine Refrigerator NSF Certified 5.2 CF</t>
  </si>
  <si>
    <t xml:space="preserve">ABS Refrigerator (13 CF) and Freezer (3 CF) Combination Units</t>
  </si>
  <si>
    <t xml:space="preserve">https://www.horizonscientific.com/</t>
  </si>
  <si>
    <t xml:space="preserve">https://www.thomassci.com/browse-by/suppliers/horizon-scientific | https://www.horizonscientific.com/</t>
  </si>
  <si>
    <t xml:space="preserve">Hoshizaki</t>
  </si>
  <si>
    <t xml:space="preserve">https://www.thomassci.com/browse-by/suppliers/hoshizaki</t>
  </si>
  <si>
    <t xml:space="preserve">https://hoshizaki.com.au</t>
  </si>
  <si>
    <t xml:space="preserve">DCM-300BAK Ice and Water Dispenser</t>
  </si>
  <si>
    <t xml:space="preserve">Hoshizaki Undercounter Refrigerator</t>
  </si>
  <si>
    <t xml:space="preserve">F-500BAJ Self-Contained Ice Flaker</t>
  </si>
  <si>
    <t xml:space="preserve">Hourglass International</t>
  </si>
  <si>
    <t xml:space="preserve">https://www.thomassci.com/browse-by/suppliers/hourglass-international</t>
  </si>
  <si>
    <t xml:space="preserve">HandPRO® FreeStyle1100™ Nitrile Exam Gloves with Low Dermatitis Potential</t>
  </si>
  <si>
    <t xml:space="preserve">HandPRO® Series 9100 Clean Class 100 Nitrile Gloves</t>
  </si>
  <si>
    <t xml:space="preserve">HandPRO® 8750 Series Clean Class 100 Nitrile Gloves</t>
  </si>
  <si>
    <t xml:space="preserve">Howard Leight</t>
  </si>
  <si>
    <t xml:space="preserve">https://www.thomassci.com/browse-by/suppliers/howard-leight</t>
  </si>
  <si>
    <t xml:space="preserve">https://howardleightveripro.com</t>
  </si>
  <si>
    <t xml:space="preserve">VeriShield™ 100 Series Passive Earmuff, VS130, 30 NRR, Black, Over the Head</t>
  </si>
  <si>
    <t xml:space="preserve">Laser Lite® Single-Use Earplugs</t>
  </si>
  <si>
    <t xml:space="preserve">Leight Source 500 Earplug Dispenser</t>
  </si>
  <si>
    <t xml:space="preserve">Howard Leight™ by PIP Global Safety</t>
  </si>
  <si>
    <t xml:space="preserve">https://www.thomassci.com/browse-by/suppliers/howard-leight-by-pip-global-safety</t>
  </si>
  <si>
    <t xml:space="preserve">MAXIMUM LITE Single-Use Earplugs</t>
  </si>
  <si>
    <t xml:space="preserve">MAXIMUM Single-Use Earplugs</t>
  </si>
  <si>
    <t xml:space="preserve">Earplugs, Maximum Lite, Uncorded 200 per box, 10 boxes per case</t>
  </si>
  <si>
    <t xml:space="preserve">HPK Industries</t>
  </si>
  <si>
    <t xml:space="preserve">https://www.thomassci.com/browse-by/suppliers/hpk-industries</t>
  </si>
  <si>
    <t xml:space="preserve">https://hpkindustries.com</t>
  </si>
  <si>
    <t xml:space="preserve">3157240196</t>
  </si>
  <si>
    <t xml:space="preserve">https://hpkindustries.com/contact/</t>
  </si>
  <si>
    <t xml:space="preserve">https://www.thomassci.com/browse-by/suppliers/hpk-industries | https://hpkindustries.com/contact/</t>
  </si>
  <si>
    <t xml:space="preserve">HR Pharmaceuticals</t>
  </si>
  <si>
    <t xml:space="preserve">https://www.thomassci.com/browse-by/suppliers/hr-pharmaceuticals</t>
  </si>
  <si>
    <t xml:space="preserve">https://hrpharma.com</t>
  </si>
  <si>
    <t xml:space="preserve">HR® Surgilube® Surgical Lubricant</t>
  </si>
  <si>
    <t xml:space="preserve">HR® Lubricating Jelly</t>
  </si>
  <si>
    <t xml:space="preserve">Huber USA</t>
  </si>
  <si>
    <t xml:space="preserve">https://www.thomassci.com/browse-by/suppliers/huber-usa</t>
  </si>
  <si>
    <t xml:space="preserve">https://www.huber-online.com</t>
  </si>
  <si>
    <t xml:space="preserve">Offenburg</t>
  </si>
  <si>
    <t xml:space="preserve">EUR ~75 million (trade estimate; private)</t>
  </si>
  <si>
    <t xml:space="preserve">Unistat</t>
  </si>
  <si>
    <t xml:space="preserve">Unichiller</t>
  </si>
  <si>
    <t xml:space="preserve">Ministat / Petite Fleur / CC series</t>
  </si>
  <si>
    <t xml:space="preserve">S.L. Moran Ltd.; Master-Cold</t>
  </si>
  <si>
    <t xml:space="preserve">S.L. Moran Ltd.: +972 74-702-9898; Master-Cold:</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</si>
  <si>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S.L. Moran's live site re-confirms the Huber relationship: it hosts Huber's 2025/2026 general catalogue (uploaded September 2025) and lists Ministat/Unistat units in its heating/cooling-bath category and Huber on its suppliers page. Huber's own locations page (huber-online.com) lists subsidiaries only and no Israeli distributor was visible, so the manufacturer-side listing is not confirmed. Master-Cold was not re-checked and stays as a low-confidence older entry. A .co.il-wide search for 'Huber Unistat Ministat' found S.L. Moran (</t>
    </r>
    <r>
      <rPr>
        <sz val="11"/>
        <color theme="1"/>
        <rFont val="FreeSans"/>
        <family val="2"/>
      </rPr>
      <t xml:space="preserve">ש</t>
    </r>
    <r>
      <rPr>
        <sz val="11"/>
        <color theme="1"/>
        <rFont val="Calibri"/>
        <family val="2"/>
        <charset val="1"/>
      </rPr>
      <t xml:space="preserve">.</t>
    </r>
    <r>
      <rPr>
        <sz val="11"/>
        <color theme="1"/>
        <rFont val="FreeSans"/>
        <family val="2"/>
      </rPr>
      <t xml:space="preserve">ל מורן</t>
    </r>
    <r>
      <rPr>
        <sz val="11"/>
        <color theme="1"/>
        <rFont val="Calibri"/>
        <family val="2"/>
        <charset val="1"/>
      </rPr>
      <t xml:space="preserve">, Jerusalem) hosting the Huber 'Inspired by temperature' general catalogue 2025/2026 (uploaded September 2025) and listing Huber circulation baths and chillers in its heating/cooling-bath category, and a follow-up search restricted to slmoran.co.il confirmed those pages plus a Huber CS-Chiller brochure, so S.L. Moran is recorded as the Israeli distributor. Master-Cold (master-cold.co.il) lists a Ministat 230 and a used Unistat CC and is recorded as a secondary reseller with low confidence. Huber's own site (huber-online.com) returned only its generic locations/contact pages with no Israel entry visible, and the earlier distributor-domain search found only a Labotal reactor article mentioning Huber in passing.</t>
    </r>
  </si>
  <si>
    <t xml:space="preserve">+49 781 9603-0</t>
  </si>
  <si>
    <t xml:space="preserve">info@huber-online.com</t>
  </si>
  <si>
    <t xml:space="preserve">Werner-von-Siemens-Straße 1, 77656 Offenburg, Germany</t>
  </si>
  <si>
    <t xml:space="preserve">https://huber-online.com/en/company/locations</t>
  </si>
  <si>
    <r>
      <rPr>
        <sz val="11"/>
        <color theme="1"/>
        <rFont val="Calibri"/>
        <family val="2"/>
        <charset val="1"/>
      </rPr>
      <t xml:space="preserve">https://www.quartzy.com/suppliers | https://www.thomassci.com/browse-by/suppliers/huber-usa | https://www.huber-online.com/en/company/news-/-exhibitions/detail-view/mehrfach-ausgezeichneter-marktfuehrer-mit-innovationskraft | https://www.chemie.de/news/1155794/unternehmensgruender-peter-huber-verstorben.html | https://www.chemie.de/news/1164068/ | https://www.chemie.de/news/163856/huber-kaeltemaschinenbau-als-innovator-des-jahres-ausgezeichnet.html | https://implisense.com/en/companies/peter-huber-kaeltemaschinenbau-se-offenburg-DENBS5XY4L31 | https://www.make-it-in-germany.com/en/working-in-germany/job-listings/job/job-19927-k59655.1014-S | https://www.selectscience.net/article/peter-huber-obituary-farewell-to-refrigeration-pioneer | https://slmoran.co.il/wp-content/uploads/2025/09/Huber_Katalog_2025-2026_EN.pdf | https://slmoran.co.il/products_cat/</t>
    </r>
    <r>
      <rPr>
        <sz val="11"/>
        <color theme="1"/>
        <rFont val="FreeSans"/>
        <family val="2"/>
      </rPr>
      <t xml:space="preserve">אמבטי</t>
    </r>
    <r>
      <rPr>
        <sz val="11"/>
        <color theme="1"/>
        <rFont val="Calibri"/>
        <family val="2"/>
        <charset val="1"/>
      </rPr>
      <t xml:space="preserve">-</t>
    </r>
    <r>
      <rPr>
        <sz val="11"/>
        <color theme="1"/>
        <rFont val="FreeSans"/>
        <family val="2"/>
      </rPr>
      <t xml:space="preserve">חימום</t>
    </r>
    <r>
      <rPr>
        <sz val="11"/>
        <color theme="1"/>
        <rFont val="Calibri"/>
        <family val="2"/>
        <charset val="1"/>
      </rPr>
      <t xml:space="preserve">-</t>
    </r>
    <r>
      <rPr>
        <sz val="11"/>
        <color theme="1"/>
        <rFont val="FreeSans"/>
        <family val="2"/>
      </rPr>
      <t xml:space="preserve">קירור</t>
    </r>
    <r>
      <rPr>
        <sz val="11"/>
        <color theme="1"/>
        <rFont val="Calibri"/>
        <family val="2"/>
        <charset val="1"/>
      </rPr>
      <t xml:space="preserve">-</t>
    </r>
    <r>
      <rPr>
        <sz val="11"/>
        <color theme="1"/>
        <rFont val="FreeSans"/>
        <family val="2"/>
      </rPr>
      <t xml:space="preserve">סירקולטור</t>
    </r>
    <r>
      <rPr>
        <sz val="11"/>
        <color theme="1"/>
        <rFont val="Calibri"/>
        <family val="2"/>
        <charset val="1"/>
      </rPr>
      <t xml:space="preserve">/ | https://slmoran.co.il/</t>
    </r>
    <r>
      <rPr>
        <sz val="11"/>
        <color theme="1"/>
        <rFont val="FreeSans"/>
        <family val="2"/>
      </rPr>
      <t xml:space="preserve">ספקים</t>
    </r>
    <r>
      <rPr>
        <sz val="11"/>
        <color theme="1"/>
        <rFont val="Calibri"/>
        <family val="2"/>
        <charset val="1"/>
      </rPr>
      <t xml:space="preserve">/ | https://slmoran.co.il/wp-content/uploads/2022/04/Broschure_CS_EN_low.pdf | http://master-cold.co.il/1579/products/ministat-230-cc-nr | http://master-cold.co.il/1634/products/unistat-cc | https://www.huber-online.com/en/company/locations | https://slmoran.co.il/products_cat/%D7%90%D7%9E%D7%91%D7%98%D7%99-%D7%97%D7%99%D7%9E%D7%95%D7%9D-%D7%A7%D7%99%D7%A8%D7%95%D7%A8-%D7%A1%D7%99%D7%A8%D7%A7%D7%95%D7%9C%D7%98%D7%95%D7%A8/ | https://slmoran.co.il/%D7%A1%D7%A4%D7%A7%D7%99%D7%9D/ | https://www.chemie.de/news/1181890/huber-kaeltemaschinenbau-erhaelt-hoechste-auszeichnung-beim-grossen-preis-des-mittelstandes.html | https://iac.german-pavilion.com/en/sites/exhibitors/139650 | https://huber-online.com/en/company/news-/-exhibitions/detail-view/zuwachs-in-der-huber-unternehmensgruppe | https://www.huber-online.com/kontakt-service</t>
    </r>
  </si>
  <si>
    <t xml:space="preserve">Hudson Valley Lyomac</t>
  </si>
  <si>
    <t xml:space="preserve">https://www.thomassci.com/browse-by/suppliers/hudson-valley-lyomac</t>
  </si>
  <si>
    <t xml:space="preserve">https://hudsonvalleylyomac.com</t>
  </si>
  <si>
    <t xml:space="preserve">15188282180</t>
  </si>
  <si>
    <t xml:space="preserve">sales@hudsonvalleylyomac.com</t>
  </si>
  <si>
    <t xml:space="preserve">https://hudsonvalleylyomac.com/contact-us/</t>
  </si>
  <si>
    <t xml:space="preserve">https://www.thomassci.com/browse-by/suppliers/hudson-valley-lyomac | https://hudsonvalleylyomac.com/contact-us/</t>
  </si>
  <si>
    <t xml:space="preserve">Huff Paper</t>
  </si>
  <si>
    <t xml:space="preserve">https://www.thomassci.com/browse-by/suppliers/huff-paper</t>
  </si>
  <si>
    <t xml:space="preserve">Humboldt</t>
  </si>
  <si>
    <t xml:space="preserve">https://www.thomassci.com/browse-by/suppliers/humboldt</t>
  </si>
  <si>
    <t xml:space="preserve">Water Baths</t>
  </si>
  <si>
    <t xml:space="preserve">Large Deluxe Water Baths</t>
  </si>
  <si>
    <t xml:space="preserve">Penetration Needles for Bituminous Material</t>
  </si>
  <si>
    <t xml:space="preserve">HyBlot ES™</t>
  </si>
  <si>
    <t xml:space="preserve">https://www.thomassci.com/browse-by/suppliers/hyblot-es</t>
  </si>
  <si>
    <t xml:space="preserve">HYDRA (a ResinTech brand)</t>
  </si>
  <si>
    <t xml:space="preserve">https://www.thomassci.com/browse-by/suppliers/hydra-a-resintech-brand</t>
  </si>
  <si>
    <t xml:space="preserve">Hydrox</t>
  </si>
  <si>
    <t xml:space="preserve">https://www.thomassci.com/browse-by/suppliers/hydrox</t>
  </si>
  <si>
    <t xml:space="preserve">https://hydrox.earth</t>
  </si>
  <si>
    <t xml:space="preserve">Hydrox Instant Hand Sanitizer demonstrates a rapid kill time on a broad range of gram negative and gram positive bacteria</t>
  </si>
  <si>
    <t xml:space="preserve">info@hydrox.earth</t>
  </si>
  <si>
    <t xml:space="preserve">https://hydrox.earth/contact-hydro-x/</t>
  </si>
  <si>
    <t xml:space="preserve">https://www.thomassci.com/browse-by/suppliers/hydrox | https://hydrox.earth/contact-hydro-x/</t>
  </si>
  <si>
    <t xml:space="preserve">Hygenic Corporation</t>
  </si>
  <si>
    <t xml:space="preserve">https://www.thomassci.com/browse-by/suppliers/hygenic-corporation</t>
  </si>
  <si>
    <t xml:space="preserve">Tourniquet Straps</t>
  </si>
  <si>
    <t xml:space="preserve">Hygenic Natural Rubber Tubing</t>
  </si>
  <si>
    <t xml:space="preserve">Hygenic Hysynal® Synthetic Rubber Disposable Tourniquet Straps</t>
  </si>
  <si>
    <t xml:space="preserve">I-Chem</t>
  </si>
  <si>
    <t xml:space="preserve">https://www.thomassci.com/browse-by/suppliers/i-chem</t>
  </si>
  <si>
    <t xml:space="preserve">I.Miller Microscopes</t>
  </si>
  <si>
    <t xml:space="preserve">https://imillermicroscopes.com</t>
  </si>
  <si>
    <t xml:space="preserve">(215) 925 2285</t>
  </si>
  <si>
    <t xml:space="preserve">sales@imillermicroscopes.com</t>
  </si>
  <si>
    <t xml:space="preserve">https://imillermicroscopes.com/pages/contact-us</t>
  </si>
  <si>
    <t xml:space="preserve">https://www.quartzy.com/suppliers | https://imillermicroscopes.com/pages/contact-us</t>
  </si>
  <si>
    <t xml:space="preserve">I-Solutions</t>
  </si>
  <si>
    <t xml:space="preserve">https://www.thomassci.com/browse-by/suppliers/i-solutions</t>
  </si>
  <si>
    <t xml:space="preserve">I.W. Tremont</t>
  </si>
  <si>
    <t xml:space="preserve">IBA Life Sciences</t>
  </si>
  <si>
    <t xml:space="preserve">https://iba-lifesciences.com</t>
  </si>
  <si>
    <t xml:space="preserve">+49551506720</t>
  </si>
  <si>
    <t xml:space="preserve">info@iba-lifesciences.com</t>
  </si>
  <si>
    <t xml:space="preserve">https://www.iba-lifesciences.com/contact/</t>
  </si>
  <si>
    <t xml:space="preserve">https://www.quartzy.com/suppliers | https://www.iba-lifesciences.com/contact/</t>
  </si>
  <si>
    <t xml:space="preserve">IBA Lifesciences</t>
  </si>
  <si>
    <t xml:space="preserve">Q+</t>
  </si>
  <si>
    <t xml:space="preserve"> +new</t>
  </si>
  <si>
    <t xml:space="preserve">IBA Lifesciences GmbH is a biotechnology company providing products for life science research in academia and industry. We develop high performance research tools for cell and protein isolation based on our proprietary Strep-tag® technology. Situated in Göttingen, Germany, we have built a network of worldwide distributors making our products available in over 40 countries across 5 continents.</t>
  </si>
  <si>
    <t xml:space="preserve">https://info.quartzy.com/new-suppliers | https://www.iba-lifesciences.com/contact/</t>
  </si>
  <si>
    <t xml:space="preserve">IBI Scientific</t>
  </si>
  <si>
    <t xml:space="preserve">https://www.thomassci.com/browse-by/suppliers/ibi-scientific</t>
  </si>
  <si>
    <t xml:space="preserve">https://ibisci.com</t>
  </si>
  <si>
    <t xml:space="preserve">SUCROSE</t>
  </si>
  <si>
    <t xml:space="preserve">Hanging Pipette Stands</t>
  </si>
  <si>
    <t xml:space="preserve">Company profiles and US resellers only; Agentek/Enco appeared with no link to IBI.</t>
  </si>
  <si>
    <t xml:space="preserve">800-253-4942</t>
  </si>
  <si>
    <t xml:space="preserve">info@ibisci.com</t>
  </si>
  <si>
    <t xml:space="preserve">https://www.ibisci.com/pages/contact-us</t>
  </si>
  <si>
    <t xml:space="preserve">https://www.quartzy.com/suppliers | https://www.thomassci.com/browse-by/suppliers/ibi-scientific | https://www.ibisci.com/pages/contact-us</t>
  </si>
  <si>
    <t xml:space="preserve">Ibis Scientific</t>
  </si>
  <si>
    <t xml:space="preserve">https://ibisscientific.com</t>
  </si>
  <si>
    <t xml:space="preserve">855-390-4202</t>
  </si>
  <si>
    <t xml:space="preserve">sales@ibisscientific.com</t>
  </si>
  <si>
    <t xml:space="preserve">https://ibisscientific.com/contact-us/</t>
  </si>
  <si>
    <t xml:space="preserve">https://www.quartzy.com/suppliers | https://ibisscientific.com/contact-us/</t>
  </si>
  <si>
    <t xml:space="preserve">IBT Bioservices</t>
  </si>
  <si>
    <t xml:space="preserve">https://www.thomassci.com/browse-by/suppliers/ibt-bioservices</t>
  </si>
  <si>
    <t xml:space="preserve">https://ibtbioservices.com</t>
  </si>
  <si>
    <t xml:space="preserve">Rabbit anti-MARV GP pAb</t>
  </si>
  <si>
    <t xml:space="preserve">PSM-Alpha 3</t>
  </si>
  <si>
    <t xml:space="preserve">Rabbit anti-MARV VP40 pAb</t>
  </si>
  <si>
    <t xml:space="preserve">(877) 411-2041</t>
  </si>
  <si>
    <t xml:space="preserve">https://ibtbioservices.com/contact/</t>
  </si>
  <si>
    <t xml:space="preserve">https://www.thomassci.com/browse-by/suppliers/ibt-bioservices | https://ibtbioservices.com/contact/</t>
  </si>
  <si>
    <t xml:space="preserve">IC Biomedical</t>
  </si>
  <si>
    <t xml:space="preserve">https://www.thomassci.com/browse-by/suppliers/ic-biomedical</t>
  </si>
  <si>
    <t xml:space="preserve">https://icbiomedical.com</t>
  </si>
  <si>
    <t xml:space="preserve">High-Capacity Cryogenic Refrigerators</t>
  </si>
  <si>
    <t xml:space="preserve">LD Series Cryogenic Dewars</t>
  </si>
  <si>
    <t xml:space="preserve">Accessories For Cryogenic Dewars</t>
  </si>
  <si>
    <t xml:space="preserve">Ideal-tek</t>
  </si>
  <si>
    <t xml:space="preserve">https://www.thomassci.com/browse-by/suppliers/ideal-tek</t>
  </si>
  <si>
    <t xml:space="preserve">https://ideal-tek.com</t>
  </si>
  <si>
    <t xml:space="preserve">Plastic Replaceable Tip Tweezers</t>
  </si>
  <si>
    <t xml:space="preserve">Plastic Tweezer Tips</t>
  </si>
  <si>
    <t xml:space="preserve">Ergo-tek Slim Carbide Cutters</t>
  </si>
  <si>
    <t xml:space="preserve">IDEX Health &amp; Science</t>
  </si>
  <si>
    <t xml:space="preserve">https://www.thomassci.com/browse-by/suppliers/idex-health-and-science</t>
  </si>
  <si>
    <t xml:space="preserve">https://idex-hs.com</t>
  </si>
  <si>
    <t xml:space="preserve">Shut-Off Valves with Fittings</t>
  </si>
  <si>
    <t xml:space="preserve">Low-Pressure Tee Assemblies</t>
  </si>
  <si>
    <t xml:space="preserve">Quick Connect Threaded Male Luer Adapters</t>
  </si>
  <si>
    <t xml:space="preserve">8004260191</t>
  </si>
  <si>
    <t xml:space="preserve">info@avr-optics.com</t>
  </si>
  <si>
    <t xml:space="preserve">https://www.idex-hs.com/contact/contact-us</t>
  </si>
  <si>
    <t xml:space="preserve">https://www.thomassci.com/browse-by/suppliers/idex-health-and-science | https://www.idex-hs.com/contact/contact-us</t>
  </si>
  <si>
    <t xml:space="preserve">Ignyte Bio</t>
  </si>
  <si>
    <t xml:space="preserve">https://ignytebio.com</t>
  </si>
  <si>
    <t xml:space="preserve">877-929-7766</t>
  </si>
  <si>
    <t xml:space="preserve">info@ignytebio.com</t>
  </si>
  <si>
    <t xml:space="preserve">https://www.ignytebio.com/contact/</t>
  </si>
  <si>
    <t xml:space="preserve">https://www.quartzy.com/suppliers | https://www.ignytebio.com/contact/</t>
  </si>
  <si>
    <t xml:space="preserve">Ika</t>
  </si>
  <si>
    <t xml:space="preserve">https://www.dutscher.com/search?initialFilters=brand:Ika</t>
  </si>
  <si>
    <t xml:space="preserve">https://www.ika.com</t>
  </si>
  <si>
    <t xml:space="preserve">Staufen im Breisgau</t>
  </si>
  <si>
    <t xml:space="preserve">USD ~250-273 million (aggregator estimates: Prospeo 250M, ZoomInfo 272.7M); last company-stated figure &gt;EUR 100 million (2014)</t>
  </si>
  <si>
    <t xml:space="preserve">RCT basic / C-MAG HS</t>
  </si>
  <si>
    <t xml:space="preserve">ULTRA-TURRAX T 25 / T 50</t>
  </si>
  <si>
    <t xml:space="preserve">EUROSTAR / MICROSTAR</t>
  </si>
  <si>
    <t xml:space="preserve">Medent Scientific Instruments; Labotal Scientific Equipment Ltd.; S.L. Moran Ltd.</t>
  </si>
  <si>
    <t xml:space="preserve">Medent Scientific Instruments: +972 72-395-0508 (sales); +972 8-683-6306 (service) info@medent.co.il; Labotal Scientific Equipment Ltd.: +972 2-579-9222 Sales@labotal.co.il; S.L. Moran Ltd.: +972 74-702-9898 office@slmoran.co.il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</si>
  <si>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Medent's live 'IKA - Germany' partner page and its live product categories (RCT stirrers, Vortex mixers, RC 2/RC 5 chillers, Oven 125, viscometers) re-confirm Medent as a current Israeli IKA channel. Labotal's IKA stirrer listing was not re-checked within the budget and is kept as older evidence. IKA's own dealer locator (ika.com) returned nothing for Israel in a domain-restricted search, so exclusivity is still unknown. Medent's own site has a dedicated 'IKA - Germany' manufacturer page and Hebrew product categories listing IKA RCT hot-plate stirrers, vortex mixers, RC 2/RC 5 chillers and the Oven 125, and it says it imports IKA viscometers; Labotal's overhead-stirrer page names IKA among the brands it stocks, so both are recorded as Israeli distributors. A .co.il-wide search additionally surfaced a 2012 IKA magnetic-stirrer catalogue hosted on master-cold.co.il, which is too old and indirect to record as an entity. IKA's own dealer locator (ika.com) was not searched within the budget, so the exclusivity or split between Medent and Labotal is unknown.</t>
    </r>
  </si>
  <si>
    <t xml:space="preserve">+49 7633 831-0</t>
  </si>
  <si>
    <t xml:space="preserve">sales@ika.de</t>
  </si>
  <si>
    <t xml:space="preserve">Janke &amp; Kunkel-Straße 10, 79219 Staufen, Germany</t>
  </si>
  <si>
    <t xml:space="preserve">https://www.bionity.com/en/companies/7616/</t>
  </si>
  <si>
    <r>
      <rPr>
        <sz val="11"/>
        <color theme="1"/>
        <rFont val="Calibri"/>
        <family val="2"/>
        <charset val="1"/>
      </rPr>
      <t xml:space="preserve">https://www.dutscher.com/search?initialFilters=brand:Ika | https://www.scientistlive.com/node/10900 | https://www.terrapinn.com/exhibition/arablabksa/exhibitor-ika-werke-gmbh--co-kg.stm | https://kihe-almaty.german-pavilion.com/ru/sites/exhibitors/137481 | https://www.bionity.com/en/companies/7616/ | https://www.zoominfo.com/c/ika/18776667 | https://prospeo.io/c/ika-laboratory-analytical-and-process-technology-revenue | https://www.reveliolabs.com/companies/ika-werke/employees/ | https://www.medent.co.il/en/project/ika-germany/ | https://www.medent.co.il/scientific.equipment/product-category/</t>
    </r>
    <r>
      <rPr>
        <sz val="11"/>
        <color theme="1"/>
        <rFont val="FreeSans"/>
        <family val="2"/>
      </rPr>
      <t xml:space="preserve">בוחשים</t>
    </r>
    <r>
      <rPr>
        <sz val="11"/>
        <color theme="1"/>
        <rFont val="Calibri"/>
        <family val="2"/>
        <charset val="1"/>
      </rPr>
      <t xml:space="preserve">-</t>
    </r>
    <r>
      <rPr>
        <sz val="11"/>
        <color theme="1"/>
        <rFont val="FreeSans"/>
        <family val="2"/>
      </rPr>
      <t xml:space="preserve">מגנטיים</t>
    </r>
    <r>
      <rPr>
        <sz val="11"/>
        <color theme="1"/>
        <rFont val="Calibri"/>
        <family val="2"/>
        <charset val="1"/>
      </rPr>
      <t xml:space="preserve">/</t>
    </r>
    <r>
      <rPr>
        <sz val="11"/>
        <color theme="1"/>
        <rFont val="FreeSans"/>
        <family val="2"/>
      </rPr>
      <t xml:space="preserve">בוחשים</t>
    </r>
    <r>
      <rPr>
        <sz val="11"/>
        <color theme="1"/>
        <rFont val="Calibri"/>
        <family val="2"/>
        <charset val="1"/>
      </rPr>
      <t xml:space="preserve">-</t>
    </r>
    <r>
      <rPr>
        <sz val="11"/>
        <color theme="1"/>
        <rFont val="FreeSans"/>
        <family val="2"/>
      </rPr>
      <t xml:space="preserve">מגנטיים</t>
    </r>
    <r>
      <rPr>
        <sz val="11"/>
        <color theme="1"/>
        <rFont val="Calibri"/>
        <family val="2"/>
        <charset val="1"/>
      </rPr>
      <t xml:space="preserve">-</t>
    </r>
    <r>
      <rPr>
        <sz val="11"/>
        <color theme="1"/>
        <rFont val="FreeSans"/>
        <family val="2"/>
      </rPr>
      <t xml:space="preserve">עם</t>
    </r>
    <r>
      <rPr>
        <sz val="11"/>
        <color theme="1"/>
        <rFont val="Calibri"/>
        <family val="2"/>
        <charset val="1"/>
      </rPr>
      <t xml:space="preserve">-</t>
    </r>
    <r>
      <rPr>
        <sz val="11"/>
        <color theme="1"/>
        <rFont val="FreeSans"/>
        <family val="2"/>
      </rPr>
      <t xml:space="preserve">חימום</t>
    </r>
    <r>
      <rPr>
        <sz val="11"/>
        <color theme="1"/>
        <rFont val="Calibri"/>
        <family val="2"/>
        <charset val="1"/>
      </rPr>
      <t xml:space="preserve">/ | https://www.medent.co.il/scientific.equipment/product-category/</t>
    </r>
    <r>
      <rPr>
        <sz val="11"/>
        <color theme="1"/>
        <rFont val="FreeSans"/>
        <family val="2"/>
      </rPr>
      <t xml:space="preserve">וורטקס</t>
    </r>
    <r>
      <rPr>
        <sz val="11"/>
        <color theme="1"/>
        <rFont val="Calibri"/>
        <family val="2"/>
        <charset val="1"/>
      </rPr>
      <t xml:space="preserve">/ | https://labotal.co.il/product-category/hot-plate-and-stirrers/overhead-stirrers/?lang=en | https://labotal.co.il/product-category/hot-plate-and-stirrers/magnetic-stirrers/?lang=en | http://master-cold.co.il/wp-content/uploads/2012/01/Magnetic%20stirrers%20hotplates.pdf | https://www.medent.co.il/scientific.equipment/product-category/%D7%91%D7%95%D7%97%D7%A9%D7%99%D7%9D-%D7%9E%D7%92%D7%A0%D7%98%D7%99%D7%99%D7%9D/%D7%91%D7%95%D7%97%D7%A9%D7%99%D7%9D-%D7%9E%D7%92%D7%A0%D7%98%D7%99%D7%99%D7%9D-%D7%A2%D7%9D-%D7%97%D7%99%D7%9E%D7%95%D7%9D/ | https://www.medent.co.il/scientific.equipment/product-category/%D7%95%D7%95%D7%A8%D7%98%D7%A7%D7%A1/ | https://slmoran.co.il/</t>
    </r>
  </si>
  <si>
    <t xml:space="preserve">IKA Works</t>
  </si>
  <si>
    <t xml:space="preserve">https://www.thomassci.com/browse-by/suppliers/ika-works</t>
  </si>
  <si>
    <t xml:space="preserve">Medent Scientific Instruments; Labotal Scientific Equipment Ltd.</t>
  </si>
  <si>
    <t xml:space="preserve">Medent Scientific Instruments: +972 72-395-0508 (sales); +972 8-683-6306 (service) info@medent.co.il; Labotal Scientific Equipment Ltd.: +972 2-579-9222 Sales@labotal.co.il</t>
  </si>
  <si>
    <r>
      <rPr>
        <sz val="11"/>
        <color theme="1"/>
        <rFont val="Calibri"/>
        <family val="2"/>
        <charset val="1"/>
      </rPr>
      <t xml:space="preserve">https://www.quartzy.com/suppliers | https://www.thomassci.com/browse-by/suppliers/ika-works | https://www.scientistlive.com/node/10900 | https://www.terrapinn.com/exhibition/arablabksa/exhibitor-ika-werke-gmbh--co-kg.stm | https://kihe-almaty.german-pavilion.com/ru/sites/exhibitors/137481 | https://www.bionity.com/en/companies/7616/ | https://www.zoominfo.com/c/ika/18776667 | https://prospeo.io/c/ika-laboratory-analytical-and-process-technology-revenue | https://www.reveliolabs.com/companies/ika-werke/employees/ | https://www.medent.co.il/en/project/ika-germany/ | https://www.medent.co.il/scientific.equipment/product-category/</t>
    </r>
    <r>
      <rPr>
        <sz val="11"/>
        <color theme="1"/>
        <rFont val="FreeSans"/>
        <family val="2"/>
      </rPr>
      <t xml:space="preserve">בוחשים</t>
    </r>
    <r>
      <rPr>
        <sz val="11"/>
        <color theme="1"/>
        <rFont val="Calibri"/>
        <family val="2"/>
        <charset val="1"/>
      </rPr>
      <t xml:space="preserve">-</t>
    </r>
    <r>
      <rPr>
        <sz val="11"/>
        <color theme="1"/>
        <rFont val="FreeSans"/>
        <family val="2"/>
      </rPr>
      <t xml:space="preserve">מגנטיים</t>
    </r>
    <r>
      <rPr>
        <sz val="11"/>
        <color theme="1"/>
        <rFont val="Calibri"/>
        <family val="2"/>
        <charset val="1"/>
      </rPr>
      <t xml:space="preserve">/</t>
    </r>
    <r>
      <rPr>
        <sz val="11"/>
        <color theme="1"/>
        <rFont val="FreeSans"/>
        <family val="2"/>
      </rPr>
      <t xml:space="preserve">בוחשים</t>
    </r>
    <r>
      <rPr>
        <sz val="11"/>
        <color theme="1"/>
        <rFont val="Calibri"/>
        <family val="2"/>
        <charset val="1"/>
      </rPr>
      <t xml:space="preserve">-</t>
    </r>
    <r>
      <rPr>
        <sz val="11"/>
        <color theme="1"/>
        <rFont val="FreeSans"/>
        <family val="2"/>
      </rPr>
      <t xml:space="preserve">מגנטיים</t>
    </r>
    <r>
      <rPr>
        <sz val="11"/>
        <color theme="1"/>
        <rFont val="Calibri"/>
        <family val="2"/>
        <charset val="1"/>
      </rPr>
      <t xml:space="preserve">-</t>
    </r>
    <r>
      <rPr>
        <sz val="11"/>
        <color theme="1"/>
        <rFont val="FreeSans"/>
        <family val="2"/>
      </rPr>
      <t xml:space="preserve">עם</t>
    </r>
    <r>
      <rPr>
        <sz val="11"/>
        <color theme="1"/>
        <rFont val="Calibri"/>
        <family val="2"/>
        <charset val="1"/>
      </rPr>
      <t xml:space="preserve">-</t>
    </r>
    <r>
      <rPr>
        <sz val="11"/>
        <color theme="1"/>
        <rFont val="FreeSans"/>
        <family val="2"/>
      </rPr>
      <t xml:space="preserve">חימום</t>
    </r>
    <r>
      <rPr>
        <sz val="11"/>
        <color theme="1"/>
        <rFont val="Calibri"/>
        <family val="2"/>
        <charset val="1"/>
      </rPr>
      <t xml:space="preserve">/ | https://www.medent.co.il/scientific.equipment/product-category/</t>
    </r>
    <r>
      <rPr>
        <sz val="11"/>
        <color theme="1"/>
        <rFont val="FreeSans"/>
        <family val="2"/>
      </rPr>
      <t xml:space="preserve">וורטקס</t>
    </r>
    <r>
      <rPr>
        <sz val="11"/>
        <color theme="1"/>
        <rFont val="Calibri"/>
        <family val="2"/>
        <charset val="1"/>
      </rPr>
      <t xml:space="preserve">/ | https://labotal.co.il/product-category/hot-plate-and-stirrers/overhead-stirrers/?lang=en | https://labotal.co.il/product-category/hot-plate-and-stirrers/magnetic-stirrers/?lang=en | http://master-cold.co.il/wp-content/uploads/2012/01/Magnetic%20stirrers%20hotplates.pdf | https://www.medent.co.il/scientific.equipment/product-category/%D7%91%D7%95%D7%97%D7%A9%D7%99%D7%9D-%D7%9E%D7%92%D7%A0%D7%98%D7%99%D7%99%D7%9D/%D7%91%D7%95%D7%97%D7%A9%D7%99%D7%9D-%D7%9E%D7%92%D7%A0%D7%98%D7%99%D7%99%D7%9D-%D7%A2%D7%9D-%D7%97%D7%99%D7%9E%D7%95%D7%9D/ | https://www.medent.co.il/scientific.equipment/product-category/%D7%95%D7%95%D7%A8%D7%98%D7%A7%D7%A1/</t>
    </r>
  </si>
  <si>
    <t xml:space="preserve">ILC Dover</t>
  </si>
  <si>
    <t xml:space="preserve">https://www.thomassci.com/browse-by/suppliers/ilc-dover</t>
  </si>
  <si>
    <t xml:space="preserve">https://ilcdover.com</t>
  </si>
  <si>
    <t xml:space="preserve">SCape Powered CBRN Air Purifying Escape Respirator</t>
  </si>
  <si>
    <t xml:space="preserve">Sentinel XL System</t>
  </si>
  <si>
    <t xml:space="preserve">Sentinel EZ BioHood™ PAPR Respirator</t>
  </si>
  <si>
    <t xml:space="preserve">Impacto Protective Products</t>
  </si>
  <si>
    <t xml:space="preserve">https://www.thomassci.com/browse-by/suppliers/impacto-protective-products</t>
  </si>
  <si>
    <t xml:space="preserve">Vinyl Cleanroom Kneel Pad, blue closed cell foam kneel pad</t>
  </si>
  <si>
    <t xml:space="preserve">IMPACTO® TOES2GO Composite Toe Cap Safety Overshoes</t>
  </si>
  <si>
    <t xml:space="preserve">IMPACTO® Anti-Fatigue Memory Foam insoles</t>
  </si>
  <si>
    <t xml:space="preserve">Implen</t>
  </si>
  <si>
    <t xml:space="preserve">https://www.dutscher.com/search?initialFilters=brand:Implen</t>
  </si>
  <si>
    <t xml:space="preserve">https://www.thomassci.com/browse-by/suppliers/implen</t>
  </si>
  <si>
    <t xml:space="preserve">https://www.implen.de</t>
  </si>
  <si>
    <t xml:space="preserve">OD600 DiluPhotometer™</t>
  </si>
  <si>
    <t xml:space="preserve">Standard Solution for the NanoPhotometer®</t>
  </si>
  <si>
    <t xml:space="preserve">N50 NanoPhotometer®</t>
  </si>
  <si>
    <t xml:space="preserve">Implen distributors found for Australia (LabGear Australia, exclusive) and India (Inkarp Instruments), plus Fisher Scientific EU brand pages; no Israel mention. Note: website in targets (implen.cn) is not the manufacturer's main site (implen.de).</t>
  </si>
  <si>
    <t xml:space="preserve">+498972637180</t>
  </si>
  <si>
    <t xml:space="preserve">info@implen.com</t>
  </si>
  <si>
    <t xml:space="preserve">https://www.implen.de/support/</t>
  </si>
  <si>
    <t xml:space="preserve">https://www.dutscher.com/search?initialFilters=brand:Implen | https://www.thomassci.com/browse-by/suppliers/implen | https://www.implen.de/support/</t>
  </si>
  <si>
    <t xml:space="preserve">Improve Medical</t>
  </si>
  <si>
    <t xml:space="preserve">https://www.thomassci.com/browse-by/suppliers/improve-medical</t>
  </si>
  <si>
    <t xml:space="preserve">https://www.improve-medical.com</t>
  </si>
  <si>
    <t xml:space="preserve">Guangzhou Improve Medical Instruments profiles and US trade records only; Guangzhou-Israel biotech news does not name the company. Target website improvemed.com.ua is wrong.</t>
  </si>
  <si>
    <t xml:space="preserve">https://www.quartzy.com/suppliers | https://www.thomassci.com/browse-by/suppliers/improve-medical</t>
  </si>
  <si>
    <t xml:space="preserve">Independence Medical</t>
  </si>
  <si>
    <t xml:space="preserve">Indicia</t>
  </si>
  <si>
    <t xml:space="preserve">https://www.dutscher.com/search?initialFilters=brand:Indicia</t>
  </si>
  <si>
    <t xml:space="preserve">5-liter Fraser half broth ClearLine® bag</t>
  </si>
  <si>
    <t xml:space="preserve">ClearLine® Buffered peptone water - 5 litres bag</t>
  </si>
  <si>
    <t xml:space="preserve">INDOFINE Chemical Company</t>
  </si>
  <si>
    <t xml:space="preserve">https://www.thomassci.com/browse-by/suppliers/indofine-chemical-company</t>
  </si>
  <si>
    <t xml:space="preserve">L-Rhamnose</t>
  </si>
  <si>
    <t xml:space="preserve">Shikimic Acid</t>
  </si>
  <si>
    <t xml:space="preserve">L-Methionine Sulfone</t>
  </si>
  <si>
    <t xml:space="preserve">Industrial Test Systems</t>
  </si>
  <si>
    <t xml:space="preserve">https://www.thomassci.com/browse-by/suppliers/industrial-test-systems</t>
  </si>
  <si>
    <t xml:space="preserve">Waterworks Test Strips</t>
  </si>
  <si>
    <t xml:space="preserve">Industrial Test Systems Sensafe Metals Check</t>
  </si>
  <si>
    <t xml:space="preserve">WaterSafe Lead Water Test Kit</t>
  </si>
  <si>
    <t xml:space="preserve">Inficon</t>
  </si>
  <si>
    <t xml:space="preserve">https://www.thomassci.com/browse-by/suppliers/inficon</t>
  </si>
  <si>
    <t xml:space="preserve">https://www.inficon.com</t>
  </si>
  <si>
    <t xml:space="preserve">Performance/Internal Standard, Headspace Sampling System Standard in Methanol</t>
  </si>
  <si>
    <t xml:space="preserve">Internal Standard Gas Canister</t>
  </si>
  <si>
    <t xml:space="preserve">Sample Vials, 40 mL</t>
  </si>
  <si>
    <t xml:space="preserve">https://inficon.com/</t>
  </si>
  <si>
    <t xml:space="preserve">https://www.thomassci.com/browse-by/suppliers/inficon | https://inficon.com/</t>
  </si>
  <si>
    <t xml:space="preserve">Informs</t>
  </si>
  <si>
    <t xml:space="preserve">https://www.thomassci.com/browse-by/suppliers/informs</t>
  </si>
  <si>
    <t xml:space="preserve">https://informs.org</t>
  </si>
  <si>
    <t xml:space="preserve">4" x 6" Direct Thermal Paper Labels</t>
  </si>
  <si>
    <t xml:space="preserve">Ribbon, 4.33" x 244™ Wax Ribbon, 12rls/bx, 2bx/cs</t>
  </si>
  <si>
    <t xml:space="preserve">ZEBRA, 3200 Wax/Resin Ribbon, 110MM X 74M, 4.3" X 244', 0.5" Core</t>
  </si>
  <si>
    <t xml:space="preserve">4437573500</t>
  </si>
  <si>
    <t xml:space="preserve">https://www.informs.org/About-INFORMS/Contact-Us</t>
  </si>
  <si>
    <t xml:space="preserve">https://www.thomassci.com/browse-by/suppliers/informs | https://www.informs.org/About-INFORMS/Contact-Us</t>
  </si>
  <si>
    <t xml:space="preserve">Inmark</t>
  </si>
  <si>
    <t xml:space="preserve">https://www.thomassci.com/browse-by/suppliers/inmark</t>
  </si>
  <si>
    <t xml:space="preserve">https://inmark.mx</t>
  </si>
  <si>
    <t xml:space="preserve">GENTOO 45-5L (ISTA Profile) packs</t>
  </si>
  <si>
    <t xml:space="preserve">13 X 18 Large 95 KPA Bag Printed</t>
  </si>
  <si>
    <t xml:space="preserve">Absorbent Sheet 12x12" 900ML</t>
  </si>
  <si>
    <t xml:space="preserve">Innotech</t>
  </si>
  <si>
    <t xml:space="preserve">https://www.thomassci.com/browse-by/suppliers/innotech</t>
  </si>
  <si>
    <t xml:space="preserve">Innovating Science</t>
  </si>
  <si>
    <t xml:space="preserve">https://www.thomassci.com/browse-by/suppliers/innovating-science</t>
  </si>
  <si>
    <t xml:space="preserve">Dye, Fd&amp;C Blue #1, 50Ml</t>
  </si>
  <si>
    <t xml:space="preserve">Xylene (Xylol) Reagent 500Ml</t>
  </si>
  <si>
    <t xml:space="preserve">Agar, Bacteriological Powder L/G, 100G</t>
  </si>
  <si>
    <t xml:space="preserve">Innovative Bioscience</t>
  </si>
  <si>
    <t xml:space="preserve">Built for the science, not the catalog. Innovative Bioscience exists to bring consistency, documentation clarity, and transparent pricing to fetal bovine serum and essential lab consumables. As active ISIA members, we advocate for stronger serum standards. As operators, we build a purchasing experience that keeps researchers focused on the science. Our goal isn’t to be the largest supplier, it’s to put each customer’s research first.</t>
  </si>
  <si>
    <t xml:space="preserve">No result mentioned Innovative Bioscience; only unrelated Israeli distributors (Tivan Biotech for OZ Biosciences, Enco, Syntezza, Rhenium for Tosoh/Life Technologies).</t>
  </si>
  <si>
    <t xml:space="preserve">Innovative Research</t>
  </si>
  <si>
    <t xml:space="preserve">https://innov-research.com</t>
  </si>
  <si>
    <t xml:space="preserve">248-896-0145</t>
  </si>
  <si>
    <t xml:space="preserve">sales@innov-research.com</t>
  </si>
  <si>
    <t xml:space="preserve">https://www.innov-research.com/pages/contact-us</t>
  </si>
  <si>
    <t xml:space="preserve">https://www.quartzy.com/suppliers | https://www.innov-research.com/pages/contact-us</t>
  </si>
  <si>
    <t xml:space="preserve">Innovex Biosciences</t>
  </si>
  <si>
    <t xml:space="preserve">Inorganic Ventures</t>
  </si>
  <si>
    <t xml:space="preserve">https://www.thomassci.com/browse-by/suppliers/inorganic-ventures</t>
  </si>
  <si>
    <t xml:space="preserve">https://inorganicventures.com</t>
  </si>
  <si>
    <t xml:space="preserve">1000 ppm Nitrate-Nitrogen for IC</t>
  </si>
  <si>
    <t xml:space="preserve">1000 ppm Bromide for IC</t>
  </si>
  <si>
    <t xml:space="preserve">1000 ppm Phosphate-Phosphorus for IC</t>
  </si>
  <si>
    <t xml:space="preserve">IV's international-operations page says it uses one exclusive distributor per territory outside US/Canada; only Spain (Inycom) named; Israel not shown.</t>
  </si>
  <si>
    <t xml:space="preserve">1.800.669.6799</t>
  </si>
  <si>
    <t xml:space="preserve">orders@inorganicventures.com</t>
  </si>
  <si>
    <t xml:space="preserve">https://www.inorganicventures.com/contact-us/</t>
  </si>
  <si>
    <t xml:space="preserve">https://www.quartzy.com/suppliers | https://www.thomassci.com/browse-by/suppliers/inorganic-ventures | https://www.inorganicventures.com/contact-us/</t>
  </si>
  <si>
    <t xml:space="preserve">Instech</t>
  </si>
  <si>
    <t xml:space="preserve">https://www.thomassci.com/browse-by/suppliers/instech</t>
  </si>
  <si>
    <t xml:space="preserve">https://instechlabs.com</t>
  </si>
  <si>
    <t xml:space="preserve">18004434227</t>
  </si>
  <si>
    <t xml:space="preserve">orders@instechlabs.com</t>
  </si>
  <si>
    <t xml:space="preserve">https://www.instechlabs.com/contact</t>
  </si>
  <si>
    <t xml:space="preserve">https://www.thomassci.com/browse-by/suppliers/instech | https://nbtltd.com/products-page | https://www.instechlabs.com/contact</t>
  </si>
  <si>
    <t xml:space="preserve">INSTOCK Labs</t>
  </si>
  <si>
    <t xml:space="preserve">https://www.thomassci.com/browse-by/suppliers/instock-labs</t>
  </si>
  <si>
    <t xml:space="preserve">Standing Height Base Cabinets with 2 doors and 2 Drawers</t>
  </si>
  <si>
    <t xml:space="preserve">Standing Height Base Cabinets with 4 Drawers</t>
  </si>
  <si>
    <t xml:space="preserve">Patriot Table Complete Plumbing Assemblies</t>
  </si>
  <si>
    <t xml:space="preserve">Intact Genomics, Inc</t>
  </si>
  <si>
    <t xml:space="preserve">https://www.thomassci.com/browse-by/suppliers/intact-genomics-inc</t>
  </si>
  <si>
    <t xml:space="preserve">Pfu 2x Master Mix</t>
  </si>
  <si>
    <t xml:space="preserve">BL21(DE3) Chemically Competent Cells</t>
  </si>
  <si>
    <t xml:space="preserve">T4 DNA Polymerase</t>
  </si>
  <si>
    <t xml:space="preserve">No result mentions Intact Genomics; hits are other vendors' Israeli distributor announcements (Eisenberg Bros/Fluidigm, Ornat/LI-COR, Eldan/Medicinal Genomics, Syntezza/IDT).</t>
  </si>
  <si>
    <t xml:space="preserve">https://www.quartzy.com/suppliers | https://www.thomassci.com/browse-by/suppliers/intact-genomics-inc</t>
  </si>
  <si>
    <t xml:space="preserve">Integra</t>
  </si>
  <si>
    <t xml:space="preserve">https://www.dutscher.com/search?initialFilters=brand:Integra</t>
  </si>
  <si>
    <t xml:space="preserve">https://www.integra-biosciences.com</t>
  </si>
  <si>
    <t xml:space="preserve">Zizers</t>
  </si>
  <si>
    <t xml:space="preserve">CHF ~250 million (trade estimate; private)</t>
  </si>
  <si>
    <t xml:space="preserve">VIAFLO / VOYAGER</t>
  </si>
  <si>
    <t xml:space="preserve">ASSIST PLUS</t>
  </si>
  <si>
    <t xml:space="preserve">VACUSAFE / MEDIACLAVE</t>
  </si>
  <si>
    <t xml:space="preserve">Medent - Scientific Equipment Ltd.</t>
  </si>
  <si>
    <t xml:space="preserve">Medent - Scientific Equipment Ltd.: +972 72-395-0508 (sales); +972 8-683-6306 (service) info@medent.co.il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</si>
  <si>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INTEGRA's live 'Where to buy' page still lists Medent - Scientific Equipment LTD., 110 Mordey Hagetaot St., Beer Sheva 84206, +972 8 623 79 84, medent.co.il, as its partner for Israel. INTEGRA's own offices remain in Europe, North America and Asia-Pacific (no Israeli subsidiary). Medent's own site was not re-searched within the budget. Searched '"INTEGRA Biosciences"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the 29 Israeli distributor domains and integra-biosciences.com. INTEGRA's own 'Where to buy' country selector lists Medent - Scientific Equipment Ltd. (Beer Sheva, medent.co.il) as its distributor for Israel; an older indexed copy of the same page shows the same entry. INTEGRA has no Israeli subsidiary (its own offices are in Europe, North America and Asia-Pacific). Caveat: Medent's own site was not checked and the listing was indexed roughly five months before today.</t>
    </r>
  </si>
  <si>
    <t xml:space="preserve">+41 81 286 95 30</t>
  </si>
  <si>
    <t xml:space="preserve">info@integra-biosciences.com</t>
  </si>
  <si>
    <t xml:space="preserve">Tardisstrasse 201, 7205 Zizers, Switzerland</t>
  </si>
  <si>
    <t xml:space="preserve">https://www.integra-biosciences.com/global/en/contacts</t>
  </si>
  <si>
    <t xml:space="preserve">https://www.dutscher.com/search?initialFilters=brand:Integra | https://www.integra-biosciences.com/global/en/where-buy | https://www.integra-biosciences.com/united-kingdom/en/where-buy?field_distributor_country_target_id=All&amp;page=7 | https://www.integra-biosciences.com/global/en/support/contacts | https://www.integra-biosciences.com/united-states/en/support/contacts | https://www.integra-biosciences.com/china/en/stories/integra-biosciences-maintains-its-strong-position-2024-despite-market-challenges | https://www.integra-biosciences.com/japan/ja/stories/integra-biosciences-strengthened-market-position-2025 | https://www.bionity.com/de/news/1174720/integra-biosciences-steigert-weltweiten-umsatz-um-46-prozent.html</t>
  </si>
  <si>
    <t xml:space="preserve">INTEGRA Biosciences</t>
  </si>
  <si>
    <t xml:space="preserve">https://www.thomassci.com/browse-by/suppliers/integra-biosciences</t>
  </si>
  <si>
    <t xml:space="preserve">https://www.thomassci.com/browse-by/suppliers/integra-biosciences | https://www.integra-biosciences.com/global/en/where-buy | https://www.integra-biosciences.com/united-kingdom/en/where-buy?field_distributor_country_target_id=All&amp;page=7 | https://www.integra-biosciences.com/global/en/support/contacts | https://www.integra-biosciences.com/united-states/en/support/contacts | https://www.integra-biosciences.com/china/en/stories/integra-biosciences-maintains-its-strong-position-2024-despite-market-challenges | https://www.integra-biosciences.com/japan/ja/stories/integra-biosciences-strengthened-market-position-2025 | https://www.bionity.com/de/news/1174720/integra-biosciences-steigert-weltweiten-umsatz-um-46-prozent.html</t>
  </si>
  <si>
    <t xml:space="preserve">Intelagard</t>
  </si>
  <si>
    <t xml:space="preserve">https://www.thomassci.com/browse-by/suppliers/intelagard</t>
  </si>
  <si>
    <t xml:space="preserve">https://www.intelagard.com</t>
  </si>
  <si>
    <t xml:space="preserve">Military grade cleaner and disinfectant solution</t>
  </si>
  <si>
    <t xml:space="preserve">Crystal Clean - A commercial decontaminant</t>
  </si>
  <si>
    <t xml:space="preserve">info@intelagard.com</t>
  </si>
  <si>
    <t xml:space="preserve">https://www.thomassci.com/browse-by/suppliers/intelagard | https://www.intelagard.com</t>
  </si>
  <si>
    <t xml:space="preserve">IntelixBio</t>
  </si>
  <si>
    <t xml:space="preserve">https://www.thomassci.com/browse-by/suppliers/intelixbio</t>
  </si>
  <si>
    <t xml:space="preserve">https://intelixbio.com</t>
  </si>
  <si>
    <t xml:space="preserve">301-605-7762</t>
  </si>
  <si>
    <t xml:space="preserve">info@intelixbio.com</t>
  </si>
  <si>
    <t xml:space="preserve">https://www.intelixbio.com/#CONTACT</t>
  </si>
  <si>
    <t xml:space="preserve">https://www.thomassci.com/browse-by/suppliers/intelixbio | https://www.intelixbio.com/#CONTACT</t>
  </si>
  <si>
    <t xml:space="preserve">Inter Dyne Systems</t>
  </si>
  <si>
    <t xml:space="preserve">https://www.thomassci.com/browse-by/suppliers/inter-dyne-systems</t>
  </si>
  <si>
    <t xml:space="preserve">https://interdynesystems.com</t>
  </si>
  <si>
    <t xml:space="preserve">Barron "B" Stainless Steel Pegboard Drying Racks</t>
  </si>
  <si>
    <t xml:space="preserve">Accessories for Pegboard Drying Racks</t>
  </si>
  <si>
    <t xml:space="preserve">V' Victoria Stainless Steel Lab Pegboard Drying Racks</t>
  </si>
  <si>
    <t xml:space="preserve">+12317998760</t>
  </si>
  <si>
    <t xml:space="preserve">sales@interdynesystems.com</t>
  </si>
  <si>
    <t xml:space="preserve">https://interdynesystems.com/contact/</t>
  </si>
  <si>
    <t xml:space="preserve">https://www.thomassci.com/browse-by/suppliers/inter-dyne-systems | https://interdynesystems.com/contact/</t>
  </si>
  <si>
    <t xml:space="preserve">Interlab</t>
  </si>
  <si>
    <t xml:space="preserve">https://www.thomassci.com/browse-by/suppliers/interlab</t>
  </si>
  <si>
    <t xml:space="preserve">PolySeed® BOD Seed Inoculum Capsules</t>
  </si>
  <si>
    <t xml:space="preserve">PolySeed NX®</t>
  </si>
  <si>
    <t xml:space="preserve">Intermetro</t>
  </si>
  <si>
    <t xml:space="preserve">https://www.thomassci.com/browse-by/suppliers/intermetro</t>
  </si>
  <si>
    <t xml:space="preserve">https://intermetro.com.br</t>
  </si>
  <si>
    <t xml:space="preserve">Metro MW Series Utility Cart with 1 Stainless Steel Solid</t>
  </si>
  <si>
    <t xml:space="preserve">Metro Super Erecta Mobile Security Shelving Unit, Chrome</t>
  </si>
  <si>
    <t xml:space="preserve">Metro TableWorx Stationary Work Table, Type 316 Stainless Steel Surface, Stainless I-Frame, ALL SS FINISH</t>
  </si>
  <si>
    <t xml:space="preserve">1150712764</t>
  </si>
  <si>
    <t xml:space="preserve">https://intermetro.com.br/</t>
  </si>
  <si>
    <t xml:space="preserve">https://www.thomassci.com/browse-by/suppliers/intermetro | https://intermetro.com.br/</t>
  </si>
  <si>
    <t xml:space="preserve">International EnviroGuard</t>
  </si>
  <si>
    <t xml:space="preserve">https://www.thomassci.com/browse-by/suppliers/international-enviroguard</t>
  </si>
  <si>
    <t xml:space="preserve">https://int-enviroguard.com</t>
  </si>
  <si>
    <t xml:space="preserve">Blue PVC Cleanroom Chemical Apron</t>
  </si>
  <si>
    <t xml:space="preserve">GammaGuard® CE Frock</t>
  </si>
  <si>
    <t xml:space="preserve">GammaGuard® CE Sterile Coverall</t>
  </si>
  <si>
    <t xml:space="preserve">International Filter Products Inc.</t>
  </si>
  <si>
    <t xml:space="preserve">https://www.thomassci.com/browse-by/suppliers/international-filter-products-inc-</t>
  </si>
  <si>
    <t xml:space="preserve">International Plastics</t>
  </si>
  <si>
    <t xml:space="preserve">https://www.thomassci.com/browse-by/suppliers/international-plastics</t>
  </si>
  <si>
    <t xml:space="preserve">https://interplas.com</t>
  </si>
  <si>
    <t xml:space="preserve">Clearzip® Locking Top Bags</t>
  </si>
  <si>
    <t xml:space="preserve">Specimen Shield Tear Biohazard Pouch Bags</t>
  </si>
  <si>
    <t xml:space="preserve">Clearzip® Lock Top Biohazard Bags</t>
  </si>
  <si>
    <t xml:space="preserve">18008204722</t>
  </si>
  <si>
    <t xml:space="preserve">sales@interplas.com</t>
  </si>
  <si>
    <t xml:space="preserve">https://www.interplas.com/international-plastics-contact</t>
  </si>
  <si>
    <t xml:space="preserve">https://www.thomassci.com/browse-by/suppliers/international-plastics | https://www.interplas.com/international-plastics-contact</t>
  </si>
  <si>
    <t xml:space="preserve">Interscience</t>
  </si>
  <si>
    <t xml:space="preserve">https://www.dutscher.com/search?initialFilters=brand:Interscience</t>
  </si>
  <si>
    <t xml:space="preserve">https://www.thomassci.com/browse-by/suppliers/interscience</t>
  </si>
  <si>
    <t xml:space="preserve">https://www.interscience.com</t>
  </si>
  <si>
    <t xml:space="preserve">Troy</t>
  </si>
  <si>
    <t xml:space="preserve">1980</t>
  </si>
  <si>
    <t xml:space="preserve">company in Troy, United States</t>
  </si>
  <si>
    <t xml:space="preserve">BagRack® Storage Racks for Bags</t>
  </si>
  <si>
    <t xml:space="preserve">Scan® Automatic Colony Counters</t>
  </si>
  <si>
    <t xml:space="preserve">BagOpen® Bag Openers</t>
  </si>
  <si>
    <t xml:space="preserve">Interscience cites distributors in 130+ countries; no Israeli partner in results (Analytics-Shop US/UK, DKSH Australia, Fisher).</t>
  </si>
  <si>
    <t xml:space="preserve">https://www.interscience.com/en/</t>
  </si>
  <si>
    <t xml:space="preserve">Q30282491</t>
  </si>
  <si>
    <t xml:space="preserve">https://www.dutscher.com/search?initialFilters=brand:Interscience | https://www.thomassci.com/browse-by/suppliers/interscience | https://www.wikidata.org/wiki/Q30282491 | https://www.lumitron.co.il/ | https://www.interscience.com/en/</t>
  </si>
  <si>
    <t xml:space="preserve">ION Bioscience</t>
  </si>
  <si>
    <t xml:space="preserve">https://ionbiosciences.com</t>
  </si>
  <si>
    <t xml:space="preserve">(877) 219-8048</t>
  </si>
  <si>
    <t xml:space="preserve">sales@ionbiosciences.com</t>
  </si>
  <si>
    <t xml:space="preserve">https://ionbiosciences.com/contact/</t>
  </si>
  <si>
    <t xml:space="preserve">https://www.quartzy.com/suppliers | https://ionbiosciences.com/contact/</t>
  </si>
  <si>
    <t xml:space="preserve">iQ Biosciences</t>
  </si>
  <si>
    <t xml:space="preserve">https://iqbiosciences.com</t>
  </si>
  <si>
    <t xml:space="preserve">650-383-7515</t>
  </si>
  <si>
    <t xml:space="preserve">info@iqbiosciences.com</t>
  </si>
  <si>
    <t xml:space="preserve">https://iqbiosciences.com/contact-us/</t>
  </si>
  <si>
    <t xml:space="preserve">https://www.quartzy.com/suppliers | https://iqbiosciences.com/contact-us/</t>
  </si>
  <si>
    <t xml:space="preserve">Ironclad</t>
  </si>
  <si>
    <t xml:space="preserve">https://www.thomassci.com/browse-by/suppliers/ironclad</t>
  </si>
  <si>
    <t xml:space="preserve">https://www.ironclad.com</t>
  </si>
  <si>
    <t xml:space="preserve">844-200-5664</t>
  </si>
  <si>
    <t xml:space="preserve">customerservice@ironclad.com</t>
  </si>
  <si>
    <t xml:space="preserve">https://ironclad.com/pages/customer-service.html</t>
  </si>
  <si>
    <t xml:space="preserve">https://www.thomassci.com/browse-by/suppliers/ironclad | https://ironclad.com/pages/customer-service.html</t>
  </si>
  <si>
    <t xml:space="preserve">Isocapt</t>
  </si>
  <si>
    <t xml:space="preserve">https://isocaptllc.com</t>
  </si>
  <si>
    <t xml:space="preserve">IST Scientific</t>
  </si>
  <si>
    <t xml:space="preserve">https://www.thomassci.com/browse-by/suppliers/ist-scientific</t>
  </si>
  <si>
    <t xml:space="preserve">https://istscientific.com</t>
  </si>
  <si>
    <t xml:space="preserve">+441252235758</t>
  </si>
  <si>
    <t xml:space="preserve">sales@istscientific.com</t>
  </si>
  <si>
    <t xml:space="preserve">https://istscientific.com/contact/</t>
  </si>
  <si>
    <t xml:space="preserve">https://www.thomassci.com/browse-by/suppliers/ist-scientific | https://istscientific.com/contact/</t>
  </si>
  <si>
    <t xml:space="preserve">ITW Devcon</t>
  </si>
  <si>
    <t xml:space="preserve">https://www.thomassci.com/browse-by/suppliers/itw-devcon</t>
  </si>
  <si>
    <t xml:space="preserve">5 Minute Epoxy</t>
  </si>
  <si>
    <t xml:space="preserve">5 Minute® Epoxy</t>
  </si>
  <si>
    <t xml:space="preserve">ITW Texwipe</t>
  </si>
  <si>
    <t xml:space="preserve">https://www.thomassci.com/browse-by/suppliers/itw-texwipe</t>
  </si>
  <si>
    <t xml:space="preserve">TechniSat® TX8488 Pre-Wetted Nonwoven Cleanroom Wipers, Non-Sterile</t>
  </si>
  <si>
    <t xml:space="preserve">TexWrite 22 Cleanroom Laboratory Notebooks, Spiral Bound</t>
  </si>
  <si>
    <t xml:space="preserve">Sterile Alcohol, Texwipe Sterile 70% IPA, 32 oz, Trigger Spray Plastic Bottle 0.2micron Filtered, Gamma Irradiated, Validated Sterile, Double Bagged, 1/EA, 12EA/CS</t>
  </si>
  <si>
    <t xml:space="preserve">J. G. Finneran</t>
  </si>
  <si>
    <t xml:space="preserve">https://www.thomassci.com/browse-by/suppliers/j-g-finneran</t>
  </si>
  <si>
    <t xml:space="preserve">Standard Aluminium Seals / Capped Vials</t>
  </si>
  <si>
    <t xml:space="preserve">Big Mouth Autosampler Vials</t>
  </si>
  <si>
    <t xml:space="preserve">LC Certified Vial Kits</t>
  </si>
  <si>
    <t xml:space="preserve">Results entirely unrelated (film distributors, law firm); nothing about J.G. Finneran.</t>
  </si>
  <si>
    <t xml:space="preserve">https://www.quartzy.com/suppliers | https://www.thomassci.com/browse-by/suppliers/j-g-finneran</t>
  </si>
  <si>
    <t xml:space="preserve">JA Crawford</t>
  </si>
  <si>
    <t xml:space="preserve">https://www.thomassci.com/browse-by/suppliers/ja-crawford</t>
  </si>
  <si>
    <t xml:space="preserve">https://jacrawford.net</t>
  </si>
  <si>
    <t xml:space="preserve">Portable Fluid Dispenser 10cc HPD10K</t>
  </si>
  <si>
    <t xml:space="preserve">Flexible Dispensing Tip, 18 Gauge, 1.5 inch, Green</t>
  </si>
  <si>
    <t xml:space="preserve">Precision Stainless Steel Dispensing Tip, 32 Gauge, Yellow, 6.35mm (0.25")</t>
  </si>
  <si>
    <t xml:space="preserve">Jackson ImmunoResearch</t>
  </si>
  <si>
    <t xml:space="preserve">https://www.thomassci.com/browse-by/suppliers/jackson-immunoresearch</t>
  </si>
  <si>
    <t xml:space="preserve">https://jacksonimmuno.com</t>
  </si>
  <si>
    <t xml:space="preserve">Normal Donkey Serum</t>
  </si>
  <si>
    <t xml:space="preserve">AffiniPure F(ab')2 Fragment Goat Anti-Mouse IgM, µ Chain Specific</t>
  </si>
  <si>
    <t xml:space="preserve">Rhodamine (TRITC) AffiniPure Donkey Anti-Mouse IgG (H+L)</t>
  </si>
  <si>
    <t xml:space="preserve">Enco Scientific Services Ltd. (Enco Diagnostics)</t>
  </si>
  <si>
    <t xml:space="preserve">Enco Scientific Services Ltd. (Enco Diagnostics):</t>
  </si>
  <si>
    <t xml:space="preserve">+441638782616</t>
  </si>
  <si>
    <t xml:space="preserve">info@jacksonimmuno.com</t>
  </si>
  <si>
    <t xml:space="preserve">https://www.jacksonimmuno.com/company/contact-us/technical-help</t>
  </si>
  <si>
    <t xml:space="preserve">https://www.quartzy.com/suppliers | https://www.thomassci.com/browse-by/suppliers/jackson-immunoresearch | https://www.jacksonimmuno.com/company/contact-us/technical-help | https://www.enco.co.il/about.php</t>
  </si>
  <si>
    <t xml:space="preserve">Jaece</t>
  </si>
  <si>
    <t xml:space="preserve">https://www.thomassci.com/browse-by/suppliers/jaece</t>
  </si>
  <si>
    <t xml:space="preserve">Identi Markers</t>
  </si>
  <si>
    <t xml:space="preserve">Foam Bench, Shelf, and Drawer Liners</t>
  </si>
  <si>
    <t xml:space="preserve">Foam Test Tube Racks</t>
  </si>
  <si>
    <t xml:space="preserve">Jaece Industries</t>
  </si>
  <si>
    <t xml:space="preserve">Jasco</t>
  </si>
  <si>
    <t xml:space="preserve">https://www.dutscher.com/search?initialFilters=brand:Jasco</t>
  </si>
  <si>
    <t xml:space="preserve">https://www.jasco-global.com</t>
  </si>
  <si>
    <t xml:space="preserve">Hachioji, Tokyo</t>
  </si>
  <si>
    <t xml:space="preserve">JPY ~12 billion (trade estimate; private)</t>
  </si>
  <si>
    <t xml:space="preserve">FY2024 (estimate)</t>
  </si>
  <si>
    <t xml:space="preserve">J-1500</t>
  </si>
  <si>
    <t xml:space="preserve">FT/IR-4X / FT/IR-6X</t>
  </si>
  <si>
    <t xml:space="preserve">V-700 series (V-780)</t>
  </si>
  <si>
    <t xml:space="preserve">Ophir Analytical Ltd.</t>
  </si>
  <si>
    <t xml:space="preserve">Ophir Analytical Ltd.: +972 3-902-2277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</si>
  <si>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Re-confirmed on both sides: JASCO's live 'Where to buy' (jasco.de, Distributors Middle East) and worldwide-locations pages (jasco-global.com, jascoinc.com) list Ophir Analytical, Rosh-Ha'ayin, for Israel, and Ophir Analytical's own live site (6 Hamelacha St, Park-Afek, Rosh-Ha'ayin 48091, +972-3-9022277; distributor since 1991 of chromatography and spectroscopy instruments) matches, though it does not name JASCO in the pages seen. Website corrected to the https domain. JASCO's own 'Where to buy' and 'Worldwide Locations' pages (jascoeurope.com, jasco.de, jasco-global.com, jascoinc.com) list Ophir Analytical Ltd., Rosh Ha'ayin, as the distributor for Israel; JASCO Europe is responsible for sales, service and support across Europe, the Middle East and Africa. The listing is at most about nine months old per the search index. Ophir Analytical's own site was not opened, and the earlier distributor-domain and Hebrew searches missed it because it is not in the known-distributor list.</t>
    </r>
  </si>
  <si>
    <t xml:space="preserve">2967-5 Ishikawa-machi, Hachioji-shi, Tokyo, Japan</t>
  </si>
  <si>
    <t xml:space="preserve">https://www.jasco-global.com/contact-us/</t>
  </si>
  <si>
    <t xml:space="preserve">https://us.metoree.com/companies/177732/</t>
  </si>
  <si>
    <t xml:space="preserve">https://www.dutscher.com/search?initialFilters=brand:Jasco | https://jascoinc.com/?p=1712 | https://photonics.com/Buyers_Guide/JASCO_Inc/c7300 | https://www.ebay.de/itm/293667324097 | https://www.jascoeurope.com/where-to-buy/ | https://www.jasco.de/where-to-buy/ | https://www.jasco-global.com/about-us/jasco-global-locations/ | https://jascoinc.com/about-us/jasco-global-locations/ | https://www.jascoeurope.com/contact-us/ | https://ophiranalytical.com/contact/ | https://ophiranalytical.com/about/ | https://www.jasco-global.com/contact-us/</t>
  </si>
  <si>
    <t xml:space="preserve">Jeio Tech</t>
  </si>
  <si>
    <t xml:space="preserve">https://www.thomassci.com/browse-by/suppliers/jeio-tech</t>
  </si>
  <si>
    <t xml:space="preserve">https://www.jeiotech.com</t>
  </si>
  <si>
    <t xml:space="preserve">Open-Air Shakers</t>
  </si>
  <si>
    <t xml:space="preserve">Advanced Orbital Shakers</t>
  </si>
  <si>
    <t xml:space="preserve">BS2 Shaking Heating Baths</t>
  </si>
  <si>
    <t xml:space="preserve">No result links Jeio Tech (Daejeon, Korea / Des Plaines, IL) to Israel; Israeli distributor hits (Tech Top, Phoenix Technologies, Eastronics) are for unrelated electronics/audio brands.</t>
  </si>
  <si>
    <t xml:space="preserve">https://jeiotech.com/</t>
  </si>
  <si>
    <t xml:space="preserve">https://www.quartzy.com/suppliers | https://www.thomassci.com/browse-by/suppliers/jeio-tech | https://jeiotech.com/</t>
  </si>
  <si>
    <t xml:space="preserve">Jensen Global</t>
  </si>
  <si>
    <t xml:space="preserve">https://www.thomassci.com/browse-by/suppliers/jensen-global</t>
  </si>
  <si>
    <t xml:space="preserve">https://jensenglobal.com</t>
  </si>
  <si>
    <t xml:space="preserve">25 gauge Blue Needle, 0.5'</t>
  </si>
  <si>
    <t xml:space="preserve">Teflon 24-Gauge Needle, 0.5in PTFE tip ID .022in, Red, 50ea/pk</t>
  </si>
  <si>
    <t xml:space="preserve">27 Gauge 1.0" IT Series Tip ID .009" - Gray</t>
  </si>
  <si>
    <t xml:space="preserve">805-965-3668</t>
  </si>
  <si>
    <t xml:space="preserve">sales@jensenglobal.com</t>
  </si>
  <si>
    <t xml:space="preserve">https://jensenglobal.com/pages/contact</t>
  </si>
  <si>
    <t xml:space="preserve">https://www.thomassci.com/browse-by/suppliers/jensen-global | https://jensenglobal.com/pages/contact</t>
  </si>
  <si>
    <t xml:space="preserve">Jenway (Cole-Parmer)</t>
  </si>
  <si>
    <t xml:space="preserve">https://www.dutscher.com/search?initialFilters=brand:Jenway</t>
  </si>
  <si>
    <t xml:space="preserve">https://www.thomassci.com/browse-by/suppliers/jenway-cole-parmer</t>
  </si>
  <si>
    <t xml:space="preserve">https://www.dutscher.com/search?initialFilters=brand:Jenway | https://www.thomassci.com/browse-by/suppliers/jenway-cole-parmer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t>
  </si>
  <si>
    <t xml:space="preserve">JEOL USA</t>
  </si>
  <si>
    <t xml:space="preserve">https://www.thomassci.com/browse-by/suppliers/jeol-usa</t>
  </si>
  <si>
    <t xml:space="preserve">https://www.jeol.com</t>
  </si>
  <si>
    <t xml:space="preserve">Akishima, Tokyo</t>
  </si>
  <si>
    <t xml:space="preserve">Electron microscopy &amp; X-ray / materials characterization</t>
  </si>
  <si>
    <t xml:space="preserve">JPY 179,353 million</t>
  </si>
  <si>
    <t xml:space="preserve">FY ended Mar-2026</t>
  </si>
  <si>
    <t xml:space="preserve">JEM-ARM300F2 GRAND ARM2</t>
  </si>
  <si>
    <t xml:space="preserve">JSM-IT800 / JSM-7900F</t>
  </si>
  <si>
    <t xml:space="preserve">JNM-ECZ Luminous (ECZL)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</si>
  <si>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Bargal Analytical Instruments' live site carries the current JEOL electron-microscopy catalogue with JEOL named as manufacturer (JSM-IT210, JSM-IT200, JSM-IT510, JSM-IT710HR, JCM-7000 NeoScope, JEM-1400Flash, JEM-F200, CRYO ARM 300 and 300 II), confirming the relationship on the distributor side in 2026. The jeol.com service-and-support listing (Bargal, Shoham) did not resurface in this round's snippets but was not contradicted; NMR/MS coverage remains unconfirmed. Searched 'JEOL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the brand across the Israeli distributor domains and jeol.com. JEOL's Service &amp; Support page names Bargal Analytical Instruments (Shoham) as the Israel sales/service contact, and Bargal's site carries a full JEOL electron-microscopy catalogue plus a news item saying it became JEOL's new representative in Israel. The jeol.com page is a few years old but matches Bargal's current site. Whether Bargal also covers JEOL NMR and mass spectrometry was not seen.</t>
    </r>
  </si>
  <si>
    <t xml:space="preserve">+81 42 543 1111</t>
  </si>
  <si>
    <t xml:space="preserve">3-1-2 Musashino, Akishima, Tokyo 196-8558, Japan</t>
  </si>
  <si>
    <t xml:space="preserve">https://www.jeol.com/contacts/products.php</t>
  </si>
  <si>
    <t xml:space="preserve">https://www.globaldata.com/company-profile/jeol-ltd/locations/</t>
  </si>
  <si>
    <t xml:space="preserve">https://www.thomassci.com/browse-by/suppliers/jeol-usa | https://www.jeol.com/service_support/ | https://bargal.co.il/product-category/electron-microscopy/ | https://bargal.co.il/product/benchtop-scanning-electron-microscope-sem-jcm-7000-neoscope/ | https://bargal.co.il/product/cryo-arm-300-jem-z300fsc-field-emission-cryo-electron-microscope/ | https://bargal.co.il/%D7%97%D7%93%D7%A9%D7%95%D7%AA-%D7%95%D7%90%D7%99%D7%A8%D7%95%D7%A2%D7%99%D7%9D/ | https://bargal.co.il/product/scanning-electron-microscope-sem-jsm-it210/ | https://bargal.co.il/product/transmission-electron-microscope-tem-jem-f200-multi-purpose/ | https://bargal.co.il/product/cryo-arm-300-ii-jem-3300-field-emission-cryo-electron-microscope/ | https://quartr.com/events/jeol-ltd-6951-q4-2026_FsIaynJo | https://stockanalysis.com/quote/tyo/6951/financials/income-statement/ | https://atsoho.com/companies/en/4010001122986 | https://www.jeol.com/contacts/products.php</t>
  </si>
  <si>
    <t xml:space="preserve">John M. Maris Company</t>
  </si>
  <si>
    <t xml:space="preserve">https://www.thomassci.com/browse-by/suppliers/john-m-maris-company</t>
  </si>
  <si>
    <t xml:space="preserve">JP Selecta</t>
  </si>
  <si>
    <t xml:space="preserve">https://www.dutscher.com/search?initialFilters=brand:JP+Selecta</t>
  </si>
  <si>
    <t xml:space="preserve">https://grupo-selecta.com</t>
  </si>
  <si>
    <t xml:space="preserve">Sealer 305-C</t>
  </si>
  <si>
    <t xml:space="preserve">Dry heat sterilisor (Poupinel)</t>
  </si>
  <si>
    <t xml:space="preserve">Histological bath for paraffin embedding</t>
  </si>
  <si>
    <t xml:space="preserve">+34 937 700 877</t>
  </si>
  <si>
    <t xml:space="preserve">https://grupo-selecta.com/contacto/</t>
  </si>
  <si>
    <t xml:space="preserve">https://www.dutscher.com/search?initialFilters=brand:JP+Selecta | https://grupo-selecta.com/contacto/</t>
  </si>
  <si>
    <t xml:space="preserve">JSP® by PIP Global Safety</t>
  </si>
  <si>
    <t xml:space="preserve">https://www.thomassci.com/browse-by/suppliers/jsp-by-pip-global-safety</t>
  </si>
  <si>
    <t xml:space="preserve">PIP Cap Style Hard Hat</t>
  </si>
  <si>
    <t xml:space="preserve">HardCap A1+ Baseball Style Bump Cap with HDPE Protective Liner and Adjustable Back, Black/Black</t>
  </si>
  <si>
    <t xml:space="preserve">Vented, Full Brim Hard Hat with HDPE Shell, 6-Point Polyester Suspension and Wheel Ratchet Adjustment</t>
  </si>
  <si>
    <t xml:space="preserve">Julabo</t>
  </si>
  <si>
    <t xml:space="preserve">https://www.dutscher.com/search?initialFilters=brand:Julabo</t>
  </si>
  <si>
    <t xml:space="preserve">https://www.thomassci.com/browse-by/suppliers/julabo</t>
  </si>
  <si>
    <t xml:space="preserve">https://www.julabo.com</t>
  </si>
  <si>
    <t xml:space="preserve">Seelbach (Black Forest)</t>
  </si>
  <si>
    <t xml:space="preserve">EUR 65.3 million</t>
  </si>
  <si>
    <t xml:space="preserve">PRESTO</t>
  </si>
  <si>
    <t xml:space="preserve">CORIO / DYNEO / MAGIO</t>
  </si>
  <si>
    <t xml:space="preserve">FL / FC series</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</si>
  <si>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Labotal's live Represented Firms page lists Julabo, confirming the exclusivity statement on its JULABO product pages is still current. A search restricted to julabo.com returned no Israel page, so the manufacturer side was not seen. No other Israeli JULABO channel surfaced. Labotal's own site lists the brand among the firms it represents and sells its products in Israel (some Labotal pages are several years old; the manufacturer's distributor page was not opened).</t>
    </r>
  </si>
  <si>
    <t xml:space="preserve">+49 7823 51-0</t>
  </si>
  <si>
    <t xml:space="preserve">info@julabo.com</t>
  </si>
  <si>
    <t xml:space="preserve">Gerhard-Juchheim-Strasse 1, 77960 Seelbach, Germany</t>
  </si>
  <si>
    <t xml:space="preserve">https://julabo.com/en/contact</t>
  </si>
  <si>
    <t xml:space="preserve">https://www.julabo.com/en/company/locations</t>
  </si>
  <si>
    <t xml:space="preserve">https://www.dutscher.com/search?initialFilters=brand:Julabo | https://www.thomassci.com/browse-by/suppliers/julabo | https://www.julabo.com/en/company/history | https://julabo.com/en/company | https://implisense.com/en/companies/julabo-gmbh-seelbach-DE05KOSOGF38 | https://craft.co/julabo | https://www.analytica-world.com/en/news/144857/after-75-years-gerhard-juchheim-takes-a-look-back-at-a-lifetime-of-accomplishments.html | https://prospeo.io/c/julabo-revenue | https://labotal.co.il/product/julabo-magio-ms-and-mx-heating-circulatorsideal-for-demanding-external-applications/ | https://labotal.co.il/firms/?lang=en | https://www.julabo.com/en-us/contact</t>
  </si>
  <si>
    <t xml:space="preserve">Justman Brush</t>
  </si>
  <si>
    <t xml:space="preserve">https://www.thomassci.com/browse-by/suppliers/justman-brush</t>
  </si>
  <si>
    <t xml:space="preserve">Cylinder &amp; Bottle Brushes</t>
  </si>
  <si>
    <t xml:space="preserve">Pipet Brushes</t>
  </si>
  <si>
    <t xml:space="preserve">Test Tube Brushes - Radial Tip</t>
  </si>
  <si>
    <t xml:space="preserve">Justrite</t>
  </si>
  <si>
    <t xml:space="preserve">https://www.thomassci.com/browse-by/suppliers/justrite</t>
  </si>
  <si>
    <t xml:space="preserve">https://justrite.com</t>
  </si>
  <si>
    <t xml:space="preserve">JUSTRITE Sure-Grip Yellow EX Flammable Safety Cabinet</t>
  </si>
  <si>
    <t xml:space="preserve">Sure-Grip® EX Countertop and Compac Cabinets for Corrosives</t>
  </si>
  <si>
    <t xml:space="preserve">Sure-Grip® EX Corrosives/Acid Steel Safety Cabinets</t>
  </si>
  <si>
    <t xml:space="preserve">KACTUS</t>
  </si>
  <si>
    <t xml:space="preserve">KactusBio Inc</t>
  </si>
  <si>
    <t xml:space="preserve">https://www.thomassci.com/browse-by/suppliers/kactusbio-inc</t>
  </si>
  <si>
    <t xml:space="preserve">Biotinylated Human HLA-A*02:01&amp;B2M&amp;PRAME (ALYVDSLFFL) Monomer Protein (MHC-HM447B)</t>
  </si>
  <si>
    <t xml:space="preserve">Biotinylated Human HLA-A*02:01&amp;B2M&amp;MAGE-A4 or MAGE-A8 (KVLEHVVRV) Monomer Protein (MHC-HM437B)</t>
  </si>
  <si>
    <t xml:space="preserve">Biotinylated Human HLA-A*02:01&amp;B2M&amp;MAGE-A1 (KVLEYVIKV) Monomer Protein (MHC-HM445B)</t>
  </si>
  <si>
    <t xml:space="preserve">Kango</t>
  </si>
  <si>
    <t xml:space="preserve">https://www.dutscher.com/search?initialFilters=brand:Kango</t>
  </si>
  <si>
    <t xml:space="preserve">High stool with foot rest</t>
  </si>
  <si>
    <t xml:space="preserve">High semi seat black colour</t>
  </si>
  <si>
    <t xml:space="preserve">High polyurethane chair with pads with foot rest</t>
  </si>
  <si>
    <t xml:space="preserve">Kappler</t>
  </si>
  <si>
    <t xml:space="preserve">https://www.thomassci.com/browse-by/suppliers/kappler</t>
  </si>
  <si>
    <t xml:space="preserve">https://kappler.com</t>
  </si>
  <si>
    <t xml:space="preserve">ProVent® Coverall</t>
  </si>
  <si>
    <t xml:space="preserve">DuraChem® 500 Certified Berry Compliant Ensemble</t>
  </si>
  <si>
    <t xml:space="preserve">Kappler ProVent® Plus - Coverall w/ Hood, Elastic Back Waist, Wrists, Ankles and Face Opening</t>
  </si>
  <si>
    <t xml:space="preserve">+18006004019</t>
  </si>
  <si>
    <t xml:space="preserve">customerservice@kappler.com</t>
  </si>
  <si>
    <t xml:space="preserve">https://www.kappler.com/contact/</t>
  </si>
  <si>
    <t xml:space="preserve">https://www.thomassci.com/browse-by/suppliers/kappler | https://www.kappler.com/contact/</t>
  </si>
  <si>
    <t xml:space="preserve">KD Scientific</t>
  </si>
  <si>
    <t xml:space="preserve">https://www.thomassci.com/browse-by/suppliers/kd-scientific</t>
  </si>
  <si>
    <t xml:space="preserve">https://kdscientific.com</t>
  </si>
  <si>
    <t xml:space="preserve">Legato 101 Infuse Only Dual Syringe Pumps</t>
  </si>
  <si>
    <t xml:space="preserve">Legato 180/185 Infuse/Withdraw Syringe Pumps</t>
  </si>
  <si>
    <t xml:space="preserve">Legato 111 Infuse/Withdraw Dual Syringe Pumps</t>
  </si>
  <si>
    <t xml:space="preserve">Only product listings and resellers in other countries (ThomasSci, Fisher, John Morris AU, Labex ZA); no Israeli distributor.</t>
  </si>
  <si>
    <t xml:space="preserve">508-429-6809</t>
  </si>
  <si>
    <t xml:space="preserve">info@kdscientific.com</t>
  </si>
  <si>
    <t xml:space="preserve">https://www.kdscientific.com/</t>
  </si>
  <si>
    <t xml:space="preserve">https://www.quartzy.com/suppliers | https://www.thomassci.com/browse-by/suppliers/kd-scientific | https://www.kdscientific.com/</t>
  </si>
  <si>
    <t xml:space="preserve">KDEB Manufacturing</t>
  </si>
  <si>
    <t xml:space="preserve">https://www.thomassci.com/browse-by/suppliers/kdeb-manufacturing</t>
  </si>
  <si>
    <t xml:space="preserve">1mL Microplates</t>
  </si>
  <si>
    <t xml:space="preserve">2mL Microplates</t>
  </si>
  <si>
    <t xml:space="preserve">Kemtech America</t>
  </si>
  <si>
    <t xml:space="preserve">https://www.thomassci.com/browse-by/suppliers/kemtech-america</t>
  </si>
  <si>
    <t xml:space="preserve">https://kemtech-america.com</t>
  </si>
  <si>
    <t xml:space="preserve">SYNTHWARE Hollow Glass Penny-Head Stoppers</t>
  </si>
  <si>
    <t xml:space="preserve">SYNTHWARE Micro Dewar Vacuum Traps</t>
  </si>
  <si>
    <t xml:space="preserve">SYNTHWARE Vertical Orientation Distrubution Adapter</t>
  </si>
  <si>
    <t xml:space="preserve">Only a Panjiva trade-data listing (Brea, CA glassware imports); no Israel link.</t>
  </si>
  <si>
    <t xml:space="preserve">888-323-3585</t>
  </si>
  <si>
    <t xml:space="preserve">customerservice@twdtradewinds.com</t>
  </si>
  <si>
    <t xml:space="preserve">https://twdtradewinds.com/contact-us/</t>
  </si>
  <si>
    <t xml:space="preserve">https://www.quartzy.com/suppliers | https://www.thomassci.com/browse-by/suppliers/kemtech-america | https://twdtradewinds.com/contact-us/</t>
  </si>
  <si>
    <t xml:space="preserve">Kent Elastomer Products</t>
  </si>
  <si>
    <t xml:space="preserve">https://www.thomassci.com/browse-by/suppliers/kent-elastomer-products</t>
  </si>
  <si>
    <t xml:space="preserve">https://kentelastomer.com</t>
  </si>
  <si>
    <t xml:space="preserve">Pure Latex Amber Autoclavable Rubber Tubing</t>
  </si>
  <si>
    <t xml:space="preserve">Laboratory Grade Seamless Latex Rubber Tubing</t>
  </si>
  <si>
    <t xml:space="preserve">18003314762</t>
  </si>
  <si>
    <t xml:space="preserve">sales@kentelastomer.com</t>
  </si>
  <si>
    <t xml:space="preserve">https://www.kentelastomer.com/whats-your-challenge/</t>
  </si>
  <si>
    <t xml:space="preserve">https://www.thomassci.com/browse-by/suppliers/kent-elastomer-products | https://www.kentelastomer.com/whats-your-challenge/</t>
  </si>
  <si>
    <t xml:space="preserve">Keystone Cleanroom Products</t>
  </si>
  <si>
    <t xml:space="preserve">https://www.thomassci.com/browse-by/suppliers/keystone-cleanroom-products</t>
  </si>
  <si>
    <t xml:space="preserve">Tyvek® Autoclavable Stopper Bowl Covers</t>
  </si>
  <si>
    <t xml:space="preserve">Tyvek® 1073B Self-Sealing Autoclave Bags with Steam Indicator</t>
  </si>
  <si>
    <t xml:space="preserve">1422A Tyvek Autoclave Wrap</t>
  </si>
  <si>
    <t xml:space="preserve">Keystone Safety</t>
  </si>
  <si>
    <t xml:space="preserve">https://www.thomassci.com/browse-by/suppliers/keystone-safety</t>
  </si>
  <si>
    <t xml:space="preserve">KeyGuard Bouffant Cap/Head Cove</t>
  </si>
  <si>
    <t xml:space="preserve">Non-Skid Polypropylene Shoe Cover, XLarge</t>
  </si>
  <si>
    <t xml:space="preserve">Heavy Duty Polypropylene Lab Coats, 3 Pockets, Elastic Wrists &amp; Snap Front</t>
  </si>
  <si>
    <t xml:space="preserve">Keystone Tape &amp; Supply</t>
  </si>
  <si>
    <t xml:space="preserve">https://www.thomassci.com/browse-by/suppliers/keystone-tape-and-supply</t>
  </si>
  <si>
    <t xml:space="preserve">Cleanroom Tape</t>
  </si>
  <si>
    <t xml:space="preserve">Kapton Polyimide Tape with Acrylic Adhesive, 36 yard Length, Plastic Core, 2.5mil</t>
  </si>
  <si>
    <t xml:space="preserve">Tape, Vinyl, Cleanroom, Green, 1 inch x 36 yards, Plastic Core, 36 rolls per case, 1 roll each</t>
  </si>
  <si>
    <t xml:space="preserve">KGW</t>
  </si>
  <si>
    <t xml:space="preserve">https://www.dutscher.com/search?initialFilters=brand:KGW</t>
  </si>
  <si>
    <t xml:space="preserve">https://www.kgw-isotherm.de</t>
  </si>
  <si>
    <t xml:space="preserve">Aluminium transport Dewar flask 2 Litres</t>
  </si>
  <si>
    <t xml:space="preserve">Stainless steel transport Dewar flask 3 Litres</t>
  </si>
  <si>
    <t xml:space="preserve">Stainless steel transport Dewar flask 4 Litres</t>
  </si>
  <si>
    <t xml:space="preserve">Kidde</t>
  </si>
  <si>
    <t xml:space="preserve">https://www.thomassci.com/browse-by/suppliers/kidde</t>
  </si>
  <si>
    <t xml:space="preserve">https://www.kidde.com</t>
  </si>
  <si>
    <t xml:space="preserve">AC Powered, Plug-In CO/Gas Combination Alarm with Battery Backup</t>
  </si>
  <si>
    <t xml:space="preserve">Fire Extinguisher Bracket, 5 lb.</t>
  </si>
  <si>
    <t xml:space="preserve">Carbon Monoxide Alarm, AC Powered, Plug-In with Battery Backup</t>
  </si>
  <si>
    <t xml:space="preserve">https://www.kidde.com/</t>
  </si>
  <si>
    <t xml:space="preserve">https://www.thomassci.com/browse-by/suppliers/kidde | https://www.kidde.com/</t>
  </si>
  <si>
    <t xml:space="preserve">Kilmer, Wagner &amp; Wise</t>
  </si>
  <si>
    <t xml:space="preserve">https://www.thomassci.com/browse-by/suppliers/kilmer-wagner-and-wise</t>
  </si>
  <si>
    <t xml:space="preserve">Bubblewrap, AntiStat, 24x250, Large</t>
  </si>
  <si>
    <t xml:space="preserve">Pallet Wrap 18x1500</t>
  </si>
  <si>
    <t xml:space="preserve">Bubblewrap, AntiStat, 24x750, Small</t>
  </si>
  <si>
    <t xml:space="preserve">Kimberly-Clark</t>
  </si>
  <si>
    <t xml:space="preserve">https://kimberly-clark.com</t>
  </si>
  <si>
    <t xml:space="preserve">75261-9100</t>
  </si>
  <si>
    <t xml:space="preserve">https://www.kimberly-clark.com/en-us/investors/corporate-governance/contact-the-board</t>
  </si>
  <si>
    <t xml:space="preserve">https://www.quartzy.com/suppliers | https://www.kimberly-clark.com/en-us/investors/corporate-governance/contact-the-board</t>
  </si>
  <si>
    <t xml:space="preserve">Kimberly clark - Arbex</t>
  </si>
  <si>
    <t xml:space="preserve">https://www.dutscher.com/search?initialFilters=brand:Kimberly+clark+-+Arbex</t>
  </si>
  <si>
    <t xml:space="preserve">L40 white wipes roll (31.5 x 34 cm) - 750 sheets/roll</t>
  </si>
  <si>
    <t xml:space="preserve">Dispensing box L20 Extra range blue size 33 x 42 cm - box with 280</t>
  </si>
  <si>
    <t xml:space="preserve">Kleenex Ultra 2 ply cellulose wipes - 124 pack</t>
  </si>
  <si>
    <t xml:space="preserve">Kimberly-Clark Professional</t>
  </si>
  <si>
    <t xml:space="preserve">https://www.thomassci.com/browse-by/suppliers/kimberly-clark-professional</t>
  </si>
  <si>
    <t xml:space="preserve">https://kcprofessional.com.br</t>
  </si>
  <si>
    <t xml:space="preserve">Kimwipe® EX-L Delicate Task Wipers</t>
  </si>
  <si>
    <t xml:space="preserve">Kimwipes® Delicate Task Wipers</t>
  </si>
  <si>
    <t xml:space="preserve">Kimwipes Ex-L Delicate Task Wipers</t>
  </si>
  <si>
    <t xml:space="preserve">Kimble</t>
  </si>
  <si>
    <t xml:space="preserve">https://www.dutscher.com/search?initialFilters=brand:Kimble</t>
  </si>
  <si>
    <t xml:space="preserve">Danyel Biotech Ltd. (Gamida for Life group); BDL (Beith Dekel) Ltd.</t>
  </si>
  <si>
    <t xml:space="preserve">Danyel Biotech Ltd. (Gamida for Life group): 1-800-711-911 (also +972 8-936-6066); BDL (Beith Dekel) Ltd.: +972 9-761-1800 info@bdl.co.il</t>
  </si>
  <si>
    <t xml:space="preserve">https://www.dutscher.com/search?initialFilters=brand:Kimble | https://www.dwk.com/careers-europe | https://www.chromatographytoday.com/buyers-guide/profile/14925/dwk-life-sciences-gmbh | https://oneequity.com/portfolio/dwk-life-sciences | https://www.preqin.com/data/profile/asset/dwk-life-sciences-gmbh/226945 | https://rocketreach.co/dwk-life-sciences-profile_b455fd2cfc8bc717 | https://prospeo.io/c/dwk-life-sciences | https://www.reatorg.ru/eng/about/news/reatorg-distribyutor-dwk-duran-wheaton-kimble/ | https://www.chamber.org.il/37679/40433/52076/?id=86053 | https://www.danyel.co.il/scilabware/ | https://en.wikipedia.org/wiki/Duran_(glass) | https://www.dwk.com/na/distributors | https://www.bdl.co.il/Search.aspx?Category=Chemistry&amp;FCD=1 | https://www.dwk.com/na/contact-us</t>
  </si>
  <si>
    <t xml:space="preserve">Kimtech</t>
  </si>
  <si>
    <t xml:space="preserve">https://www.dutscher.com/search?initialFilters=brand:Kimtech</t>
  </si>
  <si>
    <t xml:space="preserve">https://www.kcprofessional.com</t>
  </si>
  <si>
    <t xml:space="preserve">KIMTECH™ Opal Nitrile glove - size XL</t>
  </si>
  <si>
    <t xml:space="preserve">Kimtech™ Polaris™ Xtra glove size XS</t>
  </si>
  <si>
    <t xml:space="preserve">Kimtech™ Polaris™ Xtra glove size S</t>
  </si>
  <si>
    <t xml:space="preserve">18002413146</t>
  </si>
  <si>
    <t xml:space="preserve">https://www.kcprofessional.com/en-us/contact-us</t>
  </si>
  <si>
    <t xml:space="preserve">https://www.dutscher.com/search?initialFilters=brand:Kimtech | https://www.kcprofessional.com/en-us/contact-us</t>
  </si>
  <si>
    <t xml:space="preserve">Kinematica</t>
  </si>
  <si>
    <t xml:space="preserve">https://www.thomassci.com/browse-by/suppliers/kinematica</t>
  </si>
  <si>
    <t xml:space="preserve">https://kinematica.ch</t>
  </si>
  <si>
    <t xml:space="preserve">Dispoable Generators for POLYTRON® Homogenizers</t>
  </si>
  <si>
    <t xml:space="preserve">Dispersing Aggregates/Generators for Polytron® Homogenizers</t>
  </si>
  <si>
    <t xml:space="preserve">POLYTRON® PT 10/35 GT Homogenizers</t>
  </si>
  <si>
    <t xml:space="preserve">+41 41 259 65 65</t>
  </si>
  <si>
    <t xml:space="preserve">sales@kinematica.ch</t>
  </si>
  <si>
    <t xml:space="preserve">https://kinematica.ch/contact/</t>
  </si>
  <si>
    <t xml:space="preserve">https://www.thomassci.com/browse-by/suppliers/kinematica | https://labotal.co.il/represented-firms/ | https://kinematica.ch/contact/</t>
  </si>
  <si>
    <t xml:space="preserve">Kinesis</t>
  </si>
  <si>
    <t xml:space="preserve">https://www.thomassci.com/browse-by/suppliers/kinesis</t>
  </si>
  <si>
    <t xml:space="preserve">https://kinesis-ergo.com</t>
  </si>
  <si>
    <t xml:space="preserve">TELOS® Bulk SPE Media</t>
  </si>
  <si>
    <t xml:space="preserve">TELOS® NH2 Flash Chromatography Columns</t>
  </si>
  <si>
    <t xml:space="preserve">TELOS® neo™ PAX SPE Columns</t>
  </si>
  <si>
    <t xml:space="preserve">sales@kinesis.com</t>
  </si>
  <si>
    <t xml:space="preserve">https://kinesis-ergo.com/support/contact-a-technician/</t>
  </si>
  <si>
    <t xml:space="preserve">https://www.thomassci.com/browse-by/suppliers/kinesis | https://kinesis-ergo.com/support/contact-a-technician/</t>
  </si>
  <si>
    <t xml:space="preserve">Kingfisher Biotech</t>
  </si>
  <si>
    <t xml:space="preserve">https://www.kingfisherbiotech.com</t>
  </si>
  <si>
    <t xml:space="preserve">Kingfisher Biotech, founded in 2007 and headquartered in Saint Paul, Minnesota, is a woman-owned biotechnology company specializing in research reagents for animal health and animal model research. They are known for developing tools—such as recombinant proteins, antibodies, and ELISA kits—for over 20 underserved species (e.g., bovine, canine, equine, swine, and dolphins)</t>
  </si>
  <si>
    <t xml:space="preserve">Kingfisher Biotech (veterinary/species-specific reagents) results show NZ (Mediray) and EU (Clinisciences) resellers; Israeli distributor pages (Enco, Rhenium, Agentek, Syntezza) do not list Kingfisher.</t>
  </si>
  <si>
    <t xml:space="preserve">https://www.kingfisherbiotech.com/</t>
  </si>
  <si>
    <t xml:space="preserve">https://www.quartzy.com/suppliers | https://info.quartzy.com/new-suppliers | https://www.kingfisherbiotech.com/</t>
  </si>
  <si>
    <t xml:space="preserve">Kisker</t>
  </si>
  <si>
    <t xml:space="preserve">https://www.dutscher.com/search?initialFilters=brand:Kisker</t>
  </si>
  <si>
    <t xml:space="preserve">109 V-1 Plus Vortex-Mixer</t>
  </si>
  <si>
    <t xml:space="preserve">Cells C-Chip Neubauer 10 µl</t>
  </si>
  <si>
    <t xml:space="preserve">Densitometer Den-1B</t>
  </si>
  <si>
    <t xml:space="preserve">KM Healthcare</t>
  </si>
  <si>
    <t xml:space="preserve">https://www.thomassci.com/browse-by/suppliers/km-healthcare</t>
  </si>
  <si>
    <t xml:space="preserve">https://kmact.com</t>
  </si>
  <si>
    <t xml:space="preserve">281-405-0888</t>
  </si>
  <si>
    <t xml:space="preserve">https://kmact.com/pages/contact-us</t>
  </si>
  <si>
    <t xml:space="preserve">https://www.thomassci.com/browse-by/suppliers/km-healthcare | https://kmact.com/pages/contact-us</t>
  </si>
  <si>
    <t xml:space="preserve">KNF</t>
  </si>
  <si>
    <t xml:space="preserve">https://www.dutscher.com/search?initialFilters=brand:KNF</t>
  </si>
  <si>
    <t xml:space="preserve">https://www.thomassci.com/browse-by/suppliers/knf</t>
  </si>
  <si>
    <t xml:space="preserve">Simdos 02 Liquid Dosing Pumps, 0.03-20 Ml/Min</t>
  </si>
  <si>
    <t xml:space="preserve">Rollstock Tubing</t>
  </si>
  <si>
    <t xml:space="preserve">Pump Accessories</t>
  </si>
  <si>
    <t xml:space="preserve">Single weak source: an English-language page titled 'World leading diaphragm pumps by KNF' hosted on an Israeli staging/temp subdomain (apparently a copy of LDR's website), undated. A second confirming search returned only the same page; no confirmation on knf.com or on an LDR-owned domain, so treat as unverified. | A page on an Israeli staging subdomain names "LDR" as KNF representative in Israel; source unreliable, not recorded.</t>
  </si>
  <si>
    <t xml:space="preserve">https://www.dutscher.com/search?initialFilters=brand:KNF | https://www.thomassci.com/browse-by/suppliers/knf | https://ormir.co.il/card-with-image/</t>
  </si>
  <si>
    <t xml:space="preserve">KNF Neuberger</t>
  </si>
  <si>
    <t xml:space="preserve">Koehler</t>
  </si>
  <si>
    <t xml:space="preserve">https://www.thomassci.com/browse-by/suppliers/koehler</t>
  </si>
  <si>
    <t xml:space="preserve">https://www.koehlerinstrument.com</t>
  </si>
  <si>
    <t xml:space="preserve">Pensky-Martens Closed Cup Flash Tester</t>
  </si>
  <si>
    <t xml:space="preserve">Sediment Extraction Apparatus</t>
  </si>
  <si>
    <t xml:space="preserve">Beaker Pyrex 100ml</t>
  </si>
  <si>
    <t xml:space="preserve">Kord Valmark™</t>
  </si>
  <si>
    <t xml:space="preserve">https://www.thomassci.com/browse-by/suppliers/kord-valmark</t>
  </si>
  <si>
    <t xml:space="preserve">Polypropylene Conical Bottom Centrifuge Tubes</t>
  </si>
  <si>
    <t xml:space="preserve">Slippable Polystyrene Petri Dishes</t>
  </si>
  <si>
    <t xml:space="preserve">Drosophila Vials</t>
  </si>
  <si>
    <t xml:space="preserve">No result mentions Kord-Valmark at all; hits are unrelated Israeli valve/fittings and industrial distributor listings.</t>
  </si>
  <si>
    <t xml:space="preserve">https://www.quartzy.com/suppliers | https://www.thomassci.com/browse-by/suppliers/kord-valmark</t>
  </si>
  <si>
    <t xml:space="preserve">Kottermann</t>
  </si>
  <si>
    <t xml:space="preserve">https://www.dutscher.com/search?initialFilters=brand:Kottermann</t>
  </si>
  <si>
    <t xml:space="preserve">Köttermann under-counter cabinet on castors with 4 drawers (drawers H: 150 mm) - width: 600 mm</t>
  </si>
  <si>
    <t xml:space="preserve">Köttermann fixed work table - W x D x H: 1200 x 600 x 900 mm - TopResist® melamine coating</t>
  </si>
  <si>
    <t xml:space="preserve">Köttermann wheeled underframe 2 drawers (drawers H: 300 mm) - width: 600 mm</t>
  </si>
  <si>
    <t xml:space="preserve">Kruse Adhesive Tape</t>
  </si>
  <si>
    <t xml:space="preserve">https://www.thomassci.com/browse-by/suppliers/kruse-adhesive-tape</t>
  </si>
  <si>
    <t xml:space="preserve">https://krusetape.com</t>
  </si>
  <si>
    <t xml:space="preserve">123-456-7890</t>
  </si>
  <si>
    <t xml:space="preserve">sales@krusetape.com</t>
  </si>
  <si>
    <t xml:space="preserve">https://krusetape.com/contact/</t>
  </si>
  <si>
    <t xml:space="preserve">https://www.thomassci.com/browse-by/suppliers/kruse-adhesive-tape | https://krusetape.com/contact/</t>
  </si>
  <si>
    <t xml:space="preserve">Kut Gard® by PIP Global Safety</t>
  </si>
  <si>
    <t xml:space="preserve">https://www.thomassci.com/browse-by/suppliers/kut-gard-by-pip-global-safety</t>
  </si>
  <si>
    <t xml:space="preserve">Kut-Gard Seamless Knit Kevlar Glove with Double-Sided PVC Dot Grip - Medium Weight</t>
  </si>
  <si>
    <t xml:space="preserve">Cut Resistant Gloves</t>
  </si>
  <si>
    <t xml:space="preserve">DOUBLE-PLY KEVLAR SLEEVE 2/THUMBSLOT 18"</t>
  </si>
  <si>
    <t xml:space="preserve">Lab Armor</t>
  </si>
  <si>
    <t xml:space="preserve">https://www.thomassci.com/browse-by/suppliers/lab-armor</t>
  </si>
  <si>
    <t xml:space="preserve">https://labarmor.com</t>
  </si>
  <si>
    <t xml:space="preserve">Walkabout™ Scoop Tray</t>
  </si>
  <si>
    <t xml:space="preserve">Lab Armor Bead Bath</t>
  </si>
  <si>
    <t xml:space="preserve">sales@labarmor.com</t>
  </si>
  <si>
    <t xml:space="preserve">https://www.labarmor.com/contact</t>
  </si>
  <si>
    <t xml:space="preserve">https://www.thomassci.com/browse-by/suppliers/lab-armor | https://www.labarmor.com/contact</t>
  </si>
  <si>
    <t xml:space="preserve">Lab Bioreagents</t>
  </si>
  <si>
    <t xml:space="preserve">https://www.thomassci.com/browse-by/suppliers/lab-bioreagents</t>
  </si>
  <si>
    <t xml:space="preserve">https://labbioreagents.com</t>
  </si>
  <si>
    <t xml:space="preserve">NGB I</t>
  </si>
  <si>
    <t xml:space="preserve">StrongBlock I</t>
  </si>
  <si>
    <t xml:space="preserve">800-372-5798</t>
  </si>
  <si>
    <t xml:space="preserve">sales@labbioreagents.com</t>
  </si>
  <si>
    <t xml:space="preserve">https://labbioreagents.com/index.php?route=information/contact</t>
  </si>
  <si>
    <t xml:space="preserve">https://www.thomassci.com/browse-by/suppliers/lab-bioreagents | https://labbioreagents.com/index.php?route=information/contact</t>
  </si>
  <si>
    <t xml:space="preserve">Lab Dog</t>
  </si>
  <si>
    <t xml:space="preserve">Labchem</t>
  </si>
  <si>
    <t xml:space="preserve">https://www.thomassci.com/browse-by/suppliers/labchem</t>
  </si>
  <si>
    <t xml:space="preserve">https://labchem.com</t>
  </si>
  <si>
    <t xml:space="preserve">LabChem 5% w/v Phenol</t>
  </si>
  <si>
    <t xml:space="preserve">LabChem 0.2N (0.2M) Hydrochloric Acid</t>
  </si>
  <si>
    <t xml:space="preserve">LabChem Glucose-Glutamic Acid For BOD (Sterilized)</t>
  </si>
  <si>
    <t xml:space="preserve">LabChem Inc. (Pittsburgh) listing only; a Fujifilm Wako 'LabChem' distributor page (different brand) cut off before Israel; Agentek/Enco/Rhenium appeared with no link.</t>
  </si>
  <si>
    <t xml:space="preserve">https://www.quartzy.com/suppliers | https://www.thomassci.com/browse-by/suppliers/labchem</t>
  </si>
  <si>
    <t xml:space="preserve">Labcon</t>
  </si>
  <si>
    <t xml:space="preserve">https://www.dutscher.com/search?initialFilters=brand:Labcon</t>
  </si>
  <si>
    <t xml:space="preserve">https://www.thomassci.com/browse-by/suppliers/labcon</t>
  </si>
  <si>
    <t xml:space="preserve">https://www.labcon.com</t>
  </si>
  <si>
    <t xml:space="preserve">Eclipse™ Macro 10mL Pipet Tips for Popular Pipettors</t>
  </si>
  <si>
    <t xml:space="preserve">Microtube Storage Racks</t>
  </si>
  <si>
    <t xml:space="preserve">Eclipse™ 200µL Graduated Pipet Tips</t>
  </si>
  <si>
    <t xml:space="preserve">Search covered Labcon North America (lab plastics) and Labconco (the website given in targets); Labconco's distributor pages list US/Canada/global dealers but no Israel entry appeared in results, and nothing links Labcon to an Israeli distributor. Other hits (Labcon Bulgaria, Labco) are unrelated.</t>
  </si>
  <si>
    <t xml:space="preserve">+1.707.766.2100</t>
  </si>
  <si>
    <t xml:space="preserve">info@labcon.com</t>
  </si>
  <si>
    <t xml:space="preserve">https://www.labcon.com/contact.html</t>
  </si>
  <si>
    <t xml:space="preserve">https://www.dutscher.com/search?initialFilters=brand:Labcon | https://www.quartzy.com/suppliers | https://www.thomassci.com/browse-by/suppliers/labcon | https://www.labcon.com/contact.html</t>
  </si>
  <si>
    <t xml:space="preserve">Labconco</t>
  </si>
  <si>
    <t xml:space="preserve">https://www.thomassci.com/browse-by/suppliers/labconco</t>
  </si>
  <si>
    <t xml:space="preserve">https://www.labconco.com</t>
  </si>
  <si>
    <t xml:space="preserve">Kansas City, Missouri</t>
  </si>
  <si>
    <t xml:space="preserve">Lab furniture &amp; fume hoods</t>
  </si>
  <si>
    <t xml:space="preserve">approx. USD 42.6 million (third-party estimate)</t>
  </si>
  <si>
    <t xml:space="preserve">n/a (aggregator estimate seen Oct 2026)</t>
  </si>
  <si>
    <t xml:space="preserve">Protector fume hoods (XStream / Premier)</t>
  </si>
  <si>
    <t xml:space="preserve">FreeZone freeze dryers</t>
  </si>
  <si>
    <t xml:space="preserve">Purifier Logic+ biosafety cabinets</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</si>
  <si>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Labotal's live Represented Firms page and drying-systems category still list Labconco, so the relationship is current on the distributor's side. Labconco's live 'Meet Labconco's International Team' page lists Israel among the territories covered by its European sales manager, consistent with distributor-based coverage, though it does not name Labotal. No other Israeli Labconco channel surfaced. Labotal's own site lists the brand among the firms it represents and sells its products in Israel (some Labotal pages are several years old; the manufacturer's distributor page was not opened).</t>
    </r>
  </si>
  <si>
    <t xml:space="preserve">+1 816-333-8811</t>
  </si>
  <si>
    <t xml:space="preserve">8811 Prospect Ave, Kansas City, MO 64132, USA</t>
  </si>
  <si>
    <t xml:space="preserve">https://www.labconco.com/contact</t>
  </si>
  <si>
    <t xml:space="preserve">https://www.labconco.com/faq</t>
  </si>
  <si>
    <t xml:space="preserve">https://www.thomassci.com/browse-by/suppliers/labconco | https://www.ibisworld.com/united-states/supplieriq/labconco/406844 | https://linkedin.com/company/labconco | https://www.indeed.com/cmp/Labconco-Corporation | https://my.labconco.com/centennial-timeline | https://labconco.com/distributors | https://labconco.com/sales-and-support/international-sales | https://www.labconco.com/faq | https://labotal.co.il/sitemap/?lang=en | https://labotal.co.il/firms/?lang=en | https://labotal.co.il/product-category/drying-systems/?lang=en | https://www.labconco.com/news/international-team | https://www.labconco.com/contact</t>
  </si>
  <si>
    <t xml:space="preserve">LabExact</t>
  </si>
  <si>
    <t xml:space="preserve">https://www.thomassci.com/browse-by/suppliers/labexact</t>
  </si>
  <si>
    <t xml:space="preserve">labForce® (powered by Thomas Scientific)</t>
  </si>
  <si>
    <t xml:space="preserve">https://www.thomassci.com/browse-by/suppliers/labforce-powered-by-thomas-scientific</t>
  </si>
  <si>
    <t xml:space="preserve">labForce® Serological Pipettes, Individually Wrapped, Sterile</t>
  </si>
  <si>
    <t xml:space="preserve">Thomas Stadie-Riggs Tissue Slicer/Microtome Blades</t>
  </si>
  <si>
    <t xml:space="preserve">SHARP™ Classic Precision Barrier Tips</t>
  </si>
  <si>
    <t xml:space="preserve">Labnet</t>
  </si>
  <si>
    <t xml:space="preserve">https://www.dutscher.com/search?initialFilters=brand:Labnet</t>
  </si>
  <si>
    <t xml:space="preserve">https://www.thomassci.com/browse-by/suppliers/labnet</t>
  </si>
  <si>
    <t xml:space="preserve">Revolver™ Adjustable Rotator</t>
  </si>
  <si>
    <t xml:space="preserve">VX-200 Vortex Mixer</t>
  </si>
  <si>
    <t xml:space="preserve">Spectrafuge 24d Digital Microcentrifuge</t>
  </si>
  <si>
    <t xml:space="preserve">Labnet International (Edison, NJ) sells via a dealer network and a GlobalData profile cites presence in the Middle East, but no Israeli dealer is named; results are US/UK/FR resellers.</t>
  </si>
  <si>
    <t xml:space="preserve">https://www.dutscher.com/search?initialFilters=brand:Labnet | https://www.thomassci.com/browse-by/suppliers/labnet | https://www.yarden-biotec.co.il/</t>
  </si>
  <si>
    <t xml:space="preserve">Labplas</t>
  </si>
  <si>
    <t xml:space="preserve">https://www.dutscher.com/search?initialFilters=brand:Labplas</t>
  </si>
  <si>
    <t xml:space="preserve">https://www.thomassci.com/browse-by/suppliers/labplas</t>
  </si>
  <si>
    <t xml:space="preserve">https://labplas.com</t>
  </si>
  <si>
    <t xml:space="preserve">TWIRL'EM Sterile Sampling Bags - Safety Tabs (Opaque)</t>
  </si>
  <si>
    <t xml:space="preserve">TWIRL'EM Large Format Sterile Sampling Bags - Safety Tabs</t>
  </si>
  <si>
    <t xml:space="preserve">TWIRL'EM Sterile Sampling Bags - Safety Tab (Clear)</t>
  </si>
  <si>
    <t xml:space="preserve">Labplas cites 175+ independent distributors in 60+ countries; none named for Israel in results (Rhenium, S.L. Moran surfaced without a Labplas link).</t>
  </si>
  <si>
    <t xml:space="preserve">+14506497343</t>
  </si>
  <si>
    <t xml:space="preserve">https://labplas.com/fr_CA/</t>
  </si>
  <si>
    <t xml:space="preserve">https://www.dutscher.com/search?initialFilters=brand:Labplas | https://www.thomassci.com/browse-by/suppliers/labplas | https://labplas.com/fr_CA/</t>
  </si>
  <si>
    <t xml:space="preserve">LabRepCo</t>
  </si>
  <si>
    <t xml:space="preserve">https://www.thomassci.com/browse-by/suppliers/labrepco</t>
  </si>
  <si>
    <t xml:space="preserve">https://labrepco.com</t>
  </si>
  <si>
    <t xml:space="preserve">Ultra Elite Series Flammable Material Storage Upright Refrigerators &amp; Freezers</t>
  </si>
  <si>
    <t xml:space="preserve">Manual Defrost Freezers</t>
  </si>
  <si>
    <t xml:space="preserve">Futura Silver Series PRIME Laboratory Refrigerator and Freezers</t>
  </si>
  <si>
    <t xml:space="preserve">LabRepCo is itself a US East-Coast regional distributor (Horsham, PA); no international channel found.</t>
  </si>
  <si>
    <t xml:space="preserve">800-521-0754</t>
  </si>
  <si>
    <t xml:space="preserve">info@labrepco.com</t>
  </si>
  <si>
    <t xml:space="preserve">https://www.labrepco.com/contact</t>
  </si>
  <si>
    <t xml:space="preserve">https://www.quartzy.com/suppliers | https://www.thomassci.com/browse-by/suppliers/labrepco | https://www.labrepco.com/contact</t>
  </si>
  <si>
    <t xml:space="preserve">LabStrong</t>
  </si>
  <si>
    <t xml:space="preserve">https://www.thomassci.com/browse-by/suppliers/labstrong</t>
  </si>
  <si>
    <t xml:space="preserve">https://labstrong.com</t>
  </si>
  <si>
    <t xml:space="preserve">T' Piece Plastic CLD/Boiler andpretreated feed (8lt only)</t>
  </si>
  <si>
    <t xml:space="preserve">Flow Restrictor</t>
  </si>
  <si>
    <t xml:space="preserve">Ventgard Filter Replacement</t>
  </si>
  <si>
    <t xml:space="preserve">LabStrong (Dubuque, Iowa) results are US-only (it is itself a US distributor for Synoptics); Israeli distributor pages (Enco, Rhenium, Agentek) do not mention LabStrong.</t>
  </si>
  <si>
    <t xml:space="preserve">https://www.quartzy.com/suppliers | https://www.thomassci.com/browse-by/suppliers/labstrong</t>
  </si>
  <si>
    <t xml:space="preserve">Laddawn</t>
  </si>
  <si>
    <t xml:space="preserve">https://www.thomassci.com/browse-by/suppliers/laddawn</t>
  </si>
  <si>
    <t xml:space="preserve">https://laddawn.com</t>
  </si>
  <si>
    <t xml:space="preserve">Reclosable Static Shielding Bags</t>
  </si>
  <si>
    <t xml:space="preserve">14x20 4mil, Bags</t>
  </si>
  <si>
    <t xml:space="preserve">Lakeland Industries</t>
  </si>
  <si>
    <t xml:space="preserve">https://www.thomassci.com/browse-by/suppliers/lakeland-industries</t>
  </si>
  <si>
    <t xml:space="preserve">CleanMax Select SMMS Cleanroom Coverall</t>
  </si>
  <si>
    <t xml:space="preserve">CleanMax Select Cleanroom Sterile Lab Coats/Frocks</t>
  </si>
  <si>
    <t xml:space="preserve">Cleanmax Nonsterile Frocks, individually packaged</t>
  </si>
  <si>
    <t xml:space="preserve">Lamda Biotech</t>
  </si>
  <si>
    <t xml:space="preserve">https://www.lamdabio.com</t>
  </si>
  <si>
    <t xml:space="preserve">1-800-631-5009</t>
  </si>
  <si>
    <t xml:space="preserve">https://research.moleculardesigns.com/contact-us/</t>
  </si>
  <si>
    <t xml:space="preserve">https://www.quartzy.com/suppliers | https://research.moleculardesigns.com/contact-us/</t>
  </si>
  <si>
    <t xml:space="preserve">LaMotte</t>
  </si>
  <si>
    <t xml:space="preserve">https://www.thomassci.com/browse-by/suppliers/lamotte</t>
  </si>
  <si>
    <t xml:space="preserve">https://lamotte.com</t>
  </si>
  <si>
    <t xml:space="preserve">LaMotte Total, Calcium &amp; Magnesium Hardness Kit</t>
  </si>
  <si>
    <t xml:space="preserve">LaMotte Sulfide Test Solution #6</t>
  </si>
  <si>
    <t xml:space="preserve">Test Strips, Free &amp; Total Chlorine</t>
  </si>
  <si>
    <t xml:space="preserve">+18003443100</t>
  </si>
  <si>
    <t xml:space="preserve">https://lamotte.com/contact-us/</t>
  </si>
  <si>
    <t xml:space="preserve">https://www.thomassci.com/browse-by/suppliers/lamotte | https://lamotte.com/contact-us/</t>
  </si>
  <si>
    <t xml:space="preserve">Lancer</t>
  </si>
  <si>
    <t xml:space="preserve">https://www.dutscher.com/search?initialFilters=brand:Lancer</t>
  </si>
  <si>
    <t xml:space="preserve">https://lancers.jp</t>
  </si>
  <si>
    <t xml:space="preserve">Liquid detergent LLL 10 Litres</t>
  </si>
  <si>
    <t xml:space="preserve">Option for Getinge 815, 1300, 1400, or 1600 washer: low pressure solenoid valve and pump</t>
  </si>
  <si>
    <t xml:space="preserve">Option for Getinge washer: installation pre-visit</t>
  </si>
  <si>
    <t xml:space="preserve">Lauda</t>
  </si>
  <si>
    <t xml:space="preserve">https://www.dutscher.com/search?initialFilters=brand:Lauda</t>
  </si>
  <si>
    <t xml:space="preserve">https://www.thomassci.com/browse-by/suppliers/lauda</t>
  </si>
  <si>
    <t xml:space="preserve">https://www.lauda.de</t>
  </si>
  <si>
    <t xml:space="preserve">Lauda-Königshofen</t>
  </si>
  <si>
    <t xml:space="preserve">EUR ~100 million (group)</t>
  </si>
  <si>
    <t xml:space="preserve">Integral</t>
  </si>
  <si>
    <t xml:space="preserve">PRO / ECO / Alpha</t>
  </si>
  <si>
    <t xml:space="preserve">Ultracool / Variocool</t>
  </si>
  <si>
    <t xml:space="preserve">Medent Scientific Instruments; Citrine Solutions; Avni &amp; Son</t>
  </si>
  <si>
    <t xml:space="preserve">Medent Scientific Instruments: +972 72-395-0508 (sales); +972 8-683-6306 (service) info@medent.co.il; Citrine Solutions:; Avni &amp; Son: +972-4-821-9989 info@avni-son.co.il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</si>
  <si>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LAUDA's own live warranty-participants page names Avni Meshulam &amp; Son Ltd., Haifa, as its authorized sales &amp; service partner for Israel (the same page also shows a LAUDA Ultracool/LAUDA Iberica line against Haifa, apparently a layout artefact), and LAUDA's locations page lists Israel among countries with representatives, so Avni &amp; Son is upgraded to a confirmed authorised partner. Medent's live LAUDA category pages re-confirm it as a current laboratory-range channel. Citrine Solutions was not re-checked and is kept as older evidence. Medent's own site has a 'Lauda - Germany' manufacturer page describing LAUDA as the global leader in constant-temperature equipment plus a Hebrew product category for LAUDA baths, circulators and chillers, so Medent is the clearest Israeli distributor for the laboratory range. A .co.il-wide search also found Citrine Solutions selling LAUDA Variocool VC 1200, Ultracool UC2 and MGW MS units, and Avni &amp; Son hosting the 2026 LAUDA Ultracool (process chiller) brochure, which suggests an industrial-side partner; both are recorded with caveats because neither page states an authorised-distributor relationship. LAUDA's own locator (lauda.de) was not searched within the budget.</t>
    </r>
  </si>
  <si>
    <t xml:space="preserve">+49 9343 503-0</t>
  </si>
  <si>
    <t xml:space="preserve">info@lauda.de</t>
  </si>
  <si>
    <t xml:space="preserve">Laudaplatz 1, 97922 Lauda-Königshofen, Germany</t>
  </si>
  <si>
    <t xml:space="preserve">https://www.lauda.de/de/kontakt</t>
  </si>
  <si>
    <t xml:space="preserve">https://lauda.de/en/imprint</t>
  </si>
  <si>
    <r>
      <rPr>
        <sz val="11"/>
        <color theme="1"/>
        <rFont val="Calibri"/>
        <family val="2"/>
        <charset val="1"/>
      </rPr>
      <t xml:space="preserve">https://www.dutscher.com/search?initialFilters=brand:Lauda | https://www.thomassci.com/browse-by/suppliers/lauda | https://www.presseportal.de/en/pm/169683/6011832 | https://www.lauda.de/en/company/news/detail/all-eyes-on-growth | https://www.presseportal.de/en/pm/169683/5854642 | https://www.presseportal.de/en/pm/169683/5928829 | https://www.lauda.de/en/company/news/detail/strong-axis-from-burgwedel-to-lauda-koenigshofen | https://www.medent.co.il/en/project/lauda-germany/ | https://www.medent.co.il/scientific.equipment/product-category/lauda-</t>
    </r>
    <r>
      <rPr>
        <sz val="11"/>
        <color theme="1"/>
        <rFont val="FreeSans"/>
        <family val="2"/>
      </rPr>
      <t xml:space="preserve">אמבטים</t>
    </r>
    <r>
      <rPr>
        <sz val="11"/>
        <color theme="1"/>
        <rFont val="Calibri"/>
        <family val="2"/>
        <charset val="1"/>
      </rPr>
      <t xml:space="preserve">-</t>
    </r>
    <r>
      <rPr>
        <sz val="11"/>
        <color theme="1"/>
        <rFont val="FreeSans"/>
        <family val="2"/>
      </rPr>
      <t xml:space="preserve">סירקולטורים</t>
    </r>
    <r>
      <rPr>
        <sz val="11"/>
        <color theme="1"/>
        <rFont val="Calibri"/>
        <family val="2"/>
        <charset val="1"/>
      </rPr>
      <t xml:space="preserve">-</t>
    </r>
    <r>
      <rPr>
        <sz val="11"/>
        <color theme="1"/>
        <rFont val="FreeSans"/>
        <family val="2"/>
      </rPr>
      <t xml:space="preserve">וצילרים</t>
    </r>
    <r>
      <rPr>
        <sz val="11"/>
        <color theme="1"/>
        <rFont val="Calibri"/>
        <family val="2"/>
        <charset val="1"/>
      </rPr>
      <t xml:space="preserve">/</t>
    </r>
    <r>
      <rPr>
        <sz val="11"/>
        <color theme="1"/>
        <rFont val="FreeSans"/>
        <family val="2"/>
      </rPr>
      <t xml:space="preserve">צילרים</t>
    </r>
    <r>
      <rPr>
        <sz val="11"/>
        <color theme="1"/>
        <rFont val="Calibri"/>
        <family val="2"/>
        <charset val="1"/>
      </rPr>
      <t xml:space="preserve">/ | https://citrinesolutions.co.il/?c_id=30&amp;item_id=5&amp;module=product&amp;p_id=444 | https://citrinesolutions.co.il/?c_id=1&amp;item_id=5&amp;module=product&amp;p_id=349 | https://www.citrinesolutions.co.il/userfiles/documents/Lauda%20E100%20bath_Staredition_2010-06-18_Internet.pdf | https://avni-son.co.il/wp-content/uploads/2026/04/LAUDA-Ultracool-2026-EN-4-web.pdf | https://www.lauda.de/us/warranty-conditions/participants | https://www.lauda.de/en/footernav/top/1-spalte/locations-worldwide | https://www.medent.co.il/scientific.equipment/product-category/lauda-%D7%90%D7%9E%D7%91%D7%98%D7%99%D7%9D-%D7%A1%D7%99%D7%A8%D7%A7%D7%95%D7%9C%D7%98%D7%95%D7%A8%D7%99%D7%9D-%D7%95%D7%A6%D7%99%D7%9C%D7%A8%D7%99%D7%9D/%D7%A6%D7%99%D7%9C%D7%A8%D7%99%D7%9D/ | https://www.lauda.de/de/kontakt</t>
    </r>
  </si>
  <si>
    <t xml:space="preserve">Laxco Inc.</t>
  </si>
  <si>
    <t xml:space="preserve">https://www.thomassci.com/browse-by/suppliers/laxco-inc-</t>
  </si>
  <si>
    <t xml:space="preserve">Laxco™ Handheld Refractometer</t>
  </si>
  <si>
    <t xml:space="preserve">Laxco™ Handheld Analog Brix/Sucrose Refractometer</t>
  </si>
  <si>
    <t xml:space="preserve">Laxco™ Benchtop Digital Brix/RI Refractometer</t>
  </si>
  <si>
    <t xml:space="preserve">LC Laboratories</t>
  </si>
  <si>
    <t xml:space="preserve">https://www.lclabs.com</t>
  </si>
  <si>
    <t xml:space="preserve">https://quantimol.com/collections/biochemical-reagents</t>
  </si>
  <si>
    <t xml:space="preserve">https://www.quartzy.com/suppliers | https://quantimol.com/collections/biochemical-reagents</t>
  </si>
  <si>
    <t xml:space="preserve">Lee Engineering</t>
  </si>
  <si>
    <t xml:space="preserve">https://www.thomassci.com/browse-by/suppliers/lee-engineering</t>
  </si>
  <si>
    <t xml:space="preserve">Nylon Apparatus Flange Vertical Base Plate</t>
  </si>
  <si>
    <t xml:space="preserve">Nylon Closed Connector</t>
  </si>
  <si>
    <t xml:space="preserve">Stainless Steel Closed Lab Rod Connector</t>
  </si>
  <si>
    <t xml:space="preserve">Lee Plastic Company</t>
  </si>
  <si>
    <t xml:space="preserve">https://www.thomassci.com/browse-by/suppliers/lee-plastic-company</t>
  </si>
  <si>
    <t xml:space="preserve">12 Channel Reagent Reservoirs</t>
  </si>
  <si>
    <t xml:space="preserve">Disposable Universal Electroporation Cuvettes</t>
  </si>
  <si>
    <t xml:space="preserve">Legacy Paper and Packaging</t>
  </si>
  <si>
    <t xml:space="preserve">https://www.thomassci.com/browse-by/suppliers/legacy-paper-and-packaging</t>
  </si>
  <si>
    <t xml:space="preserve">https://legacypaperpkg.com</t>
  </si>
  <si>
    <t xml:space="preserve">10G Silica Gel Desiccant, 1-1/2 x 2-3/4, Tyvek Packs</t>
  </si>
  <si>
    <t xml:space="preserve">Varian Gas Box Kit, 34 X 10-3/4 X 11-7/8 RSC 48ECT, DW Kraft Plain Glued 2" Glue Joint With Foam Pieces</t>
  </si>
  <si>
    <t xml:space="preserve">SL-278 HD Plus Stretch Film Dispenser (for 11.5"-20" film)</t>
  </si>
  <si>
    <t xml:space="preserve">1-800-404-9677</t>
  </si>
  <si>
    <t xml:space="preserve">https://store.legacypaperpkg.com/contact-us</t>
  </si>
  <si>
    <t xml:space="preserve">https://www.thomassci.com/browse-by/suppliers/legacy-paper-and-packaging | https://store.legacypaperpkg.com/contact-us</t>
  </si>
  <si>
    <t xml:space="preserve">Leica</t>
  </si>
  <si>
    <t xml:space="preserve">https://www.thomassci.com/browse-by/suppliers/leica</t>
  </si>
  <si>
    <t xml:space="preserve">https://www.leica-microsystems.com</t>
  </si>
  <si>
    <t xml:space="preserve">Wetzlar</t>
  </si>
  <si>
    <t xml:space="preserve">Light microscopy &amp; imaging</t>
  </si>
  <si>
    <t xml:space="preserve">USD 7.3 billion (Danaher Life Sciences segment)</t>
  </si>
  <si>
    <t xml:space="preserve">STELLARIS</t>
  </si>
  <si>
    <t xml:space="preserve">Mica</t>
  </si>
  <si>
    <t xml:space="preserve">THUNDER Imagers</t>
  </si>
  <si>
    <t xml:space="preserve">Lapidot Group (Ophthalmic Surgery Unit); Rhenium Ltd.</t>
  </si>
  <si>
    <t xml:space="preserve">Lapidot Group (Ophthalmic Surgery Unit): +972-4-6309630 / +972-74-7797836 customerservice@lapidot.com; Rhenium Ltd.: +972 8-955-8888</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</si>
  <si>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Lapidot Group's live partners and eye-surgery pages still present Leica surgical microscopes, so the medical-division channel is current. For research microscopes the only evidence remains the 2009 IPS listing naming Rhenium: a search restricted to rhenium.co.il returned no Leica page and a general search found nothing newer (Leica's own site says it works through sales organisations in 20 countries and distribution partners elsewhere, without naming Israel). The research-microscope channel is therefore unverified and may have changed. Searched generic queries, 27 Israeli distributor domains, leica-microsystems.com, lapidot.com and rhenium.co.il. Lapidot Group's own partner and eye-surgery pages show it markets Leica surgical microscopes in Israel, i.e. the Leica Microsystems medical division. For research microscopes (confocal, stereo, cryo-EM sample prep) the only evidence remains the 2009 Israel Physical Society listing naming Rhenium as exclusive representative; a 2026 search restricted to rhenium.co.il returned nothing, and Leica's site shows no Israeli office (country selector only, 'contact your local representative'). The research-microscope channel is therefore unconfirmed and the Rhenium entry is stale.</t>
    </r>
  </si>
  <si>
    <t xml:space="preserve">+49 6441 29-0</t>
  </si>
  <si>
    <t xml:space="preserve">Ernst-Leitz-Strasse 17-37, 35578 Wetzlar, Germany</t>
  </si>
  <si>
    <t xml:space="preserve">https://www.leica-microsystems.com/contact/ideation/</t>
  </si>
  <si>
    <t xml:space="preserve">https://www.leica-microsystems.com/company/imprint/</t>
  </si>
  <si>
    <t xml:space="preserve">https://www.thomassci.com/browse-by/suppliers/leica | https://archive.israelphysicalsociety.org/ips-conference-2009/fairs/rhenium-ltd.html | https://archive.israelphysicalsociety.org/content/ips-conference-2009/trade_fair/21.html | https://craft.co/leica-microsystems | https://hcy2020.syskonf.pl/Cellservice | https://www.sec.gov/Archives/edgar/data/313616/000031361626000062/dhr-20251231.htm | https://hudson-labs.com/research/danaher-corporation-dhr-equity-initiation-report | https://tickerleague.com/companies/DHR/employee-count | https://www.lapidot.com/en/partners/ | https://www.lapidot.com/en/eye-surgery/ | https://www.leica-microsystems.com/contact/contact-us-online/ | https://www.leica-microsystems.com/company/about-us/ | https://leica-microsystems.com/company/about-us | https://www.leica-microsystems.com/contact/ideation/</t>
  </si>
  <si>
    <t xml:space="preserve">Lena Biosciences</t>
  </si>
  <si>
    <t xml:space="preserve">https://lenabio.com</t>
  </si>
  <si>
    <t xml:space="preserve">30328-4014 404</t>
  </si>
  <si>
    <t xml:space="preserve">https://www.lenabio.com/contact-us.html</t>
  </si>
  <si>
    <t xml:space="preserve">https://www.quartzy.com/suppliers | https://www.lenabio.com/contact-us.html</t>
  </si>
  <si>
    <t xml:space="preserve">Leneta</t>
  </si>
  <si>
    <t xml:space="preserve">https://www.thomassci.com/browse-by/suppliers/leneta</t>
  </si>
  <si>
    <t xml:space="preserve">https://leneta.com</t>
  </si>
  <si>
    <t xml:space="preserve">ASTM Scrub Media</t>
  </si>
  <si>
    <t xml:space="preserve">Paint Test Charts</t>
  </si>
  <si>
    <t xml:space="preserve">Paint Test Card, Plain White</t>
  </si>
  <si>
    <t xml:space="preserve">800.663.6324</t>
  </si>
  <si>
    <t xml:space="preserve">sales@leneta.com</t>
  </si>
  <si>
    <t xml:space="preserve">https://leneta.com/contact/</t>
  </si>
  <si>
    <t xml:space="preserve">https://www.thomassci.com/browse-by/suppliers/leneta | https://leneta.com/contact/</t>
  </si>
  <si>
    <t xml:space="preserve">LePure-Biotech</t>
  </si>
  <si>
    <t xml:space="preserve">https://www.thomassci.com/browse-by/suppliers/lepure-biotech</t>
  </si>
  <si>
    <t xml:space="preserve">https://lepurebiotech.com</t>
  </si>
  <si>
    <t xml:space="preserve">Non-TC Treated Vented Cap Flasks</t>
  </si>
  <si>
    <t xml:space="preserve">LeThenea® Single-Use Freezing Bags</t>
  </si>
  <si>
    <t xml:space="preserve">LeKrius® 3D Single-Use Storage Bag Assembly</t>
  </si>
  <si>
    <t xml:space="preserve">https://www.lepurebiotech.com/contact-us-2/</t>
  </si>
  <si>
    <t xml:space="preserve">https://www.thomassci.com/browse-by/suppliers/lepure-biotech | https://www.lepurebiotech.com/contact-us-2/</t>
  </si>
  <si>
    <t xml:space="preserve">Levgo</t>
  </si>
  <si>
    <t xml:space="preserve">https://www.thomassci.com/browse-by/suppliers/levgo</t>
  </si>
  <si>
    <t xml:space="preserve">LevGo® smartSpatula® PP Disposable Lab Spatulas</t>
  </si>
  <si>
    <t xml:space="preserve">LevGo® smartPick® Wood Inoculation Pick</t>
  </si>
  <si>
    <t xml:space="preserve">LevGo® smartSlicer® Disposable Gel Cutter &amp; Safety Razor</t>
  </si>
  <si>
    <t xml:space="preserve">Only LevGo company profiles (Berkeley, CA; smartSpatula) and unrelated Israeli distributors (Rhenium, Agentek, Enco, Ornat).</t>
  </si>
  <si>
    <t xml:space="preserve">https://www.quartzy.com/suppliers | https://www.thomassci.com/browse-by/suppliers/levgo</t>
  </si>
  <si>
    <t xml:space="preserve">Lewis Bins</t>
  </si>
  <si>
    <t xml:space="preserve">https://www.thomassci.com/browse-by/suppliers/lewis-bins</t>
  </si>
  <si>
    <t xml:space="preserve">LGC, Biosearch Technologies</t>
  </si>
  <si>
    <t xml:space="preserve">https://www.thomassci.com/browse-by/suppliers/lgc-biosearch-technologies</t>
  </si>
  <si>
    <t xml:space="preserve">https://biosearchtech.com</t>
  </si>
  <si>
    <t xml:space="preserve">QuickExtract DNA Extraction Solution</t>
  </si>
  <si>
    <t xml:space="preserve">Ampliscribe T7-Flash Transcription Kits</t>
  </si>
  <si>
    <t xml:space="preserve">Transformax Ec100D</t>
  </si>
  <si>
    <t xml:space="preserve">+441992470757</t>
  </si>
  <si>
    <t xml:space="preserve">https://www.biosearchtech.com/support/contact-us</t>
  </si>
  <si>
    <t xml:space="preserve">https://www.thomassci.com/browse-by/suppliers/lgc-biosearch-technologies | https://www.biosearchtech.com/support/contact-us</t>
  </si>
  <si>
    <t xml:space="preserve">LGP</t>
  </si>
  <si>
    <t xml:space="preserve">https://www.thomassci.com/browse-by/suppliers/lgp</t>
  </si>
  <si>
    <t xml:space="preserve">LH Technologies</t>
  </si>
  <si>
    <t xml:space="preserve">https://www.thomassci.com/browse-by/suppliers/lh-technologies</t>
  </si>
  <si>
    <t xml:space="preserve">Jade Bottle Top Dispensers</t>
  </si>
  <si>
    <t xml:space="preserve">Sapphire Bottle Top Dispensers</t>
  </si>
  <si>
    <t xml:space="preserve">Liberty Film &amp; Packaging</t>
  </si>
  <si>
    <t xml:space="preserve">https://www.thomassci.com/browse-by/suppliers/liberty-film-and-packaging</t>
  </si>
  <si>
    <t xml:space="preserve">Liberty Film Bag</t>
  </si>
  <si>
    <t xml:space="preserve">Liberty Packaging Bag</t>
  </si>
  <si>
    <t xml:space="preserve">Clean Moisture Barrier Bag</t>
  </si>
  <si>
    <t xml:space="preserve">Liberty Glove &amp; Safety</t>
  </si>
  <si>
    <t xml:space="preserve">https://www.thomassci.com/browse-by/suppliers/liberty-glove-and-safety</t>
  </si>
  <si>
    <t xml:space="preserve">100% Heavy Weight Cotton Lisle Inspection Gloves</t>
  </si>
  <si>
    <t xml:space="preserve">Duraplug™ Reusable Ear Plugs - Corded</t>
  </si>
  <si>
    <t xml:space="preserve">Duraskin™ Disposable Gloves</t>
  </si>
  <si>
    <t xml:space="preserve">Liberty Industries</t>
  </si>
  <si>
    <t xml:space="preserve">https://www.thomassci.com/browse-by/suppliers/liberty-industries</t>
  </si>
  <si>
    <t xml:space="preserve">https://liberty-ind.com</t>
  </si>
  <si>
    <t xml:space="preserve">Econowipes</t>
  </si>
  <si>
    <t xml:space="preserve">Tacky Roll, 18" wide w/3" core, 1/ea</t>
  </si>
  <si>
    <t xml:space="preserve">18008285656</t>
  </si>
  <si>
    <t xml:space="preserve">https://www.liberty-ind.com/contact-us/</t>
  </si>
  <si>
    <t xml:space="preserve">https://www.thomassci.com/browse-by/suppliers/liberty-industries | https://www.liberty-ind.com/contact-us/</t>
  </si>
  <si>
    <t xml:space="preserve">Liebherr</t>
  </si>
  <si>
    <t xml:space="preserve">https://www.dutscher.com/search?initialFilters=brand:Liebherr</t>
  </si>
  <si>
    <t xml:space="preserve">LABORATORY FREEZER -20°C SFFSG 4001 740 316 LITRES, WITH DRAWERS</t>
  </si>
  <si>
    <t xml:space="preserve">Laboratory fridge-freezer combination with NoFrost - SCFvh 4002 Perfection</t>
  </si>
  <si>
    <t xml:space="preserve">PROFESSIONAL POSITIVE STORAGE CABINET FRFVG 6501 X</t>
  </si>
  <si>
    <t xml:space="preserve">Lifecycle Biotechnologies</t>
  </si>
  <si>
    <t xml:space="preserve">https://www.thomassci.com/browse-by/suppliers/lifecycle-biotechnologies</t>
  </si>
  <si>
    <t xml:space="preserve">https://lifecyclebio.com</t>
  </si>
  <si>
    <t xml:space="preserve">Off-the-Shelf Sterile Reagents</t>
  </si>
  <si>
    <t xml:space="preserve">Simple LIFEcycle Molecular Diagnostics Reagents</t>
  </si>
  <si>
    <t xml:space="preserve">Blood Bank Buffered Saline, 0.9%</t>
  </si>
  <si>
    <t xml:space="preserve">(817) 840-7855</t>
  </si>
  <si>
    <t xml:space="preserve">info@lifecyclebio.com</t>
  </si>
  <si>
    <t xml:space="preserve">https://www.lifecyclebio.com/contact-us-new</t>
  </si>
  <si>
    <t xml:space="preserve">https://www.thomassci.com/browse-by/suppliers/lifecycle-biotechnologies | https://www.lifecyclebio.com/contact-us-new</t>
  </si>
  <si>
    <t xml:space="preserve">Lifeguard Medical</t>
  </si>
  <si>
    <t xml:space="preserve">https://www.thomassci.com/browse-by/suppliers/lifeguard-medical</t>
  </si>
  <si>
    <t xml:space="preserve">Sanitex™ General Purpose Synthetic Vinyl Gloves</t>
  </si>
  <si>
    <t xml:space="preserve">Sanitex™ General Purpose Nitrile Gloves</t>
  </si>
  <si>
    <t xml:space="preserve">Lavender Multi-fold Hand Towel</t>
  </si>
  <si>
    <t xml:space="preserve">LifeSensors</t>
  </si>
  <si>
    <t xml:space="preserve">https://lifesensors.com</t>
  </si>
  <si>
    <t xml:space="preserve">lifeSign</t>
  </si>
  <si>
    <t xml:space="preserve">https://www.thomassci.com/browse-by/suppliers/lifesign</t>
  </si>
  <si>
    <t xml:space="preserve">https://lifesignmed.com</t>
  </si>
  <si>
    <t xml:space="preserve">Status™ COVID-19/Flu A&amp;B - EUA Authorized</t>
  </si>
  <si>
    <t xml:space="preserve">Status hCG Strip</t>
  </si>
  <si>
    <t xml:space="preserve">800-526-2125</t>
  </si>
  <si>
    <t xml:space="preserve">info@lifesignmed.com</t>
  </si>
  <si>
    <t xml:space="preserve">https://lifesignmed.com/Contact</t>
  </si>
  <si>
    <t xml:space="preserve">https://www.thomassci.com/browse-by/suppliers/lifesign | https://lifesignmed.com/Contact</t>
  </si>
  <si>
    <t xml:space="preserve">Lindberg/Blue M</t>
  </si>
  <si>
    <t xml:space="preserve">https://www.thomassci.com/browse-by/suppliers/lindberg/blue-m</t>
  </si>
  <si>
    <t xml:space="preserve">Lindberg/Blue M™ Tube Adapter</t>
  </si>
  <si>
    <t xml:space="preserve">Lindberg/Blue M™ Box Furnace</t>
  </si>
  <si>
    <t xml:space="preserve">1200°C LGO Box/Ashing Furnaces</t>
  </si>
  <si>
    <t xml:space="preserve">Liofilchem</t>
  </si>
  <si>
    <t xml:space="preserve">https://www.dutscher.com/search?initialFilters=brand:Liofilchem</t>
  </si>
  <si>
    <t xml:space="preserve">https://liofilchem.com</t>
  </si>
  <si>
    <t xml:space="preserve">Presumptive presence of Listeria Contam Swab Listeria</t>
  </si>
  <si>
    <t xml:space="preserve">PAE Swab with 4 ml peptone water + 10 % neutralizer</t>
  </si>
  <si>
    <t xml:space="preserve">Quanti-Culticontrol Strain, Escherichia Coli ATCC 8739</t>
  </si>
  <si>
    <t xml:space="preserve">+39 0858930745</t>
  </si>
  <si>
    <t xml:space="preserve">https://liofilchem.com/contact-us.html</t>
  </si>
  <si>
    <t xml:space="preserve">https://www.dutscher.com/search?initialFilters=brand:Liofilchem | https://liofilchem.com/contact-us.html</t>
  </si>
  <si>
    <t xml:space="preserve">List Biological Laboratories</t>
  </si>
  <si>
    <t xml:space="preserve">https://www.quartzy.com/suppliers | https://doronscientific.com/products/</t>
  </si>
  <si>
    <t xml:space="preserve">Lithco</t>
  </si>
  <si>
    <t xml:space="preserve">https://www.thomassci.com/browse-by/suppliers/lithco</t>
  </si>
  <si>
    <t xml:space="preserve">https://lithcor.com</t>
  </si>
  <si>
    <t xml:space="preserve">LK Packaging</t>
  </si>
  <si>
    <t xml:space="preserve">https://www.thomassci.com/browse-by/suppliers/elkay-plastics</t>
  </si>
  <si>
    <t xml:space="preserve">https://www.lkpkg.com</t>
  </si>
  <si>
    <t xml:space="preserve">https://www.lkpkg.com/s/</t>
  </si>
  <si>
    <t xml:space="preserve">https://www.thomassci.com/browse-by/suppliers/elkay-plastics | https://www.lkpkg.com/s/</t>
  </si>
  <si>
    <t xml:space="preserve">LMI</t>
  </si>
  <si>
    <t xml:space="preserve">https://www.thomassci.com/browse-by/suppliers/lmi</t>
  </si>
  <si>
    <t xml:space="preserve">Loctite</t>
  </si>
  <si>
    <t xml:space="preserve">https://www.thomassci.com/browse-by/suppliers/loctite</t>
  </si>
  <si>
    <t xml:space="preserve">https://loctiteproducts.com</t>
  </si>
  <si>
    <t xml:space="preserve">800-624-7767</t>
  </si>
  <si>
    <t xml:space="preserve">https://www.loctiteproducts.com/meta/contact.html</t>
  </si>
  <si>
    <t xml:space="preserve">https://www.thomassci.com/browse-by/suppliers/loctite | https://www.loctiteproducts.com/meta/contact.html</t>
  </si>
  <si>
    <t xml:space="preserve">Logistics Supply</t>
  </si>
  <si>
    <t xml:space="preserve">https://www.thomassci.com/browse-by/suppliers/logistics-supply</t>
  </si>
  <si>
    <t xml:space="preserve">https://logisticssupply.com</t>
  </si>
  <si>
    <t xml:space="preserve">Deb InstantFOAM FREE (alcohol free) Foaming Hand Sanitizer, 1 Liter Touch-FREE Cartridges</t>
  </si>
  <si>
    <t xml:space="preserve">SC Johnson Professional® Sanitizer Dispenser</t>
  </si>
  <si>
    <t xml:space="preserve">Deb Azure FOAM Wash, 1 LIter Cartridges, 6 per Case, 1 Case</t>
  </si>
  <si>
    <t xml:space="preserve">866-577-4477</t>
  </si>
  <si>
    <t xml:space="preserve">support@simprosys.com</t>
  </si>
  <si>
    <t xml:space="preserve">https://www.logisticssupply.com/pages/contact</t>
  </si>
  <si>
    <t xml:space="preserve">https://www.thomassci.com/browse-by/suppliers/logistics-supply | https://www.logisticssupply.com/pages/contact</t>
  </si>
  <si>
    <t xml:space="preserve">Logos biosystems</t>
  </si>
  <si>
    <t xml:space="preserve">https://www.dutscher.com/search?initialFilters=brand:Logos+biosystems</t>
  </si>
  <si>
    <t xml:space="preserve">https://logosbio.com</t>
  </si>
  <si>
    <t xml:space="preserve">LUNA II Automated Cell counting without printer</t>
  </si>
  <si>
    <t xml:space="preserve">LUNA III automatic cell counter ecofriendly pack</t>
  </si>
  <si>
    <t xml:space="preserve">LUNA III automatic cell counter</t>
  </si>
  <si>
    <t xml:space="preserve">+82 (31) 478-4185</t>
  </si>
  <si>
    <t xml:space="preserve">enquiries@atascientific.com.au</t>
  </si>
  <si>
    <t xml:space="preserve">https://logosbio.com/contact-us/</t>
  </si>
  <si>
    <t xml:space="preserve">https://www.dutscher.com/search?initialFilters=brand:Logos+biosystems | https://logosbio.com/contact-us/</t>
  </si>
  <si>
    <t xml:space="preserve">LogTag Recorders</t>
  </si>
  <si>
    <t xml:space="preserve">https://www.thomassci.com/browse-by/suppliers/logtag-recorders</t>
  </si>
  <si>
    <t xml:space="preserve">Temperature Data Logger</t>
  </si>
  <si>
    <t xml:space="preserve">Temperature and Humidity Data Loggers</t>
  </si>
  <si>
    <t xml:space="preserve">Longcap Lamson</t>
  </si>
  <si>
    <t xml:space="preserve">https://www.thomassci.com/browse-by/suppliers/longcap-lamson</t>
  </si>
  <si>
    <t xml:space="preserve">Longhorn Vaccines and Diagnostics LLC</t>
  </si>
  <si>
    <t xml:space="preserve">https://www.thomassci.com/browse-by/suppliers/longhorn-vaccines-and-diagnostics-llc</t>
  </si>
  <si>
    <t xml:space="preserve">Longhorn MTM / PrimeStore MTM was designed to rapidly inactivate viruses (including Influenza), bacteria (including MTB) and high consequence veterinary</t>
  </si>
  <si>
    <t xml:space="preserve">Lonza</t>
  </si>
  <si>
    <t xml:space="preserve">https://www.thomassci.com/browse-by/suppliers/lonza</t>
  </si>
  <si>
    <t xml:space="preserve">https://lonza.com</t>
  </si>
  <si>
    <t xml:space="preserve">FlashGel Device Pack</t>
  </si>
  <si>
    <t xml:space="preserve">SeaPlaqueTM GTGTM Agarose</t>
  </si>
  <si>
    <t xml:space="preserve">AccuGENETM TE/TAE Buffer</t>
  </si>
  <si>
    <t xml:space="preserve">https://www.quartzy.com/suppliers | https://www.thomassci.com/browse-by/suppliers/lonza | https://www.fiseb.org/vendors/</t>
  </si>
  <si>
    <t xml:space="preserve">Lovibond</t>
  </si>
  <si>
    <t xml:space="preserve">https://www.thomassci.com/browse-by/suppliers/lovibond</t>
  </si>
  <si>
    <t xml:space="preserve">https://lovibond.com</t>
  </si>
  <si>
    <t xml:space="preserve">Lovibond® Tablet Reagent</t>
  </si>
  <si>
    <t xml:space="preserve">Replacement Varnish Tubes</t>
  </si>
  <si>
    <t xml:space="preserve">T-CAL® Formazin Standard</t>
  </si>
  <si>
    <t xml:space="preserve">941.756.6410</t>
  </si>
  <si>
    <t xml:space="preserve">sales@lovibond.us</t>
  </si>
  <si>
    <t xml:space="preserve">https://www.lovibond.com/usa-en/top-meta-navigation/contact-us</t>
  </si>
  <si>
    <t xml:space="preserve">https://www.thomassci.com/browse-by/suppliers/lovibond | https://www.lumitron.co.il/ | https://www.lovibond.com/usa-en/top-meta-navigation/contact-us</t>
  </si>
  <si>
    <t xml:space="preserve">LPD Trade</t>
  </si>
  <si>
    <t xml:space="preserve">https://www.thomassci.com/browse-by/suppliers/lpd-trade</t>
  </si>
  <si>
    <t xml:space="preserve">https://lpdtrade.com</t>
  </si>
  <si>
    <t xml:space="preserve">ESD Brushes: Special Sizes</t>
  </si>
  <si>
    <t xml:space="preserve">ESD Maintenance &amp; Cleaning Products</t>
  </si>
  <si>
    <t xml:space="preserve">ESD Brass Brushes</t>
  </si>
  <si>
    <t xml:space="preserve">404-255-9767</t>
  </si>
  <si>
    <t xml:space="preserve">https://www.lpdtrade.com/</t>
  </si>
  <si>
    <t xml:space="preserve">https://www.thomassci.com/browse-by/suppliers/lpd-trade | https://www.lpdtrade.com/</t>
  </si>
  <si>
    <t xml:space="preserve">Lucid Scientific</t>
  </si>
  <si>
    <t xml:space="preserve">https://www.thomassci.com/browse-by/suppliers/lucid-scientific</t>
  </si>
  <si>
    <t xml:space="preserve">https://lucidsci.com</t>
  </si>
  <si>
    <t xml:space="preserve">+16172370665</t>
  </si>
  <si>
    <t xml:space="preserve">info@lucidsci.com</t>
  </si>
  <si>
    <t xml:space="preserve">https://lucidsci.com/</t>
  </si>
  <si>
    <t xml:space="preserve">https://www.thomassci.com/browse-by/suppliers/lucid-scientific | https://lucidsci.com/</t>
  </si>
  <si>
    <t xml:space="preserve">Lucigen (including Epicentre)</t>
  </si>
  <si>
    <t xml:space="preserve">https://www.quartzy.com/suppliers | https://www.danyel.co.il/</t>
  </si>
  <si>
    <t xml:space="preserve">Lumiprobe</t>
  </si>
  <si>
    <t xml:space="preserve">https://lumiprobe.com</t>
  </si>
  <si>
    <t xml:space="preserve">+18889736353</t>
  </si>
  <si>
    <t xml:space="preserve">order@lumiprobe.com</t>
  </si>
  <si>
    <t xml:space="preserve">https://www.lumiprobe.com/contact</t>
  </si>
  <si>
    <t xml:space="preserve">https://www.quartzy.com/suppliers | https://www.lumiprobe.com/contact</t>
  </si>
  <si>
    <t xml:space="preserve">Luna Nanotech Inc.</t>
  </si>
  <si>
    <t xml:space="preserve">https://www.thomassci.com/browse-by/suppliers/luna-nanotech-inc-</t>
  </si>
  <si>
    <t xml:space="preserve">96-Well Filter Plates</t>
  </si>
  <si>
    <t xml:space="preserve">PuroSPIN MINI Filter Spin Columns</t>
  </si>
  <si>
    <t xml:space="preserve">Azide Magnetic Beads</t>
  </si>
  <si>
    <t xml:space="preserve">Luxor</t>
  </si>
  <si>
    <t xml:space="preserve">https://www.thomassci.com/browse-by/suppliers/luxor</t>
  </si>
  <si>
    <t xml:space="preserve">https://luxor.tech</t>
  </si>
  <si>
    <t xml:space="preserve">Utility Cart / Utility Bins</t>
  </si>
  <si>
    <t xml:space="preserve">Pneumatic Adjustable Height Flip-Top Student Desk/Nesting Desk</t>
  </si>
  <si>
    <t xml:space="preserve">Reversable Double Sided Whiteboard</t>
  </si>
  <si>
    <t xml:space="preserve">https://luxor.tech/contact</t>
  </si>
  <si>
    <t xml:space="preserve">https://www.thomassci.com/browse-by/suppliers/luxor | https://luxor.tech/contact</t>
  </si>
  <si>
    <t xml:space="preserve">LVL technologies</t>
  </si>
  <si>
    <t xml:space="preserve">https://www.thomassci.com/browse-by/suppliers/lvl-technologies</t>
  </si>
  <si>
    <t xml:space="preserve">https://lvl-technologies.com</t>
  </si>
  <si>
    <t xml:space="preserve">SAFE ® .5ml tubes, 2D bottom code, 1D and human readable side codes, pre-racked with red caps, automation friendly rack, 50 racks per case</t>
  </si>
  <si>
    <t xml:space="preserve">SAFE® Barcode Reader – Wireless</t>
  </si>
  <si>
    <t xml:space="preserve">G32ml tube,2Dbottomcode,1Dsidecode,pre-rack w/red cap,autorack,beta sterile</t>
  </si>
  <si>
    <t xml:space="preserve">497951956130</t>
  </si>
  <si>
    <t xml:space="preserve">https://lvl-technologies.com/unternehmen/lvl-team/</t>
  </si>
  <si>
    <t xml:space="preserve">https://www.thomassci.com/browse-by/suppliers/lvl-technologies | https://eisenbros.co.il/partners/ | https://lvl-technologies.com/unternehmen/lvl-team/</t>
  </si>
  <si>
    <t xml:space="preserve">LW Scientific</t>
  </si>
  <si>
    <t xml:space="preserve">https://www.thomassci.com/browse-by/suppliers/lw-scientific</t>
  </si>
  <si>
    <t xml:space="preserve">https://lwscientific.com</t>
  </si>
  <si>
    <t xml:space="preserve">Hemacytometer</t>
  </si>
  <si>
    <t xml:space="preserve">Digital Water Baths</t>
  </si>
  <si>
    <t xml:space="preserve">USA CytoPrep, heat fix and dry</t>
  </si>
  <si>
    <t xml:space="preserve">1-800-726-7345</t>
  </si>
  <si>
    <t xml:space="preserve">info@lwscientific.com</t>
  </si>
  <si>
    <t xml:space="preserve">https://www.lwscientific.com/pages/contact-us</t>
  </si>
  <si>
    <t xml:space="preserve">https://www.thomassci.com/browse-by/suppliers/lw-scientific | https://www.lwscientific.com/pages/contact-us</t>
  </si>
  <si>
    <t xml:space="preserve">M1 (a Thomas Scientific Brand)</t>
  </si>
  <si>
    <t xml:space="preserve">https://www.thomassci.com/browse-by/suppliers/m1-a-thomas-scientific-brand</t>
  </si>
  <si>
    <t xml:space="preserve">M1-C30 Nonwoven Polyester/Cellulose Wiper</t>
  </si>
  <si>
    <t xml:space="preserve">M1-MFSE Mixed Weave Microfiber with Ultra Edges</t>
  </si>
  <si>
    <t xml:space="preserve">M1 Technology C30L Cleanroom Polycellulose Wipers - Lightweight</t>
  </si>
  <si>
    <t xml:space="preserve">MacBick</t>
  </si>
  <si>
    <t xml:space="preserve">https://www.thomassci.com/browse-by/suppliers/macbick</t>
  </si>
  <si>
    <t xml:space="preserve">https://macbick.com</t>
  </si>
  <si>
    <t xml:space="preserve">Lower Shelf for 4-leg 36"H and 84"H Laboratory Benches</t>
  </si>
  <si>
    <t xml:space="preserve">4 Drawer Cabinet, Standing Height Base Cabinet</t>
  </si>
  <si>
    <t xml:space="preserve">+14045930462</t>
  </si>
  <si>
    <t xml:space="preserve">hello@macbick.com</t>
  </si>
  <si>
    <t xml:space="preserve">https://macbick.com/contact/</t>
  </si>
  <si>
    <t xml:space="preserve">https://www.thomassci.com/browse-by/suppliers/macbick | https://macbick.com/contact/</t>
  </si>
  <si>
    <t xml:space="preserve">Macherey Nagel</t>
  </si>
  <si>
    <t xml:space="preserve">https://www.dutscher.com/search?initialFilters=brand:Macherey+Nagel</t>
  </si>
  <si>
    <t xml:space="preserve">https://www.thomassci.com/browse-by/suppliers/macherey-nagel</t>
  </si>
  <si>
    <t xml:space="preserve">https://mn-net.com</t>
  </si>
  <si>
    <t xml:space="preserve">PEHANON pH 0.0-1.8- box of 200 strips</t>
  </si>
  <si>
    <t xml:space="preserve">NANOCOLOR COD 160 Hg-free</t>
  </si>
  <si>
    <t xml:space="preserve">Potassium iodide starch paper MN 616 T recommended for spot tests</t>
  </si>
  <si>
    <t xml:space="preserve">Ornat BioChemicals &amp; Lab Equipment Ltd.; Eldan Electronic Instruments; BDL (Beith Dekel) Ltd.</t>
  </si>
  <si>
    <t xml:space="preserve">Ornat BioChemicals &amp; Lab Equipment Ltd.:; Eldan Electronic Instruments: +972-3-937-1111 info@eldan.biz; BDL (Beith Dekel) Ltd.: +972 9-761-1800 info@bdl.co.il</t>
  </si>
  <si>
    <t xml:space="preserve">+4924219690</t>
  </si>
  <si>
    <t xml:space="preserve">sales@mn-net.com</t>
  </si>
  <si>
    <t xml:space="preserve">https://www.mn-net.com/contact</t>
  </si>
  <si>
    <t xml:space="preserve">https://www.dutscher.com/search?initialFilters=brand:Macherey+Nagel | https://www.thomassci.com/browse-by/suppliers/macherey-nagel | https://www.eldan.biz/our-partners/ | https://www.bdl.co.il/Search.aspx?Category=Chemistry&amp;FCD=1 | https://www.mn-net.com/contact | https://www.fiseb.org/vendors/</t>
  </si>
  <si>
    <t xml:space="preserve">MagGenome</t>
  </si>
  <si>
    <t xml:space="preserve">https://www.thomassci.com/browse-by/suppliers/maggenome</t>
  </si>
  <si>
    <t xml:space="preserve">https://maggenome.com</t>
  </si>
  <si>
    <t xml:space="preserve">04424980701</t>
  </si>
  <si>
    <t xml:space="preserve">info@maggenome.com</t>
  </si>
  <si>
    <t xml:space="preserve">https://www.maggenome.com/contact-us/</t>
  </si>
  <si>
    <t xml:space="preserve">https://www.thomassci.com/browse-by/suppliers/maggenome | https://www.maggenome.com/contact-us/</t>
  </si>
  <si>
    <t xml:space="preserve">Magic Safety Products</t>
  </si>
  <si>
    <t xml:space="preserve">https://www.thomassci.com/browse-by/suppliers/magic-safety-products</t>
  </si>
  <si>
    <t xml:space="preserve">Magid Glove &amp; Safety manufacturing Co.</t>
  </si>
  <si>
    <t xml:space="preserve">https://www.thomassci.com/browse-by/suppliers/magid-glove-and-safety-manufacturing-co-</t>
  </si>
  <si>
    <t xml:space="preserve">BLUE DISPOSIBLE PF NITRILE GLOVE</t>
  </si>
  <si>
    <t xml:space="preserve">LISLE GLOVE</t>
  </si>
  <si>
    <t xml:space="preserve">NYLON GLOVE</t>
  </si>
  <si>
    <t xml:space="preserve">MagLite®</t>
  </si>
  <si>
    <t xml:space="preserve">https://www.thomassci.com/browse-by/suppliers/maglite</t>
  </si>
  <si>
    <t xml:space="preserve">https://maglite.com</t>
  </si>
  <si>
    <t xml:space="preserve">Mini MagLite® AAA Flashlight in Presentation Box</t>
  </si>
  <si>
    <t xml:space="preserve">Mini MagLite® Flashlight Combo Pack</t>
  </si>
  <si>
    <t xml:space="preserve">Mini-MagLite® Pocket Flashlight</t>
  </si>
  <si>
    <t xml:space="preserve">800-289-6241</t>
  </si>
  <si>
    <t xml:space="preserve">https://maglite.com/pages/contact</t>
  </si>
  <si>
    <t xml:space="preserve">https://www.thomassci.com/browse-by/suppliers/maglite | https://maglite.com/pages/contact</t>
  </si>
  <si>
    <t xml:space="preserve">Malaster</t>
  </si>
  <si>
    <t xml:space="preserve">https://www.thomassci.com/browse-by/suppliers/malaster</t>
  </si>
  <si>
    <t xml:space="preserve">https://malaster.com</t>
  </si>
  <si>
    <t xml:space="preserve">Conductive Rubber Bands, ESD, Black</t>
  </si>
  <si>
    <t xml:space="preserve">Tyvek Wafer Separator, Grade 1056D, White, 125mm, 5" Diameter, Round</t>
  </si>
  <si>
    <t xml:space="preserve">Static Dissipative Rubber Bands</t>
  </si>
  <si>
    <t xml:space="preserve">+1 (408) 745-0104</t>
  </si>
  <si>
    <t xml:space="preserve">contact@malaster.com</t>
  </si>
  <si>
    <t xml:space="preserve">https://malaster.com/contact/</t>
  </si>
  <si>
    <t xml:space="preserve">https://www.thomassci.com/browse-by/suppliers/malaster | https://malaster.com/contact/</t>
  </si>
  <si>
    <t xml:space="preserve">Mapa</t>
  </si>
  <si>
    <t xml:space="preserve">https://www.dutscher.com/search?initialFilters=brand:Mapa</t>
  </si>
  <si>
    <t xml:space="preserve">MAPA waterproof protective glove - synthetic elastomer ULTRANITRIL 454 - size 7 (pair)</t>
  </si>
  <si>
    <t xml:space="preserve">MAPA TRIONIC 522 tri-polymer glove (length: 61 cm) - size 8</t>
  </si>
  <si>
    <t xml:space="preserve">Pair of Ultranitrile chemical protection gloves in green nitrile - size 11</t>
  </si>
  <si>
    <t xml:space="preserve">Mapa Professional</t>
  </si>
  <si>
    <t xml:space="preserve">https://www.thomassci.com/browse-by/suppliers/mapa-professional</t>
  </si>
  <si>
    <t xml:space="preserve">MAPA 51856 Orange Trionic Cleanroom Acid Gloves 14 inch</t>
  </si>
  <si>
    <t xml:space="preserve">Trionic 521 Controlled Environment Gloves</t>
  </si>
  <si>
    <t xml:space="preserve">Temp-Tec Insulated Neoprene Gloves</t>
  </si>
  <si>
    <t xml:space="preserve">Marienfeld</t>
  </si>
  <si>
    <t xml:space="preserve">https://www.dutscher.com/search?initialFilters=brand:Marienfeld</t>
  </si>
  <si>
    <t xml:space="preserve">Drigalski spatula 145 x 50 mm</t>
  </si>
  <si>
    <t xml:space="preserve">Flat coverslip 20 x 26 mm for double cells type Malassez, Neubauer, Thoma, Fuchs-Rosenthal, Lemaur, Agasse Lafont, Bürker</t>
  </si>
  <si>
    <t xml:space="preserve">Cellcounter cell counter</t>
  </si>
  <si>
    <t xml:space="preserve">https://www.dutscher.com/search?initialFilters=brand:Marienfeld | https://www.danyel.co.il/</t>
  </si>
  <si>
    <t xml:space="preserve">Market Forge</t>
  </si>
  <si>
    <t xml:space="preserve">https://www.thomassci.com/browse-by/suppliers/market-forge</t>
  </si>
  <si>
    <t xml:space="preserve">Accessories for Market Forge Sterilmatic Autoclaves</t>
  </si>
  <si>
    <t xml:space="preserve">Sterilmatic Autoclaves</t>
  </si>
  <si>
    <t xml:space="preserve">Digital Sterilimatic Sterilizers</t>
  </si>
  <si>
    <t xml:space="preserve">Marvel</t>
  </si>
  <si>
    <t xml:space="preserve">https://www.thomassci.com/browse-by/suppliers/marvel</t>
  </si>
  <si>
    <t xml:space="preserve">https://www.marvelrefrigeration.com</t>
  </si>
  <si>
    <t xml:space="preserve">24" General Purpose Freezer with Automatic Defrost</t>
  </si>
  <si>
    <t xml:space="preserve">15” Low Profile Clear Ice Machine, Stainless Steel, Solid Door, Reversible Door</t>
  </si>
  <si>
    <t xml:space="preserve">24" General Purpose Combination Fridge/Freezer, Olive Green</t>
  </si>
  <si>
    <t xml:space="preserve">+1.616.754.5601</t>
  </si>
  <si>
    <t xml:space="preserve">https://www.marvelrefrigeration.com/contact-us</t>
  </si>
  <si>
    <t xml:space="preserve">https://www.thomassci.com/browse-by/suppliers/marvel | https://www.marvelrefrigeration.com/contact-us</t>
  </si>
  <si>
    <t xml:space="preserve">Maryland Plastics</t>
  </si>
  <si>
    <t xml:space="preserve">https://www.thomassci.com/browse-by/suppliers/maryland-plastics</t>
  </si>
  <si>
    <t xml:space="preserve">Maryland Plastics Animal Cage</t>
  </si>
  <si>
    <t xml:space="preserve">Slide Storage Boxes - 100 Place</t>
  </si>
  <si>
    <t xml:space="preserve">Polypropylene Cage Bottoms</t>
  </si>
  <si>
    <t xml:space="preserve">Master Appliance</t>
  </si>
  <si>
    <t xml:space="preserve">https://www.thomassci.com/browse-by/suppliers/master-appliance</t>
  </si>
  <si>
    <t xml:space="preserve">https://masterappliance.com</t>
  </si>
  <si>
    <t xml:space="preserve">Element Kit</t>
  </si>
  <si>
    <t xml:space="preserve">Master Heat Guns</t>
  </si>
  <si>
    <t xml:space="preserve">Masterflow Heat Blower</t>
  </si>
  <si>
    <t xml:space="preserve">262-633-7791</t>
  </si>
  <si>
    <t xml:space="preserve">sales@masterappliance.com</t>
  </si>
  <si>
    <t xml:space="preserve">https://www.masterappliance.com/contact-us/</t>
  </si>
  <si>
    <t xml:space="preserve">https://www.thomassci.com/browse-by/suppliers/master-appliance | https://www.masterappliance.com/contact-us/</t>
  </si>
  <si>
    <t xml:space="preserve">MatTek Corporation</t>
  </si>
  <si>
    <t xml:space="preserve">Mawi DNA Technologies</t>
  </si>
  <si>
    <t xml:space="preserve">https://www.thomassci.com/browse-by/suppliers/mawi-dna-technologies</t>
  </si>
  <si>
    <t xml:space="preserve">HemaSure-OMICS Blood Stabilization Direct Draw Tube</t>
  </si>
  <si>
    <t xml:space="preserve">iSWAB Discovery Human DNA Collection Kit</t>
  </si>
  <si>
    <t xml:space="preserve">iSWAB Cells Collection Tube Rack</t>
  </si>
  <si>
    <t xml:space="preserve">Max Professional</t>
  </si>
  <si>
    <t xml:space="preserve">https://www.thomassci.com/browse-by/suppliers/max-professional</t>
  </si>
  <si>
    <t xml:space="preserve">Maxclean Technology</t>
  </si>
  <si>
    <t xml:space="preserve">https://www.thomassci.com/browse-by/suppliers/maxclean-technology</t>
  </si>
  <si>
    <t xml:space="preserve">Static Shield Bag</t>
  </si>
  <si>
    <t xml:space="preserve">MBP</t>
  </si>
  <si>
    <t xml:space="preserve">https://www.thomassci.com/browse-by/suppliers/mbp</t>
  </si>
  <si>
    <t xml:space="preserve">ART Wide Bore Genomic Tips</t>
  </si>
  <si>
    <t xml:space="preserve">Softfit-L® Pipet Tips</t>
  </si>
  <si>
    <t xml:space="preserve">Snap-Cap, Polypropylene Centrifuge Tubes</t>
  </si>
  <si>
    <t xml:space="preserve">McKesson</t>
  </si>
  <si>
    <t xml:space="preserve">https://mckesson.com</t>
  </si>
  <si>
    <t xml:space="preserve">https://www.mckesson.com/contact-us/</t>
  </si>
  <si>
    <t xml:space="preserve">https://www.quartzy.com/suppliers | https://www.mckesson.com/contact-us/</t>
  </si>
  <si>
    <t xml:space="preserve">McKesson Medical-Surgical</t>
  </si>
  <si>
    <t xml:space="preserve">https://www.thomassci.com/browse-by/suppliers/mckesson-medical-surgical</t>
  </si>
  <si>
    <t xml:space="preserve">Drape, 3M 1000, Steri-Drape, General Purpose Drape, Small Towel Drape, 17"W X 11"L, Unfenestrated, Clear, Without Covers, Pouches or Holders, Secures with Adhesive Strip, 10EA/BX</t>
  </si>
  <si>
    <t xml:space="preserve">McKesson O.R. Towel</t>
  </si>
  <si>
    <t xml:space="preserve">Aneroid Sphygmomanometer Unit Tycos® 2-Tubes Mobile / Wall Mount Adult Large Cuff</t>
  </si>
  <si>
    <t xml:space="preserve">MCR Safety</t>
  </si>
  <si>
    <t xml:space="preserve">https://www.thomassci.com/browse-by/suppliers/mcr-safety</t>
  </si>
  <si>
    <t xml:space="preserve">https://mcrsafety.com</t>
  </si>
  <si>
    <t xml:space="preserve">Double Matrix Replacement Window, Clear Polycarbonate, Flat 7 inches x 16.75 inches x .040</t>
  </si>
  <si>
    <t xml:space="preserve">MCR Safety 2230R Crews Protective Goggles</t>
  </si>
  <si>
    <t xml:space="preserve">Safety Eyewear</t>
  </si>
  <si>
    <t xml:space="preserve">800.955.6887</t>
  </si>
  <si>
    <t xml:space="preserve">inquiries@mcrsafety.com</t>
  </si>
  <si>
    <t xml:space="preserve">https://www.mcrsafety.com/catalogs-safety-guides/contact-resource-guide/</t>
  </si>
  <si>
    <t xml:space="preserve">https://www.thomassci.com/browse-by/suppliers/mcr-safety | https://www.mcrsafety.com/catalogs-safety-guides/contact-resource-guide/</t>
  </si>
  <si>
    <t xml:space="preserve">mdi Membrane Technologies</t>
  </si>
  <si>
    <t xml:space="preserve">https://www.thomassci.com/browse-by/suppliers/mdi-membrane-technologies</t>
  </si>
  <si>
    <t xml:space="preserve">https://mdimembranetech.com</t>
  </si>
  <si>
    <t xml:space="preserve">Grid Marked Cellulose Nitrate Membrane Disc Filters in Reel Form</t>
  </si>
  <si>
    <t xml:space="preserve">PTFE Membrane Syringe Filters</t>
  </si>
  <si>
    <t xml:space="preserve">Endotoxin Free Quanta Midi Kit</t>
  </si>
  <si>
    <t xml:space="preserve">Only company directory profiles (Harrisburg PA / Advanced Microdevices, Ambala India); no Israel information.</t>
  </si>
  <si>
    <t xml:space="preserve">https://www.quartzy.com/suppliers | https://www.thomassci.com/browse-by/suppliers/mdi-membrane-technologies</t>
  </si>
  <si>
    <t xml:space="preserve">MedChemExpress</t>
  </si>
  <si>
    <t xml:space="preserve">https://medchemexpress.com</t>
  </si>
  <si>
    <t xml:space="preserve">609-228-6898</t>
  </si>
  <si>
    <t xml:space="preserve">sales@medchemexpress.com</t>
  </si>
  <si>
    <t xml:space="preserve">https://www.medchemexpress.com/contact-us.html</t>
  </si>
  <si>
    <t xml:space="preserve">https://www.quartzy.com/suppliers | https://www.enco.co.il/suppliers.php | https://www.medchemexpress.com/contact-us.html</t>
  </si>
  <si>
    <t xml:space="preserve">Medegen Medical Products</t>
  </si>
  <si>
    <t xml:space="preserve">https://www.thomassci.com/browse-by/suppliers/medegen-medical-products</t>
  </si>
  <si>
    <t xml:space="preserve">Beaker, Tri-Pour, 250ml</t>
  </si>
  <si>
    <t xml:space="preserve">Sterile Specimen Containers - ClikSeal™ Style With Lids</t>
  </si>
  <si>
    <t xml:space="preserve">Wash Basins Solution/Sponge - Stainless Steel</t>
  </si>
  <si>
    <t xml:space="preserve">Medical Action</t>
  </si>
  <si>
    <t xml:space="preserve">https://www.thomassci.com/browse-by/suppliers/medical-action</t>
  </si>
  <si>
    <t xml:space="preserve">https://medical-action.com</t>
  </si>
  <si>
    <t xml:space="preserve">Beakers, Tri-Pour, 1000ml, PP, 100 per case, Formerly 137J1-0259350F</t>
  </si>
  <si>
    <t xml:space="preserve">*CHEMO GEAR* Spill Kit For Use With Hazardous And Chemotherapy Drugs</t>
  </si>
  <si>
    <t xml:space="preserve">Acti-Gauz™ Sterile Island Dressings</t>
  </si>
  <si>
    <t xml:space="preserve">1-800-645-7042</t>
  </si>
  <si>
    <t xml:space="preserve">https://www.halyardhealth.com/customer-support</t>
  </si>
  <si>
    <t xml:space="preserve">https://www.thomassci.com/browse-by/suppliers/medical-action | https://www.halyardhealth.com/customer-support</t>
  </si>
  <si>
    <t xml:space="preserve">Medical Chemical Corporation</t>
  </si>
  <si>
    <t xml:space="preserve">https://www.thomassci.com/browse-by/suppliers/medical-chemical-corporation</t>
  </si>
  <si>
    <t xml:space="preserve">Isopropyl Alcohol 99%, Medical Chemical, USP Grade, 99.9%, 1 gallon Poly Bottle, 1EA/CS, 4EA/CS</t>
  </si>
  <si>
    <t xml:space="preserve">IPA, USP Grade, Cubitainer, 99%, 5 gallons each</t>
  </si>
  <si>
    <t xml:space="preserve">Potassium Permanganate, 0.5%</t>
  </si>
  <si>
    <t xml:space="preserve">Medicom Kolmi Hopen</t>
  </si>
  <si>
    <t xml:space="preserve">https://www.dutscher.com/search?initialFilters=brand:Medicom+Kolmi+Hopen</t>
  </si>
  <si>
    <t xml:space="preserve">Individually packaged visitor kit</t>
  </si>
  <si>
    <t xml:space="preserve">OVERSHOES SKIDGUARD PP WHITE BLUE RECYCLED SOLES X-LARGE PACK OF 400</t>
  </si>
  <si>
    <t xml:space="preserve">Flat Sterilization Pouches with Adhesive Tape 133 x 254 mm</t>
  </si>
  <si>
    <t xml:space="preserve">MediPurpose</t>
  </si>
  <si>
    <t xml:space="preserve">https://www.thomassci.com/browse-by/suppliers/medipurpose</t>
  </si>
  <si>
    <t xml:space="preserve">https://medipurpose.com</t>
  </si>
  <si>
    <t xml:space="preserve">+1-404-855-3655</t>
  </si>
  <si>
    <t xml:space="preserve">orders@medipurpose.com</t>
  </si>
  <si>
    <t xml:space="preserve">https://medipurpose.com/contact/</t>
  </si>
  <si>
    <t xml:space="preserve">https://www.thomassci.com/browse-by/suppliers/medipurpose | https://medipurpose.com/contact/</t>
  </si>
  <si>
    <t xml:space="preserve">Medisca</t>
  </si>
  <si>
    <t xml:space="preserve">https://www.thomassci.com/browse-by/suppliers/medisca</t>
  </si>
  <si>
    <t xml:space="preserve">https://www.medisca.com</t>
  </si>
  <si>
    <t xml:space="preserve">SAMIX™ Mixer Jars &amp; Accessories</t>
  </si>
  <si>
    <t xml:space="preserve">PreciseDose Dispenser™, Amber</t>
  </si>
  <si>
    <t xml:space="preserve">sales@medisca.com</t>
  </si>
  <si>
    <t xml:space="preserve">https://www.medisca.com/regions</t>
  </si>
  <si>
    <t xml:space="preserve">https://www.thomassci.com/browse-by/suppliers/medisca | https://www.medisca.com/regions</t>
  </si>
  <si>
    <t xml:space="preserve">MedKoo Biosciences</t>
  </si>
  <si>
    <t xml:space="preserve">Medline</t>
  </si>
  <si>
    <t xml:space="preserve">https://www.thomassci.com/browse-by/suppliers/medline</t>
  </si>
  <si>
    <t xml:space="preserve">https://www.medline.com</t>
  </si>
  <si>
    <t xml:space="preserve">Disposable Underpads</t>
  </si>
  <si>
    <t xml:space="preserve">Non-Sterile Graduated Plastic Medicine Cups</t>
  </si>
  <si>
    <t xml:space="preserve">CoFlex NL Cohesive EasyTear Bandages by Andover Healthcare</t>
  </si>
  <si>
    <t xml:space="preserve">Medline Industries (Northfield, IL) profiles cite 90-125 countries but no Israel channel appeared. Target website medline.org.ua is wrong.</t>
  </si>
  <si>
    <t xml:space="preserve">https://www.quartzy.com/suppliers | https://www.thomassci.com/browse-by/suppliers/medline</t>
  </si>
  <si>
    <t xml:space="preserve">MedOne Surgical</t>
  </si>
  <si>
    <t xml:space="preserve">https://www.thomassci.com/browse-by/suppliers/medone-surgical</t>
  </si>
  <si>
    <t xml:space="preserve">https://medone.com</t>
  </si>
  <si>
    <t xml:space="preserve">INCYTO C-Chip Hemocytometers (Neubauer Improved)</t>
  </si>
  <si>
    <t xml:space="preserve">INCYTO C-Chip Hemocytometers (Semen Test)</t>
  </si>
  <si>
    <t xml:space="preserve">INCYTO C-Chip Hemocytometers (Fuchs-Rosenthal)</t>
  </si>
  <si>
    <t xml:space="preserve">9413593129</t>
  </si>
  <si>
    <t xml:space="preserve">https://medone.com/contact/#contact</t>
  </si>
  <si>
    <t xml:space="preserve">https://www.thomassci.com/browse-by/suppliers/medone-surgical | https://medone.com/contact/#contact</t>
  </si>
  <si>
    <t xml:space="preserve">MedPlus</t>
  </si>
  <si>
    <t xml:space="preserve">https://www.thomassci.com/browse-by/suppliers/medplus</t>
  </si>
  <si>
    <t xml:space="preserve">https://medplus.vn</t>
  </si>
  <si>
    <t xml:space="preserve">MegaComfort</t>
  </si>
  <si>
    <t xml:space="preserve">https://www.thomassci.com/browse-by/suppliers/megacomfort</t>
  </si>
  <si>
    <t xml:space="preserve">Memmert</t>
  </si>
  <si>
    <t xml:space="preserve">https://www.dutscher.com/search?initialFilters=brand:Memmert</t>
  </si>
  <si>
    <t xml:space="preserve">https://www.thomassci.com/browse-by/suppliers/memmert</t>
  </si>
  <si>
    <t xml:space="preserve">https://www.memmert.com</t>
  </si>
  <si>
    <t xml:space="preserve">Schwabach (Bavaria); second plant in Büchenbach</t>
  </si>
  <si>
    <t xml:space="preserve">EUR 84.7 million</t>
  </si>
  <si>
    <t xml:space="preserve">UN / UF series</t>
  </si>
  <si>
    <t xml:space="preserve">IN / IF / ICO series</t>
  </si>
  <si>
    <t xml:space="preserve">HPP / ICH series</t>
  </si>
  <si>
    <t xml:space="preserve">Medent Scientific Instruments; Electrotherm Marketing 1978 Ltd.</t>
  </si>
  <si>
    <t xml:space="preserve">Medent Scientific Instruments: +972 72-395-0508 (sales); +972 8-683-6306 (service) info@medent.co.il; Electrotherm Marketing 1978 Ltd.: +972-77-866-0600 sales@electrotherm.co.il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</si>
  <si>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Medent's live product-category pages (cooled, CO2 and standard incubators, vacuum and drying ovens) still present Memmert units, so Medent remains a current Israeli channel. On the manufacturer side, Memmert's live 'Your contact person' page lists Israel under a Channel Sales Manager (Ilya Rumynskiy, +49 9122 925 223) and in its order-processing group, i.e. Israel is handled by channel sales from Germany through local partners; memmert.com does not name the Israeli distributor in snippets. No other Israeli Memmert channel was found. A search for 'Memmert' restricted to Israeli lab-distributor domains returned a series of Medent (</t>
    </r>
    <r>
      <rPr>
        <sz val="11"/>
        <color theme="1"/>
        <rFont val="FreeSans"/>
        <family val="2"/>
      </rPr>
      <t xml:space="preserve">מדנט מכשור מדעי</t>
    </r>
    <r>
      <rPr>
        <sz val="11"/>
        <color theme="1"/>
        <rFont val="Calibri"/>
        <family val="2"/>
        <charset val="1"/>
      </rPr>
      <t xml:space="preserve">) product pages that explicitly describe the items as 'made by MEMMERT Germany' (CO2 incubator INC108ivf, IPP/IPS cooled incubators, VO vacuum ovens, UF/UN drying ovens), so Medent is recorded as an Israeli distributor on the strength of its own site. A .co.il-wide search also found a Memmert UF260 datasheet (2017) hosted on kimron.co.il, which is a possible second reseller but is not recorded as an entity because no product or brand page was seen. Memmert's own distributor locator (memmert.com) was not searched within the budget, so this is distributor-side evidence only; a Labotal 2026 incubator buyer's guide mentions Memmert's IPPeco Peltier models but Labotal is a Binder partner and was not seen offering Memmert.</t>
    </r>
  </si>
  <si>
    <t xml:space="preserve">+49 9122 925-0</t>
  </si>
  <si>
    <t xml:space="preserve">sales@memmert.com</t>
  </si>
  <si>
    <t xml:space="preserve">Äußere Rittersbacher Straße 38, 91126 Schwabach, Germany</t>
  </si>
  <si>
    <t xml:space="preserve">https://arablab.german-pavilion.com/en/sites/exhibitors/145084</t>
  </si>
  <si>
    <r>
      <rPr>
        <sz val="11"/>
        <color theme="1"/>
        <rFont val="Calibri"/>
        <family val="2"/>
        <charset val="1"/>
      </rPr>
      <t xml:space="preserve">https://www.dutscher.com/search?initialFilters=brand:Memmert | https://www.quartzy.com/suppliers | https://www.thomassci.com/browse-by/suppliers/memmert | https://craft.co/memmert | https://www.wirtschaftsforum.de/fileadmin/wirtschaftsforum/cpaper/pdf/memmert.pdf | https://www.stepstone.de/results/auto/in-b%c3%bcchenbach | https://www.chemie.de/firmen/338/ | https://www.ihk-nuernberg.de/wim-wirtschaft-in-mittelfranken/ihk-magazin-wim-04-052024/details/memmert-prima-klima-in-edelstahl | https://implisense.com/en/companies/memmert-gmbh-co-kg-buechenbach-DE3X2CLG8I96 | https://www.machinio.com/incubators/central-district | https://medent.co.il/scientific.equipment/product/</t>
    </r>
    <r>
      <rPr>
        <sz val="11"/>
        <color theme="1"/>
        <rFont val="FreeSans"/>
        <family val="2"/>
      </rPr>
      <t xml:space="preserve">איקובטור</t>
    </r>
    <r>
      <rPr>
        <sz val="11"/>
        <color theme="1"/>
        <rFont val="Calibri"/>
        <family val="2"/>
        <charset val="1"/>
      </rPr>
      <t xml:space="preserve">-co2-</t>
    </r>
    <r>
      <rPr>
        <sz val="11"/>
        <color theme="1"/>
        <rFont val="FreeSans"/>
        <family val="2"/>
      </rPr>
      <t xml:space="preserve">בנפח</t>
    </r>
    <r>
      <rPr>
        <sz val="11"/>
        <color theme="1"/>
        <rFont val="Calibri"/>
        <family val="2"/>
        <charset val="1"/>
      </rPr>
      <t xml:space="preserve">-108-</t>
    </r>
    <r>
      <rPr>
        <sz val="11"/>
        <color theme="1"/>
        <rFont val="FreeSans"/>
        <family val="2"/>
      </rPr>
      <t xml:space="preserve">ליטר</t>
    </r>
    <r>
      <rPr>
        <sz val="11"/>
        <color theme="1"/>
        <rFont val="Calibri"/>
        <family val="2"/>
        <charset val="1"/>
      </rPr>
      <t xml:space="preserve">-</t>
    </r>
    <r>
      <rPr>
        <sz val="11"/>
        <color theme="1"/>
        <rFont val="FreeSans"/>
        <family val="2"/>
      </rPr>
      <t xml:space="preserve">תוצרת</t>
    </r>
    <r>
      <rPr>
        <sz val="11"/>
        <color theme="1"/>
        <rFont val="Calibri"/>
        <family val="2"/>
        <charset val="1"/>
      </rPr>
      <t xml:space="preserve">-memmert-</t>
    </r>
    <r>
      <rPr>
        <sz val="11"/>
        <color theme="1"/>
        <rFont val="FreeSans"/>
        <family val="2"/>
      </rPr>
      <t xml:space="preserve">גרמניה</t>
    </r>
    <r>
      <rPr>
        <sz val="11"/>
        <color theme="1"/>
        <rFont val="Calibri"/>
        <family val="2"/>
        <charset val="1"/>
      </rPr>
      <t xml:space="preserve">-</t>
    </r>
    <r>
      <rPr>
        <sz val="11"/>
        <color theme="1"/>
        <rFont val="FreeSans"/>
        <family val="2"/>
      </rPr>
      <t xml:space="preserve">דג</t>
    </r>
    <r>
      <rPr>
        <sz val="11"/>
        <color theme="1"/>
        <rFont val="Calibri"/>
        <family val="2"/>
        <charset val="1"/>
      </rPr>
      <t xml:space="preserve">-2/ | https://medent.co.il/scientific.equipment/product-category/</t>
    </r>
    <r>
      <rPr>
        <sz val="11"/>
        <color theme="1"/>
        <rFont val="FreeSans"/>
        <family val="2"/>
      </rPr>
      <t xml:space="preserve">תנורים</t>
    </r>
    <r>
      <rPr>
        <sz val="11"/>
        <color theme="1"/>
        <rFont val="Calibri"/>
        <family val="2"/>
        <charset val="1"/>
      </rPr>
      <t xml:space="preserve">-</t>
    </r>
    <r>
      <rPr>
        <sz val="11"/>
        <color theme="1"/>
        <rFont val="FreeSans"/>
        <family val="2"/>
      </rPr>
      <t xml:space="preserve">מעבדתיים</t>
    </r>
    <r>
      <rPr>
        <sz val="11"/>
        <color theme="1"/>
        <rFont val="Calibri"/>
        <family val="2"/>
        <charset val="1"/>
      </rPr>
      <t xml:space="preserve">/</t>
    </r>
    <r>
      <rPr>
        <sz val="11"/>
        <color theme="1"/>
        <rFont val="FreeSans"/>
        <family val="2"/>
      </rPr>
      <t xml:space="preserve">תנורי</t>
    </r>
    <r>
      <rPr>
        <sz val="11"/>
        <color theme="1"/>
        <rFont val="Calibri"/>
        <family val="2"/>
        <charset val="1"/>
      </rPr>
      <t xml:space="preserve">-</t>
    </r>
    <r>
      <rPr>
        <sz val="11"/>
        <color theme="1"/>
        <rFont val="FreeSans"/>
        <family val="2"/>
      </rPr>
      <t xml:space="preserve">וואקום</t>
    </r>
    <r>
      <rPr>
        <sz val="11"/>
        <color theme="1"/>
        <rFont val="Calibri"/>
        <family val="2"/>
        <charset val="1"/>
      </rPr>
      <t xml:space="preserve">/ | https://www.medent.co.il/scientific.equipment/product-category/</t>
    </r>
    <r>
      <rPr>
        <sz val="11"/>
        <color theme="1"/>
        <rFont val="FreeSans"/>
        <family val="2"/>
      </rPr>
      <t xml:space="preserve">אינקובטורים</t>
    </r>
    <r>
      <rPr>
        <sz val="11"/>
        <color theme="1"/>
        <rFont val="Calibri"/>
        <family val="2"/>
        <charset val="1"/>
      </rPr>
      <t xml:space="preserve">/</t>
    </r>
    <r>
      <rPr>
        <sz val="11"/>
        <color theme="1"/>
        <rFont val="FreeSans"/>
        <family val="2"/>
      </rPr>
      <t xml:space="preserve">אינקובטור</t>
    </r>
    <r>
      <rPr>
        <sz val="11"/>
        <color theme="1"/>
        <rFont val="Calibri"/>
        <family val="2"/>
        <charset val="1"/>
      </rPr>
      <t xml:space="preserve">-co2/ | https://www.medent.co.il/scientific.equipment/product-category/</t>
    </r>
    <r>
      <rPr>
        <sz val="11"/>
        <color theme="1"/>
        <rFont val="FreeSans"/>
        <family val="2"/>
      </rPr>
      <t xml:space="preserve">אינקובטורים</t>
    </r>
    <r>
      <rPr>
        <sz val="11"/>
        <color theme="1"/>
        <rFont val="Calibri"/>
        <family val="2"/>
        <charset val="1"/>
      </rPr>
      <t xml:space="preserve">/</t>
    </r>
    <r>
      <rPr>
        <sz val="11"/>
        <color theme="1"/>
        <rFont val="FreeSans"/>
        <family val="2"/>
      </rPr>
      <t xml:space="preserve">אינקובטור</t>
    </r>
    <r>
      <rPr>
        <sz val="11"/>
        <color theme="1"/>
        <rFont val="Calibri"/>
        <family val="2"/>
        <charset val="1"/>
      </rPr>
      <t xml:space="preserve">-</t>
    </r>
    <r>
      <rPr>
        <sz val="11"/>
        <color theme="1"/>
        <rFont val="FreeSans"/>
        <family val="2"/>
      </rPr>
      <t xml:space="preserve">מקורר</t>
    </r>
    <r>
      <rPr>
        <sz val="11"/>
        <color theme="1"/>
        <rFont val="Calibri"/>
        <family val="2"/>
        <charset val="1"/>
      </rPr>
      <t xml:space="preserve">/ | https://kimron.co.il/en/wp-content/uploads/2017/04/UF260.pdf | https://labotal.co.il/</t>
    </r>
    <r>
      <rPr>
        <sz val="11"/>
        <color theme="1"/>
        <rFont val="FreeSans"/>
        <family val="2"/>
      </rPr>
      <t xml:space="preserve">אינקובטורים</t>
    </r>
    <r>
      <rPr>
        <sz val="11"/>
        <color theme="1"/>
        <rFont val="Calibri"/>
        <family val="2"/>
        <charset val="1"/>
      </rPr>
      <t xml:space="preserve">-</t>
    </r>
    <r>
      <rPr>
        <sz val="11"/>
        <color theme="1"/>
        <rFont val="FreeSans"/>
        <family val="2"/>
      </rPr>
      <t xml:space="preserve">מומלצים</t>
    </r>
    <r>
      <rPr>
        <sz val="11"/>
        <color theme="1"/>
        <rFont val="Calibri"/>
        <family val="2"/>
        <charset val="1"/>
      </rPr>
      <t xml:space="preserve">-</t>
    </r>
    <r>
      <rPr>
        <sz val="11"/>
        <color theme="1"/>
        <rFont val="FreeSans"/>
        <family val="2"/>
      </rPr>
      <t xml:space="preserve">לשנת</t>
    </r>
    <r>
      <rPr>
        <sz val="11"/>
        <color theme="1"/>
        <rFont val="Calibri"/>
        <family val="2"/>
        <charset val="1"/>
      </rPr>
      <t xml:space="preserve">-2026-</t>
    </r>
    <r>
      <rPr>
        <sz val="11"/>
        <color theme="1"/>
        <rFont val="FreeSans"/>
        <family val="2"/>
      </rPr>
      <t xml:space="preserve">סקירת</t>
    </r>
    <r>
      <rPr>
        <sz val="11"/>
        <color theme="1"/>
        <rFont val="Calibri"/>
        <family val="2"/>
        <charset val="1"/>
      </rPr>
      <t xml:space="preserve">-</t>
    </r>
    <r>
      <rPr>
        <sz val="11"/>
        <color theme="1"/>
        <rFont val="FreeSans"/>
        <family val="2"/>
      </rPr>
      <t xml:space="preserve">דגמי</t>
    </r>
    <r>
      <rPr>
        <sz val="11"/>
        <color theme="1"/>
        <rFont val="Calibri"/>
        <family val="2"/>
        <charset val="1"/>
      </rPr>
      <t xml:space="preserve">/ | https://www.medent.co.il/scientific.equipment/product-category/%D7%90%D7%99%D7%A0%D7%A7%D7%95%D7%91%D7%98%D7%95%D7%A8%D7%99%D7%9D/%D7%90%D7%99%D7%A0%D7%A7%D7%95%D7%91%D7%98%D7%95%D7%A8-%D7%9E%D7%A7%D7%95%D7%A8%D7%A8/ | https://www.medent.co.il/scientific.equipment/product-category/%D7%90%D7%99%D7%A0%D7%A7%D7%95%D7%91%D7%98%D7%95%D7%A8%D7%99%D7%9D/%D7%90%D7%99%D7%A0%D7%A7%D7%95%D7%91%D7%98%D7%95%D7%A8-co2/ | https://www.medent.co.il/scientific.equipment/product-category/%D7%AA%D7%A0%D7%95%D7%A8%D7%99%D7%9D-%D7%9E%D7%A2%D7%91%D7%93%D7%AA%D7%99%D7%99%D7%9D/%D7%AA%D7%A0%D7%95%D7%A8%D7%99-%D7%95%D7%95%D7%90%D7%A7%D7%95%D7%9D/ | https://www.memmert.com/en/contact/your-contact-person | https://www.memmert.com/en/contact/your-contact-person/order-processing | https://www.electrotherm.co.il/</t>
    </r>
  </si>
  <si>
    <t xml:space="preserve">Menda</t>
  </si>
  <si>
    <t xml:space="preserve">https://www.thomassci.com/browse-by/suppliers/menda</t>
  </si>
  <si>
    <t xml:space="preserve">SCS Natural Square HDPE Bottle</t>
  </si>
  <si>
    <t xml:space="preserve">Natural Square HDPE Bottle with Take-Along Locking Pump</t>
  </si>
  <si>
    <t xml:space="preserve">Round Brown HDPE Alcohol Bottle with Lasting-Touch Pump</t>
  </si>
  <si>
    <t xml:space="preserve">Mercedes Medical</t>
  </si>
  <si>
    <t xml:space="preserve">https://www.thomassci.com/browse-by/suppliers/mercedes-medical</t>
  </si>
  <si>
    <t xml:space="preserve">https://www.mercedesmedical.com</t>
  </si>
  <si>
    <t xml:space="preserve">DRI® General Oxidant-Detect™ Specimen Validity Test</t>
  </si>
  <si>
    <t xml:space="preserve">DRI® Amphetamines Drugs of Abuse Assay Kit</t>
  </si>
  <si>
    <t xml:space="preserve">CEDIA® Heroin Metabolite (6-Acetylmorphine) Drugs of Abuse Assay</t>
  </si>
  <si>
    <t xml:space="preserve">Mercedes Medical / Mercedes Scientific (Sarasota and Lakewood Ranch, FL; a BD distributor) results are all US; Israeli hits (Medtechnica, Eldan, A.L. Medi-Market) are not linked to it.</t>
  </si>
  <si>
    <t xml:space="preserve">https://www.mercedesscientific.com</t>
  </si>
  <si>
    <t xml:space="preserve">https://www.quartzy.com/suppliers | https://www.thomassci.com/browse-by/suppliers/mercedes-medical | https://www.mercedesscientific.com</t>
  </si>
  <si>
    <t xml:space="preserve">Merck</t>
  </si>
  <si>
    <t xml:space="preserve">https://www.dutscher.com/search?initialFilters=brand:Merck</t>
  </si>
  <si>
    <t xml:space="preserve">https://www.sigmaaldrich.com</t>
  </si>
  <si>
    <t xml:space="preserve">Darmstadt</t>
  </si>
  <si>
    <t xml:space="preserve">Merck KGaA</t>
  </si>
  <si>
    <t xml:space="preserve">EUR 9.0 billion</t>
  </si>
  <si>
    <t xml:space="preserve">Milli-Q</t>
  </si>
  <si>
    <t xml:space="preserve">Millipore filtration (Millex, Stericup, Mobius)</t>
  </si>
  <si>
    <t xml:space="preserve">Sigma-Aldrich research chemicals</t>
  </si>
  <si>
    <t xml:space="preserve">Sigma-Aldrich Israel Ltd. (affiliate of Merck KGaA, Darmstadt); Mercury Scientific &amp; Industrial Products Ltd. (Gadot group); BDL (Beith Dekel) Ltd.</t>
  </si>
  <si>
    <t xml:space="preserve">Sigma-Aldrich Israel Ltd. (affiliate of Merck KGaA, Darmstadt): +972-8-9484222 / +972-8-9484100 isrcustserv@merckgroup.com; isrtechserv@merckgroup.com; Mercury Scientific &amp; Industrial Products Ltd. (Gadot group): +972 3-938-7164; BDL (Beith Dekel) Ltd.: +972 9-761-1800 info@bdl.co.il</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</si>
  <si>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Mercury's live English and Hebrew Milli-Q pages (lab water purification, Milli-Q IX/IQ/HX/SQ2) continue to present Mercury as Merck's exclusive distributor for Milli-Q in Israel, so the lab-equipment channel is current. Sigma-Aldrich Israel Ltd. was not re-searched this round (search budget); its prior evidence is Merck's own live offices page, which was not contradicted by anything found. Searched Sigma-Aldrich Israel/Rehovot generically, Merck/Milli-Q on Israeli distributor domains and sigmaaldrich.com/merckmillipore.com office pages. Sigma-Aldrich's contact page lists 'Sigma-Aldrich Israel Ltd., an affiliate of Merck KGaA, Darmstadt, Germany' at 3 Plaut St., Rehovot 7670603 (site self-assessment: operating since 1989, producing antibodies, primers and peptides), and Merck ISO certificates list a Jerusalem (Har Hotzvim) site, confirming Merck's own Israeli entity. For lab equipment, Mercury Scientific &amp; Industrial Products (part of Gadot since 2022) describes itself as the exclusive Israeli representative for Merck Milli-Q lab-water systems and distributor of Merck KGaA's life-science and chemicals divisions, so Milli-Q is sold via Mercury rather than direct; this is self-reported on Mercury's site and not independently confirmed by Merck.</t>
    </r>
  </si>
  <si>
    <t xml:space="preserve">+972 8 948 4222 / +972 8 948 4100</t>
  </si>
  <si>
    <t xml:space="preserve">isrcustserv@merckgroup.com</t>
  </si>
  <si>
    <t xml:space="preserve">3 Plaut St., Rehovot 7670603, Israel</t>
  </si>
  <si>
    <t xml:space="preserve">https://www.sigmaaldrich.com/collections/offices</t>
  </si>
  <si>
    <t xml:space="preserve">https://www.dutscher.com/search?initialFilters=brand:Merck | https://www.sigmaaldrich.com/US/en/collections/offices | https://www.sigmaaldrich.com/content/dam/sigma-aldrich/docs/Sigma-Aldrich/General_Information/2/rehovot-site-self-assessment.pdf | https://www.sigmaaldrich.com/deepweb/assets/sigmaaldrich/marketing/global/documents/164/028/certificate-iso-14001-123.pdf | https://www.mercury-ltd.co.il/water_purification_1 | https://eng.mercury-ltd.co.il/about_us | https://eng.mercury-ltd.co.il/analytical_and_sample_preparation | https://eng.mercury-ltd.co.il/lab_water_purification | https://www.mercury-ltd.co.il/milli_q | https://www.mercury-ltd.co.il/milli_q_iq_7003051015 | https://www.emdgroup.com/en/news/q4-2025-05-03-2026 | https://reports.emdgroup.com/en/annualreport/2025/_assets/downloads/lsc-life-science-emd-ar25.pdf | https://www.reports.emdgroup.com/en/annualreport/2025/_assets/downloads/cmr-combined-management-report-emd-ar25.pdf | https://www.bdl.co.il/Search.aspx?Category=Chemistry&amp;FCD=1</t>
  </si>
  <si>
    <t xml:space="preserve">Mercodia</t>
  </si>
  <si>
    <t xml:space="preserve">https://mercodia.com</t>
  </si>
  <si>
    <t xml:space="preserve">(+46) 72 292 15 14</t>
  </si>
  <si>
    <t xml:space="preserve">support@mercodia.com</t>
  </si>
  <si>
    <t xml:space="preserve">https://www.mercodia.com/contact-us/</t>
  </si>
  <si>
    <t xml:space="preserve">https://www.quartzy.com/suppliers | https://www.mercodia.com/contact-us/</t>
  </si>
  <si>
    <t xml:space="preserve">Meridian (Bioline)</t>
  </si>
  <si>
    <t xml:space="preserve">https://www.thomassci.com/browse-by/suppliers/meridian-bioline</t>
  </si>
  <si>
    <t xml:space="preserve">BIOTAQ™ DNA Polymerase</t>
  </si>
  <si>
    <t xml:space="preserve">MyTaq™ DNA Polymerase</t>
  </si>
  <si>
    <t xml:space="preserve">RiboSafe RNase Inhibitor</t>
  </si>
  <si>
    <t xml:space="preserve">Meridian Life Science</t>
  </si>
  <si>
    <t xml:space="preserve">Merit Pharmaceutical</t>
  </si>
  <si>
    <t xml:space="preserve">https://www.thomassci.com/browse-by/suppliers/merit-pharmaceutical</t>
  </si>
  <si>
    <t xml:space="preserve">https://meritpharm.com</t>
  </si>
  <si>
    <t xml:space="preserve">(800) 421-9657</t>
  </si>
  <si>
    <t xml:space="preserve">https://www.meritpharm.com/contact/</t>
  </si>
  <si>
    <t xml:space="preserve">https://www.thomassci.com/browse-by/suppliers/merit-pharmaceutical | https://www.meritpharm.com/contact/</t>
  </si>
  <si>
    <t xml:space="preserve">Meritech</t>
  </si>
  <si>
    <t xml:space="preserve">https://www.thomassci.com/browse-by/suppliers/meritech</t>
  </si>
  <si>
    <t xml:space="preserve">https://meritech.com</t>
  </si>
  <si>
    <t xml:space="preserve">+18009327707</t>
  </si>
  <si>
    <t xml:space="preserve">sales@meritech.com</t>
  </si>
  <si>
    <t xml:space="preserve">https://www.meritech.com/contact/</t>
  </si>
  <si>
    <t xml:space="preserve">https://www.thomassci.com/browse-by/suppliers/meritech | https://www.meritech.com/contact/</t>
  </si>
  <si>
    <t xml:space="preserve">Mesa Labs</t>
  </si>
  <si>
    <t xml:space="preserve">https://www.thomassci.com/browse-by/suppliers/mesa-labs</t>
  </si>
  <si>
    <t xml:space="preserve">https://mesalabs.com</t>
  </si>
  <si>
    <t xml:space="preserve">303-987-8000</t>
  </si>
  <si>
    <t xml:space="preserve">customerservice@mesalabs.com</t>
  </si>
  <si>
    <t xml:space="preserve">https://mesalabs.com/contact</t>
  </si>
  <si>
    <t xml:space="preserve">https://www.thomassci.com/browse-by/suppliers/mesa-labs | https://mesalabs.com/contact</t>
  </si>
  <si>
    <t xml:space="preserve">Metal Technology</t>
  </si>
  <si>
    <t xml:space="preserve">https://www.thomassci.com/browse-by/suppliers/metal-technology</t>
  </si>
  <si>
    <t xml:space="preserve">Low Form Zirconium Crucibles</t>
  </si>
  <si>
    <t xml:space="preserve">Low Form Inconel Crucibles</t>
  </si>
  <si>
    <t xml:space="preserve">Metis Biotechnologies</t>
  </si>
  <si>
    <t xml:space="preserve">https://www.dutscher.com/search?initialFilters=brand:Metis+Biotechnologies</t>
  </si>
  <si>
    <t xml:space="preserve">AUTOMATON EVO 75</t>
  </si>
  <si>
    <t xml:space="preserve">METISOLCLEAN B SOLUTION FOR FLOW CYTOMETER</t>
  </si>
  <si>
    <t xml:space="preserve">HOSE FOR PERISTALTIC PUMP FOR FLOW CYTOMETER x2</t>
  </si>
  <si>
    <t xml:space="preserve">Metrex</t>
  </si>
  <si>
    <t xml:space="preserve">https://www.thomassci.com/browse-by/suppliers/metrex</t>
  </si>
  <si>
    <t xml:space="preserve">https://metrex.com</t>
  </si>
  <si>
    <t xml:space="preserve">The fast and effective CaviWipes1 is the next generation in surface disinfection.</t>
  </si>
  <si>
    <t xml:space="preserve">(800) 841-1428</t>
  </si>
  <si>
    <t xml:space="preserve">info@metrex.com</t>
  </si>
  <si>
    <t xml:space="preserve">https://www.metrex.com/en-us/contact-us</t>
  </si>
  <si>
    <t xml:space="preserve">https://www.thomassci.com/browse-by/suppliers/metrex | https://www.metrex.com/en-us/contact-us</t>
  </si>
  <si>
    <t xml:space="preserve">Metrex Research Corporation</t>
  </si>
  <si>
    <t xml:space="preserve">https://www.thomassci.com/browse-by/suppliers/metrex-research-corporation</t>
  </si>
  <si>
    <t xml:space="preserve">Metrex Cavicide® Surface Disinfectant</t>
  </si>
  <si>
    <t xml:space="preserve">Metrex Metritest™ Glutaraldehyde</t>
  </si>
  <si>
    <t xml:space="preserve">Metrex Metrizyme® Dual Enzymatic Detergent</t>
  </si>
  <si>
    <t xml:space="preserve">Metrohm</t>
  </si>
  <si>
    <t xml:space="preserve">https://www.thomassci.com/browse-by/suppliers/metrohm</t>
  </si>
  <si>
    <t xml:space="preserve">https://www.metrohm.com</t>
  </si>
  <si>
    <t xml:space="preserve">Herisau</t>
  </si>
  <si>
    <t xml:space="preserve">Metrohm Foundation (Metrohm Stiftung)</t>
  </si>
  <si>
    <t xml:space="preserve">Swiss scientific instrument company</t>
  </si>
  <si>
    <t xml:space="preserve">CHF ~550 million (trade estimate; foundation-owned)</t>
  </si>
  <si>
    <t xml:space="preserve">OMNIS</t>
  </si>
  <si>
    <t xml:space="preserve">940 Professional IC Vario / Eco IC</t>
  </si>
  <si>
    <t xml:space="preserve">Autolab PGSTAT204 / PGSTAT302N</t>
  </si>
  <si>
    <t xml:space="preserve">Israel Scientific Instruments Ltd. (ISI); BDL (Beith Dekel) Ltd.</t>
  </si>
  <si>
    <t xml:space="preserve">Israel Scientific Instruments Ltd. (ISI): +972 3-923-2202 info@isil.co.il; BDL (Beith Dekel) Ltd.: +972 9-761-1800 info@bdl.co.il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</si>
  <si>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Metrohm's own news item 'New Metrohm distributor in Israel' (July 2025) remains live on metrohm.com and names Israel Scientific Instruments Ltd. (ISI; founded 1971 as a Varian subsidiary, Steiner family since 1977) as the official distributor with immediate effect; Metrohm Middle East FZC (Sharjah) does not list Israel among its countries. ISI's own site did not surface in snippets, so the recorded website is unverified. Metrohm's own news item 'New Metrohm distributor in Israel' (17 July 2025) states: 'Israel Scientific Instruments Ltd. (ISI) becomes the official distributor of Metrohm products and services in Israel', effective immediately. Seen via the search-engine excerpt of the official page; the page itself could not be opened (host denied by egress proxy), so the previous distributor and ISI's website were not captured. Metrohm Middle East FZC (Dubai) is the regional subsidiary for MENA; Israel is not among its listed authorised distributors. Hebrew search and ISI's own site were not checked (search budget exhausted).</t>
    </r>
  </si>
  <si>
    <t xml:space="preserve">+41 71 353 85 85</t>
  </si>
  <si>
    <t xml:space="preserve">info@metrohm.com</t>
  </si>
  <si>
    <t xml:space="preserve">Ionenstrasse, 9100 Herisau, Switzerland</t>
  </si>
  <si>
    <t xml:space="preserve">https://www.metrohm.com/en/company/how-to-find-us.html</t>
  </si>
  <si>
    <t xml:space="preserve">https://www.metrohm.com/en/Company-info.html</t>
  </si>
  <si>
    <t xml:space="preserve">Q1925733</t>
  </si>
  <si>
    <t xml:space="preserve">https://www.thomassci.com/browse-by/suppliers/metrohm | https://www.metrohm.com/en/discover/news/2025/new-metrohm-distributor-in-israel.html | https://en.wikipedia.org/wiki/Metrohm | https://www.terrapinn.com/exhibition/arablab-live/exhibitor-metrohm-middle-east-fzc.stm | https://pitchbook.com/profiles/company/64426-42 | https://www.metrohm.com/en_ae/company/how-to-find-us.html | https://www.wikidata.org/wiki/Q1925733 | https://www.bdl.co.il/Search.aspx?Category=Chemistry&amp;FCD=1 | https://www.metrohm.com/en_us.html</t>
  </si>
  <si>
    <t xml:space="preserve">Mettler-Toledo</t>
  </si>
  <si>
    <t xml:space="preserve">https://www.dutscher.com/search?initialFilters=brand:Mettler-Toledo</t>
  </si>
  <si>
    <t xml:space="preserve">https://www.thomassci.com/browse-by/suppliers/mettler-toledo</t>
  </si>
  <si>
    <t xml:space="preserve">https://www.mt.com</t>
  </si>
  <si>
    <t xml:space="preserve">Columbus, Ohio (operational HQ Greifensee, Switzerland)</t>
  </si>
  <si>
    <t xml:space="preserve">public company</t>
  </si>
  <si>
    <t xml:space="preserve">USD 4.026 billion</t>
  </si>
  <si>
    <t xml:space="preserve">XPR analytical &amp; micro balances</t>
  </si>
  <si>
    <t xml:space="preserve">Rainin Pipet-Lite XLS / E4 XLS</t>
  </si>
  <si>
    <t xml:space="preserve">Excellence Titrators &amp; SevenExcellence meters</t>
  </si>
  <si>
    <t xml:space="preserve">Agentek (1987) Ltd.; Modcon Systems Ltd.; Dinco Ltd.; BDL (Beith Dekel) Ltd.</t>
  </si>
  <si>
    <t xml:space="preserve">Agentek (1987) Ltd.: +972 9-965-7000; Modcon Systems Ltd.: +972-4-9553955; Dinco Ltd.:; BDL (Beith Dekel) Ltd.: +972 9-761-1800 info@bdl.co.il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</si>
  <si>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Agentek's live Mettler Toledo representative page and product pages (balances, Rainin pipettes, CHRONECT XPR, EasyViewer, roller scales, throat metal detector) confirm it as the current lab-weighing/pipetting channel; note Agentek also lists Mettler product-inspection and industrial-scale items, overlapping the scope mt.com assigns to Dinco. Modcon and Dinco were not re-searched (prior evidence is Mettler-Toledo's own mt.com/il page). No Israeli Mettler-Toledo subsidiary surfaced. Searched Mettler-Toledo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Israeli distributor domains, and mt.com. Mettler-Toledo's own Israel page (mt.com/il) lists three partner companies instead of a direct office: Agentek (1987) Ltd. for laboratory weighing, Modcon Systems Ltd. for process analytics and Dinco Ltd. for product inspection. Agentek's site independently confirms it with a Mettler Toledo representative page, a news item that it distributes Mettler-Toledo Rainin pipettes, and balance/titration/scale product pages. No Mettler-Toledo Israeli subsidiary was found; phone numbers and the exact scope split were taken from search snippets and not re-checked on the live page. Agentek's own vendors page (agentek.co.il/vendors) lists the brand among the manufacturers it represents in Israel (seen in a search excerpt; the manufacturer's own distributor page was not opened).</t>
    </r>
  </si>
  <si>
    <t xml:space="preserve">+1 614-438-4511</t>
  </si>
  <si>
    <t xml:space="preserve">1900 Polaris Parkway, Columbus, OH 43240, USA</t>
  </si>
  <si>
    <t xml:space="preserve">https://s202.q4cdn.com/258391627/files/doc_financials/2014-Annual-Report.pdf</t>
  </si>
  <si>
    <t xml:space="preserve">Q680186</t>
  </si>
  <si>
    <t xml:space="preserve">https://www.dutscher.com/search?initialFilters=brand:Mettler-Toledo | https://www.quartzy.com/suppliers | https://www.thomassci.com/browse-by/suppliers/mettler-toledo | https://www.mt.com/il/en/home.html | https://agentek.co.il/representative/mettler-toledo/ | https://agentek.co.il/news/agntq-mthilh-lwvvq-at-mvcri-rainin | https://agentek.co.il/products/mettler-toledo-e4-electronic-pipette-lts-e4-10xls/ | https://agentek.co.il/?p=104 | https://agentek.co.il/vendors/ | https://agentek.co.il/products/chronect-xpr-robotic-powder-and-liquid-dispensing/ | https://agentek.co.il/products/mettler-toledo-96-channel-pipette-rainin-micropro/ | https://agentek.co.il/products/mettler-toledo-throat-profile-metal-detector/ | https://investor.mt.com/news/news-details/2026/Mettler-Toledo-International-Inc--Reports-Fourth-Quarter-2025-Results/default.aspx | https://www.sec.gov/Archives/edgar/data/1037646/000103764626000011/mtd-20251231.htm | https://www.wikidata.org/wiki/Q680186 | https://www.bdl.co.il/Search.aspx?Category=Chemistry&amp;FCD=1</t>
  </si>
  <si>
    <t xml:space="preserve">MHC Medical Products</t>
  </si>
  <si>
    <t xml:space="preserve">https://www.thomassci.com/browse-by/suppliers/mhc-medical-products</t>
  </si>
  <si>
    <t xml:space="preserve">https://mhcmed.com</t>
  </si>
  <si>
    <t xml:space="preserve">8773584342</t>
  </si>
  <si>
    <t xml:space="preserve">info@mhcmed.com</t>
  </si>
  <si>
    <t xml:space="preserve">https://mhcmed.com/contact-us/</t>
  </si>
  <si>
    <t xml:space="preserve">https://www.thomassci.com/browse-by/suppliers/mhc-medical-products | https://mhcmed.com/contact-us/</t>
  </si>
  <si>
    <t xml:space="preserve">Micro Essential</t>
  </si>
  <si>
    <t xml:space="preserve">https://www.thomassci.com/browse-by/suppliers/micro-essential</t>
  </si>
  <si>
    <t xml:space="preserve">Peracetic Acid Test Paper</t>
  </si>
  <si>
    <t xml:space="preserve">Hydrion Quat Test Paper</t>
  </si>
  <si>
    <t xml:space="preserve">Short Range Single Roll Dispenser</t>
  </si>
  <si>
    <t xml:space="preserve">Micro-Scientific</t>
  </si>
  <si>
    <t xml:space="preserve">https://www.thomassci.com/browse-by/suppliers/micro-scientific</t>
  </si>
  <si>
    <t xml:space="preserve">https://micro-scientific.com</t>
  </si>
  <si>
    <t xml:space="preserve">Opti-Cide3® Cleaner/Sanitizer/Disinfectant</t>
  </si>
  <si>
    <t xml:space="preserve">Opti-Scrub® Liquid Antimicrobial Skin Cleanser</t>
  </si>
  <si>
    <t xml:space="preserve">MicroKleen™ HS High Suds Neutral Detergent</t>
  </si>
  <si>
    <t xml:space="preserve">+18882532536</t>
  </si>
  <si>
    <t xml:space="preserve">info@micro-scientific.com</t>
  </si>
  <si>
    <t xml:space="preserve">https://micro-scientific.com/contact-us</t>
  </si>
  <si>
    <t xml:space="preserve">https://www.thomassci.com/browse-by/suppliers/micro-scientific | https://micro-scientific.com/contact-us</t>
  </si>
  <si>
    <t xml:space="preserve">MicroBio Products</t>
  </si>
  <si>
    <t xml:space="preserve">https://www.thomassci.com/browse-by/suppliers/microbio-products</t>
  </si>
  <si>
    <t xml:space="preserve">https://microbioproducts.com</t>
  </si>
  <si>
    <t xml:space="preserve">Baffled 96 Deep Well Plates - Up To 60% Extra Yield</t>
  </si>
  <si>
    <t xml:space="preserve">Centrifuge Tubes</t>
  </si>
  <si>
    <t xml:space="preserve">https://microbioproducts.com/?v=84de8e2b14bb</t>
  </si>
  <si>
    <t xml:space="preserve">https://www.thomassci.com/browse-by/suppliers/microbio-products | https://microbioproducts.com/?v=84de8e2b14bb</t>
  </si>
  <si>
    <t xml:space="preserve">MicroCare Corp</t>
  </si>
  <si>
    <t xml:space="preserve">https://www.thomassci.com/browse-by/suppliers/microcare-corp</t>
  </si>
  <si>
    <t xml:space="preserve">MicroCare Alcohol-Enhanced Flux Remover</t>
  </si>
  <si>
    <t xml:space="preserve">MicroCare General Purpose Dust Remover</t>
  </si>
  <si>
    <t xml:space="preserve">Isopropyl alcohol</t>
  </si>
  <si>
    <t xml:space="preserve">Microflex</t>
  </si>
  <si>
    <t xml:space="preserve">https://www.dutscher.com/search?initialFilters=brand:Microflex</t>
  </si>
  <si>
    <t xml:space="preserve">https://www.thomassci.com/browse-by/suppliers/microflex</t>
  </si>
  <si>
    <t xml:space="preserve">https://microflexfilm.com</t>
  </si>
  <si>
    <t xml:space="preserve">Single-use 290 to 350mm nitrile laboratory and examination glove</t>
  </si>
  <si>
    <t xml:space="preserve">SafeGrip® Latex Gloves</t>
  </si>
  <si>
    <t xml:space="preserve">Diamond Grip Plus™ Latex Gloves</t>
  </si>
  <si>
    <t xml:space="preserve">MidKnight™ Black Nitrile Gloves</t>
  </si>
  <si>
    <t xml:space="preserve">Searched as Ansell's Microflex brand: Ansell's Where-to-Buy page has a country selector but no Israel entry visible; only non-Israeli retailers (RS Korea/Philippines, VWR, ThomasSci, Labfriend India).</t>
  </si>
  <si>
    <t xml:space="preserve">9093609066</t>
  </si>
  <si>
    <t xml:space="preserve">info@microflexfilm.com</t>
  </si>
  <si>
    <t xml:space="preserve">https://microflexfilm.com/</t>
  </si>
  <si>
    <t xml:space="preserve">https://www.dutscher.com/search?initialFilters=brand:Microflex | https://www.thomassci.com/browse-by/suppliers/microflex | https://microflexfilm.com/</t>
  </si>
  <si>
    <t xml:space="preserve">Microlit USA</t>
  </si>
  <si>
    <t xml:space="preserve">https://www.thomassci.com/browse-by/suppliers/microlit-usa</t>
  </si>
  <si>
    <t xml:space="preserve">AQUA Electronic Single Channel Variable Volume Pipettors</t>
  </si>
  <si>
    <t xml:space="preserve">Micropipettor Starter Kit</t>
  </si>
  <si>
    <t xml:space="preserve">Single Channel Variable Volume Pipettors</t>
  </si>
  <si>
    <t xml:space="preserve">Microlit (Lucknow, India; offices India/USA/Brazil) claims presence in 55+ countries; an Israeli Chamber of Commerce importer page listed other pipette brands, not Microlit.</t>
  </si>
  <si>
    <t xml:space="preserve">https://www.quartzy.com/suppliers | https://www.thomassci.com/browse-by/suppliers/microlit-usa</t>
  </si>
  <si>
    <t xml:space="preserve">MicroLiter</t>
  </si>
  <si>
    <t xml:space="preserve">https://www.thomassci.com/browse-by/suppliers/microliter</t>
  </si>
  <si>
    <t xml:space="preserve">Micronic</t>
  </si>
  <si>
    <t xml:space="preserve">https://www.dutscher.com/search?initialFilters=brand:Micronic</t>
  </si>
  <si>
    <t xml:space="preserve">https://micronic.com</t>
  </si>
  <si>
    <t xml:space="preserve">Micronic 0.75 ml storage rack, Loborack presentation</t>
  </si>
  <si>
    <t xml:space="preserve">Micronic 1.4 ml storage tubes, in bulk</t>
  </si>
  <si>
    <t xml:space="preserve">EVA Capmat: cap on mat sterile for Comorack</t>
  </si>
  <si>
    <t xml:space="preserve">0014844803372</t>
  </si>
  <si>
    <t xml:space="preserve">sales@micronic.com</t>
  </si>
  <si>
    <t xml:space="preserve">https://micronic.com/contact/</t>
  </si>
  <si>
    <t xml:space="preserve">https://www.dutscher.com/search?initialFilters=brand:Micronic | https://www.danyel.co.il/ | https://micronic.com/contact/</t>
  </si>
  <si>
    <t xml:space="preserve">Micronova Manufacturing</t>
  </si>
  <si>
    <t xml:space="preserve">https://www.thomassci.com/browse-by/suppliers/micronova-manufacturing</t>
  </si>
  <si>
    <t xml:space="preserve">https://micronova-mfg.com</t>
  </si>
  <si>
    <t xml:space="preserve">BucketLiners™</t>
  </si>
  <si>
    <t xml:space="preserve">Cleanroom TMop™</t>
  </si>
  <si>
    <t xml:space="preserve">FlatMops</t>
  </si>
  <si>
    <t xml:space="preserve">310-784-6990</t>
  </si>
  <si>
    <t xml:space="preserve">marketing@micronova-mfg.com</t>
  </si>
  <si>
    <t xml:space="preserve">https://www.micronova-mfg.com/contact-us/</t>
  </si>
  <si>
    <t xml:space="preserve">https://www.thomassci.com/browse-by/suppliers/micronova-manufacturing | https://www.micronova-mfg.com/contact-us/</t>
  </si>
  <si>
    <t xml:space="preserve">Microscope.com</t>
  </si>
  <si>
    <t xml:space="preserve">https://microscope.com</t>
  </si>
  <si>
    <t xml:space="preserve">+18774093556</t>
  </si>
  <si>
    <t xml:space="preserve">info@microscope.com</t>
  </si>
  <si>
    <t xml:space="preserve">https://www.microscope.com/contact-us</t>
  </si>
  <si>
    <t xml:space="preserve">https://www.quartzy.com/suppliers | https://www.microscope.com/contact-us</t>
  </si>
  <si>
    <t xml:space="preserve">MicroSolv Technology</t>
  </si>
  <si>
    <t xml:space="preserve">https://mtc-usa.com</t>
  </si>
  <si>
    <t xml:space="preserve">17323808900</t>
  </si>
  <si>
    <t xml:space="preserve">https://www.mtc-usa.com/contact</t>
  </si>
  <si>
    <t xml:space="preserve">https://www.quartzy.com/suppliers | https://www.mtc-usa.com/contact</t>
  </si>
  <si>
    <t xml:space="preserve">MIDSCI</t>
  </si>
  <si>
    <t xml:space="preserve">https://midsci.com</t>
  </si>
  <si>
    <t xml:space="preserve">6362259997</t>
  </si>
  <si>
    <t xml:space="preserve">https://midsci.com/contact/request-a-quote/</t>
  </si>
  <si>
    <t xml:space="preserve">https://www.quartzy.com/suppliers | https://midsci.com/contact/request-a-quote/</t>
  </si>
  <si>
    <t xml:space="preserve">Miele</t>
  </si>
  <si>
    <t xml:space="preserve">https://www.dutscher.com/search?initialFilters=brand:Miele</t>
  </si>
  <si>
    <t xml:space="preserve">https://www.thomassci.com/browse-by/suppliers/miele</t>
  </si>
  <si>
    <t xml:space="preserve">https://www.miele.com</t>
  </si>
  <si>
    <t xml:space="preserve">ProCare Lab Detergents</t>
  </si>
  <si>
    <t xml:space="preserve">Lab Glassware Washers, ProCare Universal 61 Softener Salt</t>
  </si>
  <si>
    <t xml:space="preserve">Neodisher Mediclean Forte, 5 liter</t>
  </si>
  <si>
    <t xml:space="preserve">Miele Professional lab distributors named only for Hungary (Labokraft, 2025) and the US (ARES Scientific); no Israel mention.</t>
  </si>
  <si>
    <t xml:space="preserve">sales@miele.com.au</t>
  </si>
  <si>
    <t xml:space="preserve">https://www.miele.com/en/com/contact-us-2073.htm</t>
  </si>
  <si>
    <t xml:space="preserve">https://www.dutscher.com/search?initialFilters=brand:Miele | https://www.thomassci.com/browse-by/suppliers/miele | https://www.miele.com/en/com/contact-us-2073.htm</t>
  </si>
  <si>
    <t xml:space="preserve">Miles Scientific (Analtech)</t>
  </si>
  <si>
    <t xml:space="preserve">https://www.thomassci.com/browse-by/suppliers/miles-scientific-analtech</t>
  </si>
  <si>
    <t xml:space="preserve">Disposable Micropipettes</t>
  </si>
  <si>
    <t xml:space="preserve">Silica Gel HLF UNIPLATES</t>
  </si>
  <si>
    <t xml:space="preserve">Glass-Backed Analytical TLC Plates</t>
  </si>
  <si>
    <t xml:space="preserve">https://www.thomassci.com/browse-by/suppliers/miles-scientific-analtech | https://www.yairtech.co.il/partners/</t>
  </si>
  <si>
    <t xml:space="preserve">Miller by Honeywell</t>
  </si>
  <si>
    <t xml:space="preserve">https://www.thomassci.com/browse-by/suppliers/miller-by-honeywell</t>
  </si>
  <si>
    <t xml:space="preserve">Miller Harness Accessories</t>
  </si>
  <si>
    <t xml:space="preserve">DuraFlex Python® Harnesses</t>
  </si>
  <si>
    <t xml:space="preserve">Millipore Sigma</t>
  </si>
  <si>
    <t xml:space="preserve">MilliporeSigma</t>
  </si>
  <si>
    <t xml:space="preserve">https://www.thomassci.com/browse-by/suppliers/milliporesigma</t>
  </si>
  <si>
    <t xml:space="preserve">Sigma-Aldrich Israel Ltd. (affiliate of Merck KGaA, Darmstadt); Mercury Scientific &amp; Industrial Products Ltd. (Gadot group)</t>
  </si>
  <si>
    <t xml:space="preserve">Sigma-Aldrich Israel Ltd. (affiliate of Merck KGaA, Darmstadt): +972-8-9484222 / +972-8-9484100 isrcustserv@merckgroup.com; isrtechserv@merckgroup.com; Mercury Scientific &amp; Industrial Products Ltd. (Gadot group): +972 3-938-7164</t>
  </si>
  <si>
    <t xml:space="preserve">https://www.thomassci.com/browse-by/suppliers/milliporesigma | https://www.sigmaaldrich.com/US/en/collections/offices | https://www.sigmaaldrich.com/content/dam/sigma-aldrich/docs/Sigma-Aldrich/General_Information/2/rehovot-site-self-assessment.pdf | https://www.sigmaaldrich.com/deepweb/assets/sigmaaldrich/marketing/global/documents/164/028/certificate-iso-14001-123.pdf | https://www.mercury-ltd.co.il/water_purification_1 | https://eng.mercury-ltd.co.il/about_us | https://eng.mercury-ltd.co.il/analytical_and_sample_preparation | https://eng.mercury-ltd.co.il/lab_water_purification | https://www.mercury-ltd.co.il/milli_q | https://www.mercury-ltd.co.il/milli_q_iq_7003051015 | https://www.emdgroup.com/en/news/q4-2025-05-03-2026 | https://reports.emdgroup.com/en/annualreport/2025/_assets/downloads/lsc-life-science-emd-ar25.pdf | https://www.reports.emdgroup.com/en/annualreport/2025/_assets/downloads/cmr-combined-management-report-emd-ar25.pdf</t>
  </si>
  <si>
    <t xml:space="preserve">Miltex®, an Integra company</t>
  </si>
  <si>
    <t xml:space="preserve">https://www.thomassci.com/browse-by/suppliers/miltex-an-integra-company</t>
  </si>
  <si>
    <t xml:space="preserve">Scissors</t>
  </si>
  <si>
    <t xml:space="preserve">Forceps</t>
  </si>
  <si>
    <t xml:space="preserve">EZ-Zyme® All Purpose Enzyme Cleaner</t>
  </si>
  <si>
    <t xml:space="preserve">Milwaukee Instruments</t>
  </si>
  <si>
    <t xml:space="preserve">https://www.thomassci.com/browse-by/suppliers/milwaukee-instruments</t>
  </si>
  <si>
    <t xml:space="preserve">https://milwaukeeinstruments.com</t>
  </si>
  <si>
    <t xml:space="preserve">Professional Free &amp; Total Chlorine (High Range) Photometer</t>
  </si>
  <si>
    <t xml:space="preserve">Free Chlorine Handy Photometer</t>
  </si>
  <si>
    <t xml:space="preserve">Replacement Cuvettes &amp; Accessories</t>
  </si>
  <si>
    <t xml:space="preserve">+1 252 443 3630</t>
  </si>
  <si>
    <t xml:space="preserve">https://milwaukeeinstruments.com/contact-us/</t>
  </si>
  <si>
    <t xml:space="preserve">https://www.thomassci.com/browse-by/suppliers/milwaukee-instruments | https://milwaukeeinstruments.com/contact-us/</t>
  </si>
  <si>
    <t xml:space="preserve">Minerva Biolabs</t>
  </si>
  <si>
    <t xml:space="preserve">https://www.thomassci.com/browse-by/suppliers/minerva-biolabs</t>
  </si>
  <si>
    <t xml:space="preserve">https://minerva-biolabs.com</t>
  </si>
  <si>
    <t xml:space="preserve">PCR Clean™ Wipes</t>
  </si>
  <si>
    <t xml:space="preserve">PCR Cycler Check™</t>
  </si>
  <si>
    <t xml:space="preserve">Venor®GeM qOneStep Mycoplasma Detection Kits</t>
  </si>
  <si>
    <t xml:space="preserve">+49 30 2000 4370</t>
  </si>
  <si>
    <t xml:space="preserve">order@minerva-biolabs.com</t>
  </si>
  <si>
    <t xml:space="preserve">https://minerva-biolabs.com/en/general-inquiry?to=jh</t>
  </si>
  <si>
    <t xml:space="preserve">https://www.thomassci.com/browse-by/suppliers/minerva-biolabs | https://minerva-biolabs.com/en/general-inquiry?to=jh</t>
  </si>
  <si>
    <t xml:space="preserve">Minigrip®</t>
  </si>
  <si>
    <t xml:space="preserve">https://www.dutscher.com/search?initialFilters=brand:Minigrip</t>
  </si>
  <si>
    <t xml:space="preserve">https://www.thomassci.com/browse-by/suppliers/minigrip</t>
  </si>
  <si>
    <t xml:space="preserve">https://minigrip.com</t>
  </si>
  <si>
    <t xml:space="preserve">Sample bag</t>
  </si>
  <si>
    <t xml:space="preserve">2 MIL Plain ZIPPIT® Reclosable Zipper Bags</t>
  </si>
  <si>
    <t xml:space="preserve">Lab Guard® Recloseable Specimen Bags, STAT</t>
  </si>
  <si>
    <t xml:space="preserve">4 Mil Plain Premium Red Line™ Reclosable Zipper Bags</t>
  </si>
  <si>
    <t xml:space="preserve">No result mentions Minigrip; 'Mini Line Ltd' (Petach Tikva electronics importer) is an unrelated name match; other hits are unrelated Israeli dealer announcements.</t>
  </si>
  <si>
    <t xml:space="preserve">800-511-6298</t>
  </si>
  <si>
    <t xml:space="preserve">https://medegenmed.com/contact-us/</t>
  </si>
  <si>
    <t xml:space="preserve">https://www.dutscher.com/search?initialFilters=brand:Minigrip | https://www.thomassci.com/browse-by/suppliers/minigrip | https://medegenmed.com/contact-us/</t>
  </si>
  <si>
    <t xml:space="preserve">Mirus Bio</t>
  </si>
  <si>
    <t xml:space="preserve">https://mirusbio.com</t>
  </si>
  <si>
    <t xml:space="preserve">https://www.quartzy.com/suppliers | https://www.zotal.co.il/brands/</t>
  </si>
  <si>
    <t xml:space="preserve">MiTeGen</t>
  </si>
  <si>
    <t xml:space="preserve">https://mitegen.com</t>
  </si>
  <si>
    <t xml:space="preserve">info@mitegen.com</t>
  </si>
  <si>
    <t xml:space="preserve">https://www.mitegen.com/learn/about-mitegen/</t>
  </si>
  <si>
    <t xml:space="preserve">https://www.quartzy.com/suppliers | https://www.mitegen.com/learn/about-mitegen/</t>
  </si>
  <si>
    <t xml:space="preserve">Modulus Data Systems</t>
  </si>
  <si>
    <t xml:space="preserve">https://www.thomassci.com/browse-by/suppliers/modulus-data-systems</t>
  </si>
  <si>
    <t xml:space="preserve">DIFFCOUNT Manual Differential Cell Counter</t>
  </si>
  <si>
    <t xml:space="preserve">Compu-U-Diff Keypad</t>
  </si>
  <si>
    <t xml:space="preserve">Moineau instruments</t>
  </si>
  <si>
    <t xml:space="preserve">https://www.dutscher.com/search?initialFilters=brand:Moineau+instruments</t>
  </si>
  <si>
    <t xml:space="preserve">Pocket battery tester</t>
  </si>
  <si>
    <t xml:space="preserve">Adapter with switch - 4 sockets 1.5M cable</t>
  </si>
  <si>
    <t xml:space="preserve">ABS cutter</t>
  </si>
  <si>
    <t xml:space="preserve">Moldex</t>
  </si>
  <si>
    <t xml:space="preserve">https://www.thomassci.com/browse-by/suppliers/moldex</t>
  </si>
  <si>
    <t xml:space="preserve">https://moldex.com</t>
  </si>
  <si>
    <t xml:space="preserve">2300N95 Series Particulate Respirators with Exhale Valve</t>
  </si>
  <si>
    <t xml:space="preserve">Pura-Fit® Disposable Earplug</t>
  </si>
  <si>
    <t xml:space="preserve">N99 Premium Particulate Respirator (for most welding applications), 10/BG; 6 BGS/CS</t>
  </si>
  <si>
    <t xml:space="preserve">+18004210668</t>
  </si>
  <si>
    <t xml:space="preserve">https://www.moldex.com/contact/</t>
  </si>
  <si>
    <t xml:space="preserve">https://www.thomassci.com/browse-by/suppliers/moldex | https://www.moldex.com/contact/</t>
  </si>
  <si>
    <t xml:space="preserve">MoldPro</t>
  </si>
  <si>
    <t xml:space="preserve">https://www.thomassci.com/browse-by/suppliers/moldpro</t>
  </si>
  <si>
    <t xml:space="preserve">Digestion Vessels and Accessories</t>
  </si>
  <si>
    <t xml:space="preserve">Sample Cups and Vials</t>
  </si>
  <si>
    <t xml:space="preserve">Autosampler Tubes and Caps</t>
  </si>
  <si>
    <t xml:space="preserve">Molecular Biology Products</t>
  </si>
  <si>
    <t xml:space="preserve">Molecular Designs</t>
  </si>
  <si>
    <t xml:space="preserve">https://www.thomassci.com/browse-by/suppliers/molecular-designs</t>
  </si>
  <si>
    <t xml:space="preserve">https://moleculardesigns.com</t>
  </si>
  <si>
    <t xml:space="preserve">Sexually Transmitted Microbiota Simplicity Panel™</t>
  </si>
  <si>
    <t xml:space="preserve">Vaginal Microbiota Simplicity Panel™</t>
  </si>
  <si>
    <t xml:space="preserve">Urinary Tract Plus Microbiota Simplicity Panel™</t>
  </si>
  <si>
    <t xml:space="preserve">+1(800)314-0182</t>
  </si>
  <si>
    <t xml:space="preserve">https://www.moleculardesigns.com/contact</t>
  </si>
  <si>
    <t xml:space="preserve">https://www.thomassci.com/browse-by/suppliers/molecular-designs | https://www.moleculardesigns.com/contact</t>
  </si>
  <si>
    <t xml:space="preserve">Molecular Dimensions</t>
  </si>
  <si>
    <t xml:space="preserve">https://www.moleculardimensions.com</t>
  </si>
  <si>
    <t xml:space="preserve">enquiries@moleculardimensions.com</t>
  </si>
  <si>
    <t xml:space="preserve">https://moleculardimensions.com/en</t>
  </si>
  <si>
    <t xml:space="preserve">https://www.quartzy.com/suppliers | https://moleculardimensions.com/en</t>
  </si>
  <si>
    <t xml:space="preserve">Molnlycke</t>
  </si>
  <si>
    <t xml:space="preserve">https://www.dutscher.com/search?initialFilters=brand:Molnlycke</t>
  </si>
  <si>
    <t xml:space="preserve">https://lojamhc.com.br</t>
  </si>
  <si>
    <t xml:space="preserve">Sterile disposable surgical gown - XXL - length 148 cm - per dispenser box of 18</t>
  </si>
  <si>
    <t xml:space="preserve">Sterile disposable surgical gown - M - length 121 cm - per dispenser box of 20</t>
  </si>
  <si>
    <t xml:space="preserve">Sterile disposable surgical gown - XL - length 132 cm - per dispenser box of 18</t>
  </si>
  <si>
    <t xml:space="preserve">Molnlycke Health Care US</t>
  </si>
  <si>
    <t xml:space="preserve">https://www.thomassci.com/browse-by/suppliers/molnlycke-health-care-us</t>
  </si>
  <si>
    <t xml:space="preserve">Barrier® Ear-Loop Face Mask</t>
  </si>
  <si>
    <t xml:space="preserve">Barrier® Anti-Fog Face Mask</t>
  </si>
  <si>
    <t xml:space="preserve">Protective Glasses</t>
  </si>
  <si>
    <t xml:space="preserve">Moltox</t>
  </si>
  <si>
    <t xml:space="preserve">https://www.thomassci.com/browse-by/suppliers/moltox</t>
  </si>
  <si>
    <t xml:space="preserve">https://moltox.com</t>
  </si>
  <si>
    <t xml:space="preserve">Sabouraud Dextrose Agar</t>
  </si>
  <si>
    <t xml:space="preserve">+1 800 536 7232</t>
  </si>
  <si>
    <t xml:space="preserve">https://moltox.com/contact-us/</t>
  </si>
  <si>
    <t xml:space="preserve">https://www.thomassci.com/browse-by/suppliers/moltox | https://moltox.com/contact-us/</t>
  </si>
  <si>
    <t xml:space="preserve">Motic Microscopes</t>
  </si>
  <si>
    <t xml:space="preserve">https://moticmicroscopes.com</t>
  </si>
  <si>
    <t xml:space="preserve">1-877-977-4717</t>
  </si>
  <si>
    <t xml:space="preserve">sales@motic-america.com</t>
  </si>
  <si>
    <t xml:space="preserve">https://moticmicroscopes.com/pages/contact</t>
  </si>
  <si>
    <t xml:space="preserve">https://www.quartzy.com/suppliers | https://moticmicroscopes.com/pages/contact</t>
  </si>
  <si>
    <t xml:space="preserve">MotoSolutions</t>
  </si>
  <si>
    <t xml:space="preserve">https://www.thomassci.com/browse-by/suppliers/motosolutions</t>
  </si>
  <si>
    <t xml:space="preserve">https://motosolutions.com</t>
  </si>
  <si>
    <t xml:space="preserve">15107995100</t>
  </si>
  <si>
    <t xml:space="preserve">https://motosolutions.com/contact-us/</t>
  </si>
  <si>
    <t xml:space="preserve">https://www.thomassci.com/browse-by/suppliers/motosolutions | https://motosolutions.com/contact-us/</t>
  </si>
  <si>
    <t xml:space="preserve">Mouser Electronics</t>
  </si>
  <si>
    <t xml:space="preserve">https://www.mouser.com</t>
  </si>
  <si>
    <t xml:space="preserve">1792303608</t>
  </si>
  <si>
    <t xml:space="preserve">https://www.mouser.com/</t>
  </si>
  <si>
    <t xml:space="preserve">https://www.quartzy.com/suppliers | https://www.mouser.com/</t>
  </si>
  <si>
    <t xml:space="preserve">MP Biomedicals</t>
  </si>
  <si>
    <t xml:space="preserve">https://www.thomassci.com/browse-by/suppliers/mp-biomedicals</t>
  </si>
  <si>
    <t xml:space="preserve">https://mpbio.com</t>
  </si>
  <si>
    <t xml:space="preserve">Triton® X-100</t>
  </si>
  <si>
    <t xml:space="preserve">Sodium Phosphate Monobasic, Monohydrate</t>
  </si>
  <si>
    <t xml:space="preserve">Lysing Matrix Tubes A, 2mL Tubes</t>
  </si>
  <si>
    <t xml:space="preserve">https://www.quartzy.com/suppliers | https://www.thomassci.com/browse-by/suppliers/mp-biomedicals | https://www.enco.co.il/about.php</t>
  </si>
  <si>
    <t xml:space="preserve">MP Hygiene - WEPA Professional</t>
  </si>
  <si>
    <t xml:space="preserve">https://www.dutscher.com/search?initialFilters=brand:MP+Hygiene+-+WEPA+Professional</t>
  </si>
  <si>
    <t xml:space="preserve">Wall stand for roll Height max. 30 cm</t>
  </si>
  <si>
    <t xml:space="preserve">Natural CPE Glove - L (chlorinated polyethylene) - Natural</t>
  </si>
  <si>
    <t xml:space="preserve">Nitrile Jet gloves powder-free - size 7 / S</t>
  </si>
  <si>
    <t xml:space="preserve">MSA</t>
  </si>
  <si>
    <t xml:space="preserve">https://www.thomassci.com/browse-by/suppliers/msa</t>
  </si>
  <si>
    <t xml:space="preserve">MSA N95 Covers</t>
  </si>
  <si>
    <t xml:space="preserve">MSA Comfo® Respirator Cartridges</t>
  </si>
  <si>
    <t xml:space="preserve">Topgard® Hard Hat Cap Style</t>
  </si>
  <si>
    <t xml:space="preserve">Getter Bio-Med (Getter Group)</t>
  </si>
  <si>
    <t xml:space="preserve">Getter Bio-Med (Getter Group): +972 3-576-1555 (Getter Group switchboard) info@getter.co.il</t>
  </si>
  <si>
    <t xml:space="preserve">https://www.thomassci.com/browse-by/suppliers/msa | https://www.getter.co.il/%d7%a0%d7%a6%d7%99%d7%92%d7%95%d7%99%d7%95%d7%aa-%d7%90%d7%a1%d7%98%d7%a8%d7%98%d7%92%d7%99%d7%95%d7%aa/</t>
  </si>
  <si>
    <t xml:space="preserve">MTC Bio</t>
  </si>
  <si>
    <t xml:space="preserve">https://www.thomassci.com/browse-by/suppliers/mtc-bio</t>
  </si>
  <si>
    <t xml:space="preserve">SpectraTube™ Rainbow Cap Centrifuge Tubes</t>
  </si>
  <si>
    <t xml:space="preserve">Pure•Amp™ PCR tubes, strips and sealing options</t>
  </si>
  <si>
    <t xml:space="preserve">Distributor-side evidence only: an Israeli supplier site (yairtech.co.il) has an MTC Bio brand page; MTC Bio's own site/distributor list did not surface. Other hits are US resellers (Labrepco, Test Equipment Depot, Enzo/Axxora) and unrelated Israeli distributors.</t>
  </si>
  <si>
    <t xml:space="preserve">https://www.quartzy.com/suppliers | https://www.thomassci.com/browse-by/suppliers/mtc-bio | https://www.yairtech.co.il/?p=3561</t>
  </si>
  <si>
    <t xml:space="preserve">MTI Global</t>
  </si>
  <si>
    <t xml:space="preserve">https://www.thomassci.com/browse-by/suppliers/mti-global</t>
  </si>
  <si>
    <t xml:space="preserve">https://mtiglobal.com</t>
  </si>
  <si>
    <t xml:space="preserve">Multi</t>
  </si>
  <si>
    <t xml:space="preserve">https://www.dutscher.com/search?initialFilters=brand:Multi</t>
  </si>
  <si>
    <t xml:space="preserve">10 µl tips: pointed, sterile, graduated, for Multirack, low retention - length: 44.83 mm Tips graduated as follows: 1, 2, 5, and 10 µl, prov</t>
  </si>
  <si>
    <t xml:space="preserve">Tip 1000 µl Standard, graduated, bulk - lenght: 72,90 mm - color: blue</t>
  </si>
  <si>
    <t xml:space="preserve">Tip 1000 µl Standard, graduated, bulk - lenght: 72,90 mm</t>
  </si>
  <si>
    <t xml:space="preserve">MultiGrip™</t>
  </si>
  <si>
    <t xml:space="preserve">https://www.thomassci.com/browse-by/suppliers/multigrip</t>
  </si>
  <si>
    <t xml:space="preserve">Multiroir</t>
  </si>
  <si>
    <t xml:space="preserve">https://www.dutscher.com/search?initialFilters=brand:Multiroir</t>
  </si>
  <si>
    <t xml:space="preserve">https://multiroir.com</t>
  </si>
  <si>
    <t xml:space="preserve">Stainless steel trolley with 2 trays - ext. dim. L x W x H (mm): 850 X 540 x 940</t>
  </si>
  <si>
    <t xml:space="preserve">Multi-use plastic box Clearbox 520 ml</t>
  </si>
  <si>
    <t xml:space="preserve">Transverse divider for large drawer 171 x 84 mm</t>
  </si>
  <si>
    <t xml:space="preserve">01 45 10 15 20</t>
  </si>
  <si>
    <t xml:space="preserve">https://www.multiroir.com/contact/</t>
  </si>
  <si>
    <t xml:space="preserve">https://www.dutscher.com/search?initialFilters=brand:Multiroir | https://www.multiroir.com/contact/</t>
  </si>
  <si>
    <t xml:space="preserve">Munktell</t>
  </si>
  <si>
    <t xml:space="preserve">https://www.thomassci.com/browse-by/suppliers/munktell</t>
  </si>
  <si>
    <t xml:space="preserve">MYCO Medical Supplies</t>
  </si>
  <si>
    <t xml:space="preserve">https://www.thomassci.com/browse-by/suppliers/myco-medical-supplies</t>
  </si>
  <si>
    <t xml:space="preserve">GLASSVAN® Sterile, Stainless Blade</t>
  </si>
  <si>
    <t xml:space="preserve">RELI®-CUT Disposable Safety Scalpels</t>
  </si>
  <si>
    <t xml:space="preserve">RELI® Quincke Needle, Metric Mark</t>
  </si>
  <si>
    <t xml:space="preserve">MycoFold</t>
  </si>
  <si>
    <t xml:space="preserve">Founded in 2025, MycoFold TM is a protein engineering company developing best-in-class proteins that address the technical and budget challenges faced by life science professionals. We design highly functional recombinant proteins using artificial intelligence (AI), machine-learning (ML) and high-throughput screening tools, which provide maximum reactivity and value to end users.</t>
  </si>
  <si>
    <t xml:space="preserve">Only a UW CoMotion startup profile (pre-seed, AI-designed proteins); no distributors listed anywhere.</t>
  </si>
  <si>
    <t xml:space="preserve">Myron L</t>
  </si>
  <si>
    <t xml:space="preserve">https://www.thomassci.com/browse-by/suppliers/myron-l</t>
  </si>
  <si>
    <t xml:space="preserve">https://myronl.com</t>
  </si>
  <si>
    <t xml:space="preserve">Myron L NaCl-14.0 Conductivity/TDS Standard Solution, Quart Bottle (32 Oz)</t>
  </si>
  <si>
    <t xml:space="preserve">Myron L KCl-7000 Conductivity/TDS Standard Solution, Quart Bottle (32 Oz)</t>
  </si>
  <si>
    <t xml:space="preserve">Multiparameter Meter Accessories</t>
  </si>
  <si>
    <t xml:space="preserve">17604382021</t>
  </si>
  <si>
    <t xml:space="preserve">info@myronl.com</t>
  </si>
  <si>
    <t xml:space="preserve">https://www.myronl.com/contact-us/</t>
  </si>
  <si>
    <t xml:space="preserve">https://www.thomassci.com/browse-by/suppliers/myron-l | https://www.myronl.com/contact-us/</t>
  </si>
  <si>
    <t xml:space="preserve">Mystaire®</t>
  </si>
  <si>
    <t xml:space="preserve">https://www.thomassci.com/browse-by/suppliers/mystaire</t>
  </si>
  <si>
    <t xml:space="preserve">https://mystaire.com</t>
  </si>
  <si>
    <t xml:space="preserve">CleanPrep™ Workstations</t>
  </si>
  <si>
    <t xml:space="preserve">MY-2400 Basic Ductless Workstation</t>
  </si>
  <si>
    <t xml:space="preserve">Accessories for PCR Workstations</t>
  </si>
  <si>
    <t xml:space="preserve">Results entirely unrelated (Mystere jet book, film distributors); nothing about Mystaire.</t>
  </si>
  <si>
    <t xml:space="preserve">19192298511</t>
  </si>
  <si>
    <t xml:space="preserve">https://mystaire.com/contact</t>
  </si>
  <si>
    <t xml:space="preserve">https://www.quartzy.com/suppliers | https://www.thomassci.com/browse-by/suppliers/mystaire | https://mystaire.com/contact</t>
  </si>
  <si>
    <t xml:space="preserve">Nabertherm</t>
  </si>
  <si>
    <t xml:space="preserve">https://www.dutscher.com/search?initialFilters=brand:Nabertherm</t>
  </si>
  <si>
    <t xml:space="preserve">https://www.thomassci.com/browse-by/suppliers/nabertherm</t>
  </si>
  <si>
    <t xml:space="preserve">https://nabertherm.com</t>
  </si>
  <si>
    <t xml:space="preserve">Lilienthal (near Bremen)</t>
  </si>
  <si>
    <t xml:space="preserve">EUR 65 million</t>
  </si>
  <si>
    <t xml:space="preserve">FY2021</t>
  </si>
  <si>
    <t xml:space="preserve">L / LE / LT muffle furnaces</t>
  </si>
  <si>
    <t xml:space="preserve">RT / RS tube furnaces</t>
  </si>
  <si>
    <t xml:space="preserve">LHT / HTC high-temperature furnaces</t>
  </si>
  <si>
    <t xml:space="preserve">Electrotherm Marketing 1978 Ltd.</t>
  </si>
  <si>
    <t xml:space="preserve">Electrotherm Marketing 1978 Ltd.: +972-77-866-0600 sales@electrotherm.co.il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</si>
  <si>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Nabertherm's live World-Wide Sales page and a dedicated partner page (nabertherm.com/en/node/594, 'Electrotherm marketing1978 LTD', Middle East region, industrial zone Migdal Haemek, sales email and phone) still name Electrotherm as its Israeli sales partner. Electrotherm's own Nabertherm product pages were seen in the previous round and were not re-searched within the budget. A search restricted to nabertherm.com returned the official World-Wide Sales page whose snippet names Electrotherm Marketing 1978 Ltd, Migdal Haemek (sales@electrotherm.co.il), as the agent for Israel. A follow-up search restricted to electrotherm.co.il confirmed the distributor's own Hebrew site (</t>
    </r>
    <r>
      <rPr>
        <sz val="11"/>
        <color theme="1"/>
        <rFont val="FreeSans"/>
        <family val="2"/>
      </rPr>
      <t xml:space="preserve">אלקטרוטרם</t>
    </r>
    <r>
      <rPr>
        <sz val="11"/>
        <color theme="1"/>
        <rFont val="Calibri"/>
        <family val="2"/>
        <charset val="1"/>
      </rPr>
      <t xml:space="preserve">) with Nabertherm product pages for melting furnaces (K 180/12), high-temperature furnaces, chamber/drying ovens (NA 1000/45 LS, 4500 WK), ceramic kilns, tube furnaces and the B400/C440/P470 controller documentation. Both the manufacturer's locator and the distributor's site therefore agree; the earlier round-1 locator snippet simply had not shown the Israel entry.</t>
    </r>
  </si>
  <si>
    <t xml:space="preserve">+49 4298 922-0</t>
  </si>
  <si>
    <t xml:space="preserve">contact@nabertherm.de</t>
  </si>
  <si>
    <t xml:space="preserve">Bahnhofstraße 20, 28865 Lilienthal, Germany</t>
  </si>
  <si>
    <t xml:space="preserve">https://nabertherm.com/en/contact/world-wide-sales</t>
  </si>
  <si>
    <t xml:space="preserve">https://nabertherm.com/en/downloads/service-instructions</t>
  </si>
  <si>
    <r>
      <rPr>
        <sz val="11"/>
        <color theme="1"/>
        <rFont val="Calibri"/>
        <family val="2"/>
        <charset val="1"/>
      </rPr>
      <t xml:space="preserve">https://www.dutscher.com/search?initialFilters=brand:Nabertherm | https://www.thomassci.com/browse-by/suppliers/nabertherm | https://nabertherm.com/en/contact/world-wide-sales | https://nabertherm.com/sites/default/files/2022-09/Pressetext%2075%20Jahre%20NT_german.pdf | https://www.metal-powder.tech/?p=274416 | https://nabertherm.com/sites/default/files/2026-04/dental-facts-french.pdf | https://nabertherm.com/en/company/history | https://craft.co/nabertherm | https://www.ebay.de/itm/266636471736 | https://www.electrotherm.co.il/</t>
    </r>
    <r>
      <rPr>
        <sz val="11"/>
        <color theme="1"/>
        <rFont val="FreeSans"/>
        <family val="2"/>
      </rPr>
      <t xml:space="preserve">תנורים</t>
    </r>
    <r>
      <rPr>
        <sz val="11"/>
        <color theme="1"/>
        <rFont val="Calibri"/>
        <family val="2"/>
        <charset val="1"/>
      </rPr>
      <t xml:space="preserve">-</t>
    </r>
    <r>
      <rPr>
        <sz val="11"/>
        <color theme="1"/>
        <rFont val="FreeSans"/>
        <family val="2"/>
      </rPr>
      <t xml:space="preserve">לטמפרטורה</t>
    </r>
    <r>
      <rPr>
        <sz val="11"/>
        <color theme="1"/>
        <rFont val="Calibri"/>
        <family val="2"/>
        <charset val="1"/>
      </rPr>
      <t xml:space="preserve">-</t>
    </r>
    <r>
      <rPr>
        <sz val="11"/>
        <color theme="1"/>
        <rFont val="FreeSans"/>
        <family val="2"/>
      </rPr>
      <t xml:space="preserve">גבוהה</t>
    </r>
    <r>
      <rPr>
        <sz val="11"/>
        <color theme="1"/>
        <rFont val="Calibri"/>
        <family val="2"/>
        <charset val="1"/>
      </rPr>
      <t xml:space="preserve">-cat87 | https://www.electrotherm.co.il/</t>
    </r>
    <r>
      <rPr>
        <sz val="11"/>
        <color theme="1"/>
        <rFont val="FreeSans"/>
        <family val="2"/>
      </rPr>
      <t xml:space="preserve">תנור</t>
    </r>
    <r>
      <rPr>
        <sz val="11"/>
        <color theme="1"/>
        <rFont val="Calibri"/>
        <family val="2"/>
        <charset val="1"/>
      </rPr>
      <t xml:space="preserve">-</t>
    </r>
    <r>
      <rPr>
        <sz val="11"/>
        <color theme="1"/>
        <rFont val="FreeSans"/>
        <family val="2"/>
      </rPr>
      <t xml:space="preserve">התכה</t>
    </r>
    <r>
      <rPr>
        <sz val="11"/>
        <color theme="1"/>
        <rFont val="Calibri"/>
        <family val="2"/>
        <charset val="1"/>
      </rPr>
      <t xml:space="preserve">-Nabertherm-K-18012-item2899 | https://www.electrotherm.co.il/userfiles/files/7275.pdf | https://www.electrotherm.co.il/</t>
    </r>
    <r>
      <rPr>
        <sz val="11"/>
        <color theme="1"/>
        <rFont val="FreeSans"/>
        <family val="2"/>
      </rPr>
      <t xml:space="preserve">תנורי</t>
    </r>
    <r>
      <rPr>
        <sz val="11"/>
        <color theme="1"/>
        <rFont val="Calibri"/>
        <family val="2"/>
        <charset val="1"/>
      </rPr>
      <t xml:space="preserve">-</t>
    </r>
    <r>
      <rPr>
        <sz val="11"/>
        <color theme="1"/>
        <rFont val="FreeSans"/>
        <family val="2"/>
      </rPr>
      <t xml:space="preserve">התכה</t>
    </r>
    <r>
      <rPr>
        <sz val="11"/>
        <color theme="1"/>
        <rFont val="Calibri"/>
        <family val="2"/>
        <charset val="1"/>
      </rPr>
      <t xml:space="preserve">-</t>
    </r>
    <r>
      <rPr>
        <sz val="11"/>
        <color theme="1"/>
        <rFont val="FreeSans"/>
        <family val="2"/>
      </rPr>
      <t xml:space="preserve">מעבדתיים</t>
    </r>
    <r>
      <rPr>
        <sz val="11"/>
        <color theme="1"/>
        <rFont val="Calibri"/>
        <family val="2"/>
        <charset val="1"/>
      </rPr>
      <t xml:space="preserve">-cat137 | https://nabertherm.com/en/node/594</t>
    </r>
  </si>
  <si>
    <t xml:space="preserve">NAFVSM</t>
  </si>
  <si>
    <t xml:space="preserve">https://www.dutscher.com/search?initialFilters=brand:NAFVSM</t>
  </si>
  <si>
    <t xml:space="preserve">Tube</t>
  </si>
  <si>
    <t xml:space="preserve">Glass haemolysis tube 12.25 x 75 mm single use</t>
  </si>
  <si>
    <t xml:space="preserve">12.25 x 100 mm glass haemolysis tube for single use</t>
  </si>
  <si>
    <t xml:space="preserve">Glass culture tube, screw neck</t>
  </si>
  <si>
    <t xml:space="preserve">Nalgene</t>
  </si>
  <si>
    <t xml:space="preserve">https://www.dutscher.com/search?initialFilters=brand:Nalgene</t>
  </si>
  <si>
    <t xml:space="preserve">https://www.thermofisher.com</t>
  </si>
  <si>
    <t xml:space="preserve">Waltham, Massachusetts</t>
  </si>
  <si>
    <t xml:space="preserve">USD 44.56 billion</t>
  </si>
  <si>
    <t xml:space="preserve">Thermo Scientific Orbitrap Astral</t>
  </si>
  <si>
    <t xml:space="preserve">Applied Biosystems QuantStudio</t>
  </si>
  <si>
    <t xml:space="preserve">Thermo Scientific Krios cryo-TEM</t>
  </si>
  <si>
    <t xml:space="preserve">Thermo Fisher Integrated Solutions Israel Ltd.; Thermo Fisher Scientific Israel Ltd. (Kiryat Shmona); Rhenium Ltd.; Gamidor Diagnostics (1984) Ltd.; Bargal Analytical Instruments Ltd.; Danyel Biotech Ltd.; Thermo Fisher Scientific – EM service location, Airport City; Iner-Tech Ltd. (Rehovot); R.B.M. Ltd. Control &amp; Mechanization (Hod Hasharon); Madid Industrial Controls Ltd.</t>
  </si>
  <si>
    <t xml:space="preserve">Thermo Fisher Integrated Solutions Israel Ltd.: +972 8-940-8618; Thermo Fisher Scientific Israel Ltd. (Kiryat Shmona): +972 8-940-8618; Rhenium Ltd.: +972 8-955-8888; Gamidor Diagnostics (1984) Ltd.: +972-3-927-7277 info@gamidor.co.il; Bargal Analytical Instruments Ltd.: +972-3-979-6533 sales@bargal.co.il; Danyel Biotech Ltd.: 1-800-711-911 (also +972 8-936-6066); Thermo Fisher Scientific – EM service location, Airport City: +972 8-940-8618; Iner-Tech Ltd. (Rehovot):; R.B.M. Ltd. Control &amp; Mechanization (Hod Hasharon):; Madid Industrial Controls Ltd.:</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</si>
  <si>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Re-verified on live pages: Rhenium (Applied Biosystems/Invitrogen/Thermo Scientific reagent, dPCR and centrifuge pages), Bargal (Orbitrap MS, combustion IC, ICP-MS/FTIR application notes), Danyel (Olink brand page) and Gamidor (Phadia ImmunoCAP/EliA pages) all currently market Thermo Fisher lines, and thermofisher.com's Phenom desktop-SEM distributor page names Thermo Fisher Integrated Solutions as the Israel contact. thermofisher.com additionally lists three Israeli partners for industrial/portable lines (Iner-Tech, R.B.M., Madid), added as new. The Kiryat Shmona manufacturing site and the Airport City EM service location were not re-found in snippets (a Thermo Fisher careers page only confirms jobs in Israel generally); Gamidor's microbiology scope (2025-26 letter) was not visible on its live pages, which show allergy/autoimmune diagnostics. Established from search-result evidence only (WebFetch and curl were blocked by the environment's network policy, so manufacturer and distributor pages could not be opened). Searches run: '"Thermo Fisher" Israel distributor', '"Thermo Fisher Scientific" Israel office Ltd', '"Thermo Fisher" </t>
    </r>
    <r>
      <rPr>
        <sz val="11"/>
        <color theme="1"/>
        <rFont val="FreeSans"/>
        <family val="2"/>
      </rPr>
      <t xml:space="preserve">ישראל נציג יבואן</t>
    </r>
    <r>
      <rPr>
        <sz val="11"/>
        <color theme="1"/>
        <rFont val="Calibri"/>
        <family val="2"/>
        <charset val="1"/>
      </rPr>
      <t xml:space="preserve">', 'Rhenium Thermo Scientific Israel distributor', 'Invitrogen Applied Biosystems Gibco Israel distributor', '"Thermo Fisher Integrated Solutions Israel"', 'Bargal Analytical Instruments ... Thermo Scientific'. Picture: Thermo Fisher has its OWN Israeli presence (Thermo Fisher Israel Ltd. site in Kiryat Shmona with Israeli ISO certificates; an EM service location in Airport City, Lod; and a newly formed 'Thermo Fisher Integrated Solutions Israel' subsidiary in Ra'anana that is hiring key-account managers and building a field-service team - i.e. a move toward direct sales for life-science products), PLUS division-specific Israeli distributors: Gamidor Diagnostics (non-exclusive distributor letter valid to Mar 2026, likely diagnostics/microbiology), Danyel Biotech (Olink), Rhenium (Life Technologies brands since 2011 - stale, may have been superseded by the new direct subsidiary) and Bargal (chromatography, 2018-2019 letter - stale). Fisher Scientific channel / Phadia (ImmunoCAP) / Thermo Scientific lab-equipment distributors in Israel were NOT established (the Phadia-locations page exists but could not be read). The exact registered names of the Israeli entities are unconfirmed (job ads say 'Thermo Fisher Integrated Solutions Israel' / '...Integrated Solutions Ltd').</t>
    </r>
  </si>
  <si>
    <t xml:space="preserve">+972 73 256 0860</t>
  </si>
  <si>
    <t xml:space="preserve">https://www.thermofisher.com/store/v2/contact-us?enableChat=true</t>
  </si>
  <si>
    <t xml:space="preserve">https://slimpages.startupim.com/company_page/thermo-fisher-scientific</t>
  </si>
  <si>
    <r>
      <rPr>
        <sz val="11"/>
        <color theme="1"/>
        <rFont val="Calibri"/>
        <family val="2"/>
        <charset val="1"/>
      </rPr>
      <t xml:space="preserve">https://www.dutscher.com/search?initialFilters=brand:Nalgene | https://www.sec.gov/Archives/edgar/data/97745/000009774526000018/tmo-20251231.htm | https://stockanalysis.com/quote/tsx/TMO/revenue/ | https://americancompanies.com/company/thermo-fisher-scientific-inc/ | https://assets.thermofisher.com/TFS-Assets/CMD/certificate/Certificates-of-Quality/ISO-Certs/cert-iso-13485-sii-cert-92462-kiriyat-shemona-en.pdf | https://assets.thermofisher.com/TFS-Assets/CMD/certificate/Certificates-of-Quality/ISO-Certs/cert-iso-9001-sii-cert-83393-kiriyat-shemona-en.pdf | https://tfcom-global-nginx.commerceprod.thermofisher.com/us/en/home/electron-microscopy/services/service-locations.html | https://slimpages.startupim.com/min_company_page/thermo-fisher-scientific | https://www.drushim.co.il/job/36710416/aadcf5d4/ | https://mygwork.com/jobs/thermo-fisher-scientific-head-of-field-services-6326719 | https://wfh.team/job/14242-field-service-engineer-thermo-fisher-integrated-solutions-ltd | https://onemainfinancial-veteranjobs.dejobs.org/raanana-isr/sr-manager-operations/B1F1C613DBEB494AAFE3164E9B663CD8/job | https://www.prnewswire.co.uk/news-releases/life-technologies-chooses-rhenium-to-distribute-products-in-israel-144794695.html | https://mr.gov.il/ilgstorefront/he/p/attachment/005056BF4DAB1EDB8098FCA0E2582123/%D7%A0%D7%A1%D7%A4%D7%97%D7%99%D7%9D%20%D7%9C%D7%A4%D7%A8%D7%95%D7%98%D7%95%D7%A7%D7%95%D7%9C | https://mr.gov.il/ilgstorefront/he/p/attachment/005056BF4F1A1FE085945E85E8D5F2E9/%D7%9E%D7%A1%D7%9E%D7%9B%D7%99%20%D7%94%D7%9C%D7%99%D7%9A | https://olink.com/services/worldwide-distributors | https://www.tosohbioscience.com/EU-EN-separations/distributors/rhenium-bio-science | https://www.biopac.com/distributor/bargal-analytical-instruments-ltd/ | https://www.thermofisher.com/phadia-locations | https://rhenium.co.il/products/bioproduction | https://www.rhenium.co.il/powertrack-sybr-green-master-mix/ | https://rhenium.co.il/absolute-q-digital-pcr-dpcr-find-a-needle-in-a-haystack/ | https://www.rhenium.co.il/sl-16-centrifuge/ | https://bargal.co.il/product/q-exactive-uhmr-hybrid-quadrupole-orbitrap-ms-system/ | https://bargal.co.il/product/combustion-ic-system/ | https://bargal.co.il/wp-content/uploads/2023/03/icp-ms-surface-drinking-waters-iso.pdf | https://www.danyel.co.il/olink/ | https://gamidor.co.il/en/allergy/ | https://www.thermofisher.com/us/en/home/electron-microscopy/products/desktop-scanning-electron-microscopes/phenom-distributors.html | https://www.thermofisher.com/us/en/home/industrial/spectroscopy-elemental-isotope-analysis/portable-analysis-material-id/portable-pharmaceutical-qa-qc-manufacturing-solutions/portable-pharma-qa-qc-manufacturing-solutions-distributors.html | https://www.thermofisher.com/us/en/home/industrial/spectroscopy-elemental-isotope-analysis/portable-analysis-material-id/portable-analysis-for-material-id-distributors.html | https://www.thermofisher.com/us/en/home/industrial/manufacturing-processing/data-acquisition/datataker-distributors.html | https://jobs.thermofisher.com/mx/es/israel-jobs | https://mr.gov.il/ilgstorefront/he/p/attachment/005056BF4DAB1EDB8098FCA0E2582123/</t>
    </r>
    <r>
      <rPr>
        <sz val="11"/>
        <color theme="1"/>
        <rFont val="FreeSans"/>
        <family val="2"/>
      </rPr>
      <t xml:space="preserve">נספחים לפרוטוקול </t>
    </r>
    <r>
      <rPr>
        <sz val="11"/>
        <color theme="1"/>
        <rFont val="Calibri"/>
        <family val="2"/>
        <charset val="1"/>
      </rPr>
      <t xml:space="preserve">| https://www.thermofisher.com/store/v2/contact-us?enableChat=true</t>
    </r>
  </si>
  <si>
    <t xml:space="preserve">nanoComposix, LLC</t>
  </si>
  <si>
    <t xml:space="preserve">Nasco</t>
  </si>
  <si>
    <t xml:space="preserve">https://www.dutscher.com/search?initialFilters=brand:Nasco</t>
  </si>
  <si>
    <t xml:space="preserve">https://www.thomassci.com/browse-by/suppliers/nasco</t>
  </si>
  <si>
    <t xml:space="preserve">Bag - pouch</t>
  </si>
  <si>
    <t xml:space="preserve">Whirl-Pak bag with marking area capacity 540 ml</t>
  </si>
  <si>
    <t xml:space="preserve">Whirl-Pak bag standard capacity 210 ml</t>
  </si>
  <si>
    <t xml:space="preserve">Whirl-Pak bag with pouch capacity 2070 ml</t>
  </si>
  <si>
    <t xml:space="preserve">Whirl-Pak was divested by Nasco to Filtration Group (2022); no Israeli distributor named; Israeli hits (Gotta Hay Trade, Winpac) were unrelated packaging/consumer firms.</t>
  </si>
  <si>
    <t xml:space="preserve">https://www.dutscher.com/search?initialFilters=brand:Nasco | https://www.thomassci.com/browse-by/suppliers/nasco</t>
  </si>
  <si>
    <t xml:space="preserve">National Band &amp; Tag</t>
  </si>
  <si>
    <t xml:space="preserve">https://www.thomassci.com/browse-by/suppliers/national-band-and-tag</t>
  </si>
  <si>
    <t xml:space="preserve">https://nationalband.com</t>
  </si>
  <si>
    <t xml:space="preserve">Small Animal Ear Tags, Etched</t>
  </si>
  <si>
    <t xml:space="preserve">Small Animal Ear Tags, Stamped</t>
  </si>
  <si>
    <t xml:space="preserve">Small Animal Ear Tag Applicator</t>
  </si>
  <si>
    <t xml:space="preserve">+18592612035</t>
  </si>
  <si>
    <t xml:space="preserve">https://www.nationalband.com/contact/</t>
  </si>
  <si>
    <t xml:space="preserve">https://www.thomassci.com/browse-by/suppliers/national-band-and-tag | https://www.nationalband.com/contact/</t>
  </si>
  <si>
    <t xml:space="preserve">National Chemical Laboratories</t>
  </si>
  <si>
    <t xml:space="preserve">https://www.thomassci.com/browse-by/suppliers/national-chemical-laboratories</t>
  </si>
  <si>
    <t xml:space="preserve">SPRITZ RTU 12 qts/cs Sanitizing Spray, No Rinse Required</t>
  </si>
  <si>
    <t xml:space="preserve">Neutral Q Disinfectant Cleaner 4X1 Gal. per Case</t>
  </si>
  <si>
    <t xml:space="preserve">EASY DAB® Crme Cleanser</t>
  </si>
  <si>
    <t xml:space="preserve">Nbiotek</t>
  </si>
  <si>
    <t xml:space="preserve">https://www.dutscher.com/search?initialFilters=brand:Nbiotek</t>
  </si>
  <si>
    <t xml:space="preserve">https://www.n-biotek.com</t>
  </si>
  <si>
    <t xml:space="preserve">Orbital shaker-incubator NB-T205LF</t>
  </si>
  <si>
    <t xml:space="preserve">Agitator for CO₂ incubator NB-101SRC</t>
  </si>
  <si>
    <t xml:space="preserve">NB-T205 Mini shaking Incubator with touch panel</t>
  </si>
  <si>
    <t xml:space="preserve">032-321-2100</t>
  </si>
  <si>
    <t xml:space="preserve">https://n-biotek.com/en/customer/contact.php</t>
  </si>
  <si>
    <t xml:space="preserve">https://www.dutscher.com/search?initialFilters=brand:Nbiotek | https://n-biotek.com/en/customer/contact.php</t>
  </si>
  <si>
    <t xml:space="preserve">NDC</t>
  </si>
  <si>
    <t xml:space="preserve">https://ndc-inc.com</t>
  </si>
  <si>
    <t xml:space="preserve">615.366.3230</t>
  </si>
  <si>
    <t xml:space="preserve">https://ndc-inc.com/contact/</t>
  </si>
  <si>
    <t xml:space="preserve">https://www.quartzy.com/suppliers | https://ndc-inc.com/contact/</t>
  </si>
  <si>
    <t xml:space="preserve">NDS Technologies</t>
  </si>
  <si>
    <t xml:space="preserve">https://www.thomassci.com/browse-by/suppliers/nds-technologies</t>
  </si>
  <si>
    <t xml:space="preserve">https://ndstechnologies.com</t>
  </si>
  <si>
    <t xml:space="preserve">+5999 5605138</t>
  </si>
  <si>
    <t xml:space="preserve">https://ndstechnologies.com/contact/</t>
  </si>
  <si>
    <t xml:space="preserve">https://www.thomassci.com/browse-by/suppliers/nds-technologies | https://ndstechnologies.com/contact/</t>
  </si>
  <si>
    <t xml:space="preserve">NEL Scientific</t>
  </si>
  <si>
    <t xml:space="preserve">https://www.thomassci.com/browse-by/suppliers/nel-scientific</t>
  </si>
  <si>
    <t xml:space="preserve">Fluid Thioglycollate Medium (USP Formulation)</t>
  </si>
  <si>
    <t xml:space="preserve">MR-VP Broth</t>
  </si>
  <si>
    <t xml:space="preserve">Campy-Blaser</t>
  </si>
  <si>
    <t xml:space="preserve">Neogen</t>
  </si>
  <si>
    <t xml:space="preserve">https://www.thomassci.com/browse-by/suppliers/neogen</t>
  </si>
  <si>
    <t xml:space="preserve">https://neogen.com</t>
  </si>
  <si>
    <t xml:space="preserve">Neogen® Sponge-Stick with Letheen Broth</t>
  </si>
  <si>
    <t xml:space="preserve">Neogen® Clean-Trace® ALLTEC60 Surface Protein (Allergen) Test Swab</t>
  </si>
  <si>
    <t xml:space="preserve">Neogen® Quick Swab</t>
  </si>
  <si>
    <t xml:space="preserve">NEST Scientific USA</t>
  </si>
  <si>
    <t xml:space="preserve">https://www.thomassci.com/browse-by/suppliers/nest-scientific-usa</t>
  </si>
  <si>
    <t xml:space="preserve">Centrifuge Tube Racks</t>
  </si>
  <si>
    <t xml:space="preserve">96 Well PCR Plates</t>
  </si>
  <si>
    <t xml:space="preserve">PETG Erlenmeyer Flasks</t>
  </si>
  <si>
    <t xml:space="preserve">NEST (Wuxi, China; NEST Scientific USA in Woodbridge, NJ) results show a 2024 North American deal with Captivate Bio and claims of sales in 50-80 countries; no Israeli distributor named.</t>
  </si>
  <si>
    <t xml:space="preserve">https://www.quartzy.com/suppliers | https://www.thomassci.com/browse-by/suppliers/nest-scientific-usa</t>
  </si>
  <si>
    <t xml:space="preserve">Neta Scientific</t>
  </si>
  <si>
    <t xml:space="preserve">https://netascientific.com</t>
  </si>
  <si>
    <t xml:space="preserve">Neuromics</t>
  </si>
  <si>
    <t xml:space="preserve">https://neuromics.com</t>
  </si>
  <si>
    <t xml:space="preserve">1792304059349</t>
  </si>
  <si>
    <t xml:space="preserve">https://www.neuromics.com/contact-us</t>
  </si>
  <si>
    <t xml:space="preserve">https://www.quartzy.com/suppliers | https://www.neuromics.com/contact-us</t>
  </si>
  <si>
    <t xml:space="preserve">Nev's Ink</t>
  </si>
  <si>
    <t xml:space="preserve">https://www.thomassci.com/browse-by/suppliers/nevs-ink</t>
  </si>
  <si>
    <t xml:space="preserve">https://nevsink.com</t>
  </si>
  <si>
    <t xml:space="preserve">Label Tape - 3/4" x 500"</t>
  </si>
  <si>
    <t xml:space="preserve">Label Tape - 3/4" x 2160"</t>
  </si>
  <si>
    <t xml:space="preserve">Cryogenic Labels</t>
  </si>
  <si>
    <t xml:space="preserve">(800) 638-7465</t>
  </si>
  <si>
    <t xml:space="preserve">customerservice@nevsink.com</t>
  </si>
  <si>
    <t xml:space="preserve">https://nevsink.com/contact-us/</t>
  </si>
  <si>
    <t xml:space="preserve">https://www.quartzy.com/suppliers | https://www.thomassci.com/browse-by/suppliers/nevs-ink | https://nevsink.com/contact-us/</t>
  </si>
  <si>
    <t xml:space="preserve">New Brunswick Scientific</t>
  </si>
  <si>
    <t xml:space="preserve">https://www.thomassci.com/browse-by/suppliers/new-brunswick-scientific</t>
  </si>
  <si>
    <t xml:space="preserve">Extra Shelves for New Brunswick Freezers</t>
  </si>
  <si>
    <t xml:space="preserve">Accessories: Clamps &amp; Test Tube Racks</t>
  </si>
  <si>
    <t xml:space="preserve">Innova 26 Incubator Shakers</t>
  </si>
  <si>
    <t xml:space="preserve">New England Biolabs (NEB)</t>
  </si>
  <si>
    <t xml:space="preserve">https://www.neb.com</t>
  </si>
  <si>
    <t xml:space="preserve">Ipswich, Massachusetts</t>
  </si>
  <si>
    <t xml:space="preserve">USD ~500 million (trade estimate; private)</t>
  </si>
  <si>
    <t xml:space="preserve">Q5 High-Fidelity DNA Polymerase</t>
  </si>
  <si>
    <t xml:space="preserve">NEBNext</t>
  </si>
  <si>
    <t xml:space="preserve">Monarch</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</si>
  <si>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A search restricted to ornat.co.il returned live NEB product-category pages (molecular biology, nucleic acid purification, NGS, RNA-related) and Ornat's partners page, replacing the FISEB-vendor-page-only evidence. NEB's own international distributor list was not searched in this round, so manufacturer-side confirmation is still pending. Search '"New England Biolabs" Israel distributor' returned the FISEB (Federation of Israeli Societies of Experimental Biology) vendors page, where Ornat BioChemicals &amp; Lab Equipment describes itself as a privately owned Israeli life-science sales company (25+ years) representing 'top international brands such as New England Biolabs (NEB)'. NEB's own international ordering-support page states NEB sells abroad through exclusive distributors, agents and subsidiaries with a per-country list; the Israel entry was not visible in search snippets and the page could not be fetched, so the Ornat-NEB link rests on the Ornat/FISEB source (consistent with the brief's hint list, where Ornat appears). Hebrew search could not be run (budget exhausted). Tool limits in this session: the shared web-search budget was exhausted after the first round of searches and all page fetches (WebFetch/curl) were blocked, so manufacturer distributor/contact pages could not be opened and some Hebrew searches could not be run. Size figures marked 'recalled' come from company filings/pages as known to the researcher (knowledge to mid-2026) and were not re-verified against a fetched source.</t>
    </r>
  </si>
  <si>
    <t xml:space="preserve">+1 978-928-5054</t>
  </si>
  <si>
    <t xml:space="preserve">info@neb.com</t>
  </si>
  <si>
    <t xml:space="preserve">240 County Road, Ipswich, MA 01938-2723, USA</t>
  </si>
  <si>
    <t xml:space="preserve">https://www.neb.com/en-us/support/international-ordering-support</t>
  </si>
  <si>
    <t xml:space="preserve">https://www.quartzy.com/suppliers | https://www.fiseb.org/vendors/ | https://www.neb.com/en-us/support/international-ordering-support | https://www.neb.com/en/about-neb/news-and-press-releases/collaborations-with-bioke-and-imperial-life-sciences | https://www.genomeweb.com/archive/new-england-biolabs-inks-distribution-deals | https://ornat.co.il/product/new-england-biolabs-neb-molecular-biology/ | https://ornat.co.il/product/new-england-biolabs-neb-ngs/ | https://ornat.co.il/product/new-england-biolabs-neb-nucleic-acid-purification/ | https://ornat.co.il/index.php?Itemid=176&amp;catid=2&amp;id=6&amp;option=com_content&amp;view=article</t>
  </si>
  <si>
    <t xml:space="preserve">New Pig</t>
  </si>
  <si>
    <t xml:space="preserve">https://www.thomassci.com/browse-by/suppliers/new-pig</t>
  </si>
  <si>
    <t xml:space="preserve">https://www.newpig.com</t>
  </si>
  <si>
    <t xml:space="preserve">USED BATTERY CONTAINER 7.75"X9.75"X9.25", 2GAL</t>
  </si>
  <si>
    <t xml:space="preserve">Mats, Absorbent, Polypropylene, Gray, 15 x 20, Heavy weight, Perforated, Lasts 2x Longer, 100 pads per box</t>
  </si>
  <si>
    <t xml:space="preserve">PIG Absorbant Heavyweight Mat Roll 24”x150’</t>
  </si>
  <si>
    <t xml:space="preserve">https://www.newpig.com/</t>
  </si>
  <si>
    <t xml:space="preserve">https://www.thomassci.com/browse-by/suppliers/new-pig | https://www.newpig.com/</t>
  </si>
  <si>
    <t xml:space="preserve">Newark Wire</t>
  </si>
  <si>
    <t xml:space="preserve">https://www.thomassci.com/browse-by/suppliers/newark-wire</t>
  </si>
  <si>
    <t xml:space="preserve">https://newarkwire.com</t>
  </si>
  <si>
    <t xml:space="preserve">ark Wire Test Sieve</t>
  </si>
  <si>
    <t xml:space="preserve">Stainless Steel, 6-Inch</t>
  </si>
  <si>
    <t xml:space="preserve">U.S. Standard Sieves, Stainless Steel, 8 Inch</t>
  </si>
  <si>
    <t xml:space="preserve">9737784478</t>
  </si>
  <si>
    <t xml:space="preserve">sales@newarkwire.com</t>
  </si>
  <si>
    <t xml:space="preserve">https://newarkwire.com/contact-us/</t>
  </si>
  <si>
    <t xml:space="preserve">https://www.thomassci.com/browse-by/suppliers/newark-wire | https://newarkwire.com/contact-us/</t>
  </si>
  <si>
    <t xml:space="preserve">Newcomer Supply</t>
  </si>
  <si>
    <t xml:space="preserve">https://newcomersupply.com</t>
  </si>
  <si>
    <t xml:space="preserve">800-383-7799</t>
  </si>
  <si>
    <t xml:space="preserve">info@newcomersupply.com</t>
  </si>
  <si>
    <t xml:space="preserve">https://www.newcomersupply.com/contact-us/</t>
  </si>
  <si>
    <t xml:space="preserve">https://www.quartzy.com/suppliers | https://www.newcomersupply.com/contact-us/</t>
  </si>
  <si>
    <t xml:space="preserve">Newman Medical</t>
  </si>
  <si>
    <t xml:space="preserve">https://www.thomassci.com/browse-by/suppliers/newman-medical</t>
  </si>
  <si>
    <t xml:space="preserve">https://newman-medical.com</t>
  </si>
  <si>
    <t xml:space="preserve">Digital Display Doppler (DD-770)</t>
  </si>
  <si>
    <t xml:space="preserve">Display Digital Doppler (DD-700)</t>
  </si>
  <si>
    <t xml:space="preserve">EZ Clean Vascular Cuff Set</t>
  </si>
  <si>
    <t xml:space="preserve">800-267.5549</t>
  </si>
  <si>
    <t xml:space="preserve">info@newman-medical.com</t>
  </si>
  <si>
    <t xml:space="preserve">https://newman-medical.com/contact-us/</t>
  </si>
  <si>
    <t xml:space="preserve">https://www.thomassci.com/browse-by/suppliers/newman-medical | https://newman-medical.com/contact-us/</t>
  </si>
  <si>
    <t xml:space="preserve">Newtex Industries</t>
  </si>
  <si>
    <t xml:space="preserve">https://www.thomassci.com/browse-by/suppliers/newtex-industries</t>
  </si>
  <si>
    <t xml:space="preserve">ZetexPlus® Series 200 Single Palm and Series 220 Double Palm Gloves</t>
  </si>
  <si>
    <t xml:space="preserve">300 Series Z-Flex® Aluminized Gloves</t>
  </si>
  <si>
    <t xml:space="preserve">Next advance</t>
  </si>
  <si>
    <t xml:space="preserve">https://www.dutscher.com/search?initialFilters=brand:Next+advance</t>
  </si>
  <si>
    <t xml:space="preserve">Bullet Blender bead mill homogeniser - 24 Gold+</t>
  </si>
  <si>
    <t xml:space="preserve">Bag of zirconium silicate balls ø 0.5 mm - 450 g</t>
  </si>
  <si>
    <t xml:space="preserve">BlotBot 240 Freedom Rocker</t>
  </si>
  <si>
    <t xml:space="preserve">https://www.dutscher.com/search?initialFilters=brand:Next+advance | https://ornat.co.il/instruments/</t>
  </si>
  <si>
    <t xml:space="preserve">NeXtal</t>
  </si>
  <si>
    <t xml:space="preserve">Nichiryo</t>
  </si>
  <si>
    <t xml:space="preserve">https://www.dutscher.com/search?initialFilters=brand:Nichiryo</t>
  </si>
  <si>
    <t xml:space="preserve">https://nichiryo.co.jp</t>
  </si>
  <si>
    <t xml:space="preserve">Micropipette</t>
  </si>
  <si>
    <t xml:space="preserve">Nichiryo Premium LE tips, volume range: 100 - 1000 µl, Bulk packaging eco</t>
  </si>
  <si>
    <t xml:space="preserve">Nichipet Premium pipette, volume range: 20 -200 µl</t>
  </si>
  <si>
    <t xml:space="preserve">Nichipet Premium LT pipette, volume range: 10 - 100 µl</t>
  </si>
  <si>
    <t xml:space="preserve">048-989-1301</t>
  </si>
  <si>
    <t xml:space="preserve">https://www.nichiryo.co.jp:443/contact/</t>
  </si>
  <si>
    <t xml:space="preserve">https://www.dutscher.com/search?initialFilters=brand:Nichiryo | https://www.nichiryo.co.jp:443/contact/</t>
  </si>
  <si>
    <t xml:space="preserve">Nikon</t>
  </si>
  <si>
    <t xml:space="preserve">https://www.dutscher.com/search?initialFilters=brand:Nikon</t>
  </si>
  <si>
    <t xml:space="preserve">https://www.microscope.healthcare.nikon.com</t>
  </si>
  <si>
    <t xml:space="preserve">Tokyo (Shinagawa)</t>
  </si>
  <si>
    <t xml:space="preserve">Nikon Corporation</t>
  </si>
  <si>
    <t xml:space="preserve">Microscopy</t>
  </si>
  <si>
    <t xml:space="preserve">JPY 111,922 million</t>
  </si>
  <si>
    <t xml:space="preserve">ECLIPSE Ti2</t>
  </si>
  <si>
    <t xml:space="preserve">AX / AX R with NSPARC</t>
  </si>
  <si>
    <t xml:space="preserve">ECLIPSE Ji</t>
  </si>
  <si>
    <t xml:space="preserve">Agentek Ltd.</t>
  </si>
  <si>
    <t xml:space="preserve">Agentek Ltd.: +972 9-965-7000</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</si>
  <si>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Re-confirmed on both sides: Nikon's European microscope contact directory lists Agentek Ltd. (Atidim Scientific Park Bldg 2, Tel Aviv, +972-3-649 31 11, Sales1@agentek.co.il) for Israel, Nikon Industrial Metrology's European reseller network also names Agentek for Israel (now at a Yakum address, +972 (3) 6493111), and Agentek's own vendors page (Greenwork Yakum Business Park Bldg A, Yakum 6097200, 09-9657000) lists Nikon. Note the address change from Tel Aviv to Yakum on Agentek's own pages. Searched 'Nikon microscope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and the brand across the Israeli distributor domains. Nikon's microscope (Healthcare) contact directory lists Agentek Ltd. in Tel Aviv under Israel, and Agentek's own site has a Nikon representative page with current product pages (AX/AXR, AXR MP, ECLIPSE Ji, objectives). Nikon's corporate global-network page assigns Israel (biological and industrial microscopes) to Nikon Europe B.V., i.e. the regional subsidiary serves Israel through the local dealer Agentek. Both sides of the relationship are documented. Agentek's own vendors page (agentek.co.il/vendors) lists the brand among the manufacturers it represents in Israel (seen in a search excerpt; the manufacturer's own distributor page was not opened).</t>
    </r>
  </si>
  <si>
    <t xml:space="preserve">+81 3 3773 1111</t>
  </si>
  <si>
    <t xml:space="preserve">Bsmarketing.Sales@nikon.com</t>
  </si>
  <si>
    <t xml:space="preserve">1-5-20 Nishi-Oi, Shinagawa-ku, Tokyo 140-8601, Japan</t>
  </si>
  <si>
    <t xml:space="preserve">https://www.healthcare.nikon.com/en/contact</t>
  </si>
  <si>
    <t xml:space="preserve">https://www.nikon.com/company/sustainability/report/2025/sr2025_03.pdf</t>
  </si>
  <si>
    <t xml:space="preserve">https://www.dutscher.com/search?initialFilters=brand:Nikon | https://www.microscope.healthcare.nikon.com/pt_EU/Contact | https://agentek.co.il/representative/nikon/ | https://agentek.co.il/products/nikon-eclipse-ji/ | https://www.nikon.com/network/israel.html | https://agentek.co.il/vendors/ | https://www.microscope.healthcare.nikon.com/en_EU/contact/service/171079 | https://industry.nikon.com/en-gb/european-reseller-network/ | https://agentek.co.il/about-us/ | https://www.nikon.com/company/ir/finance/segment/ | https://www.nikon.com/company/ir/finance/performance/ | https://www.nikon.com/company/ir/ir_library/result/pdf/2026/26_all_e.pdf | https://nikon.com/company/corporate/data/ | https://www.microscope.healthcare.nikon.com/contact</t>
  </si>
  <si>
    <t xml:space="preserve">Nilfisk-Advance</t>
  </si>
  <si>
    <t xml:space="preserve">https://www.thomassci.com/browse-by/suppliers/nilfisk-advance</t>
  </si>
  <si>
    <t xml:space="preserve">Vacuum Cleaners</t>
  </si>
  <si>
    <t xml:space="preserve">HEPA Exhaust Filter Kit - 1 Set - for GM80-CR Vacuums</t>
  </si>
  <si>
    <t xml:space="preserve">Nilfisk Mini Industrial Vacuums</t>
  </si>
  <si>
    <t xml:space="preserve">Nippon genetics</t>
  </si>
  <si>
    <t xml:space="preserve">https://www.dutscher.com/search?initialFilters=brand:Nippon+genetics</t>
  </si>
  <si>
    <t xml:space="preserve">MUPID-ONE tank and generator 230 V (supplied complete with lid, trays, combs and gel casting set)</t>
  </si>
  <si>
    <t xml:space="preserve">bluetar PLUS Blue/red/Green marker - 500 µl</t>
  </si>
  <si>
    <t xml:space="preserve">Multi-support cooling rack</t>
  </si>
  <si>
    <t xml:space="preserve">Norgen Biotek</t>
  </si>
  <si>
    <t xml:space="preserve">https://www.thomassci.com/browse-by/suppliers/norgen-biotek</t>
  </si>
  <si>
    <t xml:space="preserve">https://norgenbiotek.com</t>
  </si>
  <si>
    <t xml:space="preserve">Total RNA Purification Maxi Kit</t>
  </si>
  <si>
    <t xml:space="preserve">Endotoxin Removal Kits- For DNA</t>
  </si>
  <si>
    <t xml:space="preserve">HBV TaqMan PCR Detection Kits</t>
  </si>
  <si>
    <t xml:space="preserve">9052278848</t>
  </si>
  <si>
    <t xml:space="preserve">info@norgenbiotek.com</t>
  </si>
  <si>
    <t xml:space="preserve">https://norgenbiotek.com/contact</t>
  </si>
  <si>
    <t xml:space="preserve">https://www.thomassci.com/browse-by/suppliers/norgen-biotek | https://norgenbiotek.com/contact</t>
  </si>
  <si>
    <t xml:space="preserve">Nortech Labs</t>
  </si>
  <si>
    <t xml:space="preserve">https://www.thomassci.com/browse-by/suppliers/nortech-labs</t>
  </si>
  <si>
    <t xml:space="preserve">https://nortechlabs.com</t>
  </si>
  <si>
    <t xml:space="preserve">888-265-3725</t>
  </si>
  <si>
    <t xml:space="preserve">sales@nortechlabs.com</t>
  </si>
  <si>
    <t xml:space="preserve">https://nortechlabs.com/company-info/contact/</t>
  </si>
  <si>
    <t xml:space="preserve">https://www.thomassci.com/browse-by/suppliers/nortech-labs | https://nortechlabs.com/company-info/contact/</t>
  </si>
  <si>
    <t xml:space="preserve">North</t>
  </si>
  <si>
    <t xml:space="preserve">https://www.thomassci.com/browse-by/suppliers/north</t>
  </si>
  <si>
    <t xml:space="preserve">Faceshield Windows &amp; Brackets</t>
  </si>
  <si>
    <t xml:space="preserve">Refresher Wipes</t>
  </si>
  <si>
    <t xml:space="preserve">Gas and Vapor Respirator Cartridges</t>
  </si>
  <si>
    <t xml:space="preserve">North® by PIP Global Safety</t>
  </si>
  <si>
    <t xml:space="preserve">https://www.thomassci.com/browse-by/suppliers/north-by-pip-global-safety</t>
  </si>
  <si>
    <t xml:space="preserve">Butyl™ Unsupported Smooth Grip Gloves</t>
  </si>
  <si>
    <t xml:space="preserve">Butyl Glovebox Gloves</t>
  </si>
  <si>
    <t xml:space="preserve">Hypalon® Drybox Gloves</t>
  </si>
  <si>
    <t xml:space="preserve">Nova Biomedical Corporation</t>
  </si>
  <si>
    <t xml:space="preserve">https://www.thomassci.com/browse-by/suppliers/nova-biomedical-corporation</t>
  </si>
  <si>
    <t xml:space="preserve">Kit Membrane Pco2 Bp Flex</t>
  </si>
  <si>
    <t xml:space="preserve">Sensor Po2 Bp Flex</t>
  </si>
  <si>
    <t xml:space="preserve">Conditioning Soln Pc02/Tc02</t>
  </si>
  <si>
    <t xml:space="preserve">Agentek (1987) Ltd.</t>
  </si>
  <si>
    <t xml:space="preserve">Agentek (1987) Ltd.: +972 9-965-7000 info@agentek.co.il</t>
  </si>
  <si>
    <t xml:space="preserve">https://www.thomassci.com/browse-by/suppliers/nova-biomedical-corporation | https://agentek.co.il/representative/nova-biomedical/</t>
  </si>
  <si>
    <t xml:space="preserve">Novacyt Group-Primer Design</t>
  </si>
  <si>
    <t xml:space="preserve">https://www.thomassci.com/browse-by/suppliers/novacyt-group-primer-design</t>
  </si>
  <si>
    <t xml:space="preserve">Real-Time PCR Detection Kit for HTLV1, 150 reactions</t>
  </si>
  <si>
    <t xml:space="preserve">Genesig® Advanced Kit for Monkey Pox Virus</t>
  </si>
  <si>
    <t xml:space="preserve">Real-Time PCR Detection Kit for Lyme disease, 150 reactions</t>
  </si>
  <si>
    <t xml:space="preserve">NOVAX® by PIP Global Safety</t>
  </si>
  <si>
    <t xml:space="preserve">https://www.thomassci.com/browse-by/suppliers/novax-by-pip-global-safety</t>
  </si>
  <si>
    <t xml:space="preserve">Class 2 Electrical Safety Kit , 1PR BICOLOR ESP GLOVE, 1 PR COW PROTECTOR 1 14" GLOVE BAG</t>
  </si>
  <si>
    <t xml:space="preserve">Novax® Electrical Insulating Gloves</t>
  </si>
  <si>
    <t xml:space="preserve">Novoprotein</t>
  </si>
  <si>
    <t xml:space="preserve">https://novoprotein.com</t>
  </si>
  <si>
    <t xml:space="preserve">+86 (0512) 6391-9116</t>
  </si>
  <si>
    <t xml:space="preserve">service@novoprotein.com.cn</t>
  </si>
  <si>
    <t xml:space="preserve">https://www.novoprotein.com/contact</t>
  </si>
  <si>
    <t xml:space="preserve">https://www.quartzy.com/suppliers | https://www.enco.co.il/suppliers.php | https://www.novoprotein.com/contact</t>
  </si>
  <si>
    <t xml:space="preserve">Novus Biologicals</t>
  </si>
  <si>
    <t xml:space="preserve">https://www.bio-techne.com</t>
  </si>
  <si>
    <t xml:space="preserve">Minneapolis, Minnesota</t>
  </si>
  <si>
    <t xml:space="preserve">USD 1.2 billion (approx.; flat vs FY2025 USD 1,219.6 million)</t>
  </si>
  <si>
    <t xml:space="preserve">FY Jun-2026</t>
  </si>
  <si>
    <t xml:space="preserve">ProteinSimple Jess / Simple Western</t>
  </si>
  <si>
    <t xml:space="preserve">R&amp;D Systems proteins, antibodies &amp; Quantikine ELISAs</t>
  </si>
  <si>
    <t xml:space="preserve">RNAscope (ACD)</t>
  </si>
  <si>
    <t xml:space="preserve">Getter Bio-Med (Getter Group); Biotest</t>
  </si>
  <si>
    <t xml:space="preserve">Getter Bio-Med (Getter Group): +972 3-576-1555 (Getter Group switchboard); Biotest:</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</si>
  <si>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A search restricted to bio-techne.com/rndsystems.com/novusbio.com surfaced the Novus Biologicals distributor directory entry for Israel, now identified as 'Biotest' at 6 Hasadna St., Kfar Saba (the address seen in the prior round), added as a new entity; Bio-Techne's all-brands distributor search did not expose its Israel entry in snippets. The Getter/Lunaphore claim could not be re-confirmed on Israeli distributor domains. Bio-Techne's FY2025 10-K states it has not historically had significant business in Israel. Bio-Techne's Novus Biologicals distributor page lists an Israeli distributor at 6 Hasadna St., P.O. Box 8006, Kfar Saba 4442405 with phone and e-mail, but the company name was not in the excerpt and a follow-up search for that address did not identify it; the R&amp;D Systems distributor locator exists but showed no Israel entry in the snippets. The 40-domain sweep surfaced ENCO (self-described official Israeli distributor of 250+ antibody/protein suppliers) and Danyel, Gamidor and HyLabs pages, none of which mention R&amp;D Systems, Novus, Tocris or ProteinSimple in any snippet. Bio-Techne's FY2025 10-K states it 'has not historically had significant business in Russia, Ukraine or Israel'. Getter Bio-Med's posts describe it as the official Israeli representative of Lunaphore, a Bio-Techne brand; no channel found for R&amp;D Systems / ProteinSimple products. Novus Biologicals' (Bio-Techne) distributor page lists an unnamed Israeli distributor at 6 Hasadna St., Kfar Saba (identity not resolved).</t>
    </r>
  </si>
  <si>
    <t xml:space="preserve">+1 800-343-7475</t>
  </si>
  <si>
    <t xml:space="preserve">techsupport@bio-techne.com</t>
  </si>
  <si>
    <t xml:space="preserve">614 McKinley Place NE, Minneapolis, MN 55413, USA</t>
  </si>
  <si>
    <t xml:space="preserve">https://rndsystems.com/node/64566</t>
  </si>
  <si>
    <t xml:space="preserve">https://www.quartzy.com/suppliers | https://www.rndsystems.com/distributors | https://bio-techne.com/distributors | https://bio-techne.com/about/about-bio-techne | https://investors.bio-techne.com/press-releases/detail/459/bio-techne-announces-new-distribution-agreement-with | https://www.rndsystems.com/contact-us-cms | https://www.novusbio.com/distributors/www.novusbio.com | https://investors.bio-techne.com/all-sec-filings/content/0001558370-25-011716/0001558370-25-011716.pdf | https://www.enco.co.il/suppliers.php | https://www.enco.co.il/about.php | https://www.getter.co.il/about-en/ | https://www.bio-techne.com/distributors/novus | https://www.bio-techne.com/distributors | https://investors.bio-techne.com/press-releases/detail/537/bio-techne-releases-fourth-quarter-fiscal-2026-results | https://www.sec.gov/Archives/edgar/data/0000842023/000110465926094391/tech-20260812xex99d1.htm | https://www.sec.gov/Archives/edgar/data/0000842023/000110465926100322/tech-20260630x10k.htm</t>
  </si>
  <si>
    <t xml:space="preserve">NRD</t>
  </si>
  <si>
    <t xml:space="preserve">https://www.thomassci.com/browse-by/suppliers/nrd</t>
  </si>
  <si>
    <t xml:space="preserve">Staticmaster Static Eliminator</t>
  </si>
  <si>
    <t xml:space="preserve">ESD Workstation Kit</t>
  </si>
  <si>
    <t xml:space="preserve">Static Eliminating Brushes</t>
  </si>
  <si>
    <t xml:space="preserve">NSI Lab Solutions</t>
  </si>
  <si>
    <t xml:space="preserve">https://www.thomassci.com/browse-by/suppliers/nsi-lab-solutions</t>
  </si>
  <si>
    <t xml:space="preserve">https://nsilabsolutions.com</t>
  </si>
  <si>
    <t xml:space="preserve">Quantitative Legionella PT</t>
  </si>
  <si>
    <t xml:space="preserve">E.aerogenes Snap Stick</t>
  </si>
  <si>
    <t xml:space="preserve">Microbiological CRMs for Petrifilm® Staph Express Count Plates</t>
  </si>
  <si>
    <t xml:space="preserve">+1.800.274.5487</t>
  </si>
  <si>
    <t xml:space="preserve">https://nsilabsolutions.com/contact/</t>
  </si>
  <si>
    <t xml:space="preserve">https://www.thomassci.com/browse-by/suppliers/nsi-lab-solutions | https://nsilabsolutions.com/contact/</t>
  </si>
  <si>
    <t xml:space="preserve">NSJ Bioreagents</t>
  </si>
  <si>
    <t xml:space="preserve">https://nsjbio.com</t>
  </si>
  <si>
    <t xml:space="preserve">858.663.9055</t>
  </si>
  <si>
    <t xml:space="preserve">info@nsjbio.com</t>
  </si>
  <si>
    <t xml:space="preserve">https://www.nsjbio.com/contact-us.html</t>
  </si>
  <si>
    <t xml:space="preserve">https://www.quartzy.com/suppliers | https://doronscientific.com/products/ | https://www.nsjbio.com/contact-us.html</t>
  </si>
  <si>
    <t xml:space="preserve">Nusep</t>
  </si>
  <si>
    <t xml:space="preserve">https://nusep.us</t>
  </si>
  <si>
    <t xml:space="preserve">8775921060</t>
  </si>
  <si>
    <t xml:space="preserve">info@nusep.com</t>
  </si>
  <si>
    <t xml:space="preserve">https://nusep.us/pages/contact</t>
  </si>
  <si>
    <t xml:space="preserve">https://www.quartzy.com/suppliers | https://www.tamar.co.il/represented-companies/ | https://nusep.us/pages/contact</t>
  </si>
  <si>
    <t xml:space="preserve">NxTBIO Technologies</t>
  </si>
  <si>
    <t xml:space="preserve">https://www.thomassci.com/browse-by/suppliers/nxtbio-technologies</t>
  </si>
  <si>
    <t xml:space="preserve">OakRidge</t>
  </si>
  <si>
    <t xml:space="preserve">https://www.thomassci.com/browse-by/suppliers/oakridge</t>
  </si>
  <si>
    <t xml:space="preserve">Patient Room Collectors</t>
  </si>
  <si>
    <t xml:space="preserve">Large Multi-Purpose Sharps Containers</t>
  </si>
  <si>
    <t xml:space="preserve">Phlebotomy Sharps Containers</t>
  </si>
  <si>
    <t xml:space="preserve">Oakton</t>
  </si>
  <si>
    <t xml:space="preserve">https://www.thomassci.com/browse-by/suppliers/oakton</t>
  </si>
  <si>
    <t xml:space="preserve">Medent Scientific Instruments; S.L. Moran Ltd.</t>
  </si>
  <si>
    <t xml:space="preserve">Medent Scientific Instruments: +972 72-395-0508 (sales); +972 8-683-6306 (service) info@medent.co.il; S.L. Moran Ltd.: +972 74-702-9898 office@slmoran.co.il</t>
  </si>
  <si>
    <t xml:space="preserve">https://www.thomassci.com/browse-by/suppliers/oakton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 | https://slmoran.co.il/products_cat/%d7%91%d7%93%d7%99%d7%a7%d7%95%d7%aa-%d7%9e%d7%99%d7%9d-%d7%90%d7%a0%d7%9c%d7%99%d7%96%d7%94-water-anlysis/</t>
  </si>
  <si>
    <t xml:space="preserve">Oasis Diagnostics Corporation</t>
  </si>
  <si>
    <t xml:space="preserve">https://www.thomassci.com/browse-by/suppliers/oasis-diagnostics-corporation</t>
  </si>
  <si>
    <t xml:space="preserve">Super•SAL2™ Oral Fluid (Saliva) Collection Device</t>
  </si>
  <si>
    <t xml:space="preserve">Micro•SAL™ for Children Child Saliva Collection Kit</t>
  </si>
  <si>
    <t xml:space="preserve">Super•SAL™ Oral Fluid (Saliva) Collection Device</t>
  </si>
  <si>
    <t xml:space="preserve">Obatala Sciences</t>
  </si>
  <si>
    <t xml:space="preserve">https://obatalasciences.com</t>
  </si>
  <si>
    <t xml:space="preserve">(504) 300-0266</t>
  </si>
  <si>
    <t xml:space="preserve">https://www.obatalasciences.com/contact-us-button-1</t>
  </si>
  <si>
    <t xml:space="preserve">https://www.quartzy.com/suppliers | https://www.obatalasciences.com/contact-us-button-1</t>
  </si>
  <si>
    <t xml:space="preserve">Ocean Converting Company</t>
  </si>
  <si>
    <t xml:space="preserve">https://www.thomassci.com/browse-by/suppliers/ocean-converting-company</t>
  </si>
  <si>
    <t xml:space="preserve">OctaPool™</t>
  </si>
  <si>
    <t xml:space="preserve">https://www.thomassci.com/browse-by/suppliers/octapool</t>
  </si>
  <si>
    <t xml:space="preserve">OctaPool™Solution Reservoirs, 25ml disposable, sterile, one per bag, Qty: 100</t>
  </si>
  <si>
    <t xml:space="preserve">OctaPool™Solution Reservoirs, 50ml disposable, sterile, five per bag, Qty: 200</t>
  </si>
  <si>
    <t xml:space="preserve">OctaPool™Solution Reservoirs, 100ml disposable, sterile, five per bag, Qty: 200</t>
  </si>
  <si>
    <t xml:space="preserve">Ohaus</t>
  </si>
  <si>
    <t xml:space="preserve">https://www.dutscher.com/search?initialFilters=brand:Ohaus</t>
  </si>
  <si>
    <t xml:space="preserve">https://www.thomassci.com/browse-by/suppliers/ohaus</t>
  </si>
  <si>
    <t xml:space="preserve">https://www.ohaus.com</t>
  </si>
  <si>
    <t xml:space="preserve">Parsippany, New Jersey</t>
  </si>
  <si>
    <t xml:space="preserve">Mettler-Toledo International Inc.</t>
  </si>
  <si>
    <t xml:space="preserve">USD 3.87 billion (parent Mettler-Toledo, FY2024; recalled, unverified this run)</t>
  </si>
  <si>
    <t xml:space="preserve">Explorer series</t>
  </si>
  <si>
    <t xml:space="preserve">Pioneer / Adventurer balances</t>
  </si>
  <si>
    <t xml:space="preserve">Frontier series centrifuges</t>
  </si>
  <si>
    <t xml:space="preserve">Labotal Scientific Equipment Ltd.; Yarden Biotec Ltd.; Yair Technologies</t>
  </si>
  <si>
    <t xml:space="preserve">Labotal Scientific Equipment Ltd.: +972 2-579-9222 Sales@labotal.co.il; Yarden Biotec Ltd.: +972 2-651-1102 info@yarden-biotec.co.il; Yair Technologies: +97288544856 contact@yairtech.co.il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</si>
  <si>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a search restricted to ohaus.com returned only regional contact/dealer pages with no Israel entry. A search restricted to labotal.co.il returned Labotal's live 'Represented Firms' archive with a dedicated Ohaus firm page (labotal.co.il/firms/ohaus/) and Ohaus product pages (e.g. the FC-5515R refrigerated centrifuge), with text referring to Ohaus' 2024 acquisition of Hermle, so the listing is current. The manufacturer's side still does not name its Israeli dealer in any indexed snippet. Labotal's own site lists the brand among the firms it represents and sells its products in Israel (some Labotal pages are several years old; the manufacturer's distributor page was not opened).</t>
    </r>
  </si>
  <si>
    <t xml:space="preserve">+1 973-377-9000</t>
  </si>
  <si>
    <t xml:space="preserve">7 Campus Drive, Suite 310, Parsippany, NJ 07054, USA</t>
  </si>
  <si>
    <t xml:space="preserve">https://www.labcompare.com/106635-OHAUS-Corporation/</t>
  </si>
  <si>
    <r>
      <rPr>
        <sz val="11"/>
        <color theme="1"/>
        <rFont val="Calibri"/>
        <family val="2"/>
        <charset val="1"/>
      </rPr>
      <t xml:space="preserve">https://www.dutscher.com/search?initialFilters=brand:Ohaus | https://www.quartzy.com/suppliers | https://www.thomassci.com/browse-by/suppliers/ohaus | https://www.wikipedia.org/wiki/Ohaus | https://jobs.mt.com/ja/</t>
    </r>
    <r>
      <rPr>
        <sz val="11"/>
        <color theme="1"/>
        <rFont val="WenQuanYi Zen Hei"/>
        <family val="2"/>
      </rPr>
      <t xml:space="preserve">ジョブ</t>
    </r>
    <r>
      <rPr>
        <sz val="11"/>
        <color theme="1"/>
        <rFont val="Calibri"/>
        <family val="2"/>
        <charset val="1"/>
      </rPr>
      <t xml:space="preserve">/-/ohaus-dealer-manager/36870/76449528720 | https://jobs.mt.com/de/stellenbeschreibung/parsippany/national-key-accounts-manager/36870/78723135792 | https://a-leads.co/company/6090780_cb9d18c6 | https://zoominfo.com/pic/ohaus/169361837 | https://www.owler.com/company/ohaus | https://labotal.co.il/sitemap/?lang=en | https://labotal.co.il/firms/ohaus/?lang=en | https://labotal.co.il/firms/?lang=en | https://labotal.co.il/product/compact-refrigerated-centrifuge-model-fc-5515r-made-by-ohaus/ | https://us.ohaus.com/en-us/contact-us | https://www.yarden-biotec.co.il/manufacturer/scientific-industries | https://www.yairtech.co.il/partners/</t>
    </r>
  </si>
  <si>
    <t xml:space="preserve">OK International</t>
  </si>
  <si>
    <t xml:space="preserve">https://www.thomassci.com/browse-by/suppliers/ok-international</t>
  </si>
  <si>
    <t xml:space="preserve">https://okinternational.com</t>
  </si>
  <si>
    <t xml:space="preserve">Techon Pre-Formed Plastic/Polyethylene</t>
  </si>
  <si>
    <t xml:space="preserve">Techon Tip Cap</t>
  </si>
  <si>
    <t xml:space="preserve">Techon Dispensing Tip</t>
  </si>
  <si>
    <t xml:space="preserve">Omega Bio-Tek</t>
  </si>
  <si>
    <t xml:space="preserve">https://www.thomassci.com/browse-by/suppliers/omega-bio-tek</t>
  </si>
  <si>
    <t xml:space="preserve">https://omegabiotek.com</t>
  </si>
  <si>
    <t xml:space="preserve">HiBind® RNA Spin Columns, V-Spin</t>
  </si>
  <si>
    <t xml:space="preserve">HiBind® DNA Columns</t>
  </si>
  <si>
    <t xml:space="preserve">E-Z 96® Tissue DNA Kit</t>
  </si>
  <si>
    <t xml:space="preserve">Only company profiles (Norcross, GA); no Israeli distributor; Agentek surfaced but without any Omega Bio-tek link.</t>
  </si>
  <si>
    <t xml:space="preserve">770.931.8400</t>
  </si>
  <si>
    <t xml:space="preserve">info@omegabiotek.com</t>
  </si>
  <si>
    <t xml:space="preserve">https://omegabiotek.com/company/contact-us/</t>
  </si>
  <si>
    <t xml:space="preserve">https://www.quartzy.com/suppliers | https://www.thomassci.com/browse-by/suppliers/omega-bio-tek | https://www.danyel.co.il/ | https://omegabiotek.com/company/contact-us/</t>
  </si>
  <si>
    <t xml:space="preserve">Omni International</t>
  </si>
  <si>
    <t xml:space="preserve">https://www.dutscher.com/search?initialFilters=brand:Omni</t>
  </si>
  <si>
    <t xml:space="preserve">https://www.thomassci.com/browse-by/suppliers/omni</t>
  </si>
  <si>
    <t xml:space="preserve">https://omni-inc.com</t>
  </si>
  <si>
    <t xml:space="preserve">Bead Ruptor 24 2mL Tube Carriage Kit</t>
  </si>
  <si>
    <t xml:space="preserve">Bead Ruptor Pre-Filled Bead Tubes</t>
  </si>
  <si>
    <t xml:space="preserve">Mixer Homogenizer</t>
  </si>
  <si>
    <t xml:space="preserve">Only company info and Fisher/Sigma/VWR storefront listings; no Israel mention.</t>
  </si>
  <si>
    <t xml:space="preserve">https://www.dutscher.com/search?initialFilters=brand:Omni | https://www.thomassci.com/browse-by/suppliers/omni | https://labotal.co.il/represented-firms/</t>
  </si>
  <si>
    <t xml:space="preserve">OmniGenX</t>
  </si>
  <si>
    <t xml:space="preserve">https://www.thomassci.com/browse-by/suppliers/omnigenx</t>
  </si>
  <si>
    <t xml:space="preserve">Omron Healthcare</t>
  </si>
  <si>
    <t xml:space="preserve">https://www.thomassci.com/browse-by/suppliers/omron-healthcare</t>
  </si>
  <si>
    <t xml:space="preserve">https://omronhealthcare.com</t>
  </si>
  <si>
    <t xml:space="preserve">https://omronhealthcare.com/</t>
  </si>
  <si>
    <t xml:space="preserve">https://www.thomassci.com/browse-by/suppliers/omron-healthcare | https://omronhealthcare.com/</t>
  </si>
  <si>
    <t xml:space="preserve">Oncodia AB</t>
  </si>
  <si>
    <t xml:space="preserve">https://www.thomassci.com/browse-by/suppliers/oncodia-ab</t>
  </si>
  <si>
    <t xml:space="preserve">oneservice Inc</t>
  </si>
  <si>
    <t xml:space="preserve">https://www.thomassci.com/browse-by/suppliers/oneservice-inc</t>
  </si>
  <si>
    <t xml:space="preserve">Optika</t>
  </si>
  <si>
    <t xml:space="preserve">https://www.dutscher.com/search?initialFilters=brand:Optika</t>
  </si>
  <si>
    <t xml:space="preserve">https://www.optikamicroscopes.com</t>
  </si>
  <si>
    <t xml:space="preserve">Immersion oil 10 ml</t>
  </si>
  <si>
    <t xml:space="preserve">Binocular teaching stereomicroscope</t>
  </si>
  <si>
    <t xml:space="preserve">Optika Camera PRO C-P6</t>
  </si>
  <si>
    <t xml:space="preserve">0039035571392</t>
  </si>
  <si>
    <t xml:space="preserve">info@optika-italy.com</t>
  </si>
  <si>
    <t xml:space="preserve">https://www.optikamicroscopes.com/optikamicroscopes/contact/</t>
  </si>
  <si>
    <t xml:space="preserve">https://www.dutscher.com/search?initialFilters=brand:Optika | https://labotal.co.il/represented-firms/ | https://www.optikamicroscopes.com/optikamicroscopes/contact/</t>
  </si>
  <si>
    <t xml:space="preserve">Optimize Technologies</t>
  </si>
  <si>
    <t xml:space="preserve">https://optimizetech.com</t>
  </si>
  <si>
    <t xml:space="preserve">1 (800) 669-9015</t>
  </si>
  <si>
    <t xml:space="preserve">info@optimizetech.com</t>
  </si>
  <si>
    <t xml:space="preserve">https://www.optimizetech.com/contact/</t>
  </si>
  <si>
    <t xml:space="preserve">https://www.quartzy.com/suppliers | https://www.optimizetech.com/contact/</t>
  </si>
  <si>
    <t xml:space="preserve">Organomation</t>
  </si>
  <si>
    <t xml:space="preserve">https://www.thomassci.com/browse-by/suppliers/organomation</t>
  </si>
  <si>
    <t xml:space="preserve">https://organomation.com</t>
  </si>
  <si>
    <t xml:space="preserve">MICROVAP® Microplate Evaporators</t>
  </si>
  <si>
    <t xml:space="preserve">6 Position N-EVAP® Nitrogen Evaporators</t>
  </si>
  <si>
    <t xml:space="preserve">MICROVAP® Triple Microplate Evaporators</t>
  </si>
  <si>
    <t xml:space="preserve">+19788387300</t>
  </si>
  <si>
    <t xml:space="preserve">sales@organomation.com</t>
  </si>
  <si>
    <t xml:space="preserve">https://www.organomation.com/support/contact-help-support</t>
  </si>
  <si>
    <t xml:space="preserve">https://www.thomassci.com/browse-by/suppliers/organomation | https://www.organomation.com/support/contact-help-support</t>
  </si>
  <si>
    <t xml:space="preserve">OriGene</t>
  </si>
  <si>
    <t xml:space="preserve">https://origene.com</t>
  </si>
  <si>
    <t xml:space="preserve">1-301-340-3188</t>
  </si>
  <si>
    <t xml:space="preserve">sales@origene.com</t>
  </si>
  <si>
    <t xml:space="preserve">https://www.origene.com/about-us/contact-us</t>
  </si>
  <si>
    <t xml:space="preserve">https://www.quartzy.com/suppliers | https://www.origene.com/about-us/contact-us</t>
  </si>
  <si>
    <t xml:space="preserve">ORS Nasco</t>
  </si>
  <si>
    <t xml:space="preserve">https://www.thomassci.com/browse-by/suppliers/ors-nasco</t>
  </si>
  <si>
    <t xml:space="preserve">https://www.orsnasco.com</t>
  </si>
  <si>
    <t xml:space="preserve">General Purpose Cable Tie, 50 lb Tensile Strenght, 7.6 in L, Natural, 1000 ea/bg</t>
  </si>
  <si>
    <t xml:space="preserve">CHEMZOIL NL-339 HEAVY DUTY NEOPRENE GLV, SIZE 10, 6PR/CS</t>
  </si>
  <si>
    <t xml:space="preserve">Cable Ties</t>
  </si>
  <si>
    <t xml:space="preserve">https://www.orsnasco.com/</t>
  </si>
  <si>
    <t xml:space="preserve">https://www.quartzy.com/suppliers | https://www.thomassci.com/browse-by/suppliers/ors-nasco | https://www.orsnasco.com/</t>
  </si>
  <si>
    <t xml:space="preserve">OSANG Healthcare</t>
  </si>
  <si>
    <t xml:space="preserve">https://www.thomassci.com/browse-by/suppliers/osang-healthcare</t>
  </si>
  <si>
    <t xml:space="preserve">GeneFinder™ JEV/WNV RealAmp Kit</t>
  </si>
  <si>
    <t xml:space="preserve">GeneFinder™ HLA-A*66:01 RealAmp Kit</t>
  </si>
  <si>
    <t xml:space="preserve">GeneFinder™ HLA-B*52 RealAmp Kit</t>
  </si>
  <si>
    <t xml:space="preserve">Oster</t>
  </si>
  <si>
    <t xml:space="preserve">https://www.thomassci.com/browse-by/suppliers/oster</t>
  </si>
  <si>
    <t xml:space="preserve">https://oster.com</t>
  </si>
  <si>
    <t xml:space="preserve">Ousia Labs</t>
  </si>
  <si>
    <t xml:space="preserve">https://www.thomassci.com/browse-by/suppliers/ousia-labs</t>
  </si>
  <si>
    <t xml:space="preserve">https://ousialabs.com</t>
  </si>
  <si>
    <t xml:space="preserve">+19706164910</t>
  </si>
  <si>
    <t xml:space="preserve">info@ousialabs.com</t>
  </si>
  <si>
    <t xml:space="preserve">https://ousialabs.com/contact/</t>
  </si>
  <si>
    <t xml:space="preserve">https://www.thomassci.com/browse-by/suppliers/ousia-labs | https://ousialabs.com/contact/</t>
  </si>
  <si>
    <t xml:space="preserve">Owibio</t>
  </si>
  <si>
    <t xml:space="preserve">https://www.dutscher.com/search?initialFilters=brand:Owibio</t>
  </si>
  <si>
    <t xml:space="preserve">Agarose for nucleic acid electrophoresis</t>
  </si>
  <si>
    <t xml:space="preserve">Nucleic acid stain Owi EmeralDye Safe Stain 1 ml</t>
  </si>
  <si>
    <t xml:space="preserve">Agarose low EEO Ozyme Clearline 500 g</t>
  </si>
  <si>
    <t xml:space="preserve">Master Mix PCR Owi Taq Hot Start Ready to Load, 1000 reactions of 50 µl</t>
  </si>
  <si>
    <t xml:space="preserve">Owl Separation Systems</t>
  </si>
  <si>
    <t xml:space="preserve">https://www.thomassci.com/browse-by/suppliers/owl-separation-systems</t>
  </si>
  <si>
    <t xml:space="preserve">Oxford Instruments America</t>
  </si>
  <si>
    <t xml:space="preserve">https://www.thomassci.com/browse-by/suppliers/oxford-instruments-america</t>
  </si>
  <si>
    <t xml:space="preserve">https://www.oxinst.com</t>
  </si>
  <si>
    <t xml:space="preserve">UK</t>
  </si>
  <si>
    <t xml:space="preserve">Abingdon, Oxfordshire</t>
  </si>
  <si>
    <t xml:space="preserve">GBP 423.2 million</t>
  </si>
  <si>
    <t xml:space="preserve">AZtec with Ultim Max (NanoAnalysis)</t>
  </si>
  <si>
    <t xml:space="preserve">Andor iXon / Sona / Dragonfly</t>
  </si>
  <si>
    <t xml:space="preserve">PlasmaPro 100 (Plasma Technology)</t>
  </si>
  <si>
    <t xml:space="preserve">Advanced Technological Solutions Ltd. (ATSL); Quantum Design s.r.l. (Italy and Israel branch office, Rome) / Quantum Design Israel site; Bargal Analytical Instruments Ltd.</t>
  </si>
  <si>
    <t xml:space="preserve">Advanced Technological Solutions Ltd. (ATSL):; Quantum Design s.r.l. (Italy and Israel branch office, Rome) / Quantum Design Israel site:; Bargal Analytical Instruments Ltd.: +972-3-979-6533 sales@bargal.co.il</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</si>
  <si>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Changed from none_found to unclear with two leads, neither a confirmed current Oxford Instruments channel: (1) WITec (an Oxford Instruments company since 2021) appointed Advanced Technological Solutions Ltd. (ATSL), Kiryat Ata, as exclusive Israel distributor for SNOM/AFM/Raman in November 2012, with no later confirmation found; (2) Quantum Design Europe, which completed its acquisition of Oxford Instruments' NanoScience division in January 2026 (now 'Quantum Design Oxford') and lists Oxford Instruments Andor detectors and WITec Raman microscopes on its European country sites, serves Israel through a dedicated qd-europe.com/il site run from its 'Italy and Israel branch office' in Rome. No source names an Israeli distributor for Andor cameras or NanoAnalysis EDS/EBSD, and the 21-domain Israeli distributor sweep returned only Quantum Design pages. Nothing credible found after four angles: the brand restricted to 43 Israeli distributor domains, a Hebrew importer/representative query, a search restricted to oxinst.com / andor.oxinst.com / nano.oxinst.com (Israel appears only as a country option in the Andor, Imaris and WITec contact forms; the WITec page says to contact HQ where no official representative exists), and an Israeli sole-supplier (</t>
    </r>
    <r>
      <rPr>
        <sz val="11"/>
        <color theme="1"/>
        <rFont val="FreeSans"/>
        <family val="2"/>
      </rPr>
      <t xml:space="preserve">ספק יחיד</t>
    </r>
    <r>
      <rPr>
        <sz val="11"/>
        <color theme="1"/>
        <rFont val="Calibri"/>
        <family val="2"/>
        <charset val="1"/>
      </rPr>
      <t xml:space="preserve">) tender query. No source seen names an Israeli distributor for Andor cameras, NanoAnalysis EDS/EBSD or WITec Raman; the Israeli channel may be direct from the UK/EU or via a company outside the domain list. Status remains none_found.</t>
    </r>
  </si>
  <si>
    <t xml:space="preserve">+44 1865 393200</t>
  </si>
  <si>
    <t xml:space="preserve">Tubney Woods, Abingdon, Oxfordshire OX13 5QX, UK</t>
  </si>
  <si>
    <t xml:space="preserve">https://www.oxinst.com/contact-us</t>
  </si>
  <si>
    <t xml:space="preserve">https://www.sharecast.com/scroll_3/equity/Oxford_Instruments/profile</t>
  </si>
  <si>
    <t xml:space="preserve">https://www.thomassci.com/browse-by/suppliers/oxford-instruments-america | https://www.oxinst.com/assets/uploads/Investor/Oxford Instruments plc – Annual Report 2025.pdf | https://www.oxinst.com/news/full-year-results-strong-results-and-good-momentum,-strategic-execution-on-track-and-sale-of-quantum-business/ | https://www.oxinst.com/news/sale-of-oxford-instruments’-quantum-business,-nanoscience/ | https://thequantuminsider.com/2025/06/10/oxford-instruments-to-sell-its-nanoscience-business-to-quantum-design-international/ | https://www.oxinst.com/business-overview | https://nano.oxinst.com/campaigns/event-resource | https://nanoporetech.com/zh/about/channel-partners/zotal-ltd | https://andor.oxinst.com/contact/ | https://imaris.oxinst.com/contact/ | https://raman.oxinst.com/contact | https://www.oxinst.com/contact-us | https://nano.oxinst.com/ | https://www.analytica-world.com/en/news/140718/witec-appoints-new-distributor-in-israel.html | https://www.electrooptics.com/news/advanced-technological-solutions-be-witecs-israel-distributor | https://qd-europe.com/il/en/news/latest-updates/newsdetails/quantum-design-to-acquire-nanoscience-division-of-oxford-instruments--2384/ | https://qd-europe.com/be/en/news/latest-updates/newsdetails/quantum-design-acquires-nanoscience-division-of-oxford-instruments--2516/ | https://qd-europe.com/il/en/about-us/contact/ | https://qd-europe.com/at/en/product/high-performance-ccd-detectors/ | https://qd-europe.com/lu/en/product/automated-3d-raman-imaging-system/ | https://www.oxinst.com/news/full-year-results-2026-improving-momentum-through-h2.-advanced-technologies-entering-a-new-phase-of-growth/ | https://www.oxinst.com/assets/uploads/Oxford_Instruments_plc_preliminary_FY26_results_9_June_2026.pdf | https://bargal.co.il/</t>
  </si>
  <si>
    <t xml:space="preserve">Oxford Lab Products</t>
  </si>
  <si>
    <t xml:space="preserve">https://www.thomassci.com/browse-by/suppliers/oxford-lab-products</t>
  </si>
  <si>
    <t xml:space="preserve">https://www.oxfordlabproducts.com</t>
  </si>
  <si>
    <t xml:space="preserve">Centrifuge and Fixed Angle Rotors</t>
  </si>
  <si>
    <t xml:space="preserve">Magnetic Hotplate Stirrer &amp; Accessories</t>
  </si>
  <si>
    <t xml:space="preserve">CappOrigami 40 mL (12-channel pipettes), Pre-sterile, 10 bags w/ 5 pcs each</t>
  </si>
  <si>
    <t xml:space="preserve">No Israeli distributor for Oxford Lab Products (San Diego pipettes/benchtop equipment); results are dominated by Oxford Nanopore, whose Israeli channel partner is Zotal Ltd (Tel Aviv) - a different company, not applicable.</t>
  </si>
  <si>
    <t xml:space="preserve">https://www.quartzy.com/suppliers | https://www.thomassci.com/browse-by/suppliers/oxford-lab-products</t>
  </si>
  <si>
    <t xml:space="preserve">OZ Biosciences</t>
  </si>
  <si>
    <t xml:space="preserve">https://www.dutscher.com/search?initialFilters=brand:OZ+Biosciences</t>
  </si>
  <si>
    <t xml:space="preserve">https://www.thomassci.com/browse-by/suppliers/oz-biosciences</t>
  </si>
  <si>
    <t xml:space="preserve">https://ozbiosciences.com</t>
  </si>
  <si>
    <t xml:space="preserve">X Gal Staining Kit</t>
  </si>
  <si>
    <t xml:space="preserve">Hype 293 Reagent + B293 Transfection Reagent</t>
  </si>
  <si>
    <t xml:space="preserve">Silencemag Transfection Reagent</t>
  </si>
  <si>
    <t xml:space="preserve">Tivan Biotech:  customerservice@tivanbiotech.com</t>
  </si>
  <si>
    <t xml:space="preserve">+33486948516</t>
  </si>
  <si>
    <t xml:space="preserve">order@ozbiosciences.com</t>
  </si>
  <si>
    <t xml:space="preserve">https://ozbiosciences.com/contact-us</t>
  </si>
  <si>
    <t xml:space="preserve">https://www.dutscher.com/search?initialFilters=brand:OZ+Biosciences | https://www.quartzy.com/suppliers | https://www.thomassci.com/browse-by/suppliers/oz-biosciences | https://ozbiosciences.com/contact-us | https://ozbiosciences.com/blog/welcome-to-our-new-distributor-in-israel-n6</t>
  </si>
  <si>
    <t xml:space="preserve">Palbam</t>
  </si>
  <si>
    <t xml:space="preserve">https://www.thomassci.com/browse-by/suppliers/palbam</t>
  </si>
  <si>
    <t xml:space="preserve">Wall Mount Fold Down Gowning Bench</t>
  </si>
  <si>
    <t xml:space="preserve">Gowning Benches</t>
  </si>
  <si>
    <t xml:space="preserve">Pall Corporation</t>
  </si>
  <si>
    <t xml:space="preserve">https://www.dutscher.com/search?initialFilters=brand:Pall</t>
  </si>
  <si>
    <t xml:space="preserve">VacuCap vacuum filtration filter - ø: 60 mm - Threshold: 0.2 µm</t>
  </si>
  <si>
    <t xml:space="preserve">Acrodisc PTFE syringe filter - threshold: 1 µm - ø: 25 mm</t>
  </si>
  <si>
    <t xml:space="preserve">Centrifuge tube with modified nylon membrane filter - filtration threshold: 0.2 µm</t>
  </si>
  <si>
    <t xml:space="preserve">Only corporate/SEC profiles (Pall now under Danaher/Cytiva); no Israeli distributor or office named in results.</t>
  </si>
  <si>
    <t xml:space="preserve">https://www.dutscher.com/search?initialFilters=brand:Pall | https://www.quartzy.com/suppliers</t>
  </si>
  <si>
    <t xml:space="preserve">Palmero Health Care</t>
  </si>
  <si>
    <t xml:space="preserve">https://www.thomassci.com/browse-by/suppliers/palmero-health-care</t>
  </si>
  <si>
    <t xml:space="preserve">https://palmerohealth.com</t>
  </si>
  <si>
    <t xml:space="preserve">Discide Ultra Disinfecting Towelettes And Spray</t>
  </si>
  <si>
    <t xml:space="preserve">Discide Ultra Disinfecting Towelettes And Spray Holders And Dispensers</t>
  </si>
  <si>
    <t xml:space="preserve">Versi-Wipe Dry Towel</t>
  </si>
  <si>
    <t xml:space="preserve">800-344-6424</t>
  </si>
  <si>
    <t xml:space="preserve">customerservice@palmerohealth.com</t>
  </si>
  <si>
    <t xml:space="preserve">https://www.palmerohealth.com/pages/contact-us</t>
  </si>
  <si>
    <t xml:space="preserve">https://www.thomassci.com/browse-by/suppliers/palmero-health-care | https://www.palmerohealth.com/pages/contact-us</t>
  </si>
  <si>
    <t xml:space="preserve">Pan biotech</t>
  </si>
  <si>
    <t xml:space="preserve">https://www.dutscher.com/search?initialFilters=brand:Pan+biotech</t>
  </si>
  <si>
    <t xml:space="preserve">https://www.pan-biotech.de</t>
  </si>
  <si>
    <t xml:space="preserve">Cell culture</t>
  </si>
  <si>
    <t xml:space="preserve">P04-992000 · Sterile water for cell culture</t>
  </si>
  <si>
    <t xml:space="preserve">P04-01500 · Liquid media: DMEM with 1.0 g/L Glucose, without L-Glutamine, with Sodium Pyruvate, with 3.7 g/L NaHCO₃</t>
  </si>
  <si>
    <t xml:space="preserve">P10-023100SP · Trypsin 0.05 % EDTA 0.02% in PBS, without Ca 2+ , without Mg 2+ - 100 ml with Phenol Red</t>
  </si>
  <si>
    <t xml:space="preserve">info@pan-biotech.de</t>
  </si>
  <si>
    <t xml:space="preserve">https://pan-biotech.de/kontakt/</t>
  </si>
  <si>
    <t xml:space="preserve">https://www.dutscher.com/search?initialFilters=brand:Pan+biotech | https://www.yairtech.co.il/partners/ | https://pan-biotech.de/kontakt/</t>
  </si>
  <si>
    <t xml:space="preserve">Parker Hannifin</t>
  </si>
  <si>
    <t xml:space="preserve">https://www.thomassci.com/browse-by/suppliers/parker-hannifin</t>
  </si>
  <si>
    <t xml:space="preserve">https://parker.com</t>
  </si>
  <si>
    <t xml:space="preserve">Nitrogen Generators</t>
  </si>
  <si>
    <t xml:space="preserve">Purity Hydrogen Generators</t>
  </si>
  <si>
    <t xml:space="preserve">Zero Air Generators</t>
  </si>
  <si>
    <t xml:space="preserve">Parter Medical Products</t>
  </si>
  <si>
    <t xml:space="preserve">https://www.thomassci.com/browse-by/suppliers/parter-medical-products</t>
  </si>
  <si>
    <t xml:space="preserve">https://partermedical.com</t>
  </si>
  <si>
    <t xml:space="preserve">Parter Petri Dishes</t>
  </si>
  <si>
    <t xml:space="preserve">Petri Dish, Parter Medical, 150x15mm, Sterile, Clear Polystyrene Dishes, Sleeves of Dishes, 6 sleeves per case, 20 each per sleeve, 120 each per case</t>
  </si>
  <si>
    <t xml:space="preserve">Drosophila Bottles</t>
  </si>
  <si>
    <t xml:space="preserve">1-800-666-8282</t>
  </si>
  <si>
    <t xml:space="preserve">info@partermedical.com</t>
  </si>
  <si>
    <t xml:space="preserve">https://partermedical.com/contactus.html</t>
  </si>
  <si>
    <t xml:space="preserve">https://www.thomassci.com/browse-by/suppliers/parter-medical-products | https://partermedical.com/contactus.html</t>
  </si>
  <si>
    <t xml:space="preserve">PAW BioScience</t>
  </si>
  <si>
    <t xml:space="preserve">https://www.thomassci.com/browse-by/suppliers/paw-bioscience</t>
  </si>
  <si>
    <t xml:space="preserve">PCR Biosystems</t>
  </si>
  <si>
    <t xml:space="preserve">https://www.thomassci.com/browse-by/suppliers/pcr-biosystems</t>
  </si>
  <si>
    <t xml:space="preserve">https://pcrbio.com</t>
  </si>
  <si>
    <t xml:space="preserve">Clara™ HRM Mix</t>
  </si>
  <si>
    <t xml:space="preserve">VeriFi™ Red Mix</t>
  </si>
  <si>
    <t xml:space="preserve">HS VeriFi™ Polymerase</t>
  </si>
  <si>
    <t xml:space="preserve">20 3930 8101</t>
  </si>
  <si>
    <t xml:space="preserve">https://pcrbio.com/</t>
  </si>
  <si>
    <t xml:space="preserve">https://www.thomassci.com/browse-by/suppliers/pcr-biosystems | https://www.tamar.co.il/represented-companies/ | https://pcrbio.com/</t>
  </si>
  <si>
    <t xml:space="preserve">PCT</t>
  </si>
  <si>
    <t xml:space="preserve">https://www.plantcelltechnology.com</t>
  </si>
  <si>
    <t xml:space="preserve">PCT’s dedication to excellence is evident in products and educational efforts. We introduced the market’s most cost-effective and user-friendly Bioreactor, the BioCoupler™, alongside pioneering Tissue Culture Master Classes, digital webinars, consulting services, lab buildouts, and R&amp;D. Our goal is clear: to make cutting-edge advancements accessible to both professionals and enthusiasts. Through these initiatives, PCT fosters a knowledgeable, collaborative scientific community, continually pushing the boundaries of plant tissue culture.</t>
  </si>
  <si>
    <t xml:space="preserve">+1-202-506-5608</t>
  </si>
  <si>
    <t xml:space="preserve">info@plantcelltechnology.com</t>
  </si>
  <si>
    <t xml:space="preserve">https://plantcelltechnology.com/pages/contact-us</t>
  </si>
  <si>
    <t xml:space="preserve">https://info.quartzy.com/new-suppliers | https://plantcelltechnology.com/pages/contact-us</t>
  </si>
  <si>
    <t xml:space="preserve">PDI Healthcare</t>
  </si>
  <si>
    <t xml:space="preserve">https://www.thomassci.com/browse-by/suppliers/pdi-healthcare</t>
  </si>
  <si>
    <t xml:space="preserve">https://pdihc.com</t>
  </si>
  <si>
    <t xml:space="preserve">Sani-Cloth® Plus Germicidal Disposable Cloth</t>
  </si>
  <si>
    <t xml:space="preserve">Sani Cloth® Bleach Wipes, Germicidal Disposable</t>
  </si>
  <si>
    <t xml:space="preserve">Super Sani-Cloth® PDI Sani Wipes, Disposable</t>
  </si>
  <si>
    <t xml:space="preserve">https://pdihc.com/contact-us/</t>
  </si>
  <si>
    <t xml:space="preserve">https://www.thomassci.com/browse-by/suppliers/pdi-healthcare | https://pdihc.com/contact-us/</t>
  </si>
  <si>
    <t xml:space="preserve">Peak Scientific</t>
  </si>
  <si>
    <t xml:space="preserve">https://www.thomassci.com/browse-by/suppliers/peak-scientific</t>
  </si>
  <si>
    <t xml:space="preserve">https://peakscientific.com</t>
  </si>
  <si>
    <t xml:space="preserve">Infinity XE6040, Nitrogen Gas Generator</t>
  </si>
  <si>
    <t xml:space="preserve">Precision Zero Air 30L, Generator</t>
  </si>
  <si>
    <t xml:space="preserve">8007676532</t>
  </si>
  <si>
    <t xml:space="preserve">https://www.peakscientific.com/contact/?enquiryType=Technical_support</t>
  </si>
  <si>
    <t xml:space="preserve">https://www.thomassci.com/browse-by/suppliers/peak-scientific | https://labotal.co.il/represented-firms/ | https://www.peakscientific.com/contact/?enquiryType=Technical_support</t>
  </si>
  <si>
    <t xml:space="preserve">Peak Serum</t>
  </si>
  <si>
    <t xml:space="preserve">https://peakfbs.com</t>
  </si>
  <si>
    <t xml:space="preserve">(941)-803-4824</t>
  </si>
  <si>
    <t xml:space="preserve">sales@peakfbs.com</t>
  </si>
  <si>
    <t xml:space="preserve">https://peakfbs.com/contact-us/</t>
  </si>
  <si>
    <t xml:space="preserve">https://www.quartzy.com/suppliers | https://peakfbs.com/contact-us/</t>
  </si>
  <si>
    <t xml:space="preserve">Pechiney Plastic Packaging</t>
  </si>
  <si>
    <t xml:space="preserve">https://www.thomassci.com/browse-by/suppliers/pechiney-plastic-packaging</t>
  </si>
  <si>
    <t xml:space="preserve">Peerless Materials</t>
  </si>
  <si>
    <t xml:space="preserve">https://www.thomassci.com/browse-by/suppliers/peerless-materials</t>
  </si>
  <si>
    <t xml:space="preserve">Wiper, Glass and Surface Pull-up, 9.75 X 16.75, 150/BX , 6BX/CS (900 count)</t>
  </si>
  <si>
    <t xml:space="preserve">Industrial Maxituff Polycellulose Nonwoven Wipers</t>
  </si>
  <si>
    <t xml:space="preserve">Wiper, Blue, Meltblown, 12 x 13 inches, 1/4 Fold, 55 wipers per bag, 10 bags per case or 550 wipers per case</t>
  </si>
  <si>
    <t xml:space="preserve">PeproTech</t>
  </si>
  <si>
    <t xml:space="preserve">https://peprotech.com</t>
  </si>
  <si>
    <t xml:space="preserve">https://www.quartzy.com/suppliers | https://www.thermofisher.com/store/v2/contact-us?enableChat=true</t>
  </si>
  <si>
    <t xml:space="preserve">PeptiGrowth</t>
  </si>
  <si>
    <t xml:space="preserve">https://www.thomassci.com/browse-by/suppliers/peptigrowth</t>
  </si>
  <si>
    <t xml:space="preserve">BMP4 Selective Inhibitor Peptide</t>
  </si>
  <si>
    <t xml:space="preserve">VEGF Alternative Peptide</t>
  </si>
  <si>
    <t xml:space="preserve">Wnt3a Alternative Peptide</t>
  </si>
  <si>
    <t xml:space="preserve">Perfex</t>
  </si>
  <si>
    <t xml:space="preserve">https://www.thomassci.com/browse-by/suppliers/perfex</t>
  </si>
  <si>
    <t xml:space="preserve">https://perfex.mx</t>
  </si>
  <si>
    <t xml:space="preserve">TruCLEAN® Mop Head</t>
  </si>
  <si>
    <t xml:space="preserve">TruCLEAN Pro Triple-Bucket System</t>
  </si>
  <si>
    <t xml:space="preserve">TruCLEAN® Microfiber Mop Cover</t>
  </si>
  <si>
    <t xml:space="preserve">555578217720(6105)</t>
  </si>
  <si>
    <t xml:space="preserve">https://perfex.mx/</t>
  </si>
  <si>
    <t xml:space="preserve">https://www.thomassci.com/browse-by/suppliers/perfex | https://perfex.mx/</t>
  </si>
  <si>
    <t xml:space="preserve">PerkinElmer</t>
  </si>
  <si>
    <t xml:space="preserve">https://www.thomassci.com/browse-by/suppliers/perkinelmer</t>
  </si>
  <si>
    <t xml:space="preserve">https://www.perkinelmer.com</t>
  </si>
  <si>
    <t xml:space="preserve">Shelton, Connecticut</t>
  </si>
  <si>
    <t xml:space="preserve">New Mountain Capital</t>
  </si>
  <si>
    <t xml:space="preserve">USD 1.3 billion (estimate)</t>
  </si>
  <si>
    <t xml:space="preserve">FY2022 (at carve-out)</t>
  </si>
  <si>
    <t xml:space="preserve">NexION ICP-MS</t>
  </si>
  <si>
    <t xml:space="preserve">Avio ICP-OES</t>
  </si>
  <si>
    <t xml:space="preserve">Spectrum 3 / Lambda / Pyris</t>
  </si>
  <si>
    <t xml:space="preserve">PerkinElmer Israel Ltd.; ISI Israel Scientific Instruments Ltd.</t>
  </si>
  <si>
    <t xml:space="preserve">PerkinElmer Israel Ltd.: 1-700-500-512 cc.israel@perkinelmer.com; ISI Israel Scientific Instruments Ltd.: +972-3-9232202 info@isil.co.il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</si>
  <si>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perkinelmer.com's live office-locations page (location=IL) and its 'PerkinElmer Israel Ltd' node still list the Ra'anana office with address and phone, confirming the direct subsidiary. ISI Israel Scientific Instruments could not be re-confirmed from its own domain (search returned only SEC filings), so it is kept on the prior perkinelmer.com evidence. Searched PerkinElmer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 </t>
    </r>
    <r>
      <rPr>
        <sz val="11"/>
        <color theme="1"/>
        <rFont val="Calibri"/>
        <family val="2"/>
        <charset val="1"/>
      </rPr>
      <t xml:space="preserve">(ICP/GC/FTIR), perkinelmer.com office/distributor pages and a 2024-2026 'PerkinElmer Israel Ltd' news search. PerkinElmer set up direct sales/service operations in Israel in August 2013 (press release; GM Aaron Geist named in 2015) and perkinelmer.com currently lists a PerkinElmer Israel office/PerkinElmer Israel Ltd. in Ra'anana plus ISI Israel Scientific Instruments Ltd. (Petach Tikva) as an Israeli partner for food testing. After the 2023 split the Israel entity stayed with the analytical company (now New Mountain Capital-owned PerkinElmer) rather than Revvity; no 2024-2026 Israel-specific news was found, so current staffing/scope of the Ra'anana office rests on the manufacturer's current listing only.</t>
    </r>
  </si>
  <si>
    <t xml:space="preserve">1700-500-512 (Israel domestic number)</t>
  </si>
  <si>
    <t xml:space="preserve">cc.israel@perkinelmer.com</t>
  </si>
  <si>
    <t xml:space="preserve">https://www.perkinelmer.com/contactus/requestaquote.html</t>
  </si>
  <si>
    <t xml:space="preserve">https://ir.revvity.com/news/investor-news/news-details/2013/PerkinElmer-Establishes-Direct-Operations-in-Israel-08-01-2013/default.aspx</t>
  </si>
  <si>
    <t xml:space="preserve">https://www.quartzy.com/suppliers | https://www.thomassci.com/browse-by/suppliers/perkinelmer | https://www.perkinelmer.com/be/contactus/officelocations?location=IL | https://www.perkinelmer.com/node/3901 | https://www.perkinelmer.com/node/10826 | https://ir.perkinelmer.com/news-releases/news-release-details/perkinelmer-establishes-direct-operations-israel | https://news.revvity.com/press-announcements/press-releases/press-release-details/2015/PerkinElmer-to-Display-Laboratory-Instruments-Informatics-and-Services-at-Isranalytica-2015-01-05-2015/default.aspx | https://www.chromatographyonline.com/a-conversation-with-the-ceo-and-cco-of-perkinelmer | https://www.genomeweb.com/business-news/perkinelmer-focusing-life-sciences-diagnostics-it-divests-other-businesses | https://s202.q4cdn.com/908952201/files/doc_news/2022/08/01/PerkinElmer-Accelerates-Transformation-into-High-Growth-High-Margin-Life-Sciences-Diagnostics-Company.pdf | https://peprofessional.com/2022/08/new-mountain-carves-out-unit-of-perkinelmer/ | https://www.perkinelmer.com/contactus/requestaquote.html</t>
  </si>
  <si>
    <t xml:space="preserve">Permagen</t>
  </si>
  <si>
    <t xml:space="preserve">https://www.thomassci.com/browse-by/suppliers/permagen</t>
  </si>
  <si>
    <t xml:space="preserve">https://www.permagen.com</t>
  </si>
  <si>
    <t xml:space="preserve">Ring Magnet Plate</t>
  </si>
  <si>
    <t xml:space="preserve">96S Super Magnet Plate</t>
  </si>
  <si>
    <t xml:space="preserve">Centrifuge Tube Magnetic Separation Rack</t>
  </si>
  <si>
    <t xml:space="preserve">Phagogene</t>
  </si>
  <si>
    <t xml:space="preserve">https://www.dutscher.com/search?initialFilters=brand:Phagogene</t>
  </si>
  <si>
    <t xml:space="preserve">Phagoderm sensitive soap - 500 ml - round pump</t>
  </si>
  <si>
    <t xml:space="preserve">Phagospray DM 750 ml with spray</t>
  </si>
  <si>
    <t xml:space="preserve">Stainless steel wall holder</t>
  </si>
  <si>
    <t xml:space="preserve">PHC Corporation of North America</t>
  </si>
  <si>
    <t xml:space="preserve">https://www.thomassci.com/browse-by/suppliers/phc-corporation-of-north-america</t>
  </si>
  <si>
    <t xml:space="preserve">https://www.phchd.com</t>
  </si>
  <si>
    <t xml:space="preserve">Tokyo (Minato-ku)</t>
  </si>
  <si>
    <t xml:space="preserve">JPY 364,403 million</t>
  </si>
  <si>
    <t xml:space="preserve">FY Mar-2026</t>
  </si>
  <si>
    <t xml:space="preserve">MDF-DU702VH VIP ECO</t>
  </si>
  <si>
    <t xml:space="preserve">MCO-170AIC / MCO-230AIC IncuSafe</t>
  </si>
  <si>
    <t xml:space="preserve">MPR / MBR series</t>
  </si>
  <si>
    <t xml:space="preserve">Eldan Electronic Instruments; Lumitron Ltd.</t>
  </si>
  <si>
    <t xml:space="preserve">Eldan Electronic Instruments: +972-3-937-1111 info@eldan.biz; Lumitron Ltd.: +972 52-525-6287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</si>
  <si>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Eldan's live laboratory-instruments page still lists PHCbi incubators and freezers, so Eldan is a current Israeli channel. Lumitron's live product pages show PHCBI as a brand tag next to its CO2 incubator shakers, a weak but live re-confirmation of its 'Our brands' listing; no PHCbi product page on lumitron.co.il was seen. PHCbi's own where-to-buy page was not re-searched within the budget (earlier check: Israel not visible). Searched generic queries, 27 Israeli distributor domains, phchd.com and enco.co.il. Eldan Electronic Instruments' laboratory-instruments page lists PHCbi CO2/multigas incubators (incl. Cell-IQ) and PHCbi biomedical/pharmaceutical freezers alongside Hettich, so Eldan is a current Israeli channel; the Enco lead could not be confirmed (a search restricted to enco.co.il returned no PHC content). PHCbi's own 'where to buy' lists partners for APAC and PHC Europe B.V. for Europe but Israel was not visible, and it states it is not recruiting new distributors. Lumitron's own 'Our brands' page lists PHCbi among the brands it distributes in Israel (seen in a search excerpt).</t>
    </r>
  </si>
  <si>
    <t xml:space="preserve">+81 3 5408 7280</t>
  </si>
  <si>
    <t xml:space="preserve">15F Dai-ichi Life Hibiya First, 1-13-2 Yurakucho, Chiyoda-ku, Tokyo 100-8403, Japan</t>
  </si>
  <si>
    <t xml:space="preserve">https://www.phchd.com/global/forms/Input?form_id=%7BA1E4FD0D-9F27-4C4D-9FD1-7A057C9FE770%7D</t>
  </si>
  <si>
    <t xml:space="preserve">https://www.phchd.com/global/news/2024/0315</t>
  </si>
  <si>
    <t xml:space="preserve">https://www.thomassci.com/browse-by/suppliers/phc-corporation-of-north-america | https://www.phchd.com/global/sustainability/integratedreport2025/strategy/cfomessage | https://simplywall.st/stock/TSE/6523 | https://in.tradingview.com/symbols/OTC-PHCCF | https://pitchbook.com/profiles/company/56367-46 | https://www.phchd.com/global/biomedical/service-downloads/faq/general-questions-for-phcbi | https://www.phchd.com/global/biomedical/preservation/biomedical-freezers | https://www.enco.co.il/about.php | https://www.eldan.biz/laboratory-instruments/ | https://www.phchd.com/global/biomedical/where-to-buy | https://phceu.phcbi.phchd.com/ | https://www.enco.co.il/antibodies/mki67ki67_antibody_aa28152928_lsc295028/ls-c295028/ | https://www.lumitron.co.il/our-brands-heb/?lang=en | https://www.lumitron.co.il/products/cellxpert-cs220-co2-incubator-shaker/?lang=en | https://www.phchd.com/~/Media/phchd_g/sustainability/integratedreport2026/pdf/integratedreport2026_6.pdf | https://www.phchd.com/global/sustainability/integratedreport2026/executive/ataglance | https://stockanalysis.com/quote/tyo/6523/financials/income-statement/ | https://www.phchd.com/global/forms/Input?form_id=%7BA1E4FD0D-9F27-4C4D-9FD1-7A057C9FE770%7D</t>
  </si>
  <si>
    <t xml:space="preserve">PHCBI</t>
  </si>
  <si>
    <t xml:space="preserve">https://www.dutscher.com/search?initialFilters=brand:PHCBI</t>
  </si>
  <si>
    <t xml:space="preserve">https://www.phchd.com/global/biomedical</t>
  </si>
  <si>
    <t xml:space="preserve">https://www.dutscher.com/search?initialFilters=brand:PHCBI | https://www.phchd.com/global/sustainability/integratedreport2025/strategy/cfomessage | https://simplywall.st/stock/TSE/6523 | https://in.tradingview.com/symbols/OTC-PHCCF | https://pitchbook.com/profiles/company/56367-46 | https://www.phchd.com/global/biomedical/service-downloads/faq/general-questions-for-phcbi | https://www.phchd.com/global/biomedical/preservation/biomedical-freezers | https://www.enco.co.il/about.php | https://www.eldan.biz/laboratory-instruments/ | https://www.phchd.com/global/biomedical/where-to-buy | https://phceu.phcbi.phchd.com/ | https://www.enco.co.il/antibodies/mki67ki67_antibody_aa28152928_lsc295028/ls-c295028/ | https://www.lumitron.co.il/our-brands-heb/?lang=en | https://www.lumitron.co.il/products/cellxpert-cs220-co2-incubator-shaker/?lang=en | https://www.phchd.com/~/Media/phchd_g/sustainability/integratedreport2026/pdf/integratedreport2026_6.pdf | https://www.phchd.com/global/sustainability/integratedreport2026/executive/ataglance | https://stockanalysis.com/quote/tyo/6523/financials/income-statement/ | https://www.phchd.com/apac/biomedical</t>
  </si>
  <si>
    <t xml:space="preserve">Phenix Research Products</t>
  </si>
  <si>
    <t xml:space="preserve">https://www.thomassci.com/browse-by/suppliers/phenix-research-products</t>
  </si>
  <si>
    <t xml:space="preserve">White Freezer Boxes</t>
  </si>
  <si>
    <t xml:space="preserve">GelRed® Nucleic Acid Stain, 10,000X</t>
  </si>
  <si>
    <t xml:space="preserve">96 Well PCR Plates, Non-Skirted</t>
  </si>
  <si>
    <t xml:space="preserve">Phenomenex</t>
  </si>
  <si>
    <t xml:space="preserve">https://phenomenex.com</t>
  </si>
  <si>
    <t xml:space="preserve">https://www.phenomenex.com/</t>
  </si>
  <si>
    <t xml:space="preserve">https://www.quartzy.com/suppliers | https://www.phenomenex.com/</t>
  </si>
  <si>
    <t xml:space="preserve">Phipps &amp; Bird</t>
  </si>
  <si>
    <t xml:space="preserve">https://www.thomassci.com/browse-by/suppliers/phipps-and-bird</t>
  </si>
  <si>
    <t xml:space="preserve">PB-900™ Series Programmable Jar Testers</t>
  </si>
  <si>
    <t xml:space="preserve">Programmable Jar Testers/Stirrers</t>
  </si>
  <si>
    <t xml:space="preserve">PIP Global Safety</t>
  </si>
  <si>
    <t xml:space="preserve">https://www.thomassci.com/browse-by/suppliers/pip-safety</t>
  </si>
  <si>
    <t xml:space="preserve">ANSI Type R Class 2 Four Pocket Value Mesh Vest</t>
  </si>
  <si>
    <t xml:space="preserve">Burn Kit</t>
  </si>
  <si>
    <t xml:space="preserve">ANSI Z308.1-2021, Class A First Aid Kits</t>
  </si>
  <si>
    <t xml:space="preserve">Pipette.com</t>
  </si>
  <si>
    <t xml:space="preserve">Plant Cell Technology</t>
  </si>
  <si>
    <t xml:space="preserve">https://www.thomassci.com/browse-by/suppliers/plant-cell-technology</t>
  </si>
  <si>
    <t xml:space="preserve">https://plantcelltechnology.com</t>
  </si>
  <si>
    <t xml:space="preserve">Biocoupler™ Glass Sets</t>
  </si>
  <si>
    <t xml:space="preserve">Supreme TC Grade Agar</t>
  </si>
  <si>
    <t xml:space="preserve">https://www.thomassci.com/browse-by/suppliers/plant-cell-technology | https://plantcelltechnology.com/pages/contact-us</t>
  </si>
  <si>
    <t xml:space="preserve">PlantCell Technology</t>
  </si>
  <si>
    <t xml:space="preserve">https://www.quartzy.com/suppliers | https://plantcelltechnology.com/pages/contact-us</t>
  </si>
  <si>
    <t xml:space="preserve">Plas-Labs</t>
  </si>
  <si>
    <t xml:space="preserve">https://www.thomassci.com/browse-by/suppliers/plas-labs</t>
  </si>
  <si>
    <t xml:space="preserve">https://plas-labs.com</t>
  </si>
  <si>
    <t xml:space="preserve">Compact Glove Boxes</t>
  </si>
  <si>
    <t xml:space="preserve">One Touch / Go Anaerobic automatic anaerobic chamber</t>
  </si>
  <si>
    <t xml:space="preserve">Broome Style Rodent Restrainer</t>
  </si>
  <si>
    <t xml:space="preserve">8008667527</t>
  </si>
  <si>
    <t xml:space="preserve">https://plas-labs.com/contact</t>
  </si>
  <si>
    <t xml:space="preserve">https://www.thomassci.com/browse-by/suppliers/plas-labs | https://plas-labs.com/contact</t>
  </si>
  <si>
    <t xml:space="preserve">Plastic Process Equipment</t>
  </si>
  <si>
    <t xml:space="preserve">https://www.thomassci.com/browse-by/suppliers/plastic-process-equipment</t>
  </si>
  <si>
    <t xml:space="preserve">https://ppe.com</t>
  </si>
  <si>
    <t xml:space="preserve">TRIMMING KNIVES W/ BREAK AWAY BLADES, Multi-color, 5", 1/ea</t>
  </si>
  <si>
    <t xml:space="preserve">PREMIUM 4-1/2" GATE CUTTERS, Stainless, 1/each</t>
  </si>
  <si>
    <t xml:space="preserve">Plasticoid</t>
  </si>
  <si>
    <t xml:space="preserve">https://www.thomassci.com/browse-by/suppliers/plasticoid</t>
  </si>
  <si>
    <t xml:space="preserve">https://plasticoid.com</t>
  </si>
  <si>
    <t xml:space="preserve">Neoprene Rubber Stoppers</t>
  </si>
  <si>
    <t xml:space="preserve">Twistit Convertible Stoppers</t>
  </si>
  <si>
    <t xml:space="preserve">Solid Rubber Stoppers</t>
  </si>
  <si>
    <t xml:space="preserve">4103982800</t>
  </si>
  <si>
    <t xml:space="preserve">info@plasticoid.com</t>
  </si>
  <si>
    <t xml:space="preserve">https://plasticoid.com/contact-us/</t>
  </si>
  <si>
    <t xml:space="preserve">https://www.thomassci.com/browse-by/suppliers/plasticoid | https://plasticoid.com/contact-us/</t>
  </si>
  <si>
    <t xml:space="preserve">Plenty (brought to you by Omeat)</t>
  </si>
  <si>
    <t xml:space="preserve">https://www.thomassci.com/browse-by/suppliers/plenty-brought-to-you-by-omeat</t>
  </si>
  <si>
    <t xml:space="preserve">Plug &amp; Track</t>
  </si>
  <si>
    <t xml:space="preserve">https://www.thomassci.com/browse-by/suppliers/plug-and-track</t>
  </si>
  <si>
    <t xml:space="preserve">Thermotrack PC</t>
  </si>
  <si>
    <t xml:space="preserve">Sensor Net Connect Temperature Monitoring</t>
  </si>
  <si>
    <t xml:space="preserve">Calibration Certificate</t>
  </si>
  <si>
    <t xml:space="preserve">Polar Tech</t>
  </si>
  <si>
    <t xml:space="preserve">https://www.thomassci.com/browse-by/suppliers/polar-tech</t>
  </si>
  <si>
    <t xml:space="preserve">https://polar-tech.com</t>
  </si>
  <si>
    <t xml:space="preserve">Thermo Chill Insulated Foam Shippers</t>
  </si>
  <si>
    <t xml:space="preserve">ICE-BRIX &amp; XTREME BRIX Cold Packs</t>
  </si>
  <si>
    <t xml:space="preserve">Dry IceTransport/Storage Chests</t>
  </si>
  <si>
    <t xml:space="preserve">8004232749</t>
  </si>
  <si>
    <t xml:space="preserve">https://polar-tech.com/contact-us/</t>
  </si>
  <si>
    <t xml:space="preserve">https://www.thomassci.com/browse-by/suppliers/polar-tech | https://polar-tech.com/contact-us/</t>
  </si>
  <si>
    <t xml:space="preserve">PolarSeal</t>
  </si>
  <si>
    <t xml:space="preserve">https://www.thomassci.com/browse-by/suppliers/polarseal</t>
  </si>
  <si>
    <t xml:space="preserve">https://polarseal.net</t>
  </si>
  <si>
    <t xml:space="preserve">+441252726000</t>
  </si>
  <si>
    <t xml:space="preserve">enquiries@polarseal.net</t>
  </si>
  <si>
    <t xml:space="preserve">https://www.polarseal.net/contact-us/</t>
  </si>
  <si>
    <t xml:space="preserve">https://www.thomassci.com/browse-by/suppliers/polarseal | https://www.polarseal.net/contact-us/</t>
  </si>
  <si>
    <t xml:space="preserve">Polarware Company</t>
  </si>
  <si>
    <t xml:space="preserve">https://www.thomassci.com/browse-by/suppliers/polarware-company</t>
  </si>
  <si>
    <t xml:space="preserve">Utility/Instrument Trays</t>
  </si>
  <si>
    <t xml:space="preserve">Griffin Style Beakers with Closed Handles</t>
  </si>
  <si>
    <t xml:space="preserve">Griffin Low Form Beakers</t>
  </si>
  <si>
    <t xml:space="preserve">Poltex</t>
  </si>
  <si>
    <t xml:space="preserve">https://poltex.com</t>
  </si>
  <si>
    <t xml:space="preserve">5416360802</t>
  </si>
  <si>
    <t xml:space="preserve">info@poltex.com</t>
  </si>
  <si>
    <t xml:space="preserve">https://poltex.com/</t>
  </si>
  <si>
    <t xml:space="preserve">https://www.quartzy.com/suppliers | https://poltex.com/</t>
  </si>
  <si>
    <t xml:space="preserve">Poly Tack</t>
  </si>
  <si>
    <t xml:space="preserve">https://www.thomassci.com/browse-by/suppliers/poly-tack</t>
  </si>
  <si>
    <t xml:space="preserve">Polycarbin</t>
  </si>
  <si>
    <t xml:space="preserve">https://polycarbin.com</t>
  </si>
  <si>
    <t xml:space="preserve">info@polycarbin.com</t>
  </si>
  <si>
    <t xml:space="preserve">https://polycarbin.com/contact-us</t>
  </si>
  <si>
    <t xml:space="preserve">https://www.quartzy.com/suppliers | https://polycarbin.com/contact-us</t>
  </si>
  <si>
    <t xml:space="preserve">PolyConversions</t>
  </si>
  <si>
    <t xml:space="preserve">https://www.thomassci.com/browse-by/suppliers/polyconversions</t>
  </si>
  <si>
    <t xml:space="preserve">PolyWear® 2 MilSmooth disposable Gowns</t>
  </si>
  <si>
    <t xml:space="preserve">VR Gown with Elastic Cuffs</t>
  </si>
  <si>
    <t xml:space="preserve">PolyWear Disposable Gowns</t>
  </si>
  <si>
    <t xml:space="preserve">Polymer Shapes</t>
  </si>
  <si>
    <t xml:space="preserve">https://www.thomassci.com/browse-by/suppliers/polymer-shapes</t>
  </si>
  <si>
    <t xml:space="preserve">https://polymershapes.com</t>
  </si>
  <si>
    <t xml:space="preserve">8664377427</t>
  </si>
  <si>
    <t xml:space="preserve">https://polymershapes.com/</t>
  </si>
  <si>
    <t xml:space="preserve">https://www.thomassci.com/browse-by/suppliers/polymer-shapes | https://polymershapes.com/</t>
  </si>
  <si>
    <t xml:space="preserve">Polyscience</t>
  </si>
  <si>
    <t xml:space="preserve">https://www.dutscher.com/search?initialFilters=brand:Polyscience</t>
  </si>
  <si>
    <t xml:space="preserve">https://www.thomassci.com/browse-by/suppliers/polyscience</t>
  </si>
  <si>
    <t xml:space="preserve">https://polyscience.com</t>
  </si>
  <si>
    <t xml:space="preserve">Premium Digital General Purpose Water Baths</t>
  </si>
  <si>
    <t xml:space="preserve">polycool HC -50</t>
  </si>
  <si>
    <t xml:space="preserve">Polyscience polycool PG -20, propylene glycol,1 Gallon Bottle, 1/EA</t>
  </si>
  <si>
    <t xml:space="preserve">Results covered Polysciences Inc. (Warrington PA; offices in Germany/Taiwan/India/Brazil, none in Israel) and unrelated Israeli distributors; nothing linking PolyScience (chillers/circulators) to an Israeli channel.</t>
  </si>
  <si>
    <t xml:space="preserve">+1 (847) 647-0611</t>
  </si>
  <si>
    <t xml:space="preserve">https://www.polyscience.com/contact-us</t>
  </si>
  <si>
    <t xml:space="preserve">https://www.dutscher.com/search?initialFilters=brand:Polyscience | https://www.quartzy.com/suppliers | https://www.thomassci.com/browse-by/suppliers/polyscience | https://www.polyscience.com/contact-us</t>
  </si>
  <si>
    <t xml:space="preserve">Polysciences</t>
  </si>
  <si>
    <t xml:space="preserve">https://polysciences.com</t>
  </si>
  <si>
    <t xml:space="preserve">(800) 523-2575</t>
  </si>
  <si>
    <t xml:space="preserve">info@polysciences.com</t>
  </si>
  <si>
    <t xml:space="preserve">https://polysciences.com/pages/contact-us</t>
  </si>
  <si>
    <t xml:space="preserve">https://www.quartzy.com/suppliers | https://polysciences.com/pages/contact-us</t>
  </si>
  <si>
    <t xml:space="preserve">Pope Scientific</t>
  </si>
  <si>
    <t xml:space="preserve">https://www.thomassci.com/browse-by/suppliers/pope-scientific</t>
  </si>
  <si>
    <t xml:space="preserve">https://popeinc.com</t>
  </si>
  <si>
    <t xml:space="preserve">Low Form, Cylindrical Dewar Flasks</t>
  </si>
  <si>
    <t xml:space="preserve">Cylindrical Form Dewar Flasks</t>
  </si>
  <si>
    <t xml:space="preserve">Cylindrical, Wide Mouth Dewars with Metal Handles</t>
  </si>
  <si>
    <t xml:space="preserve">+12622689300</t>
  </si>
  <si>
    <t xml:space="preserve">info@popeinc.com</t>
  </si>
  <si>
    <t xml:space="preserve">https://www.popeinc.com/company/contact-us/</t>
  </si>
  <si>
    <t xml:space="preserve">https://www.thomassci.com/browse-by/suppliers/pope-scientific | https://www.popeinc.com/company/contact-us/</t>
  </si>
  <si>
    <t xml:space="preserve">Portagas</t>
  </si>
  <si>
    <t xml:space="preserve">https://www.thomassci.com/browse-by/suppliers/portagas</t>
  </si>
  <si>
    <t xml:space="preserve">Calibration Gas, Hydrogen Sulfide 25 Ppm, Carbon Monoxide 100 Ppm, Methane 2.5% (50% Lel), Oxygen 18%, Nitrogen Balance, 58 Liter Cylinder, C-10 Connection, 24 Month Shelf Life</t>
  </si>
  <si>
    <t xml:space="preserve">Calibration Gas, Hydrogen Sulfide 20 Ppm, Carbon Monoxide 200 Ppm, Methane 2.5% (50% Lel), Oxygen 18%, Nitrogen Balance, 58 Liter Cylinder, C-10 Connection, 24 Month Shelf Life</t>
  </si>
  <si>
    <t xml:space="preserve">Calibration Gas, Iso-Butylene 100 Ppm, Air Balance, 100 Liter Cylinder, C-10 Connection, 36 Month Shelf Life</t>
  </si>
  <si>
    <t xml:space="preserve">Porvair</t>
  </si>
  <si>
    <t xml:space="preserve">https://www.dutscher.com/search?initialFilters=brand:Porvair</t>
  </si>
  <si>
    <t xml:space="preserve">https://www.thomassci.com/browse-by/suppliers/porvair</t>
  </si>
  <si>
    <t xml:space="preserve">https://www.porvair.com/</t>
  </si>
  <si>
    <t xml:space="preserve">company based in Kings Lynn, United Kingdom</t>
  </si>
  <si>
    <t xml:space="preserve">24-Well Krystal™ Clear Bottom Polystyrene Assay Plates</t>
  </si>
  <si>
    <t xml:space="preserve">96-Well Krystal™ Glass Bottom Imaging Plates</t>
  </si>
  <si>
    <t xml:space="preserve">Solid Quartz 96 Well Clear Plate with Clear Base</t>
  </si>
  <si>
    <t xml:space="preserve">Only Germany distributor (MZ-Analysentechnik) named; Porvair Sciences cites a worldwide distributor network without countries.</t>
  </si>
  <si>
    <t xml:space="preserve">+4401553765500</t>
  </si>
  <si>
    <t xml:space="preserve">https://www.porvair.com/investors/investor-relations-contacts</t>
  </si>
  <si>
    <t xml:space="preserve">Q59537154</t>
  </si>
  <si>
    <t xml:space="preserve">https://www.dutscher.com/search?initialFilters=brand:Porvair | https://www.thomassci.com/browse-by/suppliers/porvair | https://www.wikidata.org/wiki/Q59537154 | https://www.porvair.com/investors/investor-relations-contacts</t>
  </si>
  <si>
    <t xml:space="preserve">POSDATA Group Inc</t>
  </si>
  <si>
    <t xml:space="preserve">https://www.thomassci.com/browse-by/suppliers/posdata-group-inc</t>
  </si>
  <si>
    <t xml:space="preserve">Posi-Wear® by PIP Global Safety</t>
  </si>
  <si>
    <t xml:space="preserve">https://www.thomassci.com/browse-by/suppliers/posi-wear-by-pip-global-safety</t>
  </si>
  <si>
    <t xml:space="preserve">PosiWear UB - Boot Cover</t>
  </si>
  <si>
    <t xml:space="preserve">PosiWear UB</t>
  </si>
  <si>
    <t xml:space="preserve">Posi-Wear® BA™ Disposable Coveralls</t>
  </si>
  <si>
    <t xml:space="preserve">Postal Products Unlimited</t>
  </si>
  <si>
    <t xml:space="preserve">https://www.thomassci.com/browse-by/suppliers/postal-products-unlimited</t>
  </si>
  <si>
    <t xml:space="preserve">PowerBlanket</t>
  </si>
  <si>
    <t xml:space="preserve">https://powerblanket.com</t>
  </si>
  <si>
    <t xml:space="preserve">+18556950832</t>
  </si>
  <si>
    <t xml:space="preserve">https://www.powerblanket.com/learn/contact-us/</t>
  </si>
  <si>
    <t xml:space="preserve">https://www.quartzy.com/suppliers | https://www.powerblanket.com/learn/contact-us/</t>
  </si>
  <si>
    <t xml:space="preserve">PowerGrab™ by PIP Global Safety</t>
  </si>
  <si>
    <t xml:space="preserve">https://www.thomassci.com/browse-by/suppliers/powergrab-by-pip-global-safety</t>
  </si>
  <si>
    <t xml:space="preserve">PPC Flexible Packaging</t>
  </si>
  <si>
    <t xml:space="preserve">https://www.thomassci.com/browse-by/suppliers/ppc-flexible-packaging</t>
  </si>
  <si>
    <t xml:space="preserve">https://ppcflex.com</t>
  </si>
  <si>
    <t xml:space="preserve">Precision Clean II .002mil Bag</t>
  </si>
  <si>
    <t xml:space="preserve">Zip Clean Pouch</t>
  </si>
  <si>
    <t xml:space="preserve">Precision Clean II Tubing Rollstock</t>
  </si>
  <si>
    <t xml:space="preserve">https://ppcflex.com/contact/</t>
  </si>
  <si>
    <t xml:space="preserve">https://www.thomassci.com/browse-by/suppliers/ppc-flexible-packaging | https://ppcflex.com/contact/</t>
  </si>
  <si>
    <t xml:space="preserve">Precision System Science</t>
  </si>
  <si>
    <t xml:space="preserve">https://www.thomassci.com/browse-by/suppliers/precision-system-science</t>
  </si>
  <si>
    <t xml:space="preserve">https://www.pss.co.jp</t>
  </si>
  <si>
    <t xml:space="preserve">047-303-4800</t>
  </si>
  <si>
    <t xml:space="preserve">https://pss.co.jp/</t>
  </si>
  <si>
    <t xml:space="preserve">https://www.thomassci.com/browse-by/suppliers/precision-system-science | https://pss.co.jp/</t>
  </si>
  <si>
    <t xml:space="preserve">Precision Systems</t>
  </si>
  <si>
    <t xml:space="preserve">https://www.thomassci.com/browse-by/suppliers/precision-systems</t>
  </si>
  <si>
    <t xml:space="preserve">https://psi-software.com</t>
  </si>
  <si>
    <t xml:space="preserve">MICRO-OSMETTE™ Automatic High Sensitivity 50 µL Osmometer</t>
  </si>
  <si>
    <t xml:space="preserve">High Isolation Probe</t>
  </si>
  <si>
    <t xml:space="preserve">OSMETTE™ Automatic High Sensitivity Osmometer</t>
  </si>
  <si>
    <t xml:space="preserve">2156721860</t>
  </si>
  <si>
    <t xml:space="preserve">https://www.psi-software.com/contact/</t>
  </si>
  <si>
    <t xml:space="preserve">https://www.thomassci.com/browse-by/suppliers/precision-systems | https://www.psi-software.com/contact/</t>
  </si>
  <si>
    <t xml:space="preserve">Premier Handling</t>
  </si>
  <si>
    <t xml:space="preserve">https://www.thomassci.com/browse-by/suppliers/premier-handling</t>
  </si>
  <si>
    <t xml:space="preserve">Prestige Ameritech</t>
  </si>
  <si>
    <t xml:space="preserve">https://www.thomassci.com/browse-by/suppliers/prestige-ameritech</t>
  </si>
  <si>
    <t xml:space="preserve">https://prestigeameritech.com</t>
  </si>
  <si>
    <t xml:space="preserve">Face Mask, Earloop Fluid-Resistant</t>
  </si>
  <si>
    <t xml:space="preserve">ProGear PPE Products</t>
  </si>
  <si>
    <t xml:space="preserve">(817) 427-2700</t>
  </si>
  <si>
    <t xml:space="preserve">https://www.prestigeameritech.com/contact</t>
  </si>
  <si>
    <t xml:space="preserve">https://www.thomassci.com/browse-by/suppliers/prestige-ameritech | https://www.prestigeameritech.com/contact</t>
  </si>
  <si>
    <t xml:space="preserve">Princeton Chromatography</t>
  </si>
  <si>
    <t xml:space="preserve">https://pci-hplc.com</t>
  </si>
  <si>
    <t xml:space="preserve">(609) 860-1803</t>
  </si>
  <si>
    <t xml:space="preserve">info@pci-hplc.com</t>
  </si>
  <si>
    <t xml:space="preserve">https://pci-hplc.com/pages/contact-us</t>
  </si>
  <si>
    <t xml:space="preserve">https://www.quartzy.com/suppliers | https://pci-hplc.com/pages/contact-us</t>
  </si>
  <si>
    <t xml:space="preserve">Pro Advantage</t>
  </si>
  <si>
    <t xml:space="preserve">https://www.thomassci.com/browse-by/suppliers/pro-advantage</t>
  </si>
  <si>
    <t xml:space="preserve">Pro Advantage® Soft Nitrile Exam Gloves</t>
  </si>
  <si>
    <t xml:space="preserve">Pro Advantage® Gauze Sponges - Non-Sterile</t>
  </si>
  <si>
    <t xml:space="preserve">Pro Advantage® Stockinettes</t>
  </si>
  <si>
    <t xml:space="preserve">PRO Scientific</t>
  </si>
  <si>
    <t xml:space="preserve">https://www.thomassci.com/browse-by/suppliers/pro-scientific</t>
  </si>
  <si>
    <t xml:space="preserve">https://proscientific.com</t>
  </si>
  <si>
    <t xml:space="preserve">PRO Scientific is a global leader in the manufacturing of homogenizers for both laboratory and industrial labs. PRO homogenizer are able to homogenize various types of material, such as tissue, plant, food, soil, cosmetics and many others.</t>
  </si>
  <si>
    <t xml:space="preserve">Bio-Gen PRO200® Laboratory Homogenizer</t>
  </si>
  <si>
    <t xml:space="preserve">PRO250® Laboratory Homogenizer</t>
  </si>
  <si>
    <t xml:space="preserve">PRO D-Series® Digital Benchtop Homogenizer</t>
  </si>
  <si>
    <t xml:space="preserve">Only US channels (VWR, Thomas, Marshall, MIDSCI) and an Indian reseller appeared; no Israel mention.</t>
  </si>
  <si>
    <t xml:space="preserve">203-267-4600</t>
  </si>
  <si>
    <t xml:space="preserve">https://proscientific.com/contact-us</t>
  </si>
  <si>
    <t xml:space="preserve">https://www.quartzy.com/suppliers | https://info.quartzy.com/new-suppliers | https://www.thomassci.com/browse-by/suppliers/pro-scientific | https://ormir.co.il/card-with-image/ | https://proscientific.com/contact-us</t>
  </si>
  <si>
    <t xml:space="preserve">Proctor &amp; Gamble</t>
  </si>
  <si>
    <t xml:space="preserve">https://www.thomassci.com/browse-by/suppliers/proctor-and-gamble</t>
  </si>
  <si>
    <t xml:space="preserve">Promega</t>
  </si>
  <si>
    <t xml:space="preserve">https://www.promega.com</t>
  </si>
  <si>
    <t xml:space="preserve">Madison (Fitchburg), Wisconsin</t>
  </si>
  <si>
    <t xml:space="preserve">USD ~650 million (trade estimate; private)</t>
  </si>
  <si>
    <t xml:space="preserve">Maxwell RSC</t>
  </si>
  <si>
    <t xml:space="preserve">GloMax</t>
  </si>
  <si>
    <t xml:space="preserve">CellTiter-Glo / Dual-Luciferase</t>
  </si>
  <si>
    <t xml:space="preserve">IM Beit HaEmek (Beit HaEmek Industries)</t>
  </si>
  <si>
    <t xml:space="preserve">IM Beit HaEmek (Beit HaEmek Industries): +972 4-868-9015 info@bemek.co.il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</si>
  <si>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Promega's own live contact page still lists IM Beit Haemek, Kibbutz Beit Ha'Emek, as its distributor with Israel as marketing area, address, phone/fax and website. bemek.co.il is live (a page surfaced in another search) but was not re-searched for Promega; the prior round's about-us evidence stands. Promega's 'Contact Promega' page lists IM Beit HaEmek (Kibbutz Beit HaEmek) as its Israel distributor, and IM Beit HaEmek's own site names Promega among the brands it officially distributes.</t>
    </r>
  </si>
  <si>
    <t xml:space="preserve">+1 608-274-4330</t>
  </si>
  <si>
    <t xml:space="preserve">2800 Woods Hollow Road, Madison, WI 53711, USA</t>
  </si>
  <si>
    <t xml:space="preserve">https://ita.promega.com/en/support/contact-promega/</t>
  </si>
  <si>
    <t xml:space="preserve">https://www.quartzy.com/suppliers | https://at.promega.com/products/ | https://ch.promega.com/products/ | https://worldwide.promega.com/promega-ai-information-page/ | https://en.wikipedia.org/wiki/Promega | https://www.biorn.org/member/promega-gmbh | https://www.biospace.com/promega-corporation-and-b-mybio-b-sign-exclusive-distribution-agreement-for-b-republic-of-ireland-b-and-northern-ireland | https://www.promega.com/support/contact-promega/ | https://worldwide.promega.com/country.aspx | https://bioind.com/worldwide/about/bi-worldwide | https://www.developmentaid.org/organizations/view/443494/biological-industries-israel-beit-haemek | https://www.bemek.co.il/about-us/ | https://www.promega.com/support/</t>
  </si>
  <si>
    <t xml:space="preserve">PromoCell</t>
  </si>
  <si>
    <t xml:space="preserve">https://promocell.com</t>
  </si>
  <si>
    <t xml:space="preserve">Eisenberg Bros. Ltd.; IM Beit HaEmek (Beit HaEmek Industries)</t>
  </si>
  <si>
    <t xml:space="preserve">Eisenberg Bros. Ltd.: +972 3-977-7000; IM Beit HaEmek (Beit HaEmek Industries): +972 4-868-9015 info@bemek.co.il</t>
  </si>
  <si>
    <t xml:space="preserve">+496221649340</t>
  </si>
  <si>
    <t xml:space="preserve">https://promocell.com/de_de/gmp/gmp-contact-us/</t>
  </si>
  <si>
    <t xml:space="preserve">https://www.quartzy.com/suppliers | https://eisenbros.co.il/product-category/life-sciences-and-healthcare/cell-biology/ | https://www.bemek.co.il/ | https://promocell.com/de_de/gmp/gmp-contact-us/</t>
  </si>
  <si>
    <t xml:space="preserve">Propper Manufacturing</t>
  </si>
  <si>
    <t xml:space="preserve">https://www.thomassci.com/browse-by/suppliers/propper-manufacturing</t>
  </si>
  <si>
    <t xml:space="preserve">Steri-Wrap® III</t>
  </si>
  <si>
    <t xml:space="preserve">Lead Free Steam Chex Autoclave Indicator Tape</t>
  </si>
  <si>
    <t xml:space="preserve">Steam Dot® Blu™ Indicators</t>
  </si>
  <si>
    <t xml:space="preserve">ProSci</t>
  </si>
  <si>
    <t xml:space="preserve">https://www.thomassci.com/browse-by/suppliers/prosci</t>
  </si>
  <si>
    <t xml:space="preserve">https://prosci.com</t>
  </si>
  <si>
    <t xml:space="preserve">Aven Antibody: Cat. No. 2413</t>
  </si>
  <si>
    <t xml:space="preserve">IL-17 Antibody: Cat. No. 4887</t>
  </si>
  <si>
    <t xml:space="preserve">FLIP Antibody: Cat. No. 1161</t>
  </si>
  <si>
    <t xml:space="preserve">ProSci is a Genesee Scientific antibody brand sold direct; a Feb 2025 release on its global commercial strategy names no Israeli distributor; product hits are US price pages.</t>
  </si>
  <si>
    <t xml:space="preserve">+1 970 203 9332</t>
  </si>
  <si>
    <t xml:space="preserve">https://www.prosci.com/about#go-to-form</t>
  </si>
  <si>
    <t xml:space="preserve">https://www.quartzy.com/suppliers | https://www.thomassci.com/browse-by/suppliers/prosci | https://www.enco.co.il/suppliers.php | https://www.prosci.com/about#go-to-form</t>
  </si>
  <si>
    <t xml:space="preserve">ProSpec</t>
  </si>
  <si>
    <t xml:space="preserve">https://www.prospecbio.com</t>
  </si>
  <si>
    <t xml:space="preserve">1-800-805-6531</t>
  </si>
  <si>
    <t xml:space="preserve">info@prospecbio.com</t>
  </si>
  <si>
    <t xml:space="preserve">https://prospecbio.com/pages/contact</t>
  </si>
  <si>
    <t xml:space="preserve">https://www.quartzy.com/suppliers | https://prospecbio.com/pages/contact</t>
  </si>
  <si>
    <t xml:space="preserve">Prospec-tany Technogene</t>
  </si>
  <si>
    <t xml:space="preserve">https://www.thomassci.com/browse-by/suppliers/prospec-tany-technogene</t>
  </si>
  <si>
    <t xml:space="preserve">PEDF Human, HEK</t>
  </si>
  <si>
    <t xml:space="preserve">SERPINE1 Antibody</t>
  </si>
  <si>
    <t xml:space="preserve">Protective Industrial Products</t>
  </si>
  <si>
    <t xml:space="preserve">https://www.thomassci.com/browse-by/suppliers/protective-industrial-products</t>
  </si>
  <si>
    <t xml:space="preserve">https://pipglobal.com</t>
  </si>
  <si>
    <t xml:space="preserve">Proteintech</t>
  </si>
  <si>
    <t xml:space="preserve">https://www.thomassci.com/browse-by/suppliers/proteintech</t>
  </si>
  <si>
    <t xml:space="preserve">Glutamate Decarboxylase 2 (Pancreatic Islets And Brain, 65Kda)</t>
  </si>
  <si>
    <t xml:space="preserve">Mitogen-Activated Protein Kinase 9</t>
  </si>
  <si>
    <t xml:space="preserve">UBP1 Rabbit Polyclonal Antibody (13856-1-AP)</t>
  </si>
  <si>
    <t xml:space="preserve">Proteogenix</t>
  </si>
  <si>
    <t xml:space="preserve">https://www.dutscher.com/search?initialFilters=brand:Proteogenix</t>
  </si>
  <si>
    <t xml:space="preserve">https://proteogenix.science</t>
  </si>
  <si>
    <t xml:space="preserve">HA-TAG RABBIT POLYCLONAL ANTIBODY PROTEOGENIX IGG 100µl</t>
  </si>
  <si>
    <t xml:space="preserve">A TUBULIN MOUSE MONOCLONAL ANTIBODY(ZEBRAFISH SPECIFIC) PROTEOGENIX IGG1 100µl</t>
  </si>
  <si>
    <t xml:space="preserve">MBP-TAG RABBIT POLYCLONAL ANTIBODY PROTEOGENIX IGG 100µl</t>
  </si>
  <si>
    <t xml:space="preserve">+330390205470</t>
  </si>
  <si>
    <t xml:space="preserve">contact@proteogenix.fr</t>
  </si>
  <si>
    <t xml:space="preserve">https://www.proteogenix.science/contact/</t>
  </si>
  <si>
    <t xml:space="preserve">https://www.dutscher.com/search?initialFilters=brand:Proteogenix | https://www.proteogenix.science/contact/</t>
  </si>
  <si>
    <t xml:space="preserve">Pulp Fixin</t>
  </si>
  <si>
    <t xml:space="preserve">https://www.thomassci.com/browse-by/suppliers/pulp-fixin</t>
  </si>
  <si>
    <t xml:space="preserve">PulpFixin AutoSleeve &amp; 2D AutoBox for Microcentrifuge Tube Sample Storage</t>
  </si>
  <si>
    <t xml:space="preserve">PulpFixin 2D AutoBox for 4ml Glass Vials with 2D Barcodes Sample Storage</t>
  </si>
  <si>
    <t xml:space="preserve">Pulp Fixin™ AutoRacks - Biodegradable Automation Racks for 2D Tubes</t>
  </si>
  <si>
    <t xml:space="preserve">PurePeg</t>
  </si>
  <si>
    <t xml:space="preserve">https://purepeg.com</t>
  </si>
  <si>
    <t xml:space="preserve">Purge Labs</t>
  </si>
  <si>
    <t xml:space="preserve">https://www.thomassci.com/browse-by/suppliers/purge-labs</t>
  </si>
  <si>
    <t xml:space="preserve">https://purgelabs.com</t>
  </si>
  <si>
    <t xml:space="preserve">Puritan</t>
  </si>
  <si>
    <t xml:space="preserve">https://www.dutscher.com/search?initialFilters=brand:Puritan</t>
  </si>
  <si>
    <t xml:space="preserve">https://www.puritanmedproducts.com</t>
  </si>
  <si>
    <t xml:space="preserve">Swab</t>
  </si>
  <si>
    <t xml:space="preserve">Large sterile foam tipped applicator - PP handle</t>
  </si>
  <si>
    <t xml:space="preserve">DryTransport swabs with Hydraflock tip - breakpoint 100 mm - elongated tip - white</t>
  </si>
  <si>
    <t xml:space="preserve">Polyester-tipped applicator - sterile - wood - Standard Tip (1 unit/ box)</t>
  </si>
  <si>
    <t xml:space="preserve">800-321-2313</t>
  </si>
  <si>
    <t xml:space="preserve">https://www.puritanmedproducts.com/pages/contact-us</t>
  </si>
  <si>
    <t xml:space="preserve">https://www.dutscher.com/search?initialFilters=brand:Puritan | https://www.puritanmedproducts.com/pages/contact-us</t>
  </si>
  <si>
    <t xml:space="preserve">Puritan Medical</t>
  </si>
  <si>
    <t xml:space="preserve">Puritan Medical Products</t>
  </si>
  <si>
    <t xml:space="preserve">https://www.thomassci.com/browse-by/suppliers/puritan-medical-products</t>
  </si>
  <si>
    <t xml:space="preserve">https://puritanmedproducts.com</t>
  </si>
  <si>
    <t xml:space="preserve">6" Cotton Tipped Applicators with Wood Handles</t>
  </si>
  <si>
    <t xml:space="preserve">Knitted Polyester applicators, plastic handle, non-sterile</t>
  </si>
  <si>
    <t xml:space="preserve">Sterile Tongue Depressors, 6", White Birch</t>
  </si>
  <si>
    <t xml:space="preserve">https://www.thomassci.com/browse-by/suppliers/puritan-medical-products | https://www.puritanmedproducts.com/pages/contact-us</t>
  </si>
  <si>
    <t xml:space="preserve">Purus International</t>
  </si>
  <si>
    <t xml:space="preserve">https://www.thomassci.com/browse-by/suppliers/purus-international</t>
  </si>
  <si>
    <t xml:space="preserve">https://purusint.com</t>
  </si>
  <si>
    <t xml:space="preserve">Pure Touch Glove Liners</t>
  </si>
  <si>
    <t xml:space="preserve">Pure Comfort Cleanroom Socks</t>
  </si>
  <si>
    <t xml:space="preserve">PURUS™ CleanImage Premier Cleanroom Paper, 8.5 x 11 cleanroom paper, White, 3-hole punched, 10 packs per case</t>
  </si>
  <si>
    <t xml:space="preserve">Pyramex Safety Products</t>
  </si>
  <si>
    <t xml:space="preserve">https://www.thomassci.com/browse-by/suppliers/pyramex-safety-products</t>
  </si>
  <si>
    <t xml:space="preserve">Pyramex Safety Glasses</t>
  </si>
  <si>
    <t xml:space="preserve">OTS SAFETY GLASSES CLEAR LENS BLK FRAME, 1/EA, 12/BX, 300/CS</t>
  </si>
  <si>
    <t xml:space="preserve">Capstone 500 Series Goggles</t>
  </si>
  <si>
    <t xml:space="preserve">Pyramid Brand</t>
  </si>
  <si>
    <t xml:space="preserve">https://www.thomassci.com/browse-by/suppliers/pyramid-brand</t>
  </si>
  <si>
    <t xml:space="preserve">Pyramid Brand 200uL Steady-Rak Tips</t>
  </si>
  <si>
    <t xml:space="preserve">Pyramid Brand 1000uL Blue Tips</t>
  </si>
  <si>
    <t xml:space="preserve">Pyramid Brand 10uL Steady-Rak Tips</t>
  </si>
  <si>
    <t xml:space="preserve">Q-Leap</t>
  </si>
  <si>
    <t xml:space="preserve">https://www.thomassci.com/browse-by/suppliers/q-leap</t>
  </si>
  <si>
    <t xml:space="preserve">Cleanroom Adhesive Mats</t>
  </si>
  <si>
    <t xml:space="preserve">Cleanroom Wipers</t>
  </si>
  <si>
    <t xml:space="preserve">Pylon Wiper, Microfiber &amp; Polyester Blend, 9" x 9"</t>
  </si>
  <si>
    <t xml:space="preserve">Qiagen</t>
  </si>
  <si>
    <t xml:space="preserve">https://www.thomassci.com/browse-by/suppliers/qiagen</t>
  </si>
  <si>
    <t xml:space="preserve">https://www.qiagen.com</t>
  </si>
  <si>
    <t xml:space="preserve">הולנד</t>
  </si>
  <si>
    <t xml:space="preserve">Venlo (statutory seat); operational HQ Hilden, Germany</t>
  </si>
  <si>
    <t xml:space="preserve">USD 2,090.0 million</t>
  </si>
  <si>
    <t xml:space="preserve">QIAcube Connect</t>
  </si>
  <si>
    <t xml:space="preserve">QIAstat-Dx</t>
  </si>
  <si>
    <t xml:space="preserve">QuantiFERON-TB Gold Plus</t>
  </si>
  <si>
    <t xml:space="preserve">Ilex Medical Ltd.; Eldan Electronic Instruments (Neopharm group); Lifegene Ltd.</t>
  </si>
  <si>
    <t xml:space="preserve">Ilex Medical Ltd.: +972-3-9385500; Eldan Electronic Instruments (Neopharm group): +972-3-937-1111 info@eldan.biz; Lifegene Ltd.: +972 8-644-4314 info@lifegene.co.il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</si>
  <si>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Ilex Medical's live catalogue (qPCR/dPCR, molecular biology, extraction, oncology, hematology, molecular lab services) re-confirms Ilex as the current QIAGEN channel. Eldan's only QIAGEN mention remains the 2014 ILANIT page (about 12 years old); its live diagnostics-kits page does not list QIAGEN, so Eldan is kept as older evidence only. Lifegene was not re-searched. QIAGEN's own site still does not name its Israeli partner in snippets. Searched QIAGEN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Israeli distributor domains and qiagen.com. Ilex Medical's own catalogue lists QIAGEN instruments and kits (QIAcuity, Rotor-Gene Q, QIAxcel, extraction, oncology), while Eldan's site named QIAGEN as a represented manufacturer in 2014 and exhibited QIAGEN products in 2015-2016 - stale, so Eldan may no longer carry the line or may cover research-only products. QIAGEN's own pages route Israel to 'a commercial partner in your country' without naming one (a 2000 handbook named Westburg (Israel) Ltd., obsolete), and no QIAGEN Israeli subsidiary was found; QIAGEN's acquisition of Israeli start-up Genoox is an R&amp;D deal, not a sales channel. No source was seen for QIAsymphony/QIAstat-Dx specifically. Lifegene's catalogue lists QIAGEN as supplier and brand for enzymes; Ilex Medical (per round 2) covers the QIAGEN instrument/kit line.</t>
    </r>
  </si>
  <si>
    <t xml:space="preserve">+49 2103 29 12000</t>
  </si>
  <si>
    <t xml:space="preserve">QIAGEN Str. 1, 40724 Hilden, Germany (operational HQ)</t>
  </si>
  <si>
    <t xml:space="preserve">https://qiagen.com/ch/knowledge-and-support/contact-customer-support</t>
  </si>
  <si>
    <t xml:space="preserve">https://www.biocompare.com/100425-QIAGEN/</t>
  </si>
  <si>
    <r>
      <rPr>
        <sz val="11"/>
        <color theme="1"/>
        <rFont val="Calibri"/>
        <family val="2"/>
        <charset val="1"/>
      </rPr>
      <t xml:space="preserve">https://www.thomassci.com/browse-by/suppliers/qiagen | https://www.360dx.com/business-news/qiagen-q4-revenue-rises-4-percent-sample-tech-diagnostic-sales-growth | https://www.genomeweb.com/business-news/qiagen-q4-revenue-rises-4-percent-sample-tech-diagnostic-sales-growth | https://www.ice.co.il/digital-140/news/article/1064369 | https://qiagen.com/es/about-us | https://www.qiagen.com/az/about-us/our-global-presence | https://weforum.org/organizations/qiagen-nv | https://www.ilexmedical.com/catalog_products/qpcr-dpcr/ | https://www.ilexmedical.com/catalog_products/%D7%94%D7%9E%D7%98%D7%95-%D7%90%D7%95%D7%A0%D7%A7%D7%95%D7%9C%D7%95%D7%92%D7%99%D7%94-2/ | https://eldan.biz/?p=1052 | https://eldan.biz/the-annual-meeting-of-the-israel-society-for-microbiology-ism/ | https://www.qiagen.com/us/contact-us/global-contacts | https://www.qiagen.com/us/about-us/our-global-presence | https://www.lifegene.co.il/page_30153 | https://www.ilexmedical.com/catallog_category/</t>
    </r>
    <r>
      <rPr>
        <sz val="11"/>
        <color theme="1"/>
        <rFont val="FreeSans"/>
        <family val="2"/>
      </rPr>
      <t xml:space="preserve">ביולוגיה</t>
    </r>
    <r>
      <rPr>
        <sz val="11"/>
        <color theme="1"/>
        <rFont val="Calibri"/>
        <family val="2"/>
        <charset val="1"/>
      </rPr>
      <t xml:space="preserve">-</t>
    </r>
    <r>
      <rPr>
        <sz val="11"/>
        <color theme="1"/>
        <rFont val="FreeSans"/>
        <family val="2"/>
      </rPr>
      <t xml:space="preserve">מולקולרית</t>
    </r>
    <r>
      <rPr>
        <sz val="11"/>
        <color theme="1"/>
        <rFont val="Calibri"/>
        <family val="2"/>
        <charset val="1"/>
      </rPr>
      <t xml:space="preserve">/ | https://www.ilexmedical.com/catalog_products/</t>
    </r>
    <r>
      <rPr>
        <sz val="11"/>
        <color theme="1"/>
        <rFont val="FreeSans"/>
        <family val="2"/>
      </rPr>
      <t xml:space="preserve">הפקות</t>
    </r>
    <r>
      <rPr>
        <sz val="11"/>
        <color theme="1"/>
        <rFont val="Calibri"/>
        <family val="2"/>
        <charset val="1"/>
      </rPr>
      <t xml:space="preserve">/ | http://eldan.biz/fisebilanit-2014/ | https://www.eldan.biz/diagnostics-kits-and-consumables/ | https://www.businesswire.com/news/home/20260204085226/en/QIAGEN-Exceeds-Q4-2025-Outlook-Driven-by-Growth-Pillars | https://stocktitan.net/sec-filings/QGEN/20-f-qiagen-n-v-files-annual-report-foreign-issuer-abe7e9c1d1d1.html | https://www.hauptversammlung.de/fileadmin/public/user_upload/QIAGEN_GB25.pdf | https://www.qiagen.com/us/contact-us</t>
    </r>
  </si>
  <si>
    <t xml:space="preserve">Qkine Ltd.</t>
  </si>
  <si>
    <t xml:space="preserve">https://www.thomassci.com/browse-by/suppliers/qkine-ltd-</t>
  </si>
  <si>
    <t xml:space="preserve">Qorpak</t>
  </si>
  <si>
    <t xml:space="preserve">https://www.thomassci.com/browse-by/suppliers/qorpak</t>
  </si>
  <si>
    <t xml:space="preserve">https://www.qorpak.com</t>
  </si>
  <si>
    <t xml:space="preserve">Clear Straight Sided Rounds with Black Phenolic Pulp/Vinyl Caps</t>
  </si>
  <si>
    <t xml:space="preserve">Cubitainers®</t>
  </si>
  <si>
    <t xml:space="preserve">Amber Boston Rounds with Green Thermoset F217 &amp; PTFE Caps</t>
  </si>
  <si>
    <t xml:space="preserve">No result mentioned Qorpak; only unrelated Israeli companies (Amisragas, Dubek, Diplomat).</t>
  </si>
  <si>
    <t xml:space="preserve">https://shop.qorpak.com/</t>
  </si>
  <si>
    <t xml:space="preserve">https://www.quartzy.com/suppliers | https://www.thomassci.com/browse-by/suppliers/qorpak | https://shop.qorpak.com/</t>
  </si>
  <si>
    <t xml:space="preserve">Qosina</t>
  </si>
  <si>
    <t xml:space="preserve">https://www.thomassci.com/browse-by/suppliers/qosina</t>
  </si>
  <si>
    <t xml:space="preserve">https://qosina.com</t>
  </si>
  <si>
    <t xml:space="preserve">Precision Swab with Mini Tapered Tip and Wood Handle</t>
  </si>
  <si>
    <t xml:space="preserve">Male Luer Lock to Male Luer Lock Connector with One Rotating Collar</t>
  </si>
  <si>
    <t xml:space="preserve">Y Connector, PC</t>
  </si>
  <si>
    <t xml:space="preserve">+1 631 242-3000</t>
  </si>
  <si>
    <t xml:space="preserve">https://www.qosina.com/contact-us-1</t>
  </si>
  <si>
    <t xml:space="preserve">https://www.thomassci.com/browse-by/suppliers/qosina | https://www.qosina.com/contact-us-1</t>
  </si>
  <si>
    <t xml:space="preserve">QRP® by PIP Global Safety</t>
  </si>
  <si>
    <t xml:space="preserve">https://www.thomassci.com/browse-by/suppliers/qrp-by-pip-global-safety</t>
  </si>
  <si>
    <t xml:space="preserve">Polyurethane Electrostatic Dissipative (ESD) Glove</t>
  </si>
  <si>
    <t xml:space="preserve">Polyurethane Solvent Glove</t>
  </si>
  <si>
    <t xml:space="preserve">9C Nitrile Latex-Free Finger Cots, ISO 5 (Class 100)</t>
  </si>
  <si>
    <t xml:space="preserve">Qsonica</t>
  </si>
  <si>
    <t xml:space="preserve">https://www.thomassci.com/browse-by/suppliers/qsonica</t>
  </si>
  <si>
    <t xml:space="preserve">https://sonicator.com</t>
  </si>
  <si>
    <t xml:space="preserve">Q500 Sonicators</t>
  </si>
  <si>
    <t xml:space="preserve">Q125 Sonicators</t>
  </si>
  <si>
    <t xml:space="preserve">Q55 Sonicator</t>
  </si>
  <si>
    <t xml:space="preserve">2034260101</t>
  </si>
  <si>
    <t xml:space="preserve">info@sonicator.com</t>
  </si>
  <si>
    <t xml:space="preserve">https://www.sonicator.com/pages/contact-info</t>
  </si>
  <si>
    <t xml:space="preserve">https://www.thomassci.com/browse-by/suppliers/qsonica | https://www.lumitron.co.il/ | https://www.sonicator.com/pages/contact-info</t>
  </si>
  <si>
    <t xml:space="preserve">Quality Biological</t>
  </si>
  <si>
    <t xml:space="preserve">https://www.thomassci.com/browse-by/suppliers/quality-biological</t>
  </si>
  <si>
    <t xml:space="preserve">https://qualitybiological.com</t>
  </si>
  <si>
    <t xml:space="preserve">Terrific Broth</t>
  </si>
  <si>
    <t xml:space="preserve">10X TBS HCl, pH 7.2</t>
  </si>
  <si>
    <t xml:space="preserve">5M Sodium Chloride</t>
  </si>
  <si>
    <t xml:space="preserve">No result mentions Quality Biological; ENCO Diagnostics (Petach Tikva) appeared only as Medix Biochemica's Israeli distributor.</t>
  </si>
  <si>
    <t xml:space="preserve">https://www.quartzy.com/suppliers | https://www.thomassci.com/browse-by/suppliers/quality-biological</t>
  </si>
  <si>
    <t xml:space="preserve">Quality Environmental Containers</t>
  </si>
  <si>
    <t xml:space="preserve">https://www.thomassci.com/browse-by/suppliers/quality-environmental-containers</t>
  </si>
  <si>
    <t xml:space="preserve">UltraLab™ HDPE Wide Mouth Bottles</t>
  </si>
  <si>
    <t xml:space="preserve">Round Wide Mouth Containers</t>
  </si>
  <si>
    <t xml:space="preserve">Labels/Custody Seals</t>
  </si>
  <si>
    <t xml:space="preserve">Quantum Storage Systems</t>
  </si>
  <si>
    <t xml:space="preserve">https://www.thomassci.com/browse-by/suppliers/quantum-storage-systems</t>
  </si>
  <si>
    <t xml:space="preserve">https://quantumstorage.com</t>
  </si>
  <si>
    <t xml:space="preserve">QUS265 Ultra Stack and Hang Bin - 8.25” x 18” x 9”</t>
  </si>
  <si>
    <t xml:space="preserve">QUS245 Ultra Stack and Hang Bins - 10-7/8" x 16-1/2" x 5"</t>
  </si>
  <si>
    <t xml:space="preserve">QUS236 Ultra Stack and Hang Bins - 7-3/8" x 11" x 3"</t>
  </si>
  <si>
    <t xml:space="preserve">+8006854665</t>
  </si>
  <si>
    <t xml:space="preserve">sales@quantumstorage.com</t>
  </si>
  <si>
    <t xml:space="preserve">https://www.quantumstorage.com/contact/</t>
  </si>
  <si>
    <t xml:space="preserve">https://www.thomassci.com/browse-by/suppliers/quantum-storage-systems | https://www.quantumstorage.com/contact/</t>
  </si>
  <si>
    <t xml:space="preserve">Quidel Corporation</t>
  </si>
  <si>
    <t xml:space="preserve">https://www.thomassci.com/browse-by/suppliers/quidel-corporation</t>
  </si>
  <si>
    <t xml:space="preserve">RSV Test</t>
  </si>
  <si>
    <t xml:space="preserve">Strep A Test</t>
  </si>
  <si>
    <t xml:space="preserve">hCG-Urine</t>
  </si>
  <si>
    <t xml:space="preserve">https://www.thomassci.com/browse-by/suppliers/quidel-corporation | https://www.enco.co.il/suppliers.php</t>
  </si>
  <si>
    <t xml:space="preserve">Quincy Lab</t>
  </si>
  <si>
    <t xml:space="preserve">https://www.thomassci.com/browse-by/suppliers/quincy-lab</t>
  </si>
  <si>
    <t xml:space="preserve">https://quincylab.com</t>
  </si>
  <si>
    <t xml:space="preserve">Economy Analog Incubators</t>
  </si>
  <si>
    <t xml:space="preserve">Digital Gravity Convection Ovens</t>
  </si>
  <si>
    <t xml:space="preserve">Digital Low-Temp Laboratory Ovens</t>
  </si>
  <si>
    <t xml:space="preserve">8004824328</t>
  </si>
  <si>
    <t xml:space="preserve">orders@quincylab.com</t>
  </si>
  <si>
    <t xml:space="preserve">https://quincylab.com/</t>
  </si>
  <si>
    <t xml:space="preserve">https://www.thomassci.com/browse-by/suppliers/quincy-lab | https://quincylab.com/</t>
  </si>
  <si>
    <t xml:space="preserve">Quintana Associates</t>
  </si>
  <si>
    <t xml:space="preserve">https://www.thomassci.com/browse-by/suppliers/quintana-associates</t>
  </si>
  <si>
    <t xml:space="preserve">https://quintanassoc.com</t>
  </si>
  <si>
    <t xml:space="preserve">TU,7.6,EXT,NG,JKT,3CD,CP,BK Repacked</t>
  </si>
  <si>
    <t xml:space="preserve">Trash Bags</t>
  </si>
  <si>
    <t xml:space="preserve">R&amp;D Systems</t>
  </si>
  <si>
    <t xml:space="preserve">R&amp;R Lotion</t>
  </si>
  <si>
    <t xml:space="preserve">https://www.thomassci.com/browse-by/suppliers/r-and-r-lotion</t>
  </si>
  <si>
    <t xml:space="preserve">https://rrlotion.com</t>
  </si>
  <si>
    <t xml:space="preserve">Lotion, ESD, Blue, 8oz</t>
  </si>
  <si>
    <t xml:space="preserve">ESD Solvent Dispenser with Standard Pump</t>
  </si>
  <si>
    <t xml:space="preserve">I.C. Antistatic Laminating Sheets</t>
  </si>
  <si>
    <t xml:space="preserve">(480) 443-9255</t>
  </si>
  <si>
    <t xml:space="preserve">info@rrlotion.com</t>
  </si>
  <si>
    <t xml:space="preserve">https://rrlotion.com/contact-us/distributors/</t>
  </si>
  <si>
    <t xml:space="preserve">https://www.thomassci.com/browse-by/suppliers/r-and-r-lotion | https://rrlotion.com/contact-us/distributors/</t>
  </si>
  <si>
    <t xml:space="preserve">R3 Safety</t>
  </si>
  <si>
    <t xml:space="preserve">https://www.thomassci.com/browse-by/suppliers/r3-safety</t>
  </si>
  <si>
    <t xml:space="preserve">https://r3safety.net</t>
  </si>
  <si>
    <t xml:space="preserve">Aluminum Foil, Medallion, Heavy Duty, 18" x 1000' per roll, 1EA/RL</t>
  </si>
  <si>
    <t xml:space="preserve">Miller Temporary Anchorage Connectors</t>
  </si>
  <si>
    <t xml:space="preserve">Radians</t>
  </si>
  <si>
    <t xml:space="preserve">https://www.thomassci.com/browse-by/suppliers/radians</t>
  </si>
  <si>
    <t xml:space="preserve">https://radians.com</t>
  </si>
  <si>
    <t xml:space="preserve">RWG550 Ghost™ Series Cut Protection Level A2 Work Glove</t>
  </si>
  <si>
    <t xml:space="preserve">Resistor® 32 Disposable Foam Earplugs</t>
  </si>
  <si>
    <t xml:space="preserve">Detour® 32 Disposable Foam Earplugs</t>
  </si>
  <si>
    <t xml:space="preserve">877-723-4267</t>
  </si>
  <si>
    <t xml:space="preserve">sales@radians.com</t>
  </si>
  <si>
    <t xml:space="preserve">https://www.radians.com/contact</t>
  </si>
  <si>
    <t xml:space="preserve">https://www.thomassci.com/browse-by/suppliers/radians | https://www.radians.com/contact</t>
  </si>
  <si>
    <t xml:space="preserve">Rainin</t>
  </si>
  <si>
    <t xml:space="preserve">https://www.dutscher.com/search?initialFilters=brand:Rainin</t>
  </si>
  <si>
    <t xml:space="preserve">Agentek (1987) Ltd.; Modcon Systems Ltd.; Dinco Ltd.</t>
  </si>
  <si>
    <t xml:space="preserve">Agentek (1987) Ltd.: +972 9-965-7000; Modcon Systems Ltd.: +972-4-9553955; Dinco Ltd.:</t>
  </si>
  <si>
    <t xml:space="preserve">https://www.dutscher.com/search?initialFilters=brand:Rainin | https://www.quartzy.com/suppliers | https://www.mt.com/il/en/home.html | https://agentek.co.il/representative/mettler-toledo/ | https://agentek.co.il/news/agntq-mthilh-lwvvq-at-mvcri-rainin | https://agentek.co.il/products/mettler-toledo-e4-electronic-pipette-lts-e4-10xls/ | https://agentek.co.il/?p=104 | https://agentek.co.il/vendors/ | https://agentek.co.il/products/chronect-xpr-robotic-powder-and-liquid-dispensing/ | https://agentek.co.il/products/mettler-toledo-96-channel-pipette-rainin-micropro/ | https://agentek.co.il/products/mettler-toledo-throat-profile-metal-detector/ | https://investor.mt.com/news/news-details/2026/Mettler-Toledo-International-Inc--Reports-Fourth-Quarter-2025-Results/default.aspx | https://www.sec.gov/Archives/edgar/data/1037646/000103764626000011/mtd-20251231.htm</t>
  </si>
  <si>
    <t xml:space="preserve">RAL Diagnostics</t>
  </si>
  <si>
    <t xml:space="preserve">https://www.dutscher.com/search?initialFilters=brand:RAL+Diagnostics</t>
  </si>
  <si>
    <t xml:space="preserve">RAL stain- Stool parasitology duo kit - 2 x 24 tests</t>
  </si>
  <si>
    <t xml:space="preserve">RAL stain- Safranin for Gram - 1000 ml</t>
  </si>
  <si>
    <t xml:space="preserve">RAL stain- Histoperls kit for ferric salts</t>
  </si>
  <si>
    <t xml:space="preserve">Ratiolab</t>
  </si>
  <si>
    <t xml:space="preserve">https://www.dutscher.com/search?initialFilters=brand:Ratiolab</t>
  </si>
  <si>
    <t xml:space="preserve">https://ratiolab.com</t>
  </si>
  <si>
    <t xml:space="preserve">Polyethylene counting vial 20 ml (scintillation)</t>
  </si>
  <si>
    <t xml:space="preserve">Stand for lab bench bag - round opening - colour: white</t>
  </si>
  <si>
    <t xml:space="preserve">Economical 2 Litre autoclave bag</t>
  </si>
  <si>
    <t xml:space="preserve">info@ratiolab.com</t>
  </si>
  <si>
    <t xml:space="preserve">https://www.ratiolab.com/kontakt/</t>
  </si>
  <si>
    <t xml:space="preserve">https://www.dutscher.com/search?initialFilters=brand:Ratiolab | https://www.ratiolab.com/kontakt/</t>
  </si>
  <si>
    <t xml:space="preserve">RayBiotech</t>
  </si>
  <si>
    <t xml:space="preserve">https://www.thomassci.com/browse-by/suppliers/raybiotech</t>
  </si>
  <si>
    <t xml:space="preserve">https://raybiotech.com</t>
  </si>
  <si>
    <t xml:space="preserve">Human IL-10 ELISA</t>
  </si>
  <si>
    <t xml:space="preserve">Mouse MIP-2 ELISA</t>
  </si>
  <si>
    <t xml:space="preserve">Human Mesothelin ELISA</t>
  </si>
  <si>
    <t xml:space="preserve">RayBiotech's 2012 distributor-conference release cites distributors in 35+ countries (unnamed); EU resellers (Bio-Connect, Insight Bio) appear; Israeli distributor pages (Enco, Rhenium, Biological Industries) do not list RayBiotech.</t>
  </si>
  <si>
    <t xml:space="preserve">7707292992</t>
  </si>
  <si>
    <t xml:space="preserve">orders@raybiotech.com</t>
  </si>
  <si>
    <t xml:space="preserve">https://www.raybiotech.com/contact-us</t>
  </si>
  <si>
    <t xml:space="preserve">https://www.quartzy.com/suppliers | https://www.thomassci.com/browse-by/suppliers/raybiotech | https://www.raybiotech.com/contact-us</t>
  </si>
  <si>
    <t xml:space="preserve">Raylabcon</t>
  </si>
  <si>
    <t xml:space="preserve">https://www.thomassci.com/browse-by/suppliers/raylabcon</t>
  </si>
  <si>
    <t xml:space="preserve">Disposable Plastic Microscope Coverslips</t>
  </si>
  <si>
    <t xml:space="preserve">Bibulous Paper</t>
  </si>
  <si>
    <t xml:space="preserve">ReadyRefresh by Bluetriton Brands</t>
  </si>
  <si>
    <t xml:space="preserve">https://www.thomassci.com/browse-by/suppliers/readyrefresh-by-bluetriton-brands</t>
  </si>
  <si>
    <t xml:space="preserve">Reagecon</t>
  </si>
  <si>
    <t xml:space="preserve">https://www.dutscher.com/search?initialFilters=brand:Reagecon</t>
  </si>
  <si>
    <t xml:space="preserve">https://reagecon.com</t>
  </si>
  <si>
    <t xml:space="preserve">Two-component flame photometer standard: Sodium 120 mmol/l, Potassium 2 mmol/l</t>
  </si>
  <si>
    <t xml:space="preserve">Colour Standard - Value 50 Hazen - 1 L</t>
  </si>
  <si>
    <t xml:space="preserve">Osmolality Standard 290 mOsm/kg H₂O, 5 ml</t>
  </si>
  <si>
    <t xml:space="preserve">+35319014670</t>
  </si>
  <si>
    <t xml:space="preserve">https://www.reagecon.com/en-gb/contact</t>
  </si>
  <si>
    <t xml:space="preserve">https://www.dutscher.com/search?initialFilters=brand:Reagecon | https://www.bdl.co.il/Search.aspx?Category=Chemistry&amp;FCD=1 | https://www.reagecon.com/en-gb/contact</t>
  </si>
  <si>
    <t xml:space="preserve">Reagents®</t>
  </si>
  <si>
    <t xml:space="preserve">https://www.thomassci.com/browse-by/suppliers/reagents</t>
  </si>
  <si>
    <t xml:space="preserve">https://reagents.com</t>
  </si>
  <si>
    <t xml:space="preserve">TISAB II, Standardized</t>
  </si>
  <si>
    <t xml:space="preserve">Reagents HPLC Water</t>
  </si>
  <si>
    <t xml:space="preserve">Isopropanol, ACS Reagent, 99.5%</t>
  </si>
  <si>
    <t xml:space="preserve">Reddot Biotech</t>
  </si>
  <si>
    <t xml:space="preserve">https://reddotbiotech.com</t>
  </si>
  <si>
    <t xml:space="preserve">18558729640</t>
  </si>
  <si>
    <t xml:space="preserve">info@reddotbiotech.com</t>
  </si>
  <si>
    <t xml:space="preserve">https://www.reddotbiotech.com/contact</t>
  </si>
  <si>
    <t xml:space="preserve">https://www.quartzy.com/suppliers | https://www.reddotbiotech.com/contact</t>
  </si>
  <si>
    <t xml:space="preserve">Reichert Technologies</t>
  </si>
  <si>
    <t xml:space="preserve">https://www.thomassci.com/browse-by/suppliers/reichert-technologies</t>
  </si>
  <si>
    <t xml:space="preserve">Brix/RI-Chek Refractometer</t>
  </si>
  <si>
    <t xml:space="preserve">Quebec Darkfield Colony Counter</t>
  </si>
  <si>
    <t xml:space="preserve">Darkfield Quebec Colony Counter</t>
  </si>
  <si>
    <t xml:space="preserve">Remco Products</t>
  </si>
  <si>
    <t xml:space="preserve">https://www.thomassci.com/browse-by/suppliers/remco-products</t>
  </si>
  <si>
    <t xml:space="preserve">https://www.remcoproducts.com</t>
  </si>
  <si>
    <t xml:space="preserve">Mixing Paddle, 40"</t>
  </si>
  <si>
    <t xml:space="preserve">Remco Ultra Hygiene Squeegee</t>
  </si>
  <si>
    <t xml:space="preserve">Detail Brush with Scraping Edge, 150 mm, Hard, White</t>
  </si>
  <si>
    <t xml:space="preserve">+1-317-876-9856</t>
  </si>
  <si>
    <t xml:space="preserve">export@vikan.com</t>
  </si>
  <si>
    <t xml:space="preserve">https://www.vikan.com/us/contact-us</t>
  </si>
  <si>
    <t xml:space="preserve">https://www.thomassci.com/browse-by/suppliers/remco-products | https://www.vikan.com/us/contact-us</t>
  </si>
  <si>
    <t xml:space="preserve">Renco Corporation</t>
  </si>
  <si>
    <t xml:space="preserve">https://www.thomassci.com/browse-by/suppliers/renco-corporation</t>
  </si>
  <si>
    <t xml:space="preserve">RephiLe</t>
  </si>
  <si>
    <t xml:space="preserve">https://www.thomassci.com/browse-by/suppliers/rephile</t>
  </si>
  <si>
    <t xml:space="preserve">RephiLe UV Lamp</t>
  </si>
  <si>
    <t xml:space="preserve">RephiLe RephiDuo U Pack</t>
  </si>
  <si>
    <t xml:space="preserve">RephiLe Tank Level Sensor</t>
  </si>
  <si>
    <t xml:space="preserve">Research Products International</t>
  </si>
  <si>
    <t xml:space="preserve">Restek</t>
  </si>
  <si>
    <t xml:space="preserve">https://www.thomassci.com/browse-by/suppliers/restek</t>
  </si>
  <si>
    <t xml:space="preserve">https://restek.com</t>
  </si>
  <si>
    <t xml:space="preserve">Rinsed and Cleaned 304 Stainless Steel Tubing</t>
  </si>
  <si>
    <t xml:space="preserve">508.1 GC Degradation Check Mix (2 components)</t>
  </si>
  <si>
    <t xml:space="preserve">PTFE Ferrules</t>
  </si>
  <si>
    <t xml:space="preserve">Restek directs customers to 'local Restek office or distributor'; none named for Israel in results (only US distributor Chrom Tech).</t>
  </si>
  <si>
    <t xml:space="preserve">https://www.quartzy.com/suppliers | https://www.thomassci.com/browse-by/suppliers/restek</t>
  </si>
  <si>
    <t xml:space="preserve">Retractable Technologies</t>
  </si>
  <si>
    <t xml:space="preserve">https://www.thomassci.com/browse-by/suppliers/retractable-technologies</t>
  </si>
  <si>
    <t xml:space="preserve">https://retractable.com</t>
  </si>
  <si>
    <t xml:space="preserve">888-703-1010</t>
  </si>
  <si>
    <t xml:space="preserve">international@retractable.com</t>
  </si>
  <si>
    <t xml:space="preserve">https://retractable.com/contact/</t>
  </si>
  <si>
    <t xml:space="preserve">https://www.thomassci.com/browse-by/suppliers/retractable-technologies | https://retractable.com/contact/</t>
  </si>
  <si>
    <t xml:space="preserve">Retsch</t>
  </si>
  <si>
    <t xml:space="preserve">https://www.dutscher.com/search?initialFilters=brand:Retsch</t>
  </si>
  <si>
    <t xml:space="preserve">https://www.thomassci.com/browse-by/suppliers/retsch</t>
  </si>
  <si>
    <t xml:space="preserve">https://www.retsch.com</t>
  </si>
  <si>
    <t xml:space="preserve">Haan (North Rhine-Westphalia)</t>
  </si>
  <si>
    <t xml:space="preserve">Verder International B.V. (Verder Group, Vleuten/Utrecht, Netherlands)</t>
  </si>
  <si>
    <t xml:space="preserve">Elemental &amp; materials analysis</t>
  </si>
  <si>
    <t xml:space="preserve">EUR 300+ million</t>
  </si>
  <si>
    <t xml:space="preserve">undated (company website, accessed 2026)</t>
  </si>
  <si>
    <t xml:space="preserve">Retsch mills and sieve shakers</t>
  </si>
  <si>
    <t xml:space="preserve">Carbolite Gero furnaces</t>
  </si>
  <si>
    <t xml:space="preserve">Microtrac MRB particle analyzers</t>
  </si>
  <si>
    <r>
      <rPr>
        <sz val="11"/>
        <color theme="1"/>
        <rFont val="Calibri"/>
        <family val="2"/>
        <charset val="1"/>
      </rPr>
      <t xml:space="preserve">MRC Laboratory Equipment &amp; Instruments; Meshulam Avni &amp; Son Ltd. (</t>
    </r>
    <r>
      <rPr>
        <sz val="11"/>
        <color theme="1"/>
        <rFont val="FreeSans"/>
        <family val="2"/>
      </rPr>
      <t xml:space="preserve">משולם אבני ובנו בע</t>
    </r>
    <r>
      <rPr>
        <sz val="11"/>
        <color theme="1"/>
        <rFont val="Calibri"/>
        <family val="2"/>
        <charset val="1"/>
      </rPr>
      <t xml:space="preserve">"</t>
    </r>
    <r>
      <rPr>
        <sz val="11"/>
        <color theme="1"/>
        <rFont val="FreeSans"/>
        <family val="2"/>
      </rPr>
      <t xml:space="preserve">מ</t>
    </r>
    <r>
      <rPr>
        <sz val="11"/>
        <color theme="1"/>
        <rFont val="Calibri"/>
        <family val="2"/>
        <charset val="1"/>
      </rPr>
      <t xml:space="preserve">)</t>
    </r>
  </si>
  <si>
    <r>
      <rPr>
        <sz val="11"/>
        <color theme="1"/>
        <rFont val="Calibri"/>
        <family val="2"/>
        <charset val="1"/>
      </rPr>
      <t xml:space="preserve">MRC Laboratory Equipment &amp; Instruments: +972 3-559-5252; Meshulam Avni &amp; Son Ltd. (</t>
    </r>
    <r>
      <rPr>
        <sz val="11"/>
        <color theme="1"/>
        <rFont val="FreeSans"/>
        <family val="2"/>
      </rPr>
      <t xml:space="preserve">משולם אבני ובנו בע</t>
    </r>
    <r>
      <rPr>
        <sz val="11"/>
        <color theme="1"/>
        <rFont val="Calibri"/>
        <family val="2"/>
        <charset val="1"/>
      </rPr>
      <t xml:space="preserve">"</t>
    </r>
    <r>
      <rPr>
        <sz val="11"/>
        <color theme="1"/>
        <rFont val="FreeSans"/>
        <family val="2"/>
      </rPr>
      <t xml:space="preserve">מ</t>
    </r>
    <r>
      <rPr>
        <sz val="11"/>
        <color theme="1"/>
        <rFont val="Calibri"/>
        <family val="2"/>
        <charset val="1"/>
      </rPr>
      <t xml:space="preserve">): +972-4-821-9989 info@avni-son.co.il</t>
    </r>
  </si>
  <si>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Re-checked on 2026-10-15: a search restricted to the Verder Scientific group sites (retsch.com, carbolite-gero.com, verder-scientific.com, eltra.com, microtrac.com, qatm.com) returned only generic 'contact partners worldwide' pages with no Israel entry in the snippets. Two searches across mrclab.com and 20 other Israeli distributor domains returned only MRC's live Carbolite Gero catalogue pages (forced-air, clean-room, solvent-drying and atmosphere ovens, chamber and tube furnaces), so MRC still sells Carbolite Gero in Israel; nothing surfaced for Retsch, Eltra, Microtrac or QATM. MRC's official versus reseller status is still not stated by either side. General search ('Retsch' OR 'Carbolite Gero' OR 'Verder Scientific'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found no Israeli entity (only Verder Scientific South Africa and US pages). Domain-restricted search found multiple mrclab.com pages selling Carbolite Gero ovens/furnaces; nothing surfaced for Retsch, Eltra, Microtrac or QATM on the Israeli distributor domains. Whether MRC is the official Carbolite Gero distributor or a reseller is not stated in the snippet; Verder's regional contact pages were not fetched.</t>
    </r>
  </si>
  <si>
    <t xml:space="preserve">+49 2104 2333-500</t>
  </si>
  <si>
    <t xml:space="preserve">info@verder-scientific.com</t>
  </si>
  <si>
    <t xml:space="preserve">Retsch-Allee 1-5, 42781 Haan, Germany</t>
  </si>
  <si>
    <t xml:space="preserve">https://www.verder-scientific.com/contact</t>
  </si>
  <si>
    <t xml:space="preserve">https://www.dutscher.com/search?initialFilters=brand:Retsch | https://www.thomassci.com/browse-by/suppliers/retsch | https://www.verder-scientific.com/company/ | https://verder-scientific.com/company/company-history | https://www.zoominfo.com/c/verder-scientific/145735748 | https://www.stepstone.de/jobs/laborleiter-in/in-ratingen | https://retsch.com/contact | https://www.rstech.co.il/en/about | https://www.verder-scientific.com/company/manufacturers/ | https://www.mrclab.com/carbolite_air_forced_ovens | https://www.mrclab.com/forced_air_ovens_600c_carbolite | https://www.mrclab.com/carbolite_drying_ovens_for_solvent | https://www.mrclab.com/furnaces_tube | https://www.mrclab.com/air_circulating_chamber_furnace_750c_carbolite | https://www.mrclab.com/forced_air_ovens_500c_carbolite | https://www.retsch.com/contact-services/ | https://www.verder-scientific.com/contact-services/ | https://www.qatm.com/contact-services/ | https://avni-son.co.il/</t>
  </si>
  <si>
    <t xml:space="preserve">Revvity</t>
  </si>
  <si>
    <t xml:space="preserve">https://www.dutscher.com/search?initialFilters=brand:Revvity</t>
  </si>
  <si>
    <t xml:space="preserve">https://www.revvity.com</t>
  </si>
  <si>
    <t xml:space="preserve">PerkinElmer Israel Ltd.; ISI Israel Scientific Instruments Ltd.; Lifegene Ltd.; Enco</t>
  </si>
  <si>
    <t xml:space="preserve">PerkinElmer Israel Ltd.: 1-700-500-512 cc.israel@perkinelmer.com; ISI Israel Scientific Instruments Ltd.: +972-3-9232202 info@isil.co.il; Lifegene Ltd.: +972 8-644-4314 info@lifegene.co.il; Enco: +972-3-934-9922 orders@enco.co.il</t>
  </si>
  <si>
    <t xml:space="preserve">https://www.dutscher.com/search?initialFilters=brand:Revvity | https://www.perkinelmer.com/be/contactus/officelocations?location=IL | https://www.perkinelmer.com/node/3901 | https://www.perkinelmer.com/node/10826 | https://ir.perkinelmer.com/news-releases/news-release-details/perkinelmer-establishes-direct-operations-israel | https://news.revvity.com/press-announcements/press-releases/press-release-details/2015/PerkinElmer-to-Display-Laboratory-Instruments-Informatics-and-Services-at-Isranalytica-2015-01-05-2015/default.aspx | https://www.chromatographyonline.com/a-conversation-with-the-ceo-and-cco-of-perkinelmer | https://www.genomeweb.com/business-news/perkinelmer-focusing-life-sciences-diagnostics-it-divests-other-businesses | https://s202.q4cdn.com/908952201/files/doc_news/2022/08/01/PerkinElmer-Accelerates-Transformation-into-High-Growth-High-Margin-Life-Sciences-Diagnostics-Company.pdf | https://peprofessional.com/2022/08/new-mountain-carves-out-unit-of-perkinelmer/ | https://www.lifegene.co.il/ | https://www.enco.co.il/suppliers.php</t>
  </si>
  <si>
    <t xml:space="preserve">Reytek Equipment</t>
  </si>
  <si>
    <t xml:space="preserve">https://www.thomassci.com/browse-by/suppliers/reytek-equipment</t>
  </si>
  <si>
    <t xml:space="preserve">Adjustable Stainless Steel Chair</t>
  </si>
  <si>
    <t xml:space="preserve">Stainless Steel 2 Step Stool</t>
  </si>
  <si>
    <t xml:space="preserve">Adjustable Height Stainless Steel Laptop Cart</t>
  </si>
  <si>
    <t xml:space="preserve">Ricca Chemical</t>
  </si>
  <si>
    <t xml:space="preserve">https://www.thomassci.com/browse-by/suppliers/ricca-chemical</t>
  </si>
  <si>
    <t xml:space="preserve">https://riccachemical.com</t>
  </si>
  <si>
    <t xml:space="preserve">Color-Coded pH Buffers</t>
  </si>
  <si>
    <t xml:space="preserve">Acetic Acid, Glacial, ACS Reagent Grade</t>
  </si>
  <si>
    <t xml:space="preserve">Ricca's own distributor page (riccachemical.com/distributors) lists US firms only; Israeli chemical distributors (Lidorr, Orokia) appeared with no link to Ricca.</t>
  </si>
  <si>
    <t xml:space="preserve">888-467-4222</t>
  </si>
  <si>
    <t xml:space="preserve">info@riccachemical.com</t>
  </si>
  <si>
    <t xml:space="preserve">https://riccachemical.com/contact-us</t>
  </si>
  <si>
    <t xml:space="preserve">https://www.quartzy.com/suppliers | https://www.thomassci.com/browse-by/suppliers/ricca-chemical | https://riccachemical.com/contact-us</t>
  </si>
  <si>
    <t xml:space="preserve">Richard Allan Scientific</t>
  </si>
  <si>
    <t xml:space="preserve">https://www.thomassci.com/browse-by/suppliers/richard-allan-scientific</t>
  </si>
  <si>
    <t xml:space="preserve">Resolve Immersion Oil</t>
  </si>
  <si>
    <t xml:space="preserve">Cytoseal Mounting Media</t>
  </si>
  <si>
    <t xml:space="preserve">Signature Series™ Hematoxylin 2</t>
  </si>
  <si>
    <t xml:space="preserve">RIDGID</t>
  </si>
  <si>
    <t xml:space="preserve">https://www.thomassci.com/browse-by/suppliers/ridgid</t>
  </si>
  <si>
    <t xml:space="preserve">https://ridgid.com</t>
  </si>
  <si>
    <t xml:space="preserve">https://www.ridgid.com/us/en/accessibility</t>
  </si>
  <si>
    <t xml:space="preserve">https://www.thomassci.com/browse-by/suppliers/ridgid | https://www.ridgid.com/us/en/accessibility</t>
  </si>
  <si>
    <t xml:space="preserve">Ritter</t>
  </si>
  <si>
    <t xml:space="preserve">https://www.dutscher.com/search?initialFilters=brand:Ritter</t>
  </si>
  <si>
    <t xml:space="preserve">https://ritter-hof.de</t>
  </si>
  <si>
    <t xml:space="preserve">3D tip dispenser, syringe volume 0.5 ml sterile</t>
  </si>
  <si>
    <t xml:space="preserve">Ritips Evolution - Capacity 50 ml - non-sterile</t>
  </si>
  <si>
    <t xml:space="preserve">Deepwell 24-well plates, 25 ml</t>
  </si>
  <si>
    <t xml:space="preserve">RKS Plastics</t>
  </si>
  <si>
    <t xml:space="preserve">https://www.thomassci.com/browse-by/suppliers/rks-plastics</t>
  </si>
  <si>
    <t xml:space="preserve">Zip-Pak Reclosable Write-On Bags</t>
  </si>
  <si>
    <t xml:space="preserve">Zip-Pak Reclosable Amber Sample Bags</t>
  </si>
  <si>
    <t xml:space="preserve">Zip-Top Reclosable Bags with White Blocks</t>
  </si>
  <si>
    <t xml:space="preserve">Roche</t>
  </si>
  <si>
    <t xml:space="preserve">https://diagnostics.roche.com</t>
  </si>
  <si>
    <t xml:space="preserve">Rotkreuz (division HQ) / Basel (group HQ)</t>
  </si>
  <si>
    <t xml:space="preserve">Roche Holding AG</t>
  </si>
  <si>
    <t xml:space="preserve">CHF 13.85 billion</t>
  </si>
  <si>
    <t xml:space="preserve">cobas pro integrated solutions (c 503 / e 801)</t>
  </si>
  <si>
    <t xml:space="preserve">cobas 6800 / 8800 and cobas 5800 Systems</t>
  </si>
  <si>
    <t xml:space="preserve">LightCycler 480 / LightCycler PRO</t>
  </si>
  <si>
    <r>
      <rPr>
        <sz val="11"/>
        <color theme="1"/>
        <rFont val="FreeSans"/>
        <family val="2"/>
      </rPr>
      <t xml:space="preserve">דרך חברת</t>
    </r>
    <r>
      <rPr>
        <sz val="11"/>
        <color theme="1"/>
        <rFont val="Calibri"/>
        <family val="2"/>
        <charset val="1"/>
      </rPr>
      <t xml:space="preserve">-</t>
    </r>
    <r>
      <rPr>
        <sz val="11"/>
        <color theme="1"/>
        <rFont val="FreeSans"/>
        <family val="2"/>
      </rPr>
      <t xml:space="preserve">האם בישראל</t>
    </r>
  </si>
  <si>
    <t xml:space="preserve">Roche Pharmaceuticals (Israel) Ltd. - Diagnostics division ("Roche Diagnostics Israel"); Gamidor Diagnostics; Dyn Diagnostics</t>
  </si>
  <si>
    <t xml:space="preserve">Roche Pharmaceuticals (Israel) Ltd. - Diagnostics division ("Roche Diagnostics Israel"): +972-9-9737777; Gamidor Diagnostics: +972-3-927-7277 info@gamidor.co.il; Dyn Diagnostics:</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</si>
  <si>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Roche's own live pages confirm a direct diagnostics presence in Israel: the diagnostics safety-officers page lists Roche Diagnostics Israel at 6 Hacharash St., Hod Hasharon, the Roche Diagnostics locations page lists Roche Pharmaceuticals (Israel) Ltd. at the same address, and a May-2026 Roche careers posting for an Application Specialist (Molecular Solutions) in Hod Hasharon shows ongoing local activity. Gamidor (VENTANA tissue diagnostics) and Dyn (Accu-Chek) were re-confirmed on their own live pages, though those pages are dated. A 2025-2026 tender search ('Roche cobas Israel </t>
    </r>
    <r>
      <rPr>
        <sz val="11"/>
        <color theme="1"/>
        <rFont val="FreeSans"/>
        <family val="2"/>
      </rPr>
      <t xml:space="preserve">מכרז</t>
    </r>
    <r>
      <rPr>
        <sz val="11"/>
        <color theme="1"/>
        <rFont val="Calibri"/>
        <family val="2"/>
        <charset val="1"/>
      </rPr>
      <t xml:space="preserve">') returned only global product news, so no new tender naming the cobas supplier was found. Searched '"Roche Diagnostics" Israel distributor/</t>
    </r>
    <r>
      <rPr>
        <sz val="11"/>
        <color theme="1"/>
        <rFont val="FreeSans"/>
        <family val="2"/>
      </rPr>
      <t xml:space="preserve">נציג</t>
    </r>
    <r>
      <rPr>
        <sz val="11"/>
        <color theme="1"/>
        <rFont val="Calibri"/>
        <family val="2"/>
        <charset val="1"/>
      </rPr>
      <t xml:space="preserve">/</t>
    </r>
    <r>
      <rPr>
        <sz val="11"/>
        <color theme="1"/>
        <rFont val="FreeSans"/>
        <family val="2"/>
      </rPr>
      <t xml:space="preserve">יבואן</t>
    </r>
    <r>
      <rPr>
        <sz val="11"/>
        <color theme="1"/>
        <rFont val="Calibri"/>
        <family val="2"/>
        <charset val="1"/>
      </rPr>
      <t xml:space="preserve">', Hebrew '</t>
    </r>
    <r>
      <rPr>
        <sz val="11"/>
        <color theme="1"/>
        <rFont val="FreeSans"/>
        <family val="2"/>
      </rPr>
      <t xml:space="preserve">רוש דיאגנוסטיקה</t>
    </r>
    <r>
      <rPr>
        <sz val="11"/>
        <color theme="1"/>
        <rFont val="Calibri"/>
        <family val="2"/>
        <charset val="1"/>
      </rPr>
      <t xml:space="preserve">', the 29 Israeli distributor domains, mr.gov.il tenders and roche.com/diagnostics.roche.com. Roche's own diagnostics safety-officer page lists 'Roche Diagnostics Israel' at 6 Hacharash St., Hod Hasharon, and Roche Diagnostics' office-locations page lists Roche Pharmaceuticals (Israel) Ltd. at the same address; a Hod Hasharon job ad for a Point-of-Care Specialist selling IVD instruments and a Sheba Medical Center tender appendix listing a cobas e801 corroborate direct activity. No independent distributor for cobas/LightCycler was found; Gamidor (VENTANA tissue diagnostics) and Dyn (Diabetes Care) handle only narrow Roche Diagnostics sub-lines. Caveat: no tender award document naming the Israeli affiliate as the cobas supplier was seen.</t>
    </r>
  </si>
  <si>
    <t xml:space="preserve">+972 9 973 7777</t>
  </si>
  <si>
    <t xml:space="preserve">6 Hacharash Street, Hod Hasharon 4524079, Israel</t>
  </si>
  <si>
    <t xml:space="preserve">https://diagnostics.roche.com/me/en/contact-forms/contact-us-support.html</t>
  </si>
  <si>
    <t xml:space="preserve">https://ichgcp.net/pharma-list/office/84-roche</t>
  </si>
  <si>
    <t xml:space="preserve">https://www.quartzy.com/suppliers | https://www.roche.com/solutions/diagnostics/safety-officers | https://diagnostics.roche.com/global/en/about/roche-diagnostics-locations.html | https://ichgcp.net/pharma-list/office/84-roche | https://jobify360.co.il/jobs/3780808610-in | https://il.linkedin.com/in/miri-levy-ml | https://mr.gov.il/ilgstorefront/en/p/attachment/005056BF4DAB1EDD8BE98F48448B8144/%D7%97%D7%95%D7%91%D7%A8%D7%AA%20%D7%94%D7%9E%D7%9B%D7%A8%D7%96 | https://gamidor.co.il/en/tissue-diagnostics-2/ | https://dyn.co.il/home-care-en | https://careers.roche.com/global/en/job/ROCHGLOBAL202605111903EXTERNALENGLOBAL/Application-Specialist-Molecular-Solutions | https://www.roche.com/investors/events/annual-results-2025 | https://www.360dx.com/node/109221 | https://www.genomeweb.com/node/648686 | https://de.statista.com/statistik/daten/studie/77111/umfrage/roche-gruppe-anzahl-der-mitarbeiter-seit-2007 | https://diagnostics.roche.com/us/en/about-us/contact-us-and-support.html</t>
  </si>
  <si>
    <t xml:space="preserve">Roche Diagnostics Corp.</t>
  </si>
  <si>
    <t xml:space="preserve">https://www.thomassci.com/browse-by/suppliers/roche-diagnostics-corp-</t>
  </si>
  <si>
    <t xml:space="preserve">https://www.thomassci.com/browse-by/suppliers/roche-diagnostics-corp- | https://www.roche.com/solutions/diagnostics/safety-officers | https://diagnostics.roche.com/global/en/about/roche-diagnostics-locations.html | https://ichgcp.net/pharma-list/office/84-roche | https://jobify360.co.il/jobs/3780808610-in | https://il.linkedin.com/in/miri-levy-ml | https://mr.gov.il/ilgstorefront/en/p/attachment/005056BF4DAB1EDD8BE98F48448B8144/%D7%97%D7%95%D7%91%D7%A8%D7%AA%20%D7%94%D7%9E%D7%9B%D7%A8%D7%96 | https://gamidor.co.il/en/tissue-diagnostics-2/ | https://dyn.co.il/home-care-en | https://careers.roche.com/global/en/job/ROCHGLOBAL202605111903EXTERNALENGLOBAL/Application-Specialist-Molecular-Solutions | https://www.roche.com/investors/events/annual-results-2025 | https://www.360dx.com/node/109221 | https://www.genomeweb.com/node/648686 | https://de.statista.com/statistik/daten/studie/77111/umfrage/roche-gruppe-anzahl-der-mitarbeiter-seit-2007 | https://diagnostics.roche.com/us/en/about-us/contact-us-and-support.html</t>
  </si>
  <si>
    <t xml:space="preserve">Rocker</t>
  </si>
  <si>
    <t xml:space="preserve">https://www.dutscher.com/search?initialFilters=brand:Rocker</t>
  </si>
  <si>
    <t xml:space="preserve">https://www.rocker.com.tw</t>
  </si>
  <si>
    <t xml:space="preserve">Rocker 300 Vacuum Pump</t>
  </si>
  <si>
    <t xml:space="preserve">Rocker 300C Vacuum Pump</t>
  </si>
  <si>
    <t xml:space="preserve">Rocker 430 Vacuum Pump</t>
  </si>
  <si>
    <t xml:space="preserve">+886-7-2273358</t>
  </si>
  <si>
    <t xml:space="preserve">https://www.rocker.com.tw/contact-us/</t>
  </si>
  <si>
    <t xml:space="preserve">https://www.dutscher.com/search?initialFilters=brand:Rocker | https://www.rocker.com.tw/contact-us/</t>
  </si>
  <si>
    <t xml:space="preserve">Rockland Immunochemicals Inc</t>
  </si>
  <si>
    <t xml:space="preserve">https://www.thomassci.com/browse-by/suppliers/rockland-immunochemicals-inc</t>
  </si>
  <si>
    <t xml:space="preserve">Anti-TRYPSIN (RABBIT) Antibody, 2mL, Lyophilized</t>
  </si>
  <si>
    <t xml:space="preserve">HT-1080 Cell Nuclear Extract, 200µg, Liquid (sterile filtered)</t>
  </si>
  <si>
    <t xml:space="preserve">HUMAN IgM (myeloma) whole molecule Texas Red™ conjugated, 1mg</t>
  </si>
  <si>
    <t xml:space="preserve">Rockland's own distributor page (rockland.com/distributors) exists but the snippet cut off after Belgium; third-party profiles list distributors in US, Australia, Austria, Belgium, Brazil, Canada, Chile, Denmark 'among others' without naming Israel.</t>
  </si>
  <si>
    <t xml:space="preserve">https://www.quartzy.com/suppliers | https://www.thomassci.com/browse-by/suppliers/rockland-immunochemicals-inc | https://www.enco.co.il/suppliers.php</t>
  </si>
  <si>
    <t xml:space="preserve">Rocky Mountain Reagents</t>
  </si>
  <si>
    <t xml:space="preserve">https://rmreagents.com</t>
  </si>
  <si>
    <t xml:space="preserve">303-762-0800</t>
  </si>
  <si>
    <t xml:space="preserve">info@rmreagents.com</t>
  </si>
  <si>
    <t xml:space="preserve">https://rmreagents.com/contact-us/</t>
  </si>
  <si>
    <t xml:space="preserve">https://www.quartzy.com/suppliers | https://rmreagents.com/contact-us/</t>
  </si>
  <si>
    <t xml:space="preserve">Roke Biotechnologies</t>
  </si>
  <si>
    <t xml:space="preserve">https://rokebio.com</t>
  </si>
  <si>
    <t xml:space="preserve">Durham</t>
  </si>
  <si>
    <t xml:space="preserve">manufacturer and seller of research reagents for biotechnology</t>
  </si>
  <si>
    <t xml:space="preserve">https://rokebio.com/contact/</t>
  </si>
  <si>
    <t xml:space="preserve">Q117450457</t>
  </si>
  <si>
    <t xml:space="preserve">https://www.quartzy.com/suppliers | https://www.wikidata.org/wiki/Q117450457 | https://rokebio.com/contact/</t>
  </si>
  <si>
    <t xml:space="preserve">Rotronics</t>
  </si>
  <si>
    <t xml:space="preserve">https://www.thomassci.com/browse-by/suppliers/rotronics</t>
  </si>
  <si>
    <t xml:space="preserve">https://www.rotronic.com</t>
  </si>
  <si>
    <t xml:space="preserve">La Roche-sur-Foron</t>
  </si>
  <si>
    <t xml:space="preserve">2012</t>
  </si>
  <si>
    <t xml:space="preserve">manufacturing of scientific and technical instrumentation</t>
  </si>
  <si>
    <t xml:space="preserve">HygroPal 23 AW Set</t>
  </si>
  <si>
    <t xml:space="preserve">2 M Extension Cable, HygroClip to HygroPalm</t>
  </si>
  <si>
    <t xml:space="preserve">+16314273898</t>
  </si>
  <si>
    <t xml:space="preserve">sales@rotronic-usa.com</t>
  </si>
  <si>
    <t xml:space="preserve">https://www.rotronic.com/</t>
  </si>
  <si>
    <t xml:space="preserve">Q131636473</t>
  </si>
  <si>
    <t xml:space="preserve">https://www.thomassci.com/browse-by/suppliers/rotronics | https://www.wikidata.org/wiki/Q131636473 | http://www.agrolan.com/index.asp | https://www.rotronic.com/</t>
  </si>
  <si>
    <t xml:space="preserve">RPI (Research Products International)</t>
  </si>
  <si>
    <t xml:space="preserve">https://www.thomassci.com/browse-by/suppliers/rpi-research-products-international</t>
  </si>
  <si>
    <t xml:space="preserve">Distilled Water</t>
  </si>
  <si>
    <t xml:space="preserve">RPI Sodium Citrate, Trisodium Salt, Dihydrate, ACS Grade</t>
  </si>
  <si>
    <t xml:space="preserve">X-GAL &amp; IPTG, Ready to Use, Non-Toxic Solution</t>
  </si>
  <si>
    <t xml:space="preserve">RS Hughes</t>
  </si>
  <si>
    <t xml:space="preserve">https://www.thomassci.com/browse-by/suppliers/rs-hughes</t>
  </si>
  <si>
    <t xml:space="preserve">Highland™ Invisible Tape 6200</t>
  </si>
  <si>
    <t xml:space="preserve">Static Tip, Loctite, 5.3sq, 24el, 10/pk</t>
  </si>
  <si>
    <t xml:space="preserve">Rubbermaid</t>
  </si>
  <si>
    <t xml:space="preserve">https://www.thomassci.com/browse-by/suppliers/rubbermaid</t>
  </si>
  <si>
    <t xml:space="preserve">https://rubbermaid.com</t>
  </si>
  <si>
    <t xml:space="preserve">MAPA Trionic 522 Gloves</t>
  </si>
  <si>
    <t xml:space="preserve">INSULATED NEOPRENE GLOVE TEMP-TEC NL-56, 14"SIZE 8</t>
  </si>
  <si>
    <t xml:space="preserve">Mapa® 517987 Trionic® Gloves</t>
  </si>
  <si>
    <t xml:space="preserve">Rx Destroyer</t>
  </si>
  <si>
    <t xml:space="preserve">https://www.thomassci.com/browse-by/suppliers/rx-destroyer</t>
  </si>
  <si>
    <t xml:space="preserve">https://rxdestroyer.com</t>
  </si>
  <si>
    <t xml:space="preserve">Rx Destroyer™ Mail Back Program</t>
  </si>
  <si>
    <t xml:space="preserve">Rx Destroyer™ All-Purpose Bottle</t>
  </si>
  <si>
    <t xml:space="preserve">Wall Mount for Rx Destroyer Products</t>
  </si>
  <si>
    <t xml:space="preserve">8886985160</t>
  </si>
  <si>
    <t xml:space="preserve">hello@rxdestroyer.com.au</t>
  </si>
  <si>
    <t xml:space="preserve">https://www.rxdestroyer.com/contact-us/</t>
  </si>
  <si>
    <t xml:space="preserve">https://www.thomassci.com/browse-by/suppliers/rx-destroyer | https://www.rxdestroyer.com/contact-us/</t>
  </si>
  <si>
    <t xml:space="preserve">S-Curve Technologies</t>
  </si>
  <si>
    <t xml:space="preserve">https://www.thomassci.com/browse-by/suppliers/s-curve-technologies</t>
  </si>
  <si>
    <t xml:space="preserve">Carry-All Lab Caddie</t>
  </si>
  <si>
    <t xml:space="preserve">Bouffant Dispenser w/ lid-rectangular opening-3/16" PETG. 12"w x 12" h x 6"d</t>
  </si>
  <si>
    <t xml:space="preserve">Product Dispenser, S-Curve, Wall Mounted Single Chamber Dispenser made of PETG, Sloped Top Lid and Access Port, 12"x12"x12", can be used for gloves, or other apparel like beardcovers, bouffant caps, shoecovers, 1/EA</t>
  </si>
  <si>
    <t xml:space="preserve">S2 Media</t>
  </si>
  <si>
    <t xml:space="preserve">https://www.thomassci.com/browse-by/suppliers/s2-media</t>
  </si>
  <si>
    <t xml:space="preserve">Bacteroides Bile Esculin (BBE) Agar, 90mm</t>
  </si>
  <si>
    <t xml:space="preserve">Chocolate Agar</t>
  </si>
  <si>
    <t xml:space="preserve">MacConkey Broth, USP, 100mL Bottle</t>
  </si>
  <si>
    <t xml:space="preserve">Saf-T-Pak</t>
  </si>
  <si>
    <t xml:space="preserve">https://www.thomassci.com/browse-by/suppliers/saf-t-pak</t>
  </si>
  <si>
    <t xml:space="preserve">https://saftpak.com</t>
  </si>
  <si>
    <t xml:space="preserve">Saf-T-Temp™ Gel Paks</t>
  </si>
  <si>
    <t xml:space="preserve">Category A Reusable Shipping System, Ambient</t>
  </si>
  <si>
    <t xml:space="preserve">Category A Shipping Overpak, Insulated</t>
  </si>
  <si>
    <t xml:space="preserve">safeForce® (powered by Thomas Scientific)</t>
  </si>
  <si>
    <t xml:space="preserve">https://www.thomassci.com/browse-by/suppliers/safeforce-powered-by-thomas-scientific</t>
  </si>
  <si>
    <t xml:space="preserve">Stretchease®, Powder Free, Nitrile Exam Gloves</t>
  </si>
  <si>
    <t xml:space="preserve">safeForce® Socks</t>
  </si>
  <si>
    <t xml:space="preserve">safeForce® Glass Disposal Boxes</t>
  </si>
  <si>
    <t xml:space="preserve">Safety Zone</t>
  </si>
  <si>
    <t xml:space="preserve">https://www.thomassci.com/browse-by/suppliers/safety-zone</t>
  </si>
  <si>
    <t xml:space="preserve">https://www.thesafetyzone.com</t>
  </si>
  <si>
    <t xml:space="preserve">White Polypropylene Lab Coats with Elastic Wrists</t>
  </si>
  <si>
    <t xml:space="preserve">100% Cotton Lisle Light Weight Inspector Gloves</t>
  </si>
  <si>
    <t xml:space="preserve">White 50 Gram SMS Polypropylene Lab Coats</t>
  </si>
  <si>
    <t xml:space="preserve">Only The Safety Zone LLC (US) brand info; Israeli hits unrelated (an unnamed glove importer on chamber.org.il; Gamida Ltd listed as Shield Scientific's distributor).</t>
  </si>
  <si>
    <t xml:space="preserve">https://www.thesafetyzone.com/</t>
  </si>
  <si>
    <t xml:space="preserve">https://www.quartzy.com/suppliers | https://www.thomassci.com/browse-by/suppliers/safety-zone | https://www.thesafetyzone.com/</t>
  </si>
  <si>
    <t xml:space="preserve">Sagis PLLC</t>
  </si>
  <si>
    <t xml:space="preserve">https://www.thomassci.com/browse-by/suppliers/sagis-pllc</t>
  </si>
  <si>
    <t xml:space="preserve">Saint Gobain</t>
  </si>
  <si>
    <t xml:space="preserve">https://www.dutscher.com/search?initialFilters=brand:Saint+Gobain</t>
  </si>
  <si>
    <t xml:space="preserve">https://www.thomassci.com/browse-by/suppliers/saint-gobain</t>
  </si>
  <si>
    <t xml:space="preserve">https://saint-gobain.com</t>
  </si>
  <si>
    <t xml:space="preserve">Tygon S3™ E-3603 Laboratory Tubing</t>
  </si>
  <si>
    <t xml:space="preserve">Chemware® PTFE Evaporating Dishes</t>
  </si>
  <si>
    <t xml:space="preserve">Saint-Gobain Bytac® FEP Film Bench Protector with Vinyl Backing</t>
  </si>
  <si>
    <t xml:space="preserve">Only Saint-Gobain Performance Plastics tubing product pages (ThomasSci, Fisher, Labfriend Malaysia, Saint-Gobain NA/China sites); nothing for Israel.</t>
  </si>
  <si>
    <t xml:space="preserve">https://www.dutscher.com/search?initialFilters=brand:Saint+Gobain | https://www.thomassci.com/browse-by/suppliers/saint-gobain</t>
  </si>
  <si>
    <t xml:space="preserve">Saint Gobain - Bioprocess Solutions</t>
  </si>
  <si>
    <t xml:space="preserve">https://www.thomassci.com/browse-by/suppliers/saint-gobain-bioprocess-solutions</t>
  </si>
  <si>
    <t xml:space="preserve">C-Flex® TPE Biopharmaceutical Tubing, 082, Translucent Coils</t>
  </si>
  <si>
    <t xml:space="preserve">C-Flex® TPE Biopharmaceutical Tubing, 374, Translucent Coils</t>
  </si>
  <si>
    <t xml:space="preserve">C-Flex ® ULTRA Thermoplastic Pump Tubing</t>
  </si>
  <si>
    <t xml:space="preserve">Sakura Finetek</t>
  </si>
  <si>
    <t xml:space="preserve">https://www.thomassci.com/browse-by/suppliers/sakura-finetek</t>
  </si>
  <si>
    <t xml:space="preserve">Tissue-Tek® Accu-Edge® Trimming Knife Disposable Blades</t>
  </si>
  <si>
    <t xml:space="preserve">Cyto-Tek® Centrifuge Funnel Chamber</t>
  </si>
  <si>
    <t xml:space="preserve">Salimetrics</t>
  </si>
  <si>
    <t xml:space="preserve">https://salimetrics.com</t>
  </si>
  <si>
    <t xml:space="preserve">8007902258</t>
  </si>
  <si>
    <t xml:space="preserve">info@sungwools.co.kr</t>
  </si>
  <si>
    <t xml:space="preserve">https://salimetrics.com/contact/</t>
  </si>
  <si>
    <t xml:space="preserve">https://www.quartzy.com/suppliers | https://salimetrics.com/contact/</t>
  </si>
  <si>
    <t xml:space="preserve">Sampling systems</t>
  </si>
  <si>
    <t xml:space="preserve">https://www.dutscher.com/search?initialFilters=brand:Sampling+systems</t>
  </si>
  <si>
    <t xml:space="preserve">https://www.thomassci.com/browse-by/suppliers/sampling-systems</t>
  </si>
  <si>
    <t xml:space="preserve">https://sampling.com</t>
  </si>
  <si>
    <t xml:space="preserve">SteriWare® Disposable PowderSafe</t>
  </si>
  <si>
    <t xml:space="preserve">Pocket Sampler</t>
  </si>
  <si>
    <t xml:space="preserve">Stainless Steel Containers</t>
  </si>
  <si>
    <t xml:space="preserve">Sampling Systems Ltd (Coleshill, Warwickshire) says it has distributors around the globe but names none; no Israel mention.</t>
  </si>
  <si>
    <t xml:space="preserve">1-888-414-6448</t>
  </si>
  <si>
    <t xml:space="preserve">info@sampling.com</t>
  </si>
  <si>
    <t xml:space="preserve">https://sampling.com/index.php?route=information/contact</t>
  </si>
  <si>
    <t xml:space="preserve">https://www.dutscher.com/search?initialFilters=brand:Sampling+systems | https://www.thomassci.com/browse-by/suppliers/sampling-systems | https://sampling.com/index.php?route=information/contact</t>
  </si>
  <si>
    <t xml:space="preserve">Sandler Bros</t>
  </si>
  <si>
    <t xml:space="preserve">https://www.thomassci.com/browse-by/suppliers/sandler-bros</t>
  </si>
  <si>
    <t xml:space="preserve">Wipers, Terri Cloth, All-White, Loose-Cut, Cotton, (POLY PAK ONLY) 40 pounds per case, Formerly 102A1-512W40</t>
  </si>
  <si>
    <t xml:space="preserve">Wiping Rags, Colored, Cotton Knit</t>
  </si>
  <si>
    <t xml:space="preserve">Sanisure</t>
  </si>
  <si>
    <t xml:space="preserve">https://www.dutscher.com/search?initialFilters=brand:Sanisure</t>
  </si>
  <si>
    <t xml:space="preserve">https://www.thomassci.com/browse-by/suppliers/sanisure</t>
  </si>
  <si>
    <t xml:space="preserve">https://sanisure.com</t>
  </si>
  <si>
    <t xml:space="preserve">SaniSure® Gamma Stable Stir Bars</t>
  </si>
  <si>
    <t xml:space="preserve">SaniSure® Bio-Ease® HD Sanitary Clamps</t>
  </si>
  <si>
    <t xml:space="preserve">SaniSure® Cellgyn® TPE Tubing</t>
  </si>
  <si>
    <t xml:space="preserve">Only a 2023 EcoVadis press release for SaniSure (Camarillo, CA; single-use bioprocessing); Israeli hits (Dubek, Sano, Dansell, Plasson) are unrelated name matches.</t>
  </si>
  <si>
    <t xml:space="preserve">+18007264835</t>
  </si>
  <si>
    <t xml:space="preserve">https://sanisure.com/contact/</t>
  </si>
  <si>
    <t xml:space="preserve">https://www.dutscher.com/search?initialFilters=brand:Sanisure | https://www.thomassci.com/browse-by/suppliers/sanisure | https://sanisure.com/contact/</t>
  </si>
  <si>
    <t xml:space="preserve">Santa Cruz Biotechnology</t>
  </si>
  <si>
    <t xml:space="preserve">https://scbt.com</t>
  </si>
  <si>
    <t xml:space="preserve">1-800-457-3801</t>
  </si>
  <si>
    <t xml:space="preserve">customerservice@scbt.com</t>
  </si>
  <si>
    <t xml:space="preserve">https://www.scbt.com/customer-care/contact-us</t>
  </si>
  <si>
    <t xml:space="preserve">https://www.quartzy.com/suppliers | https://www.scbt.com/customer-care/contact-us | https://www.enco.co.il/about.php</t>
  </si>
  <si>
    <t xml:space="preserve">Sarstedt</t>
  </si>
  <si>
    <t xml:space="preserve">https://www.thomassci.com/browse-by/suppliers/sarstedt</t>
  </si>
  <si>
    <t xml:space="preserve">https://www.sarstedt.com</t>
  </si>
  <si>
    <t xml:space="preserve">Nümbrecht</t>
  </si>
  <si>
    <t xml:space="preserve">As a responsibly managed family business, we feel obliged to act for the benefit of society beyond our business purpose. Our solutions increase patient and user comfort, make laboratory work more efficient and thus help improve global healthcare and research in the long term.</t>
  </si>
  <si>
    <t xml:space="preserve">USD 814.7 million</t>
  </si>
  <si>
    <t xml:space="preserve">undated (database estimate)</t>
  </si>
  <si>
    <t xml:space="preserve">S-Monovette</t>
  </si>
  <si>
    <t xml:space="preserve">Microvette &amp; Salivette</t>
  </si>
  <si>
    <t xml:space="preserve">Lab consumables (tubes, tips, cell culture)</t>
  </si>
  <si>
    <t xml:space="preserve">Tamar Laboratory Supplies Ltd.: +972 2-533-6070 (also 02-579-9777)</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</si>
  <si>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Re-checked on 2026-10-15: a search restricted to sarstedt.com returned its sales-organisations and contact pages (30+ own sales organisations plus a distributor network) with no Israel entry in the snippets. Tamar's live 'Represented companies' page lists SARSTEDT (Germany, plastic laboratory and medical products) and Tamar's product pages carry Sarstedt gel-loading tips, reagent/centrifuge tubes and disposable cuvettes, so the channel is current on the distributor side. Tamar Laboratory Supplies' 'Represented companies' page lists Sarstedt, and Tamar sells Sarstedt tubes and cuvettes in Israel.</t>
    </r>
  </si>
  <si>
    <t xml:space="preserve">+49 2293 305-0</t>
  </si>
  <si>
    <t xml:space="preserve">info@sarstedt.com</t>
  </si>
  <si>
    <t xml:space="preserve">Sarstedtstraße 1, 51588 Nümbrecht, Germany</t>
  </si>
  <si>
    <t xml:space="preserve">https://sarstedt.com/en/contact</t>
  </si>
  <si>
    <t xml:space="preserve">https://www.quartzy.com/suppliers | https://info.quartzy.com/new-suppliers | https://www.thomassci.com/browse-by/suppliers/sarstedt | https://www.sarstedt.com/en/the-company/about-us/about-us | https://about.sarstedt.com/media/bro_10_984_0300_100_nf_corporate_0126.pdf | https://about.sarstedt.com/media/bro_20_984_0400_200_nf_corporate_0326.pdf | https://healthmanagement.org/company/view/219173 | https://www.reveliolabs.com/companies/sarstedt/employees | https://www.datanyze.com/companies/sarstedt/89735421 | https://prospeo.io/c/sarstedt-group-revenue | https://galen.ru/uploads/files/file/Catalog_Sarstedt_20162017_EN.pdf | https://www.tamar.co.il/represented-companies/ | https://www.tamar.co.il/gel-loading-tips/ | https://tamar.co.il/plasticware-gloves-2/tubes-tips/reagent-centrifuge-tubes | https://www.sarstedt.com/en/US/the-company/sales-organisations | https://www.sarstedt.com/en/US/contact</t>
  </si>
  <si>
    <t xml:space="preserve">Sartorius</t>
  </si>
  <si>
    <t xml:space="preserve">https://www.dutscher.com/search?initialFilters=brand:Sartorius</t>
  </si>
  <si>
    <t xml:space="preserve">https://www.thomassci.com/browse-by/suppliers/sartorius</t>
  </si>
  <si>
    <t xml:space="preserve">https://www.sartorius.com</t>
  </si>
  <si>
    <t xml:space="preserve">Göttingen</t>
  </si>
  <si>
    <t xml:space="preserve">EUR 3,538 million</t>
  </si>
  <si>
    <t xml:space="preserve">Octet BLI systems</t>
  </si>
  <si>
    <t xml:space="preserve">Biostat STR</t>
  </si>
  <si>
    <t xml:space="preserve">Cubis II balances</t>
  </si>
  <si>
    <t xml:space="preserve">Sartorius Israel Ltd.; Labotal Scientific Equipment</t>
  </si>
  <si>
    <t xml:space="preserve">Sartorius Israel Ltd.: +972 4-996-0595; Labotal Scientific Equipment: +972 2-579-9222 Sales@labotal.co.il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</si>
  <si>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Sartorius' own live 'Find your local contact' page lists Sartorius Israel at Kibbutz Beit Haemek with phone and e-mail, the list-of-companies page and Beit Haemek site news/blog pages confirm the subsidiary. Labotal's live Hebrew balance guides state it exclusively represents Sartorius in Israel (Cubis II balances, pipettes). Both channels re-confirmed on live pages. Searched Sartorius Israel/Beit HaEmek generically, Sartorius on Israeli distributor domains, sartorius.com and labotal.co.il. Sartorius' 'local contact' page lists Sartorius Israel at Kibbutz Beit Haemek 2511500, its list of companies includes Sartorius Israel Ltd., press releases confirm the majority acquisition of Biological Industries (2019) and the June 2021 opening of the Beit Haemek cell-culture-media plant, and a Sartorius job ad for a home-office sales representative in Israel shows in-country sales staff. Lab products: Labotal describes itself on its own site as the exclusive Sartorius representative in Israel for weighing (Cubis II balances) and lists Sartorius pipettes; the filtration channel was not seen. Caveat: a Sartorius Stedim Biotech financial-statement note refers to 'Sartorius Israel Ltd. (51%)' as not consolidated for materiality, so the legal entity may be a small, partly-owned company distinct from the Beit Haemek production business.</t>
    </r>
  </si>
  <si>
    <t xml:space="preserve">+972 4 996 0595</t>
  </si>
  <si>
    <t xml:space="preserve">info@sartorius.com</t>
  </si>
  <si>
    <t xml:space="preserve">Kibbutz Beit Haemek 2511500, Israel</t>
  </si>
  <si>
    <t xml:space="preserve">https://www.sartorius.com/en/contact-us/local-contact</t>
  </si>
  <si>
    <t xml:space="preserve">https://pharmchoices.com/list-of-biotech-companies-in-israel-2/5/</t>
  </si>
  <si>
    <r>
      <rPr>
        <sz val="11"/>
        <color theme="1"/>
        <rFont val="Calibri"/>
        <family val="2"/>
        <charset val="1"/>
      </rPr>
      <t xml:space="preserve">https://www.dutscher.com/search?initialFilters=brand:Sartorius | https://www.quartzy.com/suppliers | https://www.thomassci.com/browse-by/suppliers/sartorius | https://www.sartorius.com/en/general-contact/local-contact | https://www.sartorius.com/en/sartorius-companies | https://www.sartorius.com/en/company/newsroom/corporate-news/370526-370526 | https://www.sartorius.com/en/company/newsroom/corporate-news/sartorius-opens-new-cell-culture-media-production-site-in-beit-haemek-808526 | https://www.sartorius.com/en/company/careers/vacancies-job-opportunities/sales-representative-home-office-israel-743862 | https://www.sartorius.com/download/1525608/2-consolidated-financial-statements-and-notes-en-data.pdf | https://labotal.co.il/</t>
    </r>
    <r>
      <rPr>
        <sz val="11"/>
        <color theme="1"/>
        <rFont val="FreeSans"/>
        <family val="2"/>
      </rPr>
      <t xml:space="preserve">המדריך</t>
    </r>
    <r>
      <rPr>
        <sz val="11"/>
        <color theme="1"/>
        <rFont val="Calibri"/>
        <family val="2"/>
        <charset val="1"/>
      </rPr>
      <t xml:space="preserve">-</t>
    </r>
    <r>
      <rPr>
        <sz val="11"/>
        <color theme="1"/>
        <rFont val="FreeSans"/>
        <family val="2"/>
      </rPr>
      <t xml:space="preserve">המקיף</t>
    </r>
    <r>
      <rPr>
        <sz val="11"/>
        <color theme="1"/>
        <rFont val="Calibri"/>
        <family val="2"/>
        <charset val="1"/>
      </rPr>
      <t xml:space="preserve">-</t>
    </r>
    <r>
      <rPr>
        <sz val="11"/>
        <color theme="1"/>
        <rFont val="FreeSans"/>
        <family val="2"/>
      </rPr>
      <t xml:space="preserve">לבחירת</t>
    </r>
    <r>
      <rPr>
        <sz val="11"/>
        <color theme="1"/>
        <rFont val="Calibri"/>
        <family val="2"/>
        <charset val="1"/>
      </rPr>
      <t xml:space="preserve">-</t>
    </r>
    <r>
      <rPr>
        <sz val="11"/>
        <color theme="1"/>
        <rFont val="FreeSans"/>
        <family val="2"/>
      </rPr>
      <t xml:space="preserve">מאזניים</t>
    </r>
    <r>
      <rPr>
        <sz val="11"/>
        <color theme="1"/>
        <rFont val="Calibri"/>
        <family val="2"/>
        <charset val="1"/>
      </rPr>
      <t xml:space="preserve">-</t>
    </r>
    <r>
      <rPr>
        <sz val="11"/>
        <color theme="1"/>
        <rFont val="FreeSans"/>
        <family val="2"/>
      </rPr>
      <t xml:space="preserve">אנליטיים</t>
    </r>
    <r>
      <rPr>
        <sz val="11"/>
        <color theme="1"/>
        <rFont val="Calibri"/>
        <family val="2"/>
        <charset val="1"/>
      </rPr>
      <t xml:space="preserve">/ | https://labotal.co.il/firms/?lang=en | https://www.sartorius.com/en/contact-us/local-contact | https://www.sartorius.com/en/company/newsroom/blog/israel-a-new-site-for-cell-culture-media-production-808260 | https://labotal.co.il/product-category/liquid-handling/multichannel-pipettors/?lang=en | https://www.sartorius.com/en/company/newsroom/corporate-news/preliminary-full-year-results-2025-sartorius-group-1793940 | https://www.sartorius.com/en/contact-us</t>
    </r>
  </si>
  <si>
    <t xml:space="preserve">Sartorius Liquid Handling</t>
  </si>
  <si>
    <t xml:space="preserve">https://www.thomassci.com/browse-by/suppliers/sartorius-liquid-handling</t>
  </si>
  <si>
    <t xml:space="preserve">Safe-Cone Filters</t>
  </si>
  <si>
    <t xml:space="preserve">eLINE Electronic Single-Channel Pipettors</t>
  </si>
  <si>
    <t xml:space="preserve">Biohit Standard Tips</t>
  </si>
  <si>
    <t xml:space="preserve">SAS Safety</t>
  </si>
  <si>
    <t xml:space="preserve">https://www.thomassci.com/browse-by/suppliers/sas-safety</t>
  </si>
  <si>
    <t xml:space="preserve">https://www.sassafety.com</t>
  </si>
  <si>
    <t xml:space="preserve">Polypropylene Shoe Covers</t>
  </si>
  <si>
    <t xml:space="preserve">Value-Touch™ Powder-Free Latex Disposable Gloves</t>
  </si>
  <si>
    <t xml:space="preserve">Safety Goggles</t>
  </si>
  <si>
    <t xml:space="preserve">https://www.sassafety.com/</t>
  </si>
  <si>
    <t xml:space="preserve">https://www.thomassci.com/browse-by/suppliers/sas-safety | https://www.sassafety.com/</t>
  </si>
  <si>
    <t xml:space="preserve">Savillex</t>
  </si>
  <si>
    <t xml:space="preserve">https://www.thomassci.com/browse-by/suppliers/savillex</t>
  </si>
  <si>
    <t xml:space="preserve">https://savillex.com</t>
  </si>
  <si>
    <t xml:space="preserve">+19529354100</t>
  </si>
  <si>
    <t xml:space="preserve">info@savillex.com</t>
  </si>
  <si>
    <t xml:space="preserve">https://www.savillex.com/en/content/contact</t>
  </si>
  <si>
    <t xml:space="preserve">https://www.thomassci.com/browse-by/suppliers/savillex | https://www.savillex.com/en/content/contact</t>
  </si>
  <si>
    <t xml:space="preserve">Scapa Tapes</t>
  </si>
  <si>
    <t xml:space="preserve">https://www.thomassci.com/browse-by/suppliers/scapa-tapes</t>
  </si>
  <si>
    <t xml:space="preserve">Tacky Roller Refill</t>
  </si>
  <si>
    <t xml:space="preserve">Sticky/Adhesive Mat</t>
  </si>
  <si>
    <t xml:space="preserve">Tacky Roller Handle for 12" and 18" wide Rollers</t>
  </si>
  <si>
    <t xml:space="preserve">Scat</t>
  </si>
  <si>
    <t xml:space="preserve">https://www.dutscher.com/search?initialFilters=brand:Scat</t>
  </si>
  <si>
    <t xml:space="preserve">https://scat.kz</t>
  </si>
  <si>
    <t xml:space="preserve">5 litre canister GL45</t>
  </si>
  <si>
    <t xml:space="preserve">Funnel with ball valve and Arnold cover - non-conductive - Thread S60/61</t>
  </si>
  <si>
    <t xml:space="preserve">Safety Waste Caps V3.0 Lisa - S51 thread</t>
  </si>
  <si>
    <t xml:space="preserve">Schott instruments</t>
  </si>
  <si>
    <t xml:space="preserve">https://www.dutscher.com/search?initialFilters=brand:Schott+instruments</t>
  </si>
  <si>
    <t xml:space="preserve">Titroline TL5000 with 20 ml burette and pH electrode</t>
  </si>
  <si>
    <t xml:space="preserve">Combined pH electrode Schott type N6003</t>
  </si>
  <si>
    <t xml:space="preserve">Titroline TL5000 with 50 ml burette and pH electrode</t>
  </si>
  <si>
    <t xml:space="preserve">SCI-Science</t>
  </si>
  <si>
    <t xml:space="preserve">https://www.thomassci.com/browse-by/suppliers/sci-science</t>
  </si>
  <si>
    <t xml:space="preserve">ScienCell Research Laboratories</t>
  </si>
  <si>
    <t xml:space="preserve">https://sciencellonline.com</t>
  </si>
  <si>
    <t xml:space="preserve">+120(877)20602-8549</t>
  </si>
  <si>
    <t xml:space="preserve">sales@sciencellonline.com</t>
  </si>
  <si>
    <t xml:space="preserve">https://sciencellonline.com/en/contact-us/</t>
  </si>
  <si>
    <t xml:space="preserve">https://www.quartzy.com/suppliers | https://sciencellonline.com/en/contact-us/</t>
  </si>
  <si>
    <t xml:space="preserve">Sciencix</t>
  </si>
  <si>
    <t xml:space="preserve">https://sciencix.com</t>
  </si>
  <si>
    <t xml:space="preserve">Scientific Industries</t>
  </si>
  <si>
    <t xml:space="preserve">https://www.thomassci.com/browse-by/suppliers/scientific-industries</t>
  </si>
  <si>
    <t xml:space="preserve">https://scientificindustries.com</t>
  </si>
  <si>
    <t xml:space="preserve">Vortex Genie Mixer 1, 2, 2T &amp; Digital</t>
  </si>
  <si>
    <t xml:space="preserve">TORBAL FSC Tool &amp; Wrench Torque Gauges</t>
  </si>
  <si>
    <t xml:space="preserve">Genie Shaker Accessories</t>
  </si>
  <si>
    <t xml:space="preserve">D&amp;B profile says the company has distributors worldwide (over half of sales outside US); none named for Israel.</t>
  </si>
  <si>
    <t xml:space="preserve">(631) 567-4700</t>
  </si>
  <si>
    <t xml:space="preserve">info@scientificindustries.com</t>
  </si>
  <si>
    <t xml:space="preserve">https://www.scientificindustries.com/pages/contact</t>
  </si>
  <si>
    <t xml:space="preserve">https://www.quartzy.com/suppliers | https://www.thomassci.com/browse-by/suppliers/scientific-industries | https://www.yarden-biotec.co.il/ | https://www.scientificindustries.com/pages/contact</t>
  </si>
  <si>
    <t xml:space="preserve">Scientific Plastics</t>
  </si>
  <si>
    <t xml:space="preserve">https://www.thomassci.com/browse-by/suppliers/scientific-plastics</t>
  </si>
  <si>
    <t xml:space="preserve">https://scientificplastics.com</t>
  </si>
  <si>
    <t xml:space="preserve">Spill Containment Trays</t>
  </si>
  <si>
    <t xml:space="preserve">Secondary Containment Trays</t>
  </si>
  <si>
    <t xml:space="preserve">Experiment Trays</t>
  </si>
  <si>
    <t xml:space="preserve">913-432-0322</t>
  </si>
  <si>
    <t xml:space="preserve">https://www.scientificplastics.com/contact/</t>
  </si>
  <si>
    <t xml:space="preserve">https://www.thomassci.com/browse-by/suppliers/scientific-plastics | https://www.scientificplastics.com/contact/</t>
  </si>
  <si>
    <t xml:space="preserve">Scilogex</t>
  </si>
  <si>
    <t xml:space="preserve">https://www.thomassci.com/browse-by/suppliers/scilogex</t>
  </si>
  <si>
    <t xml:space="preserve">https://scilogex.com</t>
  </si>
  <si>
    <t xml:space="preserve">DispensMate Bottletop Dispensers</t>
  </si>
  <si>
    <t xml:space="preserve">MicroPette Universal Pipette Tips</t>
  </si>
  <si>
    <t xml:space="preserve">MicroPette™ Single Channel Variable Pipettors</t>
  </si>
  <si>
    <t xml:space="preserve">Scilogex's distributor page only invites contact to locate a distributor; agentek.co.il pages appeared in the results but no result states Agentek carries Scilogex.</t>
  </si>
  <si>
    <t xml:space="preserve">https://www.quartzy.com/suppliers | https://www.thomassci.com/browse-by/suppliers/scilogex</t>
  </si>
  <si>
    <t xml:space="preserve">Scilutions</t>
  </si>
  <si>
    <t xml:space="preserve">https://www.thomassci.com/browse-by/suppliers/scilutions</t>
  </si>
  <si>
    <t xml:space="preserve">Adapter, Auto Decap for PF 96 AutoRack</t>
  </si>
  <si>
    <t xml:space="preserve">V-Bottom Tubes Internal Thread</t>
  </si>
  <si>
    <t xml:space="preserve">96 Deep Well Reservoir for Automated Liquid Handling Systems</t>
  </si>
  <si>
    <t xml:space="preserve">SciMatCo</t>
  </si>
  <si>
    <t xml:space="preserve">https://www.thomassci.com/browse-by/suppliers/scimatco</t>
  </si>
  <si>
    <t xml:space="preserve">Bench Plast-a-Cab®, HDPE, BASE, WHITE</t>
  </si>
  <si>
    <t xml:space="preserve">Acid Cabinets</t>
  </si>
  <si>
    <t xml:space="preserve">EconaCab™ Acid Cabinet</t>
  </si>
  <si>
    <t xml:space="preserve">Scinomix</t>
  </si>
  <si>
    <t xml:space="preserve">https://www.thomassci.com/browse-by/suppliers/scinomix</t>
  </si>
  <si>
    <t xml:space="preserve">https://scinomix.com</t>
  </si>
  <si>
    <t xml:space="preserve">Plate Label Kit</t>
  </si>
  <si>
    <t xml:space="preserve">96 Standard Pin Replicator</t>
  </si>
  <si>
    <t xml:space="preserve">96 Long Pin Replicator</t>
  </si>
  <si>
    <t xml:space="preserve">https://www.thomassci.com/browse-by/suppliers/scinomix | https://bargal.co.il/</t>
  </si>
  <si>
    <t xml:space="preserve">SciSpec</t>
  </si>
  <si>
    <t xml:space="preserve">https://www.thomassci.com/browse-by/suppliers/scispec</t>
  </si>
  <si>
    <t xml:space="preserve">Coliform Bottles</t>
  </si>
  <si>
    <t xml:space="preserve">HDPE Wide Mouth Sample Bottles, With Leakproof Caps</t>
  </si>
  <si>
    <t xml:space="preserve">Labels And Custody Seals</t>
  </si>
  <si>
    <t xml:space="preserve">Scotsman</t>
  </si>
  <si>
    <t xml:space="preserve">https://www.thomassci.com/browse-by/suppliers/scotsman</t>
  </si>
  <si>
    <t xml:space="preserve">https://scotsman-ice.com</t>
  </si>
  <si>
    <t xml:space="preserve">Essential Ice™ Undercounter Ice Maker, Model CU0920</t>
  </si>
  <si>
    <t xml:space="preserve">Essential Ice™ Undercounter Ice Maker, Model CU0415</t>
  </si>
  <si>
    <t xml:space="preserve">Refrigerator/Freezer/Ice Maker Accessories</t>
  </si>
  <si>
    <t xml:space="preserve">(800) 726-8762</t>
  </si>
  <si>
    <t xml:space="preserve">sales@scotsman-ice.com</t>
  </si>
  <si>
    <t xml:space="preserve">https://www.scotsman-ice.com/contact-us/</t>
  </si>
  <si>
    <t xml:space="preserve">https://www.thomassci.com/browse-by/suppliers/scotsman | https://www.scotsman-ice.com/contact-us/</t>
  </si>
  <si>
    <t xml:space="preserve">SCS (A Division of DESCO Industries)</t>
  </si>
  <si>
    <t xml:space="preserve">https://www.thomassci.com/browse-by/suppliers/scs-a-division-of-desco-industries</t>
  </si>
  <si>
    <t xml:space="preserve">SCS Open Top Metal-In Static Shield Bag</t>
  </si>
  <si>
    <t xml:space="preserve">SCS Open Top Moisture Barrier Bag</t>
  </si>
  <si>
    <t xml:space="preserve">SCS Anti-Fatigue Rubber Mat</t>
  </si>
  <si>
    <t xml:space="preserve">Sefar</t>
  </si>
  <si>
    <t xml:space="preserve">https://www.dutscher.com/search?initialFilters=brand:Sefar</t>
  </si>
  <si>
    <t xml:space="preserve">https://www.sefar.com</t>
  </si>
  <si>
    <t xml:space="preserve">Nylon filtration tissue (sifting fabric) NITEX, mesh opening 37 µm</t>
  </si>
  <si>
    <t xml:space="preserve">Nylon filtration tissue (sifting fabric) NITEX, mesh opening 48 µm</t>
  </si>
  <si>
    <t xml:space="preserve">Nylon filtration tissue (sifting fabric) NITEX, mesh opening 60 µm</t>
  </si>
  <si>
    <t xml:space="preserve">Sekisui Diagnostics</t>
  </si>
  <si>
    <t xml:space="preserve">https://www.thomassci.com/browse-by/suppliers/sekisui-diagnostics</t>
  </si>
  <si>
    <t xml:space="preserve">https://sekisuidiagnostics.com</t>
  </si>
  <si>
    <t xml:space="preserve">Albumin Reagent</t>
  </si>
  <si>
    <t xml:space="preserve">Cholesterol Reagent</t>
  </si>
  <si>
    <t xml:space="preserve">Homocysteine Reagent- DZ</t>
  </si>
  <si>
    <t xml:space="preserve">+1-858-777-2600</t>
  </si>
  <si>
    <t xml:space="preserve">info@sekisui-dx.com</t>
  </si>
  <si>
    <t xml:space="preserve">https://sekisuidiagnostics.com/contact-us/</t>
  </si>
  <si>
    <t xml:space="preserve">https://www.thomassci.com/browse-by/suppliers/sekisui-diagnostics | https://sekisuidiagnostics.com/contact-us/</t>
  </si>
  <si>
    <t xml:space="preserve">Selecta Products</t>
  </si>
  <si>
    <t xml:space="preserve">https://www.thomassci.com/browse-by/suppliers/selecta-products</t>
  </si>
  <si>
    <t xml:space="preserve">https://selectainc.com</t>
  </si>
  <si>
    <t xml:space="preserve">Duracell Procell Alkaline Battery</t>
  </si>
  <si>
    <t xml:space="preserve">ENERGIZER ULTIMATE LITHIUM AAA 2EA IN A PK, 12PK/BX</t>
  </si>
  <si>
    <t xml:space="preserve">Selleck Chemicals</t>
  </si>
  <si>
    <t xml:space="preserve">https://selleckchem.com</t>
  </si>
  <si>
    <t xml:space="preserve">(877) 796-6397</t>
  </si>
  <si>
    <t xml:space="preserve">sales@selleckchem.com</t>
  </si>
  <si>
    <t xml:space="preserve">https://www.selleckchem.com/contact.html</t>
  </si>
  <si>
    <t xml:space="preserve">https://www.quartzy.com/suppliers | https://tivanbiotech.com/manufacturers | https://www.selleckchem.com/contact.html</t>
  </si>
  <si>
    <t xml:space="preserve">Semperit</t>
  </si>
  <si>
    <t xml:space="preserve">https://www.dutscher.com/search?initialFilters=brand:Semperit</t>
  </si>
  <si>
    <t xml:space="preserve">https://www.semperitgroup.com</t>
  </si>
  <si>
    <t xml:space="preserve">Single-use 240 to 250mm nitrile laboratory and examination glove</t>
  </si>
  <si>
    <t xml:space="preserve">SEMPERGUARD glove - Latex Confort - Size S</t>
  </si>
  <si>
    <t xml:space="preserve">SEMPERGUARD glove - Nitrile Xtra Lite - Size L</t>
  </si>
  <si>
    <t xml:space="preserve">SEMPERGUARD glove - Nitrile Xtra Lite - Size XL</t>
  </si>
  <si>
    <t xml:space="preserve">+4367687158257</t>
  </si>
  <si>
    <t xml:space="preserve">https://www.semperitgroup.com/newsroom/press-contact/</t>
  </si>
  <si>
    <t xml:space="preserve">https://www.dutscher.com/search?initialFilters=brand:Semperit | https://www.semperitgroup.com/newsroom/press-contact/</t>
  </si>
  <si>
    <t xml:space="preserve">Sempermed</t>
  </si>
  <si>
    <t xml:space="preserve">https://www.thomassci.com/browse-by/suppliers/sempermed</t>
  </si>
  <si>
    <t xml:space="preserve">https://sempermed.com</t>
  </si>
  <si>
    <t xml:space="preserve">force™ black Nitrile Gloves</t>
  </si>
  <si>
    <t xml:space="preserve">velvet 300™ Nitrile Examination Gloves</t>
  </si>
  <si>
    <t xml:space="preserve">rose™ Nitrile Exam Gloves</t>
  </si>
  <si>
    <t xml:space="preserve">Only US (MDS Associates, Sempermed USA) and Swiss (Huberlab) channels and FDA device records; no Israel mention.</t>
  </si>
  <si>
    <t xml:space="preserve">+4319346348</t>
  </si>
  <si>
    <t xml:space="preserve">https://harpsglobal.com/contact/</t>
  </si>
  <si>
    <t xml:space="preserve">https://www.quartzy.com/suppliers | https://www.thomassci.com/browse-by/suppliers/sempermed | https://harpsglobal.com/contact/</t>
  </si>
  <si>
    <t xml:space="preserve">Sensoquest</t>
  </si>
  <si>
    <t xml:space="preserve">https://www.dutscher.com/search?initialFilters=brand:Sensoquest</t>
  </si>
  <si>
    <t xml:space="preserve">https://sensoquest.de</t>
  </si>
  <si>
    <t xml:space="preserve">SENSOQUEST LABCYCLER GRADIENT THERMOCYCLER WITH ALU100 BLOCK</t>
  </si>
  <si>
    <t xml:space="preserve">+39 0731 213243</t>
  </si>
  <si>
    <t xml:space="preserve">https://www.diatechpharmacogenetics.com/contacts/</t>
  </si>
  <si>
    <t xml:space="preserve">https://www.dutscher.com/search?initialFilters=brand:Sensoquest | https://www.danyel.co.il/ | https://www.diatechpharmacogenetics.com/contacts/</t>
  </si>
  <si>
    <t xml:space="preserve">Sensorex</t>
  </si>
  <si>
    <t xml:space="preserve">https://www.thomassci.com/browse-by/suppliers/sensorex</t>
  </si>
  <si>
    <t xml:space="preserve">https://sensorex.com</t>
  </si>
  <si>
    <t xml:space="preserve">3-in-1 Combination Electrodes</t>
  </si>
  <si>
    <t xml:space="preserve">ORP1000 Polycarbonate Laboratory ORP Sensor</t>
  </si>
  <si>
    <t xml:space="preserve">Combination Electrodes</t>
  </si>
  <si>
    <t xml:space="preserve">+1 714-895-4344</t>
  </si>
  <si>
    <t xml:space="preserve">info@sensorex.com</t>
  </si>
  <si>
    <t xml:space="preserve">https://sensorex.com/contact/</t>
  </si>
  <si>
    <t xml:space="preserve">https://www.thomassci.com/browse-by/suppliers/sensorex | https://sensorex.com/contact/</t>
  </si>
  <si>
    <t xml:space="preserve">Sequence BioTech</t>
  </si>
  <si>
    <t xml:space="preserve">https://www.thomassci.com/browse-by/suppliers/sequence-biotech</t>
  </si>
  <si>
    <t xml:space="preserve">https://sequencebiotech.com</t>
  </si>
  <si>
    <t xml:space="preserve">+1 603.769.0963</t>
  </si>
  <si>
    <t xml:space="preserve">service@sequencebiotech.com</t>
  </si>
  <si>
    <t xml:space="preserve">https://www.sequencebiotech.com/contact-us/</t>
  </si>
  <si>
    <t xml:space="preserve">https://www.thomassci.com/browse-by/suppliers/sequence-biotech | https://www.sequencebiotech.com/contact-us/</t>
  </si>
  <si>
    <t xml:space="preserve">Serva</t>
  </si>
  <si>
    <t xml:space="preserve">https://www.dutscher.com/search?initialFilters=brand:Serva</t>
  </si>
  <si>
    <t xml:space="preserve">https://www.serva.de</t>
  </si>
  <si>
    <t xml:space="preserve">DNADECON Decontaminant - 250 ml spray bottle</t>
  </si>
  <si>
    <t xml:space="preserve">DNADECON Decontaminant - Refill 500 ml</t>
  </si>
  <si>
    <t xml:space="preserve">Gelrite® Gel for in vitro plant tissue culture, 250 g</t>
  </si>
  <si>
    <t xml:space="preserve">Tamar Laboratory Supplies Ltd.; BDL (Beith Dekel) Ltd.</t>
  </si>
  <si>
    <t xml:space="preserve">Tamar Laboratory Supplies Ltd.: +972 2-533-6070 (also 02-579-9777) mail@tamar.co.il; BDL (Beith Dekel) Ltd.: +972 9-761-1800 info@bdl.co.il</t>
  </si>
  <si>
    <t xml:space="preserve">info@licorbio.com</t>
  </si>
  <si>
    <t xml:space="preserve">https://www.serva.de/deDE/14_UEber_SERVA_Kontakt.html</t>
  </si>
  <si>
    <t xml:space="preserve">https://www.dutscher.com/search?initialFilters=brand:Serva | https://www.tamar.co.il/represented-companies/ | https://www.bdl.co.il/Search.aspx?Category=Chemistry&amp;FCD=1 | https://www.serva.de/deDE/14_UEber_SERVA_Kontakt.html</t>
  </si>
  <si>
    <t xml:space="preserve">Seward</t>
  </si>
  <si>
    <t xml:space="preserve">https://www.dutscher.com/search?initialFilters=brand:Seward</t>
  </si>
  <si>
    <t xml:space="preserve">https://www.thomassci.com/browse-by/suppliers/seward</t>
  </si>
  <si>
    <t xml:space="preserve">https://sewardinc.com</t>
  </si>
  <si>
    <t xml:space="preserve">Stomacher® Bag Racks</t>
  </si>
  <si>
    <t xml:space="preserve">Stomacher® 400 Evo Lab Blender 240/110V And Bags</t>
  </si>
  <si>
    <t xml:space="preserve">Stomacher® 80 Biomaster</t>
  </si>
  <si>
    <t xml:space="preserve">Seward (part of FermionX Ltd since 2016) results are US/EU catalog pages (VWR, Thomas Scientific, Capitol Scientific); no Israel mention.</t>
  </si>
  <si>
    <t xml:space="preserve">https://www.dutscher.com/search?initialFilters=brand:Seward | https://www.thomassci.com/browse-by/suppliers/seward</t>
  </si>
  <si>
    <t xml:space="preserve">SGE by Trajan</t>
  </si>
  <si>
    <t xml:space="preserve">https://www.thomassci.com/browse-by/suppliers/sge-by-trajan</t>
  </si>
  <si>
    <t xml:space="preserve">CTC PAL HPLC Autosampler Syringes</t>
  </si>
  <si>
    <t xml:space="preserve">Replacement Luer Lock Needles</t>
  </si>
  <si>
    <t xml:space="preserve">Agilent Technologies GC Inlet Liners</t>
  </si>
  <si>
    <t xml:space="preserve">SGI-DNA</t>
  </si>
  <si>
    <t xml:space="preserve">Shamrock</t>
  </si>
  <si>
    <t xml:space="preserve">https://www.thomassci.com/browse-by/suppliers/shamrock</t>
  </si>
  <si>
    <t xml:space="preserve">Labeling Tape</t>
  </si>
  <si>
    <t xml:space="preserve">1" X 2-5/8" White, Exempt Human Specimen Labels 500/roll</t>
  </si>
  <si>
    <t xml:space="preserve">Hazardous Package Contents Transportation Warning Labels</t>
  </si>
  <si>
    <t xml:space="preserve">Sharpie</t>
  </si>
  <si>
    <t xml:space="preserve">https://www.thomassci.com/browse-by/suppliers/sharpie</t>
  </si>
  <si>
    <t xml:space="preserve">https://www.sharpie.com</t>
  </si>
  <si>
    <t xml:space="preserve">Shel Lab</t>
  </si>
  <si>
    <t xml:space="preserve">https://www.thomassci.com/browse-by/suppliers/shel-lab</t>
  </si>
  <si>
    <t xml:space="preserve">SMO Series Forced Air Ovens</t>
  </si>
  <si>
    <t xml:space="preserve">SRI Series Refrigerated Peltier Incubators</t>
  </si>
  <si>
    <t xml:space="preserve">Model SRI3 Refrigerated Incubators</t>
  </si>
  <si>
    <t xml:space="preserve">https://www.thomassci.com/browse-by/suppliers/shel-lab | https://ormir.co.il/card-with-image/</t>
  </si>
  <si>
    <t xml:space="preserve">Sheldon Manufacturing</t>
  </si>
  <si>
    <t xml:space="preserve">https://www.thomassci.com/browse-by/suppliers/sheldon-manufacturing</t>
  </si>
  <si>
    <t xml:space="preserve">https://sheldonmanufacturing.com</t>
  </si>
  <si>
    <t xml:space="preserve">(503) 640-3000</t>
  </si>
  <si>
    <t xml:space="preserve">sales@shellab.com</t>
  </si>
  <si>
    <t xml:space="preserve">https://www.sheldonmanufacturing.com/contact</t>
  </si>
  <si>
    <t xml:space="preserve">https://www.thomassci.com/browse-by/suppliers/sheldon-manufacturing | https://www.sheldonmanufacturing.com/contact</t>
  </si>
  <si>
    <t xml:space="preserve">SHIELD Scientific</t>
  </si>
  <si>
    <t xml:space="preserve">https://www.dutscher.com/search?initialFilters=brand:SHIELD+Scientific</t>
  </si>
  <si>
    <t xml:space="preserve">https://shieldscientific.com</t>
  </si>
  <si>
    <t xml:space="preserve">Single-use glove for cleanrooms</t>
  </si>
  <si>
    <t xml:space="preserve">EcoSHIELD™ Eco Nitrile PF 250 glove - size M/8</t>
  </si>
  <si>
    <t xml:space="preserve">SHIELDskinXtreme white Nitrile 300 DI++ glove - size M/8</t>
  </si>
  <si>
    <t xml:space="preserve">SHIELDskinXtreme Bright latex 300 DI+ glove - size XL/10</t>
  </si>
  <si>
    <t xml:space="preserve">+31317700202</t>
  </si>
  <si>
    <t xml:space="preserve">info@shieldscientific.com</t>
  </si>
  <si>
    <t xml:space="preserve">https://www.shieldscientific.com/contact/</t>
  </si>
  <si>
    <t xml:space="preserve">https://www.dutscher.com/search?initialFilters=brand:SHIELD+Scientific | https://www.shieldscientific.com/contact/</t>
  </si>
  <si>
    <t xml:space="preserve">Shirley K's</t>
  </si>
  <si>
    <t xml:space="preserve">https://www.thomassci.com/browse-by/suppliers/shirley-ks</t>
  </si>
  <si>
    <t xml:space="preserve">20-Place Compartment Trays</t>
  </si>
  <si>
    <t xml:space="preserve">Stack &amp; Nest 180 Totes</t>
  </si>
  <si>
    <t xml:space="preserve">3-Place Compartment Trays</t>
  </si>
  <si>
    <t xml:space="preserve">Shoe Cover Magic</t>
  </si>
  <si>
    <t xml:space="preserve">https://www.thomassci.com/browse-by/suppliers/shoe-cover-magic</t>
  </si>
  <si>
    <t xml:space="preserve">https://shoecovermagic.com</t>
  </si>
  <si>
    <t xml:space="preserve">Polypropylene Anti-skid and Static Shoe Covers</t>
  </si>
  <si>
    <t xml:space="preserve">Shoecover Magic Refill, Poly Pro, White</t>
  </si>
  <si>
    <t xml:space="preserve">Polypropylene material with non-skid, non-conductive soles, and an anti-static carbon strip, this shoe cover is skid-resistant which improves traction and friction, One size fits all</t>
  </si>
  <si>
    <t xml:space="preserve">6063930949</t>
  </si>
  <si>
    <t xml:space="preserve">info@shoecovermagic.com</t>
  </si>
  <si>
    <t xml:space="preserve">https://shoecovermagic.com/contact/</t>
  </si>
  <si>
    <t xml:space="preserve">https://www.thomassci.com/browse-by/suppliers/shoe-cover-magic | https://shoecovermagic.com/contact/</t>
  </si>
  <si>
    <t xml:space="preserve">Shoe Inn</t>
  </si>
  <si>
    <t xml:space="preserve">https://www.thomassci.com/browse-by/suppliers/shoe-inn</t>
  </si>
  <si>
    <t xml:space="preserve">Super Shoe Covers</t>
  </si>
  <si>
    <t xml:space="preserve">Fabric Shoe Covers with Traction</t>
  </si>
  <si>
    <t xml:space="preserve">Plastic Shoe Covers</t>
  </si>
  <si>
    <t xml:space="preserve">SHOWA®</t>
  </si>
  <si>
    <t xml:space="preserve">https://www.dutscher.com/search?initialFilters=brand:Showa</t>
  </si>
  <si>
    <t xml:space="preserve">https://www.thomassci.com/browse-by/suppliers/showa</t>
  </si>
  <si>
    <t xml:space="preserve">https://showagroup.com</t>
  </si>
  <si>
    <t xml:space="preserve">Single-use laboratory and examination glove</t>
  </si>
  <si>
    <t xml:space="preserve">ATLAS® KV350 Nitrile Gloves</t>
  </si>
  <si>
    <t xml:space="preserve">ATLAS® Gloves</t>
  </si>
  <si>
    <t xml:space="preserve">ATLAS ASSEMBLY GRIP® Gloves</t>
  </si>
  <si>
    <t xml:space="preserve">SHOWA (gloves) sells via a worldwide distributor network; results show US/ZA sellers (MDS Associates, Gemplers, RS South Africa) and showagroup.com EU pages; no Israeli distributor named.</t>
  </si>
  <si>
    <t xml:space="preserve">31-0-88-004-2100</t>
  </si>
  <si>
    <t xml:space="preserve">info@showagroup.eu</t>
  </si>
  <si>
    <t xml:space="preserve">https://www.showagroup.com/eu-en/contact/</t>
  </si>
  <si>
    <t xml:space="preserve">https://www.dutscher.com/search?initialFilters=brand:Showa | https://www.thomassci.com/browse-by/suppliers/showa | https://www.showagroup.com/eu-en/contact/</t>
  </si>
  <si>
    <t xml:space="preserve">Shurtape Technologies, LLC.</t>
  </si>
  <si>
    <t xml:space="preserve">https://www.thomassci.com/browse-by/suppliers/shurtape-technologies-llc-</t>
  </si>
  <si>
    <t xml:space="preserve">TAPE DISPENSER, Sure Grip, MAX. 3"PISTOL GRIP, 1/each</t>
  </si>
  <si>
    <t xml:space="preserve">CP 631 General Purpose Grade, Medium-High Adhesion Colored Masking Tape</t>
  </si>
  <si>
    <t xml:space="preserve">CP 105 General Purpose Grade, Medium-High Adhesion Masking Tape</t>
  </si>
  <si>
    <t xml:space="preserve">SI Analytics</t>
  </si>
  <si>
    <t xml:space="preserve">https://www.thomassci.com/browse-by/suppliers/si-analytics</t>
  </si>
  <si>
    <t xml:space="preserve">https://www.si-analytics.com</t>
  </si>
  <si>
    <t xml:space="preserve">A 162 2M-DIN-ID: pH Combination Electrode with Sensor Recognition</t>
  </si>
  <si>
    <t xml:space="preserve">N 62: pH Combination Electrode (120mm) with Plug Head</t>
  </si>
  <si>
    <t xml:space="preserve">Plug Cable Combination</t>
  </si>
  <si>
    <t xml:space="preserve">https://www.thomassci.com/browse-by/suppliers/si-analytics | https://www.xylemanalytics.com/en/contact/general-contact</t>
  </si>
  <si>
    <t xml:space="preserve">SignalChem</t>
  </si>
  <si>
    <t xml:space="preserve">Signet</t>
  </si>
  <si>
    <t xml:space="preserve">https://www.thomassci.com/browse-by/suppliers/signet</t>
  </si>
  <si>
    <t xml:space="preserve">https://signetgroup.net</t>
  </si>
  <si>
    <t xml:space="preserve">Silver Brush LTD</t>
  </si>
  <si>
    <t xml:space="preserve">https://www.thomassci.com/browse-by/suppliers/silver-brush-ltd</t>
  </si>
  <si>
    <t xml:space="preserve">Simple Green</t>
  </si>
  <si>
    <t xml:space="preserve">https://www.thomassci.com/browse-by/suppliers/simple-green</t>
  </si>
  <si>
    <t xml:space="preserve">https://simplegreen.com</t>
  </si>
  <si>
    <t xml:space="preserve">Crystal Simple Green® Industrial Cleaner/Degreaser</t>
  </si>
  <si>
    <t xml:space="preserve">Extreme Simple Green® Aircraft &amp; Precision Cleaner</t>
  </si>
  <si>
    <t xml:space="preserve">Simple Green® Concentrated Cleaner</t>
  </si>
  <si>
    <t xml:space="preserve">https://simplegreen.com/</t>
  </si>
  <si>
    <t xml:space="preserve">https://www.thomassci.com/browse-by/suppliers/simple-green | https://simplegreen.com/</t>
  </si>
  <si>
    <t xml:space="preserve">Simple Solvents</t>
  </si>
  <si>
    <t xml:space="preserve">https://www.thomassci.com/browse-by/suppliers/simple-solvents</t>
  </si>
  <si>
    <t xml:space="preserve">https://simplesolvents.com</t>
  </si>
  <si>
    <t xml:space="preserve">200 proof Specially Denatured Alcohol formula 40B</t>
  </si>
  <si>
    <t xml:space="preserve">200 proof Completely Denatured Alcohol formula 12A</t>
  </si>
  <si>
    <t xml:space="preserve">n-Pentane, 99%</t>
  </si>
  <si>
    <t xml:space="preserve">+18772245641</t>
  </si>
  <si>
    <t xml:space="preserve">hello@simplesolvents.com</t>
  </si>
  <si>
    <t xml:space="preserve">https://simplesolvents.com/contact-us/</t>
  </si>
  <si>
    <t xml:space="preserve">https://www.thomassci.com/browse-by/suppliers/simple-solvents | https://simplesolvents.com/contact-us/</t>
  </si>
  <si>
    <t xml:space="preserve">Simport</t>
  </si>
  <si>
    <t xml:space="preserve">https://www.dutscher.com/search?initialFilters=brand:Simport</t>
  </si>
  <si>
    <t xml:space="preserve">https://www.thomassci.com/browse-by/suppliers/simport</t>
  </si>
  <si>
    <t xml:space="preserve">https://www.simport.com</t>
  </si>
  <si>
    <t xml:space="preserve">HISTOSETTE® II Tissue Processing/Embedding Cassettes</t>
  </si>
  <si>
    <t xml:space="preserve">Base Molds, Disposable</t>
  </si>
  <si>
    <t xml:space="preserve">CRYOVIAL, External Thread with Silicone Washer Seal</t>
  </si>
  <si>
    <t xml:space="preserve">Simport Scientific (Quebec) cites a global distribution network; no Israeli distributor named (Enco and M. Stauber surfaced only as Agrisera distributors).</t>
  </si>
  <si>
    <t xml:space="preserve">(450) 464-1723</t>
  </si>
  <si>
    <t xml:space="preserve">info@simport.com</t>
  </si>
  <si>
    <t xml:space="preserve">https://www.simport.com/en/page/15-contact-page</t>
  </si>
  <si>
    <t xml:space="preserve">https://www.dutscher.com/search?initialFilters=brand:Simport | https://www.thomassci.com/browse-by/suppliers/simport | https://www.simport.com/en/page/15-contact-page</t>
  </si>
  <si>
    <t xml:space="preserve">Sino Biological</t>
  </si>
  <si>
    <t xml:space="preserve">https://sinobiological.com</t>
  </si>
  <si>
    <t xml:space="preserve">215-583-7898</t>
  </si>
  <si>
    <t xml:space="preserve">https://www.sinobiological.com/contact-us/distributors</t>
  </si>
  <si>
    <t xml:space="preserve">https://www.quartzy.com/suppliers | https://www.enco.co.il/suppliers.php | https://www.sinobiological.com/contact-us/distributors</t>
  </si>
  <si>
    <t xml:space="preserve">SKC</t>
  </si>
  <si>
    <t xml:space="preserve">https://www.thomassci.com/browse-by/suppliers/skc</t>
  </si>
  <si>
    <t xml:space="preserve">https://www.skcinc.com</t>
  </si>
  <si>
    <t xml:space="preserve">Sorbent Tube, Anasorb CSC, Coconut Charcoal</t>
  </si>
  <si>
    <t xml:space="preserve">Sorbent Tubes, Anasorb 747 (Sulfuric Acid)</t>
  </si>
  <si>
    <t xml:space="preserve">Gastec Smoke Tube Kit</t>
  </si>
  <si>
    <t xml:space="preserve">SKC Inc. (Eighty Four, PA) has a distributor locator but no Israel entry visible; target website sk.co.kr is wrong (skcinc.com).</t>
  </si>
  <si>
    <t xml:space="preserve">https://www.quartzy.com/suppliers | https://www.thomassci.com/browse-by/suppliers/skc</t>
  </si>
  <si>
    <t xml:space="preserve">Sklar</t>
  </si>
  <si>
    <t xml:space="preserve">https://www.thomassci.com/browse-by/suppliers/sklar</t>
  </si>
  <si>
    <t xml:space="preserve">Slice</t>
  </si>
  <si>
    <t xml:space="preserve">https://www.thomassci.com/browse-by/suppliers/slice</t>
  </si>
  <si>
    <t xml:space="preserve">https://www.sliceproducts.com</t>
  </si>
  <si>
    <t xml:space="preserve">Manual Industrial Knife</t>
  </si>
  <si>
    <t xml:space="preserve">Ceramic Blade Craft Cutter Handle</t>
  </si>
  <si>
    <t xml:space="preserve">Folding Utility Knife</t>
  </si>
  <si>
    <t xml:space="preserve">info@sliceproducts.com</t>
  </si>
  <si>
    <t xml:space="preserve">https://www.sliceproducts.com/pages/contact-us</t>
  </si>
  <si>
    <t xml:space="preserve">https://www.thomassci.com/browse-by/suppliers/slice | https://www.sliceproducts.com/pages/contact-us</t>
  </si>
  <si>
    <t xml:space="preserve">Slingshot Biosciences</t>
  </si>
  <si>
    <t xml:space="preserve">SlingshotBio</t>
  </si>
  <si>
    <t xml:space="preserve">https://slingshotbio.com</t>
  </si>
  <si>
    <t xml:space="preserve">Slingshot’s revolutionary technology is a new paradigm for any cell-based application, including drug discovery, clinical trials, medical testing, and cell therapy manufacturing. We created FlowCytes™ using biochemistry and polymer chemistry. These synthetic cells are printed on demand. Slingshot’s technology lowers costs, shortens timelines, and enhances stability and accessibility.</t>
  </si>
  <si>
    <t xml:space="preserve">+15107706806</t>
  </si>
  <si>
    <t xml:space="preserve">sales@slingshotbio.com</t>
  </si>
  <si>
    <t xml:space="preserve">https://www.slingshotbio.com/contact</t>
  </si>
  <si>
    <t xml:space="preserve">https://info.quartzy.com/new-suppliers | https://www.slingshotbio.com/contact</t>
  </si>
  <si>
    <t xml:space="preserve">SLS</t>
  </si>
  <si>
    <t xml:space="preserve">https://www.dutscher.com/search?initialFilters=brand:SLS</t>
  </si>
  <si>
    <t xml:space="preserve">https://www.scientificlabs.co.uk</t>
  </si>
  <si>
    <t xml:space="preserve">Bostwick Consistometer stainless steel - chamber length 240 mm</t>
  </si>
  <si>
    <t xml:space="preserve">Jerrycan 2.5 L sterile HDPE - white cap</t>
  </si>
  <si>
    <t xml:space="preserve">Anaerobic atmosphere indicator strip</t>
  </si>
  <si>
    <t xml:space="preserve">115 982 1111</t>
  </si>
  <si>
    <t xml:space="preserve">https://www.scientificlabs.co.uk/contactus</t>
  </si>
  <si>
    <t xml:space="preserve">https://www.dutscher.com/search?initialFilters=brand:SLS | https://www.scientificlabs.co.uk/contactus</t>
  </si>
  <si>
    <t xml:space="preserve">Small Precision Tools</t>
  </si>
  <si>
    <t xml:space="preserve">https://www.thomassci.com/browse-by/suppliers/small-precision-tools</t>
  </si>
  <si>
    <t xml:space="preserve">SmartStack™</t>
  </si>
  <si>
    <t xml:space="preserve">https://www.thomassci.com/browse-by/suppliers/smartstack</t>
  </si>
  <si>
    <t xml:space="preserve">https://smartstack.com.au</t>
  </si>
  <si>
    <t xml:space="preserve">1300889837</t>
  </si>
  <si>
    <t xml:space="preserve">orders@smartrecordsgroup.com.au</t>
  </si>
  <si>
    <t xml:space="preserve">https://smartstack.com.au/contact-us/</t>
  </si>
  <si>
    <t xml:space="preserve">https://www.thomassci.com/browse-by/suppliers/smartstack | https://smartstack.com.au/contact-us/</t>
  </si>
  <si>
    <t xml:space="preserve">Smith &amp; Nephew</t>
  </si>
  <si>
    <t xml:space="preserve">https://www.thomassci.com/browse-by/suppliers/smith-and-nephew</t>
  </si>
  <si>
    <t xml:space="preserve">https://smith-nephew.com</t>
  </si>
  <si>
    <t xml:space="preserve">Dressing, Collagen</t>
  </si>
  <si>
    <t xml:space="preserve">Wound Cleanser</t>
  </si>
  <si>
    <t xml:space="preserve">+1-844-275-6947</t>
  </si>
  <si>
    <t xml:space="preserve">https://www.smith-nephew.com/en-us/contact-us</t>
  </si>
  <si>
    <t xml:space="preserve">https://www.thomassci.com/browse-by/suppliers/smith-and-nephew | https://www.smith-nephew.com/en-us/contact-us</t>
  </si>
  <si>
    <t xml:space="preserve">Smith Ecological Systems</t>
  </si>
  <si>
    <t xml:space="preserve">https://www.thomassci.com/browse-by/suppliers/smith-ecological-systems</t>
  </si>
  <si>
    <t xml:space="preserve">Smiths Medical ASD, Inc.</t>
  </si>
  <si>
    <t xml:space="preserve">https://www.thomassci.com/browse-by/suppliers/smiths-medical-asd-inc-</t>
  </si>
  <si>
    <t xml:space="preserve">Hypodermic Needle-Pro® Edge® Safety Needles W/Syringe</t>
  </si>
  <si>
    <t xml:space="preserve">Smiths Medical Medex Jelco™ Injection Caps</t>
  </si>
  <si>
    <t xml:space="preserve">Hypodermic Needle-Pro® Safety Needles W/Insulin Syringe</t>
  </si>
  <si>
    <t xml:space="preserve">So-Low</t>
  </si>
  <si>
    <t xml:space="preserve">https://www.thomassci.com/browse-by/suppliers/so-low</t>
  </si>
  <si>
    <t xml:space="preserve">Upright Style Ultra-Low Freezers</t>
  </si>
  <si>
    <t xml:space="preserve">SO-LOW ENVIRONMENTAL, FLAMMABLE MATERIAL STORAGE FREEZER, MANUAL DEFROST, 20 Cubic Ft. Upright -25°C / Solid Door</t>
  </si>
  <si>
    <t xml:space="preserve">Chest Style Ultra-Low Freezers</t>
  </si>
  <si>
    <t xml:space="preserve">Socorex</t>
  </si>
  <si>
    <t xml:space="preserve">https://www.dutscher.com/search?initialFilters=brand:Socorex</t>
  </si>
  <si>
    <t xml:space="preserve">https://www.thomassci.com/browse-by/suppliers/socorex</t>
  </si>
  <si>
    <t xml:space="preserve">https://socorex.com</t>
  </si>
  <si>
    <t xml:space="preserve">2007</t>
  </si>
  <si>
    <t xml:space="preserve">Tube feed Drencher ø x l = 0.9 x 25 mm</t>
  </si>
  <si>
    <t xml:space="preserve">Syringe 1 ml metal Luer Lock cone with glass piston</t>
  </si>
  <si>
    <t xml:space="preserve">Reservoir 1 well 70 ml V-shape</t>
  </si>
  <si>
    <t xml:space="preserve">No result mentions Socorex at all; hits are unrelated Israeli distributor announcements (OpteamX, Militram, Rhenium, Agentek).</t>
  </si>
  <si>
    <t xml:space="preserve">+41216516000</t>
  </si>
  <si>
    <t xml:space="preserve">https://socorex.com/en/contact</t>
  </si>
  <si>
    <t xml:space="preserve">Q112202793</t>
  </si>
  <si>
    <t xml:space="preserve">https://www.dutscher.com/search?initialFilters=brand:Socorex | https://www.thomassci.com/browse-by/suppliers/socorex | https://www.wikidata.org/wiki/Q112202793 | https://socorex.com/en/contact</t>
  </si>
  <si>
    <t xml:space="preserve">Softbox Systems Inc.</t>
  </si>
  <si>
    <t xml:space="preserve">https://www.thomassci.com/browse-by/suppliers/softbox-systems-inc-</t>
  </si>
  <si>
    <t xml:space="preserve">SoftBox® VIP Shippers</t>
  </si>
  <si>
    <t xml:space="preserve">TracSafe RLT Data Logger</t>
  </si>
  <si>
    <t xml:space="preserve">Sofwipe</t>
  </si>
  <si>
    <t xml:space="preserve">https://www.thomassci.com/browse-by/suppliers/sofwipe</t>
  </si>
  <si>
    <t xml:space="preserve">Cheesecloth Cleaning Cloth</t>
  </si>
  <si>
    <t xml:space="preserve">Rymplecloth Cleaning Cloth</t>
  </si>
  <si>
    <t xml:space="preserve">Sol-Millennium</t>
  </si>
  <si>
    <t xml:space="preserve">https://www.thomassci.com/browse-by/suppliers/sol-millennium</t>
  </si>
  <si>
    <t xml:space="preserve">https://sol-m.com.br</t>
  </si>
  <si>
    <t xml:space="preserve">Safety Needle</t>
  </si>
  <si>
    <t xml:space="preserve">Sol-M® Syringe without Needle</t>
  </si>
  <si>
    <t xml:space="preserve">Sol-Vet Blood Collection Needle</t>
  </si>
  <si>
    <t xml:space="preserve">Q131668935</t>
  </si>
  <si>
    <t xml:space="preserve">https://www.thomassci.com/browse-by/suppliers/sol-millennium | https://www.wikidata.org/wiki/Q131668935</t>
  </si>
  <si>
    <t xml:space="preserve">Sol-Millennium Medical</t>
  </si>
  <si>
    <t xml:space="preserve">Solar Light</t>
  </si>
  <si>
    <t xml:space="preserve">https://www.thomassci.com/browse-by/suppliers/solar-light</t>
  </si>
  <si>
    <t xml:space="preserve">https://solarlight.me</t>
  </si>
  <si>
    <t xml:space="preserve">NIST UVB Radiometer, Measures 280-320nm Light , Range of 0-19.99 mW/cm², Model 6.0 Standard UVB Meter</t>
  </si>
  <si>
    <t xml:space="preserve">NIST, Red Light Radiometer, Measures 577-661nm Light, Range of 0-199.9 mW/cm², Model 9.6 Red Light Meter</t>
  </si>
  <si>
    <t xml:space="preserve">NIST traceable UVC radiometer with remote probe that measures 254 +/-8nm light with a range of 0-1999 µW/cm²</t>
  </si>
  <si>
    <t xml:space="preserve">Solis Biodyne</t>
  </si>
  <si>
    <t xml:space="preserve">https://www.dutscher.com/search?initialFilters=brand:Solis+Biodyne</t>
  </si>
  <si>
    <t xml:space="preserve">https://solisbiodyne.com</t>
  </si>
  <si>
    <t xml:space="preserve">PCR grade water - 25 ml</t>
  </si>
  <si>
    <t xml:space="preserve">10x gc-rich enhancer, 5 ml</t>
  </si>
  <si>
    <t xml:space="preserve">5X Hot FIREpol® Blend Master Mix 10 mM with BSA 1 ml - standard Version</t>
  </si>
  <si>
    <t xml:space="preserve">+372 740 9960</t>
  </si>
  <si>
    <t xml:space="preserve">orders@solisbiodyne.com</t>
  </si>
  <si>
    <t xml:space="preserve">https://solisbiodyne.com/EN/contact-us/contact_us/</t>
  </si>
  <si>
    <t xml:space="preserve">https://www.dutscher.com/search?initialFilters=brand:Solis+Biodyne | https://solisbiodyne.com/EN/contact-us/contact_us/</t>
  </si>
  <si>
    <t xml:space="preserve">Solstice</t>
  </si>
  <si>
    <t xml:space="preserve">https://www.dutscher.com/search?initialFilters=brand:Solstice</t>
  </si>
  <si>
    <t xml:space="preserve">32201-1L-HON · Acetone min. 99.5% - Puriss - For analysis - ISO - ACS - Compliant with the European Pharmacopoeia - 1 L</t>
  </si>
  <si>
    <t xml:space="preserve">33665-500ML-HON · Buffer solution - pH value: 4.0 - Composition: Citric acid / NaOH / NaCl - Red colored - with fungicide - 500 ml - NIST tr</t>
  </si>
  <si>
    <t xml:space="preserve">34283-1L-HON · Sodium hydroxide 0.111 mol/l NaOH, dornic soda - grade: For acidity analysis in milk - 1 l</t>
  </si>
  <si>
    <t xml:space="preserve">Somark</t>
  </si>
  <si>
    <t xml:space="preserve">https://www.thomassci.com/browse-by/suppliers/somark</t>
  </si>
  <si>
    <t xml:space="preserve">Labstamp® Slides</t>
  </si>
  <si>
    <t xml:space="preserve">Labstamp ® automated tattoo machine</t>
  </si>
  <si>
    <t xml:space="preserve">Labstamp® Tail Gauge</t>
  </si>
  <si>
    <t xml:space="preserve">Sonics &amp; Materials</t>
  </si>
  <si>
    <t xml:space="preserve">https://www.thomassci.com/browse-by/suppliers/sonics-and-materials</t>
  </si>
  <si>
    <t xml:space="preserve">https://sonics.com</t>
  </si>
  <si>
    <t xml:space="preserve">25 mm (1") Replacementacement Tip</t>
  </si>
  <si>
    <t xml:space="preserve">Replacementacement 13 mm (1/2") Tip</t>
  </si>
  <si>
    <t xml:space="preserve">25 mm (1") High Gain Probe Solid</t>
  </si>
  <si>
    <t xml:space="preserve">2032704600</t>
  </si>
  <si>
    <t xml:space="preserve">info@sonics.com</t>
  </si>
  <si>
    <t xml:space="preserve">https://sonics.com/contact-general/</t>
  </si>
  <si>
    <t xml:space="preserve">https://www.thomassci.com/browse-by/suppliers/sonics-and-materials | https://sonics.com/contact-general/</t>
  </si>
  <si>
    <t xml:space="preserve">Sonoco</t>
  </si>
  <si>
    <t xml:space="preserve">https://www.thomassci.com/browse-by/suppliers/sonoco</t>
  </si>
  <si>
    <t xml:space="preserve">https://sonoco.com</t>
  </si>
  <si>
    <t xml:space="preserve">Sonoco™ ThermoSafe InsulatedShipper-PUR, Packed in Case</t>
  </si>
  <si>
    <t xml:space="preserve">EPS SHIPPER, ID 11.6 X 9.9 X 7.0 IN, 1.6 IN WALL, PLUG LID, WITH CARTON</t>
  </si>
  <si>
    <t xml:space="preserve">1-800-377-2692</t>
  </si>
  <si>
    <t xml:space="preserve">https://www.sonoco.com/na/contact</t>
  </si>
  <si>
    <t xml:space="preserve">https://www.thomassci.com/browse-by/suppliers/sonoco | https://www.sonoco.com/na/contact</t>
  </si>
  <si>
    <t xml:space="preserve">Sorenson</t>
  </si>
  <si>
    <t xml:space="preserve">https://www.thomassci.com/browse-by/suppliers/sorenson</t>
  </si>
  <si>
    <t xml:space="preserve">https://sorenson.com</t>
  </si>
  <si>
    <t xml:space="preserve">MµltiFlex Round Gel Loading Tips</t>
  </si>
  <si>
    <t xml:space="preserve">Real Time PCR Plate Seal</t>
  </si>
  <si>
    <t xml:space="preserve">Safeseal Microcentrifuge Tubes</t>
  </si>
  <si>
    <t xml:space="preserve">18775572227</t>
  </si>
  <si>
    <t xml:space="preserve">support@captioncall.com</t>
  </si>
  <si>
    <t xml:space="preserve">https://sorenson.com/company/contact-sorenson/</t>
  </si>
  <si>
    <t xml:space="preserve">https://www.thomassci.com/browse-by/suppliers/sorenson | https://ornat.co.il/consumables/ | https://sorenson.com/company/contact-sorenson/</t>
  </si>
  <si>
    <t xml:space="preserve">Sorifa</t>
  </si>
  <si>
    <t xml:space="preserve">https://www.dutscher.com/search?initialFilters=brand:Sorifa</t>
  </si>
  <si>
    <t xml:space="preserve">Manuphyl repair cream - Tube 100 ml</t>
  </si>
  <si>
    <t xml:space="preserve">HP Derm 7 Gel - 500 ml pump bottle</t>
  </si>
  <si>
    <t xml:space="preserve">Anthydro water-repellent barrier cream - Tube 125 ml</t>
  </si>
  <si>
    <t xml:space="preserve">SouthernBiotech</t>
  </si>
  <si>
    <t xml:space="preserve">https://www.thomassci.com/browse-by/suppliers/southernbiotech</t>
  </si>
  <si>
    <t xml:space="preserve">https://southernbiotech.com</t>
  </si>
  <si>
    <t xml:space="preserve">Goat Anti-Human IgG, Mouse/Bovine/Horse SP ads-AP</t>
  </si>
  <si>
    <t xml:space="preserve">Goat Anti-Mouse IgE-BIOT</t>
  </si>
  <si>
    <t xml:space="preserve">Goat Anti-Human Ig Fab-HRP</t>
  </si>
  <si>
    <t xml:space="preserve">No result connected SouthernBiotech to an Israeli distributor; Enco's listed brands do not include it.</t>
  </si>
  <si>
    <t xml:space="preserve">https://www.quartzy.com/suppliers | https://www.thomassci.com/browse-by/suppliers/southernbiotech</t>
  </si>
  <si>
    <t xml:space="preserve">SP Bel-Art</t>
  </si>
  <si>
    <t xml:space="preserve">T+Q+</t>
  </si>
  <si>
    <t xml:space="preserve">https://www.thomassci.com/browse-by/suppliers/sp-bel-art</t>
  </si>
  <si>
    <t xml:space="preserve">https://belart.com</t>
  </si>
  <si>
    <t xml:space="preserve">Bel-Art designs and manufactures products built to the highest standards of quality and reliability. Our deep-rooted American heritage means you can trust every product to perform. Every Bel-Art product is solution-based, engineered to streamline workflows and reduce friction in the lab. Decades of laboratory expertise have shaped a product line you can depend on. When reliability matters most, SP Bel-Art delivers the confidence that comes with experience. With over 2,700 products spanning cold &amp; cryo, plasticware, safety, liquid handling, dry storage, and more, Bel-Art is the single source for virtually every labware need.</t>
  </si>
  <si>
    <t xml:space="preserve">Scienceware® Graduated Pitchers, Polypropylene</t>
  </si>
  <si>
    <t xml:space="preserve">Scienceware® Poxygrid® Bench-Top Biohazard Bag Holder Kit</t>
  </si>
  <si>
    <t xml:space="preserve">Scienceware® Pipette Pump™ Pipet Fillers</t>
  </si>
  <si>
    <t xml:space="preserve">Only overseas resellers in South Africa/NZ/India/Australia and Fisher listings; no Israel mention.</t>
  </si>
  <si>
    <t xml:space="preserve">18004235278</t>
  </si>
  <si>
    <t xml:space="preserve">https://belart.com/contact/</t>
  </si>
  <si>
    <t xml:space="preserve">https://info.quartzy.com/new-suppliers | https://www.thomassci.com/browse-by/suppliers/sp-bel-art | https://belart.com/contact/</t>
  </si>
  <si>
    <t xml:space="preserve">SP Wilmad-LabGlass</t>
  </si>
  <si>
    <t xml:space="preserve">https://www.thomassci.com/browse-by/suppliers/sp-wilmad-labglass</t>
  </si>
  <si>
    <t xml:space="preserve">Filterware™ Microfiltration Glassware</t>
  </si>
  <si>
    <t xml:space="preserve">Laboratory Grade Automatic Burets with Straight Stopcocks with PTFE Plugs</t>
  </si>
  <si>
    <t xml:space="preserve">Bidwell-Sterling Moisture Traps with Vapor Connection</t>
  </si>
  <si>
    <t xml:space="preserve">Specac</t>
  </si>
  <si>
    <t xml:space="preserve">https://www.thomassci.com/browse-by/suppliers/specac</t>
  </si>
  <si>
    <t xml:space="preserve">https://specac.com</t>
  </si>
  <si>
    <t xml:space="preserve">Omni-Cell Body With Mount</t>
  </si>
  <si>
    <t xml:space="preserve">Specac Omni-Cell Spacers</t>
  </si>
  <si>
    <t xml:space="preserve">SAMPLE PREP</t>
  </si>
  <si>
    <t xml:space="preserve">+44 (0) 1689 873 134</t>
  </si>
  <si>
    <t xml:space="preserve">sales@specac.co.uk</t>
  </si>
  <si>
    <t xml:space="preserve">https://specac.com/contact-us/</t>
  </si>
  <si>
    <t xml:space="preserve">https://www.thomassci.com/browse-by/suppliers/specac | https://specac.com/contact-us/</t>
  </si>
  <si>
    <t xml:space="preserve">Spectronics</t>
  </si>
  <si>
    <t xml:space="preserve">https://www.thomassci.com/browse-by/suppliers/spectronics</t>
  </si>
  <si>
    <t xml:space="preserve">https://www.spectroline.com</t>
  </si>
  <si>
    <t xml:space="preserve">Ultraviolet Lamps &amp; Accessories</t>
  </si>
  <si>
    <t xml:space="preserve">X-Series UV Bench and Display Lamps, Germicidal</t>
  </si>
  <si>
    <t xml:space="preserve">Accessories and Replacement Parts for UV Transilluminators</t>
  </si>
  <si>
    <t xml:space="preserve">18002748888</t>
  </si>
  <si>
    <t xml:space="preserve">marketing@spectroline.com</t>
  </si>
  <si>
    <t xml:space="preserve">https://spectroline.com/contact/</t>
  </si>
  <si>
    <t xml:space="preserve">https://www.thomassci.com/browse-by/suppliers/spectronics | https://spectroline.com/contact/</t>
  </si>
  <si>
    <t xml:space="preserve">Spectrum</t>
  </si>
  <si>
    <t xml:space="preserve">https://www.dutscher.com/search?initialFilters=brand:Spectrum</t>
  </si>
  <si>
    <t xml:space="preserve">https://spectrum.com</t>
  </si>
  <si>
    <t xml:space="preserve">Ultrafiltration and protein concentration</t>
  </si>
  <si>
    <t xml:space="preserve">Standard clamp width 35 mm for closing dialysis tubes</t>
  </si>
  <si>
    <t xml:space="preserve">Dialysis tube SPECTRA/POR Float-A-Lyzer G2 5 ml cellulose ester membrane</t>
  </si>
  <si>
    <t xml:space="preserve">Weighted clamp width 35 mm for closing dialysis tubes</t>
  </si>
  <si>
    <t xml:space="preserve">Spectrum Chemical</t>
  </si>
  <si>
    <t xml:space="preserve">https://www.thomassci.com/browse-by/suppliers/spectrum-chemical</t>
  </si>
  <si>
    <t xml:space="preserve">https://www.spectrumchemical.com</t>
  </si>
  <si>
    <t xml:space="preserve">Sodium Oleate</t>
  </si>
  <si>
    <t xml:space="preserve">sec-Butyl Alcohol</t>
  </si>
  <si>
    <t xml:space="preserve">Alcohol, 190 Proof, USP</t>
  </si>
  <si>
    <t xml:space="preserve">Spectrum's distributor page has a 'Worldwide' locator (partners in 70 countries) but country entries were not visible in results; USA distributor page lists Cole-Parmer, Fisher, Grainger, Quartzy, VWR; no Israeli distributor named.</t>
  </si>
  <si>
    <t xml:space="preserve">https://www.quartzy.com/suppliers | https://www.thomassci.com/browse-by/suppliers/spectrum-chemical</t>
  </si>
  <si>
    <t xml:space="preserve">Spectrum Med</t>
  </si>
  <si>
    <t xml:space="preserve">https://www.thomassci.com/browse-by/suppliers/spectrum-med</t>
  </si>
  <si>
    <t xml:space="preserve">Multi-purpose Dialysis Tubing</t>
  </si>
  <si>
    <t xml:space="preserve">Biotech CE Dialysis Trial Kits - 1 m/roll</t>
  </si>
  <si>
    <t xml:space="preserve">Bessman Tissue Pulverizer</t>
  </si>
  <si>
    <t xml:space="preserve">Sper Scientific</t>
  </si>
  <si>
    <t xml:space="preserve">https://www.thomassci.com/browse-by/suppliers/sper-scientific</t>
  </si>
  <si>
    <t xml:space="preserve">https://sperdirect.com</t>
  </si>
  <si>
    <t xml:space="preserve">Infrared Thermometer with Dewpoint</t>
  </si>
  <si>
    <t xml:space="preserve">Large Display Indoor/Outdoor Thermometers</t>
  </si>
  <si>
    <t xml:space="preserve">Continuous Alarm Timer</t>
  </si>
  <si>
    <t xml:space="preserve">+1.480.948.4448</t>
  </si>
  <si>
    <t xml:space="preserve">support@sperdirect.com</t>
  </si>
  <si>
    <t xml:space="preserve">https://sperdirect.com/pages/contact-us</t>
  </si>
  <si>
    <t xml:space="preserve">https://www.thomassci.com/browse-by/suppliers/sper-scientific | https://sperdirect.com/pages/contact-us</t>
  </si>
  <si>
    <t xml:space="preserve">Sperian</t>
  </si>
  <si>
    <t xml:space="preserve">https://www.thomassci.com/browse-by/suppliers/sperian</t>
  </si>
  <si>
    <t xml:space="preserve">SPEX CertiPrep</t>
  </si>
  <si>
    <t xml:space="preserve">https://www.thomassci.com/browse-by/suppliers/spex-certiprep</t>
  </si>
  <si>
    <t xml:space="preserve">spex® 2-Methylpropane Residual Solvent Standard</t>
  </si>
  <si>
    <t xml:space="preserve">Semi-volatile Calibration Standard</t>
  </si>
  <si>
    <t xml:space="preserve">Assurance® Grade Iron Single-Element Standard</t>
  </si>
  <si>
    <t xml:space="preserve">SPEX CertiPrep (Metuchen NJ; UK subsidiary) works through worldwide distributors; none named for Israel in results.</t>
  </si>
  <si>
    <t xml:space="preserve">https://www.quartzy.com/suppliers | https://www.thomassci.com/browse-by/suppliers/spex-certiprep</t>
  </si>
  <si>
    <t xml:space="preserve">SPEX SamplePrep</t>
  </si>
  <si>
    <t xml:space="preserve">https://www.thomassci.com/browse-by/suppliers/spex-sampleprep</t>
  </si>
  <si>
    <t xml:space="preserve">https://spexsampleprep.com</t>
  </si>
  <si>
    <t xml:space="preserve">8000D Mixer/Mill® Accessories</t>
  </si>
  <si>
    <t xml:space="preserve">Ceramic Grind Cyld 3/8"x7/8" angle cut</t>
  </si>
  <si>
    <t xml:space="preserve">Cryo-Station</t>
  </si>
  <si>
    <t xml:space="preserve">Only Australia/NZ distributor (John Morris Group) and US listings; no Israel mention.</t>
  </si>
  <si>
    <t xml:space="preserve">+1.732.623.0465</t>
  </si>
  <si>
    <t xml:space="preserve">https://www.cpsampleprep.com/contactus</t>
  </si>
  <si>
    <t xml:space="preserve">https://www.quartzy.com/suppliers | https://www.thomassci.com/browse-by/suppliers/spex-sampleprep | https://www.cpsampleprep.com/contactus</t>
  </si>
  <si>
    <t xml:space="preserve">SpinSmart™</t>
  </si>
  <si>
    <t xml:space="preserve">https://www.thomassci.com/browse-by/suppliers/spinsmart</t>
  </si>
  <si>
    <t xml:space="preserve">SpinSmart™ Plasmid Miniprep DNA Purification Columns</t>
  </si>
  <si>
    <t xml:space="preserve">NucleoSpin Extract II Columns</t>
  </si>
  <si>
    <t xml:space="preserve">SPL</t>
  </si>
  <si>
    <t xml:space="preserve">https://www.dutscher.com/search?initialFilters=brand:SPL</t>
  </si>
  <si>
    <t xml:space="preserve">SPL plant culture PS containers 90 x 20 mm, not autoclavable, sterile - packing unit: 10</t>
  </si>
  <si>
    <t xml:space="preserve">SPL cell culture slide (8 wells), transparent PS chamber / glass slide / PP holder - without surface treatment</t>
  </si>
  <si>
    <t xml:space="preserve">SPL cell sieve for 50 ml tube - pores: 40 µm - colour: blue</t>
  </si>
  <si>
    <t xml:space="preserve">Spray Nine</t>
  </si>
  <si>
    <t xml:space="preserve">https://www.thomassci.com/browse-by/suppliers/spray-nine</t>
  </si>
  <si>
    <t xml:space="preserve">https://www.spraynine.com</t>
  </si>
  <si>
    <t xml:space="preserve">https://www.spraynine.com/contact-us/</t>
  </si>
  <si>
    <t xml:space="preserve">https://www.thomassci.com/browse-by/suppliers/spray-nine | https://www.spraynine.com/contact-us/</t>
  </si>
  <si>
    <t xml:space="preserve">SSI</t>
  </si>
  <si>
    <t xml:space="preserve">https://www.thomassci.com/browse-by/suppliers/ssi</t>
  </si>
  <si>
    <t xml:space="preserve">https://www.ssibio.com</t>
  </si>
  <si>
    <t xml:space="preserve">UNprinted 4.5ml Externally Threaded Cryogenic Vials</t>
  </si>
  <si>
    <t xml:space="preserve">2.0mL Screw Tubes, Skirted, Rib, Clr, Sterile</t>
  </si>
  <si>
    <t xml:space="preserve">2.0 mL Bead-Beating DuraTubes™</t>
  </si>
  <si>
    <t xml:space="preserve">1-209-333-2120</t>
  </si>
  <si>
    <t xml:space="preserve">support@denverwebsitedesigns.com</t>
  </si>
  <si>
    <t xml:space="preserve">https://www.ssibio.com/contact-us</t>
  </si>
  <si>
    <t xml:space="preserve">https://www.thomassci.com/browse-by/suppliers/ssi | https://www.ssibio.com/contact-us</t>
  </si>
  <si>
    <t xml:space="preserve">Stanley</t>
  </si>
  <si>
    <t xml:space="preserve">https://www.thomassci.com/browse-by/suppliers/stanley</t>
  </si>
  <si>
    <t xml:space="preserve">Staples</t>
  </si>
  <si>
    <t xml:space="preserve">https://staples.com</t>
  </si>
  <si>
    <t xml:space="preserve">https://www.staples.com/</t>
  </si>
  <si>
    <t xml:space="preserve">https://www.quartzy.com/suppliers | https://www.staples.com/</t>
  </si>
  <si>
    <t xml:space="preserve">Starna Cells</t>
  </si>
  <si>
    <t xml:space="preserve">https://www.thomassci.com/browse-by/suppliers/starna-cells</t>
  </si>
  <si>
    <t xml:space="preserve">Dual Path Cell, Spectrosil</t>
  </si>
  <si>
    <t xml:space="preserve">Standard Rectangular Quartz Cells</t>
  </si>
  <si>
    <t xml:space="preserve">Fluorometer Micro Square Cells</t>
  </si>
  <si>
    <t xml:space="preserve">Starplex Scientific</t>
  </si>
  <si>
    <t xml:space="preserve">https://www.thomassci.com/browse-by/suppliers/starplex-scientific</t>
  </si>
  <si>
    <t xml:space="preserve">https://starplexscientific.com</t>
  </si>
  <si>
    <t xml:space="preserve">HDPE &amp; Polypropylene Trays</t>
  </si>
  <si>
    <t xml:space="preserve">Polypropylene Trays with Tamper Evident Lids</t>
  </si>
  <si>
    <t xml:space="preserve">Sanicult Swab</t>
  </si>
  <si>
    <t xml:space="preserve">1-800-665-0954</t>
  </si>
  <si>
    <t xml:space="preserve">https://starplexscientific.com/contact-us/</t>
  </si>
  <si>
    <t xml:space="preserve">https://www.thomassci.com/browse-by/suppliers/starplex-scientific | https://starplexscientific.com/contact-us/</t>
  </si>
  <si>
    <t xml:space="preserve">StatLab</t>
  </si>
  <si>
    <t xml:space="preserve">https://www.thomassci.com/browse-by/suppliers/statlab</t>
  </si>
  <si>
    <t xml:space="preserve">https://statlab.com</t>
  </si>
  <si>
    <t xml:space="preserve">Deionized Water</t>
  </si>
  <si>
    <t xml:space="preserve">KT5+ Slides</t>
  </si>
  <si>
    <t xml:space="preserve">1-800-442-3573</t>
  </si>
  <si>
    <t xml:space="preserve">https://statlab.com/</t>
  </si>
  <si>
    <t xml:space="preserve">https://www.thomassci.com/browse-by/suppliers/statlab | https://statlab.com/</t>
  </si>
  <si>
    <t xml:space="preserve">STEMCELL Technologies</t>
  </si>
  <si>
    <t xml:space="preserve">https://stemcell.com</t>
  </si>
  <si>
    <t xml:space="preserve">+1 604 877 0713</t>
  </si>
  <si>
    <t xml:space="preserve">info@stemcell.com</t>
  </si>
  <si>
    <t xml:space="preserve">https://www.stemcell.com/contact-us</t>
  </si>
  <si>
    <t xml:space="preserve">https://www.quartzy.com/suppliers | https://www.stemcell.com/contact-us | https://www.enco.co.il/about.php</t>
  </si>
  <si>
    <t xml:space="preserve">Sterilin</t>
  </si>
  <si>
    <t xml:space="preserve">https://www.dutscher.com/search?initialFilters=brand:Sterilin</t>
  </si>
  <si>
    <t xml:space="preserve">https://steriline.it</t>
  </si>
  <si>
    <t xml:space="preserve">Cotton plugged pipette 10 ml Pyrex glass sterile Corning®</t>
  </si>
  <si>
    <t xml:space="preserve">Square Petri dish with compartments 100 x 100 mm Sterilin</t>
  </si>
  <si>
    <t xml:space="preserve">Standard Petri dish 94 x 16 mm Sterilin</t>
  </si>
  <si>
    <t xml:space="preserve">+39 031 592064</t>
  </si>
  <si>
    <t xml:space="preserve">info@steriline.it</t>
  </si>
  <si>
    <t xml:space="preserve">https://www.steriline.it/en/contacts/</t>
  </si>
  <si>
    <t xml:space="preserve">https://www.dutscher.com/search?initialFilters=brand:Sterilin | https://www.steriline.it/en/contacts/</t>
  </si>
  <si>
    <t xml:space="preserve">STERIS</t>
  </si>
  <si>
    <t xml:space="preserve">https://www.thomassci.com/browse-by/suppliers/steris</t>
  </si>
  <si>
    <t xml:space="preserve">https://steris.com</t>
  </si>
  <si>
    <t xml:space="preserve">Spor-Klenz® Ready-To-Use Cold Sterilant</t>
  </si>
  <si>
    <t xml:space="preserve">Detergent, Steris CIP 100, 5 Gallon Plastic Pail, Phosphate-free, Alkaline Detergent, 1/EA</t>
  </si>
  <si>
    <t xml:space="preserve">Vesphene III st – Disinfectant</t>
  </si>
  <si>
    <t xml:space="preserve">440.354.2600</t>
  </si>
  <si>
    <t xml:space="preserve">https://www.steris.com/contact/contact-information</t>
  </si>
  <si>
    <t xml:space="preserve">https://www.thomassci.com/browse-by/suppliers/steris | https://www.steris.com/contact/contact-information</t>
  </si>
  <si>
    <t xml:space="preserve">Sterlitech</t>
  </si>
  <si>
    <t xml:space="preserve">https://www.thomassci.com/browse-by/suppliers/sterlitech</t>
  </si>
  <si>
    <t xml:space="preserve">https://sterlitech.com</t>
  </si>
  <si>
    <t xml:space="preserve">Polycarbonate (PCTE) Membrane Filters</t>
  </si>
  <si>
    <t xml:space="preserve">Sterlitech Silver Membrane Filters</t>
  </si>
  <si>
    <t xml:space="preserve">MF5 Pro, PPSU Magnetic Filter Funnel with Lid Kit, 500mL</t>
  </si>
  <si>
    <t xml:space="preserve">Sterlitech (Kent, WA) claims customers in 125+ countries; no Israeli distributor named; Agentek appeared only as a generic Israeli distributor with no Sterlitech link.</t>
  </si>
  <si>
    <t xml:space="preserve">18775444420</t>
  </si>
  <si>
    <t xml:space="preserve">sales@sterlitech.com</t>
  </si>
  <si>
    <t xml:space="preserve">https://www.sterlitech.com/contact-us</t>
  </si>
  <si>
    <t xml:space="preserve">https://www.quartzy.com/suppliers | https://www.thomassci.com/browse-by/suppliers/sterlitech | https://www.sterlitech.com/contact-us</t>
  </si>
  <si>
    <t xml:space="preserve">Stimpson</t>
  </si>
  <si>
    <t xml:space="preserve">https://www.thomassci.com/browse-by/suppliers/stimpson</t>
  </si>
  <si>
    <t xml:space="preserve">https://www.stimpson.com</t>
  </si>
  <si>
    <t xml:space="preserve">Brass Nickel Washer</t>
  </si>
  <si>
    <t xml:space="preserve">Brass Nickel Grommet</t>
  </si>
  <si>
    <t xml:space="preserve">https://stimpson.com/</t>
  </si>
  <si>
    <t xml:space="preserve">https://www.thomassci.com/browse-by/suppliers/stimpson | https://stimpson.com/</t>
  </si>
  <si>
    <t xml:space="preserve">Stockwell Scientific</t>
  </si>
  <si>
    <t xml:space="preserve">https://stockwellscientific.com</t>
  </si>
  <si>
    <t xml:space="preserve">Stone™ by PIP Global Safety</t>
  </si>
  <si>
    <t xml:space="preserve">https://www.thomassci.com/browse-by/suppliers/stone-by-pip-global-safety</t>
  </si>
  <si>
    <t xml:space="preserve">Streamlight</t>
  </si>
  <si>
    <t xml:space="preserve">https://www.thomassci.com/browse-by/suppliers/streamlight</t>
  </si>
  <si>
    <t xml:space="preserve">https://streamlight.com</t>
  </si>
  <si>
    <t xml:space="preserve">Stylus Pro® Alkaline Battery-Powered LED Pen Lights</t>
  </si>
  <si>
    <t xml:space="preserve">Streamlight Jr.® LED Flashlight</t>
  </si>
  <si>
    <t xml:space="preserve">Strem Chemicals</t>
  </si>
  <si>
    <t xml:space="preserve">Stuart (Cole-Parmer)</t>
  </si>
  <si>
    <t xml:space="preserve">https://www.dutscher.com/search?initialFilters=brand:Stuart</t>
  </si>
  <si>
    <t xml:space="preserve">https://www.thomassci.com/browse-by/suppliers/stuart-cole-parmer</t>
  </si>
  <si>
    <t xml:space="preserve">https://www.dutscher.com/search?initialFilters=brand:Stuart | https://www.thomassci.com/browse-by/suppliers/stuart-cole-parmer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t>
  </si>
  <si>
    <t xml:space="preserve">Sunrise Science Products</t>
  </si>
  <si>
    <t xml:space="preserve">Supera</t>
  </si>
  <si>
    <t xml:space="preserve">https://www.thomassci.com/browse-by/suppliers/supera</t>
  </si>
  <si>
    <t xml:space="preserve">Sterile Foam Swab</t>
  </si>
  <si>
    <t xml:space="preserve">Custom: 3.0mL Cryogenic Vial, with Saline fill. 1000/CS</t>
  </si>
  <si>
    <t xml:space="preserve">iClean Clean Room Sponge Swab</t>
  </si>
  <si>
    <t xml:space="preserve">Superior Manufacturing (NoTrax®)</t>
  </si>
  <si>
    <t xml:space="preserve">https://www.thomassci.com/browse-by/suppliers/superior-manufacturing-akro</t>
  </si>
  <si>
    <t xml:space="preserve">Supermax</t>
  </si>
  <si>
    <t xml:space="preserve">https://www.thomassci.com/browse-by/suppliers/supermax</t>
  </si>
  <si>
    <t xml:space="preserve">https://www.supermax.com.my</t>
  </si>
  <si>
    <t xml:space="preserve">Aurelia® Protégé™ Nitrile Powder Free Exam Gloves</t>
  </si>
  <si>
    <t xml:space="preserve">Aurelia® Perform™ Nitrile Exam Gloves</t>
  </si>
  <si>
    <t xml:space="preserve">Aurelia® Robust™ Nitrile Powder Free Exam Gloves</t>
  </si>
  <si>
    <t xml:space="preserve">603-6145 2328</t>
  </si>
  <si>
    <t xml:space="preserve">https://www.supermax.com.my/our-business-contact-lenses</t>
  </si>
  <si>
    <t xml:space="preserve">https://www.quartzy.com/suppliers | https://www.thomassci.com/browse-by/suppliers/supermax | https://www.supermax.com.my/our-business-contact-lenses</t>
  </si>
  <si>
    <t xml:space="preserve">SureWerx USA, Inc.</t>
  </si>
  <si>
    <t xml:space="preserve">https://www.thomassci.com/browse-by/suppliers/surewerx-usa-inc-</t>
  </si>
  <si>
    <t xml:space="preserve">Chemical Splash Goggles</t>
  </si>
  <si>
    <t xml:space="preserve">Face Shield Assembly Splash Shield Kit</t>
  </si>
  <si>
    <t xml:space="preserve">SW Sustainability Solutions</t>
  </si>
  <si>
    <t xml:space="preserve">https://www.thomassci.com/browse-by/suppliers/sw-sustainability-solutions</t>
  </si>
  <si>
    <t xml:space="preserve">SW® PowerForm® PF-95TL Teal 5.8mil Sustainable Nitrile Exam Gloves</t>
  </si>
  <si>
    <t xml:space="preserve">SW® PowerChem® PC-95GR Green 6.2mil Neoprene Exam Gloves</t>
  </si>
  <si>
    <t xml:space="preserve">SW® PowerForm® PF-12TL Extended-Cuff Teal 6.2mil Heavy-Duty Nitrile Exam Gloves</t>
  </si>
  <si>
    <t xml:space="preserve">Swagelok</t>
  </si>
  <si>
    <t xml:space="preserve">https://www.thomassci.com/browse-by/suppliers/swagelok</t>
  </si>
  <si>
    <t xml:space="preserve">https://www.swagelok.com</t>
  </si>
  <si>
    <t xml:space="preserve">Tube Fittings, Union Crosses</t>
  </si>
  <si>
    <t xml:space="preserve">Tube Fittings, Caps and Plugs</t>
  </si>
  <si>
    <t xml:space="preserve">Tube Fittings, Low Dead Volume Unions and Union Tee</t>
  </si>
  <si>
    <t xml:space="preserve">https://www.swagelok.com/</t>
  </si>
  <si>
    <t xml:space="preserve">https://www.thomassci.com/browse-by/suppliers/swagelok | https://www.swagelok.com/</t>
  </si>
  <si>
    <t xml:space="preserve">Swann morton</t>
  </si>
  <si>
    <t xml:space="preserve">https://www.dutscher.com/search?initialFilters=brand:Swann+morton</t>
  </si>
  <si>
    <t xml:space="preserve">https://swann-morton.com</t>
  </si>
  <si>
    <t xml:space="preserve">Non-sterile blade n°21 Swann-Morton</t>
  </si>
  <si>
    <t xml:space="preserve">Handle for autpsy n°40 metal Swann-Morton</t>
  </si>
  <si>
    <t xml:space="preserve">Blade for autopsy n°40 pointed end Swann-Morton</t>
  </si>
  <si>
    <t xml:space="preserve">Syntec</t>
  </si>
  <si>
    <t xml:space="preserve">https://www.thomassci.com/browse-by/suppliers/syntec</t>
  </si>
  <si>
    <t xml:space="preserve">https://syntech.co.za</t>
  </si>
  <si>
    <t xml:space="preserve">Medicons</t>
  </si>
  <si>
    <t xml:space="preserve">Filcons</t>
  </si>
  <si>
    <t xml:space="preserve">11 053 1900</t>
  </si>
  <si>
    <t xml:space="preserve">https://www.syntech.co.za/contact/</t>
  </si>
  <si>
    <t xml:space="preserve">https://www.thomassci.com/browse-by/suppliers/syntec | https://www.syntech.co.za/contact/</t>
  </si>
  <si>
    <t xml:space="preserve">Synthego</t>
  </si>
  <si>
    <t xml:space="preserve">https://synthego.com</t>
  </si>
  <si>
    <t xml:space="preserve">Synthego is a pioneering force in the biotechnology industry, dedicated to advancing the frontiers of CRISPR cell and gene therapies through cutting-edge CRISPR technology and expertise. Our mission is to provide unparalleled access to best-in-class CRISPR solutions at scale, empowering agility in life science research and development from discovery through clinical trials. From streamlined approaches to licensing through full technical and regulatory support from our industry-leading experts, Synthego is enabling greater access to CRISPR technology driving to improved outcomes in patient therapeutic treatments.</t>
  </si>
  <si>
    <t xml:space="preserve">Synthego has a worldwide authorized-distributor directory, but the snippet showed no Israel entry; only global deals with Eurofins (44 countries, 2018) and Thermo Fisher (TrueGuide) surfaced. Slingshot/Almog press release is unrelated.</t>
  </si>
  <si>
    <t xml:space="preserve">18444274777</t>
  </si>
  <si>
    <t xml:space="preserve">https://www.synthego.com/contact/worldwide/</t>
  </si>
  <si>
    <t xml:space="preserve">https://www.quartzy.com/suppliers | https://info.quartzy.com/new-suppliers | https://www.synthego.com/contact/worldwide/</t>
  </si>
  <si>
    <t xml:space="preserve">Systaaq Diagnostics</t>
  </si>
  <si>
    <t xml:space="preserve">https://www.thomassci.com/browse-by/suppliers/systaaq-diagnostics</t>
  </si>
  <si>
    <t xml:space="preserve">TAAG Technologies</t>
  </si>
  <si>
    <t xml:space="preserve">https://www.thomassci.com/browse-by/suppliers/taag-technologies</t>
  </si>
  <si>
    <t xml:space="preserve">TargetMol</t>
  </si>
  <si>
    <t xml:space="preserve">https://targetmol.com</t>
  </si>
  <si>
    <t xml:space="preserve">https://www.quartzy.com/suppliers | https://doronscientific.com/products/ | https://tivanbiotech.com/manufacturers</t>
  </si>
  <si>
    <t xml:space="preserve">Tarr</t>
  </si>
  <si>
    <t xml:space="preserve">https://www.thomassci.com/browse-by/suppliers/tarr</t>
  </si>
  <si>
    <t xml:space="preserve">Acetone, TARR, Technical Grade, 1 Gallon, 4 each per case</t>
  </si>
  <si>
    <t xml:space="preserve">Isopropyl Alcohol, Tarr Chemical, 70% USP/NF Grade, 1GL Plastic Jugs, 1/EA, 4EA/CS</t>
  </si>
  <si>
    <t xml:space="preserve">Isopropyl Alcohol Electronic Semi Grade, 99.9% Pure</t>
  </si>
  <si>
    <t xml:space="preserve">Taylor Precision</t>
  </si>
  <si>
    <t xml:space="preserve">https://www.thomassci.com/browse-by/suppliers/taylor-precision</t>
  </si>
  <si>
    <t xml:space="preserve">Pocket Stainless Steel Dial Reading Thermometers</t>
  </si>
  <si>
    <t xml:space="preserve">Taylor® Pro Waterproof Instant Read Thermometer</t>
  </si>
  <si>
    <t xml:space="preserve">Digital Pocket Thermometers</t>
  </si>
  <si>
    <t xml:space="preserve">TCI America</t>
  </si>
  <si>
    <t xml:space="preserve">https://www.quartzy.com/suppliers | https://www.bdl.co.il/Search.aspx?Category=Chemistry&amp;FCD=1</t>
  </si>
  <si>
    <t xml:space="preserve">TDI2 Custom Packaging</t>
  </si>
  <si>
    <t xml:space="preserve">https://www.thomassci.com/browse-by/suppliers/tdi2-custom-packaging</t>
  </si>
  <si>
    <t xml:space="preserve">https://tdicustompackaging.com</t>
  </si>
  <si>
    <t xml:space="preserve">+17147516782</t>
  </si>
  <si>
    <t xml:space="preserve">https://tdicustompackaging.com/contact/</t>
  </si>
  <si>
    <t xml:space="preserve">https://www.thomassci.com/browse-by/suppliers/tdi2-custom-packaging | https://tdicustompackaging.com/contact/</t>
  </si>
  <si>
    <t xml:space="preserve">Tecan</t>
  </si>
  <si>
    <t xml:space="preserve">https://www.dutscher.com/search?initialFilters=brand:Tecan</t>
  </si>
  <si>
    <t xml:space="preserve">https://www.thomassci.com/browse-by/suppliers/tecan</t>
  </si>
  <si>
    <t xml:space="preserve">https://www.tecan.com</t>
  </si>
  <si>
    <t xml:space="preserve">Maennedorf (Zurich)</t>
  </si>
  <si>
    <t xml:space="preserve">CHF 882.5 million</t>
  </si>
  <si>
    <t xml:space="preserve">Fluent</t>
  </si>
  <si>
    <t xml:space="preserve">Freedom EVO</t>
  </si>
  <si>
    <t xml:space="preserve">Spark</t>
  </si>
  <si>
    <t xml:space="preserve">Gamidor Diagnostics (1984) Ltd.; Yarden Biotec Ltd.</t>
  </si>
  <si>
    <t xml:space="preserve">Gamidor Diagnostics (1984) Ltd.: +972-3-927-7277 info@gamidor.co.il; Yarden Biotec Ltd.: +972 2-651-1102 info@yarden-biotec.co.il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</si>
  <si>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Re-confirmed on the manufacturer's side: Tecan's live Contact Us page lists Gamidor Diagnostics (1984) Ltd., Shaham 32, Petah Tikva, +972-3-9277286 (contact Mr. Moshe Cohen) as its Israel contact and describes the company as specialising in automated workflow solutions for life-science laboratories, which indicates the listing covers Tecan's lab-automation line and not only diagnostics. Tecan's knowledge portal directs customers in countries without direct Tecan sales to its certified-distributor list. The 2025 LinkedIn item is superseded by the manufacturer listing. Search '"Tecan" Israel distributor' found a LinkedIn item by an Israeli professional describing Gamidor Diagnostics as Tecan's partner in Israel, promoting Tecan LC-MS kits and calibrators at a 2025 conference. This is a single third-party social-media source; it could not be confirmed on tecan.com (fetch blocked) and the Hebrew query '</t>
    </r>
    <r>
      <rPr>
        <sz val="11"/>
        <color theme="1"/>
        <rFont val="FreeSans"/>
        <family val="2"/>
      </rPr>
      <t xml:space="preserve">טקאן </t>
    </r>
    <r>
      <rPr>
        <sz val="11"/>
        <color theme="1"/>
        <rFont val="Calibri"/>
        <family val="2"/>
        <charset val="1"/>
      </rPr>
      <t xml:space="preserve">Tecan </t>
    </r>
    <r>
      <rPr>
        <sz val="11"/>
        <color theme="1"/>
        <rFont val="FreeSans"/>
        <family val="2"/>
      </rPr>
      <t xml:space="preserve">ישראל נציג יבואן</t>
    </r>
    <r>
      <rPr>
        <sz val="11"/>
        <color theme="1"/>
        <rFont val="Calibri"/>
        <family val="2"/>
        <charset val="1"/>
      </rPr>
      <t xml:space="preserve">' and the 'Tecan Israel partner Gamidor/Eldan/Rhenium' query were blocked by the exhausted budget. Gamidor Diagnostics appears in the brief's list of known Israeli diagnostics distributors. The channel for Tecan's life-science automation (Fluent/Freedom EVO/Spark) in Israel remains unestablished. Tool limits in this session: the shared web-search budget was exhausted after the first round of searches and all page fetches (WebFetch/curl) were blocked, so manufacturer distributor/contact pages could not be opened and some Hebrew searches could not be run. Size figures marked 'recalled' come from company filings/pages as known to the researcher (knowledge to mid-2026) and were not re-verified against a fetched source.</t>
    </r>
  </si>
  <si>
    <t xml:space="preserve">+41 44 922 81 11</t>
  </si>
  <si>
    <t xml:space="preserve">info@tecan.com</t>
  </si>
  <si>
    <t xml:space="preserve">Seestrasse 103, 8708 Männedorf, Switzerland</t>
  </si>
  <si>
    <t xml:space="preserve">https://www.tecan.com/contact-us</t>
  </si>
  <si>
    <t xml:space="preserve">https://www.tecanannualreport.com/annual-report-2022/global</t>
  </si>
  <si>
    <t xml:space="preserve">https://www.dutscher.com/search?initialFilters=brand:Tecan | https://www.quartzy.com/suppliers | https://www.thomassci.com/browse-by/suppliers/tecan | https://il.linkedin.com/in/moshe-cohen-84656279 | https://www.labmanager.com/tecan-expands-presence-in-the-united-states-with-new-distribution-agreement-for-detection-instruments-and-consumables-23766 | https://www.tecan.com/contact-us | https://www.tecan.com/knowledge-portal/i-am-from-xyz-and-are-looking-for-service-in-my-country | https://www.tecan.com/corporate-news/tecan-reports-return-to-sales-growth-and-strong-order-entry-in-the-second-half-of-2025-63549 | https://www.nasdaq.com/press-release/tecan-presents-2025-results-and-provides-details-program-reignite-profitable-growth | https://www.yarden-biotec.co.il/manufacturer/usa-scientific</t>
  </si>
  <si>
    <t xml:space="preserve">Techne (Cole-Parmer)</t>
  </si>
  <si>
    <t xml:space="preserve">https://www.dutscher.com/search?initialFilters=brand:Techne</t>
  </si>
  <si>
    <t xml:space="preserve">https://www.thomassci.com/browse-by/suppliers/techne-cole-parmer</t>
  </si>
  <si>
    <t xml:space="preserve">https://www.dutscher.com/search?initialFilters=brand:Techne | https://www.thomassci.com/browse-by/suppliers/techne-cole-parmer | https://www.privsource.com/acquisitions/deal/brookfield-asset-management-and-cdpq-acquire-antylia-scientific-from-gtcr-aYSA2b | https://www.preqin.com/data/profile/asset/antylia-scientific/146061 | https://news.avantorsciences.com/2021-09-07-Avantor-R-to-Acquire-Masterflex-R-Expands-Proprietary-Single-Use-Offering-for-Bioproduction | https://bitscale.ai/directory/antylia-scientific | https://wellfound.com/company/antylia-scientific-2 | https://www.biospectrumasia.com/news/106/17664/cole-parmer-is-now-antylia-scientific.html | https://www.idex-hs.com/contact/fluidics-distributors/cole-parmer | https://www.medent.co.il/scientific.equipment/product-category/%D7%A9%D7%99%D7%99%D7%A7%D7%A8%D7%99%D7%9D-%D7%95%D7%9E%D7%98%D7%9C%D7%98%D7%9C%D7%99%D7%9D-%D7%9E%D7%A2%D7%91%D7%93%D7%AA%D7%99%D7%99%D7%9D/ | https://www.medent.co.il/scientific.equipment/product-category/%D7%91%D7%95%D7%97%D7%A9%D7%99%D7%9D-%D7%9E%D7%92%D7%A0%D7%98%D7%99%D7%99%D7%9D/%D7%91%D7%95%D7%97%D7%A9%D7%99%D7%9D-%D7%9E%D7%92%D7%A0%D7%98%D7%99%D7%99%D7%9D-%D7%A2%D7%9D-%D7%97%D7%99%D7%9E%D7%95%D7%9D/ | https://www.medent.co.il/scientific.equipment/product-category/%D7%9E%D7%96%D7%A7%D7%A7%D7%99-%D7%9E%D7%99%D7%9D/ | https://www.johnmorrisgroup.co.nz/cole-parmer | https://www.lacaisse.com/en/node/12351 | https://medent.co.il/scientific.equipment/product/%D7%A1%D7%A4%D7%A7%D7%98%D7%A8%D7%95%D7%A4%D7%95%D7%98%D7%95%D7%9E%D7%98%D7%A8-uvvis-%D7%9E%D7%A2%D7%91%D7%93%D7%AA%D7%99-%D7%93%D7%92%D7%9D-6305-%D7%AA%D7%95%D7%A6%D7%A8%D7%AA-jenway/ | https://www.medent.co.il/scientific.equipment/product-category/%D7%91%D7%95%D7%97%D7%A9-%D7%A2%D7%99%D7%9C%D7%99/%D7%91%D7%95%D7%97%D7%A9%D7%99%D7%9D-%D7%A2%D7%99%D7%9C%D7%99%D7%99%D7%9D/ | https://www.coleparmer.com/privacy-policy</t>
  </si>
  <si>
    <t xml:space="preserve">Techni-Tool</t>
  </si>
  <si>
    <t xml:space="preserve">https://www.thomassci.com/browse-by/suppliers/techni-tool</t>
  </si>
  <si>
    <t xml:space="preserve">https://www.techni-tool.com</t>
  </si>
  <si>
    <t xml:space="preserve">SIR Sponges Replacement Tip Wiping Sponge</t>
  </si>
  <si>
    <t xml:space="preserve">Nordson EFD Syringe supplies</t>
  </si>
  <si>
    <t xml:space="preserve">https://www.testequity.com/#TTR</t>
  </si>
  <si>
    <t xml:space="preserve">https://www.thomassci.com/browse-by/suppliers/techni-tool | https://www.testequity.com/#TTR</t>
  </si>
  <si>
    <t xml:space="preserve">TechNiGlove International</t>
  </si>
  <si>
    <t xml:space="preserve">https://www.thomassci.com/browse-by/suppliers/techniglove-international</t>
  </si>
  <si>
    <t xml:space="preserve">TN300W Series Powder-Free Nitrile Gloves, 9.5" Length, Class 100, White</t>
  </si>
  <si>
    <t xml:space="preserve">Green SM Gloves, Class 100, 5 mil, 12 in, Case 1000, 10 Bags/100 per Case</t>
  </si>
  <si>
    <t xml:space="preserve">TGL1400 Class 100 Latex Gloves, Ambidextrous, 12", 5 Mils Thick</t>
  </si>
  <si>
    <t xml:space="preserve">Techniplast</t>
  </si>
  <si>
    <t xml:space="preserve">https://www.thomassci.com/browse-by/suppliers/techniplast</t>
  </si>
  <si>
    <t xml:space="preserve">https://techniplast.pl</t>
  </si>
  <si>
    <t xml:space="preserve">33 443 62 00</t>
  </si>
  <si>
    <t xml:space="preserve">https://techniplast.pl/en/7-contact-form</t>
  </si>
  <si>
    <t xml:space="preserve">https://www.thomassci.com/browse-by/suppliers/techniplast | https://techniplast.pl/en/7-contact-form</t>
  </si>
  <si>
    <t xml:space="preserve">Ted Pella</t>
  </si>
  <si>
    <t xml:space="preserve">https://www.thomassci.com/browse-by/suppliers/ted-pella</t>
  </si>
  <si>
    <t xml:space="preserve">https://tedpella.com</t>
  </si>
  <si>
    <t xml:space="preserve">96049-2477</t>
  </si>
  <si>
    <t xml:space="preserve">https://www.tedpella.com/company_html/Contact.aspx</t>
  </si>
  <si>
    <t xml:space="preserve">https://www.thomassci.com/browse-by/suppliers/ted-pella | https://www.tedpella.com/company_html/Contact.aspx</t>
  </si>
  <si>
    <t xml:space="preserve">Teknipure</t>
  </si>
  <si>
    <t xml:space="preserve">https://www.thomassci.com/browse-by/suppliers/teknipure</t>
  </si>
  <si>
    <t xml:space="preserve">Teknipure TekniClean® Presat Polyester Knit Cleanroom Wipers with Sealed Edges</t>
  </si>
  <si>
    <t xml:space="preserve">Teknipure TekniZorb® Polyester/ Cellulose Nonwoven Cleanroom Wipers</t>
  </si>
  <si>
    <t xml:space="preserve">Polyester/Cellulose Pre-saturated Wiper Re-fill Bags</t>
  </si>
  <si>
    <t xml:space="preserve">Teknova</t>
  </si>
  <si>
    <t xml:space="preserve">https://www.thomassci.com/browse-by/suppliers/teknova</t>
  </si>
  <si>
    <t xml:space="preserve">https://www.teknova.com</t>
  </si>
  <si>
    <t xml:space="preserve">1M Magnesium Chloride Solution, 50 ml. Sterile 25 pack</t>
  </si>
  <si>
    <t xml:space="preserve">0.5 Sodium Hydroxide, Sterile</t>
  </si>
  <si>
    <t xml:space="preserve">Sucrose Selection Agar Plates, Sterile</t>
  </si>
  <si>
    <t xml:space="preserve">Company profiles only; Agentek/Enco appeared with no link to Teknova.</t>
  </si>
  <si>
    <t xml:space="preserve">18002094488</t>
  </si>
  <si>
    <t xml:space="preserve">info@teknova.com</t>
  </si>
  <si>
    <t xml:space="preserve">https://www.teknova.com/en/company/support.html#contact</t>
  </si>
  <si>
    <t xml:space="preserve">https://www.quartzy.com/suppliers | https://www.thomassci.com/browse-by/suppliers/teknova | https://www.teknova.com/en/company/support.html#contact</t>
  </si>
  <si>
    <t xml:space="preserve">Tempshield</t>
  </si>
  <si>
    <t xml:space="preserve">https://www.dutscher.com/search?initialFilters=brand:Tempshield</t>
  </si>
  <si>
    <t xml:space="preserve">https://www.thomassci.com/browse-by/suppliers/tempshield</t>
  </si>
  <si>
    <t xml:space="preserve">https://tempshield.com</t>
  </si>
  <si>
    <t xml:space="preserve">Cryo-Industrial® Aprons</t>
  </si>
  <si>
    <t xml:space="preserve">Pink Waterproof Cryo-Gloves®</t>
  </si>
  <si>
    <t xml:space="preserve">Pink Cryo-Gloves®</t>
  </si>
  <si>
    <t xml:space="preserve">Only Singapore distributor (PDS International/safety.com.sg) and Fisher/VWR/Thomas/ProSciTech listings; no Israel mention.</t>
  </si>
  <si>
    <t xml:space="preserve">1-800-680-2796</t>
  </si>
  <si>
    <t xml:space="preserve">info@tempshield.com</t>
  </si>
  <si>
    <t xml:space="preserve">https://www.tempshield.com/pages/contact-us</t>
  </si>
  <si>
    <t xml:space="preserve">https://www.dutscher.com/search?initialFilters=brand:Tempshield | https://www.thomassci.com/browse-by/suppliers/tempshield | https://www.tempshield.com/pages/contact-us</t>
  </si>
  <si>
    <t xml:space="preserve">Terra Universal</t>
  </si>
  <si>
    <t xml:space="preserve">https://www.thomassci.com/browse-by/suppliers/terra-universal</t>
  </si>
  <si>
    <t xml:space="preserve">https://terrauniversal.com</t>
  </si>
  <si>
    <t xml:space="preserve">BioSafe® Folding Cleanroom Step Ladders</t>
  </si>
  <si>
    <t xml:space="preserve">Grounding Terminal for Stainless Steel Cabinets/Desiccators/Pass-Throughs</t>
  </si>
  <si>
    <t xml:space="preserve">Waste Receptacle; Step-On, BioSafe®</t>
  </si>
  <si>
    <t xml:space="preserve">TerraCycle</t>
  </si>
  <si>
    <t xml:space="preserve">https://www.thomassci.com/browse-by/suppliers/terracycle</t>
  </si>
  <si>
    <t xml:space="preserve">https://terracycle.com</t>
  </si>
  <si>
    <t xml:space="preserve">Zero Waste Box: Shipping Materials</t>
  </si>
  <si>
    <t xml:space="preserve">Zero Waste Box: Centrifuge Tubes &amp; Rigid Lab Plastics</t>
  </si>
  <si>
    <t xml:space="preserve">Zero Waste Box: Disposable Garments</t>
  </si>
  <si>
    <t xml:space="preserve">https://www.terracycle.com/en-US/</t>
  </si>
  <si>
    <t xml:space="preserve">https://www.thomassci.com/browse-by/suppliers/terracycle | https://www.terracycle.com/en-US/</t>
  </si>
  <si>
    <t xml:space="preserve">Terumo</t>
  </si>
  <si>
    <t xml:space="preserve">https://www.dutscher.com/search?initialFilters=brand:Terumo</t>
  </si>
  <si>
    <t xml:space="preserve">https://terumo.co.jp</t>
  </si>
  <si>
    <t xml:space="preserve">Needle</t>
  </si>
  <si>
    <t xml:space="preserve">Single-use polypropylene syringe 1 ml tuberculin - centred LT tip - special low dead space hub</t>
  </si>
  <si>
    <t xml:space="preserve">1 ml tuberculin-type syringe in polypropylene for single use - Luer Lock tip - special low dead space plunger</t>
  </si>
  <si>
    <t xml:space="preserve">Single-use polypropylene syringe, 50 ml</t>
  </si>
  <si>
    <t xml:space="preserve">Bepex</t>
  </si>
  <si>
    <t xml:space="preserve">Bepex: +972-9-972-7600 cs@bepex.co.il</t>
  </si>
  <si>
    <t xml:space="preserve">https://www.dutscher.com/search?initialFilters=brand:Terumo | https://www.bepex.co.il/</t>
  </si>
  <si>
    <t xml:space="preserve">Terumo Medical Corporation</t>
  </si>
  <si>
    <t xml:space="preserve">https://www.thomassci.com/browse-by/suppliers/terumo-medical-corporation</t>
  </si>
  <si>
    <t xml:space="preserve">Surshield™ Safety Winged Blood Collection Sets</t>
  </si>
  <si>
    <t xml:space="preserve">Surshield™ Safety Winged Infusion Sets</t>
  </si>
  <si>
    <t xml:space="preserve">SurGuard®3 Safety Needle with Syringe</t>
  </si>
  <si>
    <t xml:space="preserve">Testo</t>
  </si>
  <si>
    <t xml:space="preserve">https://www.dutscher.com/search?initialFilters=brand:Testo</t>
  </si>
  <si>
    <t xml:space="preserve">https://www.testo.com</t>
  </si>
  <si>
    <t xml:space="preserve">Testo 184 T3 pocket temperature recorder</t>
  </si>
  <si>
    <t xml:space="preserve">TESTO 270 BT OIL TESTER</t>
  </si>
  <si>
    <t xml:space="preserve">Testo 540 portable luxmeter</t>
  </si>
  <si>
    <t xml:space="preserve">The Baker Company</t>
  </si>
  <si>
    <t xml:space="preserve">https://www.thomassci.com/browse-by/suppliers/the-baker-company</t>
  </si>
  <si>
    <t xml:space="preserve">The De Leone Corp.</t>
  </si>
  <si>
    <t xml:space="preserve">https://www.thomassci.com/browse-by/suppliers/the-de-leone-corp-</t>
  </si>
  <si>
    <t xml:space="preserve">Hold for MRB Labels</t>
  </si>
  <si>
    <t xml:space="preserve">"HOT" label 2inch x 1 inch red with black lettering 500/Roll</t>
  </si>
  <si>
    <t xml:space="preserve">QC Labels</t>
  </si>
  <si>
    <t xml:space="preserve">The Home Depot</t>
  </si>
  <si>
    <t xml:space="preserve">https://www.thomassci.com/browse-by/suppliers/the-home-depot</t>
  </si>
  <si>
    <t xml:space="preserve">https://homedepot.com</t>
  </si>
  <si>
    <t xml:space="preserve">Thermco</t>
  </si>
  <si>
    <t xml:space="preserve">https://www.thomassci.com/browse-by/suppliers/thermco</t>
  </si>
  <si>
    <t xml:space="preserve">https://www.thermcoproducts.com</t>
  </si>
  <si>
    <t xml:space="preserve">Single Laser AccuTherm Infrared Thermometer (-50-530°C)</t>
  </si>
  <si>
    <t xml:space="preserve">Precision Laboratory Thermometer</t>
  </si>
  <si>
    <t xml:space="preserve">Digital Triple Display Thermometers</t>
  </si>
  <si>
    <t xml:space="preserve">20(973)20300-9100</t>
  </si>
  <si>
    <t xml:space="preserve">info@thermcoproducts.com</t>
  </si>
  <si>
    <t xml:space="preserve">https://thermcoproducts.com/contact/</t>
  </si>
  <si>
    <t xml:space="preserve">https://www.thomassci.com/browse-by/suppliers/thermco | https://thermcoproducts.com/contact/</t>
  </si>
  <si>
    <t xml:space="preserve">Thermo Scientific</t>
  </si>
  <si>
    <t xml:space="preserve">https://www.dutscher.com/search?initialFilters=brand:Thermo+Scientific</t>
  </si>
  <si>
    <t xml:space="preserve">https://www.thomassci.com/browse-by/suppliers/thermo-scientific</t>
  </si>
  <si>
    <t xml:space="preserve">Thermo Fisher Integrated Solutions Israel Ltd.; Thermo Fisher Scientific Israel Ltd. (Kiryat Shmona); Rhenium Ltd.; Gamidor Diagnostics (1984) Ltd.; Bargal Analytical Instruments Ltd.; Danyel Biotech Ltd.; Thermo Fisher Scientific – EM service location, Airport City; Iner-Tech Ltd. (Rehovot); R.B.M. Ltd. Control &amp; Mechanization (Hod Hasharon); Madid Industrial Controls Ltd.; BDL (Beith Dekel) Ltd.</t>
  </si>
  <si>
    <t xml:space="preserve">Thermo Fisher Integrated Solutions Israel Ltd.: +972 8-940-8618; Thermo Fisher Scientific Israel Ltd. (Kiryat Shmona): +972 8-940-8618; Rhenium Ltd.: +972 8-955-8888; Gamidor Diagnostics (1984) Ltd.: +972-3-927-7277 info@gamidor.co.il; Bargal Analytical Instruments Ltd.: +972-3-979-6533 sales@bargal.co.il; Danyel Biotech Ltd.: 1-800-711-911 (also +972 8-936-6066); Thermo Fisher Scientific – EM service location, Airport City: +972 8-940-8618; Iner-Tech Ltd. (Rehovot):; R.B.M. Ltd. Control &amp; Mechanization (Hod Hasharon):; Madid Industrial Controls Ltd.:; BDL (Beith Dekel) Ltd.: +972 9-761-1800 info@bdl.co.il</t>
  </si>
  <si>
    <r>
      <rPr>
        <sz val="11"/>
        <color theme="1"/>
        <rFont val="Calibri"/>
        <family val="2"/>
        <charset val="1"/>
      </rPr>
      <t xml:space="preserve">https://www.dutscher.com/search?initialFilters=brand:Thermo+Scientific | https://www.thomassci.com/browse-by/suppliers/thermo-scientific | https://www.sec.gov/Archives/edgar/data/97745/000009774526000018/tmo-20251231.htm | https://stockanalysis.com/quote/tsx/TMO/revenue/ | https://americancompanies.com/company/thermo-fisher-scientific-inc/ | https://assets.thermofisher.com/TFS-Assets/CMD/certificate/Certificates-of-Quality/ISO-Certs/cert-iso-13485-sii-cert-92462-kiriyat-shemona-en.pdf | https://assets.thermofisher.com/TFS-Assets/CMD/certificate/Certificates-of-Quality/ISO-Certs/cert-iso-9001-sii-cert-83393-kiriyat-shemona-en.pdf | https://tfcom-global-nginx.commerceprod.thermofisher.com/us/en/home/electron-microscopy/services/service-locations.html | https://slimpages.startupim.com/min_company_page/thermo-fisher-scientific | https://www.drushim.co.il/job/36710416/aadcf5d4/ | https://mygwork.com/jobs/thermo-fisher-scientific-head-of-field-services-6326719 | https://wfh.team/job/14242-field-service-engineer-thermo-fisher-integrated-solutions-ltd | https://onemainfinancial-veteranjobs.dejobs.org/raanana-isr/sr-manager-operations/B1F1C613DBEB494AAFE3164E9B663CD8/job | https://www.prnewswire.co.uk/news-releases/life-technologies-chooses-rhenium-to-distribute-products-in-israel-144794695.html | https://mr.gov.il/ilgstorefront/he/p/attachment/005056BF4DAB1EDB8098FCA0E2582123/%D7%A0%D7%A1%D7%A4%D7%97%D7%99%D7%9D%20%D7%9C%D7%A4%D7%A8%D7%95%D7%98%D7%95%D7%A7%D7%95%D7%9C | https://mr.gov.il/ilgstorefront/he/p/attachment/005056BF4F1A1FE085945E85E8D5F2E9/%D7%9E%D7%A1%D7%9E%D7%9B%D7%99%20%D7%94%D7%9C%D7%99%D7%9A | https://olink.com/services/worldwide-distributors | https://www.tosohbioscience.com/EU-EN-separations/distributors/rhenium-bio-science | https://www.biopac.com/distributor/bargal-analytical-instruments-ltd/ | https://www.thermofisher.com/phadia-locations | https://rhenium.co.il/products/bioproduction | https://www.rhenium.co.il/powertrack-sybr-green-master-mix/ | https://rhenium.co.il/absolute-q-digital-pcr-dpcr-find-a-needle-in-a-haystack/ | https://www.rhenium.co.il/sl-16-centrifuge/ | https://bargal.co.il/product/q-exactive-uhmr-hybrid-quadrupole-orbitrap-ms-system/ | https://bargal.co.il/product/combustion-ic-system/ | https://bargal.co.il/wp-content/uploads/2023/03/icp-ms-surface-drinking-waters-iso.pdf | https://www.danyel.co.il/olink/ | https://gamidor.co.il/en/allergy/ | https://www.thermofisher.com/us/en/home/electron-microscopy/products/desktop-scanning-electron-microscopes/phenom-distributors.html | https://www.thermofisher.com/us/en/home/industrial/spectroscopy-elemental-isotope-analysis/portable-analysis-material-id/portable-pharmaceutical-qa-qc-manufacturing-solutions/portable-pharma-qa-qc-manufacturing-solutions-distributors.html | https://www.thermofisher.com/us/en/home/industrial/spectroscopy-elemental-isotope-analysis/portable-analysis-material-id/portable-analysis-for-material-id-distributors.html | https://www.thermofisher.com/us/en/home/industrial/manufacturing-processing/data-acquisition/datataker-distributors.html | https://jobs.thermofisher.com/mx/es/israel-jobs | https://mr.gov.il/ilgstorefront/he/p/attachment/005056BF4DAB1EDB8098FCA0E2582123/</t>
    </r>
    <r>
      <rPr>
        <sz val="11"/>
        <color theme="1"/>
        <rFont val="FreeSans"/>
        <family val="2"/>
      </rPr>
      <t xml:space="preserve">נספחים לפרוטוקול </t>
    </r>
    <r>
      <rPr>
        <sz val="11"/>
        <color theme="1"/>
        <rFont val="Calibri"/>
        <family val="2"/>
        <charset val="1"/>
      </rPr>
      <t xml:space="preserve">| https://www.bdl.co.il/Search.aspx?Category=Chemistry&amp;FCD=1 | https://www.thermofisher.com/store/v2/contact-us?enableChat=true</t>
    </r>
  </si>
  <si>
    <t xml:space="preserve">Thermo Scientific Capitol Vial</t>
  </si>
  <si>
    <t xml:space="preserve">https://www.thomassci.com/browse-by/suppliers/thermo-scientific-capitol-vial</t>
  </si>
  <si>
    <t xml:space="preserve">Chemistry Analyzer Sample Cups</t>
  </si>
  <si>
    <t xml:space="preserve">Flip-Top Containers</t>
  </si>
  <si>
    <t xml:space="preserve">Snap Top Polypropylene Vials</t>
  </si>
  <si>
    <t xml:space="preserve">Thermo Scientific Chemicals</t>
  </si>
  <si>
    <t xml:space="preserve">https://www.thomassci.com/browse-by/suppliers/thermo-scientific-chemicals</t>
  </si>
  <si>
    <t xml:space="preserve">2,2,4-Trimethylpentane, 99%</t>
  </si>
  <si>
    <t xml:space="preserve">Polyethylene glycol 8,000</t>
  </si>
  <si>
    <t xml:space="preserve">Aluminum sulfate hydrate, 97+%</t>
  </si>
  <si>
    <t xml:space="preserve">Thermo Scientific Matrix</t>
  </si>
  <si>
    <t xml:space="preserve">https://www.thomassci.com/browse-by/suppliers/thermo-scientific-matrix</t>
  </si>
  <si>
    <t xml:space="preserve">Matrix™ SepraSeal and DuraSeal Capping Systems</t>
  </si>
  <si>
    <t xml:space="preserve">Matrix™ 2D Barcoded Low Volume ScrewTop Storage Tubes</t>
  </si>
  <si>
    <t xml:space="preserve">Matrix™ 0.5mL ScrewTop Tubes in Barcoded Latch Racks</t>
  </si>
  <si>
    <t xml:space="preserve">Thermo Scientific Nalgene</t>
  </si>
  <si>
    <t xml:space="preserve">https://www.thomassci.com/browse-by/suppliers/thermo-scientific-nalgene</t>
  </si>
  <si>
    <r>
      <rPr>
        <sz val="11"/>
        <color theme="1"/>
        <rFont val="Calibri"/>
        <family val="2"/>
        <charset val="1"/>
      </rPr>
      <t xml:space="preserve">https://www.thomassci.com/browse-by/suppliers/thermo-scientific-nalgene | https://www.sec.gov/Archives/edgar/data/97745/000009774526000018/tmo-20251231.htm | https://stockanalysis.com/quote/tsx/TMO/revenue/ | https://americancompanies.com/company/thermo-fisher-scientific-inc/ | https://assets.thermofisher.com/TFS-Assets/CMD/certificate/Certificates-of-Quality/ISO-Certs/cert-iso-13485-sii-cert-92462-kiriyat-shemona-en.pdf | https://assets.thermofisher.com/TFS-Assets/CMD/certificate/Certificates-of-Quality/ISO-Certs/cert-iso-9001-sii-cert-83393-kiriyat-shemona-en.pdf | https://tfcom-global-nginx.commerceprod.thermofisher.com/us/en/home/electron-microscopy/services/service-locations.html | https://slimpages.startupim.com/min_company_page/thermo-fisher-scientific | https://www.drushim.co.il/job/36710416/aadcf5d4/ | https://mygwork.com/jobs/thermo-fisher-scientific-head-of-field-services-6326719 | https://wfh.team/job/14242-field-service-engineer-thermo-fisher-integrated-solutions-ltd | https://onemainfinancial-veteranjobs.dejobs.org/raanana-isr/sr-manager-operations/B1F1C613DBEB494AAFE3164E9B663CD8/job | https://www.prnewswire.co.uk/news-releases/life-technologies-chooses-rhenium-to-distribute-products-in-israel-144794695.html | https://mr.gov.il/ilgstorefront/he/p/attachment/005056BF4DAB1EDB8098FCA0E2582123/%D7%A0%D7%A1%D7%A4%D7%97%D7%99%D7%9D%20%D7%9C%D7%A4%D7%A8%D7%95%D7%98%D7%95%D7%A7%D7%95%D7%9C | https://mr.gov.il/ilgstorefront/he/p/attachment/005056BF4F1A1FE085945E85E8D5F2E9/%D7%9E%D7%A1%D7%9E%D7%9B%D7%99%20%D7%94%D7%9C%D7%99%D7%9A | https://olink.com/services/worldwide-distributors | https://www.tosohbioscience.com/EU-EN-separations/distributors/rhenium-bio-science | https://www.biopac.com/distributor/bargal-analytical-instruments-ltd/ | https://www.thermofisher.com/phadia-locations | https://rhenium.co.il/products/bioproduction | https://www.rhenium.co.il/powertrack-sybr-green-master-mix/ | https://rhenium.co.il/absolute-q-digital-pcr-dpcr-find-a-needle-in-a-haystack/ | https://www.rhenium.co.il/sl-16-centrifuge/ | https://bargal.co.il/product/q-exactive-uhmr-hybrid-quadrupole-orbitrap-ms-system/ | https://bargal.co.il/product/combustion-ic-system/ | https://bargal.co.il/wp-content/uploads/2023/03/icp-ms-surface-drinking-waters-iso.pdf | https://www.danyel.co.il/olink/ | https://gamidor.co.il/en/allergy/ | https://www.thermofisher.com/us/en/home/electron-microscopy/products/desktop-scanning-electron-microscopes/phenom-distributors.html | https://www.thermofisher.com/us/en/home/industrial/spectroscopy-elemental-isotope-analysis/portable-analysis-material-id/portable-pharmaceutical-qa-qc-manufacturing-solutions/portable-pharma-qa-qc-manufacturing-solutions-distributors.html | https://www.thermofisher.com/us/en/home/industrial/spectroscopy-elemental-isotope-analysis/portable-analysis-material-id/portable-analysis-for-material-id-distributors.html | https://www.thermofisher.com/us/en/home/industrial/manufacturing-processing/data-acquisition/datataker-distributors.html | https://jobs.thermofisher.com/mx/es/israel-jobs | https://mr.gov.il/ilgstorefront/he/p/attachment/005056BF4DAB1EDB8098FCA0E2582123/</t>
    </r>
    <r>
      <rPr>
        <sz val="11"/>
        <color theme="1"/>
        <rFont val="FreeSans"/>
        <family val="2"/>
      </rPr>
      <t xml:space="preserve">נספחים לפרוטוקול </t>
    </r>
    <r>
      <rPr>
        <sz val="11"/>
        <color theme="1"/>
        <rFont val="Calibri"/>
        <family val="2"/>
        <charset val="1"/>
      </rPr>
      <t xml:space="preserve">| https://www.thermofisher.com/store/v2/contact-us?enableChat=true</t>
    </r>
  </si>
  <si>
    <t xml:space="preserve">Thermo Scientific Nunc</t>
  </si>
  <si>
    <t xml:space="preserve">https://www.thomassci.com/browse-by/suppliers/thermo-scientific-nunc</t>
  </si>
  <si>
    <t xml:space="preserve">Nunc Cryocolor Coder Inserts</t>
  </si>
  <si>
    <t xml:space="preserve">Roundwell Multidish Culture Plates</t>
  </si>
  <si>
    <t xml:space="preserve">Immuno Modules With Colored Rims</t>
  </si>
  <si>
    <t xml:space="preserve">Thermo Scientific Orion</t>
  </si>
  <si>
    <t xml:space="preserve">https://www.thomassci.com/browse-by/suppliers/thermo-scientific-orion</t>
  </si>
  <si>
    <r>
      <rPr>
        <sz val="11"/>
        <color theme="1"/>
        <rFont val="Calibri"/>
        <family val="2"/>
        <charset val="1"/>
      </rPr>
      <t xml:space="preserve">https://www.thomassci.com/browse-by/suppliers/thermo-scientific-orion | https://www.sec.gov/Archives/edgar/data/97745/000009774526000018/tmo-20251231.htm | https://stockanalysis.com/quote/tsx/TMO/revenue/ | https://americancompanies.com/company/thermo-fisher-scientific-inc/ | https://assets.thermofisher.com/TFS-Assets/CMD/certificate/Certificates-of-Quality/ISO-Certs/cert-iso-13485-sii-cert-92462-kiriyat-shemona-en.pdf | https://assets.thermofisher.com/TFS-Assets/CMD/certificate/Certificates-of-Quality/ISO-Certs/cert-iso-9001-sii-cert-83393-kiriyat-shemona-en.pdf | https://tfcom-global-nginx.commerceprod.thermofisher.com/us/en/home/electron-microscopy/services/service-locations.html | https://slimpages.startupim.com/min_company_page/thermo-fisher-scientific | https://www.drushim.co.il/job/36710416/aadcf5d4/ | https://mygwork.com/jobs/thermo-fisher-scientific-head-of-field-services-6326719 | https://wfh.team/job/14242-field-service-engineer-thermo-fisher-integrated-solutions-ltd | https://onemainfinancial-veteranjobs.dejobs.org/raanana-isr/sr-manager-operations/B1F1C613DBEB494AAFE3164E9B663CD8/job | https://www.prnewswire.co.uk/news-releases/life-technologies-chooses-rhenium-to-distribute-products-in-israel-144794695.html | https://mr.gov.il/ilgstorefront/he/p/attachment/005056BF4DAB1EDB8098FCA0E2582123/%D7%A0%D7%A1%D7%A4%D7%97%D7%99%D7%9D%20%D7%9C%D7%A4%D7%A8%D7%95%D7%98%D7%95%D7%A7%D7%95%D7%9C | https://mr.gov.il/ilgstorefront/he/p/attachment/005056BF4F1A1FE085945E85E8D5F2E9/%D7%9E%D7%A1%D7%9E%D7%9B%D7%99%20%D7%94%D7%9C%D7%99%D7%9A | https://olink.com/services/worldwide-distributors | https://www.tosohbioscience.com/EU-EN-separations/distributors/rhenium-bio-science | https://www.biopac.com/distributor/bargal-analytical-instruments-ltd/ | https://www.thermofisher.com/phadia-locations | https://rhenium.co.il/products/bioproduction | https://www.rhenium.co.il/powertrack-sybr-green-master-mix/ | https://rhenium.co.il/absolute-q-digital-pcr-dpcr-find-a-needle-in-a-haystack/ | https://www.rhenium.co.il/sl-16-centrifuge/ | https://bargal.co.il/product/q-exactive-uhmr-hybrid-quadrupole-orbitrap-ms-system/ | https://bargal.co.il/product/combustion-ic-system/ | https://bargal.co.il/wp-content/uploads/2023/03/icp-ms-surface-drinking-waters-iso.pdf | https://www.danyel.co.il/olink/ | https://gamidor.co.il/en/allergy/ | https://www.thermofisher.com/us/en/home/electron-microscopy/products/desktop-scanning-electron-microscopes/phenom-distributors.html | https://www.thermofisher.com/us/en/home/industrial/spectroscopy-elemental-isotope-analysis/portable-analysis-material-id/portable-pharmaceutical-qa-qc-manufacturing-solutions/portable-pharma-qa-qc-manufacturing-solutions-distributors.html | https://www.thermofisher.com/us/en/home/industrial/spectroscopy-elemental-isotope-analysis/portable-analysis-material-id/portable-analysis-for-material-id-distributors.html | https://www.thermofisher.com/us/en/home/industrial/manufacturing-processing/data-acquisition/datataker-distributors.html | https://jobs.thermofisher.com/mx/es/israel-jobs | https://mr.gov.il/ilgstorefront/he/p/attachment/005056BF4DAB1EDB8098FCA0E2582123/</t>
    </r>
    <r>
      <rPr>
        <sz val="11"/>
        <color theme="1"/>
        <rFont val="FreeSans"/>
        <family val="2"/>
      </rPr>
      <t xml:space="preserve">נספחים לפרוטוקול </t>
    </r>
    <r>
      <rPr>
        <sz val="11"/>
        <color theme="1"/>
        <rFont val="Calibri"/>
        <family val="2"/>
        <charset val="1"/>
      </rPr>
      <t xml:space="preserve">| https://www.thermofisher.com/store/v2/contact-us?enableChat=true</t>
    </r>
  </si>
  <si>
    <t xml:space="preserve">Thermo Scientific Pierce</t>
  </si>
  <si>
    <t xml:space="preserve">https://www.thomassci.com/browse-by/suppliers/thermo-scientific-pierce</t>
  </si>
  <si>
    <t xml:space="preserve">96 Well PCR Plate</t>
  </si>
  <si>
    <t xml:space="preserve">8-Strip Caps</t>
  </si>
  <si>
    <t xml:space="preserve">Capping Tool</t>
  </si>
  <si>
    <t xml:space="preserve">Thermo Scientific Sorvall</t>
  </si>
  <si>
    <t xml:space="preserve">https://www.thomassci.com/browse-by/suppliers/thermo-scientific-sorvall</t>
  </si>
  <si>
    <t xml:space="preserve">Sorvall BIOS A Centrifuges</t>
  </si>
  <si>
    <t xml:space="preserve">Validation for Sorvall Bios Centrifuges</t>
  </si>
  <si>
    <t xml:space="preserve">Sorvall Bios 16 Centrifuges</t>
  </si>
  <si>
    <t xml:space="preserve">Citrine Solutions Ltd.</t>
  </si>
  <si>
    <t xml:space="preserve">Citrine Solutions Ltd.: 054-6064300 info@ctrn-s.com</t>
  </si>
  <si>
    <t xml:space="preserve">https://www.thomassci.com/browse-by/suppliers/thermo-scientific-sorvall | https://www.citrinesolutions.co.il/?module=catalog&amp;item_id=5&amp;c_id=1</t>
  </si>
  <si>
    <t xml:space="preserve">Thermo Scientific Sterilin</t>
  </si>
  <si>
    <t xml:space="preserve">https://www.thomassci.com/browse-by/suppliers/thermo-scientific-sterilin</t>
  </si>
  <si>
    <t xml:space="preserve">Thermo Scientific UV-Vis</t>
  </si>
  <si>
    <t xml:space="preserve">https://www.thomassci.com/browse-by/suppliers/thermo-scientific-uv-vis</t>
  </si>
  <si>
    <t xml:space="preserve">GENESYS™ 30 VIS Spectrophotometer</t>
  </si>
  <si>
    <t xml:space="preserve">Thermo Scientific SPECTRONIC™ 200 Spectrophotometer</t>
  </si>
  <si>
    <t xml:space="preserve">Helios UV-Vis Scanning Spectrophotometers</t>
  </si>
  <si>
    <t xml:space="preserve">ThermoGrid™</t>
  </si>
  <si>
    <t xml:space="preserve">https://www.thomassci.com/browse-by/suppliers/thermogrid</t>
  </si>
  <si>
    <t xml:space="preserve">ThermoGrid™ .2mL Thermal Cycing Tubes, Strips of 8 tubes and separate strips of 8 caps, yellow, (Q-PCR) 120 strips per pkg.</t>
  </si>
  <si>
    <t xml:space="preserve">ThermoGrid™ .2mL Thermal Cycing Tubes, Strips of 8 tubes and separate strips of 8 caps, green, (Q-PCR) 120 strips per pkg.</t>
  </si>
  <si>
    <t xml:space="preserve">ThermoGrid™ .2mL Thermal Cycing Tubes, Strips of 8 tubes and separate strips of 8 caps, red, (Q-PCR) 120 strips per pkg.</t>
  </si>
  <si>
    <t xml:space="preserve">Thermomedics</t>
  </si>
  <si>
    <t xml:space="preserve">https://www.thomassci.com/browse-by/suppliers/thermomedics</t>
  </si>
  <si>
    <t xml:space="preserve">https://thermomedics.com</t>
  </si>
  <si>
    <t xml:space="preserve">(800) 208-3009</t>
  </si>
  <si>
    <t xml:space="preserve">sales@thermomedics.com</t>
  </si>
  <si>
    <t xml:space="preserve">https://thermomedics.com/contact-us/</t>
  </si>
  <si>
    <t xml:space="preserve">https://www.thomassci.com/browse-by/suppliers/thermomedics | https://thermomedics.com/contact-us/</t>
  </si>
  <si>
    <t xml:space="preserve">Thermosafe</t>
  </si>
  <si>
    <t xml:space="preserve">https://www.thomassci.com/browse-by/suppliers/thermosafe</t>
  </si>
  <si>
    <t xml:space="preserve">https://www.thermosafe.com</t>
  </si>
  <si>
    <t xml:space="preserve">Polar Pack Refrigerants</t>
  </si>
  <si>
    <t xml:space="preserve">Safety Mailer System, 8-tube</t>
  </si>
  <si>
    <t xml:space="preserve">Thermosafe Nomadic Pre-Qualified Shippers</t>
  </si>
  <si>
    <t xml:space="preserve">800-323-7442</t>
  </si>
  <si>
    <t xml:space="preserve">https://thermosafe.com/contact/</t>
  </si>
  <si>
    <t xml:space="preserve">https://www.thomassci.com/browse-by/suppliers/thermosafe | https://thermosafe.com/contact/</t>
  </si>
  <si>
    <t xml:space="preserve">TheWell Bioscience Inc.</t>
  </si>
  <si>
    <t xml:space="preserve">https://www.thomassci.com/browse-by/suppliers/thewell-bioscience-inc-</t>
  </si>
  <si>
    <t xml:space="preserve">VitroINK® RGD</t>
  </si>
  <si>
    <t xml:space="preserve">VitroGel® MMP High Concentration</t>
  </si>
  <si>
    <t xml:space="preserve">VitroINK® IKVAV Starter Kit</t>
  </si>
  <si>
    <t xml:space="preserve">Manufacturer-side: TheWell's distributor directory (thewellbio.com/company/distributors) shows Middle East &amp; North Africa covered only by Neo-Science (UAE) and no Israel entry. XP Biomed (its China distributor) is the China arm of Biological Industries (Israel) - not an Israeli channel.</t>
  </si>
  <si>
    <t xml:space="preserve">https://www.quartzy.com/suppliers | https://www.thomassci.com/browse-by/suppliers/thewell-bioscience-inc-</t>
  </si>
  <si>
    <t xml:space="preserve">Thomas®</t>
  </si>
  <si>
    <t xml:space="preserve">https://www.thomassci.com/browse-by/suppliers/thomas</t>
  </si>
  <si>
    <t xml:space="preserve">https://thomasnet.com</t>
  </si>
  <si>
    <t xml:space="preserve">Heavy Duty Glass Erlenmeyer Flasks</t>
  </si>
  <si>
    <t xml:space="preserve">Thomas Pressure Sensitive Vinyl Labeling Tapes</t>
  </si>
  <si>
    <t xml:space="preserve">Binderless Glass Microfiber</t>
  </si>
  <si>
    <t xml:space="preserve">Tians International</t>
  </si>
  <si>
    <t xml:space="preserve">https://www.thomassci.com/browse-by/suppliers/tians-international</t>
  </si>
  <si>
    <t xml:space="preserve">Epic High Performance/Static Dissipative Frock</t>
  </si>
  <si>
    <t xml:space="preserve">Epic Cleanroom Pleated Bouffant Cap</t>
  </si>
  <si>
    <t xml:space="preserve">EPIC 514783 Plain Bottom Polypropylene Shoecover, Blue</t>
  </si>
  <si>
    <t xml:space="preserve">TIDI Products</t>
  </si>
  <si>
    <t xml:space="preserve">https://www.thomassci.com/browse-by/suppliers/tidi-products</t>
  </si>
  <si>
    <t xml:space="preserve">https://tidiproducts.com</t>
  </si>
  <si>
    <t xml:space="preserve">Professional Towel</t>
  </si>
  <si>
    <t xml:space="preserve">Pillowcase</t>
  </si>
  <si>
    <t xml:space="preserve">Choice Towels</t>
  </si>
  <si>
    <t xml:space="preserve">20800.521.1314</t>
  </si>
  <si>
    <t xml:space="preserve">https://www.tidiproducts.com/contact-us</t>
  </si>
  <si>
    <t xml:space="preserve">https://www.thomassci.com/browse-by/suppliers/tidi-products | https://www.tidiproducts.com/contact-us</t>
  </si>
  <si>
    <t xml:space="preserve">Tiger Vac</t>
  </si>
  <si>
    <t xml:space="preserve">https://www.thomassci.com/browse-by/suppliers/tiger-vac</t>
  </si>
  <si>
    <t xml:space="preserve">https://tiger-vac.com</t>
  </si>
  <si>
    <t xml:space="preserve">1 800 668-4437</t>
  </si>
  <si>
    <t xml:space="preserve">sales@tiger-vac.com</t>
  </si>
  <si>
    <t xml:space="preserve">https://tiger-vac.com/contact.aspx</t>
  </si>
  <si>
    <t xml:space="preserve">https://www.thomassci.com/browse-by/suppliers/tiger-vac | https://tiger-vac.com/contact.aspx</t>
  </si>
  <si>
    <t xml:space="preserve">Tingley Rubber</t>
  </si>
  <si>
    <t xml:space="preserve">https://www.thomassci.com/browse-by/suppliers/tingley-rubber</t>
  </si>
  <si>
    <t xml:space="preserve">Boot Saver Disposable Shoe Cover</t>
  </si>
  <si>
    <t xml:space="preserve">Safetyflex™ Flame Resistant Sleeves, PVC-on-Polyester, Green, 18"</t>
  </si>
  <si>
    <t xml:space="preserve">Tingley Profile Safety Toe Knee Boot</t>
  </si>
  <si>
    <t xml:space="preserve">Tintometer, Inc.</t>
  </si>
  <si>
    <t xml:space="preserve">https://www.thomassci.com/browse-by/suppliers/tintometer-inc-</t>
  </si>
  <si>
    <t xml:space="preserve">MD150 Colorimeter</t>
  </si>
  <si>
    <t xml:space="preserve">MD610 Multiparameter Colorimeter</t>
  </si>
  <si>
    <t xml:space="preserve">Reference Standard Kit Chlorine - 1.0 and 4.0 mg/l (MD 100/110/200)</t>
  </si>
  <si>
    <t xml:space="preserve">Tocris</t>
  </si>
  <si>
    <t xml:space="preserve">Tonbo Biosciences</t>
  </si>
  <si>
    <t xml:space="preserve">Tork</t>
  </si>
  <si>
    <t xml:space="preserve">https://www.dutscher.com/search?initialFilters=brand:Tork</t>
  </si>
  <si>
    <t xml:space="preserve">https://torkusa.com</t>
  </si>
  <si>
    <t xml:space="preserve">Tork Elevation 5 l waste bin - System B3 - white</t>
  </si>
  <si>
    <t xml:space="preserve">Top Pak Tork Performance wall dispenser for folded wipes - system W4 - turquoise/white</t>
  </si>
  <si>
    <t xml:space="preserve">Long-lasting food wipe - blue</t>
  </si>
  <si>
    <t xml:space="preserve">(866) 722 6659</t>
  </si>
  <si>
    <t xml:space="preserve">https://www.torkglobal.com/us/en/about/contact-us</t>
  </si>
  <si>
    <t xml:space="preserve">https://www.dutscher.com/search?initialFilters=brand:Tork | https://www.torkglobal.com/us/en/about/contact-us</t>
  </si>
  <si>
    <t xml:space="preserve">Toronto Research Chemicals</t>
  </si>
  <si>
    <t xml:space="preserve">Torrey Pines Scientific</t>
  </si>
  <si>
    <t xml:space="preserve">https://www.thomassci.com/browse-by/suppliers/torrey-pines-scientific</t>
  </si>
  <si>
    <t xml:space="preserve">https://torreypinesscientific.com</t>
  </si>
  <si>
    <t xml:space="preserve">EchoTherm™ Digital Hot Plate Stirrers</t>
  </si>
  <si>
    <t xml:space="preserve">EchoTherm™ IC22 Digital, 2-Position Electronic Chilling/Heating Dry Baths</t>
  </si>
  <si>
    <t xml:space="preserve">EchoTherm™ Chilling/Heating HPLC Column Ovens</t>
  </si>
  <si>
    <t xml:space="preserve">+17609309400</t>
  </si>
  <si>
    <t xml:space="preserve">sales@torreypinesscientific.com</t>
  </si>
  <si>
    <t xml:space="preserve">https://torreypinesscientific.com/contact/distributors/</t>
  </si>
  <si>
    <t xml:space="preserve">https://www.thomassci.com/browse-by/suppliers/torrey-pines-scientific | https://torreypinesscientific.com/contact/distributors/</t>
  </si>
  <si>
    <t xml:space="preserve">Tournus equipement</t>
  </si>
  <si>
    <t xml:space="preserve">https://www.dutscher.com/search?initialFilters=brand:Tournus+equipement</t>
  </si>
  <si>
    <t xml:space="preserve">https://www.tournus.com</t>
  </si>
  <si>
    <t xml:space="preserve">SHA dispenser column with 400ml bottle (empty)</t>
  </si>
  <si>
    <t xml:space="preserve">SHA dispenser on wheels with foot control 2 x 5 l</t>
  </si>
  <si>
    <t xml:space="preserve">Free-standing table without rear backsplash, dimensions: 700 x 700 mm</t>
  </si>
  <si>
    <t xml:space="preserve">03 85 27 42 00</t>
  </si>
  <si>
    <t xml:space="preserve">https://www.tournus.com/nous-contacter/</t>
  </si>
  <si>
    <t xml:space="preserve">https://www.dutscher.com/search?initialFilters=brand:Tournus+equipement | https://www.tournus.com/nous-contacter/</t>
  </si>
  <si>
    <t xml:space="preserve">TPP</t>
  </si>
  <si>
    <t xml:space="preserve">https://www.dutscher.com/search?initialFilters=brand:TPP</t>
  </si>
  <si>
    <t xml:space="preserve">https://tpp-uk.com</t>
  </si>
  <si>
    <t xml:space="preserve">Cell scraper 24 cm TPP - blade 13 mm</t>
  </si>
  <si>
    <t xml:space="preserve">Culture 96-well Plate with flat bottom TPP</t>
  </si>
  <si>
    <t xml:space="preserve">Culture plate 6 wells TPP</t>
  </si>
  <si>
    <t xml:space="preserve">https://tpp-uk.com/contact_us/</t>
  </si>
  <si>
    <t xml:space="preserve">https://www.dutscher.com/search?initialFilters=brand:TPP | https://www.lifegene.co.il/ | https://tpp-uk.com/contact_us/</t>
  </si>
  <si>
    <t xml:space="preserve">Transene Company, Inc</t>
  </si>
  <si>
    <t xml:space="preserve">https://www.thomassci.com/browse-by/suppliers/transene-company-inc</t>
  </si>
  <si>
    <t xml:space="preserve">Titanium Etchant TFT Gallon</t>
  </si>
  <si>
    <t xml:space="preserve">Chrome Mask Etchant CE-5M Gallon</t>
  </si>
  <si>
    <t xml:space="preserve">Copper Etchant APS-100 Gallon</t>
  </si>
  <si>
    <t xml:space="preserve">Transforming Technologies</t>
  </si>
  <si>
    <t xml:space="preserve">https://www.thomassci.com/browse-by/suppliers/transforming-technologies</t>
  </si>
  <si>
    <t xml:space="preserve">https://www.transforming-technologies.com</t>
  </si>
  <si>
    <t xml:space="preserve">Transforming Technologies Hot Gloves</t>
  </si>
  <si>
    <t xml:space="preserve">AC Ionizing Gun</t>
  </si>
  <si>
    <t xml:space="preserve">Two Snap Dual Wire Coil Cord, 12", 4mm</t>
  </si>
  <si>
    <t xml:space="preserve">+1-419-841-9552</t>
  </si>
  <si>
    <t xml:space="preserve">https://transforming-technologies.com/contact-us/</t>
  </si>
  <si>
    <t xml:space="preserve">https://www.thomassci.com/browse-by/suppliers/transforming-technologies | https://transforming-technologies.com/contact-us/</t>
  </si>
  <si>
    <t xml:space="preserve">Treff Nolato</t>
  </si>
  <si>
    <t xml:space="preserve">https://www.dutscher.com/search?initialFilters=brand:Treff+Nolato</t>
  </si>
  <si>
    <t xml:space="preserve">Treff 2 - 200 µl non-sterile rimless tip, Bulk packaging</t>
  </si>
  <si>
    <t xml:space="preserve">TREFF Easyfit 0.5 ml microtube, yellow</t>
  </si>
  <si>
    <t xml:space="preserve">Plate 2.2 ml (square wells, round bottom) polypropylene, sterile Treff</t>
  </si>
  <si>
    <t xml:space="preserve">Treston</t>
  </si>
  <si>
    <t xml:space="preserve">https://www.thomassci.com/browse-by/suppliers/treston</t>
  </si>
  <si>
    <t xml:space="preserve">https://treston.com</t>
  </si>
  <si>
    <t xml:space="preserve">Oval Horizontal Rail, 48"</t>
  </si>
  <si>
    <t xml:space="preserve">Black Phenolic Worksurface</t>
  </si>
  <si>
    <t xml:space="preserve">Vertical Upright Tube 47.24"</t>
  </si>
  <si>
    <t xml:space="preserve">+35810446911</t>
  </si>
  <si>
    <t xml:space="preserve">export@treston.com</t>
  </si>
  <si>
    <t xml:space="preserve">https://www.treston.com/contact-us</t>
  </si>
  <si>
    <t xml:space="preserve">https://www.thomassci.com/browse-by/suppliers/treston | https://www.treston.com/contact-us</t>
  </si>
  <si>
    <t xml:space="preserve">Trevigen</t>
  </si>
  <si>
    <t xml:space="preserve">Tribioscience</t>
  </si>
  <si>
    <t xml:space="preserve">https://tribioscience.com</t>
  </si>
  <si>
    <t xml:space="preserve">1-833-697-8998</t>
  </si>
  <si>
    <t xml:space="preserve">https://tribioscience.com/contact-us/</t>
  </si>
  <si>
    <t xml:space="preserve">https://www.quartzy.com/suppliers | https://tribioscience.com/contact-us/</t>
  </si>
  <si>
    <t xml:space="preserve">Triforest</t>
  </si>
  <si>
    <t xml:space="preserve">https://www.dutscher.com/search?initialFilters=brand:Triforest</t>
  </si>
  <si>
    <t xml:space="preserve">https://www.thomassci.com/browse-by/suppliers/triforest</t>
  </si>
  <si>
    <t xml:space="preserve">https://www.triforest.com</t>
  </si>
  <si>
    <t xml:space="preserve">Polycarbonate Fernbach Flasks</t>
  </si>
  <si>
    <t xml:space="preserve">Polycarbonate Serum Vials</t>
  </si>
  <si>
    <t xml:space="preserve">Polypropylene Shaker Flask Clamps</t>
  </si>
  <si>
    <t xml:space="preserve">Only US reseller listings (Genesee Scientific) for TriForest Labware flasks; Israeli distributor pages that surfaced (Rhenium, Enco, Ornat) do not list TriForest. Note: website in targets (triforestflooring.ca) is a flooring company, not the labware maker.</t>
  </si>
  <si>
    <t xml:space="preserve">+120(949)20380-8866</t>
  </si>
  <si>
    <t xml:space="preserve">info@triforest.com</t>
  </si>
  <si>
    <t xml:space="preserve">https://www.triforest.com/contact/</t>
  </si>
  <si>
    <t xml:space="preserve">https://www.dutscher.com/search?initialFilters=brand:Triforest | https://www.quartzy.com/suppliers | https://www.thomassci.com/browse-by/suppliers/triforest | https://www.triforest.com/contact/</t>
  </si>
  <si>
    <t xml:space="preserve">Trionyx</t>
  </si>
  <si>
    <t xml:space="preserve">https://www.dutscher.com/search?initialFilters=brand:Trionyx</t>
  </si>
  <si>
    <t xml:space="preserve">https://trionyx.fr</t>
  </si>
  <si>
    <t xml:space="preserve">Wall pharmacy cabinet capacity 19 Litres</t>
  </si>
  <si>
    <t xml:space="preserve">Retention bin 20 l - Dimensions H x W x D (mm): 155 x 600 x 400 - with gratings - load capacity 50 kg</t>
  </si>
  <si>
    <t xml:space="preserve">Fire cover, dimensions: 1200 x 1200 mm</t>
  </si>
  <si>
    <t xml:space="preserve">71205021000038</t>
  </si>
  <si>
    <t xml:space="preserve">https://trionyx.fr/en/contacts/receive-the-catalog</t>
  </si>
  <si>
    <t xml:space="preserve">https://www.dutscher.com/search?initialFilters=brand:Trionyx | https://trionyx.fr/en/contacts/receive-the-catalog</t>
  </si>
  <si>
    <t xml:space="preserve">TrippNT</t>
  </si>
  <si>
    <t xml:space="preserve">https://www.thomassci.com/browse-by/suppliers/trippnt</t>
  </si>
  <si>
    <t xml:space="preserve">https://trippnt.com</t>
  </si>
  <si>
    <t xml:space="preserve">Kimwipe Holder</t>
  </si>
  <si>
    <t xml:space="preserve">Holders</t>
  </si>
  <si>
    <t xml:space="preserve">Face Mask Holder</t>
  </si>
  <si>
    <t xml:space="preserve">No result mentions TrippNT; hits are Tripp Lite Israel (Minicom, Jerusalem) and audio/electronics distributors - different companies.</t>
  </si>
  <si>
    <t xml:space="preserve">+1 (800)874-7768</t>
  </si>
  <si>
    <t xml:space="preserve">sales@trippnt.com</t>
  </si>
  <si>
    <t xml:space="preserve">https://www.trippnt.com/contactus</t>
  </si>
  <si>
    <t xml:space="preserve">https://www.quartzy.com/suppliers | https://www.thomassci.com/browse-by/suppliers/trippnt | https://www.yairtech.co.il/partners/ | https://www.trippnt.com/contactus</t>
  </si>
  <si>
    <t xml:space="preserve">Troemner</t>
  </si>
  <si>
    <t xml:space="preserve">https://www.thomassci.com/browse-by/suppliers/troemner</t>
  </si>
  <si>
    <t xml:space="preserve">https://troemner.com</t>
  </si>
  <si>
    <t xml:space="preserve">Class 1 Electronic Balance Calibration Weights</t>
  </si>
  <si>
    <t xml:space="preserve">Analytical Precision Class 1 Weights, with Traceable Certificates</t>
  </si>
  <si>
    <t xml:space="preserve">Troemner Calibration Weight Set</t>
  </si>
  <si>
    <t xml:space="preserve">No result mentioned Troemner; only unrelated Israeli companies.</t>
  </si>
  <si>
    <t xml:space="preserve">https://www.quartzy.com/suppliers | https://www.thomassci.com/browse-by/suppliers/troemner</t>
  </si>
  <si>
    <t xml:space="preserve">Tronex</t>
  </si>
  <si>
    <t xml:space="preserve">https://www.thomassci.com/browse-by/suppliers/tronex</t>
  </si>
  <si>
    <t xml:space="preserve">https://tronex.nl</t>
  </si>
  <si>
    <t xml:space="preserve">Fluid Impervious Chemo Rated Isolation Gown, Knit Cuffs, Waist Ties, Blue Color, Unisize</t>
  </si>
  <si>
    <t xml:space="preserve">Powder-Free Latex, Fully Textured Disposable Gloves</t>
  </si>
  <si>
    <t xml:space="preserve">9662 Series Nitrile 12" Chemo-Rated, Powder-Free Examination Gloves</t>
  </si>
  <si>
    <t xml:space="preserve">Tronex Technology</t>
  </si>
  <si>
    <t xml:space="preserve">https://www.thomassci.com/browse-by/suppliers/tronex-technology</t>
  </si>
  <si>
    <t xml:space="preserve">Truckee Applied Genomics</t>
  </si>
  <si>
    <t xml:space="preserve">https://www.thomassci.com/browse-by/suppliers/truckee-applied-genomics</t>
  </si>
  <si>
    <t xml:space="preserve">Trueline</t>
  </si>
  <si>
    <t xml:space="preserve">https://www.thomassci.com/browse-by/suppliers/trueline</t>
  </si>
  <si>
    <t xml:space="preserve">https://trueline-inc.com</t>
  </si>
  <si>
    <t xml:space="preserve">TRUEscience</t>
  </si>
  <si>
    <t xml:space="preserve">https://www.thomassci.com/browse-by/suppliers/truescience</t>
  </si>
  <si>
    <t xml:space="preserve">https://truescience.co.uk</t>
  </si>
  <si>
    <t xml:space="preserve">TRUEscience Color-Coded pH Buffer Solutions</t>
  </si>
  <si>
    <t xml:space="preserve">TRUEscience Adapter Cables</t>
  </si>
  <si>
    <t xml:space="preserve">TRUEscience pH Starter Kit</t>
  </si>
  <si>
    <t xml:space="preserve">+441954233110</t>
  </si>
  <si>
    <t xml:space="preserve">sales@camlab.co.uk</t>
  </si>
  <si>
    <t xml:space="preserve">https://www.camlab.co.uk/contact-us-camlab</t>
  </si>
  <si>
    <t xml:space="preserve">https://www.thomassci.com/browse-by/suppliers/truescience | https://www.camlab.co.uk/contact-us-camlab</t>
  </si>
  <si>
    <t xml:space="preserve">TubeWriter</t>
  </si>
  <si>
    <t xml:space="preserve">https://www.thomassci.com/browse-by/suppliers/tubewriter</t>
  </si>
  <si>
    <t xml:space="preserve">Tuttnauer Ltd.</t>
  </si>
  <si>
    <t xml:space="preserve">https://www.dutscher.com/search?initialFilters=brand:Tuttnauer</t>
  </si>
  <si>
    <t xml:space="preserve">https://www.thomassci.com/browse-by/suppliers/tuttnauer-ltd-</t>
  </si>
  <si>
    <t xml:space="preserve">https://tuttnauer.com</t>
  </si>
  <si>
    <t xml:space="preserve">LabSci Top Loading Vertical Autoclaves for Liquids and Solids</t>
  </si>
  <si>
    <t xml:space="preserve">T-Classic 9 Portable Autoclave</t>
  </si>
  <si>
    <t xml:space="preserve">Autoclave T-LAB Eco 85 l</t>
  </si>
  <si>
    <t xml:space="preserve">Tuttnauer Ltd.:</t>
  </si>
  <si>
    <t xml:space="preserve">Tuttnauer is an Israeli-origin company; Beit Shemesh HQ confirmed by a 2026 Israeli medical-device directory, MarketScreener (Tuttnauer Ltd., HQ Beit Shemesh) and an Israel Trade Commission post dated 2026-01-15 (israeltrade.org.au); listed as 'subsidiary' because it is the group's own Israeli entity, not a distributor.</t>
  </si>
  <si>
    <t xml:space="preserve">https://tuttnauer.com/</t>
  </si>
  <si>
    <t xml:space="preserve">https://www.dutscher.com/search?initialFilters=brand:Tuttnauer | https://www.thomassci.com/browse-by/suppliers/tuttnauer-ltd- | https://tuttnauer.com/ | https://pharmchoices.com/list-of-medical-device-companies-in-israel-2/7/</t>
  </si>
  <si>
    <t xml:space="preserve">TWD TradeWinds, Inc.</t>
  </si>
  <si>
    <t xml:space="preserve">https://www.thomassci.com/browse-by/suppliers/twd-tradewinds-inc-</t>
  </si>
  <si>
    <t xml:space="preserve">Anti-Static Polypropylene Weighing Funnels</t>
  </si>
  <si>
    <t xml:space="preserve">Disposable Tweezers</t>
  </si>
  <si>
    <t xml:space="preserve">Wide Drosophila Vial Plugs</t>
  </si>
  <si>
    <t xml:space="preserve">Ulanet</t>
  </si>
  <si>
    <t xml:space="preserve">https://www.thomassci.com/browse-by/suppliers/ulanet</t>
  </si>
  <si>
    <t xml:space="preserve">https://ula.net</t>
  </si>
  <si>
    <t xml:space="preserve">Uline</t>
  </si>
  <si>
    <t xml:space="preserve">https://www.thomassci.com/browse-by/suppliers/uline</t>
  </si>
  <si>
    <t xml:space="preserve">https://uline.com</t>
  </si>
  <si>
    <t xml:space="preserve">12x10.75" Foil Pop-Up-Sheets</t>
  </si>
  <si>
    <t xml:space="preserve">Top Gun Tape Dispenser Uline</t>
  </si>
  <si>
    <t xml:space="preserve">24 x 20 x 20" Corrugated Boxes</t>
  </si>
  <si>
    <t xml:space="preserve">1-800-295-5510</t>
  </si>
  <si>
    <t xml:space="preserve">customer.service@uline.com</t>
  </si>
  <si>
    <t xml:space="preserve">https://www.uline.com/CustomerService/ContactUs_Menu</t>
  </si>
  <si>
    <t xml:space="preserve">https://www.quartzy.com/suppliers | https://www.thomassci.com/browse-by/suppliers/uline | https://www.uline.com/CustomerService/ContactUs_Menu</t>
  </si>
  <si>
    <t xml:space="preserve">Ultra EZgrind™</t>
  </si>
  <si>
    <t xml:space="preserve">https://www.thomassci.com/browse-by/suppliers/ultra-ezgrind</t>
  </si>
  <si>
    <t xml:space="preserve">Stand Assembly for Ultra EZgrind™ Tissue Homogenizer</t>
  </si>
  <si>
    <t xml:space="preserve">Denville Ultra EZgrind™ Tissue Homogenizer</t>
  </si>
  <si>
    <t xml:space="preserve">UltraTape</t>
  </si>
  <si>
    <t xml:space="preserve">https://www.thomassci.com/browse-by/suppliers/ultratape</t>
  </si>
  <si>
    <t xml:space="preserve">https://www.ultratape.com</t>
  </si>
  <si>
    <t xml:space="preserve">Polyethylene Super-Tack®</t>
  </si>
  <si>
    <t xml:space="preserve">UltraTape Protocol Tape</t>
  </si>
  <si>
    <t xml:space="preserve">UltraTape Medium Adhesion Cleanroom Tape</t>
  </si>
  <si>
    <t xml:space="preserve">1382 832999</t>
  </si>
  <si>
    <t xml:space="preserve">info@ultratape.com</t>
  </si>
  <si>
    <t xml:space="preserve">https://www.ultratape.com/contact-us/</t>
  </si>
  <si>
    <t xml:space="preserve">https://www.thomassci.com/browse-by/suppliers/ultratape | https://www.ultratape.com/contact-us/</t>
  </si>
  <si>
    <t xml:space="preserve">Uniform Technology</t>
  </si>
  <si>
    <t xml:space="preserve">https://www.thomassci.com/browse-by/suppliers/uniform-technology</t>
  </si>
  <si>
    <t xml:space="preserve">Leg Strap, 1.5 Inches Wide, White C3 Nano Cleanroom</t>
  </si>
  <si>
    <t xml:space="preserve">Uniform Technology® Taffeta Frock</t>
  </si>
  <si>
    <t xml:space="preserve">Uniform Technology® Cleanroom Frock</t>
  </si>
  <si>
    <t xml:space="preserve">Uniform Technology™ by PIP Global Safety</t>
  </si>
  <si>
    <t xml:space="preserve">https://www.thomassci.com/browse-by/suppliers/uniform-technology-by-pip-global-safety</t>
  </si>
  <si>
    <t xml:space="preserve">CFRZC65W C3 White Polyester Cleanroom ESD Frocks Zip Front Frock</t>
  </si>
  <si>
    <t xml:space="preserve">Uniform Technology® Frock</t>
  </si>
  <si>
    <t xml:space="preserve">Reusable Face Veil, White, Tricot material, with snaps to attach to hood, Onesize fits all, 1 EACH</t>
  </si>
  <si>
    <t xml:space="preserve">Unipix</t>
  </si>
  <si>
    <t xml:space="preserve">https://www.thomassci.com/browse-by/suppliers/unipix</t>
  </si>
  <si>
    <t xml:space="preserve">United Scientific Supplies</t>
  </si>
  <si>
    <t xml:space="preserve">https://www.thomassci.com/browse-by/suppliers/united-scientific-supplies</t>
  </si>
  <si>
    <t xml:space="preserve">United Scientific™ Aluminum Weighing Dishes, Round</t>
  </si>
  <si>
    <t xml:space="preserve">United Scientific® Stopper, Glass,Solid</t>
  </si>
  <si>
    <t xml:space="preserve">PinPoint™ Pipette Controller</t>
  </si>
  <si>
    <t xml:space="preserve">United Scientific Supplies Inc. (Libertyville, IL) appears only on Fisher Scientific brand pages; the South African 'United Scientific (Pty)' is unrelated; Israeli distributor hits (Enco, Agentek, Rhenium, Eisenberg) do not mention it.</t>
  </si>
  <si>
    <t xml:space="preserve">https://www.quartzy.com/suppliers | https://www.thomassci.com/browse-by/suppliers/united-scientific-supplies</t>
  </si>
  <si>
    <t xml:space="preserve">United States Biological</t>
  </si>
  <si>
    <t xml:space="preserve">https://usbio.net</t>
  </si>
  <si>
    <t xml:space="preserve">United States Plastic Corp.</t>
  </si>
  <si>
    <t xml:space="preserve">https://www.thomassci.com/browse-by/suppliers/united-states-plastic-corp-</t>
  </si>
  <si>
    <t xml:space="preserve">Univet Optical Technologies North America</t>
  </si>
  <si>
    <t xml:space="preserve">https://www.thomassci.com/browse-by/suppliers/univet-optical-technologies-north-america</t>
  </si>
  <si>
    <t xml:space="preserve">611 DV Byoxene - Sterilisable Goggle</t>
  </si>
  <si>
    <t xml:space="preserve">Vent Goggles</t>
  </si>
  <si>
    <t xml:space="preserve">Face Shields</t>
  </si>
  <si>
    <t xml:space="preserve">US Filter</t>
  </si>
  <si>
    <t xml:space="preserve">https://www.thomassci.com/browse-by/suppliers/us-filter</t>
  </si>
  <si>
    <t xml:space="preserve">Ushio America</t>
  </si>
  <si>
    <t xml:space="preserve">https://www.thomassci.com/browse-by/suppliers/ushio-america</t>
  </si>
  <si>
    <t xml:space="preserve">https://ushio.com</t>
  </si>
  <si>
    <t xml:space="preserve">Microscope Bulb, 150 Watt, 120V, MR-16</t>
  </si>
  <si>
    <t xml:space="preserve">JC6V-20W/G4 C-6, G4 Base, T3, 20W, 6V, T3 bulb shape, 3200K, G4 Base Wattage: 20</t>
  </si>
  <si>
    <t xml:space="preserve">(714) 229.3100</t>
  </si>
  <si>
    <t xml:space="preserve">customerservice@ushio.com</t>
  </si>
  <si>
    <t xml:space="preserve">https://www.ushio.com/contact-us/</t>
  </si>
  <si>
    <t xml:space="preserve">https://www.thomassci.com/browse-by/suppliers/ushio-america | https://www.ushio.com/contact-us/</t>
  </si>
  <si>
    <t xml:space="preserve">USultra</t>
  </si>
  <si>
    <t xml:space="preserve">https://www.thomassci.com/browse-by/suppliers/usultra</t>
  </si>
  <si>
    <t xml:space="preserve">EP Highly Purified Water (HPW)</t>
  </si>
  <si>
    <t xml:space="preserve">ASTM Type I Reagent Grade Water (D1193-99e1) (ASTM1)</t>
  </si>
  <si>
    <t xml:space="preserve">Acidified Water for Lab Mice</t>
  </si>
  <si>
    <t xml:space="preserve">Uvex</t>
  </si>
  <si>
    <t xml:space="preserve">https://www.dutscher.com/search?initialFilters=brand:Uvex</t>
  </si>
  <si>
    <t xml:space="preserve">https://www.thomassci.com/browse-by/suppliers/uvex</t>
  </si>
  <si>
    <t xml:space="preserve">A700 Series Eye Protection</t>
  </si>
  <si>
    <t xml:space="preserve">SVP201 Clear Frame Safety Glasses</t>
  </si>
  <si>
    <t xml:space="preserve">Uvex Astrospec® OTG 3001</t>
  </si>
  <si>
    <t xml:space="preserve">Searched as uvex safety: no importer/distributor named; a Newegg Israel storefront lists uvex safety products priced in shekels (marketplace, not an official channel).</t>
  </si>
  <si>
    <t xml:space="preserve">https://www.dutscher.com/search?initialFilters=brand:Uvex | https://www.thomassci.com/browse-by/suppliers/uvex</t>
  </si>
  <si>
    <t xml:space="preserve">UVEX® by PIP Global Safety</t>
  </si>
  <si>
    <t xml:space="preserve">https://www.thomassci.com/browse-by/suppliers/uvex-by-pip-global-safety</t>
  </si>
  <si>
    <t xml:space="preserve">Uvex Genesis X2® Eyewear</t>
  </si>
  <si>
    <t xml:space="preserve">Ultra-spec® 2001 OTG (Over-The-Glass) Eyewear</t>
  </si>
  <si>
    <t xml:space="preserve">Uvex Stealth® OTG Goggles</t>
  </si>
  <si>
    <t xml:space="preserve">Uvitec</t>
  </si>
  <si>
    <t xml:space="preserve">https://www.dutscher.com/search?initialFilters=brand:Uvitec</t>
  </si>
  <si>
    <t xml:space="preserve">https://uvitec.co.uk</t>
  </si>
  <si>
    <t xml:space="preserve">UVITEC Crosslinker CL-508</t>
  </si>
  <si>
    <t xml:space="preserve">UVIdoc HD6 Touch without transilluminator</t>
  </si>
  <si>
    <t xml:space="preserve">Mini UV chamber Uvicab (supplied without lamp)</t>
  </si>
  <si>
    <t xml:space="preserve">contact@uvitec.co.uk</t>
  </si>
  <si>
    <t xml:space="preserve">https://uvitec.co.uk/contact</t>
  </si>
  <si>
    <t xml:space="preserve">https://www.dutscher.com/search?initialFilters=brand:Uvitec | https://ornat.co.il/instruments/ | https://uvitec.co.uk/contact</t>
  </si>
  <si>
    <t xml:space="preserve">Vacuubrand</t>
  </si>
  <si>
    <t xml:space="preserve">https://www.dutscher.com/search?initialFilters=brand:Vacuubrand</t>
  </si>
  <si>
    <t xml:space="preserve">https://vacuubrand.com</t>
  </si>
  <si>
    <t xml:space="preserve">Oil B for vane pumps - 5 l</t>
  </si>
  <si>
    <t xml:space="preserve">Vacuum pump Vacuubrand ME1C</t>
  </si>
  <si>
    <t xml:space="preserve">Aspiration system Biochem VacuuCenter BVC Basic G model</t>
  </si>
  <si>
    <t xml:space="preserve">+4993428080</t>
  </si>
  <si>
    <t xml:space="preserve">info@vacuubrand.com</t>
  </si>
  <si>
    <t xml:space="preserve">https://www.vacuubrand.com/service-advice/contact</t>
  </si>
  <si>
    <t xml:space="preserve">https://www.dutscher.com/search?initialFilters=brand:Vacuubrand | https://labotal.co.il/represented-firms/ | https://www.vacuubrand.com/service-advice/contact</t>
  </si>
  <si>
    <t xml:space="preserve">Valeo</t>
  </si>
  <si>
    <t xml:space="preserve">https://www.thomassci.com/browse-by/suppliers/valeo</t>
  </si>
  <si>
    <t xml:space="preserve">https://valeo.com</t>
  </si>
  <si>
    <t xml:space="preserve">Leather Lifting Belts</t>
  </si>
  <si>
    <t xml:space="preserve">Heavy-Duty Elastic Back Supports</t>
  </si>
  <si>
    <t xml:space="preserve">Meshback Lifting Gloves</t>
  </si>
  <si>
    <t xml:space="preserve">https://www.valeo.com/en/calendar-and-contacts/</t>
  </si>
  <si>
    <t xml:space="preserve">https://www.thomassci.com/browse-by/suppliers/valeo | https://www.valeo.com/en/calendar-and-contacts/</t>
  </si>
  <si>
    <t xml:space="preserve">Valutek</t>
  </si>
  <si>
    <t xml:space="preserve">https://www.thomassci.com/browse-by/suppliers/valutek</t>
  </si>
  <si>
    <t xml:space="preserve">https://valutek.com</t>
  </si>
  <si>
    <t xml:space="preserve">Cotton Cleanroom Wiper</t>
  </si>
  <si>
    <t xml:space="preserve">White Round Ear Loop Facemask</t>
  </si>
  <si>
    <t xml:space="preserve">Adhesive Mats</t>
  </si>
  <si>
    <t xml:space="preserve">+1-800-763-1250</t>
  </si>
  <si>
    <t xml:space="preserve">https://www.valutek.com/contact-us</t>
  </si>
  <si>
    <t xml:space="preserve">https://www.thomassci.com/browse-by/suppliers/valutek | https://www.valutek.com/contact-us</t>
  </si>
  <si>
    <t xml:space="preserve">Varizymes</t>
  </si>
  <si>
    <t xml:space="preserve">https://www.thomassci.com/browse-by/suppliers/varizymes</t>
  </si>
  <si>
    <t xml:space="preserve">https://varizymes.com</t>
  </si>
  <si>
    <t xml:space="preserve">VariSafe™ RNA FMDV Polyprotein (Consensus)</t>
  </si>
  <si>
    <t xml:space="preserve">Thunder™ Reverse Transcriptase</t>
  </si>
  <si>
    <t xml:space="preserve">VariSafe™ RNA HIV-1 Gag Gene</t>
  </si>
  <si>
    <t xml:space="preserve">Only company profiles (Middleton, WI); name-confusion hits Varizig (Kamada) and VarSome (Danyel Biotech) are unrelated.</t>
  </si>
  <si>
    <t xml:space="preserve">608-824-0160</t>
  </si>
  <si>
    <t xml:space="preserve">info@varizymes.com</t>
  </si>
  <si>
    <t xml:space="preserve">https://www.varizymes.com/pages/contact-us-oem</t>
  </si>
  <si>
    <t xml:space="preserve">https://www.quartzy.com/suppliers | https://www.thomassci.com/browse-by/suppliers/varizymes | https://www.varizymes.com/pages/contact-us-oem</t>
  </si>
  <si>
    <t xml:space="preserve">Varsal</t>
  </si>
  <si>
    <t xml:space="preserve">https://www.thomassci.com/browse-by/suppliers/varsal</t>
  </si>
  <si>
    <t xml:space="preserve">Semi Micro w/Stopper Self Masking</t>
  </si>
  <si>
    <t xml:space="preserve">Fluorometer Rectangular w/Stopper</t>
  </si>
  <si>
    <t xml:space="preserve">Semi-Micro Rectangular Spectrophotometer Cells w/lid</t>
  </si>
  <si>
    <t xml:space="preserve">Vector Biolabs</t>
  </si>
  <si>
    <t xml:space="preserve">https://vectorbiolabs.com</t>
  </si>
  <si>
    <t xml:space="preserve">+1 484-325-5100</t>
  </si>
  <si>
    <t xml:space="preserve">info@vectorbiolabs.com</t>
  </si>
  <si>
    <t xml:space="preserve">https://www.vectorbiolabs.com/</t>
  </si>
  <si>
    <t xml:space="preserve">https://www.quartzy.com/suppliers | https://www.vectorbiolabs.com/</t>
  </si>
  <si>
    <t xml:space="preserve">Vector Laboratories</t>
  </si>
  <si>
    <t xml:space="preserve">https://vectorlabs.com</t>
  </si>
  <si>
    <t xml:space="preserve">Vectornate USA</t>
  </si>
  <si>
    <t xml:space="preserve">https://www.thomassci.com/browse-by/suppliers/vectornate-usa</t>
  </si>
  <si>
    <t xml:space="preserve">MedSchenker™ Culture Tube</t>
  </si>
  <si>
    <t xml:space="preserve">MedSchenker Viral Transport Media Vials</t>
  </si>
  <si>
    <t xml:space="preserve">MedSchenker® Plasma Disinfector</t>
  </si>
  <si>
    <t xml:space="preserve">Vee Gee Scientific</t>
  </si>
  <si>
    <t xml:space="preserve">https://www.thomassci.com/browse-by/suppliers/vee-gee-scientific</t>
  </si>
  <si>
    <t xml:space="preserve">https://veegee.com</t>
  </si>
  <si>
    <t xml:space="preserve">SIBATA Serological Pipets</t>
  </si>
  <si>
    <t xml:space="preserve">Volumetric Pipet</t>
  </si>
  <si>
    <t xml:space="preserve">Glass w/Bubble Trap, 100mm, 11 mL</t>
  </si>
  <si>
    <t xml:space="preserve">800.423.8842</t>
  </si>
  <si>
    <t xml:space="preserve">sales@veegee.com</t>
  </si>
  <si>
    <t xml:space="preserve">https://www.veegee.com/pages/contact-us</t>
  </si>
  <si>
    <t xml:space="preserve">https://www.thomassci.com/browse-by/suppliers/vee-gee-scientific | https://www.veegee.com/pages/contact-us</t>
  </si>
  <si>
    <t xml:space="preserve">Velp</t>
  </si>
  <si>
    <t xml:space="preserve">https://www.dutscher.com/search?initialFilters=brand:Velp</t>
  </si>
  <si>
    <t xml:space="preserve">https://www.thomassci.com/browse-by/suppliers/velp</t>
  </si>
  <si>
    <t xml:space="preserve">https://www.velp.com</t>
  </si>
  <si>
    <t xml:space="preserve">איטליה</t>
  </si>
  <si>
    <t xml:space="preserve">Usmate Velate (Monza e Brianza)</t>
  </si>
  <si>
    <t xml:space="preserve">EUR 23.26 million</t>
  </si>
  <si>
    <t xml:space="preserve">UDK 169 / UDK 139</t>
  </si>
  <si>
    <t xml:space="preserve">NDA 702 Dumas analyzer</t>
  </si>
  <si>
    <t xml:space="preserve">AREX-6 / ARE hotplate stirrers and DKL digesters</t>
  </si>
  <si>
    <t xml:space="preserve">Labotal</t>
  </si>
  <si>
    <t xml:space="preserve">Labotal: +972 2-579-9222 Sales@labotal.co.il</t>
  </si>
  <si>
    <r>
      <rPr>
        <sz val="11"/>
        <color theme="1"/>
        <rFont val="Calibri"/>
        <family val="2"/>
        <charset val="1"/>
      </rPr>
      <t xml:space="preserve">[</t>
    </r>
    <r>
      <rPr>
        <sz val="11"/>
        <color theme="1"/>
        <rFont val="FreeSans"/>
        <family val="2"/>
      </rPr>
      <t xml:space="preserve">אימות עדכניות </t>
    </r>
    <r>
      <rPr>
        <sz val="11"/>
        <color theme="1"/>
        <rFont val="Calibri"/>
        <family val="2"/>
        <charset val="1"/>
      </rPr>
      <t xml:space="preserve">10/2026] Labotal's live 'Represented Firms' page lists VELP among the brands it represents, confirming the 2024 exclusivity statement on its VELP supplier page is still current. On the manufacturer side, VELP's own distribution-awards page lists Israel among the countries where it has distributors but does not name the partner in the snippet. No other Israeli VELP channel (for general lab equipment such as stirrers) surfaced. Labotal (</t>
    </r>
    <r>
      <rPr>
        <sz val="11"/>
        <color theme="1"/>
        <rFont val="FreeSans"/>
        <family val="2"/>
      </rPr>
      <t xml:space="preserve">לבוטל</t>
    </r>
    <r>
      <rPr>
        <sz val="11"/>
        <color theme="1"/>
        <rFont val="Calibri"/>
        <family val="2"/>
        <charset val="1"/>
      </rPr>
      <t xml:space="preserve">) states on its own VELP supplier page that during 2024 it became the exclusive representative for VELP's analytical product line in Israel (UDK Kjeldahl distillers, DKL digesters, NDA 702 Dumas nitrogen/protein analyser, fibre/fat extractors), and the BioFindly directory lists Labotal under VELP. The statement covers the analytical line only; VELP's general lab equipment (stirrers, shakers, hotplates) may have a different Israeli channel, which was not found. velp.com was not checked (search budget).</t>
    </r>
  </si>
  <si>
    <t xml:space="preserve">+39 039 628811</t>
  </si>
  <si>
    <t xml:space="preserve">Via Stazione 16, 20865 Usmate (MB), Italy</t>
  </si>
  <si>
    <t xml:space="preserve">https://velp.com/en-ww/where-we-are.aspx</t>
  </si>
  <si>
    <t xml:space="preserve">https://www.dutscher.com/search?initialFilters=brand:Velp | https://www.thomassci.com/browse-by/suppliers/velp | https://www.velp.com/en-ww/who-we-are.aspx | https://www.directindustry.com/pt/soc/velp-15378.html | https://labotal.co.il/firms/velp/?lang=en | https://labotal.co.il/product/velp-scientifica-nda-702-nitrogen-and-protein-analyzer/ | https://labotal.co.il/product-category/analytical-instruments/kjeldahl-analyzers/ | https://biofindly.co.il/distributor/labotal/ | https://labotal.co.il/firms/?lang=en | https://www.velp.com/en-ww/velp-scientifica-distribution-awards.aspx | https://topaziende.quotidiano.net/?p=150864 | https://www.velp.com/en-ww/velps-recognition-in-the-top500-2024-companies-of-monza-province.aspx | https://www.velp.com/en-ww/contact-us.aspx</t>
  </si>
  <si>
    <t xml:space="preserve">Velp Scientifica</t>
  </si>
  <si>
    <t xml:space="preserve">https://www.quartzy.com/suppliers | https://www.velp.com/en-ww/who-we-are.aspx | https://www.directindustry.com/pt/soc/velp-15378.html | https://labotal.co.il/firms/velp/?lang=en | https://labotal.co.il/product/velp-scientifica-nda-702-nitrogen-and-protein-analyzer/ | https://labotal.co.il/product-category/analytical-instruments/kjeldahl-analyzers/ | https://biofindly.co.il/distributor/labotal/ | https://labotal.co.il/firms/?lang=en | https://www.velp.com/en-ww/velp-scientifica-distribution-awards.aspx | https://topaziende.quotidiano.net/?p=150864 | https://www.velp.com/en-ww/velps-recognition-in-the-top500-2024-companies-of-monza-province.aspx | https://www.velp.com/en-ww/contact-us.aspx</t>
  </si>
  <si>
    <t xml:space="preserve">Veltek Associates</t>
  </si>
  <si>
    <t xml:space="preserve">https://www.thomassci.com/browse-by/suppliers/veltek-associates</t>
  </si>
  <si>
    <t xml:space="preserve">https://sterile.com</t>
  </si>
  <si>
    <t xml:space="preserve">DECON-CLEAN</t>
  </si>
  <si>
    <t xml:space="preserve">DECON-QUAT 100</t>
  </si>
  <si>
    <t xml:space="preserve">Decon-Peroxide Sterile 3%</t>
  </si>
  <si>
    <t xml:space="preserve">6106448335</t>
  </si>
  <si>
    <t xml:space="preserve">customerservice@sterile.com</t>
  </si>
  <si>
    <t xml:space="preserve">https://sterile.com/contact-us/</t>
  </si>
  <si>
    <t xml:space="preserve">https://www.thomassci.com/browse-by/suppliers/veltek-associates | https://sterile.com/contact-us/</t>
  </si>
  <si>
    <t xml:space="preserve">Venair</t>
  </si>
  <si>
    <t xml:space="preserve">https://www.dutscher.com/search?initialFilters=brand:Venair</t>
  </si>
  <si>
    <t xml:space="preserve">Venabio Flow silicone tubing - ø int. x ø ext. x L: 3.2 mm x 6.4 mm x 15.24 m</t>
  </si>
  <si>
    <t xml:space="preserve">Venabio Flow silicone tubing - ø int. x ø ext. x L: 4.8 mm x 6.4 mm x 15.24 m</t>
  </si>
  <si>
    <t xml:space="preserve">Technosil braided silicone tubing - ø int. x ø ext. x L: 6.35 mm x 13.2 mm x 3.4 m</t>
  </si>
  <si>
    <t xml:space="preserve">Veritiv Operating</t>
  </si>
  <si>
    <t xml:space="preserve">https://www.thomassci.com/browse-by/suppliers/veritiv-operating</t>
  </si>
  <si>
    <t xml:space="preserve">Industrial Light Duty Wiper</t>
  </si>
  <si>
    <t xml:space="preserve">Paper 97 Bright</t>
  </si>
  <si>
    <t xml:space="preserve">Vernon/RTC</t>
  </si>
  <si>
    <t xml:space="preserve">https://www.thomassci.com/browse-by/suppliers/vernon/rtc</t>
  </si>
  <si>
    <t xml:space="preserve">Impact Plastic Janitor Mop Handle 64", Safety Orange Fiberglass</t>
  </si>
  <si>
    <t xml:space="preserve">Paper Towels, Georgia-Pacific Preference Multifold Paper Towels, #0065, 250EA/BX, 16BX/CS.</t>
  </si>
  <si>
    <t xml:space="preserve">Victory Scientific</t>
  </si>
  <si>
    <t xml:space="preserve">https://www.thomassci.com/browse-by/suppliers/victory-scientific</t>
  </si>
  <si>
    <t xml:space="preserve">https://victoryscientific.com</t>
  </si>
  <si>
    <t xml:space="preserve">oasig Lyophilised qPCR Master Mix, 150 reactions</t>
  </si>
  <si>
    <t xml:space="preserve">oasig Lyophilised OneStep RT-qPCR Master Mix, 150 reactions</t>
  </si>
  <si>
    <t xml:space="preserve">609-915-5371 305</t>
  </si>
  <si>
    <t xml:space="preserve">https://www.victoryscientific.com/contact</t>
  </si>
  <si>
    <t xml:space="preserve">https://www.thomassci.com/browse-by/suppliers/victory-scientific | https://www.victoryscientific.com/contact</t>
  </si>
  <si>
    <t xml:space="preserve">Vileda Professional</t>
  </si>
  <si>
    <t xml:space="preserve">https://www.thomassci.com/browse-by/suppliers/vileda-professional</t>
  </si>
  <si>
    <t xml:space="preserve">https://vileda-professional.com</t>
  </si>
  <si>
    <t xml:space="preserve">CE Duo® CleanTech® Microfiber and double sided mop for controlled environments</t>
  </si>
  <si>
    <t xml:space="preserve">Mop Refill, FHP Vileda, CleanTech Duo, Microfiber Laminated Mopheads, Refill, Blue and White, 2-Sided, for CE DuoMop Frame (137878), 20"Length, 50EA/CS.</t>
  </si>
  <si>
    <t xml:space="preserve">Floor Cleaning &amp; Accessories</t>
  </si>
  <si>
    <t xml:space="preserve">Vion Biosciences</t>
  </si>
  <si>
    <t xml:space="preserve">https://www.thomassci.com/browse-by/suppliers/vion-biosciences</t>
  </si>
  <si>
    <t xml:space="preserve">Wright's Blood Stain, Histology Grade</t>
  </si>
  <si>
    <t xml:space="preserve">Ethanol, Denatured, Histology Grade</t>
  </si>
  <si>
    <t xml:space="preserve">Tris Base</t>
  </si>
  <si>
    <t xml:space="preserve">VistaLab Technologies (a subsidiary of Celltreat)</t>
  </si>
  <si>
    <t xml:space="preserve">https://www.thomassci.com/browse-by/suppliers/vistalab-technologies-a-subsidiary-of-celltreat</t>
  </si>
  <si>
    <t xml:space="preserve">Reagent Reservoirs</t>
  </si>
  <si>
    <t xml:space="preserve">PIPET STAND, 10 Position</t>
  </si>
  <si>
    <t xml:space="preserve">Ali-Q Replacement Membrane Filter</t>
  </si>
  <si>
    <t xml:space="preserve">Vitl Life Science Solutions</t>
  </si>
  <si>
    <t xml:space="preserve">https://www.thomassci.com/browse-by/suppliers/vitl-life-science-solutions</t>
  </si>
  <si>
    <t xml:space="preserve">MicroTS Microplate Heat Sealer</t>
  </si>
  <si>
    <t xml:space="preserve">VTS Variable Temperature Sealer</t>
  </si>
  <si>
    <t xml:space="preserve">Ther-Mix Heated Laboratory Mixer</t>
  </si>
  <si>
    <t xml:space="preserve">Vivitide</t>
  </si>
  <si>
    <t xml:space="preserve">Voss</t>
  </si>
  <si>
    <t xml:space="preserve">https://www.thomassci.com/browse-by/suppliers/voss</t>
  </si>
  <si>
    <t xml:space="preserve">Bailers</t>
  </si>
  <si>
    <t xml:space="preserve">High Capacity Groundwater Filter Cartridge</t>
  </si>
  <si>
    <t xml:space="preserve">W.A. Hammond Drierite Co.</t>
  </si>
  <si>
    <t xml:space="preserve">https://www.thomassci.com/browse-by/suppliers/w-a-hammond-drierite-co-</t>
  </si>
  <si>
    <t xml:space="preserve">Walter Products</t>
  </si>
  <si>
    <t xml:space="preserve">https://www.thomassci.com/browse-by/suppliers/walter-products</t>
  </si>
  <si>
    <t xml:space="preserve">Frosted Glass Microscope Slides</t>
  </si>
  <si>
    <t xml:space="preserve">TC-Spinplus Centrifuges</t>
  </si>
  <si>
    <t xml:space="preserve">Human Torso Models</t>
  </si>
  <si>
    <t xml:space="preserve">Walter Stern</t>
  </si>
  <si>
    <t xml:space="preserve">https://www.thomassci.com/browse-by/suppliers/walter-stern</t>
  </si>
  <si>
    <t xml:space="preserve">https://waltersterninc.com</t>
  </si>
  <si>
    <t xml:space="preserve">Cylindrical Rubber Bulbs</t>
  </si>
  <si>
    <t xml:space="preserve">Reverse Action Forceps</t>
  </si>
  <si>
    <t xml:space="preserve">Shears</t>
  </si>
  <si>
    <t xml:space="preserve">5168839100</t>
  </si>
  <si>
    <t xml:space="preserve">https://www.waltersterninc.com/contact/</t>
  </si>
  <si>
    <t xml:space="preserve">https://www.thomassci.com/browse-by/suppliers/walter-stern | https://www.waltersterninc.com/contact/</t>
  </si>
  <si>
    <t xml:space="preserve">Waring</t>
  </si>
  <si>
    <t xml:space="preserve">https://www.thomassci.com/browse-by/suppliers/waring</t>
  </si>
  <si>
    <t xml:space="preserve">75 Gram Pulverizer For Blenders</t>
  </si>
  <si>
    <t xml:space="preserve">Mini-Container Jars For Blenders</t>
  </si>
  <si>
    <t xml:space="preserve">Waring Commercial® Commercial Blender with Glass Container</t>
  </si>
  <si>
    <t xml:space="preserve">Water Saver Faucet Co.</t>
  </si>
  <si>
    <t xml:space="preserve">https://www.thomassci.com/browse-by/suppliers/water-saver-faucet-co-</t>
  </si>
  <si>
    <t xml:space="preserve">https://wsflab.com</t>
  </si>
  <si>
    <t xml:space="preserve">312-666-5500</t>
  </si>
  <si>
    <t xml:space="preserve">info@wsflab.com</t>
  </si>
  <si>
    <t xml:space="preserve">https://wsflab.com/about-us/contact-us/</t>
  </si>
  <si>
    <t xml:space="preserve">https://www.thomassci.com/browse-by/suppliers/water-saver-faucet-co- | https://wsflab.com/about-us/contact-us/</t>
  </si>
  <si>
    <t xml:space="preserve">Waters</t>
  </si>
  <si>
    <t xml:space="preserve">https://www.thomassci.com/browse-by/suppliers/waters</t>
  </si>
  <si>
    <t xml:space="preserve">https://www.waters.com</t>
  </si>
  <si>
    <t xml:space="preserve">Milford, Massachusetts</t>
  </si>
  <si>
    <t xml:space="preserve">USD 3,165 million</t>
  </si>
  <si>
    <t xml:space="preserve">ACQUITY Premier UPLC</t>
  </si>
  <si>
    <t xml:space="preserve">Xevo TQ Absolute</t>
  </si>
  <si>
    <t xml:space="preserve">Empower CDS</t>
  </si>
  <si>
    <t xml:space="preserve">Waters (TC) Israel Ltd.; Bargal Analytical Instruments Ltd.</t>
  </si>
  <si>
    <t xml:space="preserve">Waters (TC) Israel Ltd.:; Bargal Analytical Instruments Ltd.: +972-3-979-6533 sales@bargal.co.il</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</si>
  <si>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Three searches found no third-party Waters LC/MS distributor in Israel; instead, Israeli government sole-supplier (</t>
    </r>
    <r>
      <rPr>
        <sz val="11"/>
        <color theme="1"/>
        <rFont val="FreeSans"/>
        <family val="2"/>
      </rPr>
      <t xml:space="preserve">ספק יחיד</t>
    </r>
    <r>
      <rPr>
        <sz val="11"/>
        <color theme="1"/>
        <rFont val="Calibri"/>
        <family val="2"/>
        <charset val="1"/>
      </rPr>
      <t xml:space="preserve">) notices on mr.gov.il show Waters (TC) Israel Ltd. supplying Waters HPLC instruments directly to Ministry of Health laboratories (2018-2019) and 'Waters Israel' holding an LC-MS/MS maintenance contract (2017-2018), i.e. Waters sells and services direct through its own subsidiary, which the Feb-2024 10-K exhibit still lists. waters.com keeps an en_IL locale (Israel training-course list) but its local-office entry was not visible in snippets. Presence therefore reclassified from distributor to subsidiary; the role evidence is 2017-2019 and the entity evidence 2024, so a 2025-26 confirmation is still missing. Bargal (TA Instruments) was not re-searched. Waters' 10-K Exhibit 21.1 lists an Israeli subsidiary, Waters (TC) Israel Ltd. (seen in a search excerpt; the page itself could not be opened). Whether LC/MS instruments are sold direct or through an Israeli distributor was not established – to verify in the next round. TA Instruments' Middle East directory lists Bargal (Shoham / Airport City) for thermal analysis, rheology, microcalorimetry, dilatometry and thermal conductivity.</t>
    </r>
  </si>
  <si>
    <t xml:space="preserve">+1 508 478 2000</t>
  </si>
  <si>
    <t xml:space="preserve">34 Maple Street, Milford, MA 01757, USA</t>
  </si>
  <si>
    <t xml:space="preserve">https://www.globaldata.com/company-profile/waters-corp/locations/</t>
  </si>
  <si>
    <t xml:space="preserve">https://www.thomassci.com/browse-by/suppliers/waters | https://www.tainstruments.com/events/middleeast-directory.html | https://mr.gov.il/ilgstorefront/he/p/617380 | https://mr.gov.il/ilgstorefront/he/p/598742 | https://mr.gov.il/ilgstorefront/he/p/516334 | https://mr.gov.il/ilgstorefront/he/p/515797 | https://mr.gov.il/ilgstorefront/en/p/574186 | https://www.waters.com/waters/en_IL/Course-List-Israel/nav.htm?locale=en_IL&amp;cid=134734604 | https://www.sec.gov/Archives/edgar/data/1000697/000119312524047491/d691142dex211.htm | https://s205.q4cdn.com/962852172/files/doc_news/Waters-Corporation-NYSE-WAT-Reports-Fourth-Quarter-and-Full-Year-2025-Financial-Results-2026.pdf | https://www.sec.gov/Archives/edgar/data/1000697/000119312526062604/d778470d10k.htm</t>
  </si>
  <si>
    <t xml:space="preserve">Watson-Marlow</t>
  </si>
  <si>
    <t xml:space="preserve">https://www.thomassci.com/browse-by/suppliers/watson-marlow</t>
  </si>
  <si>
    <t xml:space="preserve">La Queue-les-Yvelines</t>
  </si>
  <si>
    <t xml:space="preserve">1995</t>
  </si>
  <si>
    <t xml:space="preserve">Watson-Marlow Pure Platinum-Cured Silicone Tubing</t>
  </si>
  <si>
    <t xml:space="preserve">Marprene Tubing</t>
  </si>
  <si>
    <t xml:space="preserve">Watson-Marlow Silicone Tube Elements</t>
  </si>
  <si>
    <t xml:space="preserve">Q134687219</t>
  </si>
  <si>
    <t xml:space="preserve">https://www.thomassci.com/browse-by/suppliers/watson-marlow | https://www.wikidata.org/wiki/Q134687219</t>
  </si>
  <si>
    <t xml:space="preserve">WayFast</t>
  </si>
  <si>
    <t xml:space="preserve">https://www.thomassci.com/browse-by/suppliers/wayfast</t>
  </si>
  <si>
    <t xml:space="preserve">https://gowayfast.com</t>
  </si>
  <si>
    <t xml:space="preserve">Wearwell</t>
  </si>
  <si>
    <t xml:space="preserve">https://www.thomassci.com/browse-by/suppliers/wearwell</t>
  </si>
  <si>
    <t xml:space="preserve">https://wearwell.com</t>
  </si>
  <si>
    <t xml:space="preserve">Electrically Conductive Anti-Fatigue Mats</t>
  </si>
  <si>
    <t xml:space="preserve">Wearwell Clean Room Mat</t>
  </si>
  <si>
    <t xml:space="preserve">Vinyl-Tech Spongecote Mats</t>
  </si>
  <si>
    <t xml:space="preserve">1-800-264-3030</t>
  </si>
  <si>
    <t xml:space="preserve">info@wearwell.com</t>
  </si>
  <si>
    <t xml:space="preserve">https://www.wearwell.com/contacts</t>
  </si>
  <si>
    <t xml:space="preserve">https://www.thomassci.com/browse-by/suppliers/wearwell | https://www.wearwell.com/contacts</t>
  </si>
  <si>
    <t xml:space="preserve">Welch</t>
  </si>
  <si>
    <t xml:space="preserve">https://www.dutscher.com/search?initialFilters=brand:Welch</t>
  </si>
  <si>
    <t xml:space="preserve">https://www.thomassci.com/browse-by/suppliers/welch</t>
  </si>
  <si>
    <t xml:space="preserve">https://www.welchvacuum.com</t>
  </si>
  <si>
    <t xml:space="preserve">CRVpro Direct Drive Rotary Vane Vacuum Pumps</t>
  </si>
  <si>
    <t xml:space="preserve">Welch Vacuum Hose</t>
  </si>
  <si>
    <t xml:space="preserve">Welch Inlet/Exhaust Hose Connector</t>
  </si>
  <si>
    <t xml:space="preserve">Welch Vacuum (Gardner Denver, Niles IL) results list US distributors (A-VAC, Ideal Vacuum, Across International) and Fisher EU pages; no Israel mention. Note: website in targets (welchs.com) is the juice brand, not Welch Vacuum.</t>
  </si>
  <si>
    <t xml:space="preserve">https://www.dutscher.com/search?initialFilters=brand:Welch | https://www.thomassci.com/browse-by/suppliers/welch</t>
  </si>
  <si>
    <t xml:space="preserve">Wells Lamont</t>
  </si>
  <si>
    <t xml:space="preserve">https://wellslamont.com</t>
  </si>
  <si>
    <t xml:space="preserve">8003232830</t>
  </si>
  <si>
    <t xml:space="preserve">https://wellslamont.com/contact/</t>
  </si>
  <si>
    <t xml:space="preserve">https://www.quartzy.com/suppliers | https://wellslamont.com/contact/</t>
  </si>
  <si>
    <t xml:space="preserve">Wells Lamont Industrial</t>
  </si>
  <si>
    <t xml:space="preserve">https://www.thomassci.com/browse-by/suppliers/wells-lamont-industrial</t>
  </si>
  <si>
    <t xml:space="preserve">https://wellslamontindustrial.com</t>
  </si>
  <si>
    <t xml:space="preserve">Cotton Isle Glove Liner</t>
  </si>
  <si>
    <t xml:space="preserve">cut resistant glove</t>
  </si>
  <si>
    <t xml:space="preserve">heat resistant glove</t>
  </si>
  <si>
    <t xml:space="preserve">800.247.3295</t>
  </si>
  <si>
    <t xml:space="preserve">https://www.wellslamontindustrial.com/contact-us/</t>
  </si>
  <si>
    <t xml:space="preserve">https://www.thomassci.com/browse-by/suppliers/wells-lamont-industrial | https://www.wellslamontindustrial.com/contact-us/</t>
  </si>
  <si>
    <t xml:space="preserve">Wesco</t>
  </si>
  <si>
    <t xml:space="preserve">https://www.thomassci.com/browse-by/suppliers/wesco</t>
  </si>
  <si>
    <t xml:space="preserve">https://wesco.com</t>
  </si>
  <si>
    <t xml:space="preserve">Polypropylene Dolly for 30 gal or 55 gal Drums</t>
  </si>
  <si>
    <t xml:space="preserve">30BT Combination Drum Truck</t>
  </si>
  <si>
    <t xml:space="preserve">Spartan III 3 Position Aluminum Truck</t>
  </si>
  <si>
    <t xml:space="preserve">West Chester Protective Gear</t>
  </si>
  <si>
    <t xml:space="preserve">https://www.thomassci.com/browse-by/suppliers/west-chester-protective-gear</t>
  </si>
  <si>
    <t xml:space="preserve">https://www.westchestergear.com</t>
  </si>
  <si>
    <t xml:space="preserve">https://westchestergear.com/</t>
  </si>
  <si>
    <t xml:space="preserve">https://www.thomassci.com/browse-by/suppliers/west-chester-protective-gear | https://westchestergear.com/</t>
  </si>
  <si>
    <t xml:space="preserve">West Pharmaceutical Services</t>
  </si>
  <si>
    <t xml:space="preserve">https://www.thomassci.com/browse-by/suppliers/west-pharmaceutical-services</t>
  </si>
  <si>
    <t xml:space="preserve">https://westpharma.com</t>
  </si>
  <si>
    <t xml:space="preserve">Stopper, Butyl, Gray, 20mm</t>
  </si>
  <si>
    <t xml:space="preserve">adaptiQ® cup nest with TopLine vials</t>
  </si>
  <si>
    <t xml:space="preserve">PLASCAP® plastic vial cap</t>
  </si>
  <si>
    <t xml:space="preserve">1-800-345-9800</t>
  </si>
  <si>
    <t xml:space="preserve">https://www.westpharma.com/support/contact-us</t>
  </si>
  <si>
    <t xml:space="preserve">https://www.thomassci.com/browse-by/suppliers/west-pharmaceutical-services | https://www.westpharma.com/support/contact-us</t>
  </si>
  <si>
    <t xml:space="preserve">Wheaton</t>
  </si>
  <si>
    <t xml:space="preserve">https://www.dutscher.com/search?initialFilters=brand:Wheaton</t>
  </si>
  <si>
    <t xml:space="preserve">https://www.dutscher.com/search?initialFilters=brand:Wheaton | https://www.dwk.com/careers-europe | https://www.chromatographytoday.com/buyers-guide/profile/14925/dwk-life-sciences-gmbh | https://oneequity.com/portfolio/dwk-life-sciences | https://www.preqin.com/data/profile/asset/dwk-life-sciences-gmbh/226945 | https://rocketreach.co/dwk-life-sciences-profile_b455fd2cfc8bc717 | https://prospeo.io/c/dwk-life-sciences | https://www.reatorg.ru/eng/about/news/reatorg-distribyutor-dwk-duran-wheaton-kimble/ | https://www.chamber.org.il/37679/40433/52076/?id=86053 | https://www.danyel.co.il/scilabware/ | https://en.wikipedia.org/wiki/Duran_(glass) | https://www.dwk.com/na/distributors | https://www.dwk.com/na/contact-us</t>
  </si>
  <si>
    <t xml:space="preserve">Whirl-Pak®</t>
  </si>
  <si>
    <t xml:space="preserve">https://www.thomassci.com/browse-by/suppliers/whirl-pak</t>
  </si>
  <si>
    <t xml:space="preserve">https://whirl-pak.com</t>
  </si>
  <si>
    <t xml:space="preserve">Undosed Stand-Up Sample Bags</t>
  </si>
  <si>
    <t xml:space="preserve">Thio Sterilized Bags</t>
  </si>
  <si>
    <t xml:space="preserve">Hydrated PolySponge™ Bags</t>
  </si>
  <si>
    <t xml:space="preserve">+1 920.568.5616</t>
  </si>
  <si>
    <t xml:space="preserve">https://www.whirl-pak.com/contact-us/</t>
  </si>
  <si>
    <t xml:space="preserve">https://www.thomassci.com/browse-by/suppliers/whirl-pak | https://www.whirl-pak.com/contact-us/</t>
  </si>
  <si>
    <t xml:space="preserve">Wilburn Medical</t>
  </si>
  <si>
    <t xml:space="preserve">https://www.thomassci.com/browse-by/suppliers/wilburn-medical</t>
  </si>
  <si>
    <t xml:space="preserve">https://www.quartzy.com/suppliers | https://www.thomassci.com/browse-by/suppliers/wilburn-medical</t>
  </si>
  <si>
    <t xml:space="preserve">Wilson Wolf Manufacturing</t>
  </si>
  <si>
    <t xml:space="preserve">https://www.thomassci.com/browse-by/suppliers/wilson-wolf-manufacturing</t>
  </si>
  <si>
    <t xml:space="preserve">https://wilsonwolf.com</t>
  </si>
  <si>
    <t xml:space="preserve">G-Rex®6 Well Plate</t>
  </si>
  <si>
    <t xml:space="preserve">G-Rex®6M Well Plate</t>
  </si>
  <si>
    <t xml:space="preserve">G-Rex®10M Open System, Research Use Only</t>
  </si>
  <si>
    <t xml:space="preserve">Wisconsin Aluminum Foundry</t>
  </si>
  <si>
    <t xml:space="preserve">https://www.thomassci.com/browse-by/suppliers/wisconsin-aluminum-foundry</t>
  </si>
  <si>
    <t xml:space="preserve">ALL AMERICAN® 1941X 41 Quart Non-Electric Sterilizer</t>
  </si>
  <si>
    <t xml:space="preserve">ALL AMERICAN® 75X 41 Quart Electric Sterilizer</t>
  </si>
  <si>
    <t xml:space="preserve">ALL AMERICAN® 50X 25 Quart Electric Sterilizer</t>
  </si>
  <si>
    <t xml:space="preserve">WLD-Tec</t>
  </si>
  <si>
    <t xml:space="preserve">https://www.dutscher.com/search?initialFilters=brand:WLD-Tec</t>
  </si>
  <si>
    <t xml:space="preserve">https://www.thomassci.com/browse-by/suppliers/wld-tec</t>
  </si>
  <si>
    <t xml:space="preserve">Fuego SCS pro</t>
  </si>
  <si>
    <t xml:space="preserve">Safety Adapter</t>
  </si>
  <si>
    <t xml:space="preserve">Gasprofi Laboratory Gas Burner Accessories</t>
  </si>
  <si>
    <t xml:space="preserve">No result mentioned WLD-TEC; the similar-named WITec (microscopes) appointed ATSL as Israeli distributor in 2012, which is a different company.</t>
  </si>
  <si>
    <t xml:space="preserve">https://www.dutscher.com/search?initialFilters=brand:WLD-Tec | https://www.thomassci.com/browse-by/suppliers/wld-tec</t>
  </si>
  <si>
    <t xml:space="preserve">Workrite Uniform Company</t>
  </si>
  <si>
    <t xml:space="preserve">https://www.thomassci.com/browse-by/suppliers/workrite-uniform-company</t>
  </si>
  <si>
    <t xml:space="preserve">Worldwide Glass Resources</t>
  </si>
  <si>
    <t xml:space="preserve">https://www.thomassci.com/browse-by/suppliers/worldwide-glass-resources</t>
  </si>
  <si>
    <t xml:space="preserve">https://wwglassresource.com</t>
  </si>
  <si>
    <t xml:space="preserve">Limited Volume Vial Inserts</t>
  </si>
  <si>
    <t xml:space="preserve">Headspace Vials</t>
  </si>
  <si>
    <t xml:space="preserve">Microwave Vial</t>
  </si>
  <si>
    <t xml:space="preserve">Worthington Biochemical</t>
  </si>
  <si>
    <t xml:space="preserve">https://worthington-biochem.com</t>
  </si>
  <si>
    <t xml:space="preserve">1.800.445.9603</t>
  </si>
  <si>
    <t xml:space="preserve">https://www.worthington-biochem.com/</t>
  </si>
  <si>
    <t xml:space="preserve">https://www.quartzy.com/suppliers | https://www.worthington-biochem.com/ | https://www.enco.co.il/about.php</t>
  </si>
  <si>
    <t xml:space="preserve">WPI</t>
  </si>
  <si>
    <t xml:space="preserve">https://www.dutscher.com/search?initialFilters=brand:WPI</t>
  </si>
  <si>
    <t xml:space="preserve">MicroFil needle non-metallic gauge 34G</t>
  </si>
  <si>
    <t xml:space="preserve">Stainless steel clamp</t>
  </si>
  <si>
    <t xml:space="preserve">Dissection Kit, model E</t>
  </si>
  <si>
    <t xml:space="preserve">https://www.dutscher.com/search?initialFilters=brand:WPI | https://nbtltd.com/products-page</t>
  </si>
  <si>
    <t xml:space="preserve">WTW</t>
  </si>
  <si>
    <t xml:space="preserve">https://www.thomassci.com/browse-by/suppliers/wtw</t>
  </si>
  <si>
    <t xml:space="preserve">https://wtwco.com</t>
  </si>
  <si>
    <t xml:space="preserve">SenTix® pH Electrodes</t>
  </si>
  <si>
    <t xml:space="preserve">Electrodes and Accessories for Inolab Benchtop pH Meters</t>
  </si>
  <si>
    <t xml:space="preserve">ProfiLine Single-parameter Portable Conductivity Meter Series</t>
  </si>
  <si>
    <t xml:space="preserve">https://www.thomassci.com/browse-by/suppliers/wtw | https://www.bdl.co.il/Search.aspx?Category=Chemistry&amp;FCD=1</t>
  </si>
  <si>
    <t xml:space="preserve">X-treme Series</t>
  </si>
  <si>
    <t xml:space="preserve">https://www.thomassci.com/browse-by/suppliers/x-treme-series</t>
  </si>
  <si>
    <t xml:space="preserve">https://x-tremeseries.com</t>
  </si>
  <si>
    <t xml:space="preserve">Xtreme Series Boilproof Microtubes</t>
  </si>
  <si>
    <t xml:space="preserve">Xtreme Series Low Retention Microtubes</t>
  </si>
  <si>
    <t xml:space="preserve">Xtreme Series Silicone Sealing Mats</t>
  </si>
  <si>
    <t xml:space="preserve">+15127047309</t>
  </si>
  <si>
    <t xml:space="preserve">info@x-tremeseries.com</t>
  </si>
  <si>
    <t xml:space="preserve">https://www.x-tremeseries.com/contact/</t>
  </si>
  <si>
    <t xml:space="preserve">https://www.thomassci.com/browse-by/suppliers/x-treme-series | https://www.x-tremeseries.com/contact/</t>
  </si>
  <si>
    <t xml:space="preserve">Xenosep Technologies</t>
  </si>
  <si>
    <t xml:space="preserve">https://www.thomassci.com/browse-by/suppliers/xenosep-technologies</t>
  </si>
  <si>
    <t xml:space="preserve">ValuSep® Aluminum Pans</t>
  </si>
  <si>
    <t xml:space="preserve">Xenomax® Pre-Weighed TSS Filters</t>
  </si>
  <si>
    <t xml:space="preserve">Xenomax® 1664A Solid Phase Extraction Filters</t>
  </si>
  <si>
    <t xml:space="preserve">XRF Scientific Americas Inc.</t>
  </si>
  <si>
    <t xml:space="preserve">https://www.thomassci.com/browse-by/suppliers/xrf-scientific-americas-inc-</t>
  </si>
  <si>
    <t xml:space="preserve">Standard Shape Platinum Crucibles</t>
  </si>
  <si>
    <t xml:space="preserve">Zirconium Low Form Crucibles</t>
  </si>
  <si>
    <t xml:space="preserve">XtraClean® (a Thomas Scientific Brand)</t>
  </si>
  <si>
    <t xml:space="preserve">https://www.thomassci.com/browse-by/suppliers/xtraclean-a-thomas-scientific-brand</t>
  </si>
  <si>
    <t xml:space="preserve">Polypropylene, Non-Skid Shoe Covers</t>
  </si>
  <si>
    <t xml:space="preserve">XC6010 Disposable Frocks</t>
  </si>
  <si>
    <t xml:space="preserve">Xylem</t>
  </si>
  <si>
    <t xml:space="preserve">https://www.dutscher.com/search?initialFilters=brand:Xylem</t>
  </si>
  <si>
    <t xml:space="preserve">https://xylem.com</t>
  </si>
  <si>
    <t xml:space="preserve">HALF ELECTRODE MEASURING AG1100 S7 HEAD LENGTH 120mm</t>
  </si>
  <si>
    <t xml:space="preserve">TL5000 TITRATOR COMMISSIONING</t>
  </si>
  <si>
    <t xml:space="preserve">NS14.5 PTFE ADAPTER FOR ELECTRODE WITH 12mm ROD</t>
  </si>
  <si>
    <t xml:space="preserve">https://www.dutscher.com/search?initialFilters=brand:Xylem | https://www.xylem.com/en-us/contact-us/</t>
  </si>
  <si>
    <t xml:space="preserve">Yamato</t>
  </si>
  <si>
    <t xml:space="preserve">https://www.thomassci.com/browse-by/suppliers/yamato</t>
  </si>
  <si>
    <t xml:space="preserve">https://www.yamato-scientific.com</t>
  </si>
  <si>
    <t xml:space="preserve">Tokyo (Chuo-ku, Nihonbashi)</t>
  </si>
  <si>
    <t xml:space="preserve">JPY 43.66 billion</t>
  </si>
  <si>
    <t xml:space="preserve">FY2025 (ended Sep 2025)</t>
  </si>
  <si>
    <t xml:space="preserve">DKN / DKM constant temperature ovens</t>
  </si>
  <si>
    <t xml:space="preserve">SM / SQ series autoclaves</t>
  </si>
  <si>
    <t xml:space="preserve">Auto Pure WL series</t>
  </si>
  <si>
    <t xml:space="preserve">S.L. Moran Ltd.: +972 74-702-9898</t>
  </si>
  <si>
    <r>
      <rPr>
        <sz val="11"/>
        <color theme="1"/>
        <rFont val="FreeSans"/>
        <family val="2"/>
      </rPr>
      <t xml:space="preserve">חיפוש רשת בלבד</t>
    </r>
    <r>
      <rPr>
        <sz val="11"/>
        <color theme="1"/>
        <rFont val="Calibri"/>
        <family val="2"/>
        <charset val="1"/>
      </rPr>
      <t xml:space="preserve">; </t>
    </r>
    <r>
      <rPr>
        <sz val="11"/>
        <color theme="1"/>
        <rFont val="FreeSans"/>
        <family val="2"/>
      </rPr>
      <t xml:space="preserve">דפי ״מפיצים״ של היצרן ואתרי המפיצים לא נפתחו </t>
    </r>
    <r>
      <rPr>
        <sz val="11"/>
        <color theme="1"/>
        <rFont val="Calibri"/>
        <family val="2"/>
        <charset val="1"/>
      </rPr>
      <t xml:space="preserve">(</t>
    </r>
    <r>
      <rPr>
        <sz val="11"/>
        <color theme="1"/>
        <rFont val="FreeSans"/>
        <family val="2"/>
      </rPr>
      <t xml:space="preserve">חסימת רשת</t>
    </r>
    <r>
      <rPr>
        <sz val="11"/>
        <color theme="1"/>
        <rFont val="Calibri"/>
        <family val="2"/>
        <charset val="1"/>
      </rPr>
      <t xml:space="preserve">). [</t>
    </r>
    <r>
      <rPr>
        <sz val="11"/>
        <color theme="1"/>
        <rFont val="FreeSans"/>
        <family val="2"/>
      </rPr>
      <t xml:space="preserve">אימות עדכניות </t>
    </r>
    <r>
      <rPr>
        <sz val="11"/>
        <color theme="1"/>
        <rFont val="Calibri"/>
        <family val="2"/>
        <charset val="1"/>
      </rPr>
      <t xml:space="preserve">10/2026] Re-checked on 2026-10-15: a search restricted to Yamato's own domains again returned only the global partners page (yamato-scientific.com/global/) naming S.L. Moran Ltd (Shatner Center bldg 7, Givat Shaul, Jerusalem, +972-74-7029898) as the Israel sales representative, and the search tool again flagged the page as roughly eight years old (c. 2018). A search restricted to slmoran.co.il returned only a 2019/2020 Van der Heijden catalogue and no Yamato content, and a general English/Hebrew search found no Israeli distributor (Agentek appeared only as an unrelated generic hit). The listing therefore rests on a dated page and could not be confirmed as current. A search restricted to Yamato's own domains returned its global partners page (yamato-scientific.com/global/), whose snippet lists S.L. Moran Ltd, Shatner Center building 7, Givat Shaul, Jerusalem, with a +972 phone number as the Israel representative; the search tool flagged the page as roughly 3,000 days old, so the listing may be stale. A follow-up search restricted to slmoran.co.il returned no Yamato content (only a Van der Heijden catalogue and the about page), and a .co.il-wide search found only a BioFindly directory entry describing Yamato without naming an Israeli agent. S.L. Moran is an active Israeli lab-equipment importer (it hosts 2025 Huber material), so the listing is plausible but unconfirmed from the distributor side.</t>
    </r>
  </si>
  <si>
    <t xml:space="preserve">+81 3-5548-7101</t>
  </si>
  <si>
    <t xml:space="preserve">Harumi Triton Square Office Tower Y (36F), 1-8-11 Harumi, Chuo-ku, Tokyo 104-6136, Japan</t>
  </si>
  <si>
    <t xml:space="preserve">https://www.yamato-scientific.com/support/inquiry/</t>
  </si>
  <si>
    <t xml:space="preserve">https://www.yamato-scientific.com/company/outline/</t>
  </si>
  <si>
    <t xml:space="preserve">https://www.thomassci.com/browse-by/suppliers/yamato | https://app.dealroom.co/companies/yamato_scientific | https://www.bioprocessonline.com/doc/yamato-scientific-0001 | https://www.pharmaceutical-tech.com/suppliers/yamato-scientific-america-inc | https://parkesscientific.com/m/yamato-scientific | https://agentek.co.il/?p=2540 | https://www.yamato-scientific.com/global/ | https://www.yamato-scientific.com/company/location/ | https://slmoran.co.il/about/ | https://biofindly.co.il/distributor-category/analytical-chemistry/ | https://www.yamato-usa.com/global-presence | https://slmoran.co.il/wp-content/uploads/2019/12/2020-VDH-Catalog.pdf | https://hrmos.co/pages/yamato-net/jobs/01_01_201 | https://doda.jp/DodaFront/View/JobSearchDetail/j_jid__3015613735/ | https://employment.en-japan.com/comp-134709/ | https://www.yamato-scientific.com/support/inquiry/</t>
  </si>
  <si>
    <t xml:space="preserve">Yamato Scientific America</t>
  </si>
  <si>
    <t xml:space="preserve">https://www.quartzy.com/suppliers | https://app.dealroom.co/companies/yamato_scientific | https://www.bioprocessonline.com/doc/yamato-scientific-0001 | https://www.pharmaceutical-tech.com/suppliers/yamato-scientific-america-inc | https://parkesscientific.com/m/yamato-scientific | https://agentek.co.il/?p=2540 | https://www.yamato-scientific.com/global/ | https://www.yamato-scientific.com/company/location/ | https://slmoran.co.il/about/ | https://biofindly.co.il/distributor-category/analytical-chemistry/ | https://www.yamato-usa.com/global-presence | https://slmoran.co.il/wp-content/uploads/2019/12/2020-VDH-Catalog.pdf | https://hrmos.co/pages/yamato-net/jobs/01_01_201 | https://doda.jp/DodaFront/View/JobSearchDetail/j_jid__3015613735/ | https://employment.en-japan.com/comp-134709/ | https://www.yamato-scientific.com/support/inquiry/</t>
  </si>
  <si>
    <t xml:space="preserve">YMC</t>
  </si>
  <si>
    <t xml:space="preserve">https://www.thomassci.com/browse-by/suppliers/ymc</t>
  </si>
  <si>
    <t xml:space="preserve">YMC HPLC ODS-A Reversed-Phase C18 Column</t>
  </si>
  <si>
    <t xml:space="preserve">YMC HPLC Pro C18 Reversed-Phase Column</t>
  </si>
  <si>
    <t xml:space="preserve">YMC HPLC C4 (Butyl) Reversed-Phase Column</t>
  </si>
  <si>
    <t xml:space="preserve">YSI</t>
  </si>
  <si>
    <t xml:space="preserve">https://www.thomassci.com/browse-by/suppliers/ysi</t>
  </si>
  <si>
    <t xml:space="preserve">https://ysi.com</t>
  </si>
  <si>
    <t xml:space="preserve">ProOBOD® Optical BOD Probe</t>
  </si>
  <si>
    <t xml:space="preserve">EcoSense EC300A Conductivity/Temperature Meters</t>
  </si>
  <si>
    <t xml:space="preserve">TruLab 1110 pH/mV Benchtop Meters</t>
  </si>
  <si>
    <t xml:space="preserve">19376884255</t>
  </si>
  <si>
    <t xml:space="preserve">https://ysi.com/contact-us</t>
  </si>
  <si>
    <t xml:space="preserve">https://www.thomassci.com/browse-by/suppliers/ysi | https://ysi.com/contact-us</t>
  </si>
  <si>
    <t xml:space="preserve">Yukon Medical</t>
  </si>
  <si>
    <t xml:space="preserve">https://www.thomassci.com/browse-by/suppliers/yukon-medical</t>
  </si>
  <si>
    <t xml:space="preserve">https://yukonmedical.com</t>
  </si>
  <si>
    <t xml:space="preserve">19195958250</t>
  </si>
  <si>
    <t xml:space="preserve">sales@yukonmedical.com</t>
  </si>
  <si>
    <t xml:space="preserve">https://yukonmedical.com/contact-us/</t>
  </si>
  <si>
    <t xml:space="preserve">https://www.thomassci.com/browse-by/suppliers/yukon-medical | https://yukonmedical.com/contact-us/</t>
  </si>
  <si>
    <t xml:space="preserve">Zep</t>
  </si>
  <si>
    <t xml:space="preserve">https://www.thomassci.com/browse-by/suppliers/zep</t>
  </si>
  <si>
    <t xml:space="preserve">https://www.zep.com</t>
  </si>
  <si>
    <t xml:space="preserve">(877)-428-9937</t>
  </si>
  <si>
    <t xml:space="preserve">info@cyclect.com.sg</t>
  </si>
  <si>
    <t xml:space="preserve">https://zep.com/pages/contact</t>
  </si>
  <si>
    <t xml:space="preserve">https://www.thomassci.com/browse-by/suppliers/zep | https://zep.com/pages/contact</t>
  </si>
  <si>
    <t xml:space="preserve">ZeptoMetrix</t>
  </si>
  <si>
    <t xml:space="preserve">https://www.thomassci.com/browse-by/suppliers/zeptometrix</t>
  </si>
  <si>
    <t xml:space="preserve">https://zeptometrix.com</t>
  </si>
  <si>
    <t xml:space="preserve">NATtrol Tropical Fever Verification Panel (9 x 0.3mL, 3 x 1.0mL)</t>
  </si>
  <si>
    <t xml:space="preserve">NATtrol™ Global Fever Panel</t>
  </si>
  <si>
    <t xml:space="preserve">HBV Seroconversion Panel Donor# 65584 (8 X 1 mL)</t>
  </si>
  <si>
    <t xml:space="preserve">https://www.thomassci.com/browse-by/suppliers/zeptometrix | https://www.zeptometrix.com/us/en/contact</t>
  </si>
  <si>
    <t xml:space="preserve">Zhejiang Fangye BioTech</t>
  </si>
  <si>
    <t xml:space="preserve">https://www.thomassci.com/browse-by/suppliers/zhejiang-fangye-biotech</t>
  </si>
  <si>
    <t xml:space="preserve">ZOLL</t>
  </si>
  <si>
    <t xml:space="preserve">https://www.thomassci.com/browse-by/suppliers/zoll</t>
  </si>
  <si>
    <t xml:space="preserve">https://www.zoll.com</t>
  </si>
  <si>
    <t xml:space="preserve">9784219655</t>
  </si>
  <si>
    <t xml:space="preserve">https://www.zoll.com/en-us/about/newsroom</t>
  </si>
  <si>
    <t xml:space="preserve">https://www.thomassci.com/browse-by/suppliers/zoll | https://www.zoll.com/en-us/about/newsroom</t>
  </si>
  <si>
    <t xml:space="preserve">Zwiebel</t>
  </si>
  <si>
    <t xml:space="preserve">https://www.dutscher.com/search?initialFilters=brand:Zwiebel</t>
  </si>
  <si>
    <t xml:space="preserve">https://www.zwiebel.fr</t>
  </si>
  <si>
    <t xml:space="preserve">Anti-vibration benchtop, W x D x H = 550 x 450 x 65 mm</t>
  </si>
  <si>
    <t xml:space="preserve">Anti-vibration bench, W x D x H = 700 x 600 x 750 mm</t>
  </si>
  <si>
    <t xml:space="preserve">COFRAC calibration for E1 weight (stainless steel only) - to be ordered in addition to the weight</t>
  </si>
  <si>
    <t xml:space="preserve">https://www.zwiebel.fr/contact/</t>
  </si>
  <si>
    <t xml:space="preserve">https://www.dutscher.com/search?initialFilters=brand:Zwiebel | https://www.zwiebel.fr/contact/</t>
  </si>
  <si>
    <t xml:space="preserve">Zymo Research Corporation</t>
  </si>
  <si>
    <t xml:space="preserve">https://www.thomassci.com/browse-by/suppliers/zymo-research-corporation</t>
  </si>
  <si>
    <t xml:space="preserve">Zymo-Spin I Columns</t>
  </si>
  <si>
    <t xml:space="preserve">ZymoPURE II Plasmid Midiprep Kits</t>
  </si>
  <si>
    <t xml:space="preserve">RNA Clean &amp; Concentrator-5 Kits</t>
  </si>
  <si>
    <t xml:space="preserve">Only global-network claims, a 2017 VWR North America deal and a Seegene listing; no Israeli distributor named.</t>
  </si>
  <si>
    <t xml:space="preserve">https://www.quartzy.com/suppliers | https://www.thomassci.com/browse-by/suppliers/zymo-research-corporation | https://www.zotal.co.il/brands/</t>
  </si>
  <si>
    <r>
      <rPr>
        <b val="true"/>
        <sz val="11"/>
        <color rgb="FFFFFFFF"/>
        <rFont val="Cambria"/>
        <family val="0"/>
        <charset val="1"/>
      </rPr>
      <t xml:space="preserve"># </t>
    </r>
    <r>
      <rPr>
        <b val="true"/>
        <sz val="11"/>
        <color rgb="FFFFFFFF"/>
        <rFont val="FreeSans"/>
        <family val="2"/>
      </rPr>
      <t xml:space="preserve">ספק</t>
    </r>
  </si>
  <si>
    <t xml:space="preserve">נציג בישראל</t>
  </si>
  <si>
    <t xml:space="preserve">שם בעברית</t>
  </si>
  <si>
    <t xml:space="preserve">סוג</t>
  </si>
  <si>
    <t xml:space="preserve">סטטוס</t>
  </si>
  <si>
    <t xml:space="preserve">בסיס ההתאמה</t>
  </si>
  <si>
    <t xml:space="preserve">ביטחון</t>
  </si>
  <si>
    <r>
      <rPr>
        <sz val="11"/>
        <color theme="1"/>
        <rFont val="Calibri"/>
        <family val="2"/>
        <charset val="1"/>
      </rPr>
      <t xml:space="preserve">3M </t>
    </r>
    <r>
      <rPr>
        <sz val="11"/>
        <color theme="1"/>
        <rFont val="FreeSans"/>
        <family val="2"/>
      </rPr>
      <t xml:space="preserve">ישראל</t>
    </r>
  </si>
  <si>
    <r>
      <rPr>
        <sz val="11"/>
        <color theme="1"/>
        <rFont val="FreeSans"/>
        <family val="2"/>
      </rPr>
      <t xml:space="preserve">חברה</t>
    </r>
    <r>
      <rPr>
        <sz val="11"/>
        <color theme="1"/>
        <rFont val="Calibri"/>
        <family val="2"/>
        <charset val="1"/>
      </rPr>
      <t xml:space="preserve">-</t>
    </r>
    <r>
      <rPr>
        <sz val="11"/>
        <color theme="1"/>
        <rFont val="FreeSans"/>
        <family val="2"/>
      </rPr>
      <t xml:space="preserve">בת</t>
    </r>
  </si>
  <si>
    <t xml:space="preserve">3M's Israeli subsidiary: customer innovation center opened in Herzliya (Dec 2015), R&amp;D center announced for Israel (2014), ~200 staff reported in 2014; a company directory (startupim) lists its office at HaTidhar St 4, Ra'anana</t>
  </si>
  <si>
    <t xml:space="preserve">ראיה ישנה</t>
  </si>
  <si>
    <t xml:space="preserve">manufacturer_or_press</t>
  </si>
  <si>
    <t xml:space="preserve">search</t>
  </si>
  <si>
    <t xml:space="preserve">https://nocamels.com/2015/12/3m-opens-customer-innovation-center-in-israel/</t>
  </si>
  <si>
    <t xml:space="preserve">תמר ציוד מעבדה</t>
  </si>
  <si>
    <t xml:space="preserve">מפיץ</t>
  </si>
  <si>
    <t xml:space="preserve">listed as a brand on the distributor's site</t>
  </si>
  <si>
    <t xml:space="preserve">https://www.tamar.co.il</t>
  </si>
  <si>
    <t xml:space="preserve">+972 2-533-6070 (also 02-579-9777)</t>
  </si>
  <si>
    <t xml:space="preserve">mail@tamar.co.il</t>
  </si>
  <si>
    <t xml:space="preserve">HaAla St., Mevaseret Zion 90805</t>
  </si>
  <si>
    <t xml:space="preserve">עדכני</t>
  </si>
  <si>
    <t xml:space="preserve">distributor_site_sweep</t>
  </si>
  <si>
    <t xml:space="preserve">exact</t>
  </si>
  <si>
    <t xml:space="preserve">https://www.tamar.co.il/represented-companies/</t>
  </si>
  <si>
    <t xml:space="preserve">דורון סיינטיפיק</t>
  </si>
  <si>
    <t xml:space="preserve">https://www.doronscientific.com/</t>
  </si>
  <si>
    <t xml:space="preserve">054-5544004</t>
  </si>
  <si>
    <t xml:space="preserve">info@doronscientific.com</t>
  </si>
  <si>
    <t xml:space="preserve">https://doronscientific.com/products/</t>
  </si>
  <si>
    <t xml:space="preserve">זוטל</t>
  </si>
  <si>
    <t xml:space="preserve">https://www.zotal.co.il</t>
  </si>
  <si>
    <t xml:space="preserve">+972 3-649-2444</t>
  </si>
  <si>
    <t xml:space="preserve">sales@zotal.co.il</t>
  </si>
  <si>
    <t xml:space="preserve">4 Habarzel St., Tel Aviv 6971008</t>
  </si>
  <si>
    <t xml:space="preserve">https://www.zotal.co.il/brands/</t>
  </si>
  <si>
    <t xml:space="preserve">אנקו</t>
  </si>
  <si>
    <t xml:space="preserve">https://www.enco.co.il/</t>
  </si>
  <si>
    <t xml:space="preserve">+972-3-934-9922</t>
  </si>
  <si>
    <t xml:space="preserve">orders@enco.co.il</t>
  </si>
  <si>
    <t xml:space="preserve">17 Mivtza Kadesh St, P.O.B. 8009, Petach Tikva 4918001</t>
  </si>
  <si>
    <t xml:space="preserve">https://www.enco.co.il/suppliers.php</t>
  </si>
  <si>
    <t xml:space="preserve">תעשיות בית העמק</t>
  </si>
  <si>
    <t xml:space="preserve">https://www.bemek.co.il</t>
  </si>
  <si>
    <t xml:space="preserve">+972 4-868-9015</t>
  </si>
  <si>
    <t xml:space="preserve">info@bemek.co.il</t>
  </si>
  <si>
    <t xml:space="preserve">Kibbutz Beit HaEmek</t>
  </si>
  <si>
    <t xml:space="preserve">https://www.bemek.co.il/about-us/</t>
  </si>
  <si>
    <t xml:space="preserve">https://www.bemek.co.il/</t>
  </si>
  <si>
    <t xml:space="preserve">טיבן ביוטק</t>
  </si>
  <si>
    <t xml:space="preserve">https://www.tivanbiotech.com/</t>
  </si>
  <si>
    <t xml:space="preserve">077-4701591</t>
  </si>
  <si>
    <t xml:space="preserve">customerservice@tivanbiotech.com</t>
  </si>
  <si>
    <t xml:space="preserve">https://tivanbiotech.com/manufacturers</t>
  </si>
  <si>
    <t xml:space="preserve">אלדן</t>
  </si>
  <si>
    <t xml:space="preserve">Agilent authorised distributor for Israel (chromatography, spectroscopy, mass spectrometry, lab products, cell analysis); Petach Tikva, tel. +972-3-9371111, info@eldan.biz, per Agilent's live Israel contact page</t>
  </si>
  <si>
    <t xml:space="preserve">https://www.eldan.biz</t>
  </si>
  <si>
    <t xml:space="preserve">+972-3-937-1111</t>
  </si>
  <si>
    <t xml:space="preserve">info@eldan.biz</t>
  </si>
  <si>
    <t xml:space="preserve">6 Hashiloach Street, P.O. Box 7641, Petach Tikva 49170</t>
  </si>
  <si>
    <t xml:space="preserve">prior_research</t>
  </si>
  <si>
    <t xml:space="preserve">https://www.agilent.com/en/contact-us/israel</t>
  </si>
  <si>
    <t xml:space="preserve">לומיטרון</t>
  </si>
  <si>
    <t xml:space="preserve">https://www.lumitron.co.il</t>
  </si>
  <si>
    <t xml:space="preserve">+972 52-525-6287</t>
  </si>
  <si>
    <t xml:space="preserve">lumitron@lumitron.co.il</t>
  </si>
  <si>
    <t xml:space="preserve">17 Hamiflasim St., Petah Tikva</t>
  </si>
  <si>
    <t xml:space="preserve">contained</t>
  </si>
  <si>
    <t xml:space="preserve">https://www.lumitron.co.il/</t>
  </si>
  <si>
    <t xml:space="preserve">Lifegene</t>
  </si>
  <si>
    <t xml:space="preserve">Biometra thermal cyclers (TAdvanced, TOne, TRobot II) described on Lifegene's live pages as premium PCR instruments from Analytik Jena</t>
  </si>
  <si>
    <t xml:space="preserve">https://www.lifegene.co.il</t>
  </si>
  <si>
    <t xml:space="preserve">+972 8-644-4314</t>
  </si>
  <si>
    <t xml:space="preserve">info@lifegene.co.il</t>
  </si>
  <si>
    <t xml:space="preserve">4 Ha'maayan St., Modi'in 7171101 (directory lists Modi'in; other sources say Mevo Horon – verify)</t>
  </si>
  <si>
    <t xml:space="preserve">https://www.lifegene.co.il/biometra_tadvanced_pcr</t>
  </si>
  <si>
    <t xml:space="preserve">Tamar Laboratory Supplies</t>
  </si>
  <si>
    <t xml:space="preserve">qTOWER³ real-time PCR thermal cycler (live product page) and 'PCR instruments from Biometra' (live project page)</t>
  </si>
  <si>
    <t xml:space="preserve">https://tamar.co.il</t>
  </si>
  <si>
    <t xml:space="preserve">https://tamar.co.il/qtower%C2%B3</t>
  </si>
  <si>
    <t xml:space="preserve">Lumitron</t>
  </si>
  <si>
    <t xml:space="preserve">UVP bio-imaging systems - Lumitron's live About page describes UVP as a part of Analytik Jena</t>
  </si>
  <si>
    <t xml:space="preserve">https://www.lumitron.co.il/about-us/</t>
  </si>
  <si>
    <t xml:space="preserve">פריים לאב</t>
  </si>
  <si>
    <t xml:space="preserve">Anton Paar instruments (rheometers, density meters, SAXS) listed on Prime Lab's live home page (page about 2.6 years old per the search index); import, installation, IQ/OQ/PQ, calibration and after-sales service per the distributor; not listed on anton-paar.com in snippets</t>
  </si>
  <si>
    <t xml:space="preserve">https://primelab.co.il</t>
  </si>
  <si>
    <t xml:space="preserve">https://primelab.co.il/</t>
  </si>
  <si>
    <t xml:space="preserve">אורנת</t>
  </si>
  <si>
    <t xml:space="preserve">https://www.ornat.co.il/</t>
  </si>
  <si>
    <t xml:space="preserve">+972-8-9477077</t>
  </si>
  <si>
    <t xml:space="preserve">ornatbio@ornat.co.il</t>
  </si>
  <si>
    <t xml:space="preserve">19 Horvitz Eli St., Rehovot 7608802</t>
  </si>
  <si>
    <t xml:space="preserve">https://ornat.co.il/our-partners-reagents/</t>
  </si>
  <si>
    <t xml:space="preserve">יאיר טכנולוגיות</t>
  </si>
  <si>
    <t xml:space="preserve">https://www.yairtech.co.il/</t>
  </si>
  <si>
    <t xml:space="preserve">+97288544856</t>
  </si>
  <si>
    <t xml:space="preserve">contact@yairtech.co.il</t>
  </si>
  <si>
    <t xml:space="preserve">https://www.yairtech.co.il/partners/</t>
  </si>
  <si>
    <t xml:space="preserve">HyLabs (Hy Laboratories Ltd.)</t>
  </si>
  <si>
    <t xml:space="preserve">Azenta Life Sciences (formerly GENEWIZ) genomics services - gene synthesis, cloning, gene fragments (gBlock-type), oligo pools, site-directed mutagenesis, plasmid preparation - offered to Israeli research and clinical customers on HyLabs' live 'AZENTA - GENOMICS SERVICES' / 'AZENTA (GENEWIZ)' pages</t>
  </si>
  <si>
    <t xml:space="preserve">https://www.hylabs.co.il</t>
  </si>
  <si>
    <t xml:space="preserve">+972-8-936-6475</t>
  </si>
  <si>
    <t xml:space="preserve">8 Prof. Menakhem Plaut St., Rehovot (Prospeo lists 6 Plaut St., Rehovot 7670606)</t>
  </si>
  <si>
    <t xml:space="preserve">https://www.hylabs.co.il/services/genewiz-genomics-services/</t>
  </si>
  <si>
    <t xml:space="preserve">תמר ציוד מעבדתי</t>
  </si>
  <si>
    <t xml:space="preserve">4titude (Azenta Life Sciences, UK) PCR/qPCR/sequencing plates, tubes, seals and benchtop sealers - listed on Tamar's live 'Represented companies' page and its automatic roll heat sealer page; the FluidX tube-capping line recorded earlier did not surface in this round's snippets</t>
  </si>
  <si>
    <t xml:space="preserve">Augusta Life Sciences Israel Ltd. (Waters subsidiary, ex-BD Biosciences &amp; Diagnostic Solutions)</t>
  </si>
  <si>
    <t xml:space="preserve">Israeli entity of the acquired BD Biosciences &amp; Diagnostic Solutions business (flow cytometry, BD MAX, BACTEC, Phoenix), listed by Waters among SpinCo entities wholly owned since 9 Feb 2026; Harduf HaNehalim St 2, Caesarea - the Feb-2026 Waters legal page remains the source (not re-surfaced by this round's search)</t>
  </si>
  <si>
    <t xml:space="preserve">https://www.waters.com/nextgen/us/en/about-waters/corporate-governance/legal-and-privacy-notices/bdtransaction.html</t>
  </si>
  <si>
    <t xml:space="preserve">BD Israel (Becton Dickinson)</t>
  </si>
  <si>
    <t xml:space="preserve">BD's own Israeli commercial arm (direct entity since 2017, now within BD's Central European commercial organisation) covering Life Science (BDB/IDS) and Medical units per jobs.bd.com, plus the BD Caesarea infusion-pump plant (ex-Caesarea Medical Electronics); c. 400 associates; Harduf HaNehalim St 2, Caesarea, BDBIsrael@bd.com per a 2026 directory; after the Feb-2026 separation the BDB/IDS lines belong to Waters</t>
  </si>
  <si>
    <t xml:space="preserve">https://www.bd.com/en-il</t>
  </si>
  <si>
    <t xml:space="preserve">Caesarea</t>
  </si>
  <si>
    <t xml:space="preserve">https://jobs.bd.com/location-israel</t>
  </si>
  <si>
    <t xml:space="preserve">Lapidot Group (Lapidot Medical)</t>
  </si>
  <si>
    <t xml:space="preserve">לפידות</t>
  </si>
  <si>
    <t xml:space="preserve">lists BD as a business partner ('global medical technology company'); product scope not stated - likely BD Medical lines, not confirmed for Biosciences/Diagnostics</t>
  </si>
  <si>
    <t xml:space="preserve">https://www.lapidot.com</t>
  </si>
  <si>
    <t xml:space="preserve">+972-4-6309630 / +972-74-7797836</t>
  </si>
  <si>
    <t xml:space="preserve">customerservice@lapidot.com</t>
  </si>
  <si>
    <t xml:space="preserve">8 Hashita St., P.O. Box 3552, Caesarea Industrial Park 3088900</t>
  </si>
  <si>
    <t xml:space="preserve">https://www.lapidot.com/en/partners/</t>
  </si>
  <si>
    <t xml:space="preserve">Rhenium Ltd.</t>
  </si>
  <si>
    <t xml:space="preserve">רניום</t>
  </si>
  <si>
    <t xml:space="preserve">Beckman Coulter Life Sciences distributor for Israel - 20 Hasatat St., P.O.B. 180, Modi'in 7171101, +972 8 955 8888, per Beckman Coulter Life Sciences' live Israel contact page</t>
  </si>
  <si>
    <t xml:space="preserve">https://www.rhenium.co.il</t>
  </si>
  <si>
    <t xml:space="preserve">+972 8-955-8888</t>
  </si>
  <si>
    <t xml:space="preserve">20 Hasatat St., P.O. Box 180, Modi'in 7171101</t>
  </si>
  <si>
    <t xml:space="preserve">https://www.beckman.com/contact-us/israel</t>
  </si>
  <si>
    <t xml:space="preserve">Beckman Coulter (Israel) Ltd.</t>
  </si>
  <si>
    <t xml:space="preserve">Beckman Coulter Diagnostics legal entity in Israel (2 Pekeris St., Park Tamar, Rehovot) listed under the BEC Diagnostics reporting group in Beckman Coulter's EU data-controller list; commercial role (direct diagnostics sales/service) not established</t>
  </si>
  <si>
    <t xml:space="preserve">חדש</t>
  </si>
  <si>
    <t xml:space="preserve">https://media.beckmancoulter.com/-/media/diagnostics/eu-assets/pdf/controller-list.pdf?rev=e10665d675ed4f24adf07082e61099f6&amp;hash=DF4541DC81268F0844822FB104DF7F66</t>
  </si>
  <si>
    <t xml:space="preserve">דניאל ביוטק</t>
  </si>
  <si>
    <t xml:space="preserve">https://www.danyel.co.il</t>
  </si>
  <si>
    <t xml:space="preserve">1-800-711-911 (also +972 8-936-6066)</t>
  </si>
  <si>
    <t xml:space="preserve">danyel@danyel.co.il</t>
  </si>
  <si>
    <t xml:space="preserve">8 Hamada St., Science Park, Rehovot 7670308</t>
  </si>
  <si>
    <t xml:space="preserve">https://www.danyel.co.il/contact-us/</t>
  </si>
  <si>
    <t xml:space="preserve">https://www.danyel.co.il/</t>
  </si>
  <si>
    <t xml:space="preserve">EX-LAB Ltd.</t>
  </si>
  <si>
    <r>
      <rPr>
        <sz val="11"/>
        <color theme="1"/>
        <rFont val="FreeSans"/>
        <family val="2"/>
      </rPr>
      <t xml:space="preserve">אקס</t>
    </r>
    <r>
      <rPr>
        <sz val="11"/>
        <color theme="1"/>
        <rFont val="Calibri"/>
        <family val="2"/>
        <charset val="1"/>
      </rPr>
      <t xml:space="preserve">-</t>
    </r>
    <r>
      <rPr>
        <sz val="11"/>
        <color theme="1"/>
        <rFont val="FreeSans"/>
        <family val="2"/>
      </rPr>
      <t xml:space="preserve">לאב</t>
    </r>
  </si>
  <si>
    <t xml:space="preserve">https://www.ex-lab.com/</t>
  </si>
  <si>
    <t xml:space="preserve">03-9214108</t>
  </si>
  <si>
    <t xml:space="preserve">info@ex-lab.com</t>
  </si>
  <si>
    <t xml:space="preserve">4 Nevatim St., Petah Tikva</t>
  </si>
  <si>
    <t xml:space="preserve">https://ex-lab.com/?taxonomy=product-category&amp;term=pharmaceutical-equipment-manufacturing-used-equipment</t>
  </si>
  <si>
    <t xml:space="preserve">לבוטל ציוד מדעי</t>
  </si>
  <si>
    <t xml:space="preserve">Binder incubators, drying ovens and climate/simulation chambers - Labotal's live 'Binder' represented-firm page (founded 1983 by Peter M. Binder), live 'Represented Firms' page and drying-systems category</t>
  </si>
  <si>
    <t xml:space="preserve">https://labotal.co.il</t>
  </si>
  <si>
    <t xml:space="preserve">+972 2-579-9222</t>
  </si>
  <si>
    <t xml:space="preserve">Sales@labotal.co.il</t>
  </si>
  <si>
    <t xml:space="preserve">Hashalom Rd., Abu Ghosh 9084500 (mail: Mevaseret Zion)</t>
  </si>
  <si>
    <t xml:space="preserve">https://labotal.co.il/contact/</t>
  </si>
  <si>
    <t xml:space="preserve">https://labotal.co.il/firms/binder/?lang=en</t>
  </si>
  <si>
    <t xml:space="preserve">סינתזה ביוסיינס</t>
  </si>
  <si>
    <t xml:space="preserve">Syntezza's About page lists the custom genes and peptides of BioBasic among its product lines; its ISO compliance document (2020) lists Bio Basic Inc. (Markham, Ontario) as a manufacturing partner for products supplied in Israel; Syntezza's scientist.com profile calls it the exclusive distributor in Israel of BioBasic for genes. Address: 17 Hartom Street, Har Hotzvim, Jerusalem.</t>
  </si>
  <si>
    <t xml:space="preserve">https://www.syntezza.com</t>
  </si>
  <si>
    <t xml:space="preserve">17 Hartom St., Har Hotzvim, Jerusalem</t>
  </si>
  <si>
    <t xml:space="preserve">https://www.syntezza.com/about/</t>
  </si>
  <si>
    <t xml:space="preserve">Bio-Rad Israel Ltd. (Bio-Rad Laboratories (Rishon))</t>
  </si>
  <si>
    <r>
      <rPr>
        <sz val="11"/>
        <color theme="1"/>
        <rFont val="FreeSans"/>
        <family val="2"/>
      </rPr>
      <t xml:space="preserve">ביו</t>
    </r>
    <r>
      <rPr>
        <sz val="11"/>
        <color theme="1"/>
        <rFont val="Calibri"/>
        <family val="2"/>
        <charset val="1"/>
      </rPr>
      <t xml:space="preserve">-</t>
    </r>
    <r>
      <rPr>
        <sz val="11"/>
        <color theme="1"/>
        <rFont val="FreeSans"/>
        <family val="2"/>
      </rPr>
      <t xml:space="preserve">ראד ישראל</t>
    </r>
  </si>
  <si>
    <t xml:space="preserve">direct sales &amp; service of life-science and clinical-diagnostics products (Rishon LeZion; branch since 1991)</t>
  </si>
  <si>
    <t xml:space="preserve">Netiv HaOr, Haifa</t>
  </si>
  <si>
    <t xml:space="preserve">https://www.bio-rad.com/en-il/corporate/careers</t>
  </si>
  <si>
    <t xml:space="preserve">Bio-Rad Haifa Ltd.</t>
  </si>
  <si>
    <r>
      <rPr>
        <sz val="11"/>
        <color theme="1"/>
        <rFont val="FreeSans"/>
        <family val="2"/>
      </rPr>
      <t xml:space="preserve">ביו</t>
    </r>
    <r>
      <rPr>
        <sz val="11"/>
        <color theme="1"/>
        <rFont val="Calibri"/>
        <family val="2"/>
        <charset val="1"/>
      </rPr>
      <t xml:space="preserve">-</t>
    </r>
    <r>
      <rPr>
        <sz val="11"/>
        <color theme="1"/>
        <rFont val="FreeSans"/>
        <family val="2"/>
      </rPr>
      <t xml:space="preserve">ראד חיפה</t>
    </r>
  </si>
  <si>
    <t xml:space="preserve">direct sales, distribution and after-sales service of life-science and clinical-diagnostics products plus a software design/manufacturing centre; 14 Homa (HaHoma) St., Rishon LeZion, tel. 03-963 6050 - bio-rad.com Israel trading terms, ISO 9001:2015 certificate (valid to 12 Nov 2026) and careers Israel page</t>
  </si>
  <si>
    <t xml:space="preserve">https://www.bio-rad.com/webroot/web/pdf/general/trading_terms/AGB_IL.pdf</t>
  </si>
  <si>
    <r>
      <rPr>
        <sz val="11"/>
        <color theme="1"/>
        <rFont val="FreeSans"/>
        <family val="2"/>
      </rPr>
      <t xml:space="preserve">לייפג</t>
    </r>
    <r>
      <rPr>
        <sz val="11"/>
        <color theme="1"/>
        <rFont val="Calibri"/>
        <family val="2"/>
        <charset val="1"/>
      </rPr>
      <t xml:space="preserve">'</t>
    </r>
    <r>
      <rPr>
        <sz val="11"/>
        <color theme="1"/>
        <rFont val="FreeSans"/>
        <family val="2"/>
      </rPr>
      <t xml:space="preserve">ין</t>
    </r>
  </si>
  <si>
    <t xml:space="preserve">https://www.lifegene.co.il/</t>
  </si>
  <si>
    <t xml:space="preserve">אורמיר</t>
  </si>
  <si>
    <t xml:space="preserve">https://ormir.co.il</t>
  </si>
  <si>
    <t xml:space="preserve">+972-586272546</t>
  </si>
  <si>
    <t xml:space="preserve">info@ormir.co.il</t>
  </si>
  <si>
    <t xml:space="preserve">Kfar Yona</t>
  </si>
  <si>
    <t xml:space="preserve">https://ormir.co.il/card-with-image/</t>
  </si>
  <si>
    <t xml:space="preserve">ברגל ציוד אנליטי</t>
  </si>
  <si>
    <t xml:space="preserve">Biotage distributor for Israel: Biotage's own live contact page lists 'BARGAL' (sales@bargal.co.il) for Israel with product areas Organic &amp; Peptide, Bioanalytical testing and Environmental testing; Bargal's live site carries Biotage Initiator+ / Initiator 2.0 microwave synthesizers, Syro Wave peptide synthesizer, Isolera / Flash 75-400 flash purification and RapidTrace+ SPE workstation pages</t>
  </si>
  <si>
    <t xml:space="preserve">https://www.bargal.co.il</t>
  </si>
  <si>
    <t xml:space="preserve">+972-3-979-6533</t>
  </si>
  <si>
    <t xml:space="preserve">sales@bargal.co.il</t>
  </si>
  <si>
    <t xml:space="preserve">10 Shaked Street, Modi'in Industrial Park, Shoham 6085102</t>
  </si>
  <si>
    <t xml:space="preserve">https://www.biotage.com/company/contact</t>
  </si>
  <si>
    <t xml:space="preserve">Doron Scientific</t>
  </si>
  <si>
    <t xml:space="preserve">Listed as an authorized distributor for Israel (Kiryat Ono) on Biotium's Middle East authorized-distributors page</t>
  </si>
  <si>
    <t xml:space="preserve">https://www.doronscientific.com</t>
  </si>
  <si>
    <t xml:space="preserve">+972-54-554-4004</t>
  </si>
  <si>
    <t xml:space="preserve">8 Yehoshua Baum St., Kiryat Ono</t>
  </si>
  <si>
    <t xml:space="preserve">https://biotium.com/authorized-distributors/middle-east</t>
  </si>
  <si>
    <t xml:space="preserve">Listed as an authorized distributor for Israel (Petach Tikva) on Biotium's Middle East authorized-distributors page</t>
  </si>
  <si>
    <t xml:space="preserve">https://www.enco.co.il</t>
  </si>
  <si>
    <t xml:space="preserve">New Biotechnology Ltd</t>
  </si>
  <si>
    <r>
      <rPr>
        <sz val="11"/>
        <color theme="1"/>
        <rFont val="FreeSans"/>
        <family val="2"/>
      </rPr>
      <t xml:space="preserve">ניו ביוטכנולוגי </t>
    </r>
    <r>
      <rPr>
        <sz val="11"/>
        <color theme="1"/>
        <rFont val="Calibri"/>
        <family val="2"/>
        <charset val="1"/>
      </rPr>
      <t xml:space="preserve">(NBT)</t>
    </r>
  </si>
  <si>
    <t xml:space="preserve">Listed as an authorized distributor for Israel (Jerusalem) on Biotium's Middle East authorized-distributors page</t>
  </si>
  <si>
    <t xml:space="preserve">https://www.nbtltd.com</t>
  </si>
  <si>
    <t xml:space="preserve">+972-2-673-2001</t>
  </si>
  <si>
    <t xml:space="preserve">nbtsales@nbtltd.com</t>
  </si>
  <si>
    <t xml:space="preserve">3 Mekor Haim St., P.O. Box 8662, Jerusalem 91086</t>
  </si>
  <si>
    <t xml:space="preserve">Origolab Ltd</t>
  </si>
  <si>
    <t xml:space="preserve">אוריגולאב</t>
  </si>
  <si>
    <t xml:space="preserve">Listed as an authorized distributor for Israel on Biotium's Middle East authorized-distributors page</t>
  </si>
  <si>
    <t xml:space="preserve">+972-2-566-9285</t>
  </si>
  <si>
    <t xml:space="preserve">origolab@netmedia.net.il</t>
  </si>
  <si>
    <t xml:space="preserve">28 Kaf-Tet BeNovember St., Jerusalem</t>
  </si>
  <si>
    <t xml:space="preserve">https://ornat.co.il/instruments/</t>
  </si>
  <si>
    <t xml:space="preserve">לבוטל</t>
  </si>
  <si>
    <t xml:space="preserve">VACUUBRAND diaphragm and ATEX vacuum pumps - listed on VACUUBRAND's live 'Contact persons worldwide' page as its Israel contact (Mevaseret Zion), alongside a VACUUBRAND area sales manager for Israel; BRAND liquid handling (Transferpette S / electronic / alpha, carried since 2018 per Labotal's own news page) is not reflected on BRAND's worldwide sales list</t>
  </si>
  <si>
    <t xml:space="preserve">https://www.vacuubrand.com/service-advice/contact/contacts-worldwide</t>
  </si>
  <si>
    <t xml:space="preserve">Yoel Naim Ltd.</t>
  </si>
  <si>
    <t xml:space="preserve">BRAND (liquid handling, volumetric ware) distributor and service partner for Israel - named on BRAND's live 'Sales and Consulting worldwide' page (industrial area, Rehovot); website not found</t>
  </si>
  <si>
    <t xml:space="preserve">https://www.brand.de/en/company/sales-worldwide</t>
  </si>
  <si>
    <r>
      <rPr>
        <sz val="11"/>
        <color theme="1"/>
        <rFont val="FreeSans"/>
        <family val="2"/>
      </rPr>
      <t xml:space="preserve">ש</t>
    </r>
    <r>
      <rPr>
        <sz val="11"/>
        <color theme="1"/>
        <rFont val="Calibri"/>
        <family val="2"/>
        <charset val="1"/>
      </rPr>
      <t xml:space="preserve">.</t>
    </r>
    <r>
      <rPr>
        <sz val="11"/>
        <color theme="1"/>
        <rFont val="FreeSans"/>
        <family val="2"/>
      </rPr>
      <t xml:space="preserve">ל</t>
    </r>
    <r>
      <rPr>
        <sz val="11"/>
        <color theme="1"/>
        <rFont val="Calibri"/>
        <family val="2"/>
        <charset val="1"/>
      </rPr>
      <t xml:space="preserve">. </t>
    </r>
    <r>
      <rPr>
        <sz val="11"/>
        <color theme="1"/>
        <rFont val="FreeSans"/>
        <family val="2"/>
      </rPr>
      <t xml:space="preserve">מורן</t>
    </r>
  </si>
  <si>
    <t xml:space="preserve">https://slmoran.co.il</t>
  </si>
  <si>
    <t xml:space="preserve">+972 74-702-9898</t>
  </si>
  <si>
    <t xml:space="preserve">office@slmoran.co.il</t>
  </si>
  <si>
    <t xml:space="preserve">Shatner Center 7, Givat Shaul, Jerusalem</t>
  </si>
  <si>
    <t xml:space="preserve">https://slmoran.co.il/%d7%a1%d7%a4%d7%a7%d7%99%d7%9d/</t>
  </si>
  <si>
    <r>
      <rPr>
        <sz val="11"/>
        <color theme="1"/>
        <rFont val="FreeSans"/>
        <family val="2"/>
      </rPr>
      <t xml:space="preserve">ד</t>
    </r>
    <r>
      <rPr>
        <sz val="11"/>
        <color theme="1"/>
        <rFont val="Calibri"/>
        <family val="2"/>
        <charset val="1"/>
      </rPr>
      <t xml:space="preserve">"</t>
    </r>
    <r>
      <rPr>
        <sz val="11"/>
        <color theme="1"/>
        <rFont val="FreeSans"/>
        <family val="2"/>
      </rPr>
      <t xml:space="preserve">ר גוליק</t>
    </r>
  </si>
  <si>
    <t xml:space="preserve">BUCHI laboratory evaporation (Rotavapor R-80, R-300, R-220 EX/R-250 EX; R-100 discontinued), I-300/I-300 Pro interfaces, V-300/V-600 vacuum pumps, F-305 chillers, Glass Oven B-585 Kugelrohr, Fraction Collector C-660 and the BUCHI 'Pure' chromatography system - live BUCHI manufacturer page, Rotavapor page, 'Laboratory Evaporation' and 'Pure System' pages; scope now extends to chromatography</t>
  </si>
  <si>
    <t xml:space="preserve">https://www.golik.co.il</t>
  </si>
  <si>
    <t xml:space="preserve">+972-3-518-7555</t>
  </si>
  <si>
    <t xml:space="preserve">marketing@golik.co.il</t>
  </si>
  <si>
    <t xml:space="preserve">34 Kibbutz Galuyot St, Tel Aviv 66550</t>
  </si>
  <si>
    <t xml:space="preserve">https://www.golik.co.il/manufacturers/buchi</t>
  </si>
  <si>
    <t xml:space="preserve">Listed as Ornat partner brand on the FISEB (Federation of Israeli Societies for Experimental Biology) vendors page; undated</t>
  </si>
  <si>
    <t xml:space="preserve">https://www.ornat.co.il</t>
  </si>
  <si>
    <t xml:space="preserve">https://www.fiseb.org/vendors/</t>
  </si>
  <si>
    <r>
      <rPr>
        <sz val="11"/>
        <color theme="1"/>
        <rFont val="FreeSans"/>
        <family val="2"/>
      </rPr>
      <t xml:space="preserve">היי</t>
    </r>
    <r>
      <rPr>
        <sz val="11"/>
        <color theme="1"/>
        <rFont val="Calibri"/>
        <family val="2"/>
        <charset val="1"/>
      </rPr>
      <t xml:space="preserve">-</t>
    </r>
    <r>
      <rPr>
        <sz val="11"/>
        <color theme="1"/>
        <rFont val="FreeSans"/>
        <family val="2"/>
      </rPr>
      <t xml:space="preserve">לאבס</t>
    </r>
  </si>
  <si>
    <t xml:space="preserve">oligo@hylabs.co.il</t>
  </si>
  <si>
    <t xml:space="preserve">https://www.hylabs.co.il/</t>
  </si>
  <si>
    <t xml:space="preserve">ירדן ביוטק</t>
  </si>
  <si>
    <t xml:space="preserve">https://www.yarden-biotec.co.il</t>
  </si>
  <si>
    <t xml:space="preserve">+972 2-651-1102</t>
  </si>
  <si>
    <t xml:space="preserve">info@yarden-biotec.co.il</t>
  </si>
  <si>
    <t xml:space="preserve">Moshav Yad HaShmona 9089500</t>
  </si>
  <si>
    <t xml:space="preserve">https://www.yarden-biotec.co.il/manufacturer/thistle-scientific</t>
  </si>
  <si>
    <t xml:space="preserve">BDL</t>
  </si>
  <si>
    <t xml:space="preserve">https://www.bdl.co.il</t>
  </si>
  <si>
    <t xml:space="preserve">+972 9-761-1800</t>
  </si>
  <si>
    <t xml:space="preserve">info@bdl.co.il</t>
  </si>
  <si>
    <t xml:space="preserve">Ra'anana (warehouse: Netanya)</t>
  </si>
  <si>
    <t xml:space="preserve">https://www.bdl.co.il/Contact.aspx</t>
  </si>
  <si>
    <t xml:space="preserve">https://www.bdl.co.il/Search.aspx?Category=Chemistry&amp;FCD=1</t>
  </si>
  <si>
    <t xml:space="preserve">מדנט מכשור מדעי</t>
  </si>
  <si>
    <t xml:space="preserve">Stuart-brand general lab equipment (overhead and magnetic stirrers, SD300 digital hotplate, rotary evaporators, tube rotators, water stills) and Jenway-brand instruments (6305 UV/Vis spectrophotometer) on live Hebrew product pages - Stuart and Jenway are Antylia/Cole-Parmer brands; the Cole-Parmer brand itself was not seen</t>
  </si>
  <si>
    <t xml:space="preserve">https://www.medent.co.il</t>
  </si>
  <si>
    <t xml:space="preserve">+972 72-395-0508 (sales); +972 8-683-6306 (service)</t>
  </si>
  <si>
    <t xml:space="preserve">info@medent.co.il</t>
  </si>
  <si>
    <t xml:space="preserve">110 Mordei HaGetaot St., Beer Sheva 8420643</t>
  </si>
  <si>
    <t xml:space="preserve">https://www.medent.co.il/scientific.equipment/%D7%A6%D7%95%D7%A8-%D7%A7%D7%A9%D7%A8/</t>
  </si>
  <si>
    <t xml:space="preserve">https://medent.co.il/scientific.equipment/product/%D7%A1%D7%A4%D7%A7%D7%98%D7%A8%D7%95%D7%A4%D7%95%D7%98%D7%95%D7%9E%D7%98%D7%A8-uvvis-%D7%9E%D7%A2%D7%91%D7%93%D7%AA%D7%99-%D7%93%D7%92%D7%9D-6305-%D7%AA%D7%95%D7%A6%D7%A8%D7%AA-jenway/</t>
  </si>
  <si>
    <t xml:space="preserve">Getter Group (Getter Bio-Med)</t>
  </si>
  <si>
    <t xml:space="preserve">קבוצת גטר</t>
  </si>
  <si>
    <t xml:space="preserve">Corning - Getter Group's live English about page lists Corning among the brands it exclusively represents in Israel and a Hebrew brand page profiles Corning; life-science vs. other Corning lines still not specified</t>
  </si>
  <si>
    <t xml:space="preserve">https://www.getter.co.il</t>
  </si>
  <si>
    <t xml:space="preserve">+972 3-576-1555 (Getter Group switchboard)</t>
  </si>
  <si>
    <t xml:space="preserve">7 Shimshon St., Petah Tikva 4912502</t>
  </si>
  <si>
    <t xml:space="preserve">https://www.getter.co.il/about-en/</t>
  </si>
  <si>
    <t xml:space="preserve">https://www.getter-biomed.co.il</t>
  </si>
  <si>
    <t xml:space="preserve">info@getter.co.il</t>
  </si>
  <si>
    <t xml:space="preserve">https://www.getter.co.il/</t>
  </si>
  <si>
    <t xml:space="preserve">Cytiva chromatography (ÄKTA) and Biacore - live 'Biacore (Cytiva)' brand page on Danyel's site; other Cytiva lines (Whatman, Amersham, Pall) not confirmed</t>
  </si>
  <si>
    <t xml:space="preserve">https://www.danyel.co.il/biacore-cytiva/</t>
  </si>
  <si>
    <t xml:space="preserve">Whatman filtration products (a Cytiva brand) sold through the Lifegene catalogue</t>
  </si>
  <si>
    <t xml:space="preserve">https://lifegene.co.il/product/puradisc-13-syringe-filter-045µm-polypropylene-100-pk/</t>
  </si>
  <si>
    <t xml:space="preserve">האחים אייזנברג</t>
  </si>
  <si>
    <t xml:space="preserve">https://eisenbros.co.il</t>
  </si>
  <si>
    <t xml:space="preserve">+972 3-977-7000</t>
  </si>
  <si>
    <t xml:space="preserve">Airport City</t>
  </si>
  <si>
    <t xml:space="preserve">https://eisenbros.co.il/partners/</t>
  </si>
  <si>
    <t xml:space="preserve">https://www.yarden-biotec.co.il/</t>
  </si>
  <si>
    <t xml:space="preserve">https://www.lapidot.com/</t>
  </si>
  <si>
    <t xml:space="preserve">https://www.lapidot.com/business-partners/</t>
  </si>
  <si>
    <t xml:space="preserve">SciLabware ('a DWK Life Sciences company', UK): Pyrex borosilicate and Quickfit jointed glassware, MBL volumetric ware, Azlon reusable plasticware, Ramboldi disposable plasticware and WHEATON packaging/dropper bottles - per Danyel's live SciLabware brand page; DURAN and KIMBLE lines not shown</t>
  </si>
  <si>
    <t xml:space="preserve">https://www.danyel.co.il/scilabware/</t>
  </si>
  <si>
    <t xml:space="preserve">https://ex-lab.com/?taxonomy=product-category&amp;term=benchtop</t>
  </si>
  <si>
    <t xml:space="preserve">ברגל מכשור אנליטי</t>
  </si>
  <si>
    <t xml:space="preserve">https://www.bargal.co.il/</t>
  </si>
  <si>
    <t xml:space="preserve">https://bargal.co.il/%d7%9e%d7%95%d7%a6%d7%a8%d7%99%d7%9d/</t>
  </si>
  <si>
    <t xml:space="preserve">https://rheniumbio.co.il/</t>
  </si>
  <si>
    <t xml:space="preserve">https://labotal.co.il/represented-firms/</t>
  </si>
  <si>
    <t xml:space="preserve">Eppendorf importer/distributor - live Lumitron product pages for Eppendorf centrifuges (5910 Ri, MiniSpin), pipettes (Multipette M4), bioreactors (BioFlo 120, BioBLU), shakers/incubators (CellXpert CS220, Innova S44i), Eporator and micromanipulators</t>
  </si>
  <si>
    <t xml:space="preserve">https://www.lumitron.co.il/products/bioflo120-bioreactor-fermenter-2/?lang=en</t>
  </si>
  <si>
    <t xml:space="preserve">אלדן ציוד אלקטרוני</t>
  </si>
  <si>
    <t xml:space="preserve">https://www.eldan.biz/</t>
  </si>
  <si>
    <t xml:space="preserve">Esco Life Sciences division: biological safety cabinets (Airstream Class I/III, Labculture Class II A2/B1/B2), fume hoods, general-purpose ovens and incubators, CO2 incubators and ULT freezers - Danyel's live dedicated Esco page</t>
  </si>
  <si>
    <t xml:space="preserve">https://www.danyel.co.il/esco/</t>
  </si>
  <si>
    <t xml:space="preserve">https://www.nbtltd.com/</t>
  </si>
  <si>
    <t xml:space="preserve">https://nbtltd.com/products-page</t>
  </si>
  <si>
    <t xml:space="preserve">Yair Technologies' site has a G-Biosciences product-category page and lists G-Biosciences among its partners and main suppliers (proteomics reagents: protein extraction, purification, electrophoresis, Western blotting, protein labeling).</t>
  </si>
  <si>
    <t xml:space="preserve">https://www.yairtech.co.il</t>
  </si>
  <si>
    <t xml:space="preserve">https://www.yairtech.co.il/cat_product/g-biosciences/</t>
  </si>
  <si>
    <t xml:space="preserve">https://bargal.co.il/</t>
  </si>
  <si>
    <t xml:space="preserve">אגנטק</t>
  </si>
  <si>
    <t xml:space="preserve">Gilson liquid handling (per Agentek vendors list)</t>
  </si>
  <si>
    <t xml:space="preserve">https://agentek.co.il</t>
  </si>
  <si>
    <t xml:space="preserve">+972 9-965-7000</t>
  </si>
  <si>
    <t xml:space="preserve">Greenwork Yakum Business Park, Yakum 6097200</t>
  </si>
  <si>
    <t xml:space="preserve">https://agentek.co.il/contact/</t>
  </si>
  <si>
    <t xml:space="preserve">https://agentek.co.il/vendors/</t>
  </si>
  <si>
    <r>
      <rPr>
        <sz val="11"/>
        <color theme="1"/>
        <rFont val="Calibri"/>
        <family val="2"/>
        <charset val="1"/>
      </rPr>
      <t xml:space="preserve">Gilson PIPETMAN G/L/M/M Connected and NEO pipettes, multichannel pipettes, PIPETMAN DIAMOND tips and PlateMaster P220 - Lifegene's live '</t>
    </r>
    <r>
      <rPr>
        <sz val="11"/>
        <color theme="1"/>
        <rFont val="FreeSans"/>
        <family val="2"/>
      </rPr>
      <t xml:space="preserve">פיפטורים </t>
    </r>
    <r>
      <rPr>
        <sz val="11"/>
        <color theme="1"/>
        <rFont val="Calibri"/>
        <family val="2"/>
        <charset val="1"/>
      </rPr>
      <t xml:space="preserve">Gilson' page, Gilson product category and product pages</t>
    </r>
  </si>
  <si>
    <t xml:space="preserve">https://www.lifegene.co.il/gilson_pipettes</t>
  </si>
  <si>
    <t xml:space="preserve">https://www.yairtech.co.il/product/</t>
  </si>
  <si>
    <t xml:space="preserve">Greiner Bio-One distributor for Israel for the Preanalytics, BioScience and CLiP safety IV catheter divisions - listed on gbo.com's 'Subsidiaries &amp; distributors' page (8 Hamada - Science Park, 7414002 Rehovot, +972-8-9366066, danyel.co.il); Danyel also has its own Greiner Bio-One brand page</t>
  </si>
  <si>
    <t xml:space="preserve">https://www.gbo.com/en-int/company/subsidiaries-distributors</t>
  </si>
  <si>
    <t xml:space="preserve">https://eisenbros.co.il/product-category/life-sciences-and-healthcare/</t>
  </si>
  <si>
    <r>
      <rPr>
        <sz val="11"/>
        <color theme="1"/>
        <rFont val="FreeSans"/>
        <family val="2"/>
      </rPr>
      <t xml:space="preserve">מודוטק בע</t>
    </r>
    <r>
      <rPr>
        <sz val="11"/>
        <color theme="1"/>
        <rFont val="Calibri"/>
        <family val="2"/>
        <charset val="1"/>
      </rPr>
      <t xml:space="preserve">"</t>
    </r>
    <r>
      <rPr>
        <sz val="11"/>
        <color theme="1"/>
        <rFont val="FreeSans"/>
        <family val="2"/>
      </rPr>
      <t xml:space="preserve">מ</t>
    </r>
  </si>
  <si>
    <t xml:space="preserve">Hach water/wastewater analysis range per Modotec's live site (supplier page describes Hach as the world leader in water and wastewater measurement, online and laboratory): online analyzers (BioTector B7000i TOC, Amtax sc ammonium, phosphorus/COD/silica/hardness), SC200/SC1000/SC1500 controllers (Claros), online/lab/portable turbidity and suspended-solids meters, UV and dissolved-oxygen meters, lab spectrophotometers/colorimeters, thermal reactors, incubators, titrators and test kits, portable/fixed samplers; scope therefore wider than the Hach Flow line recorded earlier. Caveat: Modotec's product pages are roughly 4-7 years old and Hach's own global-distributor locator did not show Israel in search snippets</t>
  </si>
  <si>
    <t xml:space="preserve">https://www.modotec.co.il</t>
  </si>
  <si>
    <t xml:space="preserve">+972-4-991-9988</t>
  </si>
  <si>
    <t xml:space="preserve">16 Moshe Bernstein St., South Industrial Park, Acre (Akko) 2422238</t>
  </si>
  <si>
    <t xml:space="preserve">https://www.modotec.co.il/%D7%A1%D7%A4%D7%A7%D7%99%D7%9D/</t>
  </si>
  <si>
    <t xml:space="preserve">Haier Biomedical laboratory cold-chain and lab equipment: Ex-Lab's live site (ex-lab.com) names Haier Biomedical among the international brands it supplies (with Daihan Scientific, Frimed, DLab, Marathon) and lists Haier Biomedical -80C ULT freezers (UltraEco; portable DW-80WZ15), -20C lab freezers and a Haier vertical autoclave, with gallery installs at the Weizmann Institute and Ben-Gurion University; Haier Biomedical's own news page names Ex-Lab as its partner at the Weizmann/Technion expo. Website now identified</t>
  </si>
  <si>
    <t xml:space="preserve">https://ex-lab.com</t>
  </si>
  <si>
    <t xml:space="preserve">https://ex-lab.com/products/%D7%9E%D7%A7%D7%A4%D7%99%D7%90-%D7%9E%D7%A2%D7%91%D7%93%D7%AA%D7%99-haier-80c/</t>
  </si>
  <si>
    <t xml:space="preserve">Hamilton laboratory products - listed for Israel (Rehovot, danyel.co.il) on Hamilton's live 'Find a Distributor' laboratory-products page; Hamilton business lines (robotics/storage) not itemised in the snippet</t>
  </si>
  <si>
    <t xml:space="preserve">https://www.hamiltoncompany.com/laboratory-product-distribution-list</t>
  </si>
  <si>
    <t xml:space="preserve">Hamilton laboratory products - listed for Israel (Rosh Ha'ayin) on Hamilton's live laboratory-products distributor page: lab syringes for life science and chemistry, lab needles, Microlab 600 diluter/dispenser, GC septa, HPLC columns</t>
  </si>
  <si>
    <t xml:space="preserve">https://ophiranalytical.com</t>
  </si>
  <si>
    <t xml:space="preserve">+972 3-902-2277</t>
  </si>
  <si>
    <t xml:space="preserve">Rosh Ha'ayin</t>
  </si>
  <si>
    <t xml:space="preserve">Tarom Applied Technologies Ltd.</t>
  </si>
  <si>
    <t xml:space="preserve">Hamilton Process Analytics sensors - listed for Israel (Petach-Tikva, tarom.co.il) on Hamilton's live sensor distributor page</t>
  </si>
  <si>
    <t xml:space="preserve">http://www.tarom.co.il</t>
  </si>
  <si>
    <t xml:space="preserve">https://www.hamiltoncompany.com/process-analystics-sensor-product-distribution-list</t>
  </si>
  <si>
    <t xml:space="preserve">בפקס</t>
  </si>
  <si>
    <t xml:space="preserve">https://www.bepex.co.il/</t>
  </si>
  <si>
    <t xml:space="preserve">+972-9-972-7600</t>
  </si>
  <si>
    <t xml:space="preserve">cs@bepex.co.il</t>
  </si>
  <si>
    <t xml:space="preserve">Shoham Kadima Industrial Zone, P.O. Box 9081, Even Yehuda 4050003</t>
  </si>
  <si>
    <t xml:space="preserve">אגרולן</t>
  </si>
  <si>
    <t xml:space="preserve">https://agrolan.com</t>
  </si>
  <si>
    <t xml:space="preserve">+972-4-666-9999</t>
  </si>
  <si>
    <t xml:space="preserve">agrolan@agrolan.co.il</t>
  </si>
  <si>
    <t xml:space="preserve">P.O. Box 45, Moshav Nov 12921</t>
  </si>
  <si>
    <t xml:space="preserve">http://www.agrolan.com/index.asp</t>
  </si>
  <si>
    <t xml:space="preserve">Hanna pH/mV/ISE benchtop meters (HI5222), portable pH/EC meters (HI99121, HI8733), photometers (HI97721, HI97735), electrodes (HI1083B, HI1131B, HI3131B, FC2020) and the HI901W wine titrator on live Hebrew product pages, with a 1-year warranty; Medent's live 'Our Partners' page lists Hanna Instruments USA. Reseller; not named by Hanna as its distributor</t>
  </si>
  <si>
    <t xml:space="preserve">https://www.medent.co.il/en/project/page/2/</t>
  </si>
  <si>
    <t xml:space="preserve">BioAnalytics</t>
  </si>
  <si>
    <t xml:space="preserve">Hanna pool/spa and food (bread/dough) pH testers</t>
  </si>
  <si>
    <t xml:space="preserve">https://www.bioanalytics.co.il</t>
  </si>
  <si>
    <t xml:space="preserve">+972-72-242-9555</t>
  </si>
  <si>
    <t xml:space="preserve">29 Omarim St. (listed as "29'th Omarim"), Omer 84965</t>
  </si>
  <si>
    <t xml:space="preserve">https://www.bioanalytics.co.il/products/hannah-pool-line-ph-tester-according-to-6223-israeli-standard/</t>
  </si>
  <si>
    <t xml:space="preserve">Cannadepot</t>
  </si>
  <si>
    <t xml:space="preserve">online retailer; Hanna portable pH/EC/TDS testers</t>
  </si>
  <si>
    <t xml:space="preserve">https://cannadepot.co.il</t>
  </si>
  <si>
    <t xml:space="preserve">https://cannadepot.co.il/product-category/%D7%9E%D7%93%D7%99%D7%93%D7%94-%D7%95%D7%91%D7%A7%D7%A8%D7%94/hanna-instruments-%D7%9E%D7%9B%D7%A9%D7%99%D7%A8%D7%99%D7%9D-%D7%94%D7%90%D7%A0%D7%94/</t>
  </si>
  <si>
    <t xml:space="preserve">Mercury (mercury-ltd.co.il; part of Gadot Chemicals Group)</t>
  </si>
  <si>
    <t xml:space="preserve">מרקורי</t>
  </si>
  <si>
    <t xml:space="preserve">Hanna Instruments' official distributor for Israel per Hanna's own live Israel page (pages.hannainst.com/israel): partnership listed as active since 2023; Mercury joined Gadot Chemicals Group in 2022 and offers Israeli research and industry a broad basket of products meeting regulatory requirements; sales and product contacts are on the mercury-ltd.co.il domain</t>
  </si>
  <si>
    <t xml:space="preserve">https://www.mercury-ltd.co.il</t>
  </si>
  <si>
    <t xml:space="preserve">+972 3-938-7164</t>
  </si>
  <si>
    <t xml:space="preserve">12 Ha'avoda St., P.O. Box 159, Rosh Ha'ayin</t>
  </si>
  <si>
    <t xml:space="preserve">https://eng.mercury-ltd.co.il/about_us</t>
  </si>
  <si>
    <t xml:space="preserve">https://pages.hannainst.com/israel</t>
  </si>
  <si>
    <t xml:space="preserve">Heidolph rotary evaporators, stirrers and shakers - Heidolph listed on Labotal's live 'Represented Firms' page; Labotal calls itself a Heidolph premium distributor and its awards archive mentions a three-year warranty on Heidolph products</t>
  </si>
  <si>
    <t xml:space="preserve">https://labotal.co.il/firms/?lang=en</t>
  </si>
  <si>
    <t xml:space="preserve">Hettich centrifuges and incubators: Hettich's own live contact page lists 'Eldan Electronic Instruments Co. Ltd. Israel, Neopharm Building, 6 Hashiloach St., 49170 Petach-Tikva' as its Israel contact; Eldan's live laboratory-instruments page lists Hettich benchtop, floor-standing and high-performance centrifuges and Hettich HettCube/CO2 incubators</t>
  </si>
  <si>
    <r>
      <rPr>
        <sz val="11"/>
        <color theme="1"/>
        <rFont val="FreeSans"/>
        <family val="2"/>
      </rPr>
      <t xml:space="preserve">ש</t>
    </r>
    <r>
      <rPr>
        <sz val="11"/>
        <color theme="1"/>
        <rFont val="Calibri"/>
        <family val="2"/>
        <charset val="1"/>
      </rPr>
      <t xml:space="preserve">.</t>
    </r>
    <r>
      <rPr>
        <sz val="11"/>
        <color theme="1"/>
        <rFont val="FreeSans"/>
        <family val="2"/>
      </rPr>
      <t xml:space="preserve">ל מורן</t>
    </r>
  </si>
  <si>
    <t xml:space="preserve">Huber circulation baths, thermostats and chillers (Ministat 230 variants, Unistat 405 etc.) - S.L. Moran's live heating/cooling-bath category and suppliers page; the site hosts the Huber general catalogue 2025/2026 (uploaded September 2025) and the CS-Chiller brochure</t>
  </si>
  <si>
    <t xml:space="preserve">https://slmoran.co.il/products_cat/%D7%90%D7%9E%D7%91%D7%98%D7%99-%D7%97%D7%99%D7%9E%D7%95%D7%9D-%D7%A7%D7%99%D7%A8%D7%95%D7%A8-%D7%A1%D7%99%D7%A8%D7%A7%D7%95%D7%9C%D7%98%D7%95%D7%A8/</t>
  </si>
  <si>
    <t xml:space="preserve">Master-Cold</t>
  </si>
  <si>
    <t xml:space="preserve">lists Huber Ministat 230-cc-NR and a Unistat CC (the Unistat appears to be a used unit); authorised status unverified</t>
  </si>
  <si>
    <t xml:space="preserve">http://master-cold.co.il</t>
  </si>
  <si>
    <t xml:space="preserve">http://master-cold.co.il/1579/products/ministat-230-cc-nr</t>
  </si>
  <si>
    <t xml:space="preserve">IKA stirrers, mixers, chillers and ovens: live 'IKA - Germany' partner page (magnetic stirrers, mixers, shakers, homogenizers, mills, rotary evaporators, calorimeters, temperature control) plus live Hebrew categories listing RCT heated magnetic stirrers, Vortex 2/Vortex 3 mixers, RC 2/RC 5 chillers and Oven 125; Medent states it imports IKA viscometers and adapters</t>
  </si>
  <si>
    <t xml:space="preserve">https://www.medent.co.il/en/project/ika-germany/</t>
  </si>
  <si>
    <t xml:space="preserve">לבוטל ציוד למעבדות</t>
  </si>
  <si>
    <t xml:space="preserve">overhead and magnetic stirrers - Labotal's overhead-stirrer category page names IKA among the brands it stocks (scope beyond stirrers not seen)</t>
  </si>
  <si>
    <t xml:space="preserve">https://labotal.co.il/product-category/hot-plate-and-stirrers/overhead-stirrers/?lang=en</t>
  </si>
  <si>
    <t xml:space="preserve">https://slmoran.co.il/</t>
  </si>
  <si>
    <t xml:space="preserve">INTEGRA liquid-handling products (VIAFLO, ASSIST PLUS, VACUSAFE etc.) - listed on INTEGRA's live 'Where to buy' page as its partner for Israel (110 Mordey Hagetaot St., Beer Sheva 84206, +972 8 623 79 84, medent.co.il)</t>
  </si>
  <si>
    <t xml:space="preserve">https://www.integra-biosciences.com/global/en/where-buy</t>
  </si>
  <si>
    <t xml:space="preserve">Enco's About page lists the brand among the international companies it distributes in Israel (antibodies/biochemicals)</t>
  </si>
  <si>
    <t xml:space="preserve">https://www.enco.co.il/about.php</t>
  </si>
  <si>
    <t xml:space="preserve">JASCO spectroscopy and chromatography products - listed for Israel on JASCO's live 'Where to buy' (jasco.de, Distributors Middle East) and worldwide-locations pages (jasco-global.com, jascoinc.com); 6 Hamelacha St, Park-Afek, Rosh-Ha'ayin 48091, +972-3-9022277; Ophir's own live site (distributor since 1991) does not name JASCO in the pages seen</t>
  </si>
  <si>
    <t xml:space="preserve">https://www.jasco.de/where-to-buy/</t>
  </si>
  <si>
    <t xml:space="preserve">JEOL electron microscopes - sales and service; Bargal's live catalogue names JEOL as manufacturer for JSM-IT210, JSM-IT200, JSM-IT510, JSM-IT710HR, benchtop JCM-7000 NeoScope, JEM-1400Flash, JEM-F200, CRYO ARM 300 (JEM-Z300FSC) and CRYO ARM 300 II (JEM-3300); jeol.com lists Bargal (Shaked St 10, Shoham, +972-3-9796-533) as the Israel contact. NMR/MS lines not confirmed.</t>
  </si>
  <si>
    <t xml:space="preserve">https://bargal.co.il</t>
  </si>
  <si>
    <t xml:space="preserve">https://bargal.co.il/product/scanning-electron-microscope-sem-jsm-it210/</t>
  </si>
  <si>
    <t xml:space="preserve">JULABO circulators, chillers and baths - Julabo listed on Labotal's live 'Represented Firms' page; Labotal's product pages state it is JULABO's exclusive representative in Israel</t>
  </si>
  <si>
    <t xml:space="preserve">Labconco biosafety cabinets, CentriVap concentrators and drying systems - Labconco listed on Labotal's live 'Represented Firms' page and in its drying-systems category</t>
  </si>
  <si>
    <t xml:space="preserve">LAUDA laboratory baths, circulators and chillers - live Hebrew category 'LAUDA baths, circulators and chillers' (chillers sub-category) and the 'Lauda - Germany' partner page; GFL-brand water stills also listed</t>
  </si>
  <si>
    <t xml:space="preserve">https://www.medent.co.il/scientific.equipment/product-category/lauda-%D7%90%D7%9E%D7%91%D7%98%D7%99%D7%9D-%D7%A1%D7%99%D7%A8%D7%A7%D7%95%D7%9C%D7%98%D7%95%D7%A8%D7%99%D7%9D-%D7%95%D7%A6%D7%99%D7%9C%D7%A8%D7%99%D7%9D/%D7%A6%D7%99%D7%9C%D7%A8%D7%99%D7%9D/</t>
  </si>
  <si>
    <t xml:space="preserve">Citrine Solutions</t>
  </si>
  <si>
    <t xml:space="preserve">סיטרין</t>
  </si>
  <si>
    <t xml:space="preserve">reseller listing LAUDA Variocool VC 1200 and Ultracool UC2 circulation chillers and an MGW MS heating circulator (new and used lab equipment dealer; authorisation not stated)</t>
  </si>
  <si>
    <t xml:space="preserve">https://www.citrinesolutions.co.il</t>
  </si>
  <si>
    <t xml:space="preserve">https://citrinesolutions.co.il/?c_id=30&amp;item_id=5&amp;module=product&amp;p_id=444</t>
  </si>
  <si>
    <t xml:space="preserve">Avni &amp; Son</t>
  </si>
  <si>
    <t xml:space="preserve">LAUDA's authorised sales &amp; service partner for Israel: LAUDA's own live warranty-conditions 'Participants' page lists 'Israel - Avni Meshul. &amp; Son Ltd., Haifa - Authorized sales &amp; service partner' (5-year warranty programme); the site also hosts the 2026 LAUDA Ultracool process-chiller brochure. Upgraded from unverified reseller</t>
  </si>
  <si>
    <t xml:space="preserve">https://avni-son.co.il</t>
  </si>
  <si>
    <t xml:space="preserve">+972-4-821-9989</t>
  </si>
  <si>
    <t xml:space="preserve">info@avni-son.co.il</t>
  </si>
  <si>
    <r>
      <rPr>
        <sz val="11"/>
        <color theme="1"/>
        <rFont val="Calibri"/>
        <family val="2"/>
        <charset val="1"/>
      </rPr>
      <t xml:space="preserve">101 Bar Yehuda Rd. (</t>
    </r>
    <r>
      <rPr>
        <sz val="11"/>
        <color theme="1"/>
        <rFont val="FreeSans"/>
        <family val="2"/>
      </rPr>
      <t xml:space="preserve">דרך בר יהודה </t>
    </r>
    <r>
      <rPr>
        <sz val="11"/>
        <color theme="1"/>
        <rFont val="Calibri"/>
        <family val="2"/>
        <charset val="1"/>
      </rPr>
      <t xml:space="preserve">101), Nesher</t>
    </r>
  </si>
  <si>
    <t xml:space="preserve">https://avni-son.co.il/%D7%A6%D7%A8%D7%95-%D7%A7%D7%A9%D7%A8/</t>
  </si>
  <si>
    <t xml:space="preserve">https://www.lauda.de/us/warranty-conditions/participants</t>
  </si>
  <si>
    <t xml:space="preserve">Lapidot Group (Ophthalmic Surgery Unit)</t>
  </si>
  <si>
    <t xml:space="preserve">Leica surgical microscopes (ophthalmology, neurosurgery, ENT, plastic surgery; floor- and ceiling-mounted) - Leica Microsystems medical division; live Lapidot partners and eye-surgery pages</t>
  </si>
  <si>
    <t xml:space="preserve">research microscopes — per a 2009 Israel Physical Society trade-fair listing only (exclusive representative then); NOT re-confirmed in 2026</t>
  </si>
  <si>
    <t xml:space="preserve">https://archive.israelphysicalsociety.org/ips-conference-2009/fairs/rhenium-ltd.html</t>
  </si>
  <si>
    <t xml:space="preserve">https://www.eldan.biz/our-partners/</t>
  </si>
  <si>
    <t xml:space="preserve">Memmert cooled incubators (IPP110 ... IPS750; 53-749 L), CO2 incubators (INC108MED, INCO246MED), vacuum ovens (VO200/VO400/VO500 incl. cooled), drying ovens (UF450, UF750, UN750) and incubators on live Hebrew product-category pages describing the units as Memmert (Germany)</t>
  </si>
  <si>
    <t xml:space="preserve">https://www.medent.co.il/scientific.equipment/product-category/%D7%90%D7%99%D7%A0%D7%A7%D7%95%D7%91%D7%98%D7%95%D7%A8%D7%99%D7%9D/%D7%90%D7%99%D7%A0%D7%A7%D7%95%D7%91%D7%98%D7%95%D7%A8-%D7%9E%D7%A7%D7%95%D7%A8%D7%A8/</t>
  </si>
  <si>
    <t xml:space="preserve">אלקטרותרם</t>
  </si>
  <si>
    <t xml:space="preserve">https://www.electrotherm.co.il</t>
  </si>
  <si>
    <t xml:space="preserve">+972-77-866-0600</t>
  </si>
  <si>
    <t xml:space="preserve">sales@electrotherm.co.il</t>
  </si>
  <si>
    <t xml:space="preserve">Migdal HaEmek</t>
  </si>
  <si>
    <t xml:space="preserve">https://www.electrotherm.co.il/</t>
  </si>
  <si>
    <t xml:space="preserve">Sigma-Aldrich Israel Ltd. (affiliate of Merck KGaA, Darmstadt)</t>
  </si>
  <si>
    <t xml:space="preserve">Merck's own Israeli entity: sales/customer contact for Israel and production sites in Rehovot (antibodies, primers, peptides; 3 Plaut St.) and Jerusalem (Har Hotzvim)</t>
  </si>
  <si>
    <t xml:space="preserve">https://www.sigmaaldrich.com/IL/en</t>
  </si>
  <si>
    <t xml:space="preserve">+972-8-9484222 / +972-8-9484100</t>
  </si>
  <si>
    <t xml:space="preserve">isrcustserv@merckgroup.com; isrtechserv@merckgroup.com</t>
  </si>
  <si>
    <t xml:space="preserve">3 Plaut St., Rehovot 7670603</t>
  </si>
  <si>
    <t xml:space="preserve">https://b2b.sigmaaldrich.com/collections/offices</t>
  </si>
  <si>
    <t xml:space="preserve">https://www.sigmaaldrich.com/US/en/collections/offices</t>
  </si>
  <si>
    <t xml:space="preserve">Mercury Scientific &amp; Industrial Products Ltd. (Gadot group)</t>
  </si>
  <si>
    <r>
      <rPr>
        <sz val="11"/>
        <color theme="1"/>
        <rFont val="FreeSans"/>
        <family val="2"/>
      </rPr>
      <t xml:space="preserve">מרקורי מוצרי מדע ותעשייה </t>
    </r>
    <r>
      <rPr>
        <sz val="11"/>
        <color theme="1"/>
        <rFont val="Calibri"/>
        <family val="2"/>
        <charset val="1"/>
      </rPr>
      <t xml:space="preserve">(</t>
    </r>
    <r>
      <rPr>
        <sz val="11"/>
        <color theme="1"/>
        <rFont val="FreeSans"/>
        <family val="2"/>
      </rPr>
      <t xml:space="preserve">גדות מרקורי</t>
    </r>
    <r>
      <rPr>
        <sz val="11"/>
        <color theme="1"/>
        <rFont val="Calibri"/>
        <family val="2"/>
        <charset val="1"/>
      </rPr>
      <t xml:space="preserve">)</t>
    </r>
  </si>
  <si>
    <t xml:space="preserve">Merck Milli-Q laboratory water-purification systems (IX, IQ 7000, HX, CLX, SQ2 series) - live product pages describe Mercury as Merck's exclusive Israeli distributor; Millipore filtration/MQuant lines per prior evidence</t>
  </si>
  <si>
    <t xml:space="preserve">https://eng.mercury-ltd.co.il/lab_water_purification</t>
  </si>
  <si>
    <t xml:space="preserve">Israel Scientific Instruments Ltd. (ISI)</t>
  </si>
  <si>
    <r>
      <rPr>
        <sz val="11"/>
        <color theme="1"/>
        <rFont val="Calibri"/>
        <family val="2"/>
        <charset val="1"/>
      </rPr>
      <t xml:space="preserve">ISI – </t>
    </r>
    <r>
      <rPr>
        <sz val="11"/>
        <color theme="1"/>
        <rFont val="FreeSans"/>
        <family val="2"/>
      </rPr>
      <t xml:space="preserve">ישראל מכשור מדעי</t>
    </r>
  </si>
  <si>
    <t xml:space="preserve">Official distributor of all Metrohm products and services in Israel from 17 July 2025 per Metrohm's own news page (ISI founded 1971 as a Varian Inc. subsidiary, led by the Steiner family since 1977); ISI website not surfaced in snippets</t>
  </si>
  <si>
    <t xml:space="preserve">https://www.isil.co.il</t>
  </si>
  <si>
    <t xml:space="preserve">+972 3-923-2202</t>
  </si>
  <si>
    <t xml:space="preserve">info@isil.co.il</t>
  </si>
  <si>
    <t xml:space="preserve">32 Shacham St., P.O. Box 7790, Petah Tikva 49170</t>
  </si>
  <si>
    <t xml:space="preserve">https://www.metrohm.com/en/discover/news/2025/new-metrohm-distributor-in-israel.html</t>
  </si>
  <si>
    <t xml:space="preserve">Mettler-Toledo laboratory weighing (balances, calibration weights), Rainin pipettes (Vero electronic, MicroPro 96-channel), CHRONECT XPR automated dispensing, EasyViewer/iC Vision process analytics, plus industrial scales and product-inspection metal detectors - live Agentek representative page and product pages</t>
  </si>
  <si>
    <t xml:space="preserve">https://agentek.co.il/representative/mettler-toledo/</t>
  </si>
  <si>
    <t xml:space="preserve">Modcon Systems Ltd.</t>
  </si>
  <si>
    <t xml:space="preserve">process analytics (Ingold sensors/transmitters); Akko, +972 4 9553955</t>
  </si>
  <si>
    <t xml:space="preserve">https://modcon-systems.com</t>
  </si>
  <si>
    <t xml:space="preserve">+972-4-9553955</t>
  </si>
  <si>
    <t xml:space="preserve">Modcon House, M. Boronshtein St., South Akko Industrial Park, Akko 24222</t>
  </si>
  <si>
    <t xml:space="preserve">https://www.mt.com/il/en/home.html</t>
  </si>
  <si>
    <t xml:space="preserve">Dinco Ltd.</t>
  </si>
  <si>
    <t xml:space="preserve">product inspection (Safeline X-ray etc.); Tirat Carmel, +972 4 813 15 15</t>
  </si>
  <si>
    <t xml:space="preserve">https://www.getter.co.il/%d7%a0%d7%a6%d7%99%d7%92%d7%95%d7%99%d7%95%d7%aa-%d7%90%d7%a1%d7%98%d7%a8%d7%98%d7%92%d7%99%d7%95%d7%aa/</t>
  </si>
  <si>
    <t xml:space="preserve">Israeli lab-supply website carries an MTC Bio brand page describing the brand ('supplying life science research with quality consumables and liquid handling instruments'); official/exclusive status not stated and not confirmed on the manufacturer side</t>
  </si>
  <si>
    <t xml:space="preserve">https://www.yairtech.co.il/?p=3561</t>
  </si>
  <si>
    <t xml:space="preserve">אלקטרוטרם</t>
  </si>
  <si>
    <t xml:space="preserve">Nabertherm sales partner for Israel per Nabertherm's live World-Wide Sales page and dedicated partner page (Middle East region, I.Z. Ramat Gabriel, Migdal Haemek; sales@electrotherm.co.il); Electrotherm's own site sells Nabertherm laboratory, high-temperature, melting, tube and drying furnaces and controllers (seen in the previous round)</t>
  </si>
  <si>
    <t xml:space="preserve">https://nabertherm.com/en/node/594</t>
  </si>
  <si>
    <t xml:space="preserve">Thermo Fisher Integrated Solutions Israel Ltd.</t>
  </si>
  <si>
    <r>
      <rPr>
        <sz val="11"/>
        <color theme="1"/>
        <rFont val="FreeSans"/>
        <family val="2"/>
      </rPr>
      <t xml:space="preserve">תרמו פישר ישראל </t>
    </r>
    <r>
      <rPr>
        <sz val="11"/>
        <color theme="1"/>
        <rFont val="Calibri"/>
        <family val="2"/>
        <charset val="1"/>
      </rPr>
      <t xml:space="preserve">(</t>
    </r>
    <r>
      <rPr>
        <sz val="11"/>
        <color theme="1"/>
        <rFont val="FreeSans"/>
        <family val="2"/>
      </rPr>
      <t xml:space="preserve">רעננה</t>
    </r>
    <r>
      <rPr>
        <sz val="11"/>
        <color theme="1"/>
        <rFont val="Calibri"/>
        <family val="2"/>
        <charset val="1"/>
      </rPr>
      <t xml:space="preserve">)</t>
    </r>
  </si>
  <si>
    <t xml:space="preserve">direct life-science sales &amp; field service organisation being built out 2025-26</t>
  </si>
  <si>
    <t xml:space="preserve">+972 8-940-8618</t>
  </si>
  <si>
    <t xml:space="preserve">5 Golda Meir St., Ness Ziona (also Airport City 1, Lod)</t>
  </si>
  <si>
    <t xml:space="preserve">https://www.thermofisher.com/il/en/home.html</t>
  </si>
  <si>
    <t xml:space="preserve">Thermo Fisher Scientific Israel Ltd. (Kiryat Shmona)</t>
  </si>
  <si>
    <t xml:space="preserve">תרמו פישר קריית שמונה</t>
  </si>
  <si>
    <t xml:space="preserve">manufacturing / engineering site (ISO 9001/13485); not a sales channel</t>
  </si>
  <si>
    <t xml:space="preserve">Applied Biosystems / Invitrogen / Thermo Scientific products: live product pages for PowerTrack SYBR Green master mix, QuantStudio Absolute Q dPCR, SL 16 centrifuge, TaqMan/bioproduction reagents (Rhenium's bioproduction page names Applied Biosystems as a partner)</t>
  </si>
  <si>
    <t xml:space="preserve">https://rhenium.co.il/products/bioproduction</t>
  </si>
  <si>
    <t xml:space="preserve">Gamidor Diagnostics (1984) Ltd.</t>
  </si>
  <si>
    <t xml:space="preserve">גמידור דיאגנוסטיקה</t>
  </si>
  <si>
    <t xml:space="preserve">Thermo Scientific / Phadia diagnostics: ImmunoCAP allergy and EliA autoimmune tests (Gamidor states EliA was consolidated under its distribution in Jan 2021 after earlier ImmunoCAP representation); the Mar 2025-Mar 2026 non-exclusive distributor letter for microbiology/diagnostics remains the prior evidence</t>
  </si>
  <si>
    <t xml:space="preserve">https://www.gamidor.co.il</t>
  </si>
  <si>
    <t xml:space="preserve">+972-3-927-7277</t>
  </si>
  <si>
    <t xml:space="preserve">info@gamidor.co.il</t>
  </si>
  <si>
    <t xml:space="preserve">Shaham 32, Petach Tikva</t>
  </si>
  <si>
    <t xml:space="preserve">https://gamidor.co.il/en/allergy/</t>
  </si>
  <si>
    <t xml:space="preserve">ברגל</t>
  </si>
  <si>
    <t xml:space="preserve">Thermo Scientific chromatography, mass spectrometry and spectroscopy: live product pages (Q Exactive UHMR Orbitrap MS, combustion IC system) and hosted application notes (ICP-MS, FTIR/OMNIC, lab automation); a 2018 Israeli government procurement attachment also shows Bargal as Thermo Fisher's Israel distributor</t>
  </si>
  <si>
    <t xml:space="preserve">https://bargal.co.il/product/q-exactive-uhmr-hybrid-quadrupole-orbitrap-ms-system/</t>
  </si>
  <si>
    <t xml:space="preserve">Olink proteomics (a Thermo Fisher business): live Olink brand page on Danyel's site</t>
  </si>
  <si>
    <t xml:space="preserve">https://www.danyel.co.il/olink/</t>
  </si>
  <si>
    <t xml:space="preserve">Thermo Fisher Scientific – EM service location, Airport City</t>
  </si>
  <si>
    <t xml:space="preserve">שירות</t>
  </si>
  <si>
    <t xml:space="preserve">Thermo Fisher's own Israeli sales/support organisation; thermofisher.com's Phenom desktop-SEM distributor page names 'Thermo Fisher Integrated Solutions' as the Israel contact (live page); a Thermo Fisher careers page lists jobs in Israel</t>
  </si>
  <si>
    <t xml:space="preserve">https://www.thermofisher.com/us/en/home/electron-microscopy/products/desktop-scanning-electron-microscopes/phenom-distributors.html</t>
  </si>
  <si>
    <t xml:space="preserve">Iner-Tech Ltd. (Rehovot)</t>
  </si>
  <si>
    <t xml:space="preserve">Thermo Scientific portable pharma QA/QC analysers (handheld Raman/NIR material ID) - listed on thermofisher.com's distributor page for Israel</t>
  </si>
  <si>
    <t xml:space="preserve">https://www.thermofisher.com/us/en/home/industrial/spectroscopy-elemental-isotope-analysis/portable-analysis-material-id/portable-pharmaceutical-qa-qc-manufacturing-solutions/portable-pharma-qa-qc-manufacturing-solutions-distributors.html</t>
  </si>
  <si>
    <t xml:space="preserve">R.B.M. Ltd. Control &amp; Mechanization (Hod Hasharon)</t>
  </si>
  <si>
    <t xml:space="preserve">Thermo Scientific Niton portable XRF / LIBS analysers - listed on thermofisher.com's authorized XRF &amp; LIBS distributor page for Israel</t>
  </si>
  <si>
    <t xml:space="preserve">https://www.thermofisher.com/us/en/home/industrial/spectroscopy-elemental-isotope-analysis/portable-analysis-material-id/portable-analysis-for-material-id-distributors.html</t>
  </si>
  <si>
    <t xml:space="preserve">Madid Industrial Controls Ltd.</t>
  </si>
  <si>
    <t xml:space="preserve">Thermo Scientific dataTaker data loggers (industrial data acquisition) - listed on thermofisher.com's dataTaker distributor page for Israel</t>
  </si>
  <si>
    <t xml:space="preserve">https://www.thermofisher.com/us/en/home/industrial/manufacturing-processing/data-acquisition/datataker-distributors.html</t>
  </si>
  <si>
    <t xml:space="preserve">New England Biolabs reagents - live Ornat product pages for NEB molecular biology, nucleic-acid purification, NGS and RNA products, plus Ornat's partners page</t>
  </si>
  <si>
    <t xml:space="preserve">https://ornat.co.il/product/new-england-biolabs-neb-molecular-biology/</t>
  </si>
  <si>
    <t xml:space="preserve">Nikon research microscopes (AX/AXR confocal, AXR MP, ECLIPSE Ji, CFI60 objectives): listed as the Israel contact in Nikon's live European microscope contact directory (Atidim Scientific Park Bldg 2, Tel Aviv, +972-3-649 31 11, Sales1@agentek.co.il) and in Nikon Industrial Metrology's European reseller network (Yakum address, +972 (3) 6493111); Agentek's own vendors page lists Nikon and gives its current address as Greenwork Yakum Business Park Bldg A, Yakum 6097200, 09-9657000</t>
  </si>
  <si>
    <t xml:space="preserve">https://www.microscope.healthcare.nikon.com/en_EU/contact/service/171079</t>
  </si>
  <si>
    <t xml:space="preserve">info@agentek.co.il</t>
  </si>
  <si>
    <t xml:space="preserve">https://agentek.co.il/representative/nova-biomedical/</t>
  </si>
  <si>
    <r>
      <rPr>
        <sz val="11"/>
        <color theme="1"/>
        <rFont val="FreeSans"/>
        <family val="2"/>
      </rPr>
      <t xml:space="preserve">גטר ביו</t>
    </r>
    <r>
      <rPr>
        <sz val="11"/>
        <color theme="1"/>
        <rFont val="Calibri"/>
        <family val="2"/>
        <charset val="1"/>
      </rPr>
      <t xml:space="preserve">-</t>
    </r>
    <r>
      <rPr>
        <sz val="11"/>
        <color theme="1"/>
        <rFont val="FreeSans"/>
        <family val="2"/>
      </rPr>
      <t xml:space="preserve">מד</t>
    </r>
  </si>
  <si>
    <t xml:space="preserve">Lunaphore (a Bio-Techne brand) spatial-biology platforms – Getter describes itself as the official Israeli representative (LinkedIn)</t>
  </si>
  <si>
    <t xml:space="preserve">Biotest</t>
  </si>
  <si>
    <t xml:space="preserve">Israeli distributor listed on Bio-Techne's Novus Biologicals distributor directory: 6 Hasadna St., P.O. Box 8006, Kfar Saba 4442405 (phone/e-mail on page); coverage of other Bio-Techne brands (R&amp;D Systems, Tocris, ProteinSimple) not confirmed</t>
  </si>
  <si>
    <t xml:space="preserve">https://www.bio-techne.com/distributors/novus</t>
  </si>
  <si>
    <t xml:space="preserve">https://slmoran.co.il/products_cat/%d7%91%d7%93%d7%99%d7%a7%d7%95%d7%aa-%d7%9e%d7%99%d7%9d-%d7%90%d7%a0%d7%9c%d7%99%d7%96%d7%94-water-anlysis/</t>
  </si>
  <si>
    <t xml:space="preserve">OHAUS balances and centrifuges (e.g. FC-5515R refrigerated microcentrifuge) - Ohaus has a dedicated page in Labotal's live 'Represented Firms' archive, and Labotal's product/guide pages refer to Ohaus' 2024 acquisition of Hermle</t>
  </si>
  <si>
    <t xml:space="preserve">https://labotal.co.il/firms/ohaus/?lang=en</t>
  </si>
  <si>
    <t xml:space="preserve">https://www.yarden-biotec.co.il/manufacturer/scientific-industries</t>
  </si>
  <si>
    <t xml:space="preserve">Advanced Technological Solutions Ltd. (ATSL)</t>
  </si>
  <si>
    <t xml:space="preserve">WITec (an Oxford Instruments company since 2021) SNOM/AFM/Raman imaging systems - appointed exclusive distributor in Israel in November 2012 (Kiryat Ata); no later confirmation found, current status unknown</t>
  </si>
  <si>
    <t xml:space="preserve">https://www.analytica-world.com/en/news/140718/witec-appoints-new-distributor-in-israel.html</t>
  </si>
  <si>
    <t xml:space="preserve">Quantum Design s.r.l. (Italy and Israel branch office, Rome) / Quantum Design Israel site</t>
  </si>
  <si>
    <t xml:space="preserve">Quantum Design Europe serves Israel through a dedicated qd-europe.com/il site run from its 'Italy and Israel branch office' in Rome (+39 06 5004204, italy@qd-europe.com). QD completed the acquisition of Oxford Instruments' NanoScience division in January 2026 (now 'Quantum Design Oxford'), and QD Europe lists Oxford Instruments Andor detectors and WITec Raman microscopes on its European country sites; an Israel-specific Andor/WITec listing was not seen in snippets, so this is a lead, not a confirmed Oxford Instruments channel</t>
  </si>
  <si>
    <t xml:space="preserve">https://qd-europe.com/il/en</t>
  </si>
  <si>
    <t xml:space="preserve">https://qd-europe.com/il/en/news/latest-updates/newsdetails/quantum-design-to-acquire-nanoscience-division-of-oxford-instruments--2384/</t>
  </si>
  <si>
    <t xml:space="preserve">OZ Biosciences announced Tivan Biotech as its distributor in Israel (blog post, undated)</t>
  </si>
  <si>
    <t xml:space="preserve">https://www.tivanbiotech.com</t>
  </si>
  <si>
    <t xml:space="preserve">https://ozbiosciences.com/blog/welcome-to-our-new-distributor-in-israel-n6</t>
  </si>
  <si>
    <t xml:space="preserve">PerkinElmer Israel Ltd.</t>
  </si>
  <si>
    <t xml:space="preserve">direct sales, service and support for analytical instruments and OneSource lab services; HaSheizaf St 4, Ra'anana 4366411, +972 3655 8777 - live perkinelmer.com office-location pages</t>
  </si>
  <si>
    <t xml:space="preserve">1-700-500-512</t>
  </si>
  <si>
    <t xml:space="preserve">4 HaSheizaf St., Ra'anana</t>
  </si>
  <si>
    <t xml:space="preserve">https://www.perkinelmer.com/node/3901</t>
  </si>
  <si>
    <t xml:space="preserve">ISI Israel Scientific Instruments Ltd.</t>
  </si>
  <si>
    <t xml:space="preserve">food testing / food quality products, as listed on PerkinElmer's site; Shacham St 32, Petach Tikva, +972 3-9232202 (site given as isil.co.il)</t>
  </si>
  <si>
    <t xml:space="preserve">+972-3-9232202</t>
  </si>
  <si>
    <t xml:space="preserve">https://www.perkinelmer.com/node/10826</t>
  </si>
  <si>
    <t xml:space="preserve">PHCbi CO2/multigas incubators and biomedical/pharmaceutical freezers - Eldan's live laboratory-instruments page lists PHCbi alongside Hettich and Martin Christ</t>
  </si>
  <si>
    <t xml:space="preserve">https://www.eldan.biz/laboratory-instruments/</t>
  </si>
  <si>
    <t xml:space="preserve">PHCbi listed on Lumitron's 'Our brands' page (earlier record); this session 'PHCBI' appears only as a brand tag on Lumitron's live CO2-incubator-shaker product pages, so the relationship is re-confirmed weakly (brand mention, no PHCbi product page seen)</t>
  </si>
  <si>
    <t xml:space="preserve">https://www.lumitron.co.il/our-brands-heb/?lang=en</t>
  </si>
  <si>
    <t xml:space="preserve">Promega distributor for Israel - Kibbutz Beit Ha'Emek 2511500, bemek.co.il, per Promega's live 'Contact Promega' distributor list; IM Beit HaEmek's own site names Promega among officially distributed brands (prior round)</t>
  </si>
  <si>
    <t xml:space="preserve">https://www.promega.com/support/contact-promega/</t>
  </si>
  <si>
    <t xml:space="preserve">https://eisenbros.co.il/product-category/life-sciences-and-healthcare/cell-biology/</t>
  </si>
  <si>
    <t xml:space="preserve">Ilex Medical Ltd.</t>
  </si>
  <si>
    <t xml:space="preserve">QIAGEN molecular diagnostics and research: digital PCR and qPCR systems (QIAcuity, Rotor-Gene Q), nucleic-acid extraction, oncology and hematology assays, sample-to-result pathogen diagnostics; Ilex also offers molecular lab services run at QIAGEN's laboratory in Germany - live Ilex catalogue pages</t>
  </si>
  <si>
    <t xml:space="preserve">https://www.ilexmedical.com</t>
  </si>
  <si>
    <t xml:space="preserve">+972-3-9385500</t>
  </si>
  <si>
    <t xml:space="preserve">7 HaTnufa St., Petah Tikva</t>
  </si>
  <si>
    <t xml:space="preserve">https://www.ilexmedical.com/catalog_products/qpcr-dpcr/</t>
  </si>
  <si>
    <t xml:space="preserve">Eldan Electronic Instruments (Neopharm group)</t>
  </si>
  <si>
    <t xml:space="preserve">listed QIAGEN among the manufacturers it represents in Israel (life-science research) on a 2014 page and showed QIAGEN products at ISM/IIS meetings in 2015-2016; current status unconfirmed</t>
  </si>
  <si>
    <t xml:space="preserve">https://eldan.biz</t>
  </si>
  <si>
    <t xml:space="preserve">https://eldan.biz/?p=1052</t>
  </si>
  <si>
    <t xml:space="preserve">QIAGEN enzymes / OEM reagents sold through the Lifegene catalogue (not the QIAGEN instrument line)</t>
  </si>
  <si>
    <t xml:space="preserve">https://www.lifegene.co.il/page_30153</t>
  </si>
  <si>
    <t xml:space="preserve">MRC Laboratory Equipment &amp; Instruments</t>
  </si>
  <si>
    <t xml:space="preserve">MRC</t>
  </si>
  <si>
    <t xml:space="preserve">Carbolite Gero ovens and furnaces (forced-air ovens 300-600 C, clean-room ovens HTCR 400-600 C, high-temperature atmosphere ovens HTMA 500 C, solvent-drying ovens, 750 C air-circulating chamber furnaces, tube furnaces to 1800 C) - live MRC catalogue pages; official versus reseller status not stated by either side; nothing seen for Retsch, Eltra, Microtrac or QATM</t>
  </si>
  <si>
    <t xml:space="preserve">https://www.mrclab.com</t>
  </si>
  <si>
    <t xml:space="preserve">+972 3-559-5252</t>
  </si>
  <si>
    <t xml:space="preserve">3 Ha-Gavish St., Holon 5881702</t>
  </si>
  <si>
    <t xml:space="preserve">https://www.mrclab.com/carbolite_drying_ovens_for_solvent</t>
  </si>
  <si>
    <r>
      <rPr>
        <sz val="11"/>
        <color theme="1"/>
        <rFont val="Calibri"/>
        <family val="2"/>
        <charset val="1"/>
      </rPr>
      <t xml:space="preserve">Meshulam Avni &amp; Son Ltd. (</t>
    </r>
    <r>
      <rPr>
        <sz val="11"/>
        <color theme="1"/>
        <rFont val="FreeSans"/>
        <family val="2"/>
      </rPr>
      <t xml:space="preserve">משולם אבני ובנו בע</t>
    </r>
    <r>
      <rPr>
        <sz val="11"/>
        <color theme="1"/>
        <rFont val="Calibri"/>
        <family val="2"/>
        <charset val="1"/>
      </rPr>
      <t xml:space="preserve">"</t>
    </r>
    <r>
      <rPr>
        <sz val="11"/>
        <color theme="1"/>
        <rFont val="FreeSans"/>
        <family val="2"/>
      </rPr>
      <t xml:space="preserve">מ</t>
    </r>
    <r>
      <rPr>
        <sz val="11"/>
        <color theme="1"/>
        <rFont val="Calibri"/>
        <family val="2"/>
        <charset val="1"/>
      </rPr>
      <t xml:space="preserve">)</t>
    </r>
  </si>
  <si>
    <t xml:space="preserve">אבני ובנו</t>
  </si>
  <si>
    <t xml:space="preserve">https://avni-son.co.il/</t>
  </si>
  <si>
    <t xml:space="preserve">Roche Pharmaceuticals (Israel) Ltd. - Diagnostics division ("Roche Diagnostics Israel")</t>
  </si>
  <si>
    <t xml:space="preserve">Roche Diagnostics business in Israel (cobas core-lab/molecular, point-of-care IVD): Roche's live safety-officers page lists 'Roche Diagnostics Israel', 6 Hacharash Street, Hod Hasharon 4524079 with a local diagnostics safety officer (israel.lso-dia@roche.com); Roche Diagnostics' live office-locations page lists Roche Pharmaceuticals (Israel) Ltd. at the same address (+972 9 973 7777); a Roche careers posting (ID 202605-111903, i.e. May 2026) for an Application Specialist - Molecular Solutions in Hod Hasharon shows an active local diagnostics team</t>
  </si>
  <si>
    <t xml:space="preserve">https://www.roche.co.il</t>
  </si>
  <si>
    <t xml:space="preserve">+972-9-9737777</t>
  </si>
  <si>
    <t xml:space="preserve">6 Hacharash St., P.O. Box 3691, Hod Hasharon 4524079</t>
  </si>
  <si>
    <t xml:space="preserve">https://www.roche.com/solutions/diagnostics/safety-officers</t>
  </si>
  <si>
    <t xml:space="preserve">Gamidor Diagnostics</t>
  </si>
  <si>
    <r>
      <rPr>
        <sz val="11"/>
        <color theme="1"/>
        <rFont val="FreeSans"/>
        <family val="2"/>
      </rPr>
      <t xml:space="preserve">גאמידור דיאגנוסטיקה בע</t>
    </r>
    <r>
      <rPr>
        <sz val="11"/>
        <color theme="1"/>
        <rFont val="Calibri"/>
        <family val="2"/>
        <charset val="1"/>
      </rPr>
      <t xml:space="preserve">"</t>
    </r>
    <r>
      <rPr>
        <sz val="11"/>
        <color theme="1"/>
        <rFont val="FreeSans"/>
        <family val="2"/>
      </rPr>
      <t xml:space="preserve">מ</t>
    </r>
  </si>
  <si>
    <t xml:space="preserve">Roche Tissue Diagnostics only: Gamidor's live Tissue Diagnostics page offers IHC, molecular ISH and histochemical staining on automated slide-preparation instruments from VENTANA (Roche); not cobas/LightCycler</t>
  </si>
  <si>
    <t xml:space="preserve">https://gamidor.co.il</t>
  </si>
  <si>
    <t xml:space="preserve">https://gamidor.co.il/en/tissue-diagnostics-2/</t>
  </si>
  <si>
    <t xml:space="preserve">Dyn Diagnostics</t>
  </si>
  <si>
    <t xml:space="preserve">Roche Diabetes Care only: Dyn's live Home Care page lists ACCU-CHEK among its brands and describes its partnership with Roche Diabetes Care (Germany); CoaguChek INR self-testing also mentioned; not laboratory analyzers</t>
  </si>
  <si>
    <t xml:space="preserve">https://dyn.co.il</t>
  </si>
  <si>
    <t xml:space="preserve">https://dyn.co.il/home-care-en</t>
  </si>
  <si>
    <t xml:space="preserve">Sarstedt consumables (reagent and centrifuge tubes, gel-loading tips, disposable cuvettes, transfer pipettes) - SARSTEDT (Germany, plastic laboratory and medical products) is on Tamar's live 'Represented companies' page and Tamar's product pages carry Sarstedt items</t>
  </si>
  <si>
    <t xml:space="preserve">Sartorius Israel Ltd.</t>
  </si>
  <si>
    <t xml:space="preserve">Sartorius' Israeli company at Kibbutz Beit Haemek 2511500 (ex-Biological Industries; cell-culture media production site opened 2021); local contact tel. +972-4-9960595, info.israel@sartorius.com per Sartorius' live local-contact page</t>
  </si>
  <si>
    <t xml:space="preserve">+972 4-996-0595</t>
  </si>
  <si>
    <t xml:space="preserve">Kibbutz Beit Haemek 2511500</t>
  </si>
  <si>
    <t xml:space="preserve">Labotal Scientific Equipment</t>
  </si>
  <si>
    <t xml:space="preserve">self-described exclusive Sartorius representative in Israel for weighing (Cubis II balances, isoCAL) and lab products incl. pipettes - live Labotal guide and product pages</t>
  </si>
  <si>
    <r>
      <rPr>
        <sz val="11"/>
        <color theme="1"/>
        <rFont val="Calibri"/>
        <family val="2"/>
        <charset val="1"/>
      </rPr>
      <t xml:space="preserve">https://labotal.co.il/</t>
    </r>
    <r>
      <rPr>
        <sz val="11"/>
        <color theme="1"/>
        <rFont val="FreeSans"/>
        <family val="2"/>
      </rPr>
      <t xml:space="preserve">המדריך</t>
    </r>
    <r>
      <rPr>
        <sz val="11"/>
        <color theme="1"/>
        <rFont val="Calibri"/>
        <family val="2"/>
        <charset val="1"/>
      </rPr>
      <t xml:space="preserve">-</t>
    </r>
    <r>
      <rPr>
        <sz val="11"/>
        <color theme="1"/>
        <rFont val="FreeSans"/>
        <family val="2"/>
      </rPr>
      <t xml:space="preserve">המקיף</t>
    </r>
    <r>
      <rPr>
        <sz val="11"/>
        <color theme="1"/>
        <rFont val="Calibri"/>
        <family val="2"/>
        <charset val="1"/>
      </rPr>
      <t xml:space="preserve">-</t>
    </r>
    <r>
      <rPr>
        <sz val="11"/>
        <color theme="1"/>
        <rFont val="FreeSans"/>
        <family val="2"/>
      </rPr>
      <t xml:space="preserve">לבחירת</t>
    </r>
    <r>
      <rPr>
        <sz val="11"/>
        <color theme="1"/>
        <rFont val="Calibri"/>
        <family val="2"/>
        <charset val="1"/>
      </rPr>
      <t xml:space="preserve">-</t>
    </r>
    <r>
      <rPr>
        <sz val="11"/>
        <color theme="1"/>
        <rFont val="FreeSans"/>
        <family val="2"/>
      </rPr>
      <t xml:space="preserve">מאזניים</t>
    </r>
    <r>
      <rPr>
        <sz val="11"/>
        <color theme="1"/>
        <rFont val="Calibri"/>
        <family val="2"/>
        <charset val="1"/>
      </rPr>
      <t xml:space="preserve">-</t>
    </r>
    <r>
      <rPr>
        <sz val="11"/>
        <color theme="1"/>
        <rFont val="FreeSans"/>
        <family val="2"/>
      </rPr>
      <t xml:space="preserve">אנליטיים</t>
    </r>
    <r>
      <rPr>
        <sz val="11"/>
        <color theme="1"/>
        <rFont val="Calibri"/>
        <family val="2"/>
        <charset val="1"/>
      </rPr>
      <t xml:space="preserve">/</t>
    </r>
  </si>
  <si>
    <t xml:space="preserve">https://ornat.co.il/consumables/</t>
  </si>
  <si>
    <t xml:space="preserve">Enco's About page lists 'Stem Cell' among distributed brands - most likely STEMCELL Technologies; to confirm</t>
  </si>
  <si>
    <t xml:space="preserve">Listed as Tecan's Israel contact on tecan.com's live Contact Us page: Shaham 32, Petah Tikva, +972-3-9277286, contact Mr. Moshe Cohen; described as specialising in development, production and distribution of automated workflow solutions for life-science laboratories (i.e. the lab-automation line, not only diagnostics/LC-MS kits)</t>
  </si>
  <si>
    <t xml:space="preserve">https://www.yarden-biotec.co.il/manufacturer/usa-scientific</t>
  </si>
  <si>
    <t xml:space="preserve">סיטרין סולושנס</t>
  </si>
  <si>
    <t xml:space="preserve">054-6064300</t>
  </si>
  <si>
    <t xml:space="preserve">info@ctrn-s.com</t>
  </si>
  <si>
    <t xml:space="preserve">https://www.citrinesolutions.co.il/?module=catalog&amp;item_id=5&amp;c_id=1</t>
  </si>
  <si>
    <t xml:space="preserve">טוטנאור</t>
  </si>
  <si>
    <t xml:space="preserve">Tuttnauer's Israeli legal entity, headquarters and manufacturing base: Har Tuv B Industrial Zone, P.O. Box 170, Beit Shemesh 9910101, Israel (founded 1925; described as the central base for worldwide operations and product development; US HQ in Hauppauge, NY).</t>
  </si>
  <si>
    <t xml:space="preserve">https://pharmchoices.com/list-of-medical-device-companies-in-israel-2/7/</t>
  </si>
  <si>
    <t xml:space="preserve">VELP analytical line (UDK Kjeldahl distillers, DKL digesters, NDA 702 Dumas analyser, fibre/fat extractors, oxidation testers) - Labotal's VELP supplier page states it became exclusive representative for VELP's analytical line in Israel during 2024, and VELP is listed on Labotal's live 'Represented Firms' page; VELP's own distribution-awards page lists Israel among its distributor countries without naming the firm</t>
  </si>
  <si>
    <t xml:space="preserve">Waters (TC) Israel Ltd.</t>
  </si>
  <si>
    <t xml:space="preserve">Waters' own Israeli sales and service subsidiary for LC/MS: Israeli government sole-supplier notices show Waters (TC) Israel Ltd. as sole supplier of 16 Waters HPLC systems to Ministry of Health labs (contract Jun 2018-Dec 2019) and 'Waters Israel' holding an LC-MS/MS maintenance contract (2017-18); listed in Waters' Feb-2024 10-K subsidiaries exhibit; waters.com runs an en_IL locale with an Israel training-course list</t>
  </si>
  <si>
    <t xml:space="preserve">https://www.sec.gov/Archives/edgar/data/1000697/000119312524047491/d691142dex211.htm</t>
  </si>
  <si>
    <t xml:space="preserve">TA Instruments (a Waters division) thermal analysis, rheology and microcalorimetry – listed in TA Instruments' Middle East directory</t>
  </si>
  <si>
    <t xml:space="preserve">https://www.tainstruments.com/events/middleeast-directory.html</t>
  </si>
  <si>
    <t xml:space="preserve">listed as Yamato Scientific's sales representative for Israel on Yamato's global partners page (Shatner Center bldg 7, Givat Shaul, Jerusalem, +972-74-7029898); no Yamato products seen on S.L. Moran's own site</t>
  </si>
  <si>
    <t xml:space="preserve">https://www.yamato-scientific.com/global/</t>
  </si>
  <si>
    <t xml:space="preserve">מוצר</t>
  </si>
  <si>
    <t xml:space="preserve">קישור</t>
  </si>
  <si>
    <t xml:space="preserve">https://www.dutscher.com/article/699009</t>
  </si>
  <si>
    <t xml:space="preserve">https://www.dutscher.com/article/699014</t>
  </si>
  <si>
    <t xml:space="preserve">https://www.dutscher.com/article/699055</t>
  </si>
  <si>
    <t xml:space="preserve">2mag MIXcontrol XL controller for magnetic stirrer MIXdrive 1XL</t>
  </si>
  <si>
    <t xml:space="preserve">https://www.dutscher.com/article/699050</t>
  </si>
  <si>
    <t xml:space="preserve">ATEX Stirrer - ATEX II 2G Ex mb IIC T4 Gb</t>
  </si>
  <si>
    <t xml:space="preserve">https://www.dutscher.com/article/699036</t>
  </si>
  <si>
    <t xml:space="preserve">https://www.thomassci.com/p/3m-head-harness-assembly-for-6000-series</t>
  </si>
  <si>
    <t xml:space="preserve">https://www.thomassci.com/p/comply-lead-free-steam-indicator-tape</t>
  </si>
  <si>
    <t xml:space="preserve">https://www.thomassci.com/p/3m-securefit-protective-eyewear-sf201af-clear-lens</t>
  </si>
  <si>
    <t xml:space="preserve">Scotch® Magic™ Tape</t>
  </si>
  <si>
    <t xml:space="preserve">https://www.thomassci.com/p/scotch-magic-tape</t>
  </si>
  <si>
    <t xml:space="preserve">Particulate Respirator 8200/07023(AAD), N95</t>
  </si>
  <si>
    <t xml:space="preserve">https://www.thomassci.com/p/particulate-respirator-8200/07023aad-n95</t>
  </si>
  <si>
    <t xml:space="preserve">https://www.thomassci.com/p/8511-particulate-respirator-n95</t>
  </si>
  <si>
    <t xml:space="preserve">https://www.thomassci.com/p/1860-particulate-respirator-mask-n95</t>
  </si>
  <si>
    <t xml:space="preserve">https://www.thomassci.com/p/versaflo-ammonia/methylamine/hepa-cartridge-for-tr-600/800-papr</t>
  </si>
  <si>
    <t xml:space="preserve">Versaflo™ Headcover with Integrated Head Suspension</t>
  </si>
  <si>
    <t xml:space="preserve">https://www.thomassci.com/p/versaflo-headcover-with-integrated-head-suspension</t>
  </si>
  <si>
    <t xml:space="preserve">3M™ Doodleduster™ Disposable Dusting Cloth Holder</t>
  </si>
  <si>
    <t xml:space="preserve">https://www.thomassci.com/p/3m-doodleduster-disposable-dusting-cloth-holder</t>
  </si>
  <si>
    <t xml:space="preserve">https://www.thomassci.com/p/framestar-break-a-way-pcr-plates</t>
  </si>
  <si>
    <t xml:space="preserve">https://www.thomassci.com/p/tear-a-way-pcr-plates</t>
  </si>
  <si>
    <t xml:space="preserve">https://www.thomassci.com/p/384-well-skirted-pcr-plates</t>
  </si>
  <si>
    <t xml:space="preserve">Reservoir Plates</t>
  </si>
  <si>
    <t xml:space="preserve">https://www.thomassci.com/p/reservoir-plates</t>
  </si>
  <si>
    <t xml:space="preserve">Custom Linear Barcode Labels, roll</t>
  </si>
  <si>
    <t xml:space="preserve">https://www.thomassci.com/p/custom-linear-barcode-labels-roll-surcharge-for-orders-below-750-labels-minimum-order-charge</t>
  </si>
  <si>
    <t xml:space="preserve">precision balances with impact-shock detection</t>
  </si>
  <si>
    <t xml:space="preserve">0.1 mg analytical balances</t>
  </si>
  <si>
    <t xml:space="preserve">halogen-lamp moisture balances</t>
  </si>
  <si>
    <t xml:space="preserve">https://www.dutscher.com/article/016000</t>
  </si>
  <si>
    <t xml:space="preserve">https://www.dutscher.com/article/016015</t>
  </si>
  <si>
    <t xml:space="preserve">https://www.dutscher.com/article/017236</t>
  </si>
  <si>
    <t xml:space="preserve">96-well PCR Plate SuperPlate AB - 2400 with 1/2 skirt natural color ABgene</t>
  </si>
  <si>
    <t xml:space="preserve">https://www.dutscher.com/article/017232</t>
  </si>
  <si>
    <t xml:space="preserve">PCR plate skirted low profile 96 wells natural colour and black alphanumeric labelling ABgene</t>
  </si>
  <si>
    <t xml:space="preserve">https://www.dutscher.com/article/016680</t>
  </si>
  <si>
    <t xml:space="preserve">https://www.thomassci.com/p/abramag-biotin-magnetic-beads</t>
  </si>
  <si>
    <t xml:space="preserve">https://www.thomassci.com/p/abramag-anti-mouse-igg-magnetic-beads</t>
  </si>
  <si>
    <t xml:space="preserve">https://www.thomassci.com/p/abramag-anti-e-coli-ims-beads</t>
  </si>
  <si>
    <t xml:space="preserve">AbraMag™ Amine Magnetic Beads</t>
  </si>
  <si>
    <t xml:space="preserve">https://www.thomassci.com/p/abramag-amine-magnetic-beads</t>
  </si>
  <si>
    <t xml:space="preserve">Cylindrospermopsin, ELISA, 96-test</t>
  </si>
  <si>
    <t xml:space="preserve">https://www.thomassci.com/p/cylindrospermopsin-elisa</t>
  </si>
  <si>
    <t xml:space="preserve">https://www.thomassci.com/p/micropipette-full-fill</t>
  </si>
  <si>
    <t xml:space="preserve">https://www.thomassci.com/p/micropipette-calibrated</t>
  </si>
  <si>
    <t xml:space="preserve">https://www.thomassci.com/p/micropipette-bulb-x-10</t>
  </si>
  <si>
    <t xml:space="preserve">https://www.thomassci.com/p/upright-controlled-room-temperature-cabinet</t>
  </si>
  <si>
    <t xml:space="preserve">https://www.thomassci.com/p/counter-height-vaccine-refrigerator-certified-to-nsf/ansi-456-vaccine-storage-standard</t>
  </si>
  <si>
    <t xml:space="preserve">https://www.thomassci.com/p/freezers</t>
  </si>
  <si>
    <t xml:space="preserve">Performance Pharmacy-Vaccine Refrigerators/Freezers</t>
  </si>
  <si>
    <t xml:space="preserve">https://www.thomassci.com/p/performance-pharmacy-vaccine-refrigerators/freezers</t>
  </si>
  <si>
    <t xml:space="preserve">ADA Height Upright Controlled Room Temperature Cabinet</t>
  </si>
  <si>
    <t xml:space="preserve">https://www.thomassci.com/p/ada-height-upright-controlled-room-temperature-cabinet</t>
  </si>
  <si>
    <t xml:space="preserve">https://www.thomassci.com/p/custom-nfpa-labels-and-placards-15x15-aluminum</t>
  </si>
  <si>
    <t xml:space="preserve">https://www.thomassci.com/p/hazardous-materials-systems-labels</t>
  </si>
  <si>
    <t xml:space="preserve">https://www.thomassci.com/p/notice-safety-glasses-required-beyond-this-point-signs</t>
  </si>
  <si>
    <t xml:space="preserve">Lockout Center</t>
  </si>
  <si>
    <t xml:space="preserve">https://www.thomassci.com/p/lockout-center</t>
  </si>
  <si>
    <t xml:space="preserve">Skid-Gard™ Color Floor Tape</t>
  </si>
  <si>
    <t xml:space="preserve">https://www.thomassci.com/p/skid-gard-color-floor-tape-blk/yell</t>
  </si>
  <si>
    <t xml:space="preserve">https://www.thomassci.com/p/myvolt-mini-power-supply-100v-/-200v-eu-plug</t>
  </si>
  <si>
    <t xml:space="preserve">https://www.thomassci.com/p/smartdoc-20-gel-visualization-and-smart-phone-imaging-system</t>
  </si>
  <si>
    <t xml:space="preserve">https://www.thomassci.com/p/series-tx-analytical-balances</t>
  </si>
  <si>
    <t xml:space="preserve">myVolt™ Touch Power Supply</t>
  </si>
  <si>
    <t xml:space="preserve">https://www.thomassci.com/p/myvolt-touch-power-supply1</t>
  </si>
  <si>
    <t xml:space="preserve">myGel™ Mini Electrophoresis System Starter Kits</t>
  </si>
  <si>
    <t xml:space="preserve">https://www.thomassci.com/p/mygel-mini-electrophoresis-system-starter-kits</t>
  </si>
  <si>
    <t xml:space="preserve">https://www.thomassci.com/p/razor-blades-gem-coated-stainless-steel-aluminum-spine-009-thick-pack</t>
  </si>
  <si>
    <t xml:space="preserve">https://www.thomassci.com/p/blades-accutec-gem-uncoated-single-edge-blades-stainless-back-009-thickness-stainless-steel-x-keen-degreased-packed-in-safety-dispenser-10-per-pack-200-packs-per-case</t>
  </si>
  <si>
    <t xml:space="preserve">https://www.thomassci.com/p/single-edge-razor-blades-100-blade-dispenser-famous-duro-edge-steel-back-009-thick1</t>
  </si>
  <si>
    <t xml:space="preserve">AccuTec PRO 9MM 13-Point Snap-Off Knife, Jar of 75</t>
  </si>
  <si>
    <t xml:space="preserve">https://www.thomassci.com/p/knife-american-safety-razor-break-away-razor-knives-assorted-neon-dispoable-75-per-case</t>
  </si>
  <si>
    <t xml:space="preserve">AccuTec PRO Aluminum Back Single Edge Razor Blade, 100 Pack with Display</t>
  </si>
  <si>
    <t xml:space="preserve">https://www.thomassci.com/p/razor-blades-single-straight-edge-009-aluminum-spine</t>
  </si>
  <si>
    <t xml:space="preserve">https://www.thomassci.com/p/adapter-rotary-evaporator-vial-adapter</t>
  </si>
  <si>
    <t xml:space="preserve">https://www.thomassci.com/p/1ml-tissue-grinder-dounce-type</t>
  </si>
  <si>
    <t xml:space="preserve">https://www.thomassci.com/p/adapter-gas-inlet2</t>
  </si>
  <si>
    <t xml:space="preserve">Flask, Pressure, Round Bottom</t>
  </si>
  <si>
    <t xml:space="preserve">https://www.thomassci.com/p/flask-pressure-round-bottom1</t>
  </si>
  <si>
    <t xml:space="preserve">Sublimation Apparatus, Vacuum</t>
  </si>
  <si>
    <t xml:space="preserve">https://www.thomassci.com/p/sublimation-apparatus-vacuum</t>
  </si>
  <si>
    <t xml:space="preserve">https://www.thomassci.com/p/pac-kit-ansi-number-50-plastic-first-aid-kit-50-person-165-items</t>
  </si>
  <si>
    <t xml:space="preserve">https://www.thomassci.com/p/first-aid-metal-cabinet-3-shelf-without-medications-ansi-class-a-94-pieces-95-x-12-x-3-sold-as-each</t>
  </si>
  <si>
    <t xml:space="preserve">https://www.thomassci.com/p/large-metal-smartcompliance-cabinet-ansi-a-with-meds-202-pieces-50-person-solid-steel-case-comes-with-a-carrying-handle-and-is-wall-mountable-contents-exceed-the-2015-ansi-cl</t>
  </si>
  <si>
    <t xml:space="preserve">PhysiciansCare® Eyewash Station &amp; Accessories</t>
  </si>
  <si>
    <t xml:space="preserve">https://www.thomassci.com/p/eyewash-station-and-accessories</t>
  </si>
  <si>
    <t xml:space="preserve">Alcohol Wipes</t>
  </si>
  <si>
    <t xml:space="preserve">https://www.thomassci.com/p/alcohol-wipes-100/bx</t>
  </si>
  <si>
    <t xml:space="preserve">https://www.thomassci.com/p/1200c-muffle-furnaces</t>
  </si>
  <si>
    <t xml:space="preserve">https://www.thomassci.com/p/ptfe-sealing-sleeves</t>
  </si>
  <si>
    <t xml:space="preserve">https://www.thomassci.com/p/ai-watervac-2-head-recirculating-water-vacuum-pumps</t>
  </si>
  <si>
    <t xml:space="preserve">Heavy Wall 2L Round Bottom 2-Neck Flasks</t>
  </si>
  <si>
    <t xml:space="preserve">https://www.thomassci.com/p/heavy-wall-2l-round-bottom-2-neck-flasks</t>
  </si>
  <si>
    <t xml:space="preserve">Stainless Steel (Grade 304) Grinding Jar with Lid</t>
  </si>
  <si>
    <t xml:space="preserve">https://www.thomassci.com/p/stainless-steel-grade-304-grinding-jar-with-lid</t>
  </si>
  <si>
    <t xml:space="preserve">https://www.thomassci.com/p/rt-pcr-tube-01ml-12-strip-flat-cap-white-sterile-80/pk</t>
  </si>
  <si>
    <t xml:space="preserve">https://www.thomassci.com/p/rt-pcr-tube-02ml-8-strip-flat-cap-white-sterile-125/pk</t>
  </si>
  <si>
    <t xml:space="preserve">https://www.thomassci.com/p/rt-pcr-tube-01ml-8-strip-flat-cap-white-sterile-125/pk</t>
  </si>
  <si>
    <t xml:space="preserve">RT PCR Tube, 0.2mL 12-strip, Flat Cap, White, Sterile, 80/pk</t>
  </si>
  <si>
    <t xml:space="preserve">https://www.thomassci.com/p/rt-pcr-tube-02ml-12-strip-flat-cap-white-sterile-80/pk</t>
  </si>
  <si>
    <t xml:space="preserve">https://www.thomassci.com/p/pharma-chemo-mat-sterile-lint-less</t>
  </si>
  <si>
    <t xml:space="preserve">https://www.thomassci.com/p/iv-transfer-sets-single-lead-fluid-transfer-set-vented-inlet-spike-and-male-luer-outlet-sterile-10-sets/bx</t>
  </si>
  <si>
    <t xml:space="preserve">https://www.thomassci.com/p/pharma-wipe-sterile</t>
  </si>
  <si>
    <t xml:space="preserve">Pharma-Sat Mop Covers™ Pre-Saturated with 70% IPA / 30% DI, Fit any 8"x 15" Mop Frame, 100% Polyester Mop Covers, Non-Shedding, Non-Sterile, (25/bag, 4 bags/case + 4 pads)</t>
  </si>
  <si>
    <t xml:space="preserve">https://www.thomassci.com/p/pharma-sat-mop-covers-pre-saturated-with-70-ipa-/-30-di-fit-any-8-inchx-15-inch-mop-frame-100-polyester-mop-covers-non-shedding-non-sterile-25/bag-4-bags/case-4-pads</t>
  </si>
  <si>
    <t xml:space="preserve">AlphaMop™, The Original, 1 Kit, Includes Accessories</t>
  </si>
  <si>
    <t xml:space="preserve">https://www.thomassci.com/p/alphamop-the-original-1-kit-includes-accessories</t>
  </si>
  <si>
    <t xml:space="preserve">https://www.thomassci.com/p/pharma-sat-plus-70-ipa-sterile-polyester/cellulose-wipers</t>
  </si>
  <si>
    <t xml:space="preserve">https://www.thomassci.com/p/sterile-isopropyl-alcohol-70-ipa-16oz-trigger-spray-acute-care-brand-double-bagged-1/ea-9ea/cs</t>
  </si>
  <si>
    <t xml:space="preserve">https://www.thomassci.com/p/pharma-sat-plus-9-x-11-inch-70-ipa-poly/cell-low-endotoxin-sterile-wiper-50-wipes/pouches-24-pouches/cases-1200</t>
  </si>
  <si>
    <t xml:space="preserve">https://www.thomassci.com/p/person-scale-mechanical-and-digital</t>
  </si>
  <si>
    <t xml:space="preserve">https://www.thomassci.com/p/highland-approved-portable-precision-balances</t>
  </si>
  <si>
    <t xml:space="preserve">https://www.thomassci.com/p/cpwplus-bench-scales</t>
  </si>
  <si>
    <t xml:space="preserve">Hard Carrying Cases</t>
  </si>
  <si>
    <t xml:space="preserve">https://www.thomassci.com/p/hard-carrying-cases</t>
  </si>
  <si>
    <t xml:space="preserve">CPWplus L Floor Scales</t>
  </si>
  <si>
    <t xml:space="preserve">https://www.thomassci.com/p/cpwplus-l-floor-scales</t>
  </si>
  <si>
    <t xml:space="preserve">https://www.thomassci.com/p/boc-cystrt-oh-boc-s-trityl-l-cysteine-cas-number-21947-98-8</t>
  </si>
  <si>
    <t xml:space="preserve">https://www.thomassci.com/p/boc-gluobzl-onp-n-t-boc-gamma-benzyl-l-glutamic-acid-p-nitrophenyl-ester-cas-number-7536-59-6</t>
  </si>
  <si>
    <t xml:space="preserve">https://www.thomassci.com/p/pybop-benzotriazole-1-ly-oxy-tris-pyrrolidinophosphonium-hexafluorphosphate-cas-number-128625-52-5</t>
  </si>
  <si>
    <t xml:space="preserve">Fmoc-Val-Wang Resin, 100-200 mesh, 1% DVB</t>
  </si>
  <si>
    <t xml:space="preserve">https://www.thomassci.com/p/fmoc-val-wang-resin-100-200-mesh-1-dvb</t>
  </si>
  <si>
    <t xml:space="preserve">Fmoc-Gln(Trt)-OH; N-alpha-Fmoc-N-delta-Trityl-L-Glutamine; CAS Number: 132327-80-1</t>
  </si>
  <si>
    <t xml:space="preserve">https://www.thomassci.com/p/fmoc-glntrt-oh-n-alpha-fmoc-n-delta-trityl-l-glutamine-cas-number-132327-80-1</t>
  </si>
  <si>
    <t xml:space="preserve">https://www.thomassci.com/p/blot-development-folders</t>
  </si>
  <si>
    <t xml:space="preserve">https://www.thomassci.com/p/westernbright-ecl-hrp-substrate</t>
  </si>
  <si>
    <t xml:space="preserve">https://www.thomassci.com/p/afyon-sds-page-sample-preparation-kit</t>
  </si>
  <si>
    <t xml:space="preserve">WesternBright™ Quantum™ HRP Substrate</t>
  </si>
  <si>
    <t xml:space="preserve">https://www.thomassci.com/p/westernbright-quantum-hrp-substrate</t>
  </si>
  <si>
    <t xml:space="preserve">Blotting Papers</t>
  </si>
  <si>
    <t xml:space="preserve">https://www.thomassci.com/p/blotting-papers1</t>
  </si>
  <si>
    <t xml:space="preserve">https://www.dutscher.com/article/140446</t>
  </si>
  <si>
    <t xml:space="preserve">https://www.dutscher.com/article/032839</t>
  </si>
  <si>
    <t xml:space="preserve">https://www.dutscher.com/article/032287B</t>
  </si>
  <si>
    <t xml:space="preserve">Lid for ultrasound bath 2.75 Litres</t>
  </si>
  <si>
    <t xml:space="preserve">https://www.dutscher.com/article/032133</t>
  </si>
  <si>
    <t xml:space="preserve">https://www.thomassci.com/p/hydrophobic-ptfe-membrane-filters</t>
  </si>
  <si>
    <t xml:space="preserve">https://www.thomassci.com/p/quantitative-ashless-filter-paper-no-6</t>
  </si>
  <si>
    <t xml:space="preserve">https://www.thomassci.com/p/stainless-steel-vacuum-manifold1</t>
  </si>
  <si>
    <t xml:space="preserve">Quantitative Ashless Filter Paper, No. 5B</t>
  </si>
  <si>
    <t xml:space="preserve">https://www.thomassci.com/p/quantitative-ashless-filter-paper-no-5b</t>
  </si>
  <si>
    <t xml:space="preserve">Syringe Filters and 50mm Units, Sterile - MCE, CA, NY, PES, PTFE</t>
  </si>
  <si>
    <t xml:space="preserve">https://www.thomassci.com/p/syringe-filters-and-50mm-units-sterile-mce-ca-ny-pes-ptfe</t>
  </si>
  <si>
    <t xml:space="preserve">https://www.thomassci.com/p/8-diameter-2032-mm-covers-and-pans</t>
  </si>
  <si>
    <t xml:space="preserve">https://www.thomassci.com/p/8-diameter-2032-mm-test-sieves-number-50</t>
  </si>
  <si>
    <t xml:space="preserve">https://www.thomassci.com/p/sonic-sieve-3-inch-acrylic</t>
  </si>
  <si>
    <t xml:space="preserve">12" Diameter (304.8 mm) Test Sieves, 3/4” and 3/8”</t>
  </si>
  <si>
    <t xml:space="preserve">https://www.thomassci.com/p/12-diameter-3048-mm-test-sieves-3/4-and-3/8</t>
  </si>
  <si>
    <t xml:space="preserve">8" Diameter (203.2 mm) Test Sieves, #10</t>
  </si>
  <si>
    <t xml:space="preserve">https://www.thomassci.com/p/8-diameter-2032-mm-test-sieves-number-10</t>
  </si>
  <si>
    <t xml:space="preserve">https://www.thomassci.com/p/human-rbp3retinol-binding-protein-3-interstitial-elisa-kit</t>
  </si>
  <si>
    <t xml:space="preserve">https://www.thomassci.com/p/sucrose-beet-derivedmanufactured-as-per-gmp-usp/nf-ep-jp-high-purity-low-endotoxin</t>
  </si>
  <si>
    <t xml:space="preserve">https://www.thomassci.com/p/mouse-c1qacomplement-component-1-q-subcomponent-a-elisa-kit</t>
  </si>
  <si>
    <t xml:space="preserve">Human STAT5A(Signal Transducer And Activator Of Transcription 5A) ELISA Kit</t>
  </si>
  <si>
    <t xml:space="preserve">https://www.thomassci.com/p/human-stat5asignal-transducer-and-activator-of-transcription-5a-elisa-kit</t>
  </si>
  <si>
    <t xml:space="preserve">Rat MIP1g(Macrophage Inflammatory Protein 1 Gamma) ELISA Kit</t>
  </si>
  <si>
    <t xml:space="preserve">https://www.thomassci.com/p/rat-mip1gmacrophage-inflammatory-protein-1-gamma-elisa-kit</t>
  </si>
  <si>
    <t xml:space="preserve">flagship UHPLC liquid chromatography system</t>
  </si>
  <si>
    <t xml:space="preserve">gas chromatograph and GC-MS/MS systems</t>
  </si>
  <si>
    <t xml:space="preserve">cell imaging multimode microplate reader</t>
  </si>
  <si>
    <t xml:space="preserve">https://www.thomassci.com/p/difficult-cloning-competent-cell-pack</t>
  </si>
  <si>
    <t xml:space="preserve">https://www.thomassci.com/p/markers-1bp-1500bp-3-2ml</t>
  </si>
  <si>
    <t xml:space="preserve">https://www.thomassci.com/p/dsdna-915-reagent-kit-35-5000bp-1000</t>
  </si>
  <si>
    <t xml:space="preserve">Large Fragment Separation Gel, 240mL</t>
  </si>
  <si>
    <t xml:space="preserve">https://www.thomassci.com/p/large-fragment-separation-gel-240ml</t>
  </si>
  <si>
    <t xml:space="preserve">Mouse Reference RNA</t>
  </si>
  <si>
    <t xml:space="preserve">https://www.thomassci.com/p/mouse-reference-rna</t>
  </si>
  <si>
    <t xml:space="preserve">https://www.thomassci.com/p/polyethersulfone-pes-filter-microplates</t>
  </si>
  <si>
    <t xml:space="preserve">https://www.thomassci.com/p/storage-plates1</t>
  </si>
  <si>
    <t xml:space="preserve">https://www.thomassci.com/p/microplates-accessories</t>
  </si>
  <si>
    <t xml:space="preserve">https://www.thomassci.com/p/reagent-reservoirs15</t>
  </si>
  <si>
    <t xml:space="preserve">Cell Culture and Imaging Microplates</t>
  </si>
  <si>
    <t xml:space="preserve">https://www.thomassci.com/p/cell-culture-and-imaging-plates</t>
  </si>
  <si>
    <t xml:space="preserve">https://www.dutscher.com/article/074074</t>
  </si>
  <si>
    <t xml:space="preserve">https://www.dutscher.com/article/074021</t>
  </si>
  <si>
    <t xml:space="preserve">https://www.dutscher.com/article/010362C</t>
  </si>
  <si>
    <t xml:space="preserve">Glass microfiber filter sheets, grade 261, ø 25 mm</t>
  </si>
  <si>
    <t xml:space="preserve">https://www.dutscher.com/article/036313B</t>
  </si>
  <si>
    <t xml:space="preserve">Glass microfiber filter sheets, grade 261, ø 47 mm</t>
  </si>
  <si>
    <t xml:space="preserve">https://www.dutscher.com/article/036315B</t>
  </si>
  <si>
    <t xml:space="preserve">https://www.thomassci.com/p/hood-filters</t>
  </si>
  <si>
    <t xml:space="preserve">https://www.thomassci.com/p/laminar-flow-hoods</t>
  </si>
  <si>
    <t xml:space="preserve">https://www.thomassci.com/p/ductless-fume-hoods</t>
  </si>
  <si>
    <t xml:space="preserve">Heavy Duty Cart</t>
  </si>
  <si>
    <t xml:space="preserve">https://www.thomassci.com/p/heavy-duty-cart</t>
  </si>
  <si>
    <t xml:space="preserve">Biological Safety Cabinet</t>
  </si>
  <si>
    <t xml:space="preserve">https://www.thomassci.com/p/biological-safety-cabinet-1</t>
  </si>
  <si>
    <t xml:space="preserve">https://www.thomassci.com/p/norm-ject-luer-lock-syringe</t>
  </si>
  <si>
    <t xml:space="preserve">https://www.thomassci.com/p/sterile-hypodermic-needle</t>
  </si>
  <si>
    <t xml:space="preserve">https://www.thomassci.com/p/all-plastic-syringes</t>
  </si>
  <si>
    <t xml:space="preserve">HSW Fine-Ject Hypodermic Needles</t>
  </si>
  <si>
    <t xml:space="preserve">https://www.thomassci.com/p/hsw-fine-ject-hypodermic-needles</t>
  </si>
  <si>
    <t xml:space="preserve">HSW Soft-Ject® Luer Lock Syringes</t>
  </si>
  <si>
    <t xml:space="preserve">https://www.thomassci.com/p/soft-ject-luer-lock-syringes</t>
  </si>
  <si>
    <t xml:space="preserve">https://www.thomassci.com/p/combination-pcr-workstations-with-uvtect-microprocessor-controller</t>
  </si>
  <si>
    <t xml:space="preserve">https://www.thomassci.com/p/activated-bonded-carbon-filters</t>
  </si>
  <si>
    <t xml:space="preserve">https://www.thomassci.com/p/powdersafe-type-b-enclosures-1</t>
  </si>
  <si>
    <t xml:space="preserve">Pre-Filters</t>
  </si>
  <si>
    <t xml:space="preserve">https://www.thomassci.com/p/pre-filters</t>
  </si>
  <si>
    <t xml:space="preserve">Combination PCR Workstations</t>
  </si>
  <si>
    <t xml:space="preserve">https://www.thomassci.com/p/combination-pcr-workstations-1</t>
  </si>
  <si>
    <t xml:space="preserve">https://www.thomassci.com/p/sight-savers-anti-fog-optical-and-lens-wiper</t>
  </si>
  <si>
    <t xml:space="preserve">https://www.thomassci.com/p/eye-glass-lens-cleaner-allegro-number-0350-100/bx-k-408</t>
  </si>
  <si>
    <t xml:space="preserve">https://www.thomassci.com/p/gas-detection-tube-sulfur-dioxide-0-02-to-0-30</t>
  </si>
  <si>
    <t xml:space="preserve">Safety Glasses, Clear, Anti-Scratch Lens</t>
  </si>
  <si>
    <t xml:space="preserve">https://www.thomassci.com/p/safety-glasses-clear-anti-scratch-lens</t>
  </si>
  <si>
    <t xml:space="preserve">Radnor Pre-Moistened Lens Cleaning Towelettes</t>
  </si>
  <si>
    <t xml:space="preserve">https://www.thomassci.com/p/radnor-pre-moistened-lens-cleaning-towelettes</t>
  </si>
  <si>
    <t xml:space="preserve">https://www.thomassci.com/p/wipes-dispensers</t>
  </si>
  <si>
    <t xml:space="preserve">https://www.thomassci.com/p/cleanroom-wiper-dispenser-petg-wall-mountable-with-lid</t>
  </si>
  <si>
    <t xml:space="preserve">https://www.thomassci.com/p/flip-top-small-item-dispenser</t>
  </si>
  <si>
    <t xml:space="preserve">Glove Dispenser</t>
  </si>
  <si>
    <t xml:space="preserve">https://www.thomassci.com/p/glove-dispenser</t>
  </si>
  <si>
    <t xml:space="preserve">Dispenser, 2 Compartment, Junior, Acrylic, 15.75 w x 14 h x 9.25 d, Clear High Impact PETG, 1 each</t>
  </si>
  <si>
    <t xml:space="preserve">https://www.thomassci.com/p/dispenser-2-compartment-junior-acrylic-1575-w-x-14-h-x-925-d-clear-high-impact-petg-1-each</t>
  </si>
  <si>
    <t xml:space="preserve">https://www.thomassci.com/p/stackable-storage-cabinets</t>
  </si>
  <si>
    <t xml:space="preserve">https://www.thomassci.com/p/polypropylene-storage-bins</t>
  </si>
  <si>
    <t xml:space="preserve">https://www.thomassci.com/p/alconox-general-purpose-powdered-precision-cleaner-laboratory-detergent</t>
  </si>
  <si>
    <t xml:space="preserve">https://www.thomassci.com/p/tergajet-powdered-detergent</t>
  </si>
  <si>
    <t xml:space="preserve">https://www.thomassci.com/p/solujet-liquid-cleaner</t>
  </si>
  <si>
    <t xml:space="preserve">Detojet® Biodegradable Cleaning Compound</t>
  </si>
  <si>
    <t xml:space="preserve">https://www.thomassci.com/p/det-o-jet-biodegradable-cleaning-compound</t>
  </si>
  <si>
    <t xml:space="preserve">Citranox Biodegradable Cleaning Compound</t>
  </si>
  <si>
    <t xml:space="preserve">https://www.thomassci.com/p/citranox-biodegradable-cleaning-compound</t>
  </si>
  <si>
    <t xml:space="preserve">https://www.thomassci.com/p/alere-poc-acceava-hcg-testing</t>
  </si>
  <si>
    <t xml:space="preserve">https://www.thomassci.com/p/alere-poc-clearview-hcg-kits</t>
  </si>
  <si>
    <t xml:space="preserve">https://www.thomassci.com/p/abbott-binaxnow-covid-19-antigen-self-test</t>
  </si>
  <si>
    <t xml:space="preserve">https://www.thomassci.com/p/sterile-empty-vials-clear-flurotec-barrier</t>
  </si>
  <si>
    <t xml:space="preserve">https://www.thomassci.com/p/sterile-empty-vial-clear</t>
  </si>
  <si>
    <t xml:space="preserve">https://www.thomassci.com/p/sterile-empty-vial-amber</t>
  </si>
  <si>
    <t xml:space="preserve">Empty Sterlized Vials</t>
  </si>
  <si>
    <t xml:space="preserve">https://www.thomassci.com/p/empty-sterlized-vials-1</t>
  </si>
  <si>
    <t xml:space="preserve">https://www.thomassci.com/p/ultra-high-vacuum-aluminum-foil</t>
  </si>
  <si>
    <t xml:space="preserve">https://www.thomassci.com/p/aluminum-foil-cleanroom-c100-24-x-500ft-x-0015in</t>
  </si>
  <si>
    <t xml:space="preserve">https://www.thomassci.com/p/t-bar-digital-thermometer-1</t>
  </si>
  <si>
    <t xml:space="preserve">https://www.thomassci.com/p/infra-red-thermometer-1</t>
  </si>
  <si>
    <t xml:space="preserve">https://www.thomassci.com/p/freezer-fridge-digital-inchfrench-cooking-inch-thermometer</t>
  </si>
  <si>
    <t xml:space="preserve">https://www.thomassci.com/p/allegro-rubber-knee-cap-flexknee-pad</t>
  </si>
  <si>
    <t xml:space="preserve">https://www.thomassci.com/p/respirator-storage-bag-zipper-14-x-16-transparent-cleaning-instructions-written-on-bag-1/ea-400/cs</t>
  </si>
  <si>
    <t xml:space="preserve">https://www.thomassci.com/p/respirator-cleaning-wipes-allegro-safety-100/box</t>
  </si>
  <si>
    <t xml:space="preserve">Sweet (Saccharin) Test Kit</t>
  </si>
  <si>
    <t xml:space="preserve">https://www.thomassci.com/p/sweet-saccharin-test-kit</t>
  </si>
  <si>
    <t xml:space="preserve">Allegro® Bitter (Denatonium Benzoate) Replacement Sensitivity &amp; Test Solution</t>
  </si>
  <si>
    <t xml:space="preserve">https://www.thomassci.com/p/bitrex-sensitivity-solution6/box</t>
  </si>
  <si>
    <t xml:space="preserve">https://www.thomassci.com/p/safety-cabinet-sc-plus</t>
  </si>
  <si>
    <t xml:space="preserve">https://www.thomassci.com/p/phantom2-mini-animal-transfer-station</t>
  </si>
  <si>
    <t xml:space="preserve">https://www.thomassci.com/p/blower-ecoflo-tower-115-volt-purple-label-touchscreen</t>
  </si>
  <si>
    <t xml:space="preserve">NexGen™ Rat 1800™</t>
  </si>
  <si>
    <t xml:space="preserve">https://www.thomassci.com/p/nexgen-rat-1800</t>
  </si>
  <si>
    <t xml:space="preserve">https://www.thomassci.com/p/test-tube-brushes</t>
  </si>
  <si>
    <t xml:space="preserve">https://www.thomassci.com/p/bottle-and-cylinder-brushes</t>
  </si>
  <si>
    <t xml:space="preserve">https://www.thomassci.com/p/dairy-testing-bottle-brushes</t>
  </si>
  <si>
    <t xml:space="preserve">Flask Brushes</t>
  </si>
  <si>
    <t xml:space="preserve">https://www.thomassci.com/p/flask-brushes</t>
  </si>
  <si>
    <t xml:space="preserve">Nylon Brushes</t>
  </si>
  <si>
    <t xml:space="preserve">https://www.thomassci.com/p/nylon-brushes</t>
  </si>
  <si>
    <t xml:space="preserve">https://www.thomassci.com/p/magnum-ex-universal-magnet-plate</t>
  </si>
  <si>
    <t xml:space="preserve">https://www.thomassci.com/p/pogo-chiller-block</t>
  </si>
  <si>
    <t xml:space="preserve">https://www.thomassci.com/p/384-post-magnet-plate</t>
  </si>
  <si>
    <t xml:space="preserve">16mm Tube Rack</t>
  </si>
  <si>
    <t xml:space="preserve">https://www.thomassci.com/p/16mm-tube-rack</t>
  </si>
  <si>
    <t xml:space="preserve">https://www.thomassci.com/p/96s-super-magnet-plate</t>
  </si>
  <si>
    <t xml:space="preserve">https://www.thomassci.com/p/pcr-8-strip-caps-polypropylene</t>
  </si>
  <si>
    <t xml:space="preserve">https://www.thomassci.com/p/mgpure-96-ezfilter-plasmid-kits</t>
  </si>
  <si>
    <t xml:space="preserve">https://www.thomassci.com/p/express-plasmid-kits</t>
  </si>
  <si>
    <t xml:space="preserve">Tecan MCA Compatible Tips</t>
  </si>
  <si>
    <t xml:space="preserve">https://www.thomassci.com/p/tecan-mca-compatible-tips</t>
  </si>
  <si>
    <t xml:space="preserve">Adeno-Associated Virus Purification Kits, 3,5,6,8,9 and Other Serotypes</t>
  </si>
  <si>
    <t xml:space="preserve">https://www.thomassci.com/p/adeno-associated-virus-purification-kits-35689-and-other-serotypes</t>
  </si>
  <si>
    <t xml:space="preserve">https://www.thomassci.com/p/shoecovers-critical-cover-safe-step-non-skid-serged-seams-large-200-per-case</t>
  </si>
  <si>
    <t xml:space="preserve">https://www.thomassci.com/p/critical-cover-suregrip-shoe-covers-esd-conductive-anti-skid-serged-seams-blue-sizes-x-large-and-universal</t>
  </si>
  <si>
    <t xml:space="preserve">https://www.thomassci.com/p/critical-cover-coverall-face-shields</t>
  </si>
  <si>
    <t xml:space="preserve">Frock, Comfort Tech, Raglan Sleeve, Elastic Wrist, Snap Collar, Zip Close, Serged Seams, White</t>
  </si>
  <si>
    <t xml:space="preserve">https://www.thomassci.com/p/frock-comfort-tech-raglan-sleeve-elastic-wrist-snap-collar-zip-close-serged-seams-white-2x-large-25/case</t>
  </si>
  <si>
    <t xml:space="preserve">ISO Gown, Alpha Protech, Barrier Tech Fluid Impervious Wrap Around Gown, with Ties at Waist and Neck, Elastic Wrists, Light Blue Color, Bulk Packed 50EA/CS</t>
  </si>
  <si>
    <t xml:space="preserve">https://www.thomassci.com/p/iso-gown-alpha-protech-barrier-tech-fluid-impervious-wrap-around-gown-with-ties-at-waist-and-neck-elastic-wrists-light-blue-color-bulk-packed-50ea/cs</t>
  </si>
  <si>
    <t xml:space="preserve">https://www.dutscher.com/article/694000</t>
  </si>
  <si>
    <t xml:space="preserve">https://www.dutscher.com/article/694214</t>
  </si>
  <si>
    <t xml:space="preserve">https://www.dutscher.com/article/694323</t>
  </si>
  <si>
    <t xml:space="preserve">Stool 5-star base with castors - seat height 55 - 80 cm - with footrest - colour: glycine</t>
  </si>
  <si>
    <t xml:space="preserve">https://www.dutscher.com/article/694219</t>
  </si>
  <si>
    <t xml:space="preserve">Stool 5-star base with castors - seat height 55 - 80 cm - with footrest - colour: pebble</t>
  </si>
  <si>
    <t xml:space="preserve">https://www.dutscher.com/article/694210</t>
  </si>
  <si>
    <t xml:space="preserve">https://www.thomassci.com/p/altetube-septum-cap-mats</t>
  </si>
  <si>
    <t xml:space="preserve">https://www.thomassci.com/p/altetube-2d-barcoded-tubes-sbs-0-5ml</t>
  </si>
  <si>
    <t xml:space="preserve">https://www.thomassci.com/p/altetube-2d-barcoded-tubes-internal-0-75ml</t>
  </si>
  <si>
    <t xml:space="preserve">AlteCap™ Custom Racks</t>
  </si>
  <si>
    <t xml:space="preserve">https://www.thomassci.com/p/altecap-custom-racks</t>
  </si>
  <si>
    <t xml:space="preserve">AlteTube™ 2D Barcoded Tubes, External, 1.4mL</t>
  </si>
  <si>
    <t xml:space="preserve">https://www.thomassci.com/p/altetube-2d-barcoded-tubes-external-1-4ml</t>
  </si>
  <si>
    <t xml:space="preserve">https://www.thomassci.com/p/esd-tags</t>
  </si>
  <si>
    <t xml:space="preserve">https://www.thomassci.com/p/esd-thermal-sheet-12-x-19-x-0030-thick-50-sheets-/-box</t>
  </si>
  <si>
    <t xml:space="preserve">https://www.thomassci.com/p/esd-paper</t>
  </si>
  <si>
    <t xml:space="preserve">ESD Cleanroom Paper, ALX Technical, 8.5x11, Blue 2 sides, 500/EA, 4 Reams/CS</t>
  </si>
  <si>
    <t xml:space="preserve">https://www.thomassci.com/p/esd-cleanroom-paper-alx-technical-85x11-blue-2-sides-500ea/ream-5reams/cs</t>
  </si>
  <si>
    <t xml:space="preserve">https://www.thomassci.com/p/shields</t>
  </si>
  <si>
    <t xml:space="preserve">https://www.thomassci.com/p/triangular-bandage-with-safety-pins</t>
  </si>
  <si>
    <t xml:space="preserve">https://www.thomassci.com/p/shoe-covers1</t>
  </si>
  <si>
    <t xml:space="preserve">Top Sponge, Gauze Cover with Cellulose Fill</t>
  </si>
  <si>
    <t xml:space="preserve">https://www.thomassci.com/p/top-sponge-gauze-cover-with-cellulose-fill</t>
  </si>
  <si>
    <t xml:space="preserve">Dry Wipes</t>
  </si>
  <si>
    <t xml:space="preserve">https://www.thomassci.com/p/dry-wipes</t>
  </si>
  <si>
    <t xml:space="preserve">https://www.thomassci.com/p/standard-undercounter-refrigerators-and-freezers</t>
  </si>
  <si>
    <t xml:space="preserve">https://www.thomassci.com/p/premier-undercounter-freezers</t>
  </si>
  <si>
    <t xml:space="preserve">https://www.thomassci.com/p/premier-manual-defrost-freezers</t>
  </si>
  <si>
    <t xml:space="preserve">TempLog Premier Laboratory Solid Door Refrigerators</t>
  </si>
  <si>
    <t xml:space="preserve">https://www.thomassci.com/p/templog-premier-laboratory-solid-door-refrigerators</t>
  </si>
  <si>
    <t xml:space="preserve">Corepoint Scientific Blood Bank Refrigerator Single Solid Door</t>
  </si>
  <si>
    <t xml:space="preserve">https://www.thomassci.com/p/corepoint-scientific-blood-bank-refrigerator-single-solid-door</t>
  </si>
  <si>
    <t xml:space="preserve">https://www.thomassci.com/p/adc-adtemp-iii-digitial-thermometer</t>
  </si>
  <si>
    <t xml:space="preserve">https://www.thomassci.com/p/advantage-pulse-oximeter-fingertip-disp-pkg</t>
  </si>
  <si>
    <t xml:space="preserve">https://www.thomassci.com/p/adscope-conv-stethoscope</t>
  </si>
  <si>
    <t xml:space="preserve">ADTEMP 429 Non-Contact Thermometer, 1 second</t>
  </si>
  <si>
    <t xml:space="preserve">https://www.thomassci.com/p/adtemp-429-non-contact-thermometer-1-second</t>
  </si>
  <si>
    <t xml:space="preserve">3.5V Portable Diagnostic PMV Otoscope</t>
  </si>
  <si>
    <t xml:space="preserve">https://www.thomassci.com/p/3-5v-portable-diagnostic-pmv-otoscope</t>
  </si>
  <si>
    <t xml:space="preserve">https://www.thomassci.com/p/petg-square-media-bottle</t>
  </si>
  <si>
    <t xml:space="preserve">https://www.thomassci.com/p/sterile-96-round-well-500ul-plate-low-profile-v-bottom-microplate-80/cs</t>
  </si>
  <si>
    <t xml:space="preserve">https://www.thomassci.com/p/deep-well-u-bottom-plate</t>
  </si>
  <si>
    <t xml:space="preserve">Universal Filtered Pipet Tips</t>
  </si>
  <si>
    <t xml:space="preserve">https://www.thomassci.com/p/universal-filtered-pipet-tips</t>
  </si>
  <si>
    <t xml:space="preserve">Deep Well Plate</t>
  </si>
  <si>
    <t xml:space="preserve">https://www.thomassci.com/p/1-2ml-deep-well-plate-u-bottom</t>
  </si>
  <si>
    <t xml:space="preserve">https://www.thomassci.com/p/ammex-cerulean-medical-nitrile-exam-latex-free-disposable-gloves-case-of-1000-size-small</t>
  </si>
  <si>
    <t xml:space="preserve">https://www.thomassci.com/p/nitrile-gloves-4</t>
  </si>
  <si>
    <t xml:space="preserve">https://www.thomassci.com/p/gloveworks-6mil-black-exam-nitrile-pf-gloves</t>
  </si>
  <si>
    <t xml:space="preserve">AMMEX Blue Exam Synthetic Vinyl Gloves</t>
  </si>
  <si>
    <t xml:space="preserve">https://www.thomassci.com/p/ammex-blue-exam-synthetic-vinyl-gloves</t>
  </si>
  <si>
    <t xml:space="preserve">https://www.thomassci.com/p/500-series-sealpak-pouches</t>
  </si>
  <si>
    <t xml:space="preserve">https://www.thomassci.com/p/heat-sealable-bags</t>
  </si>
  <si>
    <t xml:space="preserve">https://www.thomassci.com/p/900-series-standpak</t>
  </si>
  <si>
    <t xml:space="preserve">KeepSafe® Versatile Mailers</t>
  </si>
  <si>
    <t xml:space="preserve">https://www.thomassci.com/p/keepsafe-versatile-mailers</t>
  </si>
  <si>
    <t xml:space="preserve">900 Series SealPAK Pouches</t>
  </si>
  <si>
    <t xml:space="preserve">https://www.thomassci.com/p/900-series-sealpak-pouches</t>
  </si>
  <si>
    <t xml:space="preserve">https://www.thomassci.com/p/digitubes</t>
  </si>
  <si>
    <t xml:space="preserve">https://www.thomassci.com/p/atomic-absorption-single-element-standards</t>
  </si>
  <si>
    <t xml:space="preserve">https://www.thomassci.com/p/digifilter-045-micron-for-50ml-tubes</t>
  </si>
  <si>
    <t xml:space="preserve">3-Stop Standard Santoprene® ICP Peristaltic Pump Tubing</t>
  </si>
  <si>
    <t xml:space="preserve">https://www.thomassci.com/p/3-stop-standard-santoprene-icp-peristaltic-pump-tubing</t>
  </si>
  <si>
    <t xml:space="preserve">DigiTUBE Screw Caps</t>
  </si>
  <si>
    <t xml:space="preserve">https://www.thomassci.com/p/digitube-screw-caps</t>
  </si>
  <si>
    <t xml:space="preserve">ICP-OES and ICP-MS spectrometers</t>
  </si>
  <si>
    <t xml:space="preserve">high-resolution continuum-source AAS</t>
  </si>
  <si>
    <t xml:space="preserve">TOC/TNb analyzers</t>
  </si>
  <si>
    <t xml:space="preserve">https://www.dutscher.com/article/059842</t>
  </si>
  <si>
    <t xml:space="preserve">https://www.dutscher.com/article/059925</t>
  </si>
  <si>
    <t xml:space="preserve">https://www.dutscher.com/article/059816</t>
  </si>
  <si>
    <t xml:space="preserve">Aniosgel 85 NPC, 500 ml Blue bottle with screwed pump 3 ml</t>
  </si>
  <si>
    <t xml:space="preserve">https://www.dutscher.com/article/059951</t>
  </si>
  <si>
    <t xml:space="preserve">WALL-MOUNTED DISPENSER WITH STAINLESS STEEL DELTA ELBOW CONTROL FOR 1L AIRLESS POUCH</t>
  </si>
  <si>
    <t xml:space="preserve">https://www.dutscher.com/article/061500</t>
  </si>
  <si>
    <t xml:space="preserve">https://www.thomassci.com/p/kimtech-pure-g3-nxt-nitrile-gloves</t>
  </si>
  <si>
    <t xml:space="preserve">https://www.thomassci.com/p/safeskin-purple-nitrile-gloves</t>
  </si>
  <si>
    <t xml:space="preserve">https://www.thomassci.com/p/kimtech-pure-a5-sterile-cleanroom-coveralls</t>
  </si>
  <si>
    <t xml:space="preserve">Ansell Sterile Neoprene Disposable Gloves - Touch N Tuff Model 73-500</t>
  </si>
  <si>
    <t xml:space="preserve">https://www.thomassci.com/p/ansell-sterile-neoprene-disposable-gloves-touch-n-tuff-model-number-73-500</t>
  </si>
  <si>
    <t xml:space="preserve">KleenGuard™ A70 Chemical Spray Protection Aprons (97790), Bound Seams, Neck &amp; Ties, One Size, Yellow, 100 / Case</t>
  </si>
  <si>
    <t xml:space="preserve">https://www.thomassci.com/p/kleenguard-a70-chemical-spray-protection-apron</t>
  </si>
  <si>
    <t xml:space="preserve">laboratory density &amp; concentration measurement</t>
  </si>
  <si>
    <t xml:space="preserve">rotational &amp; oscillatory rheometers</t>
  </si>
  <si>
    <t xml:space="preserve">microwave sample digestion systems</t>
  </si>
  <si>
    <t xml:space="preserve">https://www.dutscher.com/article/341313</t>
  </si>
  <si>
    <t xml:space="preserve">https://www.dutscher.com/article/049238</t>
  </si>
  <si>
    <t xml:space="preserve">https://www.dutscher.com/article/049277</t>
  </si>
  <si>
    <t xml:space="preserve">Aluminium plates with notch 10 x 10 cm</t>
  </si>
  <si>
    <t xml:space="preserve">https://www.dutscher.com/article/049243</t>
  </si>
  <si>
    <t xml:space="preserve">Comb for electrophoresis tank Minigel 2 and Midigel 2</t>
  </si>
  <si>
    <t xml:space="preserve">https://www.dutscher.com/article/049020</t>
  </si>
  <si>
    <t xml:space="preserve">https://www.thomassci.com/p/vapour-booster-pump-fluid-apiezon-ap201-oil</t>
  </si>
  <si>
    <t xml:space="preserve">https://www.thomassci.com/p/silicone-free-ultra-high-vacuum-grease</t>
  </si>
  <si>
    <t xml:space="preserve">https://www.thomassci.com/p/vacuum-sealing-compound-and-mounting-wax</t>
  </si>
  <si>
    <t xml:space="preserve">Silicone-Free Vacuum Greases</t>
  </si>
  <si>
    <t xml:space="preserve">https://www.thomassci.com/p/silicone-free-vacuum-greases</t>
  </si>
  <si>
    <t xml:space="preserve">PFPE Vacuum Grease</t>
  </si>
  <si>
    <t xml:space="preserve">https://www.thomassci.com/p/pfpe-vacuum-grease</t>
  </si>
  <si>
    <t xml:space="preserve">https://www.thomassci.com/p/apis-esr1-mutations-kit</t>
  </si>
  <si>
    <t xml:space="preserve">https://www.thomassci.com/p/apis-met-alterations-kit</t>
  </si>
  <si>
    <t xml:space="preserve">https://www.thomassci.com/p/apis-breast-cancer-subtyping-kit</t>
  </si>
  <si>
    <t xml:space="preserve">APIS DPYD qPCR Kit</t>
  </si>
  <si>
    <t xml:space="preserve">https://www.thomassci.com/p/apis-dpyd-qpcr-kit</t>
  </si>
  <si>
    <t xml:space="preserve">APIS ESR1 qPCR Kit</t>
  </si>
  <si>
    <t xml:space="preserve">https://www.thomassci.com/p/apis-esr1-qpcr-kit</t>
  </si>
  <si>
    <t xml:space="preserve">https://www.thomassci.com/p/disposable-high-throughput-screening-hts-reservoirs</t>
  </si>
  <si>
    <t xml:space="preserve">https://www.thomassci.com/p/aquafill-55ml-natural-polystyrene-reservoirs</t>
  </si>
  <si>
    <t xml:space="preserve">https://www.thomassci.com/p/weigh-vessels</t>
  </si>
  <si>
    <t xml:space="preserve">Disposable Hexagonal Antistatic Polsytrene Weigh Boats</t>
  </si>
  <si>
    <t xml:space="preserve">https://www.thomassci.com/p/hexagonal-weigh-boats</t>
  </si>
  <si>
    <t xml:space="preserve">https://www.thomassci.com/p/phenols-activator-solution-pack-a-8000</t>
  </si>
  <si>
    <t xml:space="preserve">https://www.thomassci.com/p/ph-buffer-solutions-4</t>
  </si>
  <si>
    <t xml:space="preserve">https://www.thomassci.com/p/potassium-chromate-indicator-solution-5-60ml-bo</t>
  </si>
  <si>
    <t xml:space="preserve">Phenols - CHEMets Refill R-8010</t>
  </si>
  <si>
    <t xml:space="preserve">https://www.thomassci.com/p/phenols-chemets-refill-r-8010</t>
  </si>
  <si>
    <t xml:space="preserve">Hydrochloric Acid, 0.5N 1L, 0.5 +/-0.005N NIST Traceable</t>
  </si>
  <si>
    <t xml:space="preserve">https://www.thomassci.com/p/hydrochloric-acid-0-5n-1l0-5-/-0-005n-nist-traceable</t>
  </si>
  <si>
    <t xml:space="preserve">https://www.thomassci.com/p/dry-mist-hocl-disinfectant-fogger-110v</t>
  </si>
  <si>
    <t xml:space="preserve">https://www.thomassci.com/p/annihilyte-hypochlorous-disinfectant</t>
  </si>
  <si>
    <t xml:space="preserve">https://www.thomassci.com/p/aspirating-pipettes</t>
  </si>
  <si>
    <t xml:space="preserve">https://www.thomassci.com/p/handevac</t>
  </si>
  <si>
    <t xml:space="preserve">https://www.thomassci.com/p/cardboard-freezer-boxes</t>
  </si>
  <si>
    <t xml:space="preserve">PolarSafe® Upright Freezer Eco-Rack</t>
  </si>
  <si>
    <t xml:space="preserve">https://www.thomassci.com/p/uprt-freez-eco-rack-3-box/5x-2/-10box-26-3/4-x-6-5/8-x-55</t>
  </si>
  <si>
    <t xml:space="preserve">Upright Freezer Rack for for 100-Cell Hinged Plastic Cryoboxes, 2 x 3, capacity 6 boxes 12 1/2 x 6 15/16 x 5 7/8" (L x H x W)</t>
  </si>
  <si>
    <t xml:space="preserve">https://www.thomassci.com/p/upright-freezer-rack-for-for-100-cell-hinged-plastic-cryoboxes-2-x-3-capacity-6-boxes-12-1/2-x-6-15/16-x-5-7/8-l-x-h-x-w</t>
  </si>
  <si>
    <t xml:space="preserve">https://www.thomassci.com/p/vpk-series-cartridges</t>
  </si>
  <si>
    <t xml:space="preserve">https://www.thomassci.com/p/vp-series-cartridges</t>
  </si>
  <si>
    <t xml:space="preserve">https://www.thomassci.com/p/hpl-ro-reverse-osmosis-system</t>
  </si>
  <si>
    <t xml:space="preserve">IX Series Cartridges</t>
  </si>
  <si>
    <t xml:space="preserve">https://www.thomassci.com/p/ix-series-cartridges</t>
  </si>
  <si>
    <t xml:space="preserve">https://www.thomassci.com/p/arkray-glucocard-vital-blood-glucose-monitoring-system</t>
  </si>
  <si>
    <t xml:space="preserve">https://www.thomassci.com/p/arkray-assure-lance-safety-lancets</t>
  </si>
  <si>
    <t xml:space="preserve">https://www.thomassci.com/p/arkray-assure-lance-plus-safety-lancets1</t>
  </si>
  <si>
    <t xml:space="preserve">Arkray Techlite® Lancets</t>
  </si>
  <si>
    <t xml:space="preserve">https://www.thomassci.com/p/arkray-techlite-lancets</t>
  </si>
  <si>
    <t xml:space="preserve">https://www.thomassci.com/p/ptfe-shafts-and-propellers</t>
  </si>
  <si>
    <t xml:space="preserve">https://www.thomassci.com/p/electric-laboratory-stirrers</t>
  </si>
  <si>
    <t xml:space="preserve">https://www.thomassci.com/p/clamping-systems</t>
  </si>
  <si>
    <t xml:space="preserve">Air-Driven Stirrers</t>
  </si>
  <si>
    <t xml:space="preserve">https://www.thomassci.com/p/air-driven-stirrers</t>
  </si>
  <si>
    <t xml:space="preserve">Stirrer Accessories</t>
  </si>
  <si>
    <t xml:space="preserve">https://www.thomassci.com/p/stirrer-accessories</t>
  </si>
  <si>
    <t xml:space="preserve">https://www.thomassci.com/p/sealguard-split-back-evidence-tape</t>
  </si>
  <si>
    <t xml:space="preserve">https://www.thomassci.com/p/vaporlok-heavy-duty-5mil-nylon-barrier-heat-seal-bags</t>
  </si>
  <si>
    <t xml:space="preserve">https://www.thomassci.com/p/adhesive-evidence-labels</t>
  </si>
  <si>
    <t xml:space="preserve">ACCUTRANS MIXING TIPS</t>
  </si>
  <si>
    <t xml:space="preserve">https://www.thomassci.com/p/accutrans-mixing-tips</t>
  </si>
  <si>
    <t xml:space="preserve">Hemastix Strips</t>
  </si>
  <si>
    <t xml:space="preserve">https://www.thomassci.com/p/hemastix-strips</t>
  </si>
  <si>
    <t xml:space="preserve">https://www.thomassci.com/p/a-frame-random-access-pcr-tube-strip-plate</t>
  </si>
  <si>
    <t xml:space="preserve">https://www.thomassci.com/p/automat-microplate-sealing-lid</t>
  </si>
  <si>
    <t xml:space="preserve">https://www.thomassci.com/p/a-frame-384-well-pcr-plate</t>
  </si>
  <si>
    <t xml:space="preserve">A-Frame® Random Access Plate</t>
  </si>
  <si>
    <t xml:space="preserve">https://www.thomassci.com/p/a-frame-random-access-plate</t>
  </si>
  <si>
    <t xml:space="preserve">Random Access Heat Seals</t>
  </si>
  <si>
    <t xml:space="preserve">https://www.thomassci.com/p/random-access-heat-seals</t>
  </si>
  <si>
    <t xml:space="preserve">https://www.dutscher.com/article/571004</t>
  </si>
  <si>
    <t xml:space="preserve">https://www.dutscher.com/article/571051</t>
  </si>
  <si>
    <t xml:space="preserve">https://www.dutscher.com/article/571403</t>
  </si>
  <si>
    <t xml:space="preserve">Safety Storage Cabinet for acids and alkalis - SL.60.110 - 2 pull-out shelves</t>
  </si>
  <si>
    <t xml:space="preserve">https://www.dutscher.com/article/571013C</t>
  </si>
  <si>
    <t xml:space="preserve">Tall cabinet S90.196.606.WDAS, fire resistant 90 min (NF EN 14470-1)</t>
  </si>
  <si>
    <t xml:space="preserve">https://www.dutscher.com/article/571025C</t>
  </si>
  <si>
    <t xml:space="preserve">https://www.thomassci.com/p/carbon-steel-sterile-scapel-blades</t>
  </si>
  <si>
    <t xml:space="preserve">https://www.thomassci.com/p/procedure-mask-fluidgard-120-blue-astm-level-2-non-sterile-bfe99-0</t>
  </si>
  <si>
    <t xml:space="preserve">https://www.thomassci.com/p/cpe-shoe-covers-1</t>
  </si>
  <si>
    <t xml:space="preserve">ASTM Level 1 Procedure mask</t>
  </si>
  <si>
    <t xml:space="preserve">https://www.thomassci.com/p/astm-level-1-procedure-mask</t>
  </si>
  <si>
    <t xml:space="preserve">https://www.thomassci.com/p/mouse-amh-anti-mullerian-hormone-elisa-kit-96-assays</t>
  </si>
  <si>
    <t xml:space="preserve">https://www.thomassci.com/p/hfb1-antibody-50ug</t>
  </si>
  <si>
    <t xml:space="preserve">https://www.thomassci.com/p/mouse-myelin-basic-protein/mbp-elisa-kit</t>
  </si>
  <si>
    <t xml:space="preserve">TMP (Trimethoprim) ELISA Kit, 96 Assays</t>
  </si>
  <si>
    <t xml:space="preserve">https://www.thomassci.com/p/tmp-trimethoprim-elisa-kit-96-assays-1</t>
  </si>
  <si>
    <t xml:space="preserve">Monkey LCN2 (Lipocalin2) ELISA Kit</t>
  </si>
  <si>
    <t xml:space="preserve">https://www.thomassci.com/p/monkey-lcn2-lipocalin2-elisa-kit</t>
  </si>
  <si>
    <t xml:space="preserve">https://www.thomassci.com/p/unsupported-nitrile-unlined-with-raised-diamond-grip-15-mil</t>
  </si>
  <si>
    <t xml:space="preserve">https://www.thomassci.com/p/gloves-nitrile-16mil-green-flock-lined-number-50-n160g-lg-12pr/pk-12pks/cs-d-206</t>
  </si>
  <si>
    <t xml:space="preserve">https://www.thomassci.com/p/unsupported-nitrile-unlined-with-raised-diamond-grip-15-mil-medium</t>
  </si>
  <si>
    <t xml:space="preserve">Unsupported Nitrile, Unlined with Raised Diamond Grip - 15 Mil, X-Large</t>
  </si>
  <si>
    <t xml:space="preserve">https://www.thomassci.com/p/unsupported-nitrile-unlined-with-raised-diamond-grip-15-mil-x-large</t>
  </si>
  <si>
    <t xml:space="preserve">Assurance® 22 mil. Medium &amp; Heavy Weight Nitrile Gloves with Raised Diamond Grip</t>
  </si>
  <si>
    <t xml:space="preserve">https://www.thomassci.com/p/assurance-22-mil-medium-and-heavy-weight-nitrile-gloves-with-raised-diamond-grip</t>
  </si>
  <si>
    <t xml:space="preserve">https://www.thomassci.com/p/pal-loop-cont-meas-dig-hand-held-refract</t>
  </si>
  <si>
    <t xml:space="preserve">https://www.thomassci.com/p/rx-5000i-digital-refractometers</t>
  </si>
  <si>
    <t xml:space="preserve">https://www.thomassci.com/p/pal-salt-pocket-salt-meter</t>
  </si>
  <si>
    <t xml:space="preserve">Pocket Urea Refractometer</t>
  </si>
  <si>
    <t xml:space="preserve">https://www.thomassci.com/p/pal-urea-dig-hand-hld-poc-urea-refract</t>
  </si>
  <si>
    <t xml:space="preserve">Digital Dip-Type Pen-Urine SG</t>
  </si>
  <si>
    <t xml:space="preserve">https://www.thomassci.com/p/digital-dip-type-pen-urine-sg</t>
  </si>
  <si>
    <t xml:space="preserve">https://www.thomassci.com/p/seamless-knit-nylon-glove-with-nitrile-coating-and-virosan-technology-on-full-hand-touchscreen-compatible</t>
  </si>
  <si>
    <t xml:space="preserve">https://www.thomassci.com/p/g-tek-premium-maxifoam-foam-nitrile-grip-gloves</t>
  </si>
  <si>
    <t xml:space="preserve">https://www.thomassci.com/p/g-tek-maxiflex-ultimate-black-micro-foam-coated-gloves</t>
  </si>
  <si>
    <t xml:space="preserve">Anti-Static Seamless Knit Nylon Glove with Nitrile Coated MicroFoam Grip on Palm &amp; Fingers - Touchscreen Compatible</t>
  </si>
  <si>
    <t xml:space="preserve">https://www.thomassci.com/p/anti-static-seamless-knit-nylon-glove-with-nitrile-coated-microfoam-grip-on-palm-and-fingers-touchscreen-compatible</t>
  </si>
  <si>
    <t xml:space="preserve">MaxiCut® Ultra™ High Performance Cut Resistant Gloves</t>
  </si>
  <si>
    <t xml:space="preserve">https://www.thomassci.com/p/maxicut-ultra-dt-2x-large-seamless-knit-blue-eng-yarn-glove-with-premium-nitrile-coated-microfoam-grip-on-palm-and-fingers-micro-dot-palm-6dz/cs</t>
  </si>
  <si>
    <t xml:space="preserve">https://www.thomassci.com/p/anti-sh3rf3-sh3-domain-containing-ring-finger-3</t>
  </si>
  <si>
    <t xml:space="preserve">https://www.thomassci.com/p/anti-prrt2-proline-rich-transmembrane-protein-2-1</t>
  </si>
  <si>
    <t xml:space="preserve">https://www.thomassci.com/p/anti-rit1-ras-like-without-caax-1</t>
  </si>
  <si>
    <t xml:space="preserve">Anti-ZBTB21 zinc finger and BTB domain containing 21</t>
  </si>
  <si>
    <t xml:space="preserve">https://www.thomassci.com/p/anti-zbtb21-zinc-finger-and-btb-domain-containing-21</t>
  </si>
  <si>
    <t xml:space="preserve">Anti-GLIS2 GLIS family zinc finger 2</t>
  </si>
  <si>
    <t xml:space="preserve">https://www.thomassci.com/p/anti-glis2-glis-family-zinc-finger-2</t>
  </si>
  <si>
    <t xml:space="preserve">lab products sold through the VWR distribution channel</t>
  </si>
  <si>
    <t xml:space="preserve">high-purity lab chemicals and solvents</t>
  </si>
  <si>
    <t xml:space="preserve">medical- and implant-grade silicone materials</t>
  </si>
  <si>
    <t xml:space="preserve">https://www.thomassci.com/p/alto-type-1-ultrapure-water-system</t>
  </si>
  <si>
    <t xml:space="preserve">https://www.thomassci.com/p/pico-all-in-one-water-system</t>
  </si>
  <si>
    <t xml:space="preserve">https://www.thomassci.com/p/geno-type-2-deionized-water-system</t>
  </si>
  <si>
    <t xml:space="preserve">Avidity Science Annual Lab Service Contract</t>
  </si>
  <si>
    <t xml:space="preserve">https://www.thomassci.com/p/avidity-science-annual-lab-service-contract</t>
  </si>
  <si>
    <t xml:space="preserve">Accessories for Avidity Science Water Systems</t>
  </si>
  <si>
    <t xml:space="preserve">https://www.thomassci.com/p/accessories-for-avidity-science-water-systems</t>
  </si>
  <si>
    <t xml:space="preserve">automated LN2 cryogenic sample storage system</t>
  </si>
  <si>
    <t xml:space="preserve">2D-barcoded sample tubes and rack scanners</t>
  </si>
  <si>
    <t xml:space="preserve">Sanger/NGS sequencing and gene synthesis services</t>
  </si>
  <si>
    <t xml:space="preserve">https://www.thomassci.com/p/screw-top-pathology-containers</t>
  </si>
  <si>
    <t xml:space="preserve">https://www.thomassci.com/p/giemsa-stain-kit-may-grunwald</t>
  </si>
  <si>
    <t xml:space="preserve">https://www.thomassci.com/p/molasses</t>
  </si>
  <si>
    <t xml:space="preserve">Ultra Bluing Reagent</t>
  </si>
  <si>
    <t xml:space="preserve">https://www.thomassci.com/p/ultra-bluing-reagent</t>
  </si>
  <si>
    <t xml:space="preserve">Active Yeast</t>
  </si>
  <si>
    <t xml:space="preserve">https://www.thomassci.com/p/active-yeast-2lbs</t>
  </si>
  <si>
    <t xml:space="preserve">https://www.dutscher.com/article/001075</t>
  </si>
  <si>
    <t xml:space="preserve">https://www.dutscher.com/article/991699</t>
  </si>
  <si>
    <t xml:space="preserve">https://www.dutscher.com/article/991701</t>
  </si>
  <si>
    <t xml:space="preserve">Azlon carboy with stopcock, USP Class VI, HDPE, 20 L</t>
  </si>
  <si>
    <t xml:space="preserve">https://www.dutscher.com/article/991703</t>
  </si>
  <si>
    <t xml:space="preserve">Wash bottle wide neck 500 ml cap Green</t>
  </si>
  <si>
    <t xml:space="preserve">https://www.dutscher.com/article/001441</t>
  </si>
  <si>
    <t xml:space="preserve">https://www.thomassci.com/p/agarose-le-1</t>
  </si>
  <si>
    <t xml:space="preserve">https://www.thomassci.com/p/proteinase-k-7</t>
  </si>
  <si>
    <t xml:space="preserve">https://www.thomassci.com/p/azura2x-taq-red-mix</t>
  </si>
  <si>
    <t xml:space="preserve">ExtremeTaq HiFi Mix</t>
  </si>
  <si>
    <t xml:space="preserve">https://www.thomassci.com/p/extremetaq-hifi-mix</t>
  </si>
  <si>
    <t xml:space="preserve">AzuraQuant Probe 1-Step qPCR Mix HiRox</t>
  </si>
  <si>
    <t xml:space="preserve">https://www.thomassci.com/p/azuraquant-probe-1-step-qpcr-mix-hirox</t>
  </si>
  <si>
    <t xml:space="preserve">https://www.thomassci.com/p/azure-chemi-blot-blocking-buffer</t>
  </si>
  <si>
    <t xml:space="preserve">https://www.thomassci.com/p/blot-development-folder</t>
  </si>
  <si>
    <t xml:space="preserve">https://www.thomassci.com/p/hrp-stripping-buffer</t>
  </si>
  <si>
    <t xml:space="preserve">Azure Aqua</t>
  </si>
  <si>
    <t xml:space="preserve">https://www.thomassci.com/p/azure-aqua</t>
  </si>
  <si>
    <t xml:space="preserve">Nitrocellulose Transfer Membrane 0.22um (8x10)</t>
  </si>
  <si>
    <t xml:space="preserve">https://www.thomassci.com/p/nitrocellulose-transfer-membrane-0-22um-8x10</t>
  </si>
  <si>
    <t xml:space="preserve">https://www.thomassci.com/p/spray-bottles</t>
  </si>
  <si>
    <t xml:space="preserve">https://www.thomassci.com/p/disposable-forceps-1</t>
  </si>
  <si>
    <t xml:space="preserve">https://www.thomassci.com/p/automatic-titrating-burette</t>
  </si>
  <si>
    <t xml:space="preserve">FoodScoop</t>
  </si>
  <si>
    <t xml:space="preserve">https://www.thomassci.com/p/foodscoop</t>
  </si>
  <si>
    <t xml:space="preserve">Ice Borer</t>
  </si>
  <si>
    <t xml:space="preserve">https://www.thomassci.com/p/ice-borer</t>
  </si>
  <si>
    <t xml:space="preserve">https://www.thomassci.com/p/plastic-joint-clips</t>
  </si>
  <si>
    <t xml:space="preserve">https://www.thomassci.com/p/small-dropper-bulbs</t>
  </si>
  <si>
    <t xml:space="preserve">https://www.thomassci.com/p/large-red-bulbs</t>
  </si>
  <si>
    <t xml:space="preserve">Morton® Culture Tube Closures</t>
  </si>
  <si>
    <t xml:space="preserve">https://www.thomassci.com/p/morton-culture-tube-closures</t>
  </si>
  <si>
    <t xml:space="preserve">Differential Cell Counter</t>
  </si>
  <si>
    <t xml:space="preserve">https://www.thomassci.com/p/differential-cell-counter</t>
  </si>
  <si>
    <t xml:space="preserve">https://www.thomassci.com/p/bench-top-muffle-furnaces-1200c</t>
  </si>
  <si>
    <t xml:space="preserve">https://www.thomassci.com/p/genpure-systems</t>
  </si>
  <si>
    <t xml:space="preserve">https://www.thomassci.com/p/power-cord-cr1142x3</t>
  </si>
  <si>
    <t xml:space="preserve">Barnstead™ Tube</t>
  </si>
  <si>
    <t xml:space="preserve">https://www.thomassci.com/p/21100-distillate-delivery-tube</t>
  </si>
  <si>
    <t xml:space="preserve">Barnstead™ Gasket Ep Top Ring</t>
  </si>
  <si>
    <t xml:space="preserve">https://www.thomassci.com/p/06271-gasket</t>
  </si>
  <si>
    <t xml:space="preserve">https://www.thomassci.com/p/plastic-lens-cleaning-station-wet</t>
  </si>
  <si>
    <t xml:space="preserve">https://www.thomassci.com/p/pre-moistened-lens-cleaning-tissues</t>
  </si>
  <si>
    <t xml:space="preserve">https://www.thomassci.com/p/fogshield-xp-lens-cleaning-station</t>
  </si>
  <si>
    <t xml:space="preserve">https://www.dutscher.com/article/921001</t>
  </si>
  <si>
    <t xml:space="preserve">https://www.dutscher.com/article/921036</t>
  </si>
  <si>
    <t xml:space="preserve">https://www.dutscher.com/article/921013</t>
  </si>
  <si>
    <t xml:space="preserve">Syringe Injekt 2 pieces volume 20 ml</t>
  </si>
  <si>
    <t xml:space="preserve">https://www.dutscher.com/article/921004</t>
  </si>
  <si>
    <t xml:space="preserve">Sterican needle - Gauge G21 - length 40 mm - Long bevel</t>
  </si>
  <si>
    <t xml:space="preserve">https://www.dutscher.com/article/921025B</t>
  </si>
  <si>
    <t xml:space="preserve">https://www.thomassci.com/p/disposable-bd-plastipak-syringes-without-needles</t>
  </si>
  <si>
    <t xml:space="preserve">https://www.thomassci.com/p/sterile-disposable-luer-lok-syringe-needles</t>
  </si>
  <si>
    <t xml:space="preserve">https://www.thomassci.com/p/violet-red-bile-agar1</t>
  </si>
  <si>
    <t xml:space="preserve">BBL Gram Stain Kits And Reagents</t>
  </si>
  <si>
    <t xml:space="preserve">https://www.thomassci.com/p/bbl-gram-stain-kits-and-reagents</t>
  </si>
  <si>
    <t xml:space="preserve">Non-Sterile Bulk Plastic Syringes</t>
  </si>
  <si>
    <t xml:space="preserve">https://www.thomassci.com/p/non-sterile-bulk-plastic-syringes</t>
  </si>
  <si>
    <t xml:space="preserve">spectral cell sorter with real-time cell imaging</t>
  </si>
  <si>
    <t xml:space="preserve">high-parameter spectral flow cytometry analyzers</t>
  </si>
  <si>
    <t xml:space="preserve">blood-culture, molecular IVD and ID/AST systems</t>
  </si>
  <si>
    <t xml:space="preserve">https://www.dutscher.com/article/0260001</t>
  </si>
  <si>
    <t xml:space="preserve">https://www.dutscher.com/article/324824</t>
  </si>
  <si>
    <t xml:space="preserve">https://www.dutscher.com/article/307731</t>
  </si>
  <si>
    <t xml:space="preserve">Emerald syringe, 10 ml, centred luer cone</t>
  </si>
  <si>
    <t xml:space="preserve">https://www.dutscher.com/article/307736</t>
  </si>
  <si>
    <t xml:space="preserve">Emerald syringe, 2 ml, centred luer cone</t>
  </si>
  <si>
    <t xml:space="preserve">https://www.dutscher.com/article/307727</t>
  </si>
  <si>
    <t xml:space="preserve">https://www.thomassci.com/p/n-pentane-hplc-990-min</t>
  </si>
  <si>
    <t xml:space="preserve">https://www.thomassci.com/p/agar-powder2</t>
  </si>
  <si>
    <t xml:space="preserve">https://www.thomassci.com/p/potassium-sulfate-991</t>
  </si>
  <si>
    <t xml:space="preserve">2-Propanol, ACS, 99.5% min.</t>
  </si>
  <si>
    <t xml:space="preserve">https://www.thomassci.com/p/2-propanol-acs-995-min1</t>
  </si>
  <si>
    <t xml:space="preserve">Citric acid, 99%</t>
  </si>
  <si>
    <t xml:space="preserve">https://www.thomassci.com/p/citric-acid-992</t>
  </si>
  <si>
    <t xml:space="preserve">hematology analyzer (Diagnostics)</t>
  </si>
  <si>
    <t xml:space="preserve">immunoassay analyzer (Diagnostics)</t>
  </si>
  <si>
    <t xml:space="preserve">benchtop flow cytometers (Life Sciences)</t>
  </si>
  <si>
    <t xml:space="preserve">https://www.thomassci.com/p/sampling-scoop-sterile-250ml-8oz-red-plastic-individually-packed</t>
  </si>
  <si>
    <t xml:space="preserve">https://www.thomassci.com/p/jerrican-vent-cap</t>
  </si>
  <si>
    <t xml:space="preserve">https://www.thomassci.com/p/sterileware-economy-sterile-sample-spoons</t>
  </si>
  <si>
    <t xml:space="preserve">SCIENCEWARE Bottle Wide 8 Ounce Hdpe</t>
  </si>
  <si>
    <t xml:space="preserve">https://www.thomassci.com/p/scienceware-bottle-wide-8-ounce-hdpe</t>
  </si>
  <si>
    <t xml:space="preserve">Reusable Silica Gel Desiccant Cartridges; 72 mm (2.84")</t>
  </si>
  <si>
    <t xml:space="preserve">https://www.thomassci.com/p/reusable-silica-gel-desiccant-cartridges-72-mm-2-84-inch</t>
  </si>
  <si>
    <t xml:space="preserve">https://www.dutscher.com/article/209008</t>
  </si>
  <si>
    <t xml:space="preserve">https://www.dutscher.com/article/508053</t>
  </si>
  <si>
    <t xml:space="preserve">https://www.dutscher.com/article/508311</t>
  </si>
  <si>
    <t xml:space="preserve">Septum for Hungate tube</t>
  </si>
  <si>
    <t xml:space="preserve">https://www.dutscher.com/article/204701</t>
  </si>
  <si>
    <t xml:space="preserve">Aluminium capsule 20 mm</t>
  </si>
  <si>
    <t xml:space="preserve">https://www.dutscher.com/article/508233</t>
  </si>
  <si>
    <t xml:space="preserve">https://www.thomassci.com/p/metric-bioreactor-stand-7l</t>
  </si>
  <si>
    <t xml:space="preserve">https://www.thomassci.com/p/photoetch-coverslip23x23mm</t>
  </si>
  <si>
    <t xml:space="preserve">https://www.thomassci.com/p/heating-circulator-20100-c-1-kw-heater-27l-plastic-tank</t>
  </si>
  <si>
    <t xml:space="preserve">Thermowell Pipe Assembly 7L For 10mm Port</t>
  </si>
  <si>
    <t xml:space="preserve">https://www.thomassci.com/p/thermowell-pipe-assy-7l-for-10mm-port</t>
  </si>
  <si>
    <t xml:space="preserve">SST Tube Rack, 18mm-72P 6x12 Spacing</t>
  </si>
  <si>
    <t xml:space="preserve">https://www.thomassci.com/p/sst-tube-rack-18mm-72p-6x12-spacing</t>
  </si>
  <si>
    <t xml:space="preserve">https://www.thomassci.com/p/opti-digital-handheld-refractometer</t>
  </si>
  <si>
    <t xml:space="preserve">https://www.thomassci.com/p/rfm300-m-refractometers</t>
  </si>
  <si>
    <t xml:space="preserve">https://www.thomassci.com/p/rfm300-t-refractometers</t>
  </si>
  <si>
    <t xml:space="preserve">Abbe 5 Refractometer</t>
  </si>
  <si>
    <t xml:space="preserve">https://www.thomassci.com/p/abbe-5-refractometer</t>
  </si>
  <si>
    <t xml:space="preserve">Calibration Oil</t>
  </si>
  <si>
    <t xml:space="preserve">https://www.thomassci.com/p/calibration-oil-aprox-156-ri-1-x-5ml</t>
  </si>
  <si>
    <t xml:space="preserve">https://www.dutscher.com/article/162443</t>
  </si>
  <si>
    <t xml:space="preserve">https://www.dutscher.com/article/060916</t>
  </si>
  <si>
    <t xml:space="preserve">https://www.dutscher.com/article/062660</t>
  </si>
  <si>
    <t xml:space="preserve">Incubator shaker Incu-shaker Mini</t>
  </si>
  <si>
    <t xml:space="preserve">https://www.dutscher.com/article/060981</t>
  </si>
  <si>
    <t xml:space="preserve">3D BenchWaver</t>
  </si>
  <si>
    <t xml:space="preserve">https://www.dutscher.com/article/062648</t>
  </si>
  <si>
    <t xml:space="preserve">https://www.thomassci.com/p/beadbath-duo-series</t>
  </si>
  <si>
    <t xml:space="preserve">https://www.thomassci.com/p/accuris-quantification-kits</t>
  </si>
  <si>
    <t xml:space="preserve">https://www.thomassci.com/p/benchmixer</t>
  </si>
  <si>
    <t xml:space="preserve">Bulk Beads and Prefilled Kits</t>
  </si>
  <si>
    <t xml:space="preserve">https://www.thomassci.com/p/bulk-beads-and-prefilled-kits</t>
  </si>
  <si>
    <t xml:space="preserve">Orbi-Shaker™ Orbital Shakers</t>
  </si>
  <si>
    <t xml:space="preserve">https://www.thomassci.com/p/orbi-shaker-orbital-shakers</t>
  </si>
  <si>
    <t xml:space="preserve">https://www.thomassci.com/p/kennedy-series-workbench-with-1-inch-thick-phenolic-resin-top-1</t>
  </si>
  <si>
    <t xml:space="preserve">https://www.thomassci.com/p/kennedy-stainless-steel-frame-and-top</t>
  </si>
  <si>
    <t xml:space="preserve">https://www.thomassci.com/p/kennedy-series-workbench-with-cleanroom-laminate-top-1</t>
  </si>
  <si>
    <t xml:space="preserve">Kennedy Series Complete Set with Formica™ Laminate Top</t>
  </si>
  <si>
    <t xml:space="preserve">https://www.thomassci.com/p/kennedy-series-complete-set-with-formica-laminate-top</t>
  </si>
  <si>
    <t xml:space="preserve">BenchPro Cleanroom Chair Desk Height and Aluminum Base</t>
  </si>
  <si>
    <t xml:space="preserve">https://www.thomassci.com/p/benchpro-cleanroom-chair-desk-height-and-aluminum-base</t>
  </si>
  <si>
    <t xml:space="preserve">https://www.thomassci.com/p/eden-soft-multi-fold-hand-towels</t>
  </si>
  <si>
    <t xml:space="preserve">https://www.thomassci.com/p/wiper-drc-roll-perforated-white-9-x-12-inch-325-foot-rolls-light-weight-lightweight-6rl/cs</t>
  </si>
  <si>
    <t xml:space="preserve">https://www.thomassci.com/p/twillx-1622</t>
  </si>
  <si>
    <t xml:space="preserve">https://www.thomassci.com/p/valuclean-plus-wipers</t>
  </si>
  <si>
    <t xml:space="preserve">https://www.thomassci.com/p/mop-cover-foam-4-5inx15in-irradiated-5/pk-24pk/cs</t>
  </si>
  <si>
    <t xml:space="preserve">Lab-Tips® Open Cell Foam Swab, Rigid Tip</t>
  </si>
  <si>
    <t xml:space="preserve">https://www.thomassci.com/p/lab-tips-open-cell-foam-swab-rigid-tip</t>
  </si>
  <si>
    <t xml:space="preserve">MICROSEAL® 1200 Wipers</t>
  </si>
  <si>
    <t xml:space="preserve">https://www.thomassci.com/p/microseal-1200-wipers</t>
  </si>
  <si>
    <t xml:space="preserve">https://www.thomassci.com/p/general-purpose-spray-bottles-with-trigger-sprayer</t>
  </si>
  <si>
    <t xml:space="preserve">https://www.thomassci.com/p/aluminum-weigh-dish</t>
  </si>
  <si>
    <t xml:space="preserve">https://www.thomassci.com/p/bottle-straight-side-glass-2oz</t>
  </si>
  <si>
    <t xml:space="preserve">32 OZ GLS STRT SIDE JAR CLR W/BLK CAP 89-400, 12/CS-KIT, 3CS/month</t>
  </si>
  <si>
    <t xml:space="preserve">https://www.thomassci.com/p/32-oz-gls-strt-side-jar-clr-withblk-cap-89-400-12/cs-kit-3cs/month</t>
  </si>
  <si>
    <t xml:space="preserve">Qorpak® Crimp Neck Serum Vial</t>
  </si>
  <si>
    <t xml:space="preserve">https://www.thomassci.com/p/vials-2ml-borosilicate-glass-serum-vials-crimp-neck-with-13mm-neck-finish-475-x-32mm-clear-4950/cs</t>
  </si>
  <si>
    <t xml:space="preserve">https://www.thomassci.com/p/empty-2ml-reinforced-tubes</t>
  </si>
  <si>
    <t xml:space="preserve">https://www.thomassci.com/p/tissue-grinding-ckmix50-7ml</t>
  </si>
  <si>
    <t xml:space="preserve">https://www.thomassci.com/p/precellys24</t>
  </si>
  <si>
    <t xml:space="preserve">Cryolys® Evolution</t>
  </si>
  <si>
    <t xml:space="preserve">https://www.thomassci.com/p/cryolys-evolution</t>
  </si>
  <si>
    <t xml:space="preserve">Hard tissue homogenizing CK28-R</t>
  </si>
  <si>
    <t xml:space="preserve">https://www.thomassci.com/p/hard-tissue-homogenizing-ck28-r</t>
  </si>
  <si>
    <t xml:space="preserve">https://www.thomassci.com/p/alpet-d2-sanitizer-cleaner-50-gallon-drum</t>
  </si>
  <si>
    <t xml:space="preserve">https://www.thomassci.com/p/alpet-no-rinse-quat-sanitizer</t>
  </si>
  <si>
    <t xml:space="preserve">https://www.thomassci.com/p/alpet-d2-surface-sanitizer-/-disinfectant</t>
  </si>
  <si>
    <t xml:space="preserve">Alpet® D2 Surface Sanitizer/Disinfectant</t>
  </si>
  <si>
    <t xml:space="preserve">https://www.thomassci.com/p/alpet-d2-surface-sanitizer/disinfectant</t>
  </si>
  <si>
    <t xml:space="preserve">Alpet D2 Wipes</t>
  </si>
  <si>
    <t xml:space="preserve">https://www.thomassci.com/p/alpet-d2-surface-sanitizing-wipes</t>
  </si>
  <si>
    <t xml:space="preserve">https://www.thomassci.com/p/5-gallon-aluminum-chamber</t>
  </si>
  <si>
    <t xml:space="preserve">https://www.thomassci.com/p/quadpod-open-blast-extractors</t>
  </si>
  <si>
    <t xml:space="preserve">https://www.thomassci.com/p/3-gallon-aluminum-vacuum-chamber</t>
  </si>
  <si>
    <t xml:space="preserve">Professional Scalable Closed Loop Extractors</t>
  </si>
  <si>
    <t xml:space="preserve">https://www.thomassci.com/p/scalable-closed-loop-extractors</t>
  </si>
  <si>
    <t xml:space="preserve">3 Gallon Stainless Steel Vacuum Chamber</t>
  </si>
  <si>
    <t xml:space="preserve">https://www.thomassci.com/p/3-gallon-stainless-steel-vacuum-chamber</t>
  </si>
  <si>
    <t xml:space="preserve">https://www.thomassci.com/p/7000-series-ergonomic-industrial-seating</t>
  </si>
  <si>
    <t xml:space="preserve">https://www.thomassci.com/p/doral-iso-5-cleanroom-vinyl-chair</t>
  </si>
  <si>
    <t xml:space="preserve">https://www.thomassci.com/p/7000-series-class-10-cleanroom-and-esd-polyurethane-seating</t>
  </si>
  <si>
    <t xml:space="preserve">Adjustable Arms for Doral and Integra Series chairs</t>
  </si>
  <si>
    <t xml:space="preserve">https://www.thomassci.com/p/adjustable-arms-for-doral-and-integra-series-chairs</t>
  </si>
  <si>
    <t xml:space="preserve">Plywood (1000 Series) Artisan Seating</t>
  </si>
  <si>
    <t xml:space="preserve">https://www.thomassci.com/p/plywood-1000-series-artisan-seating</t>
  </si>
  <si>
    <t xml:space="preserve">https://www.dutscher.com/article/724542</t>
  </si>
  <si>
    <t xml:space="preserve">https://www.dutscher.com/article/724582</t>
  </si>
  <si>
    <t xml:space="preserve">https://www.dutscher.com/article/724530</t>
  </si>
  <si>
    <t xml:space="preserve">Ne, it 2 Chair - Imitation leather coating - Anthracite handles</t>
  </si>
  <si>
    <t xml:space="preserve">https://www.dutscher.com/article/724623</t>
  </si>
  <si>
    <t xml:space="preserve">Ne, it 2 Chair - PU foam coating - Blue handles</t>
  </si>
  <si>
    <t xml:space="preserve">https://www.dutscher.com/article/724627</t>
  </si>
  <si>
    <t xml:space="preserve">constant climate chambers for ICH stability testing</t>
  </si>
  <si>
    <t xml:space="preserve">CO2 incubators with hot-air sterilisation</t>
  </si>
  <si>
    <t xml:space="preserve">drying and heating chambers (lab ovens)</t>
  </si>
  <si>
    <t xml:space="preserve">https://www.thomassci.com/p/coomassie-brilliant-blue-g-2502</t>
  </si>
  <si>
    <t xml:space="preserve">https://www.thomassci.com/p/ez-10-spin-column-dna-gel-extraction-kits</t>
  </si>
  <si>
    <t xml:space="preserve">https://www.thomassci.com/p/bradford-reagent2</t>
  </si>
  <si>
    <t xml:space="preserve">Glycine</t>
  </si>
  <si>
    <t xml:space="preserve">https://www.thomassci.com/p/glycine15</t>
  </si>
  <si>
    <t xml:space="preserve">Bromophenol Blue</t>
  </si>
  <si>
    <t xml:space="preserve">https://www.thomassci.com/p/bromophenol-blue12</t>
  </si>
  <si>
    <t xml:space="preserve">https://www.thomassci.com/p/pestles-in-g-tubes</t>
  </si>
  <si>
    <t xml:space="preserve">https://www.thomassci.com/p/screw-cap-microcentrifuge-tubes</t>
  </si>
  <si>
    <t xml:space="preserve">https://www.thomassci.com/p/siliconized-15ml-g-tube-flat-top-microcentrifuge-tube-sterile</t>
  </si>
  <si>
    <t xml:space="preserve">96 Well "Reversible" Micro Tube Racks &amp; Snap-On Rack Covers</t>
  </si>
  <si>
    <t xml:space="preserve">https://www.thomassci.com/p/96-well-reversible-micro-tube-racks-and-snap-on-rack-covers</t>
  </si>
  <si>
    <t xml:space="preserve">Histo Plas™ Uni-Capsettes™</t>
  </si>
  <si>
    <t xml:space="preserve">https://www.thomassci.com/p/histo-plas-uni-capsettes</t>
  </si>
  <si>
    <t xml:space="preserve">ddPCR absolute nucleic-acid quantification system</t>
  </si>
  <si>
    <t xml:space="preserve">qPCR detection systems</t>
  </si>
  <si>
    <t xml:space="preserve">gel and western-blot imaging system</t>
  </si>
  <si>
    <t xml:space="preserve">https://www.thomassci.com/p/quantichrom-glutamate-dehydrogenase-assay-kit</t>
  </si>
  <si>
    <t xml:space="preserve">https://www.thomassci.com/p/quantichrom-magnesium-assay-kit</t>
  </si>
  <si>
    <t xml:space="preserve">https://www.thomassci.com/p/enzychrom-succinate-assay-kit</t>
  </si>
  <si>
    <t xml:space="preserve">EnzyChrom™ Creatine Kinase Assay Kit</t>
  </si>
  <si>
    <t xml:space="preserve">https://www.thomassci.com/p/enzychrom-creatine-kinase-assay-kit</t>
  </si>
  <si>
    <t xml:space="preserve">EnzyFluo™ Collagen Assay Kit</t>
  </si>
  <si>
    <t xml:space="preserve">https://www.thomassci.com/p/enzyfluo-collagen-assay-kit</t>
  </si>
  <si>
    <t xml:space="preserve">https://www.thomassci.com/p/test-tube-adapter-set</t>
  </si>
  <si>
    <t xml:space="preserve">https://www.thomassci.com/p/printer-paper-for-biodrop-20/pk</t>
  </si>
  <si>
    <t xml:space="preserve">https://www.thomassci.com/p/spare-printer-paper-for-nanovue-and-genequant</t>
  </si>
  <si>
    <t xml:space="preserve">80-2140-60 · ULTROSPEC 7500 UV-VISIBLE BIOCHROM SPECTROPHOTOMETER</t>
  </si>
  <si>
    <t xml:space="preserve">https://www.dutscher.com/article/80-2140-60</t>
  </si>
  <si>
    <t xml:space="preserve">28-9244-05 · PATHLENGTH CALIBRATION FLUID KIT</t>
  </si>
  <si>
    <t xml:space="preserve">https://www.dutscher.com/article/28-9244-05</t>
  </si>
  <si>
    <t xml:space="preserve">https://www.thomassci.com/p/coolrack-and-coolsink-modules-1</t>
  </si>
  <si>
    <t xml:space="preserve">https://www.thomassci.com/p/trucool-cryogenic-vials</t>
  </si>
  <si>
    <t xml:space="preserve">https://www.thomassci.com/p/coolcell-stem-cell-cryopreservation-systems</t>
  </si>
  <si>
    <t xml:space="preserve">XT Starter Kits</t>
  </si>
  <si>
    <t xml:space="preserve">https://www.thomassci.com/p/xt-starter-kits</t>
  </si>
  <si>
    <t xml:space="preserve">CryoCeps™ Cryogenic Vial Grippers</t>
  </si>
  <si>
    <t xml:space="preserve">https://www.thomassci.com/p/cryoceps-cryogenic-vial-grippers</t>
  </si>
  <si>
    <t xml:space="preserve">https://www.dutscher.com/article/865026</t>
  </si>
  <si>
    <t xml:space="preserve">https://www.dutscher.com/article/865057</t>
  </si>
  <si>
    <t xml:space="preserve">https://www.dutscher.com/article/865025</t>
  </si>
  <si>
    <t xml:space="preserve">Thermal cycler Genetouch without block</t>
  </si>
  <si>
    <t xml:space="preserve">https://www.dutscher.com/article/865019</t>
  </si>
  <si>
    <t xml:space="preserve">Gene Explorer GE-48DS thermal cycler</t>
  </si>
  <si>
    <t xml:space="preserve">https://www.dutscher.com/article/865089</t>
  </si>
  <si>
    <t xml:space="preserve">https://www.thomassci.com/p/bridgeport-series-chair-high-bench-height</t>
  </si>
  <si>
    <t xml:space="preserve">https://www.thomassci.com/p/armorseat-g-series-chairs</t>
  </si>
  <si>
    <t xml:space="preserve">https://www.thomassci.com/p/cleanroom-stool-biofit-14-diameter-seat-4-legs-16-diameter-footring-adjustable-24-seat-height-chrome-urethane-seat-material</t>
  </si>
  <si>
    <t xml:space="preserve">UniqueU UU Series Chairs</t>
  </si>
  <si>
    <t xml:space="preserve">https://www.thomassci.com/p/uniqueu-uu-series-chairs</t>
  </si>
  <si>
    <t xml:space="preserve">Bridgeport Series Chair, Desk or Bench Use</t>
  </si>
  <si>
    <t xml:space="preserve">https://www.thomassci.com/p/bridgeport-series-chair-desk-or-bench-use</t>
  </si>
  <si>
    <t xml:space="preserve">https://www.thomassci.com/p/cell-scrapers-and-lifters</t>
  </si>
  <si>
    <t xml:space="preserve">https://www.thomassci.com/p/cryogenic-vials-s-series</t>
  </si>
  <si>
    <t xml:space="preserve">https://www.thomassci.com/p/tri-corner-beakers</t>
  </si>
  <si>
    <t xml:space="preserve">Cell Culture Flasks</t>
  </si>
  <si>
    <t xml:space="preserve">https://www.thomassci.com/p/cell-culture-flasks</t>
  </si>
  <si>
    <t xml:space="preserve">Biologix micropette plus mechanical pipettes</t>
  </si>
  <si>
    <t xml:space="preserve">https://www.thomassci.com/p/biologix-micropette-plus-mechanical-pipettes</t>
  </si>
  <si>
    <t xml:space="preserve">https://www.thomassci.com/p/centrifuge-bottles1</t>
  </si>
  <si>
    <t xml:space="preserve">https://www.thomassci.com/p/ultra-series-tissue-grinders</t>
  </si>
  <si>
    <t xml:space="preserve">https://www.thomassci.com/p/disposable-beakers</t>
  </si>
  <si>
    <t xml:space="preserve">Cytology Funnels</t>
  </si>
  <si>
    <t xml:space="preserve">https://www.thomassci.com/p/cytology-funnels</t>
  </si>
  <si>
    <t xml:space="preserve">Multi Purpose Containers Translucent</t>
  </si>
  <si>
    <t xml:space="preserve">https://www.thomassci.com/p/multi-purpose-containers-translucent</t>
  </si>
  <si>
    <t xml:space="preserve">https://www.thomassci.com/p/universal-pathogen-dna/rna-extraction-kit</t>
  </si>
  <si>
    <t xml:space="preserve">https://www.thomassci.com/p/mgpure-blood/tissue-dna-extraction-kit</t>
  </si>
  <si>
    <t xml:space="preserve">https://www.thomassci.com/p/cell-tissue-rna-mini-kit</t>
  </si>
  <si>
    <t xml:space="preserve">AAV Purification Mini Kit, Serotype 2 &amp; DJ</t>
  </si>
  <si>
    <t xml:space="preserve">https://www.thomassci.com/p/aav-purification-mini-kit-serotype-2-and-dj</t>
  </si>
  <si>
    <t xml:space="preserve">RNA Purification Columns</t>
  </si>
  <si>
    <t xml:space="preserve">https://www.thomassci.com/p/rna-purification-columns-1</t>
  </si>
  <si>
    <t xml:space="preserve">https://www.thomassci.com/p/bp-plus-dna-ladder</t>
  </si>
  <si>
    <t xml:space="preserve">https://www.thomassci.com/p/dna-ladder-2</t>
  </si>
  <si>
    <t xml:space="preserve">https://www.thomassci.com/p/maglisto-5m-plasmid-extraction-kit</t>
  </si>
  <si>
    <t xml:space="preserve">AccuPower® Hotstart PCR PreMix</t>
  </si>
  <si>
    <t xml:space="preserve">https://www.thomassci.com/p/accupower-hotstart-pcr-premix-1</t>
  </si>
  <si>
    <t xml:space="preserve">AccuPrep® AccuPrep® Plasmid Mini Extraction Kit</t>
  </si>
  <si>
    <t xml:space="preserve">https://www.thomassci.com/p/accuprep-plasmid-mini-extraction-kit</t>
  </si>
  <si>
    <t xml:space="preserve">https://www.dutscher.com/article/038301</t>
  </si>
  <si>
    <t xml:space="preserve">https://www.dutscher.com/article/038309B</t>
  </si>
  <si>
    <t xml:space="preserve">https://www.dutscher.com/article/038333</t>
  </si>
  <si>
    <t xml:space="preserve">8 microtubes strip 0.2 ml E.U. classic high form, red</t>
  </si>
  <si>
    <t xml:space="preserve">https://www.dutscher.com/article/038612</t>
  </si>
  <si>
    <t xml:space="preserve">8-tube strips with flat optical cap, Red</t>
  </si>
  <si>
    <t xml:space="preserve">https://www.dutscher.com/article/038441B</t>
  </si>
  <si>
    <t xml:space="preserve">https://www.thomassci.com/p/fcs2-and-fcs3-system-supplies</t>
  </si>
  <si>
    <t xml:space="preserve">https://www.thomassci.com/p/fcs-micro-perfusion-pumps</t>
  </si>
  <si>
    <t xml:space="preserve">https://www.thomassci.com/p/culture-cylinders</t>
  </si>
  <si>
    <t xml:space="preserve">Delta T™ Micro-Perfusion Pumps</t>
  </si>
  <si>
    <t xml:space="preserve">https://www.thomassci.com/p/delta-t-micro-perfusion-pumps</t>
  </si>
  <si>
    <t xml:space="preserve">Thermal Slide System</t>
  </si>
  <si>
    <t xml:space="preserve">https://www.thomassci.com/p/thermal-slide-system</t>
  </si>
  <si>
    <t xml:space="preserve">https://www.thomassci.com/p/mipaw-sample-probe</t>
  </si>
  <si>
    <t xml:space="preserve">https://www.thomassci.com/p/soft-case-18143</t>
  </si>
  <si>
    <t xml:space="preserve">https://www.thomassci.com/p/multipro-grain-thief</t>
  </si>
  <si>
    <t xml:space="preserve">SAS Super 100 &amp; 180 Microbial Air Samplers</t>
  </si>
  <si>
    <t xml:space="preserve">https://www.thomassci.com/p/sas-super-100-air-sampler</t>
  </si>
  <si>
    <t xml:space="preserve">https://www.dutscher.com/article/789001B</t>
  </si>
  <si>
    <t xml:space="preserve">https://www.dutscher.com/article/390492</t>
  </si>
  <si>
    <t xml:space="preserve">https://www.dutscher.com/article/390529</t>
  </si>
  <si>
    <t xml:space="preserve">Biosigma polycarbonate CryoGen® Box -132 x 132 x 52 mm - for 81 cryotubes 1.2 and 2 ml - Red</t>
  </si>
  <si>
    <t xml:space="preserve">https://www.dutscher.com/article/390480</t>
  </si>
  <si>
    <t xml:space="preserve">Cryogen Box PC 132 x 132 x 52 mm for 100 cryovials with internal screw thread - 1.2 and 2 ml blue</t>
  </si>
  <si>
    <t xml:space="preserve">https://www.dutscher.com/article/390491</t>
  </si>
  <si>
    <t xml:space="preserve">https://www.dutscher.com/article/091607</t>
  </si>
  <si>
    <t xml:space="preserve">https://www.thomassci.com/p/silicon-carbide-sharp-particles</t>
  </si>
  <si>
    <t xml:space="preserve">https://www.thomassci.com/p/biosqueezer</t>
  </si>
  <si>
    <t xml:space="preserve">https://www.thomassci.com/p/stainless-steel-microvials</t>
  </si>
  <si>
    <t xml:space="preserve">Mini-BeadBeater-16 ULTRA</t>
  </si>
  <si>
    <t xml:space="preserve">https://www.thomassci.com/p/mini-beadbeater-16-ultra</t>
  </si>
  <si>
    <t xml:space="preserve">BioPulverizer</t>
  </si>
  <si>
    <t xml:space="preserve">https://www.thomassci.com/p/biopulverizer</t>
  </si>
  <si>
    <t xml:space="preserve">flash chromatography purification system and columns</t>
  </si>
  <si>
    <t xml:space="preserve">automated SPE/SLE sample-preparation workstation</t>
  </si>
  <si>
    <t xml:space="preserve">microwave organic and peptide synthesizers</t>
  </si>
  <si>
    <t xml:space="preserve">https://www.dutscher.com/article/033786B</t>
  </si>
  <si>
    <t xml:space="preserve">https://www.dutscher.com/article/035562</t>
  </si>
  <si>
    <t xml:space="preserve">https://www.dutscher.com/article/820141</t>
  </si>
  <si>
    <t xml:space="preserve">Deoxynucleotide Set 4 x 250 µl, concentration 100 mM</t>
  </si>
  <si>
    <t xml:space="preserve">https://www.dutscher.com/article/033785B</t>
  </si>
  <si>
    <t xml:space="preserve">PFU PCR MASTER MIX 2X for fragment up to 3kb, clean end insert cloning - per 1000 RXNS 25 µl</t>
  </si>
  <si>
    <t xml:space="preserve">https://www.dutscher.com/article/035561</t>
  </si>
  <si>
    <t xml:space="preserve">https://www.thomassci.com/p/trueblack-plus-lipofuscin-autofluorescence-quencher-40x-in-dmso</t>
  </si>
  <si>
    <t xml:space="preserve">https://www.thomassci.com/p/lipidspot-610-lipid-droplet-stain</t>
  </si>
  <si>
    <t xml:space="preserve">https://www.thomassci.com/p/lipidspot-488-lipid-droplet-stain</t>
  </si>
  <si>
    <t xml:space="preserve">CF®770 Donkey Anti-Goat IgG (H+L), Highly Cross-Adsorbed</t>
  </si>
  <si>
    <t xml:space="preserve">https://www.thomassci.com/p/cf770-donkey-anti-goat-igg-hl-highly-cross-adsorbed</t>
  </si>
  <si>
    <t xml:space="preserve">Alpha-Bungarotoxin, CF®543</t>
  </si>
  <si>
    <t xml:space="preserve">https://www.thomassci.com/p/alpha-bungarotoxin-cf543</t>
  </si>
  <si>
    <t xml:space="preserve">https://www.thomassci.com/p/utip-filter-pipette-tips</t>
  </si>
  <si>
    <t xml:space="preserve">https://www.thomassci.com/p/xtip4-lts-style-filter-pipet-tips</t>
  </si>
  <si>
    <t xml:space="preserve">https://www.thomassci.com/p/utip-non-filtered-pipette-tips</t>
  </si>
  <si>
    <t xml:space="preserve">Automation Reagent Reservoirs</t>
  </si>
  <si>
    <t xml:space="preserve">https://www.thomassci.com/p/automation-reagent-reservoirs</t>
  </si>
  <si>
    <t xml:space="preserve">xTIP4 LTS™ Style Non-Filtered Pipet Tips</t>
  </si>
  <si>
    <t xml:space="preserve">https://www.thomassci.com/p/xtip4-lts-style-non-filtered-pipet-tips</t>
  </si>
  <si>
    <t xml:space="preserve">https://www.thomassci.com/p/potassium-iodide20</t>
  </si>
  <si>
    <t xml:space="preserve">https://www.thomassci.com/p/protease-inhibitor-cocktail2</t>
  </si>
  <si>
    <t xml:space="preserve">https://www.thomassci.com/p/glycerol14</t>
  </si>
  <si>
    <t xml:space="preserve">PEG 1000, 4000, 8000 (Polyethylene glycol)</t>
  </si>
  <si>
    <t xml:space="preserve">https://www.thomassci.com/p/peg-1000-4000-8000-polyethylene-glycol</t>
  </si>
  <si>
    <t xml:space="preserve">Phosphate Buffered Saline</t>
  </si>
  <si>
    <t xml:space="preserve">https://www.thomassci.com/p/phosphate-buffered-saline6</t>
  </si>
  <si>
    <t xml:space="preserve">https://www.thomassci.com/p/pristine-water-lc-ms-grade</t>
  </si>
  <si>
    <t xml:space="preserve">https://www.thomassci.com/p/pristine-acetonitrile-lc-ms-grade</t>
  </si>
  <si>
    <t xml:space="preserve">https://www.thomassci.com/p/pristine-water-hplc-grade</t>
  </si>
  <si>
    <t xml:space="preserve">Pristine® Methanol, HPLC Grade</t>
  </si>
  <si>
    <t xml:space="preserve">https://www.thomassci.com/p/pristine-methanol-hplc-grade</t>
  </si>
  <si>
    <t xml:space="preserve">Pristine® Isopropyl Alcohol, HPLC Grade</t>
  </si>
  <si>
    <t xml:space="preserve">https://www.thomassci.com/p/pristine-isopropyl-alcohol-hplc-grade</t>
  </si>
  <si>
    <t xml:space="preserve">https://www.thomassci.com/p/automated-tangential-flow-filtration-system</t>
  </si>
  <si>
    <t xml:space="preserve">https://www.thomassci.com/p/benchtop-single-use-mixer</t>
  </si>
  <si>
    <t xml:space="preserve">https://www.thomassci.com/p/pure-lock-sanitary-clamps</t>
  </si>
  <si>
    <t xml:space="preserve">Alternating Tangential Flow (ATF) System</t>
  </si>
  <si>
    <t xml:space="preserve">https://www.thomassci.com/p/alternating-tangential-flow-atf-system</t>
  </si>
  <si>
    <t xml:space="preserve">Fermentor Controller</t>
  </si>
  <si>
    <t xml:space="preserve">https://www.thomassci.com/p/fermentor-controller</t>
  </si>
  <si>
    <t xml:space="preserve">https://www.thomassci.com/p/ezmate-automated-pipetting-system</t>
  </si>
  <si>
    <t xml:space="preserve">https://www.thomassci.com/p/ezscope-101-live-cell-imaging-system-1</t>
  </si>
  <si>
    <t xml:space="preserve">https://www.thomassci.com/p/turbocycler-2-thermal-cylcer-designed-to-perform-pcr-polymerase-chain-reaction-using-samples-of-dna</t>
  </si>
  <si>
    <t xml:space="preserve">MiniTurbo Thermal Cycler</t>
  </si>
  <si>
    <t xml:space="preserve">https://www.thomassci.com/p/miniturbo-thermal-cycler</t>
  </si>
  <si>
    <t xml:space="preserve">EzDecap Automated Screw Cap Decapper</t>
  </si>
  <si>
    <t xml:space="preserve">https://www.thomassci.com/p/ezdecap-automated-screw-cap-decapper</t>
  </si>
  <si>
    <t xml:space="preserve">https://www.dutscher.com/article/634001</t>
  </si>
  <si>
    <t xml:space="preserve">https://www.dutscher.com/article/634004</t>
  </si>
  <si>
    <t xml:space="preserve">https://www.dutscher.com/article/634043</t>
  </si>
  <si>
    <t xml:space="preserve">Power adapter for MYRA</t>
  </si>
  <si>
    <t xml:space="preserve">https://www.dutscher.com/article/634045</t>
  </si>
  <si>
    <t xml:space="preserve">Pipetting head single-channel 20 µl for MYRA</t>
  </si>
  <si>
    <t xml:space="preserve">https://www.dutscher.com/article/634037</t>
  </si>
  <si>
    <t xml:space="preserve">https://www.thomassci.com/p/standard-size-stainless-steel-desiccators</t>
  </si>
  <si>
    <t xml:space="preserve">https://www.thomassci.com/p/automatic-stainless-desiccator-cabinets</t>
  </si>
  <si>
    <t xml:space="preserve">https://www.thomassci.com/p/rapidfish-slide-hybridizer</t>
  </si>
  <si>
    <t xml:space="preserve">Thermal Mixer II</t>
  </si>
  <si>
    <t xml:space="preserve">https://www.thomassci.com/p/thermal-mixer-ii</t>
  </si>
  <si>
    <t xml:space="preserve">Mini Incubator</t>
  </si>
  <si>
    <t xml:space="preserve">https://www.thomassci.com/p/mini-incubator1</t>
  </si>
  <si>
    <t xml:space="preserve">https://www.thomassci.com/p/tape-dispenser</t>
  </si>
  <si>
    <t xml:space="preserve">https://www.thomassci.com/p/china-marker</t>
  </si>
  <si>
    <t xml:space="preserve">https://www.thomassci.com/p/rush-safety-glasses</t>
  </si>
  <si>
    <t xml:space="preserve">https://www.thomassci.com/p/tracker-ii-safety-glasses</t>
  </si>
  <si>
    <t xml:space="preserve">https://www.thomassci.com/p/bl20-faceshield</t>
  </si>
  <si>
    <t xml:space="preserve">Prism Safety Glasses</t>
  </si>
  <si>
    <t xml:space="preserve">https://www.thomassci.com/p/prism-safety-glasses</t>
  </si>
  <si>
    <t xml:space="preserve">BOLLE Safety Glasses, SILEX+ Platinum Version</t>
  </si>
  <si>
    <t xml:space="preserve">https://www.thomassci.com/p/bolle-safety-glasses-silex-platinum-version</t>
  </si>
  <si>
    <t xml:space="preserve">https://www.thomassci.com/p/kinetic-shoe-cover</t>
  </si>
  <si>
    <t xml:space="preserve">https://www.thomassci.com/p/shoe-cover-dispensers</t>
  </si>
  <si>
    <t xml:space="preserve">https://www.thomassci.com/p/bootiebutler-shoe-covers</t>
  </si>
  <si>
    <t xml:space="preserve">https://www.thomassci.com/p/borosil-allihn-condensers</t>
  </si>
  <si>
    <t xml:space="preserve">https://www.thomassci.com/p/borosil-reagent-square-bottles</t>
  </si>
  <si>
    <t xml:space="preserve">https://www.thomassci.com/p/borosil-reusable-class-b-serological-pipettes</t>
  </si>
  <si>
    <t xml:space="preserve">Borosil® Reusable Heavy Duty Test Tubes</t>
  </si>
  <si>
    <t xml:space="preserve">https://www.thomassci.com/p/borosil-reusable-heavy-duty-test-tubes1</t>
  </si>
  <si>
    <t xml:space="preserve">Borosil® Amber Class A Volumetric Flasks</t>
  </si>
  <si>
    <t xml:space="preserve">https://www.thomassci.com/p/borosil-amber-class-a-volumetric-flasks</t>
  </si>
  <si>
    <t xml:space="preserve">https://www.thomassci.com/p/boss-xtreme-ar-top-grain-goatskin-leather-drivers-glove-with-oil-armor-finish-and-para-aramid-lining-tpr-impact-protection-m-1</t>
  </si>
  <si>
    <t xml:space="preserve">https://www.thomassci.com/p/cut-resistance-goatskin-leather-glove-with-kevlar-liner-straight-thumb-lg-a2-1dz-6dz/cs</t>
  </si>
  <si>
    <t xml:space="preserve">https://www.thomassci.com/p/boss-xtreme-ar-top-grain-goatskin-leather-drivers-glove-with-oil-armor-finish-and-para-aramid-lining-tpr-impact-protection-2xl</t>
  </si>
  <si>
    <t xml:space="preserve">Boss® Xtreme AR Top Grain Goatskin Leather Drivers Glove with Oil Armor™ Finish and Para -Aramid Lining - TPR Impact Protection L</t>
  </si>
  <si>
    <t xml:space="preserve">https://www.thomassci.com/p/boss-xtreme-ar-top-grain-goatskin-leather-drivers-glove-with-oil-armor-finish-and-para-aramid-lining-tpr-impact-protection-l</t>
  </si>
  <si>
    <t xml:space="preserve">Boss® Xtreme Leather Drivers Gloves</t>
  </si>
  <si>
    <t xml:space="preserve">https://www.thomassci.com/p/hand-protection</t>
  </si>
  <si>
    <t xml:space="preserve">https://www.thomassci.com/p/potassium-phosphate-buffer-02-m-ph-74</t>
  </si>
  <si>
    <t xml:space="preserve">https://www.thomassci.com/p/tris-hcl-buffer-10-m-ph-74-02-micron-filtered</t>
  </si>
  <si>
    <t xml:space="preserve">https://www.thomassci.com/p/hepes-buffer-1-m-ph-70-ph-adjusted-with-koh</t>
  </si>
  <si>
    <t xml:space="preserve">HEPES Buffer (1 M, pH 7.0)</t>
  </si>
  <si>
    <t xml:space="preserve">https://www.thomassci.com/p/hepes-buffer-1-m-ph-70</t>
  </si>
  <si>
    <t xml:space="preserve">Tris Buffered Saline-Tween Wash Buffer (10X, with Azide &amp; 1% Tween-20, pH 7.6)</t>
  </si>
  <si>
    <t xml:space="preserve">https://www.thomassci.com/p/tris-buffered-saline-tween-wash-buffer-10x-with-azide-and-1-tween-20-ph-76</t>
  </si>
  <si>
    <t xml:space="preserve">https://www.thomassci.com/p/5-inch-x-1/4-inch-black-dissipative-rubber-bands-apx-210</t>
  </si>
  <si>
    <t xml:space="preserve">https://www.thomassci.com/p/anti-static-bags</t>
  </si>
  <si>
    <t xml:space="preserve">https://www.thomassci.com/p/captain-rimless-safety-glasses-with-clear-temple-clear-lens-and-anti-scratch-/-anti-fog-coating</t>
  </si>
  <si>
    <t xml:space="preserve">https://www.thomassci.com/p/bouton-optical-the-scout-visitor-specs</t>
  </si>
  <si>
    <t xml:space="preserve">https://www.thomassci.com/p/bouton-optical-zenon-z13-eyewear</t>
  </si>
  <si>
    <t xml:space="preserve">OTG Rimless Safety Glasses</t>
  </si>
  <si>
    <t xml:space="preserve">https://www.thomassci.com/p/otg-rimless-safety-glasses</t>
  </si>
  <si>
    <t xml:space="preserve">Bouton® Optical Zenon Z28™ Eyewear</t>
  </si>
  <si>
    <t xml:space="preserve">https://www.thomassci.com/p/bouton-optical-zenon-z28-eyewear</t>
  </si>
  <si>
    <t xml:space="preserve">https://www.thomassci.com/p/infection-prevention-system</t>
  </si>
  <si>
    <t xml:space="preserve">https://www.thomassci.com/p/glove-box-dispenser-double-clear-petg-plastic-1</t>
  </si>
  <si>
    <t xml:space="preserve">https://www.thomassci.com/p/reclosable-poly-bags</t>
  </si>
  <si>
    <t xml:space="preserve">https://www.thomassci.com/p/anti-static-reclosable-poly-bags</t>
  </si>
  <si>
    <t xml:space="preserve">https://www.thomassci.com/p/3-x-3-1/2-inch-self-seal-bubble-pouches</t>
  </si>
  <si>
    <t xml:space="preserve">36'' x 58'' - Clear Can Liners</t>
  </si>
  <si>
    <t xml:space="preserve">https://www.thomassci.com/p/36-x-58-clear-can-liners</t>
  </si>
  <si>
    <t xml:space="preserve">https://www.thomassci.com/p/reclosable-static-shielding-bags</t>
  </si>
  <si>
    <t xml:space="preserve">https://www.thomassci.com/p/heliport-sample-thawing-station</t>
  </si>
  <si>
    <t xml:space="preserve">https://www.thomassci.com/p/heliport-plus-heated-sample-thawing-station</t>
  </si>
  <si>
    <t xml:space="preserve">https://www.thomassci.com/p/station-one-sample-thawing-station</t>
  </si>
  <si>
    <t xml:space="preserve">https://www.dutscher.com/article/835685</t>
  </si>
  <si>
    <t xml:space="preserve">https://www.dutscher.com/article/814015</t>
  </si>
  <si>
    <t xml:space="preserve">https://www.dutscher.com/article/834706</t>
  </si>
  <si>
    <t xml:space="preserve">Printer M510 EU version + Brady Workstation BWS design suite</t>
  </si>
  <si>
    <t xml:space="preserve">https://www.dutscher.com/article/834005</t>
  </si>
  <si>
    <t xml:space="preserve">Soluble paper label in continuous ribbon for Brady BMP21 printer - model M21-750-403 - colour black on white background - dimensions W x L =</t>
  </si>
  <si>
    <t xml:space="preserve">https://www.dutscher.com/article/834603</t>
  </si>
  <si>
    <t xml:space="preserve">https://www.thomassci.com/p/self-laminating-cryogenic-labels</t>
  </si>
  <si>
    <t xml:space="preserve">https://www.thomassci.com/p/b33-series-polyester-chemical-resistant-laboratory-labels-with-vial-top</t>
  </si>
  <si>
    <t xml:space="preserve">https://www.thomassci.com/p/m511-label-printer</t>
  </si>
  <si>
    <t xml:space="preserve">Detachable Cleats for Brady Clamp-On Circuit Breaker Lockout</t>
  </si>
  <si>
    <t xml:space="preserve">https://www.thomassci.com/p/detachable-cleats-for-brady-clamp-on-circuit-breaker-lockout</t>
  </si>
  <si>
    <t xml:space="preserve">Microscope Polyester Labels</t>
  </si>
  <si>
    <t xml:space="preserve">https://www.thomassci.com/p/microscope-polyester-labels</t>
  </si>
  <si>
    <t xml:space="preserve">single- and multichannel air-displacement pipettes</t>
  </si>
  <si>
    <t xml:space="preserve">bottle-top dispensers and repetitive pipettes</t>
  </si>
  <si>
    <t xml:space="preserve">Class A flasks, pipettes, burettes</t>
  </si>
  <si>
    <t xml:space="preserve">https://www.thomassci.com/p/biodegradable-cleaning-solutions-for-use-in-ultrasonic-cleaners</t>
  </si>
  <si>
    <t xml:space="preserve">https://www.thomassci.com/p/accessories-for-models-250-and-450-sonifier</t>
  </si>
  <si>
    <t xml:space="preserve">https://www.thomassci.com/p/spanner-wrench</t>
  </si>
  <si>
    <t xml:space="preserve">Horns for SFX250, SFX450, 250 &amp; 450 Sonifiers</t>
  </si>
  <si>
    <t xml:space="preserve">https://www.thomassci.com/p/horns-for-models-250-and-450-sonifier1</t>
  </si>
  <si>
    <t xml:space="preserve">Accessories for Branson Ultrasonic Cleaners</t>
  </si>
  <si>
    <t xml:space="preserve">https://www.thomassci.com/p/accessories-for-branson-ultrasonic-cleaners</t>
  </si>
  <si>
    <t xml:space="preserve">https://www.thomassci.com/p/finger-tape-tan-30-yards-x-16-rls/pk</t>
  </si>
  <si>
    <t xml:space="preserve">https://www.thomassci.com/p/bantex-cohesive-guaze-finger-tape</t>
  </si>
  <si>
    <t xml:space="preserve">https://www.thomassci.com/p/srl-adj-silicone-rubber-heating-blankets-with-control-no-psa</t>
  </si>
  <si>
    <t xml:space="preserve">https://www.thomassci.com/p/sdc-benchtop-temperature-controllers</t>
  </si>
  <si>
    <t xml:space="preserve">https://www.thomassci.com/p/sdx-digital-pid-temperature-controllers</t>
  </si>
  <si>
    <t xml:space="preserve">HM Lower Hemispherical Heating Mantles</t>
  </si>
  <si>
    <t xml:space="preserve">https://www.thomassci.com/p/hm-lower-hemispherical-heating-mantles</t>
  </si>
  <si>
    <t xml:space="preserve">SRL-ADJ Silicone Rubber Heating Blankets with Control (with PSA)</t>
  </si>
  <si>
    <t xml:space="preserve">https://www.thomassci.com/p/srl-adj-silicone-rubber-heating-blankets-with-control-with-psa</t>
  </si>
  <si>
    <t xml:space="preserve">https://www.thomassci.com/p/tc-style-replacement-tapes</t>
  </si>
  <si>
    <t xml:space="preserve">https://www.thomassci.com/p/tze-replacement-tapes-12mm-047</t>
  </si>
  <si>
    <t xml:space="preserve">https://www.thomassci.com/p/test-tube-brush</t>
  </si>
  <si>
    <t xml:space="preserve">https://www.thomassci.com/p/flexible-vinyl-brushes-for-tubes</t>
  </si>
  <si>
    <t xml:space="preserve">https://www.thomassci.com/p/glassware-brushes</t>
  </si>
  <si>
    <t xml:space="preserve">https://www.thomassci.com/p/polyvinyl-chloride-pvc-vinyl-sleeves-18-length</t>
  </si>
  <si>
    <t xml:space="preserve">https://www.thomassci.com/p/kishigo-ca08-cleanroom-8mil-thick-vinyl-blue-coat-apron</t>
  </si>
  <si>
    <t xml:space="preserve">modular rotary evaporator system</t>
  </si>
  <si>
    <t xml:space="preserve">laboratory spray dryers</t>
  </si>
  <si>
    <t xml:space="preserve">nitrogen and protein determination systems</t>
  </si>
  <si>
    <t xml:space="preserve">https://www.thomassci.com/p/xenophot-hlx-volts-24v-watts-150w-base-g6-35-/-2-pin</t>
  </si>
  <si>
    <t xml:space="preserve">https://www.thomassci.com/p/philips-30-watt-36-t8-germicial-fluorescent-bulb</t>
  </si>
  <si>
    <t xml:space="preserve">https://www.thomassci.com/p/tung-halo-6605-6v-10w-t3-g4</t>
  </si>
  <si>
    <t xml:space="preserve">OSRAM Bulb, Halogen</t>
  </si>
  <si>
    <t xml:space="preserve">https://www.thomassci.com/p/osram-bulb-halogen</t>
  </si>
  <si>
    <t xml:space="preserve">Philips TUV 36T5/SP Germicidal Fluorescent Light Bulb</t>
  </si>
  <si>
    <t xml:space="preserve">https://www.thomassci.com/p/philips-tuv-36t5/sp-germicidal-fluorescent-light-bulb</t>
  </si>
  <si>
    <t xml:space="preserve">https://www.thomassci.com/p/lf-facepiece-tychem</t>
  </si>
  <si>
    <t xml:space="preserve">https://www.thomassci.com/p/inflatable-neck-cuff-free-floating-1000-apf-dupont-tychem-qc</t>
  </si>
  <si>
    <t xml:space="preserve">https://www.thomassci.com/p/battery</t>
  </si>
  <si>
    <t xml:space="preserve">EVA / EVAHL HEPA Filter</t>
  </si>
  <si>
    <t xml:space="preserve">https://www.thomassci.com/p/eva-/-evahl-hepa-filter</t>
  </si>
  <si>
    <t xml:space="preserve">sock neck cuff, free floating, 1000 APF, Dupont Tychem QC / 2000, lens adjustment strap</t>
  </si>
  <si>
    <t xml:space="preserve">https://www.thomassci.com/p/sock-neck-cuff-free-floating-1000-apf-dupont-tychem-qc-/-2000-lens-adjustment-strap</t>
  </si>
  <si>
    <t xml:space="preserve">https://www.thomassci.com/p/mens-flame-resistant-/-chemical-splash-protection-lab-coats</t>
  </si>
  <si>
    <t xml:space="preserve">https://www.thomassci.com/p/womens-flame-resistant-/-chemical-splash-protection-lab-coats</t>
  </si>
  <si>
    <t xml:space="preserve">https://www.dutscher.com/article/795631</t>
  </si>
  <si>
    <t xml:space="preserve">https://www.dutscher.com/article/795920</t>
  </si>
  <si>
    <t xml:space="preserve">https://www.dutscher.com/article/795921</t>
  </si>
  <si>
    <t xml:space="preserve">Telescopic rod - Length min/max (meter): 1.65 / 4.5</t>
  </si>
  <si>
    <t xml:space="preserve">https://www.dutscher.com/article/670953</t>
  </si>
  <si>
    <t xml:space="preserve">Spray flask - 500 ml</t>
  </si>
  <si>
    <t xml:space="preserve">https://www.dutscher.com/article/670882</t>
  </si>
  <si>
    <t xml:space="preserve">https://www.thomassci.com/p/snap-n-lock-clamps</t>
  </si>
  <si>
    <t xml:space="preserve">https://www.thomassci.com/p/wrist-action-shakers</t>
  </si>
  <si>
    <t xml:space="preserve">https://www.thomassci.com/p/wrist-action-simethicone-shakers</t>
  </si>
  <si>
    <t xml:space="preserve">Ultra-Thin Mini Magnetic Stirrer 100-240V,50/60 Hz</t>
  </si>
  <si>
    <t xml:space="preserve">https://www.thomassci.com/p/ultra-thin-mini-magnetic-stirrer-100-240v50/60-hz</t>
  </si>
  <si>
    <t xml:space="preserve">Wrist Action® Variable Speed Shakers</t>
  </si>
  <si>
    <t xml:space="preserve">https://www.thomassci.com/p/wrist-action-variable-speed-shakers</t>
  </si>
  <si>
    <t xml:space="preserve">https://www.thomassci.com/p/abrasion-tester</t>
  </si>
  <si>
    <t xml:space="preserve">https://www.thomassci.com/p/weight-per-gallon-cups1</t>
  </si>
  <si>
    <t xml:space="preserve">https://www.thomassci.com/p/liquid-color-meter-lcm1</t>
  </si>
  <si>
    <t xml:space="preserve">LCM IV Photometer</t>
  </si>
  <si>
    <t xml:space="preserve">https://www.thomassci.com/p/lcm-iv-photometer</t>
  </si>
  <si>
    <t xml:space="preserve">Multiple Clearance Square Applicators</t>
  </si>
  <si>
    <t xml:space="preserve">https://www.thomassci.com/p/multiple-clearance-square-applicators</t>
  </si>
  <si>
    <t xml:space="preserve">https://www.thomassci.com/p/pfas-free-bottles</t>
  </si>
  <si>
    <t xml:space="preserve">https://www.thomassci.com/p/1oz-amb-br-20-400-blk-phen-pc-l3-432/cs</t>
  </si>
  <si>
    <t xml:space="preserve">https://www.thomassci.com/p/voa-vials</t>
  </si>
  <si>
    <t xml:space="preserve">Terra Core™ Vial Kits</t>
  </si>
  <si>
    <t xml:space="preserve">https://www.thomassci.com/p/terra-core-vial-kits</t>
  </si>
  <si>
    <t xml:space="preserve">C&amp;G Wide Mouth Precleaned Glass</t>
  </si>
  <si>
    <t xml:space="preserve">https://www.thomassci.com/p/950cc-amb-wm-53-400-wht-ptfe-a1/bc/sulf-8ml-12/cs</t>
  </si>
  <si>
    <t xml:space="preserve">https://www.thomassci.com/p/pcr-workstations-36</t>
  </si>
  <si>
    <t xml:space="preserve">https://www.thomassci.com/p/pcr-workstations-48</t>
  </si>
  <si>
    <t xml:space="preserve">https://www.thomassci.com/p/replacement-bulbs</t>
  </si>
  <si>
    <t xml:space="preserve">PCR Workstations 30"</t>
  </si>
  <si>
    <t xml:space="preserve">https://www.thomassci.com/p/pcr-workstations-30</t>
  </si>
  <si>
    <t xml:space="preserve">https://www.thomassci.com/p/threaded-end-uts-adapters</t>
  </si>
  <si>
    <t xml:space="preserve">https://www.thomassci.com/p/1-way-peek-luer-adapters</t>
  </si>
  <si>
    <t xml:space="preserve">https://www.thomassci.com/p/perfectum-intubation-needles</t>
  </si>
  <si>
    <t xml:space="preserve">Perfektum Needles</t>
  </si>
  <si>
    <t xml:space="preserve">https://www.thomassci.com/p/perfektum-needles2</t>
  </si>
  <si>
    <t xml:space="preserve">Laboratory Pipetting Needles with Blunt Ends</t>
  </si>
  <si>
    <t xml:space="preserve">https://www.thomassci.com/p/pipetting-needles-luer-hub-perfektum</t>
  </si>
  <si>
    <t xml:space="preserve">https://www.thomassci.com/p/accessories-for-caframo-overhead-stirrers</t>
  </si>
  <si>
    <t xml:space="preserve">https://www.thomassci.com/p/petite-digital-overhead-stirrer-model-bdc250</t>
  </si>
  <si>
    <t xml:space="preserve">https://www.thomassci.com/p/ultra-torque-overhead-stirrer-model-bdc1850-1</t>
  </si>
  <si>
    <t xml:space="preserve">Ultra Speed Overhead Stirrer, Model BDC6015</t>
  </si>
  <si>
    <t xml:space="preserve">https://www.thomassci.com/p/ultra-speed-overhead-stirrer-model-bdc6015-1</t>
  </si>
  <si>
    <t xml:space="preserve">Stands &amp; Clamps for Caframo Overhead Stirrers</t>
  </si>
  <si>
    <t xml:space="preserve">https://www.thomassci.com/p/stands-and-clamps-for-caframo-overhead-stirrers</t>
  </si>
  <si>
    <t xml:space="preserve">https://www.thomassci.com/p/fingercot-calapro-powderfree-nitrile-large-5gross/pk-moq-20pks</t>
  </si>
  <si>
    <t xml:space="preserve">https://www.thomassci.com/p/fy01-powderfree-latex-rolled-fingercots</t>
  </si>
  <si>
    <t xml:space="preserve">https://www.thomassci.com/p/static-dissipative-black-finger-cots1</t>
  </si>
  <si>
    <t xml:space="preserve">Finger Cots, Calapro Black Stat Dissipative Powderfree Latex, 3 mil, Medium, 5GR/PK, 40PK/cs</t>
  </si>
  <si>
    <t xml:space="preserve">https://www.thomassci.com/p/finger-cots-calapro-black-stat-dissipative-powderfree-latex-3-mil-medium-5gr/pk-40pk/cs</t>
  </si>
  <si>
    <t xml:space="preserve">https://www.thomassci.com/p/wrights-hematology-stain-set2</t>
  </si>
  <si>
    <t xml:space="preserve">https://www.thomassci.com/p/wrights-hematology-stain-set3</t>
  </si>
  <si>
    <t xml:space="preserve">https://www.thomassci.com/p/erada-stain-and-erado-sol</t>
  </si>
  <si>
    <t xml:space="preserve">https://www.thomassci.com/p/viscometer-holder-neoprene-rubber-for-cufsc</t>
  </si>
  <si>
    <t xml:space="preserve">https://www.thomassci.com/p/silicone-viscosity-standards</t>
  </si>
  <si>
    <t xml:space="preserve">https://www.thomassci.com/p/ct-500-and-ct-518-constant-temperature-baths</t>
  </si>
  <si>
    <t xml:space="preserve">TE-3000 Constant (Low) Temperature Bath</t>
  </si>
  <si>
    <t xml:space="preserve">https://www.thomassci.com/p/te-3000-constant-low-temperature-bath</t>
  </si>
  <si>
    <t xml:space="preserve">BS/U/M Miniature U-Tube</t>
  </si>
  <si>
    <t xml:space="preserve">https://www.thomassci.com/p/bsum-miniature-u-tube</t>
  </si>
  <si>
    <t xml:space="preserve">https://www.thomassci.com/p/polystyrene-general-purpose-test-tubes</t>
  </si>
  <si>
    <t xml:space="preserve">https://www.thomassci.com/p/polyethylene-caps</t>
  </si>
  <si>
    <t xml:space="preserve">https://www.thomassci.com/p/50-ml-centrifuge-tubes-with-caps</t>
  </si>
  <si>
    <t xml:space="preserve">30 mL Centrifuge Tubes</t>
  </si>
  <si>
    <t xml:space="preserve">https://www.thomassci.com/p/30-ml-centrifuge-tubes</t>
  </si>
  <si>
    <t xml:space="preserve">5" Chromatography Columns</t>
  </si>
  <si>
    <t xml:space="preserve">https://www.thomassci.com/p/disposable-chromatography-columns</t>
  </si>
  <si>
    <t xml:space="preserve">https://www.dutscher.com/article/091247</t>
  </si>
  <si>
    <t xml:space="preserve">https://www.dutscher.com/article/091248</t>
  </si>
  <si>
    <t xml:space="preserve">https://www.dutscher.com/article/091091</t>
  </si>
  <si>
    <t xml:space="preserve">ExpellPlus sterile tip individual wrapping, 10 µl, long</t>
  </si>
  <si>
    <t xml:space="preserve">https://www.dutscher.com/article/091249</t>
  </si>
  <si>
    <t xml:space="preserve">CappWash 8-channel Plate Washer</t>
  </si>
  <si>
    <t xml:space="preserve">https://www.dutscher.com/article/091033</t>
  </si>
  <si>
    <t xml:space="preserve">https://www.thomassci.com/p/protexis-latex-micro-surgical-gloves</t>
  </si>
  <si>
    <t xml:space="preserve">https://www.thomassci.com/p/aami-level-4-surgical-gowns</t>
  </si>
  <si>
    <t xml:space="preserve">https://www.thomassci.com/p/cardinal-health-sterile-disposable-sleeves-30/bx-2bxs/cs</t>
  </si>
  <si>
    <t xml:space="preserve">Medi-Vac® Brand Guardian™ Disposable Suction Canisters</t>
  </si>
  <si>
    <t xml:space="preserve">https://www.thomassci.com/p/medi-vac-brand-guardian-suction-canisters</t>
  </si>
  <si>
    <t xml:space="preserve">Paper Heat-Seal Sterilization Pouches</t>
  </si>
  <si>
    <t xml:space="preserve">https://www.thomassci.com/p/paper-heat-seal-sterilization-pouches</t>
  </si>
  <si>
    <t xml:space="preserve">https://www.thomassci.com/p/microscope-immersion-oils</t>
  </si>
  <si>
    <t xml:space="preserve">https://www.thomassci.com/p/polypropylene-staccups</t>
  </si>
  <si>
    <t xml:space="preserve">https://www.thomassci.com/p/brix-index-chart</t>
  </si>
  <si>
    <t xml:space="preserve">Refractives Index Liquids</t>
  </si>
  <si>
    <t xml:space="preserve">https://www.thomassci.com/p/refractives-index-liquids</t>
  </si>
  <si>
    <t xml:space="preserve">https://www.dutscher.com/article/575101-CER</t>
  </si>
  <si>
    <t xml:space="preserve">https://www.dutscher.com/article/502721-CER</t>
  </si>
  <si>
    <t xml:space="preserve">https://www.dutscher.com/article/412042-CER</t>
  </si>
  <si>
    <t xml:space="preserve">405442000-CER · Ethylenediaminetetraacetic acid disodium salt 0,01 mol/l (0,02N) - RPE - For analysis - 1 L</t>
  </si>
  <si>
    <t xml:space="preserve">https://www.dutscher.com/article/405442000-CER</t>
  </si>
  <si>
    <t xml:space="preserve">502831-CER · Hydrochloric acid 6 mol / l (6N) - RS - Pure - Plastic bottle 1 Litre</t>
  </si>
  <si>
    <t xml:space="preserve">https://www.dutscher.com/article/502831-CER</t>
  </si>
  <si>
    <t xml:space="preserve">https://www.thomassci.com/p/flowlinx-tpe-tubing-ends</t>
  </si>
  <si>
    <t xml:space="preserve">https://www.thomassci.com/p/beta-bags</t>
  </si>
  <si>
    <t xml:space="preserve">https://www.thomassci.com/p/pet-media-bottle-assemblies</t>
  </si>
  <si>
    <t xml:space="preserve">Erlenmeyer Flasks</t>
  </si>
  <si>
    <t xml:space="preserve">https://www.thomassci.com/p/erlenmeyer-flasks-4</t>
  </si>
  <si>
    <t xml:space="preserve">Sanitary Clamps</t>
  </si>
  <si>
    <t xml:space="preserve">https://www.thomassci.com/p/sanitary-clamps</t>
  </si>
  <si>
    <t xml:space="preserve">https://www.thomassci.com/p/freeze/thaw-chambers</t>
  </si>
  <si>
    <t xml:space="preserve">https://www.thomassci.com/p/co2-incubators-reach-in</t>
  </si>
  <si>
    <t xml:space="preserve">https://www.thomassci.com/p/co2-incubators-geljacket</t>
  </si>
  <si>
    <t xml:space="preserve">CO2 Incubators, Shaker Ready</t>
  </si>
  <si>
    <t xml:space="preserve">https://www.thomassci.com/p/co2-incubators-shaker-ready</t>
  </si>
  <si>
    <t xml:space="preserve">LED Plant Growth Chambers</t>
  </si>
  <si>
    <t xml:space="preserve">https://www.thomassci.com/p/led-plant-growth-chambers-1</t>
  </si>
  <si>
    <t xml:space="preserve">https://www.thomassci.com/p/evacuable-pellet-dies</t>
  </si>
  <si>
    <t xml:space="preserve">https://www.thomassci.com/p/pellet-presses</t>
  </si>
  <si>
    <t xml:space="preserve">https://www.thomassci.com/p/test-cylinder-outfits-tcos</t>
  </si>
  <si>
    <t xml:space="preserve">Analog Gauges</t>
  </si>
  <si>
    <t xml:space="preserve">https://www.thomassci.com/p/two-gauge-manifold</t>
  </si>
  <si>
    <t xml:space="preserve">Mini C Press, Model 3850</t>
  </si>
  <si>
    <t xml:space="preserve">https://www.thomassci.com/p/mini-12-ton-hydraulic-press</t>
  </si>
  <si>
    <t xml:space="preserve">https://www.thomassci.com/p/linoleic-acid4</t>
  </si>
  <si>
    <t xml:space="preserve">https://www.thomassci.com/p/a-linolenic-acid</t>
  </si>
  <si>
    <t xml:space="preserve">https://www.thomassci.com/p/oleic-acid5</t>
  </si>
  <si>
    <t xml:space="preserve">(S)-MG132</t>
  </si>
  <si>
    <t xml:space="preserve">https://www.thomassci.com/p/s-mg132</t>
  </si>
  <si>
    <t xml:space="preserve">Kifunensine</t>
  </si>
  <si>
    <t xml:space="preserve">https://www.thomassci.com/p/kifunensine</t>
  </si>
  <si>
    <t xml:space="preserve">https://www.thomassci.com/p/6093-sdb-xc-stagetips</t>
  </si>
  <si>
    <t xml:space="preserve">https://www.thomassci.com/p/cds-empore-2370-oil-and-grease-disk</t>
  </si>
  <si>
    <t xml:space="preserve">https://www.thomassci.com/p/cds-empore-2215-c18-hd-bonded-silica-12um-spe-disk</t>
  </si>
  <si>
    <t xml:space="preserve">CDS Empore™ 2214: C8-HD Bonded Silica, 12um SPE Disk</t>
  </si>
  <si>
    <t xml:space="preserve">https://www.thomassci.com/p/cds-empore-2214-c8-hd-bonded-silica-12um-spe-disk</t>
  </si>
  <si>
    <t xml:space="preserve">CDS Empore™ 2252: Anion Exchange, 12um SPE Disk</t>
  </si>
  <si>
    <t xml:space="preserve">https://www.thomassci.com/p/cds-empore-2252-anion-exchange-12um-spe-disk</t>
  </si>
  <si>
    <t xml:space="preserve">https://www.thomassci.com/p/cleanforce-sticky-floor-mats</t>
  </si>
  <si>
    <t xml:space="preserve">https://www.thomassci.com/p/engineering-back-pack-and-sling-bags</t>
  </si>
  <si>
    <t xml:space="preserve">https://www.thomassci.com/p/ce-force-sticky-mat-frames</t>
  </si>
  <si>
    <t xml:space="preserve">CE-Force Basic Shoe Covers</t>
  </si>
  <si>
    <t xml:space="preserve">https://www.thomassci.com/p/ce-force-basic-shoe-covers</t>
  </si>
  <si>
    <t xml:space="preserve">CE-Force I5 Shoe Covers</t>
  </si>
  <si>
    <t xml:space="preserve">https://www.thomassci.com/p/ce-force-i5-shoe-covers</t>
  </si>
  <si>
    <t xml:space="preserve">https://www.thomassci.com/p/lympholyte-cell-separation-media</t>
  </si>
  <si>
    <t xml:space="preserve">https://www.thomassci.com/p/rat-serum-2</t>
  </si>
  <si>
    <t xml:space="preserve">https://www.thomassci.com/p/anti-ngf-beta-subunit</t>
  </si>
  <si>
    <t xml:space="preserve">O-sialoglycoprotein endopeptidase</t>
  </si>
  <si>
    <t xml:space="preserve">https://www.thomassci.com/p/o-sialoglycoprotein-endopeptidase</t>
  </si>
  <si>
    <t xml:space="preserve">Anti-Human HLA-ABC</t>
  </si>
  <si>
    <t xml:space="preserve">https://www.thomassci.com/p/anti-human-hla-abc</t>
  </si>
  <si>
    <t xml:space="preserve">https://www.dutscher.com/article/211000</t>
  </si>
  <si>
    <t xml:space="preserve">https://www.dutscher.com/article/211001</t>
  </si>
  <si>
    <t xml:space="preserve">https://www.dutscher.com/article/211002</t>
  </si>
  <si>
    <t xml:space="preserve">https://www.thomassci.com/p/htert-lentivirus-cmv-puro</t>
  </si>
  <si>
    <t xml:space="preserve">https://www.thomassci.com/p/set-of-lentivirus-tet-driven-sox2-oct3/4-klf4-and-c-myc</t>
  </si>
  <si>
    <t xml:space="preserve">https://www.thomassci.com/p/inducible-tet-on-mir-302-lentivirus</t>
  </si>
  <si>
    <t xml:space="preserve">CMV-Firefly luciferase lentivirus (Puro)</t>
  </si>
  <si>
    <t xml:space="preserve">https://www.thomassci.com/p/cmv-firefly-luciferase-lentivirus-puro</t>
  </si>
  <si>
    <t xml:space="preserve">EF1A-GFP lentivirus</t>
  </si>
  <si>
    <t xml:space="preserve">https://www.thomassci.com/p/ef1a-gfp-lentivirus</t>
  </si>
  <si>
    <t xml:space="preserve">https://www.dutscher.com/article/978359</t>
  </si>
  <si>
    <t xml:space="preserve">https://www.dutscher.com/article/978200</t>
  </si>
  <si>
    <t xml:space="preserve">https://www.dutscher.com/article/978498</t>
  </si>
  <si>
    <t xml:space="preserve">Aspiration pipette sterile - volume 1 ml (individually packaged)</t>
  </si>
  <si>
    <t xml:space="preserve">https://www.dutscher.com/article/978354</t>
  </si>
  <si>
    <t xml:space="preserve">Sterile bottle container - volume 150 ml</t>
  </si>
  <si>
    <t xml:space="preserve">https://www.dutscher.com/article/978219</t>
  </si>
  <si>
    <t xml:space="preserve">https://www.thomassci.com/p/large-volume-centrifuge-tubes1</t>
  </si>
  <si>
    <t xml:space="preserve">https://www.thomassci.com/p/serological-pipets-individually-wrapped-bag-paper/plastic</t>
  </si>
  <si>
    <t xml:space="preserve">https://www.thomassci.com/p/syringe-filters3</t>
  </si>
  <si>
    <t xml:space="preserve">Serological Pipets</t>
  </si>
  <si>
    <t xml:space="preserve">https://www.thomassci.com/p/serological-pipets3</t>
  </si>
  <si>
    <t xml:space="preserve">Oak Ridge Centrifuge Tubes</t>
  </si>
  <si>
    <t xml:space="preserve">https://www.thomassci.com/p/oak-ridge-centrifuge-tubes1</t>
  </si>
  <si>
    <t xml:space="preserve">https://www.thomassci.com/p/shoe-covers-polyethylene-blue-xl-packed-3-packs-of-50-150-pair-per-case</t>
  </si>
  <si>
    <t xml:space="preserve">https://www.thomassci.com/p/bouffant-cap-28-blue-polypropylene-flat-packed-100/bag-5-bags/case</t>
  </si>
  <si>
    <t xml:space="preserve">https://www.dutscher.com/article/191802</t>
  </si>
  <si>
    <t xml:space="preserve">https://www.dutscher.com/article/191825</t>
  </si>
  <si>
    <t xml:space="preserve">https://www.dutscher.com/article/191803</t>
  </si>
  <si>
    <t xml:space="preserve">MICRO MAGNETIC BAR X100</t>
  </si>
  <si>
    <t xml:space="preserve">https://www.dutscher.com/article/191806</t>
  </si>
  <si>
    <t xml:space="preserve">35ML PRESSURISED REACTOR X25</t>
  </si>
  <si>
    <t xml:space="preserve">https://www.dutscher.com/article/191810</t>
  </si>
  <si>
    <t xml:space="preserve">https://www.dutscher.com/article/432002</t>
  </si>
  <si>
    <t xml:space="preserve">https://www.dutscher.com/article/432018</t>
  </si>
  <si>
    <t xml:space="preserve">https://www.dutscher.com/article/432005</t>
  </si>
  <si>
    <t xml:space="preserve">Autoclave CertoClav Vacuum Pro - volume 22 L</t>
  </si>
  <si>
    <t xml:space="preserve">https://www.dutscher.com/article/432033</t>
  </si>
  <si>
    <t xml:space="preserve">Autoclave CertoClav Vacuum Pro - volume 12 L</t>
  </si>
  <si>
    <t xml:space="preserve">https://www.dutscher.com/article/432039</t>
  </si>
  <si>
    <t xml:space="preserve">https://www.thomassci.com/p/mve-cryosystem-series-cryopreservation-equipment</t>
  </si>
  <si>
    <t xml:space="preserve">https://www.thomassci.com/p/mve-doble-qwick-and-doble-series-cryopreservation-equipment</t>
  </si>
  <si>
    <t xml:space="preserve">https://www.thomassci.com/p/mve-lab-series-cryopreservation-equipment</t>
  </si>
  <si>
    <t xml:space="preserve">Shipping Containers for MVE Cryopreservation Equipment</t>
  </si>
  <si>
    <t xml:space="preserve">https://www.thomassci.com/p/shipping-containers-for-mve-cryopreservation-equipment</t>
  </si>
  <si>
    <t xml:space="preserve">MVE CryoShipper QWick™ &amp; Vapor Series Cryopreservation Equipment</t>
  </si>
  <si>
    <t xml:space="preserve">https://www.thomassci.com/p/mve-cryoshipper-qwick-and-vapor-series-cryopreservation-equipment</t>
  </si>
  <si>
    <t xml:space="preserve">https://www.thomassci.com/p/infrared-thermometer</t>
  </si>
  <si>
    <t xml:space="preserve">https://www.thomassci.com/p/hydrometer-1200-1420-24-43</t>
  </si>
  <si>
    <t xml:space="preserve">https://www.thomassci.com/p/hydrometer-1600-1820-54-65</t>
  </si>
  <si>
    <t xml:space="preserve">Heavy Liquid Specific Gravity Hydrometer</t>
  </si>
  <si>
    <t xml:space="preserve">https://www.thomassci.com/p/hydrometer-1200-1420</t>
  </si>
  <si>
    <t xml:space="preserve">Handheld Refractometers with ATC</t>
  </si>
  <si>
    <t xml:space="preserve">https://www.thomassci.com/p/handheld-refractometers-with-atc</t>
  </si>
  <si>
    <t xml:space="preserve">https://www.thomassci.com/p/phosphate-chemets-kits</t>
  </si>
  <si>
    <t xml:space="preserve">https://www.thomassci.com/p/iron-total-and-ferrous-vacu-vials-kit</t>
  </si>
  <si>
    <t xml:space="preserve">https://www.thomassci.com/p/sulfide-chemets-kits</t>
  </si>
  <si>
    <t xml:space="preserve">Phosphate Activator Solution (Qty per pack: six 10mL bottles)</t>
  </si>
  <si>
    <t xml:space="preserve">https://www.thomassci.com/p/phosphate-activator-solution</t>
  </si>
  <si>
    <t xml:space="preserve">Iron (Total &amp; Soluble) VACUettes Kit, Range: 0-1200 &amp; 1200-12,000 ppm</t>
  </si>
  <si>
    <t xml:space="preserve">https://www.thomassci.com/p/iron-total-and-soluble-vacuettes-kit-range-0-1200-and-1200-12000-ppm</t>
  </si>
  <si>
    <t xml:space="preserve">https://www.thomassci.com/p/conductivity-standard-kcl-1413-s/cm</t>
  </si>
  <si>
    <t xml:space="preserve">https://www.thomassci.com/p/conductivity-standards-1</t>
  </si>
  <si>
    <t xml:space="preserve">https://www.thomassci.com/p/fehlings-solution-b-1</t>
  </si>
  <si>
    <t xml:space="preserve">Sodium Thiosulfate, 1.0N</t>
  </si>
  <si>
    <t xml:space="preserve">https://www.thomassci.com/p/sodium-thiosulfate-1-0n</t>
  </si>
  <si>
    <t xml:space="preserve">Sulfuric Acid, 2.0N</t>
  </si>
  <si>
    <t xml:space="preserve">https://www.thomassci.com/p/sulfuric-acid-2-0n</t>
  </si>
  <si>
    <t xml:space="preserve">https://www.thomassci.com/p/solid-cap-ptfe-seal-gl-14-thread</t>
  </si>
  <si>
    <t xml:space="preserve">https://www.thomassci.com/p/kalrez-4079-o-rings</t>
  </si>
  <si>
    <t xml:space="preserve">https://www.thomassci.com/p/adapters-distillation-1052</t>
  </si>
  <si>
    <t xml:space="preserve">Round Cover Slips</t>
  </si>
  <si>
    <t xml:space="preserve">https://www.thomassci.com/p/round-cover-slips-1</t>
  </si>
  <si>
    <t xml:space="preserve">Plate Glass, Square, Borosilicate</t>
  </si>
  <si>
    <t xml:space="preserve">https://www.thomassci.com/p/plate-glass-square-borosilicate</t>
  </si>
  <si>
    <t xml:space="preserve">https://www.dutscher.com/article/1626-1KG-KIS</t>
  </si>
  <si>
    <t xml:space="preserve">https://www.dutscher.com/article/452001</t>
  </si>
  <si>
    <t xml:space="preserve">https://www.dutscher.com/article/452545</t>
  </si>
  <si>
    <t xml:space="preserve">850-1L-KIS · HYDROCHLORIC ACID 1,0MOL/L (1,0N) 1L</t>
  </si>
  <si>
    <t xml:space="preserve">https://www.dutscher.com/article/850-1L-KIS</t>
  </si>
  <si>
    <t xml:space="preserve">857-1L-PE-KIS · HYDROCHLORIC ACID SUPERPURE FOR TRACE ANALYSIS 34,0 - 37,0% W/W 1L</t>
  </si>
  <si>
    <t xml:space="preserve">https://www.dutscher.com/article/857-1L-PE-KIS</t>
  </si>
  <si>
    <t xml:space="preserve">https://www.thomassci.com/p/bti-inline-filters-breakthrough-indicators-inline</t>
  </si>
  <si>
    <t xml:space="preserve">https://www.thomassci.com/p/bti-carbon-adsorbers-and-filters-change-indicators</t>
  </si>
  <si>
    <t xml:space="preserve">https://www.thomassci.com/p/filter-breakthrough-indicators-for-low-flow-waste-containers-filters</t>
  </si>
  <si>
    <t xml:space="preserve">Lab Surface Wipes - Chemwipes</t>
  </si>
  <si>
    <t xml:space="preserve">https://www.thomassci.com/p/surface-wipes</t>
  </si>
  <si>
    <t xml:space="preserve">Area Monitors and Leak Detectors</t>
  </si>
  <si>
    <t xml:space="preserve">https://www.thomassci.com/p/area-monitors-and-leak-detectors</t>
  </si>
  <si>
    <t xml:space="preserve">https://www.thomassci.com/p/swabs-blunt-tip-wrapped-foam-tip-wooden-handle-3-inches-500/pk/cs</t>
  </si>
  <si>
    <t xml:space="preserve">https://www.thomassci.com/p/swab-chemtronics-coventry-pointed-tip-wrapped-polyester-fabric-cleanroom-non-linting-and-solvent-compatible-28-length-plastic-handle-500ea/bg-5bg/cs</t>
  </si>
  <si>
    <t xml:space="preserve">https://www.thomassci.com/p/swabs-pointed-wrap-foam-3-inches-500-per-pack-5-packs-per-case</t>
  </si>
  <si>
    <t xml:space="preserve">Air Duster, 10oz Aerosol Can, 1 each, 12 each per case</t>
  </si>
  <si>
    <t xml:space="preserve">https://www.thomassci.com/p/air-duster-10oz-aerosol-can-1-each-12-each-per-case</t>
  </si>
  <si>
    <t xml:space="preserve">Wiper, Polycell, Class 100, 9x9, C-fold, 100 per pack, 12 packs per case</t>
  </si>
  <si>
    <t xml:space="preserve">https://www.thomassci.com/p/wiper-polycell-class-100-9x9-c-fold-100-per-pack-12-packs-per-case</t>
  </si>
  <si>
    <t xml:space="preserve">https://www.thomassci.com/p/chums-breakaway-safety-eyewear-retainers</t>
  </si>
  <si>
    <t xml:space="preserve">https://www.thomassci.com/p/security-arm-band</t>
  </si>
  <si>
    <t xml:space="preserve">https://www.thomassci.com/p/stitch-cutters</t>
  </si>
  <si>
    <t xml:space="preserve">https://www.thomassci.com/p/swann-morton-blade-carbon-steel-sterile</t>
  </si>
  <si>
    <t xml:space="preserve">https://www.thomassci.com/p/swann-morton-blade-stainless-steel-sterile</t>
  </si>
  <si>
    <t xml:space="preserve">Knife, Autopsy, Non-Sterile Carbon Steel Blade With Poly Handle, Disposable</t>
  </si>
  <si>
    <t xml:space="preserve">https://www.thomassci.com/p/knife-autopsy-non-sterile-carbon-steel-blade-with-poly-handle-disposable</t>
  </si>
  <si>
    <t xml:space="preserve">Cincinnati Surgical Scalpel</t>
  </si>
  <si>
    <t xml:space="preserve">https://www.thomassci.com/p/cincinnati-surgical-scalpel</t>
  </si>
  <si>
    <t xml:space="preserve">https://www.thomassci.com/p/phoenix-ultra-high-purity-lab-water-system</t>
  </si>
  <si>
    <t xml:space="preserve">https://www.thomassci.com/p/aries-high-purity-water-system</t>
  </si>
  <si>
    <t xml:space="preserve">https://www.thomassci.com/p/clarity-platinum-urine-chemistry-test-system</t>
  </si>
  <si>
    <t xml:space="preserve">https://www.thomassci.com/p/clarity-diagnostics-urinalysis</t>
  </si>
  <si>
    <t xml:space="preserve">https://www.thomassci.com/p/clarity-diagnostics-hemoglobin</t>
  </si>
  <si>
    <t xml:space="preserve">Clarity Diagnostics Pregnancy</t>
  </si>
  <si>
    <t xml:space="preserve">https://www.thomassci.com/p/clarity-diagnostics-pregnancy</t>
  </si>
  <si>
    <t xml:space="preserve">Clarity Diagnostics Drugs of Abuse Tests</t>
  </si>
  <si>
    <t xml:space="preserve">https://www.thomassci.com/p/clarity-diagnostics-drugs-of-abuse-tests</t>
  </si>
  <si>
    <t xml:space="preserve">https://www.thomassci.com/p/std-flo-orange-saf-t-cap-paa-p-5072</t>
  </si>
  <si>
    <t xml:space="preserve">https://www.thomassci.com/p/safe-t-feed-std-flo-drum-system</t>
  </si>
  <si>
    <t xml:space="preserve">https://www.thomassci.com/p/cleanroom-visqueen-/-film-120-inchx100-6-mil-centerfold-60-inchx2</t>
  </si>
  <si>
    <t xml:space="preserve">https://www.thomassci.com/p/hdpe-can-liner-natural</t>
  </si>
  <si>
    <t xml:space="preserve">https://www.thomassci.com/p/clear-flex-vinyl-matting-20gauge-material-54x120x0-020-gauge-20mil</t>
  </si>
  <si>
    <t xml:space="preserve">https://www.thomassci.com/p/label-lgi-biomet-6-up-regular-thermal-paper-1500/rl</t>
  </si>
  <si>
    <t xml:space="preserve">https://www.thomassci.com/p/resin-ribbon-ultra-durable-wax-m260-433in-x-243ft-poly-core-1-roll-each</t>
  </si>
  <si>
    <t xml:space="preserve">https://www.thomassci.com/p/label-applied-materials-caution-l69185-rev-a-075-x-075-one-color-1000-labels-per-roll</t>
  </si>
  <si>
    <t xml:space="preserve">CLEANMARK® Skyworks Priority Label</t>
  </si>
  <si>
    <t xml:space="preserve">https://www.thomassci.com/p/label-cleanroom-stock-and-processed-skyworks-priority-label-2-number-l44641-1000ea/roll</t>
  </si>
  <si>
    <t xml:space="preserve">CLEANMARK® Label</t>
  </si>
  <si>
    <t xml:space="preserve">https://www.thomassci.com/p/label-lg-075inch-x-15inch-radius-062inch-250-per-roll-1-each</t>
  </si>
  <si>
    <t xml:space="preserve">https://www.thomassci.com/p/bags-crfb-cleanroom-tamper-evident-bags-4x6-4mil-clear-ldpe-class-10000-cleaned-and-certified-4x6-100ea/pk/cs</t>
  </si>
  <si>
    <t xml:space="preserve">https://www.thomassci.com/p/clear-ldpe-cleanroom-100-8-x-500-tubing-6-mils</t>
  </si>
  <si>
    <t xml:space="preserve">https://www.thomassci.com/p/tubing-crfb-cleanroom-ldpe-rollstock-class-100-cleaned-and-certified-4-mil-15-inch-x-250-feet-250ft/rl</t>
  </si>
  <si>
    <t xml:space="preserve">Tubing, Low Density Polyethylene, Clear, 4 mil, Class 100</t>
  </si>
  <si>
    <t xml:space="preserve">https://www.thomassci.com/p/tubing-low-density-polyethylene-clear-4-mil-class-100</t>
  </si>
  <si>
    <t xml:space="preserve">Bags, CRFB, ULO, Clear Polyethylene, 4mil, Class 100 Cleaned, 8" x 15", 100EA/PK INCLUDE C OF C's WITH PRODUCT</t>
  </si>
  <si>
    <t xml:space="preserve">https://www.thomassci.com/p/bags-crfb-ulo-clear-polyethylene-4mil-class-100-cleaned-8-inch-x-15-inch-100ea/pk-include-c-of-cs-with-product</t>
  </si>
  <si>
    <t xml:space="preserve">https://www.thomassci.com/p/gloves-cotton-lisle-med-wgt-premium-overcast-hem-ladies-white-50dz/cs</t>
  </si>
  <si>
    <t xml:space="preserve">https://www.thomassci.com/p/cotton-lisle-inspection-gloves-economy-light-weight-mens-and-womens-iso90012000-certified</t>
  </si>
  <si>
    <t xml:space="preserve">https://www.thomassci.com/p/cotton-lisle-economy-light-weight-glove-liners</t>
  </si>
  <si>
    <t xml:space="preserve">CleanTeam Medium Weight Seamless Knit Stretch Polyester Clean Environment Glove - 10 Gauge</t>
  </si>
  <si>
    <t xml:space="preserve">https://www.thomassci.com/p/cleanteam-medium-weight-seamless-knit-stretch-polyester-clean-environment-glove-10-gauge</t>
  </si>
  <si>
    <t xml:space="preserve">CleanTeam® Heavy Weight Cotton Lisle Inspection Glove with Overcast Hem Cuff - Size: Ladies, 50 packs/case</t>
  </si>
  <si>
    <t xml:space="preserve">https://www.thomassci.com/p/cleanteam-heavy-weight-cotton-lisle-inspection-glove-with-overcast-hem-cuff-size-ladies-50-packs/case</t>
  </si>
  <si>
    <t xml:space="preserve">https://www.dutscher.com/article/030100</t>
  </si>
  <si>
    <t xml:space="preserve">https://www.dutscher.com/article/390701</t>
  </si>
  <si>
    <t xml:space="preserve">https://www.dutscher.com/article/390708</t>
  </si>
  <si>
    <t xml:space="preserve">ClearLine® White Cardboard Cryobox - with divider for 81 cryotubes - h: 51 mm</t>
  </si>
  <si>
    <t xml:space="preserve">https://www.dutscher.com/article/972015</t>
  </si>
  <si>
    <t xml:space="preserve">Rigid inoculating loop - 10 µl - purple - pack of 10</t>
  </si>
  <si>
    <t xml:space="preserve">https://www.dutscher.com/article/390221A</t>
  </si>
  <si>
    <t xml:space="preserve">https://www.dutscher.com/article/263231</t>
  </si>
  <si>
    <t xml:space="preserve">https://www.dutscher.com/article/263233</t>
  </si>
  <si>
    <t xml:space="preserve">https://www.dutscher.com/article/363480</t>
  </si>
  <si>
    <t xml:space="preserve">White tray, 570 x 540 mm</t>
  </si>
  <si>
    <t xml:space="preserve">https://www.dutscher.com/article/263232</t>
  </si>
  <si>
    <t xml:space="preserve">White tray with BioHazard symbol, 1130 x 540 mm</t>
  </si>
  <si>
    <t xml:space="preserve">https://www.dutscher.com/article/263230</t>
  </si>
  <si>
    <t xml:space="preserve">https://www.thomassci.com/p/sbs-6x30ml</t>
  </si>
  <si>
    <t xml:space="preserve">https://www.thomassci.com/p/xblok2412-adapter</t>
  </si>
  <si>
    <t xml:space="preserve">https://www.thomassci.com/p/snap-cap-tube-rack</t>
  </si>
  <si>
    <t xml:space="preserve">RBLOK500 Reservoir</t>
  </si>
  <si>
    <t xml:space="preserve">https://www.thomassci.com/p/rblok500-reservoir</t>
  </si>
  <si>
    <t xml:space="preserve">Half Skirt PCR Plate Adapter – Type B</t>
  </si>
  <si>
    <t xml:space="preserve">https://www.thomassci.com/p/half-skirt-pcr-plate-adapters-abcdef</t>
  </si>
  <si>
    <t xml:space="preserve">https://www.thomassci.com/p/clorox-liquid-bleach1</t>
  </si>
  <si>
    <t xml:space="preserve">https://www.thomassci.com/p/clorox-disinfectant-wipes</t>
  </si>
  <si>
    <t xml:space="preserve">https://www.dutscher.com/article/783174</t>
  </si>
  <si>
    <t xml:space="preserve">https://www.dutscher.com/article/783311</t>
  </si>
  <si>
    <t xml:space="preserve">https://www.dutscher.com/article/783354</t>
  </si>
  <si>
    <t xml:space="preserve">Shelf 3 levels for corners - length: 1150 mm</t>
  </si>
  <si>
    <t xml:space="preserve">https://www.dutscher.com/article/783335</t>
  </si>
  <si>
    <t xml:space="preserve">Shelf 4 levels - length: 790 mm</t>
  </si>
  <si>
    <t xml:space="preserve">https://www.dutscher.com/article/783316</t>
  </si>
  <si>
    <t xml:space="preserve">https://www.thomassci.com/p/koolit-refrigerant-foam-bricks</t>
  </si>
  <si>
    <t xml:space="preserve">https://www.thomassci.com/p/koolitadvanced-refrigerant-pcms</t>
  </si>
  <si>
    <t xml:space="preserve">https://www.thomassci.com/p/kooltemp-insulated-envelopes</t>
  </si>
  <si>
    <t xml:space="preserve">500 Series Koolit® Refrigerant Gel Packs</t>
  </si>
  <si>
    <t xml:space="preserve">https://www.thomassci.com/p/500-series-koolit-refrigerant-gel-packs</t>
  </si>
  <si>
    <t xml:space="preserve">500-ST Series Koolit® Refrigerant Gel Packs</t>
  </si>
  <si>
    <t xml:space="preserve">https://www.thomassci.com/p/500-st-series-koolit-refrigerant-gel-packs</t>
  </si>
  <si>
    <t xml:space="preserve">UV/Vis and visible benchtop spectrophotometers</t>
  </si>
  <si>
    <t xml:space="preserve">sample digestion and prep for environmental testing</t>
  </si>
  <si>
    <t xml:space="preserve">stirrers, shakers, hotplates, dry blocks, thermal cyclers</t>
  </si>
  <si>
    <t xml:space="preserve">https://www.thomassci.com/p/papernon-cleanroom-continuous-form-20-number-white-bond-95-x-11-with-two-x-1/2inch-tab-one-on-either-side-for-continuous-feed-2300-sheets/case</t>
  </si>
  <si>
    <t xml:space="preserve">https://www.thomassci.com/p/cleanroom-notebook-85-x-11-grid-20-each-per-case</t>
  </si>
  <si>
    <t xml:space="preserve">https://www.thomassci.com/p/cleanroom-sharpie-columbia-medium-fine-point-black-ink-cleanroom-ink-and-packaging-number-ftm-fine-blk-12ea/pk-1dz/pk</t>
  </si>
  <si>
    <t xml:space="preserve">IPA Resistant Cleanroom Marker</t>
  </si>
  <si>
    <t xml:space="preserve">https://www.thomassci.com/p/ipa-resistant-cleanroom-marker</t>
  </si>
  <si>
    <t xml:space="preserve">https://www.thomassci.com/p/acetone-4</t>
  </si>
  <si>
    <t xml:space="preserve">https://www.thomassci.com/p/isopropyl-alcohol-99-semiconductor-grade-1-gallon-each-4-each-per-case-formerly-128d-2855gd</t>
  </si>
  <si>
    <t xml:space="preserve">https://www.thomassci.com/p/nitric-acid-krystal-pure</t>
  </si>
  <si>
    <t xml:space="preserve">Sodium Fluoride</t>
  </si>
  <si>
    <t xml:space="preserve">https://www.thomassci.com/p/sodium-fluoride-powder-500g/ea-6-ea/case-3000g/cs</t>
  </si>
  <si>
    <t xml:space="preserve">Cyclohexanone</t>
  </si>
  <si>
    <t xml:space="preserve">https://www.thomassci.com/p/cyclohexanone-acs</t>
  </si>
  <si>
    <t xml:space="preserve">https://www.thomassci.com/p/scan-one-print-one-label-replicator</t>
  </si>
  <si>
    <t xml:space="preserve">https://www.thomassci.com/p/pre-printed-barcoded-plate-labels</t>
  </si>
  <si>
    <t xml:space="preserve">https://www.thomassci.com/p/wrap-around-cryo-label-kit</t>
  </si>
  <si>
    <t xml:space="preserve">Axon 2 Print &amp; Apply Tube Labeling System</t>
  </si>
  <si>
    <t xml:space="preserve">https://www.thomassci.com/p/axon-2-print-and-apply-tube-labeling-system</t>
  </si>
  <si>
    <t xml:space="preserve">Pre-barcoded Storage Vials</t>
  </si>
  <si>
    <t xml:space="preserve">https://www.thomassci.com/p/pre-barcoded-storage-vials</t>
  </si>
  <si>
    <t xml:space="preserve">https://www.dutscher.com/article/777347</t>
  </si>
  <si>
    <t xml:space="preserve">https://www.dutscher.com/article/777453</t>
  </si>
  <si>
    <t xml:space="preserve">https://www.dutscher.com/article/777463</t>
  </si>
  <si>
    <t xml:space="preserve">Salmonella Shigella agar (S.S.) - Condalab - for microbiology</t>
  </si>
  <si>
    <t xml:space="preserve">https://www.dutscher.com/article/777378</t>
  </si>
  <si>
    <t xml:space="preserve">Antibiotic media n° 11 agar neomycine test - Condalab - for microbiology</t>
  </si>
  <si>
    <t xml:space="preserve">https://www.dutscher.com/article/777180</t>
  </si>
  <si>
    <t xml:space="preserve">https://www.thomassci.com/p/polytack-roll-mop</t>
  </si>
  <si>
    <t xml:space="preserve">https://www.thomassci.com/p/22-number-munising-ltd-green-8-5-in-x-11-in-2500-sheets/case</t>
  </si>
  <si>
    <t xml:space="preserve">https://www.thomassci.com/p/cr-2-all-purpose-cleanroom-cleaner</t>
  </si>
  <si>
    <t xml:space="preserve">Munising Ltd Bond, 22#, Blue, 8.5x11"</t>
  </si>
  <si>
    <t xml:space="preserve">https://www.thomassci.com/p/munising-ltd-bond-22-number-blue-85x11</t>
  </si>
  <si>
    <t xml:space="preserve">PolyTack Premium Mats 26” x 45” , White</t>
  </si>
  <si>
    <t xml:space="preserve">https://www.thomassci.com/p/polytack-premium-mats-26-x-45-white</t>
  </si>
  <si>
    <t xml:space="preserve">https://www.dutscher.com/article/324083</t>
  </si>
  <si>
    <t xml:space="preserve">https://www.dutscher.com/article/324024</t>
  </si>
  <si>
    <t xml:space="preserve">https://www.dutscher.com/article/324084</t>
  </si>
  <si>
    <t xml:space="preserve">Portable UV lamp with UV filter 1 x 6 W 254 nm</t>
  </si>
  <si>
    <t xml:space="preserve">https://www.dutscher.com/article/324014</t>
  </si>
  <si>
    <t xml:space="preserve">Portable UV lamp with UV filter 2 x 15 W 365 nm</t>
  </si>
  <si>
    <t xml:space="preserve">https://www.dutscher.com/article/324022</t>
  </si>
  <si>
    <t xml:space="preserve">https://www.thomassci.com/p/constix-swabs-sealed-foam</t>
  </si>
  <si>
    <t xml:space="preserve">https://www.thomassci.com/p/edgeless-mops</t>
  </si>
  <si>
    <t xml:space="preserve">https://www.thomassci.com/p/amplitude-ecocloth-wipes</t>
  </si>
  <si>
    <t xml:space="preserve">Contec® Irradiated 70% IPA LE</t>
  </si>
  <si>
    <t xml:space="preserve">https://www.thomassci.com/p/contec-irradiated-70-ipa-le</t>
  </si>
  <si>
    <t xml:space="preserve">PREempt™ RTU Disinfectant Solution and Wipes</t>
  </si>
  <si>
    <t xml:space="preserve">https://www.thomassci.com/p/preempt-rtu-disinfectant-solution-and-wipes</t>
  </si>
  <si>
    <t xml:space="preserve">https://www.thomassci.com/p/mortars-and-pestles</t>
  </si>
  <si>
    <t xml:space="preserve">https://www.thomassci.com/p/crucible-high-form</t>
  </si>
  <si>
    <t xml:space="preserve">https://www.thomassci.com/p/crucible</t>
  </si>
  <si>
    <t xml:space="preserve">Ceramic Crucible Cover</t>
  </si>
  <si>
    <t xml:space="preserve">https://www.thomassci.com/p/crucible-cover</t>
  </si>
  <si>
    <t xml:space="preserve">Dish 75X26mm 100ml 65594</t>
  </si>
  <si>
    <t xml:space="preserve">https://www.thomassci.com/p/dish-75x26mm-100ml-65594</t>
  </si>
  <si>
    <t xml:space="preserve">https://www.thomassci.com/p/sterile-dry-standard-fiber-wrapped-swabs</t>
  </si>
  <si>
    <t xml:space="preserve">https://www.thomassci.com/p/floqswabs</t>
  </si>
  <si>
    <t xml:space="preserve">https://www.thomassci.com/p/disposable-transfer-pipets-1</t>
  </si>
  <si>
    <t xml:space="preserve">Copan Transfer Pipette 3 mL Without Graduations NonSterile</t>
  </si>
  <si>
    <t xml:space="preserve">https://www.thomassci.com/p/copan-transfer-pipette-3-ml-without-graduations-nonsterile</t>
  </si>
  <si>
    <t xml:space="preserve">Single Progressive Minitip Size Nylon® Flocked Swab</t>
  </si>
  <si>
    <t xml:space="preserve">https://www.thomassci.com/p/single-progressive-minitip-size-nylon-flocked-swab</t>
  </si>
  <si>
    <t xml:space="preserve">https://www.thomassci.com/p/haccp-refrigeratorfreezerdry-storage-thermometer</t>
  </si>
  <si>
    <t xml:space="preserve">https://www.thomassci.com/p/haccp-oven-thermometer</t>
  </si>
  <si>
    <t xml:space="preserve">https://www.thomassci.com/p/haccp-deep-frycandyjelly-thermometer</t>
  </si>
  <si>
    <t xml:space="preserve">Digital Refrigerator/Freezer Thermometer</t>
  </si>
  <si>
    <t xml:space="preserve">https://www.thomassci.com/p/digital-refrigerator/freezer-thermometer</t>
  </si>
  <si>
    <t xml:space="preserve">Thermistor Air Probe</t>
  </si>
  <si>
    <t xml:space="preserve">https://www.thomassci.com/p/thermistor-air-probe</t>
  </si>
  <si>
    <t xml:space="preserve">https://www.thomassci.com/p/glove-standard-10-gauge-natural-polyester/cotton-shell-blue-smooth-latex-palm-coating-large-1/dz-10dz/cs</t>
  </si>
  <si>
    <t xml:space="preserve">https://www.thomassci.com/p/yellow-stormfront-3-piece-rain-suit-3x-large-35-mm-pvc/polyester-fabric-detachable-hood-with-drawstring-ventilated-cape-back-and-underarmstwo-flapped-pockets-storm-fly-f</t>
  </si>
  <si>
    <t xml:space="preserve">https://www.thomassci.com/p/economy-weight-string-knit-glove-1-dz-25dz/cs-lg</t>
  </si>
  <si>
    <t xml:space="preserve">Cordova Barricade Tape</t>
  </si>
  <si>
    <t xml:space="preserve">https://www.thomassci.com/p/barricade-tape-with-caution/cuidado-legend-yellow-20-mil-thickness-3-inch-width-1000-feet-per-roll-12rl/cs</t>
  </si>
  <si>
    <t xml:space="preserve">Cordova 2-Piece Rain Coat</t>
  </si>
  <si>
    <t xml:space="preserve">https://www.thomassci.com/p/2-piece-rain-coat-49-inch-length-yellow-35-mm-pvc-polyester-fabric</t>
  </si>
  <si>
    <t xml:space="preserve">https://www.thomassci.com/p/white-diamond-series-freestanding-undercounter-refrigerators</t>
  </si>
  <si>
    <t xml:space="preserve">https://www.thomassci.com/p/white-diamond-series-flammable-storage-undercounter-refrigerators</t>
  </si>
  <si>
    <t xml:space="preserve">https://www.thomassci.com/p/white-diamond-series-freestanding-auto-defrost-undercounter-freezers</t>
  </si>
  <si>
    <t xml:space="preserve">White Diamond Series Upright Laboratory and Medical Refrigerators</t>
  </si>
  <si>
    <t xml:space="preserve">https://www.thomassci.com/p/white-diamond-series-upright-laboratory-and-medical-refrigerators</t>
  </si>
  <si>
    <t xml:space="preserve">White Diamond Series Freestanding Countertop and Undercounter Freezers</t>
  </si>
  <si>
    <t xml:space="preserve">https://www.thomassci.com/p/white-diamond-series-freestanding-undercounter-freezers</t>
  </si>
  <si>
    <t xml:space="preserve">conical tubes, cell-culture plasticware, serological pipets</t>
  </si>
  <si>
    <t xml:space="preserve">basement-membrane extract for 3D cell culture</t>
  </si>
  <si>
    <t xml:space="preserve">pipette tips, PCR tubes/plates, genomics consumables</t>
  </si>
  <si>
    <t xml:space="preserve">https://www.thomassci.com/p/general-purpose-polypropylene-specimen-containers</t>
  </si>
  <si>
    <t xml:space="preserve">https://www.thomassci.com/p/general-purpose-disposal-containers</t>
  </si>
  <si>
    <t xml:space="preserve">https://www.thomassci.com/p/chemoplus-iva-seals-for-bottles-and-vials</t>
  </si>
  <si>
    <t xml:space="preserve">SharpSafety™ Large Volume Sharps Containers</t>
  </si>
  <si>
    <t xml:space="preserve">https://www.thomassci.com/p/large-volume-containers-with-hinged-and-sealing-gasket-lid</t>
  </si>
  <si>
    <t xml:space="preserve">Monoject™ Tuberculin Syringes</t>
  </si>
  <si>
    <t xml:space="preserve">https://www.thomassci.com/p/1cc-tuberculin-syringes</t>
  </si>
  <si>
    <t xml:space="preserve">https://www.dutscher.com/article/046013</t>
  </si>
  <si>
    <t xml:space="preserve">https://www.dutscher.com/article/057008</t>
  </si>
  <si>
    <t xml:space="preserve">https://www.dutscher.com/article/045914</t>
  </si>
  <si>
    <t xml:space="preserve">Box of 18 smooth cylindrical stirring bars</t>
  </si>
  <si>
    <t xml:space="preserve">https://www.dutscher.com/article/045843</t>
  </si>
  <si>
    <t xml:space="preserve">StirBar cylindrical stirring magnet with pivot ring, L x ø = 75 x 13 mm</t>
  </si>
  <si>
    <t xml:space="preserve">https://www.dutscher.com/article/046083</t>
  </si>
  <si>
    <t xml:space="preserve">https://www.thomassci.com/p/athletic-tape</t>
  </si>
  <si>
    <t xml:space="preserve">https://www.thomassci.com/p/shark-tape-cutter</t>
  </si>
  <si>
    <t xml:space="preserve">https://www.thomassci.com/p/tennis-elbow-strap-black</t>
  </si>
  <si>
    <t xml:space="preserve">Kik-Step® Stool</t>
  </si>
  <si>
    <t xml:space="preserve">https://www.thomassci.com/p/kik-step-stool</t>
  </si>
  <si>
    <t xml:space="preserve">https://www.thomassci.com/p/bearkat-safety-glasses</t>
  </si>
  <si>
    <t xml:space="preserve">https://www.thomassci.com/p/stryker-premium-goggles</t>
  </si>
  <si>
    <t xml:space="preserve">https://www.thomassci.com/p/storm-safety-glasses</t>
  </si>
  <si>
    <t xml:space="preserve">Rubicon® Safety Glasses</t>
  </si>
  <si>
    <t xml:space="preserve">https://www.thomassci.com/p/rubicon-safety-glasses</t>
  </si>
  <si>
    <t xml:space="preserve">Verdict® Goggles</t>
  </si>
  <si>
    <t xml:space="preserve">https://www.thomassci.com/p/verdict-goggles</t>
  </si>
  <si>
    <t xml:space="preserve">https://www.thomassci.com/p/lab-coat-2</t>
  </si>
  <si>
    <t xml:space="preserve">https://www.thomassci.com/p/lab-coat-12</t>
  </si>
  <si>
    <t xml:space="preserve">https://www.thomassci.com/p/lab-coat-16</t>
  </si>
  <si>
    <t xml:space="preserve">65 / 35 Poly Cotton Scrub Pant: Grey, No Pocket</t>
  </si>
  <si>
    <t xml:space="preserve">https://www.thomassci.com/p/scrub-pant-2</t>
  </si>
  <si>
    <t xml:space="preserve">65 / 35 Poly Cotton Scrub Pant: Navy, No Pocket</t>
  </si>
  <si>
    <t xml:space="preserve">https://www.thomassci.com/p/scrub-pant-1</t>
  </si>
  <si>
    <t xml:space="preserve">https://www.thomassci.com/p/chemical-process-indicators-gamma-and-e-beam-radiation-sterilization</t>
  </si>
  <si>
    <t xml:space="preserve">https://www.thomassci.com/p/growth-promotion-test-suspensions</t>
  </si>
  <si>
    <t xml:space="preserve">https://www.thomassci.com/p/spore-ampoules-with-geobacillus-stearothermophilus</t>
  </si>
  <si>
    <t xml:space="preserve">Chemical Process Indicators – VH2O2 Sterilization</t>
  </si>
  <si>
    <t xml:space="preserve">https://www.thomassci.com/p/chemical-process-indicators-vh2o2-sterilization</t>
  </si>
  <si>
    <t xml:space="preserve">Spore Suspensions of Bacillus atrophaeus</t>
  </si>
  <si>
    <t xml:space="preserve">https://www.thomassci.com/p/spore-suspensions-of-bacillus-atrophaeus</t>
  </si>
  <si>
    <t xml:space="preserve">https://www.thomassci.com/p/ergonomic-crimper-8mm</t>
  </si>
  <si>
    <t xml:space="preserve">https://www.thomassci.com/p/graphite-ferrule-05mm-for-hp</t>
  </si>
  <si>
    <t xml:space="preserve">https://www.thomassci.com/p/ergonomic-crimper/decapper-20mm</t>
  </si>
  <si>
    <t xml:space="preserve">Ergonomic Crimper/Decapper, 11mm</t>
  </si>
  <si>
    <t xml:space="preserve">https://www.thomassci.com/p/ergonomic-crimper/decapper-11mm</t>
  </si>
  <si>
    <t xml:space="preserve">Ergonomic Crimper/Decapper, 13mm</t>
  </si>
  <si>
    <t xml:space="preserve">https://www.thomassci.com/p/ergonomic-crimper/decapper-13mm</t>
  </si>
  <si>
    <t xml:space="preserve">https://www.dutscher.com/article/005218</t>
  </si>
  <si>
    <t xml:space="preserve">https://www.dutscher.com/article/005221</t>
  </si>
  <si>
    <t xml:space="preserve">https://www.dutscher.com/article/005257</t>
  </si>
  <si>
    <t xml:space="preserve">CryoPlus 2.0 Glove - size 10</t>
  </si>
  <si>
    <t xml:space="preserve">https://www.dutscher.com/article/005220</t>
  </si>
  <si>
    <t xml:space="preserve">Cryolite HP Glove - size 11</t>
  </si>
  <si>
    <t xml:space="preserve">https://www.dutscher.com/article/005243</t>
  </si>
  <si>
    <t xml:space="preserve">https://www.dutscher.com/article/082944</t>
  </si>
  <si>
    <t xml:space="preserve">https://www.dutscher.com/article/082954</t>
  </si>
  <si>
    <t xml:space="preserve">https://www.dutscher.com/article/082940</t>
  </si>
  <si>
    <t xml:space="preserve">ARPEGE 170 Cryopreservative - LN2 Gas - Essential Pack</t>
  </si>
  <si>
    <t xml:space="preserve">https://www.dutscher.com/article/082952</t>
  </si>
  <si>
    <t xml:space="preserve">ARPEGE 70 Cryopreservative - Initial Pack</t>
  </si>
  <si>
    <t xml:space="preserve">https://www.dutscher.com/article/082941</t>
  </si>
  <si>
    <t xml:space="preserve">https://www.thomassci.com/p/cardboard-cell-dividers</t>
  </si>
  <si>
    <t xml:space="preserve">https://www.thomassci.com/p/freezer-boxes2</t>
  </si>
  <si>
    <t xml:space="preserve">https://www.thomassci.com/p/microincinerators</t>
  </si>
  <si>
    <t xml:space="preserve">7° Digital Nutating Mixer</t>
  </si>
  <si>
    <t xml:space="preserve">https://www.thomassci.com/p/7-digital-nutating-mixer-1</t>
  </si>
  <si>
    <t xml:space="preserve">Plastic Label Cards for Drawer Racks</t>
  </si>
  <si>
    <t xml:space="preserve">https://www.thomassci.com/p/plastic-label-cards-for-drawer-racks</t>
  </si>
  <si>
    <t xml:space="preserve">https://www.thomassci.com/p/pbs-phosphate-buffered-saline-1x</t>
  </si>
  <si>
    <t xml:space="preserve">https://www.thomassci.com/p/conical-centrifuge-tubes7</t>
  </si>
  <si>
    <t xml:space="preserve">https://www.thomassci.com/p/disposable-ultra-centrifuge-tubes</t>
  </si>
  <si>
    <t xml:space="preserve">https://www.thomassci.com/p/tensiometer-du-nouy</t>
  </si>
  <si>
    <t xml:space="preserve">https://www.thomassci.com/p/du-nouy-interfacial-tensiometer</t>
  </si>
  <si>
    <t xml:space="preserve">https://www.thomassci.com/p/bostwick-consistometer-1</t>
  </si>
  <si>
    <t xml:space="preserve">Torsion Wire 5G</t>
  </si>
  <si>
    <t xml:space="preserve">https://www.thomassci.com/p/torsion-wire-5-gram-pk-3</t>
  </si>
  <si>
    <t xml:space="preserve">https://www.thomassci.com/p/nwcp-nitrile-class-10-cleanroom-white-long-length-gloves</t>
  </si>
  <si>
    <t xml:space="preserve">https://www.thomassci.com/p/cti-nitrile-ncp-lite-series-12-inch-class-100-iso-5-cleanroom-glove</t>
  </si>
  <si>
    <t xml:space="preserve">https://www.thomassci.com/p/aquaresist-ii-nonskid-shoecovers</t>
  </si>
  <si>
    <t xml:space="preserve">HBC Series Polypropylene Beard Covers</t>
  </si>
  <si>
    <t xml:space="preserve">https://www.thomassci.com/p/hbc-series-polypropylene-beard-covers</t>
  </si>
  <si>
    <t xml:space="preserve">CHS Latex Class 10 Cleanroom Hand Specific Latex Gloves</t>
  </si>
  <si>
    <t xml:space="preserve">https://www.thomassci.com/p/chs-latex-class-10-cleanroom-hand-specific-latex-gloves</t>
  </si>
  <si>
    <t xml:space="preserve">https://www.dutscher.com/article/169353</t>
  </si>
  <si>
    <t xml:space="preserve">https://www.dutscher.com/article/169477</t>
  </si>
  <si>
    <t xml:space="preserve">https://www.dutscher.com/article/169337</t>
  </si>
  <si>
    <t xml:space="preserve">Block OCT human skin total thickness</t>
  </si>
  <si>
    <t xml:space="preserve">https://www.dutscher.com/article/169352</t>
  </si>
  <si>
    <t xml:space="preserve">Fresh adult human skin - size: 200 cm²</t>
  </si>
  <si>
    <t xml:space="preserve">https://www.dutscher.com/article/169341</t>
  </si>
  <si>
    <t xml:space="preserve">https://www.thomassci.com/p/universal-ph-1-14-paper-1-roll</t>
  </si>
  <si>
    <t xml:space="preserve">https://www.thomassci.com/p/fluoride-test-paper-box-of-200-strips</t>
  </si>
  <si>
    <t xml:space="preserve">https://www.thomassci.com/p/celloger-mini-plus</t>
  </si>
  <si>
    <t xml:space="preserve">https://www.thomassci.com/p/celloger-stack</t>
  </si>
  <si>
    <t xml:space="preserve">https://www.thomassci.com/p/vessel-holders-for-celloger</t>
  </si>
  <si>
    <t xml:space="preserve">Celloger® Nano</t>
  </si>
  <si>
    <t xml:space="preserve">https://www.thomassci.com/p/celloger-nano</t>
  </si>
  <si>
    <t xml:space="preserve">Celloger® Pro</t>
  </si>
  <si>
    <t xml:space="preserve">https://www.thomassci.com/p/celloger-pro</t>
  </si>
  <si>
    <t xml:space="preserve">https://www.thomassci.com/p/bio-screen-bench-liners-and-wipes</t>
  </si>
  <si>
    <t xml:space="preserve">https://www.thomassci.com/p/hype-wipe-bleach-towelettes</t>
  </si>
  <si>
    <t xml:space="preserve">https://www.thomassci.com/p/bleach-rite-disinfecting-spray</t>
  </si>
  <si>
    <t xml:space="preserve">https://www.dutscher.com/article/773002</t>
  </si>
  <si>
    <t xml:space="preserve">https://www.dutscher.com/article/773004</t>
  </si>
  <si>
    <t xml:space="preserve">https://www.dutscher.com/article/773005</t>
  </si>
  <si>
    <t xml:space="preserve">HDPE wide mouth keg - 15 Litres - without handles</t>
  </si>
  <si>
    <t xml:space="preserve">https://www.dutscher.com/article/773003</t>
  </si>
  <si>
    <t xml:space="preserve">HDPE wide mouth keg - 68 Litres - with handles</t>
  </si>
  <si>
    <t xml:space="preserve">https://www.dutscher.com/article/773008</t>
  </si>
  <si>
    <t xml:space="preserve">https://www.thomassci.com/p/stainless-steel-boxes</t>
  </si>
  <si>
    <t xml:space="preserve">https://www.thomassci.com/p/cardboard-cryogenic-storage-boxes</t>
  </si>
  <si>
    <t xml:space="preserve">protein purification chromatography systems</t>
  </si>
  <si>
    <t xml:space="preserve">chromatography resins for biologics manufacturing</t>
  </si>
  <si>
    <t xml:space="preserve">surface plasmon resonance interaction analysis</t>
  </si>
  <si>
    <t xml:space="preserve">https://www.dutscher.com/article/090270</t>
  </si>
  <si>
    <t xml:space="preserve">https://www.dutscher.com/article/092025</t>
  </si>
  <si>
    <t xml:space="preserve">https://www.dutscher.com/article/091939</t>
  </si>
  <si>
    <t xml:space="preserve">PVC pipe - int. ø / ext (mm): 7 / 11 - Length 50 m</t>
  </si>
  <si>
    <t xml:space="preserve">https://www.dutscher.com/article/3500711</t>
  </si>
  <si>
    <t xml:space="preserve">Natural rubber Flip pipette bulb with automatic evacuation valve</t>
  </si>
  <si>
    <t xml:space="preserve">https://www.dutscher.com/article/090289</t>
  </si>
  <si>
    <t xml:space="preserve">https://www.thomassci.com/p/bacdown-hand-soap</t>
  </si>
  <si>
    <t xml:space="preserve">https://www.thomassci.com/p/dri-contrad-powder-for-automatic-washers</t>
  </si>
  <si>
    <t xml:space="preserve">https://www.thomassci.com/p/100-molecular-biology-grade-ethanol-200-proof</t>
  </si>
  <si>
    <t xml:space="preserve">OdorGone® Autoclave Deodorant Capsules</t>
  </si>
  <si>
    <t xml:space="preserve">https://www.thomassci.com/p/odorgone-autoclave-deodorant-capsules</t>
  </si>
  <si>
    <t xml:space="preserve">Contrex AL concentrated alkaline liquid Detergent</t>
  </si>
  <si>
    <t xml:space="preserve">https://www.thomassci.com/p/contrex-al-concentrated-alkaline-liquid-detergent</t>
  </si>
  <si>
    <t xml:space="preserve">https://www.thomassci.com/p/positector-inspection-kits</t>
  </si>
  <si>
    <t xml:space="preserve">https://www.thomassci.com/p/positector-surface-profile-gages</t>
  </si>
  <si>
    <t xml:space="preserve">https://www.thomassci.com/p/positest-dft-coating-thickness-gage</t>
  </si>
  <si>
    <t xml:space="preserve">PosiTest® Pull-Off Adhesion Testers</t>
  </si>
  <si>
    <t xml:space="preserve">https://www.thomassci.com/p/positest-pull-off-adhesion-testers</t>
  </si>
  <si>
    <t xml:space="preserve">PosiTector® 200</t>
  </si>
  <si>
    <t xml:space="preserve">https://www.thomassci.com/p/positector-2001</t>
  </si>
  <si>
    <t xml:space="preserve">https://www.thomassci.com/p/counter-double-unit</t>
  </si>
  <si>
    <t xml:space="preserve">https://www.thomassci.com/p/single-unit-laboratory-counters</t>
  </si>
  <si>
    <t xml:space="preserve">https://www.thomassci.com/p/multiple-unit-counters-without-totalizers</t>
  </si>
  <si>
    <t xml:space="preserve">Multiple Unit Counters With Totalizers</t>
  </si>
  <si>
    <t xml:space="preserve">https://www.thomassci.com/p/multiple-unit-counters-with-totalizers</t>
  </si>
  <si>
    <t xml:space="preserve">https://www.thomassci.com/p/hyblot-cl-autoradiography-film</t>
  </si>
  <si>
    <t xml:space="preserve">https://www.thomassci.com/p/syringe-filter-pes-1</t>
  </si>
  <si>
    <t xml:space="preserve">https://www.thomassci.com/p/microcapillary-pipet-tips-ultraflat-orifice-83mm-x-017mm-diam-fits-02mm-openings-rack-of-200</t>
  </si>
  <si>
    <t xml:space="preserve">Cell Scraper, 25cm Handle, 20mm Scraper Blade</t>
  </si>
  <si>
    <t xml:space="preserve">https://www.thomassci.com/p/cell-scraper-25cm-handle-20mm-scraper-blade</t>
  </si>
  <si>
    <t xml:space="preserve">Pipet Tips, Yellow Beveled 200µl</t>
  </si>
  <si>
    <t xml:space="preserve">https://www.thomassci.com/p/pipet-tips-yellow-beveled-200ul-1</t>
  </si>
  <si>
    <t xml:space="preserve">https://www.thomassci.com/p/static-shield-bag-1000-series-metal-in</t>
  </si>
  <si>
    <t xml:space="preserve">https://www.thomassci.com/p/statshield-dissipative-chair-cover-royal-blue</t>
  </si>
  <si>
    <t xml:space="preserve">https://www.thomassci.com/p/statshield-metal-in-zip-top-bag-8x12</t>
  </si>
  <si>
    <t xml:space="preserve">Reztore Surface &amp; Mat 1qt Spray Cleaner</t>
  </si>
  <si>
    <t xml:space="preserve">https://www.thomassci.com/p/reztore-surface-and-mat-1qt-spray-cleaner</t>
  </si>
  <si>
    <t xml:space="preserve">STATIC SHIELD BAG, 1000 SERIES METAL-IN, 8x8, 100/PK</t>
  </si>
  <si>
    <t xml:space="preserve">https://www.thomassci.com/p/static-shield-bag-1000-series-metal-in-8x8-100/pk</t>
  </si>
  <si>
    <t xml:space="preserve">https://www.thomassci.com/p/omnifit-packing-sleeves-for-ez-and-ez-solventplus-columns</t>
  </si>
  <si>
    <t xml:space="preserve">https://www.thomassci.com/p/omnifit-bottle-thread-adapter</t>
  </si>
  <si>
    <t xml:space="preserve">https://www.thomassci.com/p/omnifit-activated-carbon-vapor-traps-for-t-series-solvent-waste-caps</t>
  </si>
  <si>
    <t xml:space="preserve">Omnifit® PTFE Tubing</t>
  </si>
  <si>
    <t xml:space="preserve">https://www.thomassci.com/p/omnifit-ptfe-tubing</t>
  </si>
  <si>
    <t xml:space="preserve">Omnifit® T-Series Solvent Waste Caps with Vent</t>
  </si>
  <si>
    <t xml:space="preserve">https://www.thomassci.com/p/omnifit-t-series-solvent-waste-caps-with-vent</t>
  </si>
  <si>
    <t xml:space="preserve">https://www.thomassci.com/p/circular-chart-recorder-accessories</t>
  </si>
  <si>
    <t xml:space="preserve">https://www.thomassci.com/p/high-medium-low-3-point-nist-calibration</t>
  </si>
  <si>
    <t xml:space="preserve">https://www.thomassci.com/p/chart-7-day-30-to-50c-bx60</t>
  </si>
  <si>
    <t xml:space="preserve">Dickson Circular Paper Chart</t>
  </si>
  <si>
    <t xml:space="preserve">https://www.thomassci.com/p/dickson</t>
  </si>
  <si>
    <t xml:space="preserve">8" (203mm) Temperature Chart Recorders</t>
  </si>
  <si>
    <t xml:space="preserve">https://www.thomassci.com/p/8-inch-203mm-temperature-chart-recorders</t>
  </si>
  <si>
    <t xml:space="preserve">https://www.thomassci.com/p/bullseye-precision-gauge</t>
  </si>
  <si>
    <t xml:space="preserve">https://www.thomassci.com/p/tracvac-meter-visual-vacuum-instrument</t>
  </si>
  <si>
    <t xml:space="preserve">https://www.thomassci.com/p/stratavac-775i</t>
  </si>
  <si>
    <t xml:space="preserve">Model 200 and 200m Vacuum Instruments</t>
  </si>
  <si>
    <t xml:space="preserve">https://www.thomassci.com/p/model-200-and-200m-vacuum-instruments</t>
  </si>
  <si>
    <t xml:space="preserve">https://www.thomassci.com/p/directamp-plant-genomic-dna-amplification-kit-10-reactions</t>
  </si>
  <si>
    <t xml:space="preserve">https://www.thomassci.com/p/directamp-genomic-dna-amplification-kits-preparation-solution-for-directamp-tissue-dna-extraction-and-amplification-kit-100-reactions</t>
  </si>
  <si>
    <t xml:space="preserve">https://www.thomassci.com/p/directamp-tissue-genomic-dna-amplification-kit-100-reactions</t>
  </si>
  <si>
    <t xml:space="preserve">https://www.thomassci.com/p/petriseal</t>
  </si>
  <si>
    <t xml:space="preserve">https://www.thomassci.com/p/tt-cryo-babies</t>
  </si>
  <si>
    <t xml:space="preserve">https://www.thomassci.com/p/dt-cryo-tags</t>
  </si>
  <si>
    <t xml:space="preserve">https://www.thomassci.com/p/disposable-reagent-reservoirs</t>
  </si>
  <si>
    <t xml:space="preserve">Cryo-Babies® &amp; Cryo-Tags® on Rolls (for Handwriting)</t>
  </si>
  <si>
    <t xml:space="preserve">https://www.thomassci.com/p/cryo-babies-and-cryo-tags-on-a-roll</t>
  </si>
  <si>
    <t xml:space="preserve">https://www.thomassci.com/p/ms-h280-pro-led-digital-magnetic-hotplate-stirrer</t>
  </si>
  <si>
    <t xml:space="preserve">https://www.thomassci.com/p/dpette-electronic-pipettors</t>
  </si>
  <si>
    <t xml:space="preserve">https://www.thomassci.com/p/d1524r-high-speed-micro-centrifuge</t>
  </si>
  <si>
    <t xml:space="preserve">Levo Plus Pipette Filler</t>
  </si>
  <si>
    <t xml:space="preserve">https://www.thomassci.com/p/levo-plus-pipette-filler</t>
  </si>
  <si>
    <t xml:space="preserve">HiPette Single Channel Adjustable Volume Autoclavable Pipettes</t>
  </si>
  <si>
    <t xml:space="preserve">https://www.thomassci.com/p/premium-mechanical-autoclavable-pipettes</t>
  </si>
  <si>
    <t xml:space="preserve">https://www.thomassci.com/p/fiber-lite-mi-150-gooseneck-systems</t>
  </si>
  <si>
    <t xml:space="preserve">https://www.thomassci.com/p/fiber-lite-mi-led-fiber-optic-illuminator</t>
  </si>
  <si>
    <t xml:space="preserve">https://www.thomassci.com/p/30-watt-illuminator</t>
  </si>
  <si>
    <t xml:space="preserve">Fiber-Lite® MI-150 Illuminator</t>
  </si>
  <si>
    <t xml:space="preserve">https://www.thomassci.com/p/150-watt-illuminator</t>
  </si>
  <si>
    <t xml:space="preserve">https://www.thomassci.com/p/x-plore-8000-papr-flexible-hose-helmets-and-hoods</t>
  </si>
  <si>
    <t xml:space="preserve">https://www.thomassci.com/p/x-plore-8000-papr-helmet-model-hl1</t>
  </si>
  <si>
    <t xml:space="preserve">https://www.thomassci.com/p/x-plore-1350-n95-respirator-medium/large</t>
  </si>
  <si>
    <t xml:space="preserve">X-plore 8000, PAPR, Filter OV/AG/HE</t>
  </si>
  <si>
    <t xml:space="preserve">https://www.thomassci.com/p/x-plore-8000-papr-filter-ov/ag/he</t>
  </si>
  <si>
    <t xml:space="preserve">X-plore 8700, (EX) Intrinsically-Safe, PAPR, Application Set</t>
  </si>
  <si>
    <t xml:space="preserve">https://www.thomassci.com/p/x-plore-8700-ex-intrinsically-safe-papr-application-set</t>
  </si>
  <si>
    <t xml:space="preserve">https://www.thomassci.com/p/model-614b-fixed-angle-single-speed-centrifuge</t>
  </si>
  <si>
    <t xml:space="preserve">https://www.thomassci.com/p/dash-flex-24-programmable-stat-centrifuge</t>
  </si>
  <si>
    <t xml:space="preserve">https://www.thomassci.com/p/horizon-6-flex-programmable-routine-centrifuge</t>
  </si>
  <si>
    <t xml:space="preserve">HORIZON 12 Flex Programmable Centrifuge</t>
  </si>
  <si>
    <t xml:space="preserve">https://www.thomassci.com/p/horizon-12-flex-programmable-centrifuge</t>
  </si>
  <si>
    <t xml:space="preserve">SERO 12 Blood Banking Centrifuge</t>
  </si>
  <si>
    <t xml:space="preserve">https://www.thomassci.com/p/sero-12-blood-banking-centrifuge</t>
  </si>
  <si>
    <t xml:space="preserve">https://www.thomassci.com/p/nanoject-ii-auto-nanoliter-injector</t>
  </si>
  <si>
    <t xml:space="preserve">https://www.thomassci.com/p/microliter-pipets</t>
  </si>
  <si>
    <t xml:space="preserve">https://www.thomassci.com/p/calibrated-pipets</t>
  </si>
  <si>
    <t xml:space="preserve">Dialamatic Microdispensers</t>
  </si>
  <si>
    <t xml:space="preserve">https://www.thomassci.com/p/dialamatic-microdispensers</t>
  </si>
  <si>
    <t xml:space="preserve">Portable Pipet-Aid XL</t>
  </si>
  <si>
    <t xml:space="preserve">https://www.thomassci.com/p/portable-pipet-aid-xl</t>
  </si>
  <si>
    <t xml:space="preserve">https://www.thomassci.com/p/aluminum-dishes-with-covers</t>
  </si>
  <si>
    <t xml:space="preserve">https://www.thomassci.com/p/copper-beakers</t>
  </si>
  <si>
    <t xml:space="preserve">https://www.thomassci.com/p/nickel-crucibles1</t>
  </si>
  <si>
    <t xml:space="preserve">Glass Beakers</t>
  </si>
  <si>
    <t xml:space="preserve">https://www.thomassci.com/p/glass-beakers</t>
  </si>
  <si>
    <t xml:space="preserve">https://www.thomassci.com/p/tech-med-leg-fracture-splint</t>
  </si>
  <si>
    <t xml:space="preserve">https://www.thomassci.com/p/dukal-waterseal-bandages</t>
  </si>
  <si>
    <t xml:space="preserve">https://www.thomassci.com/p/dukal-cohesive-bandages-latex-free</t>
  </si>
  <si>
    <t xml:space="preserve">Dukal Clinisorb Non-Woven Sponges</t>
  </si>
  <si>
    <t xml:space="preserve">https://www.thomassci.com/p/dukal-clinisorb-non-woven-sponges</t>
  </si>
  <si>
    <t xml:space="preserve">Dukal Sting Relief Pad</t>
  </si>
  <si>
    <t xml:space="preserve">https://www.thomassci.com/p/dukal-sting-relief-pad</t>
  </si>
  <si>
    <t xml:space="preserve">https://www.thomassci.com/p/tyvek-400-ty212s-labcoat</t>
  </si>
  <si>
    <t xml:space="preserve">https://www.thomassci.com/p/tyvek-isoclean-ic264s-frock</t>
  </si>
  <si>
    <t xml:space="preserve">https://www.thomassci.com/p/dupont-tyvek-frocks-laydown-collar-elastic-wrists-no-pockets-snap-closures-white</t>
  </si>
  <si>
    <t xml:space="preserve">Tyvek® 400 TY210S Frock</t>
  </si>
  <si>
    <t xml:space="preserve">https://www.thomassci.com/p/tyvek-400-ty210s-frock</t>
  </si>
  <si>
    <t xml:space="preserve">ProShield® 10 Frocks Snap Front</t>
  </si>
  <si>
    <t xml:space="preserve">https://www.thomassci.com/p/proshield-10-frocks-snap-front</t>
  </si>
  <si>
    <t xml:space="preserve">https://www.thomassci.com/p/duracell-alkaline-battery</t>
  </si>
  <si>
    <t xml:space="preserve">https://www.thomassci.com/p/duracell-rechargeable-battery</t>
  </si>
  <si>
    <t xml:space="preserve">https://www.thomassci.com/p/duracell-procell-alkaline-battery</t>
  </si>
  <si>
    <t xml:space="preserve">Duracell® Electronic Watch Battery</t>
  </si>
  <si>
    <t xml:space="preserve">https://www.thomassci.com/p/duracell-electronic-watch-battery</t>
  </si>
  <si>
    <t xml:space="preserve">Duracell® Photo Battery</t>
  </si>
  <si>
    <t xml:space="preserve">https://www.thomassci.com/p/duracell-photo-battery</t>
  </si>
  <si>
    <t xml:space="preserve">GL 45 borosilicate 3.3 bottles &amp; lab glassware</t>
  </si>
  <si>
    <t xml:space="preserve">glass vials, serum bottles, packaging</t>
  </si>
  <si>
    <t xml:space="preserve">volumetric &amp; general laboratory glassware</t>
  </si>
  <si>
    <t xml:space="preserve">https://www.thomassci.com/p/plastic-compartment-boxes1</t>
  </si>
  <si>
    <t xml:space="preserve">https://www.thomassci.com/p/box-large-12-compartment</t>
  </si>
  <si>
    <t xml:space="preserve">https://www.thomassci.com/p/box-large-16-compartment</t>
  </si>
  <si>
    <t xml:space="preserve">https://www.thomassci.com/p/aluminum-foil-pans</t>
  </si>
  <si>
    <t xml:space="preserve">https://www.thomassci.com/p/glass-fiber-pad-9-cm</t>
  </si>
  <si>
    <t xml:space="preserve">https://www.thomassci.com/p/slide-box-polypropylene-100-slide</t>
  </si>
  <si>
    <t xml:space="preserve">Weigh Dish, Moisture Pan</t>
  </si>
  <si>
    <t xml:space="preserve">https://www.thomassci.com/p/weigh-dish-moisture-pan1</t>
  </si>
  <si>
    <t xml:space="preserve">Glassine Weighing Paper</t>
  </si>
  <si>
    <t xml:space="preserve">https://www.thomassci.com/p/glassine-weighing-paper</t>
  </si>
  <si>
    <t xml:space="preserve">https://www.thomassci.com/p/bottles-high-density-polyethylene-narrow-mouth</t>
  </si>
  <si>
    <t xml:space="preserve">https://www.thomassci.com/p/pi-pump-pipet-filler</t>
  </si>
  <si>
    <t xml:space="preserve">https://www.thomassci.com/p/cylindrical-jars-with-cap-high-density-polyethylene</t>
  </si>
  <si>
    <t xml:space="preserve">Kartell UNI Type Tissue Embedding Cassettes</t>
  </si>
  <si>
    <t xml:space="preserve">https://www.thomassci.com/p/tiss-embed-cassettes</t>
  </si>
  <si>
    <t xml:space="preserve">Burn-Up Bins</t>
  </si>
  <si>
    <t xml:space="preserve">https://www.thomassci.com/p/burn-up-bin-lab-biohazard-disposal-box</t>
  </si>
  <si>
    <t xml:space="preserve">https://www.thomassci.com/p/detergent-palmolive-original-5-gallon-pail</t>
  </si>
  <si>
    <t xml:space="preserve">https://www.thomassci.com/p/ammonia-cleaner-1-gallon-each-4-each-per-case</t>
  </si>
  <si>
    <t xml:space="preserve">https://www.thomassci.com/p/medicut-scalpels-disposable-sterile</t>
  </si>
  <si>
    <t xml:space="preserve">https://www.thomassci.com/p/biopsy-punches-1</t>
  </si>
  <si>
    <t xml:space="preserve">https://www.thomassci.com/p/gauze-pad-sterile</t>
  </si>
  <si>
    <t xml:space="preserve">Cotton Tipped Wood Applicators</t>
  </si>
  <si>
    <t xml:space="preserve">https://www.thomassci.com/p/cotton-tipped-wood-applicators</t>
  </si>
  <si>
    <t xml:space="preserve">Digital Bllod Pressure Monitor - upper arm</t>
  </si>
  <si>
    <t xml:space="preserve">https://www.thomassci.com/p/digital-bllod-pressure-monitor-upper-arm</t>
  </si>
  <si>
    <t xml:space="preserve">https://www.thomassci.com/p/solid-top-cleanroom-tables-with-c-frame</t>
  </si>
  <si>
    <t xml:space="preserve">https://www.thomassci.com/p/freestanding-growning-racks-with-hanger-tube</t>
  </si>
  <si>
    <t xml:space="preserve">https://www.thomassci.com/p/wall-mounted-gowning-racks-with-hanger-tube</t>
  </si>
  <si>
    <t xml:space="preserve">Solid Top Cleanroom Tables with H-Frame</t>
  </si>
  <si>
    <t xml:space="preserve">https://www.thomassci.com/p/solid-top-cleanroom-tables-with-h-frame</t>
  </si>
  <si>
    <t xml:space="preserve">Starter Shelving Units</t>
  </si>
  <si>
    <t xml:space="preserve">https://www.thomassci.com/p/starter-shelving-units</t>
  </si>
  <si>
    <t xml:space="preserve">https://www.thomassci.com/p/type-1-safety-cans</t>
  </si>
  <si>
    <t xml:space="preserve">https://www.thomassci.com/p/containment-utility-trays</t>
  </si>
  <si>
    <t xml:space="preserve">https://www.thomassci.com/p/quik-assembly-modular-poly-cabinets</t>
  </si>
  <si>
    <t xml:space="preserve">Column Protectors</t>
  </si>
  <si>
    <t xml:space="preserve">https://www.thomassci.com/p/guards-and-protectors</t>
  </si>
  <si>
    <t xml:space="preserve">Flammable Liquid Safety Cabinets</t>
  </si>
  <si>
    <t xml:space="preserve">https://www.thomassci.com/p/flammable-liquid-safety-cabinets</t>
  </si>
  <si>
    <t xml:space="preserve">https://www.thomassci.com/p/finetough-nitrile-gloves-indigo</t>
  </si>
  <si>
    <t xml:space="preserve">https://www.thomassci.com/p/sensitive-nitrile-gloves-indigo</t>
  </si>
  <si>
    <t xml:space="preserve">https://www.thomassci.com/p/finetough-nitrile-gloves-white</t>
  </si>
  <si>
    <t xml:space="preserve">Derma2 Nitrile Gloves, Blue</t>
  </si>
  <si>
    <t xml:space="preserve">https://www.thomassci.com/p/derma2-nitrile-gloves-blue</t>
  </si>
  <si>
    <t xml:space="preserve">https://www.thomassci.com/p/disposable-smooth-walled-weighing-dishes</t>
  </si>
  <si>
    <t xml:space="preserve">https://www.thomassci.com/p/hexagonal-polystyrene-weighing-dishes-anti-static</t>
  </si>
  <si>
    <t xml:space="preserve">https://www.thomassci.com/p/bucket-type-rubber</t>
  </si>
  <si>
    <t xml:space="preserve">Disposable Polystyrene Beakers</t>
  </si>
  <si>
    <t xml:space="preserve">https://www.thomassci.com/p/disposable-polystyrene-beakers</t>
  </si>
  <si>
    <t xml:space="preserve">Square Polystyrene Weighing Dishes (Anti-Static)</t>
  </si>
  <si>
    <t xml:space="preserve">https://www.thomassci.com/p/square-polystyrene-weighing-dishes-anti-static</t>
  </si>
  <si>
    <t xml:space="preserve">https://www.thomassci.com/p/texas-instruments-ti-36x-pro-scientific-calculator</t>
  </si>
  <si>
    <t xml:space="preserve">https://www.thomassci.com/p/texas-instruments-ti-30x-iis-scientific-calculator</t>
  </si>
  <si>
    <t xml:space="preserve">https://www.thomassci.com/p/ebf-foil-bag</t>
  </si>
  <si>
    <t xml:space="preserve">https://www.thomassci.com/p/903-five-spot-blood-card-eu</t>
  </si>
  <si>
    <t xml:space="preserve">https://www.thomassci.com/p/903-five-spot-blood-card-us</t>
  </si>
  <si>
    <t xml:space="preserve">903 Ten Spot Card</t>
  </si>
  <si>
    <t xml:space="preserve">https://www.thomassci.com/p/903-ten-spot-card</t>
  </si>
  <si>
    <t xml:space="preserve">https://www.thomassci.com/p/large-orbital-shaker-1</t>
  </si>
  <si>
    <t xml:space="preserve">https://www.thomassci.com/p/small-orbital-shaker</t>
  </si>
  <si>
    <t xml:space="preserve">https://www.thomassci.com/p/heavy-duty-orbital-shaker</t>
  </si>
  <si>
    <t xml:space="preserve">Medium Orbital Shaker</t>
  </si>
  <si>
    <t xml:space="preserve">https://www.thomassci.com/p/medium-orbital-shaker</t>
  </si>
  <si>
    <t xml:space="preserve">High Capacity Incubator Shaking System</t>
  </si>
  <si>
    <t xml:space="preserve">https://www.thomassci.com/p/high-capacity-incubator-shaking-system</t>
  </si>
  <si>
    <t xml:space="preserve">https://www.thomassci.com/p/artificial-cerebrospinal-fluid-acsf</t>
  </si>
  <si>
    <t xml:space="preserve">https://www.thomassci.com/p/modified-tyrodes-solution-mts</t>
  </si>
  <si>
    <t xml:space="preserve">https://www.thomassci.com/p/choline-chloride-brain-slice-cutting-solution-cc-bscs</t>
  </si>
  <si>
    <t xml:space="preserve">https://www.thomassci.com/p/klercide-sporicidal-active-chlorine</t>
  </si>
  <si>
    <t xml:space="preserve">https://www.thomassci.com/p/cosa-cip-90</t>
  </si>
  <si>
    <t xml:space="preserve">https://www.thomassci.com/p/cosa-cip-94</t>
  </si>
  <si>
    <t xml:space="preserve">Klercide™ 70/30 IPA</t>
  </si>
  <si>
    <t xml:space="preserve">https://www.thomassci.com/p/klercide-70/30-ipa</t>
  </si>
  <si>
    <t xml:space="preserve">COSA™ CIP 72</t>
  </si>
  <si>
    <t xml:space="preserve">https://www.thomassci.com/p/cosa-cip-72</t>
  </si>
  <si>
    <t xml:space="preserve">https://www.thomassci.com/p/mfc-broth-ampoules</t>
  </si>
  <si>
    <t xml:space="preserve">https://www.thomassci.com/p/modified-mrs-agar</t>
  </si>
  <si>
    <t xml:space="preserve">https://www.thomassci.com/p/petri-dishes-100x15</t>
  </si>
  <si>
    <t xml:space="preserve">Plate Count Agar</t>
  </si>
  <si>
    <t xml:space="preserve">https://www.thomassci.com/p/plate-count-agar5</t>
  </si>
  <si>
    <t xml:space="preserve">Lauryl Sulfate Broth</t>
  </si>
  <si>
    <t xml:space="preserve">https://www.thomassci.com/p/lauryl-sulfate-broth5</t>
  </si>
  <si>
    <t xml:space="preserve">https://www.thomassci.com/p/optima-dtr-96-well-plate-kits</t>
  </si>
  <si>
    <t xml:space="preserve">https://www.thomassci.com/p/performa-dtr-gel-filtration-cartridges</t>
  </si>
  <si>
    <t xml:space="preserve">https://www.thomassci.com/p/optima-dtr-8-well-strip-kit</t>
  </si>
  <si>
    <t xml:space="preserve">Optima DTR™ Ultra 96-Well Plate Kits</t>
  </si>
  <si>
    <t xml:space="preserve">https://www.thomassci.com/p/optima-dtr-ultra-96-well-plate-kits</t>
  </si>
  <si>
    <t xml:space="preserve">Optima DTR™ 384-Well Plate Kits</t>
  </si>
  <si>
    <t xml:space="preserve">https://www.thomassci.com/p/optima-dtr-384-well-plate-kits</t>
  </si>
  <si>
    <t xml:space="preserve">https://www.dutscher.com/article/497063</t>
  </si>
  <si>
    <t xml:space="preserve">https://www.dutscher.com/article/497005</t>
  </si>
  <si>
    <t xml:space="preserve">https://www.dutscher.com/article/497035</t>
  </si>
  <si>
    <t xml:space="preserve">Bühler SM 30B reciprocating shaker control version</t>
  </si>
  <si>
    <t xml:space="preserve">https://www.dutscher.com/article/497060</t>
  </si>
  <si>
    <t xml:space="preserve">Two-way shaker compact KS 15 B</t>
  </si>
  <si>
    <t xml:space="preserve">https://www.dutscher.com/article/497067</t>
  </si>
  <si>
    <t xml:space="preserve">https://www.thomassci.com/p/blue/white-cloning-of-a-dna-fragment-and-assay-of-ß-galactosidase-kit</t>
  </si>
  <si>
    <t xml:space="preserve">https://www.thomassci.com/p/exploring-the-genetics-of-taste-kit-snp-analysis-of-the-ptc-gene-using-pcr</t>
  </si>
  <si>
    <t xml:space="preserve">https://www.thomassci.com/p/mv10-vertical-electrophoresis-apparatus</t>
  </si>
  <si>
    <t xml:space="preserve">M12 Complete™ Electrophoresis Package</t>
  </si>
  <si>
    <t xml:space="preserve">https://www.thomassci.com/p/m12-complete-electrophoresis-package</t>
  </si>
  <si>
    <t xml:space="preserve">Detection of the Influenza Virus Kit</t>
  </si>
  <si>
    <t xml:space="preserve">https://www.thomassci.com/p/detection-of-the-influenza-virus-kit</t>
  </si>
  <si>
    <t xml:space="preserve">https://www.thomassci.com/p/uteva-resin-100-150-mesh-200g</t>
  </si>
  <si>
    <t xml:space="preserve">https://www.thomassci.com/p/accessories-for-cartridges</t>
  </si>
  <si>
    <t xml:space="preserve">https://www.thomassci.com/p/cartridge-vacuum-box</t>
  </si>
  <si>
    <t xml:space="preserve">Empty Column Snap Tip</t>
  </si>
  <si>
    <t xml:space="preserve">https://www.thomassci.com/p/2ml-empty-columns-snap-tip-pk100</t>
  </si>
  <si>
    <t xml:space="preserve">Cartridge Reservoir</t>
  </si>
  <si>
    <t xml:space="preserve">https://www.thomassci.com/p/20ml-cartridge-reservoirs</t>
  </si>
  <si>
    <t xml:space="preserve">https://www.thomassci.com/p/volumetric-flasks-with-pe-stopper-class-a-with-calibration-certificate</t>
  </si>
  <si>
    <t xml:space="preserve">https://www.thomassci.com/p/volumetric-flasks-with-glass-stopper-astm-class-a</t>
  </si>
  <si>
    <t xml:space="preserve">https://www.thomassci.com/p/clavicle-bone-model</t>
  </si>
  <si>
    <t xml:space="preserve">Disarticulated Rib Bones, Full Set</t>
  </si>
  <si>
    <t xml:space="preserve">https://www.thomassci.com/p/disarticulated-rib-bones-full-set</t>
  </si>
  <si>
    <t xml:space="preserve">Simple Distillation Apparatus</t>
  </si>
  <si>
    <t xml:space="preserve">https://www.thomassci.com/p/simple-distillation-apparatus</t>
  </si>
  <si>
    <t xml:space="preserve">https://www.thomassci.com/p/reduction-elbows</t>
  </si>
  <si>
    <t xml:space="preserve">https://www.thomassci.com/p/flexelene-sfx-tubing</t>
  </si>
  <si>
    <t xml:space="preserve">https://www.thomassci.com/p/flexelene-tubing-135c</t>
  </si>
  <si>
    <t xml:space="preserve">Bulkhead Adapter Fittings</t>
  </si>
  <si>
    <t xml:space="preserve">https://www.thomassci.com/p/bulkhead-adapter-fittings</t>
  </si>
  <si>
    <t xml:space="preserve">Stationary Male Luer Lock</t>
  </si>
  <si>
    <t xml:space="preserve">https://www.thomassci.com/p/stationary-male-luer-lock</t>
  </si>
  <si>
    <t xml:space="preserve">https://www.thomassci.com/p/silver-nitrate-reagent-acs</t>
  </si>
  <si>
    <t xml:space="preserve">https://www.thomassci.com/p/paraformaldehyde-formaldehyde</t>
  </si>
  <si>
    <t xml:space="preserve">https://www.thomassci.com/p/phosphomolybdic-acid-crystal-reagent-acs</t>
  </si>
  <si>
    <t xml:space="preserve">Sodium Phosphate, Monobasic</t>
  </si>
  <si>
    <t xml:space="preserve">https://www.thomassci.com/p/sodium-phosphate-monobasic3</t>
  </si>
  <si>
    <t xml:space="preserve">Thumb Dressing Forceps</t>
  </si>
  <si>
    <t xml:space="preserve">https://www.thomassci.com/p/thumb-dressing-forceps</t>
  </si>
  <si>
    <t xml:space="preserve">https://www.thomassci.com/p/silicone-high-vacuum-formula-stopcock-grease</t>
  </si>
  <si>
    <t xml:space="preserve">https://www.thomassci.com/p/dow-dowsil-3-6751-thermally-conductive-adhesive-gray-1-kg-kit</t>
  </si>
  <si>
    <t xml:space="preserve">https://www.thomassci.com/p/sulzer-mixpac-statomix-ea63-21sa-ma-static-mixer-025-in-id-x-602-x-21-element-from-ellsworth-50/pk</t>
  </si>
  <si>
    <t xml:space="preserve">https://www.thomassci.com/p/e-plus-ultrasonic-bath-with-pulse-mode-for-mixing-cleaning-and-degassing</t>
  </si>
  <si>
    <t xml:space="preserve">https://www.thomassci.com/p/elmasonic-select-extra-powerful-ultrasonic-cleaners-heater/timer/memory/digital-display/5-modes</t>
  </si>
  <si>
    <t xml:space="preserve">https://www.thomassci.com/p/accessories-for-elma-ultrasonic-cleaners</t>
  </si>
  <si>
    <t xml:space="preserve">P Digital Ultrasonic Cleaner, Versatile with Dual Frequency and Variable Power</t>
  </si>
  <si>
    <t xml:space="preserve">https://www.thomassci.com/p/p-digital-ultrasonic-cleaner-versatile-with-dual-frequency-and-variable-power</t>
  </si>
  <si>
    <t xml:space="preserve">Elmasonic S Heated Ultrasonic Cleaner with 3 Modes and High Power</t>
  </si>
  <si>
    <t xml:space="preserve">https://www.thomassci.com/p/elmasonic-s-heated-ultrasonic-cleaner-with-3-modes-and-high-power</t>
  </si>
  <si>
    <t xml:space="preserve">https://www.thomassci.com/p/sky-line-analog-orbital-shakers</t>
  </si>
  <si>
    <t xml:space="preserve">https://www.thomassci.com/p/intelli-mixers</t>
  </si>
  <si>
    <t xml:space="preserve">https://www.thomassci.com/p/drs-12-sky-line-digital-rocking-shakers</t>
  </si>
  <si>
    <t xml:space="preserve">CM-7S Plus Benchtop Centrifuge</t>
  </si>
  <si>
    <t xml:space="preserve">https://www.thomassci.com/p/cm-6mt-benchtop-centrifuges</t>
  </si>
  <si>
    <t xml:space="preserve">Sky Line Digital Orbital Shakers</t>
  </si>
  <si>
    <t xml:space="preserve">https://www.thomassci.com/p/sky-line-digital-orbital-shakers</t>
  </si>
  <si>
    <t xml:space="preserve">https://www.thomassci.com/p/libero-cd-datalogger-with-internal-probe-for-direct-placement-in-dry-ice</t>
  </si>
  <si>
    <t xml:space="preserve">https://www.thomassci.com/p/freezer-datalogger-kit-for-80c-application</t>
  </si>
  <si>
    <t xml:space="preserve">https://www.thomassci.com/p/libero-cb-datalogger-with-internal-ntc-probe</t>
  </si>
  <si>
    <t xml:space="preserve">LIBERO CS dataLogger with internal NTC probe</t>
  </si>
  <si>
    <t xml:space="preserve">https://www.thomassci.com/p/libero-cs-datalogger-with-internal-ntc-probe</t>
  </si>
  <si>
    <t xml:space="preserve">LN2 Cryo Shipper Datalogger Kit, -200 °C to +200 °C</t>
  </si>
  <si>
    <t xml:space="preserve">https://www.thomassci.com/p/ln2-cryo-shipper-datalogger-kit-200-c-to-200-c</t>
  </si>
  <si>
    <t xml:space="preserve">https://www.dutscher.com/article/038401</t>
  </si>
  <si>
    <t xml:space="preserve">https://www.dutscher.com/article/035459</t>
  </si>
  <si>
    <t xml:space="preserve">https://www.dutscher.com/article/039080</t>
  </si>
  <si>
    <t xml:space="preserve">Green gel 10 000 x in 0.5 ml water</t>
  </si>
  <si>
    <t xml:space="preserve">https://www.dutscher.com/article/039089</t>
  </si>
  <si>
    <t xml:space="preserve">PREPONE SAPPHIRE BLUE LED Imager for smartphone</t>
  </si>
  <si>
    <t xml:space="preserve">https://www.dutscher.com/article/081405</t>
  </si>
  <si>
    <t xml:space="preserve">https://www.dutscher.com/article/351297</t>
  </si>
  <si>
    <t xml:space="preserve">https://www.dutscher.com/article/351312</t>
  </si>
  <si>
    <t xml:space="preserve">https://www.dutscher.com/article/351317</t>
  </si>
  <si>
    <t xml:space="preserve">Retention bin with grating 40 l - colour green</t>
  </si>
  <si>
    <t xml:space="preserve">https://www.dutscher.com/article/351305</t>
  </si>
  <si>
    <t xml:space="preserve">Retention bin without grating 8 l - colour green</t>
  </si>
  <si>
    <t xml:space="preserve">https://www.dutscher.com/article/351319</t>
  </si>
  <si>
    <t xml:space="preserve">https://www.thomassci.com/p/octagon-d200-digital-sieve-shaker</t>
  </si>
  <si>
    <t xml:space="preserve">https://www.thomassci.com/p/8-stainless-steel-sieves</t>
  </si>
  <si>
    <t xml:space="preserve">https://www.thomassci.com/p/12-stainless-steel-sieves</t>
  </si>
  <si>
    <t xml:space="preserve">Minor M200 Sieve Shaker</t>
  </si>
  <si>
    <t xml:space="preserve">https://www.thomassci.com/p/minor-m200-sieve-shaker</t>
  </si>
  <si>
    <t xml:space="preserve">Consistometer Flow Rate Bostwick</t>
  </si>
  <si>
    <t xml:space="preserve">https://www.thomassci.com/p/consistometer-flow-rate-bostwick</t>
  </si>
  <si>
    <t xml:space="preserve">https://www.thomassci.com/p/ghostwipes</t>
  </si>
  <si>
    <t xml:space="preserve">https://www.thomassci.com/p/proweigh-filters-for-tss</t>
  </si>
  <si>
    <t xml:space="preserve">https://www.thomassci.com/p/proweigh-double-for-tss/vss</t>
  </si>
  <si>
    <t xml:space="preserve">7mL Vial with Pierce Cap for Dionex® AS50</t>
  </si>
  <si>
    <t xml:space="preserve">https://www.thomassci.com/p/7ml-vial-with-pierce-cap-for-dionex-as50</t>
  </si>
  <si>
    <t xml:space="preserve">FilterMate™ Filtration System</t>
  </si>
  <si>
    <t xml:space="preserve">https://www.thomassci.com/p/filtermate-filtration-system</t>
  </si>
  <si>
    <t xml:space="preserve">https://www.thomassci.com/p/glass-wide-mouth-sample-jars</t>
  </si>
  <si>
    <t xml:space="preserve">https://www.thomassci.com/p/capsure-wide-mouth-bottles</t>
  </si>
  <si>
    <t xml:space="preserve">https://www.thomassci.com/p/plastic-container-wide-mouth8oz-250ml-precleaned</t>
  </si>
  <si>
    <t xml:space="preserve">Sample Vial with septa</t>
  </si>
  <si>
    <t xml:space="preserve">https://www.thomassci.com/p/borosilicate-glass-vials</t>
  </si>
  <si>
    <t xml:space="preserve">Wide-Mouth HDPE Oblong Bottle with HNO3 Preservative</t>
  </si>
  <si>
    <t xml:space="preserve">https://www.thomassci.com/p/wide-mouth-hdpe-oblong-bottle-with-hno3-preservative</t>
  </si>
  <si>
    <t xml:space="preserve">https://www.thomassci.com/p/tall-closed-top-wide-mouth-jars</t>
  </si>
  <si>
    <t xml:space="preserve">https://www.thomassci.com/p/screw-top-sterile-coliform-water-sample-bottles</t>
  </si>
  <si>
    <t xml:space="preserve">https://www.thomassci.com/p/depyrogenated-sterile-empty-vials</t>
  </si>
  <si>
    <t xml:space="preserve">Wide-Mouth HDPE Packers without Caps: Bulk Pack</t>
  </si>
  <si>
    <t xml:space="preserve">https://www.thomassci.com/p/wide-mouth-hdpe-packers-without-caps-bulk-pack</t>
  </si>
  <si>
    <t xml:space="preserve">Chemically Preserved Environmental Sample Containers</t>
  </si>
  <si>
    <t xml:space="preserve">https://www.thomassci.com/p/chemically-preserved-environmental-sample-containers-1</t>
  </si>
  <si>
    <t xml:space="preserve">https://www.thomassci.com/p/knit-wrist-lab-coats-with-3-pockets</t>
  </si>
  <si>
    <t xml:space="preserve">https://www.thomassci.com/p/medium-weight-white-lab-coats</t>
  </si>
  <si>
    <t xml:space="preserve">https://www.thomassci.com/p/impervious-pe-coated-isolation-gown</t>
  </si>
  <si>
    <t xml:space="preserve">MP Shoe Covers with Vinyl Soles</t>
  </si>
  <si>
    <t xml:space="preserve">https://www.thomassci.com/p/mp-shoe-covers-with-vinyl-soles</t>
  </si>
  <si>
    <t xml:space="preserve">Disposable White SMS Polypropylene Coveralls</t>
  </si>
  <si>
    <t xml:space="preserve">https://www.thomassci.com/p/disposable-white-sms-polypropylene-coveralls</t>
  </si>
  <si>
    <t xml:space="preserve">manual mechanical pipettes</t>
  </si>
  <si>
    <t xml:space="preserve">benchtop refrigerated centrifuges</t>
  </si>
  <si>
    <t xml:space="preserve">automated liquid-handling workstations</t>
  </si>
  <si>
    <t xml:space="preserve">https://www.dutscher.com/article/045795</t>
  </si>
  <si>
    <t xml:space="preserve">https://www.dutscher.com/article/100204MJ</t>
  </si>
  <si>
    <t xml:space="preserve">https://www.dutscher.com/article/100204MV</t>
  </si>
  <si>
    <t xml:space="preserve">Polysine microscope slide ESCO</t>
  </si>
  <si>
    <t xml:space="preserve">https://www.dutscher.com/article/045797</t>
  </si>
  <si>
    <t xml:space="preserve">Super-Frost slides 76 x 26 mm standard version pink colour</t>
  </si>
  <si>
    <t xml:space="preserve">https://www.dutscher.com/article/100204MR</t>
  </si>
  <si>
    <t xml:space="preserve">https://www.thomassci.com/p/replacement-filters-for-erlab-chemtrap-v201</t>
  </si>
  <si>
    <t xml:space="preserve">https://www.thomassci.com/p/halo-32-1p-commercial-grade-air-purification-stations-80-240v/-50-60-hz</t>
  </si>
  <si>
    <t xml:space="preserve">https://www.thomassci.com/p/captair-321-new-bundled-solutions</t>
  </si>
  <si>
    <t xml:space="preserve">CaptairBio PCR Workstations &amp; Dead Air Boxes</t>
  </si>
  <si>
    <t xml:space="preserve">https://www.thomassci.com/p/erlab-pcr-worstations</t>
  </si>
  <si>
    <t xml:space="preserve">ChemTrap H402 and V201 Filtration Option for Safety Cabinets</t>
  </si>
  <si>
    <t xml:space="preserve">https://www.thomassci.com/p/erlab-filtration-system-for-safety/acid-cabinets</t>
  </si>
  <si>
    <t xml:space="preserve">biological safety cabinets</t>
  </si>
  <si>
    <t xml:space="preserve">CO2 incubators</t>
  </si>
  <si>
    <t xml:space="preserve">aseptic and containment isolators</t>
  </si>
  <si>
    <t xml:space="preserve">https://www.thomassci.com/p/bag-trash-heavy-perforated-roll-can-liners-56-gallon-43-x-47-60m-black-100-per-case</t>
  </si>
  <si>
    <t xml:space="preserve">https://www.thomassci.com/p/clorox-germicidal-bleach-121-oz</t>
  </si>
  <si>
    <t xml:space="preserve">https://www.thomassci.com/p/hdpe-can-liner-30gal-145mil-natural</t>
  </si>
  <si>
    <t xml:space="preserve">Hand Sanitizer, Purell, Advanced TFX Gel, Purell Instant Hand Sanitizer Refill, 1200mL #5456-04 4ea/case</t>
  </si>
  <si>
    <t xml:space="preserve">https://www.thomassci.com/p/hand-sanitizer-purell-advanced-tfx-gel-purell-instant-hand-sanitizer-refill-1200ml-number-5456-04-4ea/case</t>
  </si>
  <si>
    <t xml:space="preserve">60 Gallon Can Liners; 38" X 58" Natural Color</t>
  </si>
  <si>
    <t xml:space="preserve">https://www.thomassci.com/p/60-gallon-can-liners-38-inch-x-58-inch-natural-color</t>
  </si>
  <si>
    <t xml:space="preserve">https://www.thomassci.com/p/papanicolaou-stain-ea-36</t>
  </si>
  <si>
    <t xml:space="preserve">https://www.thomassci.com/p/ferric-subsulfate-monsels-solution</t>
  </si>
  <si>
    <t xml:space="preserve">https://www.thomassci.com/p/saccomanno-solution-1-liter</t>
  </si>
  <si>
    <t xml:space="preserve">Exocell The Creatinine Companion ELISA Kit</t>
  </si>
  <si>
    <t xml:space="preserve">https://www.thomassci.com/p/the-creatinine-companion-elisa-kit</t>
  </si>
  <si>
    <t xml:space="preserve">https://www.thomassci.com/p/acetone-2</t>
  </si>
  <si>
    <t xml:space="preserve">https://www.dutscher.com/article/220229</t>
  </si>
  <si>
    <t xml:space="preserve">https://www.dutscher.com/article/220179</t>
  </si>
  <si>
    <t xml:space="preserve">https://www.dutscher.com/article/220235</t>
  </si>
  <si>
    <t xml:space="preserve">Extraction reagent RNA Extracol - Bottle 100 ml</t>
  </si>
  <si>
    <t xml:space="preserve">https://www.dutscher.com/article/220176</t>
  </si>
  <si>
    <t xml:space="preserve">OnTaq DNA Polymerase Hot Start Kit (2.5 U/μl) with dNTPs</t>
  </si>
  <si>
    <t xml:space="preserve">https://www.dutscher.com/article/220440</t>
  </si>
  <si>
    <t xml:space="preserve">https://www.thomassci.com/p/iwt-ion-exchanger-universal-ii-pk6</t>
  </si>
  <si>
    <t xml:space="preserve">https://www.thomassci.com/p/iwt-ion-exchanger-universal-ii</t>
  </si>
  <si>
    <t xml:space="preserve">https://www.thomassci.com/p/milli-q-purification-pack-ro-feed</t>
  </si>
  <si>
    <t xml:space="preserve">IWT Ion Exchanger Research II</t>
  </si>
  <si>
    <t xml:space="preserve">https://www.thomassci.com/p/iwt-ion-exchanger-research-ii</t>
  </si>
  <si>
    <t xml:space="preserve">IWT Ionxchangers, Wall Brackets</t>
  </si>
  <si>
    <t xml:space="preserve">https://www.thomassci.com/p/iwt-ionxchangers-wall-brackets</t>
  </si>
  <si>
    <t xml:space="preserve">https://www.thomassci.com/p/hydrochloric-acid-100n-volumetric-solution</t>
  </si>
  <si>
    <t xml:space="preserve">https://www.thomassci.com/p/buffer-standard-ph-700</t>
  </si>
  <si>
    <t xml:space="preserve">https://www.thomassci.com/p/buffer-standard-ph-1000</t>
  </si>
  <si>
    <t xml:space="preserve">Buffer Standard, pH 8.00</t>
  </si>
  <si>
    <t xml:space="preserve">https://www.thomassci.com/p/buffer-standard-ph-800</t>
  </si>
  <si>
    <t xml:space="preserve">Phenol Standard, 1000ppm</t>
  </si>
  <si>
    <t xml:space="preserve">https://www.thomassci.com/p/phenol-standard-1000ppm</t>
  </si>
  <si>
    <t xml:space="preserve">https://www.thomassci.com/p/sealplate-films-for-elisa-incubation-and-storage</t>
  </si>
  <si>
    <t xml:space="preserve">https://www.thomassci.com/p/sealplate-colortab-sealing-films</t>
  </si>
  <si>
    <t xml:space="preserve">https://www.thomassci.com/p/alumaseal-ii-adhesive-sealing-foil</t>
  </si>
  <si>
    <t xml:space="preserve">ThermalSeal® Films For Classic PCR</t>
  </si>
  <si>
    <t xml:space="preserve">https://www.thomassci.com/p/thermalseal</t>
  </si>
  <si>
    <t xml:space="preserve">ThinSeal™ Films For ELISA, Incubation And Storage</t>
  </si>
  <si>
    <t xml:space="preserve">https://www.thomassci.com/p/thinseal</t>
  </si>
  <si>
    <t xml:space="preserve">https://www.thomassci.com/p/pointed-tip-esd-safe-tweezers</t>
  </si>
  <si>
    <t xml:space="preserve">https://www.thomassci.com/p/three-star-angled-flat-sharp-point-anti-magnetic-tweezer-excelta-number-6-sa</t>
  </si>
  <si>
    <t xml:space="preserve">https://www.thomassci.com/p/straight-tapered-ultra-fine-point-anti-magnetic-tweezer-4-1/4-long</t>
  </si>
  <si>
    <t xml:space="preserve">Excelta #3C-SA Stainless Antimagnetic Tweezer - 3 Star Quality</t>
  </si>
  <si>
    <t xml:space="preserve">https://www.thomassci.com/p/excelta-number-3c-sa-stainless-antimagnetic-tweezer-3-star-quality</t>
  </si>
  <si>
    <t xml:space="preserve">6.25" (159mm), Pliers, medium flat nose, Tip width .025"(.63mm), AISI 440 stainless steel</t>
  </si>
  <si>
    <t xml:space="preserve">https://www.thomassci.com/p/625-159mm-pliers-medium-flat-nose-tip-width-02563mm-aisi-440-stainless-steel</t>
  </si>
  <si>
    <t xml:space="preserve">https://www.thomassci.com/p/disposable-syringes2</t>
  </si>
  <si>
    <t xml:space="preserve">https://www.thomassci.com/p/syringe-and-needle</t>
  </si>
  <si>
    <t xml:space="preserve">https://www.thomassci.com/p/5-6cc-syringes</t>
  </si>
  <si>
    <t xml:space="preserve">IV Catheters</t>
  </si>
  <si>
    <t xml:space="preserve">https://www.thomassci.com/p/iv-catheters</t>
  </si>
  <si>
    <t xml:space="preserve">10-12cc Syringes</t>
  </si>
  <si>
    <t xml:space="preserve">https://www.thomassci.com/p/10-12cc-syringes1</t>
  </si>
  <si>
    <t xml:space="preserve">https://www.thomassci.com/p/meters/dataloggers1</t>
  </si>
  <si>
    <t xml:space="preserve">https://www.thomassci.com/p/salinity/temperature-meter</t>
  </si>
  <si>
    <t xml:space="preserve">https://www.thomassci.com/p/video-particle-counter-with-built-in-camera</t>
  </si>
  <si>
    <t xml:space="preserve">Large Vane CFM/CMM Thermo-Anemometer</t>
  </si>
  <si>
    <t xml:space="preserve">https://www.thomassci.com/p/large-vane-cfm/cmm-thermo-anemometer</t>
  </si>
  <si>
    <t xml:space="preserve">Milliohm Meter, 4-Wire, 110Vac</t>
  </si>
  <si>
    <t xml:space="preserve">https://www.thomassci.com/p/milliohm-meter-4-wire-110vac</t>
  </si>
  <si>
    <t xml:space="preserve">https://www.thomassci.com/p/ez-viewer-led-transilluminator</t>
  </si>
  <si>
    <t xml:space="preserve">https://www.thomassci.com/p/flg22-flagelin-22</t>
  </si>
  <si>
    <t xml:space="preserve">https://www.thomassci.com/p/precast-ezgel</t>
  </si>
  <si>
    <t xml:space="preserve">https://www.thomassci.com/p/dust-off-eco-duster</t>
  </si>
  <si>
    <t xml:space="preserve">https://www.thomassci.com/p/dust-off</t>
  </si>
  <si>
    <t xml:space="preserve">https://www.dutscher.com/article/353046</t>
  </si>
  <si>
    <t xml:space="preserve">Pipette for cell culture 10 ml Falcon®</t>
  </si>
  <si>
    <t xml:space="preserve">https://www.dutscher.com/article/357551</t>
  </si>
  <si>
    <t xml:space="preserve">Matrix Corning Matrigel® Reduced growth factor, without phenol Red, mouse tumour HSC</t>
  </si>
  <si>
    <t xml:space="preserve">https://www.dutscher.com/article/356231</t>
  </si>
  <si>
    <t xml:space="preserve">https://www.thomassci.com/p/blue-unisex-lab-coats</t>
  </si>
  <si>
    <t xml:space="preserve">https://www.thomassci.com/p/unisex-long-sleeve-scrub-shirts</t>
  </si>
  <si>
    <t xml:space="preserve">https://www.thomassci.com/p/unisex-lab-coats</t>
  </si>
  <si>
    <t xml:space="preserve">Worklon Ladies' Skimmer Length Lab Coat</t>
  </si>
  <si>
    <t xml:space="preserve">https://www.thomassci.com/p/worklon-ladies-skimmer-length-lab-coat</t>
  </si>
  <si>
    <t xml:space="preserve">Worklon Unisex Consultation Lab Jacket, PDA Pocket</t>
  </si>
  <si>
    <t xml:space="preserve">https://www.thomassci.com/p/worklon-unisex-consultation-lab-jacket-pda-pocket</t>
  </si>
  <si>
    <t xml:space="preserve">https://www.thomassci.com/p/fd-neurosilver-kit-ii</t>
  </si>
  <si>
    <t xml:space="preserve">https://www.thomassci.com/p/embryofix</t>
  </si>
  <si>
    <t xml:space="preserve">https://www.thomassci.com/p/fd-tissue-cryoprotection-solution</t>
  </si>
  <si>
    <t xml:space="preserve">FD Methyl Green Solution™</t>
  </si>
  <si>
    <t xml:space="preserve">https://www.thomassci.com/p/fd-methyl-green-solution</t>
  </si>
  <si>
    <t xml:space="preserve">Gold Seal® Rite-On® Frosted Slides</t>
  </si>
  <si>
    <t xml:space="preserve">https://www.thomassci.com/p/gold-seal-rite-on-frosted-slides</t>
  </si>
  <si>
    <t xml:space="preserve">https://www.thomassci.com/p/flash-flood-eyewash-station</t>
  </si>
  <si>
    <t xml:space="preserve">https://www.thomassci.com/p/pure-flow-1000-eyewash-station</t>
  </si>
  <si>
    <t xml:space="preserve">https://www.thomassci.com/p/eyesaline-wall-stations</t>
  </si>
  <si>
    <t xml:space="preserve">Waste Water Cart</t>
  </si>
  <si>
    <t xml:space="preserve">https://www.thomassci.com/p/waste-water-cart</t>
  </si>
  <si>
    <t xml:space="preserve">Fendall Pure Flow 1000 Saline Cartridges</t>
  </si>
  <si>
    <t xml:space="preserve">https://www.thomassci.com/p/fendall-pure-flow-1000-saline-cartridges</t>
  </si>
  <si>
    <t xml:space="preserve">https://www.thomassci.com/p/wiper-hydro-blend-3-inch-id-x-36-inch-x-300-feet-on-3-inch-plastic-core-1-roll-each-4-rolls-per-case</t>
  </si>
  <si>
    <t xml:space="preserve">https://www.thomassci.com/p/presaturated-wipers-polypropylene-meltblown-non-woven-70-ipa-30-deionized-water-re-sealable-pouch-9-x-11</t>
  </si>
  <si>
    <t xml:space="preserve">https://www.thomassci.com/p/bemcot-m3-wipers-45-x-45-inch</t>
  </si>
  <si>
    <t xml:space="preserve">Saturix Carts and Mop Accessories</t>
  </si>
  <si>
    <t xml:space="preserve">https://www.thomassci.com/p/carts-and-mop-accessories</t>
  </si>
  <si>
    <t xml:space="preserve">Sterile Presaturated Wipers 70% IPA 9"x9" USP Low Lint Nonwoven Wipes</t>
  </si>
  <si>
    <t xml:space="preserve">https://www.thomassci.com/p/presaturated-wipers-validated-sterile-non-woven-polypropylene-70-ipa-30-deionized-water-9-x-9</t>
  </si>
  <si>
    <t xml:space="preserve">https://www.thomassci.com/p/finntip-flex-filter-tips-1</t>
  </si>
  <si>
    <t xml:space="preserve">https://www.thomassci.com/p/finnpipette-f2-variable-volume-multichannel-pipette</t>
  </si>
  <si>
    <t xml:space="preserve">https://www.thomassci.com/p/finnpipette-multistepper-pipettors</t>
  </si>
  <si>
    <t xml:space="preserve">Finntip Filters Pipettor Tips</t>
  </si>
  <si>
    <t xml:space="preserve">https://www.thomassci.com/p/finntip-filters-pipettor-tips</t>
  </si>
  <si>
    <t xml:space="preserve">Finnpipette Digital 16-Channel Pipettors</t>
  </si>
  <si>
    <t xml:space="preserve">https://www.thomassci.com/p/finnpipette-digital-16-channel-pipettors1</t>
  </si>
  <si>
    <t xml:space="preserve">https://www.thomassci.com/p/the-flip-pipet-filler</t>
  </si>
  <si>
    <t xml:space="preserve">https://www.thomassci.com/p/high-vacuum-pump-shutoff-and-vacuum-release-ball-valve</t>
  </si>
  <si>
    <t xml:space="preserve">https://www.thomassci.com/p/parts-and-accessories-for-vacuum-pumps</t>
  </si>
  <si>
    <t xml:space="preserve">Bourdon tube type gauge</t>
  </si>
  <si>
    <t xml:space="preserve">https://www.thomassci.com/p/bourdon-tube-type-gauge</t>
  </si>
  <si>
    <t xml:space="preserve">Safety Pipette Fillers</t>
  </si>
  <si>
    <t xml:space="preserve">https://www.thomassci.com/p/safety-pipette-fillers</t>
  </si>
  <si>
    <t xml:space="preserve">https://www.thomassci.com/p/breach-ptq136-multi-purpose-thermal-imaging-monocular</t>
  </si>
  <si>
    <t xml:space="preserve">https://www.thomassci.com/p/tg297-thermal-camera</t>
  </si>
  <si>
    <t xml:space="preserve">https://www.thomassci.com/p/general-purpose-videoscope-kit-and-accessories</t>
  </si>
  <si>
    <t xml:space="preserve">FLIR Imaging Moisture Meter</t>
  </si>
  <si>
    <t xml:space="preserve">https://www.thomassci.com/p/flir-imaging-moisture-meter</t>
  </si>
  <si>
    <t xml:space="preserve">Triple Alarm CAT IV Non-Contact Voltage Detector with Flashlight</t>
  </si>
  <si>
    <t xml:space="preserve">https://www.thomassci.com/p/triple-alarm-cat-iv-non-contact-voltage-detector-with-flashlight</t>
  </si>
  <si>
    <t xml:space="preserve">https://www.thomassci.com/p/wipers-foamtec-mirawipe-cleanroom-iso-level-5-9x9-wide-border-sealed-edges-class-100-laundered-50ea/bg-3bg/pk-8pk/cs</t>
  </si>
  <si>
    <t xml:space="preserve">https://www.thomassci.com/p/ultramop-sw-self-wringing-cleanroom-sponge-mop-head-stainless-steel-bracket-sterile-14-x-35-x-225</t>
  </si>
  <si>
    <t xml:space="preserve">https://www.thomassci.com/p/mirawipe-microdenier-wiper-9x9</t>
  </si>
  <si>
    <t xml:space="preserve">Foamtec International Electrostatic Discharge Safe Cleanroom Swab</t>
  </si>
  <si>
    <t xml:space="preserve">https://www.thomassci.com/p/swab-foam-flex-tip-3-inch-ultrasolv-500-per-pack-25-packs-per-case-formerly-112c1-ht1950</t>
  </si>
  <si>
    <t xml:space="preserve">CleanWIPE Foam Tip Swab, 6" Length, Rigid Oval Tip</t>
  </si>
  <si>
    <t xml:space="preserve">https://www.thomassci.com/p/cleanwipe-foam-tip-swab-6-length-rigid-oval-tip</t>
  </si>
  <si>
    <t xml:space="preserve">https://www.dutscher.com/article/311168</t>
  </si>
  <si>
    <t xml:space="preserve">https://www.dutscher.com/article/311104</t>
  </si>
  <si>
    <t xml:space="preserve">https://www.dutscher.com/article/311110</t>
  </si>
  <si>
    <t xml:space="preserve">75L PP rectangular carboy (365 x 475 x 761 mm), white</t>
  </si>
  <si>
    <t xml:space="preserve">https://www.dutscher.com/article/311142</t>
  </si>
  <si>
    <t xml:space="preserve">Ezwaste Outgoing air filter kit - configuration C - vol. 10 Litres</t>
  </si>
  <si>
    <t xml:space="preserve">https://www.dutscher.com/article/311177</t>
  </si>
  <si>
    <t xml:space="preserve">https://www.thomassci.com/p/imaprene-pharmaceutical-grade-thermoplastic-elastomer-tpe-tubing</t>
  </si>
  <si>
    <t xml:space="preserve">https://www.thomassci.com/p/ezlabpure-cellulose-nitrate-cn-membrane-disc-filters</t>
  </si>
  <si>
    <t xml:space="preserve">https://www.thomassci.com/p/ezflow-nylon-membrane-disc-filters</t>
  </si>
  <si>
    <t xml:space="preserve">Polypropylene Heavy Duty Vacuum Bottles</t>
  </si>
  <si>
    <t xml:space="preserve">https://www.thomassci.com/p/polypropylene-heavy-duty-vacuum-bottles1</t>
  </si>
  <si>
    <t xml:space="preserve">CPC® AseptiQuik G HT Connector, Hose Barb Genderless</t>
  </si>
  <si>
    <t xml:space="preserve">https://www.thomassci.com/p/cpc-aseptiquik-g-ht-connector-hose-barb-genderless</t>
  </si>
  <si>
    <t xml:space="preserve">https://www.dutscher.com/article/711568A</t>
  </si>
  <si>
    <t xml:space="preserve">https://www.dutscher.com/article/711547B</t>
  </si>
  <si>
    <t xml:space="preserve">https://www.dutscher.com/article/711170B</t>
  </si>
  <si>
    <t xml:space="preserve">Neutrax PF Acidic Rinse Agent for Scrubbers - 10 L</t>
  </si>
  <si>
    <t xml:space="preserve">https://www.dutscher.com/article/711172</t>
  </si>
  <si>
    <t xml:space="preserve">FB Wipes XXL Disinfecting Cleaning Wipe - bag of 60</t>
  </si>
  <si>
    <t xml:space="preserve">https://www.dutscher.com/article/711599</t>
  </si>
  <si>
    <t xml:space="preserve">https://www.thomassci.com/p/tubing-silicone-0-250-x-0-375-500-coil</t>
  </si>
  <si>
    <t xml:space="preserve">https://www.thomassci.com/p/silicone-tubing-fhp-helix-dow-silastic-platinum-cured-dimensions-0375-id-x-0563-od-x-0094-wall-number-60-011-29-50ft/rl</t>
  </si>
  <si>
    <t xml:space="preserve">https://www.thomassci.com/p/tubing-pharmafocus-premium-peristaltic-pump-tubing-helixmark-25-id-437-od-high-purity-silicone-25ft/ea</t>
  </si>
  <si>
    <t xml:space="preserve">HelixMark® Silicone Tubing</t>
  </si>
  <si>
    <t xml:space="preserve">https://www.thomassci.com/p/tubing-fhp-helixmark-braided-reinforced-dow-corning-silastic-500id-x-800od-number-60-664-60-25ft/roll</t>
  </si>
  <si>
    <t xml:space="preserve">Tubing, Silicone, 0.500 In. ID, 0.687 In. OD ASTC CLASS VI, 50ft/roll</t>
  </si>
  <si>
    <t xml:space="preserve">https://www.thomassci.com/p/tubing-silicone-0500-in-id-0687-in-od-astc-class-vi-50ft/roll</t>
  </si>
  <si>
    <t xml:space="preserve">https://www.dutscher.com/article/445424</t>
  </si>
  <si>
    <t xml:space="preserve">https://www.dutscher.com/article/445205</t>
  </si>
  <si>
    <t xml:space="preserve">https://www.dutscher.com/article/445293</t>
  </si>
  <si>
    <t xml:space="preserve">Stainless steel sieve ISO 3310-1 - ø x H (mm): 100 x 40 - mesh 400 µm</t>
  </si>
  <si>
    <t xml:space="preserve">https://www.dutscher.com/article/445533</t>
  </si>
  <si>
    <t xml:space="preserve">Stainless steel sieve ISO 3310-1 - ø x H (mm): 100 x 40 - mesh 40 µm</t>
  </si>
  <si>
    <t xml:space="preserve">https://www.dutscher.com/article/445559</t>
  </si>
  <si>
    <t xml:space="preserve">https://www.dutscher.com/article/069579</t>
  </si>
  <si>
    <t xml:space="preserve">https://www.dutscher.com/article/069616</t>
  </si>
  <si>
    <t xml:space="preserve">https://www.dutscher.com/article/069576</t>
  </si>
  <si>
    <t xml:space="preserve">ULTRA-LOW FREEZER -80°C VERTICAL TRUST 340 LITERS GREEN</t>
  </si>
  <si>
    <t xml:space="preserve">https://www.dutscher.com/article/069716</t>
  </si>
  <si>
    <t xml:space="preserve">TRUST 690 freezer -86 °C FROILABO</t>
  </si>
  <si>
    <t xml:space="preserve">https://www.dutscher.com/article/069718</t>
  </si>
  <si>
    <t xml:space="preserve">https://www.thomassci.com/p/blue-poly-antistat-ziptop-bags</t>
  </si>
  <si>
    <t xml:space="preserve">https://www.thomassci.com/p/sheets-nylon-anti-static-orange-2mil-45x45-1000-per-pack-5-packs-per-case-5000-each-per-case</t>
  </si>
  <si>
    <t xml:space="preserve">https://www.thomassci.com/p/bag-poly-antistatic-4-mil-cleaned-to-level-100-37x24x76-1-per-each</t>
  </si>
  <si>
    <t xml:space="preserve">https://www.thomassci.com/p/bags-crfb-cleanroom-class-100-cleaned-uvi-opaque-black-ldpe-4mil-24x48-cleaned-and-certified-double-bagged-100ea/pk-1pk/cs</t>
  </si>
  <si>
    <t xml:space="preserve">Fruth/CRFB Sheet</t>
  </si>
  <si>
    <t xml:space="preserve">https://www.thomassci.com/p/sheets-fruth/crfb-nylon-anti-static-orange-2mil-2x2-1000-per-pack-20-packs-per-case</t>
  </si>
  <si>
    <t xml:space="preserve">https://www.thomassci.com/p/push-up-box-dispensers</t>
  </si>
  <si>
    <t xml:space="preserve">https://www.thomassci.com/p/acrylic-dispensing-bins</t>
  </si>
  <si>
    <t xml:space="preserve">https://www.thomassci.com/p/smoothrack-test-tube-racks</t>
  </si>
  <si>
    <t xml:space="preserve">Stackable Dispensing Bins</t>
  </si>
  <si>
    <t xml:space="preserve">https://www.thomassci.com/p/stackable-dispensing-bins</t>
  </si>
  <si>
    <t xml:space="preserve">https://www.thomassci.com/p/fugene-si-transfection-reagent</t>
  </si>
  <si>
    <t xml:space="preserve">https://www.thomassci.com/p/fugene-4k-transfection-reagent</t>
  </si>
  <si>
    <t xml:space="preserve">https://www.thomassci.com/p/fugene-hd-transfection-reagent</t>
  </si>
  <si>
    <t xml:space="preserve">FuGENE® 6 Transfection Reagent</t>
  </si>
  <si>
    <t xml:space="preserve">https://www.thomassci.com/p/fugene-6-transfection-reagent</t>
  </si>
  <si>
    <t xml:space="preserve">https://www.thomassci.com/p/recombinant-human-hb-egf</t>
  </si>
  <si>
    <t xml:space="preserve">https://www.thomassci.com/p/recombinant-human-fractalkine-/-cx3cl1</t>
  </si>
  <si>
    <t xml:space="preserve">https://www.thomassci.com/p/recombinant-human-bca-1-/-cxcl13</t>
  </si>
  <si>
    <t xml:space="preserve">Recombinant Mouse RANK Ligand</t>
  </si>
  <si>
    <t xml:space="preserve">https://www.thomassci.com/p/recombinant-mouse-rank-ligand</t>
  </si>
  <si>
    <t xml:space="preserve">Recombinant Human IL-1RA</t>
  </si>
  <si>
    <t xml:space="preserve">https://www.thomassci.com/p/recombinant-human-il-1ra</t>
  </si>
  <si>
    <t xml:space="preserve">https://www.thomassci.com/p/spilfyter-universal-single-ply-heavyweight-sorbent-pads</t>
  </si>
  <si>
    <t xml:space="preserve">https://www.thomassci.com/p/multi-purpose-lab-soakers</t>
  </si>
  <si>
    <t xml:space="preserve">https://www.thomassci.com/p/aqualockit-solidifier-for-neutral-liquids</t>
  </si>
  <si>
    <t xml:space="preserve">Hazmat Pads, Single Weight, 12" x 12"</t>
  </si>
  <si>
    <t xml:space="preserve">https://www.thomassci.com/p/spill-blotter-sheets-and-pillows</t>
  </si>
  <si>
    <t xml:space="preserve">Spilfyter Universal Kaddie Spill Kit</t>
  </si>
  <si>
    <t xml:space="preserve">https://www.thomassci.com/p/spilfyter-universal-kaddie-spill-kit</t>
  </si>
  <si>
    <t xml:space="preserve">https://www.thomassci.com/p/dmso-sterile-filtered</t>
  </si>
  <si>
    <t xml:space="preserve">https://www.thomassci.com/p/streptavidin5</t>
  </si>
  <si>
    <t xml:space="preserve">https://www.thomassci.com/p/nonidet-p-40-substitute2</t>
  </si>
  <si>
    <t xml:space="preserve">Brij® 35</t>
  </si>
  <si>
    <t xml:space="preserve">https://www.thomassci.com/p/brij-354</t>
  </si>
  <si>
    <t xml:space="preserve">Potassium Acetate</t>
  </si>
  <si>
    <t xml:space="preserve">https://www.thomassci.com/p/potassium-acetate11</t>
  </si>
  <si>
    <t xml:space="preserve">https://www.thomassci.com/p/g-tek-salt-and-pepper-polyurethane-grip-gloves-with-hppe-fiber</t>
  </si>
  <si>
    <t xml:space="preserve">https://www.thomassci.com/p/g-tek-np-white-nylon-gloves-with-polyurethane-grip</t>
  </si>
  <si>
    <t xml:space="preserve">https://www.thomassci.com/p/g-tek-blue-micro-surface-nitrile-grip-gloves-with-hppe-fiber</t>
  </si>
  <si>
    <t xml:space="preserve">G-Tek® Gray Polyurethane Grip Gloves with HPPE Fiber</t>
  </si>
  <si>
    <t xml:space="preserve">https://www.thomassci.com/p/g-tek-gray-polyurethane-grip-gloves-with-hppe-fiber</t>
  </si>
  <si>
    <t xml:space="preserve">G-Tek® ONX Black Nylon Gloves with Polyurethane Grip</t>
  </si>
  <si>
    <t xml:space="preserve">https://www.thomassci.com/p/g-tek-onx-black-nylon-gloves-with-polyurethane-grip</t>
  </si>
  <si>
    <t xml:space="preserve">https://www.thomassci.com/p/cryogenic-direct-thermal-labels-1</t>
  </si>
  <si>
    <t xml:space="preserve">https://www.thomassci.com/p/dtermo-dymo-compatible-paper-labels</t>
  </si>
  <si>
    <t xml:space="preserve">https://www.thomassci.com/p/nitrotag-rectangle-labels-for-barcode-and-thermal-transfer-printers-15-x-075</t>
  </si>
  <si>
    <t xml:space="preserve">LABTAG™ Cryogenic Color Dot Labels for 1.5mL Microtubes (0.44")</t>
  </si>
  <si>
    <t xml:space="preserve">https://www.thomassci.com/p/labtag-cryogenic-color-dot-labels-for-15ml-microtubes-044</t>
  </si>
  <si>
    <t xml:space="preserve">StrawTAG™ Cryogenic Straw Labels for IVF Labs</t>
  </si>
  <si>
    <t xml:space="preserve">https://www.thomassci.com/p/strawtag-cryogenic-straw-labels-for-ivf-labs</t>
  </si>
  <si>
    <t xml:space="preserve">https://www.thomassci.com/p/acrylic-frame-light-panel</t>
  </si>
  <si>
    <t xml:space="preserve">https://www.thomassci.com/p/stainless-steel-led-lightbox</t>
  </si>
  <si>
    <t xml:space="preserve">https://www.thomassci.com/p/abs-plastic-led-lightbox</t>
  </si>
  <si>
    <t xml:space="preserve">https://www.thomassci.com/p/marble-slab</t>
  </si>
  <si>
    <t xml:space="preserve">https://www.thomassci.com/p/balance-tables</t>
  </si>
  <si>
    <t xml:space="preserve">https://www.thomassci.com/p/gloves-great-glove-nitrile-powderfree-ambi-industrial-grade-blue-9-5-length-full-palm-and-finger-textured-3-5mil-fingers-and-3-5mil-palm-thickness-size-small-100-per-box</t>
  </si>
  <si>
    <t xml:space="preserve">https://www.thomassci.com/p/skintx-extra-thick-12-nitrile-exam-powder-free-gloves</t>
  </si>
  <si>
    <t xml:space="preserve">https://www.thomassci.com/p/care-on-nitrile-exam-powder-free-gloves</t>
  </si>
  <si>
    <t xml:space="preserve">SKINTX™ Latex Exam Powder-Free Gloves</t>
  </si>
  <si>
    <t xml:space="preserve">https://www.thomassci.com/p/skintx-latex-exam-powder-free-gloves</t>
  </si>
  <si>
    <t xml:space="preserve">Skintx - Vinyl Powder-Free Exam Gloves</t>
  </si>
  <si>
    <t xml:space="preserve">https://www.thomassci.com/p/skintx-vinyl-powder-free-exam-gloves</t>
  </si>
  <si>
    <t xml:space="preserve">https://www.thomassci.com/p/human-serum-albumin-hsa-powder</t>
  </si>
  <si>
    <t xml:space="preserve">https://www.thomassci.com/p/gemcell-plus-u-s-human-serum-ab-xeno-free</t>
  </si>
  <si>
    <t xml:space="preserve">https://www.thomassci.com/p/gemcell-u-s-human-serum-ab</t>
  </si>
  <si>
    <t xml:space="preserve">GemPure™ Cell and Molecular Grade Water</t>
  </si>
  <si>
    <t xml:space="preserve">https://www.thomassci.com/p/gempure-cell-and-molecular-grade-water</t>
  </si>
  <si>
    <t xml:space="preserve">Human Serum Albumin (HSA) Solution</t>
  </si>
  <si>
    <t xml:space="preserve">https://www.thomassci.com/p/human-serum-albumin-hsa-solution</t>
  </si>
  <si>
    <t xml:space="preserve">https://www.dutscher.com/article/375014</t>
  </si>
  <si>
    <t xml:space="preserve">https://www.dutscher.com/article/375006</t>
  </si>
  <si>
    <t xml:space="preserve">https://www.dutscher.com/article/375016</t>
  </si>
  <si>
    <t xml:space="preserve">Kit GeBAflex Maxi 0.1 - 3 ml - retention threshold: 50 kDa</t>
  </si>
  <si>
    <t xml:space="preserve">https://www.dutscher.com/article/375027</t>
  </si>
  <si>
    <t xml:space="preserve">Kit GeBAflex Mini - 10 - 250 µl - retention threshold: 14 kDa</t>
  </si>
  <si>
    <t xml:space="preserve">https://www.dutscher.com/article/375001</t>
  </si>
  <si>
    <t xml:space="preserve">https://www.thomassci.com/p/minotome-plus-cryostat-accessories</t>
  </si>
  <si>
    <t xml:space="preserve">https://www.thomassci.com/p/paragard-paraffin-repellent</t>
  </si>
  <si>
    <t xml:space="preserve">https://www.thomassci.com/p/tmd-tissue-marking-dyes</t>
  </si>
  <si>
    <t xml:space="preserve">https://www.thomassci.com/p/macconkey-broth3</t>
  </si>
  <si>
    <t xml:space="preserve">https://www.thomassci.com/p/tryptic-soy-broth4</t>
  </si>
  <si>
    <t xml:space="preserve">https://www.thomassci.com/p/r2a-agar3</t>
  </si>
  <si>
    <t xml:space="preserve">https://www.thomassci.com/p/deionized-water2</t>
  </si>
  <si>
    <t xml:space="preserve">D/E Neutralizing Broth</t>
  </si>
  <si>
    <t xml:space="preserve">https://www.thomassci.com/p/d/e-neutralizing-broth2</t>
  </si>
  <si>
    <t xml:space="preserve">https://www.dutscher.com/article/789017</t>
  </si>
  <si>
    <t xml:space="preserve">https://www.dutscher.com/article/789127</t>
  </si>
  <si>
    <t xml:space="preserve">https://www.dutscher.com/article/789036</t>
  </si>
  <si>
    <t xml:space="preserve">Droso-plugs cap for narrow tube ø x H = 25 x 28 mm The height of the plugs may vary slightly</t>
  </si>
  <si>
    <t xml:space="preserve">https://www.dutscher.com/article/789193</t>
  </si>
  <si>
    <t xml:space="preserve">Droso-plugs cap for bottle ø x H = 38 x 45 mm The height of the plugs may vary slightly</t>
  </si>
  <si>
    <t xml:space="preserve">https://www.dutscher.com/article/789190</t>
  </si>
  <si>
    <t xml:space="preserve">https://www.thomassci.com/p/hrg1-b1-human</t>
  </si>
  <si>
    <t xml:space="preserve">https://www.thomassci.com/p/sars-cov-2-spike-e484-neutralizing-antibody-cov2109100ug</t>
  </si>
  <si>
    <t xml:space="preserve">https://www.thomassci.com/p/cho-k1/npy2/gqi5-stable-cell-line2vials</t>
  </si>
  <si>
    <t xml:space="preserve">CHO-K1/H2/Ga15 Stable Cell Line,2vials</t>
  </si>
  <si>
    <t xml:space="preserve">https://www.thomassci.com/p/cho-k1/h2/ga15-stable-cell-line2vials</t>
  </si>
  <si>
    <t xml:space="preserve">RANTES/CCL5, Human</t>
  </si>
  <si>
    <t xml:space="preserve">https://www.thomassci.com/p/rantes/ccl5-human</t>
  </si>
  <si>
    <t xml:space="preserve">https://www.dutscher.com/article/786024</t>
  </si>
  <si>
    <t xml:space="preserve">https://www.dutscher.com/article/786042</t>
  </si>
  <si>
    <t xml:space="preserve">https://www.dutscher.com/article/786025</t>
  </si>
  <si>
    <t xml:space="preserve">Orbital Shaker RO 500 Gerhardt</t>
  </si>
  <si>
    <t xml:space="preserve">https://www.dutscher.com/article/786040</t>
  </si>
  <si>
    <t xml:space="preserve">Universal fastening UA 5 TH for Thermoshake</t>
  </si>
  <si>
    <t xml:space="preserve">https://www.dutscher.com/article/786014</t>
  </si>
  <si>
    <t xml:space="preserve">https://www.thomassci.com/p/g888c-with-5-yr-o2-/-cc-lel-/-co-/-h2s-sensors</t>
  </si>
  <si>
    <t xml:space="preserve">https://www.thomassci.com/p/gfg-calibration-gases</t>
  </si>
  <si>
    <t xml:space="preserve">https://www.thomassci.com/p/g450-with-o2-/-lel-/-co-/-h2s-sensors</t>
  </si>
  <si>
    <t xml:space="preserve">EC 28 Sensor / Oxygen (O2) / 0 - 25% Vol / 0.1% resolution</t>
  </si>
  <si>
    <t xml:space="preserve">https://www.thomassci.com/p/ec-28-sensor-/-oxygen-o2-/-0-25-vol-/-0-1-resolution</t>
  </si>
  <si>
    <t xml:space="preserve">G460 with 5-yr O2 / cc LEL / COSH / 0-2000 ppm PID sensors</t>
  </si>
  <si>
    <t xml:space="preserve">https://www.thomassci.com/p/g460-with-5-yr-o2-/-cc-lel-/-cosh-/-0-2000-ppm-pid-sensors</t>
  </si>
  <si>
    <t xml:space="preserve">https://www.thomassci.com/p/phenol-acs-loose-crystals</t>
  </si>
  <si>
    <t xml:space="preserve">https://www.thomassci.com/p/sodium-carbonate-granular</t>
  </si>
  <si>
    <t xml:space="preserve">https://www.thomassci.com/p/ammonium-hydroxide-reagent-acs</t>
  </si>
  <si>
    <t xml:space="preserve">Nitric Acid, ACS Reagent</t>
  </si>
  <si>
    <t xml:space="preserve">https://www.thomassci.com/p/nitric-acid-reagent-acs1</t>
  </si>
  <si>
    <t xml:space="preserve">70% Perchloric Acid, ACS Reagent</t>
  </si>
  <si>
    <t xml:space="preserve">https://www.thomassci.com/p/perchloric-acid-70-reagent-acs</t>
  </si>
  <si>
    <t xml:space="preserve">https://www.dutscher.com/article/001046</t>
  </si>
  <si>
    <t xml:space="preserve">https://www.dutscher.com/article/001296</t>
  </si>
  <si>
    <t xml:space="preserve">https://www.dutscher.com/article/212101</t>
  </si>
  <si>
    <t xml:space="preserve">Economical waste bin with pedal 60-litre yellow lids</t>
  </si>
  <si>
    <t xml:space="preserve">https://www.dutscher.com/article/221427J</t>
  </si>
  <si>
    <t xml:space="preserve">Reinforced white HACCP container, 400 x 300 mm, 15 L capacity, with lid</t>
  </si>
  <si>
    <t xml:space="preserve">https://www.dutscher.com/article/212122</t>
  </si>
  <si>
    <t xml:space="preserve">manual air-displacement micropipettes</t>
  </si>
  <si>
    <t xml:space="preserve">preparative HPLC / flash purification</t>
  </si>
  <si>
    <t xml:space="preserve">liquid-handling and SPE automation platforms</t>
  </si>
  <si>
    <t xml:space="preserve">https://www.thomassci.com/p/o398-mantle</t>
  </si>
  <si>
    <t xml:space="preserve">https://www.thomassci.com/p/shaker-accessories</t>
  </si>
  <si>
    <t xml:space="preserve">https://www.thomassci.com/p/shaker-accessories2</t>
  </si>
  <si>
    <t xml:space="preserve">Holder For Large Separatory Funnels Or Flasks</t>
  </si>
  <si>
    <t xml:space="preserve">https://www.thomassci.com/p/holder-for-large-separatory-funnels-or-flasks</t>
  </si>
  <si>
    <t xml:space="preserve">WS180 Shaker</t>
  </si>
  <si>
    <t xml:space="preserve">https://www.thomassci.com/p/ws180-shaker</t>
  </si>
  <si>
    <t xml:space="preserve">https://www.thomassci.com/p/clear-screw-thread-vials-with-phenolic-cone-lined-caps</t>
  </si>
  <si>
    <t xml:space="preserve">https://www.thomassci.com/p/amber-screw-thread-vials-without-caps</t>
  </si>
  <si>
    <t xml:space="preserve">https://www.thomassci.com/p/clear-screw-thread-vials-with-ptfe-lined-polypropylene-caps</t>
  </si>
  <si>
    <t xml:space="preserve">Amber Screw Thread Vials with PTFE Lined Polypropylene Caps</t>
  </si>
  <si>
    <t xml:space="preserve">https://www.thomassci.com/p/amber-screw-thread-vials-with-ptfe-lined-polypropylene-caps</t>
  </si>
  <si>
    <t xml:space="preserve">Clear Screw Thread Vials with F-217 (Foam) Lined Polypropylene Caps</t>
  </si>
  <si>
    <t xml:space="preserve">https://www.thomassci.com/p/clear-screw-thread-vials-with-f-217-foam-lined-polypropylene-caps</t>
  </si>
  <si>
    <t xml:space="preserve">https://www.thomassci.com/p/diamondpro-adjustable-volume-pipettor</t>
  </si>
  <si>
    <t xml:space="preserve">https://www.thomassci.com/p/50ml-centrifuge-tube-polypropylene-pp</t>
  </si>
  <si>
    <t xml:space="preserve">https://www.thomassci.com/p/disposable-funnel1</t>
  </si>
  <si>
    <t xml:space="preserve">Microcentrifuge Tube, Globe Scientific, 1.5ml with attached snap cap, Natural, Graduated, Bulk Packed, 1000EA/BG</t>
  </si>
  <si>
    <t xml:space="preserve">https://www.thomassci.com/p/microcentrifuge-tube-globe-scientific-15ml-with-attached-snap-cap-natural-graduated-bulk-packed-1000ea/bg</t>
  </si>
  <si>
    <t xml:space="preserve">Borosilicate Glass Culture Tubes</t>
  </si>
  <si>
    <t xml:space="preserve">https://www.thomassci.com/p/borosilicate-glass-culture-tube</t>
  </si>
  <si>
    <t xml:space="preserve">https://www.dutscher.com/article/998058</t>
  </si>
  <si>
    <t xml:space="preserve">https://www.dutscher.com/article/999059B</t>
  </si>
  <si>
    <t xml:space="preserve">https://www.dutscher.com/article/999065</t>
  </si>
  <si>
    <t xml:space="preserve">Polyethylene plug cap, natural colour for tubes</t>
  </si>
  <si>
    <t xml:space="preserve">https://www.dutscher.com/article/030581</t>
  </si>
  <si>
    <t xml:space="preserve">Aseptic 180 ml polypropylene straight container, Red cap</t>
  </si>
  <si>
    <t xml:space="preserve">https://www.dutscher.com/article/688282</t>
  </si>
  <si>
    <t xml:space="preserve">https://www.thomassci.com/p/table-paper</t>
  </si>
  <si>
    <t xml:space="preserve">https://www.thomassci.com/p/drape-sheets-white-40-x-48-2-ply</t>
  </si>
  <si>
    <t xml:space="preserve">https://www.thomassci.com/p/exam-roll</t>
  </si>
  <si>
    <t xml:space="preserve">Blue Exam Gown, Non-Woven</t>
  </si>
  <si>
    <t xml:space="preserve">https://www.thomassci.com/p/blue-exam-gown-non-woven</t>
  </si>
  <si>
    <t xml:space="preserve">Tissue-Overall Embossed Towel</t>
  </si>
  <si>
    <t xml:space="preserve">https://www.thomassci.com/p/tissue-overall-embossed-towels</t>
  </si>
  <si>
    <t xml:space="preserve">https://www.thomassci.com/p/grainger-trash-bags-56-gal-capacity-43-in-wd-48-in-ht-22-micron-thick-black-150-pk</t>
  </si>
  <si>
    <t xml:space="preserve">https://www.thomassci.com/p/grainger-trash-bags-60-gal-capacity-38-in-wd-58-in-ht-0-95-mil-thick-black-100-pk</t>
  </si>
  <si>
    <t xml:space="preserve">https://www.thomassci.com/p/ph-test-strips-micro-essential-0-14-ph-hydrion-spectral-100-each-per-pack</t>
  </si>
  <si>
    <t xml:space="preserve">TOUGH GUY Biohazard Bags</t>
  </si>
  <si>
    <t xml:space="preserve">https://www.thomassci.com/p/tough-guy-biohazard-bags</t>
  </si>
  <si>
    <t xml:space="preserve">GRAINGER Trash Bags: 30 gal Capacity, 30 in Wd, 36 in Ht, 1 mil Thick, White, Coreless Roll, 200 PK</t>
  </si>
  <si>
    <t xml:space="preserve">https://www.thomassci.com/p/grainger-trash-bags-30-gal-capacity-30-in-wd-36-in-ht-1-mil-thick-white-coreless-roll-200-pk</t>
  </si>
  <si>
    <t xml:space="preserve">https://www.thomassci.com/p/model-171-60-minute-general-purpose-timers</t>
  </si>
  <si>
    <t xml:space="preserve">https://www.thomassci.com/p/time-switches</t>
  </si>
  <si>
    <t xml:space="preserve">https://www.dutscher.com/article/144754</t>
  </si>
  <si>
    <t xml:space="preserve">https://www.dutscher.com/article/144761</t>
  </si>
  <si>
    <t xml:space="preserve">https://www.dutscher.com/article/144210B</t>
  </si>
  <si>
    <t xml:space="preserve">JB Nova water bath - JBN 5 model - 5 Litres</t>
  </si>
  <si>
    <t xml:space="preserve">https://www.dutscher.com/article/144759</t>
  </si>
  <si>
    <t xml:space="preserve">PS-M3D Grant-Bio Multi-Function 3D Rotator</t>
  </si>
  <si>
    <t xml:space="preserve">https://www.dutscher.com/article/144205</t>
  </si>
  <si>
    <t xml:space="preserve">https://www.thomassci.com/p/psu-10i-orbital-shaking-platform</t>
  </si>
  <si>
    <t xml:space="preserve">https://www.thomassci.com/p/phmt-series-thermoshaker-for-microtubes-and-microplates</t>
  </si>
  <si>
    <t xml:space="preserve">https://www.thomassci.com/p/uvt-s-ar-pcr-uv-cabinet</t>
  </si>
  <si>
    <t xml:space="preserve">PHMP Series Thermoshakers for Microplates</t>
  </si>
  <si>
    <t xml:space="preserve">https://www.thomassci.com/p/thermoshakers</t>
  </si>
  <si>
    <t xml:space="preserve">SBB Aqua Plus Series Boiling Water Baths</t>
  </si>
  <si>
    <t xml:space="preserve">https://www.thomassci.com/p/boiling-water-baths</t>
  </si>
  <si>
    <t xml:space="preserve">https://www.thomassci.com/p/partlow-chart-paper</t>
  </si>
  <si>
    <t xml:space="preserve">https://www.thomassci.com/p/syringe-filter-cellulose-acetate</t>
  </si>
  <si>
    <t xml:space="preserve">https://www.thomassci.com/p/honeywell-circular-chart-100cs</t>
  </si>
  <si>
    <t xml:space="preserve">Honeywell Heat Sensitive Circular Charts</t>
  </si>
  <si>
    <t xml:space="preserve">https://www.thomassci.com/p/honeywell-heat-sensitive-circular-charts</t>
  </si>
  <si>
    <t xml:space="preserve">https://www.thomassci.com/p/isopropyl-alcohol-99-acs-reagent-usp/nf-grade</t>
  </si>
  <si>
    <t xml:space="preserve">https://www.thomassci.com/p/acetone-999-reagent-acs/usp-grade-1-gal</t>
  </si>
  <si>
    <t xml:space="preserve">https://www.thomassci.com/p/isopropyl-alcohol-70-acs-reagent-usp/nf-grade-5-gallon-polydrum</t>
  </si>
  <si>
    <t xml:space="preserve">Acetonitrile</t>
  </si>
  <si>
    <t xml:space="preserve">https://www.thomassci.com/p/acetonitrile-3</t>
  </si>
  <si>
    <t xml:space="preserve">200 Proof Ethanol, UN1170</t>
  </si>
  <si>
    <t xml:space="preserve">https://www.thomassci.com/p/200-proof-ethanol-un1170</t>
  </si>
  <si>
    <t xml:space="preserve">https://www.thomassci.com/p/greenglo-safe-dna-dye-20000x-in-water-500l</t>
  </si>
  <si>
    <t xml:space="preserve">https://www.thomassci.com/p/greenglo-safe-dna-dye-20000x-in-water-5ml</t>
  </si>
  <si>
    <t xml:space="preserve">https://www.thomassci.com/p/color-coded-chemical-sample-labels</t>
  </si>
  <si>
    <t xml:space="preserve">https://www.thomassci.com/p/amber-wide-mouth-packer-bottles-certified</t>
  </si>
  <si>
    <t xml:space="preserve">https://www.thomassci.com/p/60ml-clear-voa-vial-assembled-withopen-top-bonded-t/s-septa-cap-number-id-72/cs</t>
  </si>
  <si>
    <t xml:space="preserve">500mL Natural HDPE WM Packer Assembled w/53-400 F-217 Lined Cap, Certified (100/cs)</t>
  </si>
  <si>
    <t xml:space="preserve">https://www.thomassci.com/p/500ml-natural-hdpe-wm-packer-assembled-with53-400-f-217-lined-cap-certified-100/cs</t>
  </si>
  <si>
    <t xml:space="preserve">Glucose-glutamic acid standard for BOD5 testing, One 6.0ml vial will yield 198 +/-30ppm</t>
  </si>
  <si>
    <t xml:space="preserve">https://www.thomassci.com/p/glucose-glutamic-acid-standard-for-bod5-testing-one-6-0ml-vial-will-yield-198-/-30ppm</t>
  </si>
  <si>
    <t xml:space="preserve">evacuated blood collection tubes &amp; safety needles</t>
  </si>
  <si>
    <t xml:space="preserve">cell culture flasks, dishes &amp; plates</t>
  </si>
  <si>
    <t xml:space="preserve">pipette tips, PCR &amp; assay microplates</t>
  </si>
  <si>
    <t xml:space="preserve">https://www.thomassci.com/p/extended-use-ambidextrous-nitrile-glove-with-textured-fish-scale-grip</t>
  </si>
  <si>
    <t xml:space="preserve">https://www.thomassci.com/p/grippaz-glove</t>
  </si>
  <si>
    <t xml:space="preserve">https://www.thomassci.com/p/grippaz-orange-powder-free-nitrile-gloves-with-textured-grip-7-mi</t>
  </si>
  <si>
    <t xml:space="preserve">https://www.thomassci.com/p/specimen-forceps</t>
  </si>
  <si>
    <t xml:space="preserve">https://www.thomassci.com/p/spatulas-plastic-mixing</t>
  </si>
  <si>
    <t xml:space="preserve">https://www.thomassci.com/p/dissecting-forceps</t>
  </si>
  <si>
    <t xml:space="preserve">Cross-Locking Tweezers</t>
  </si>
  <si>
    <t xml:space="preserve">https://www.thomassci.com/p/balance-weight-self-closing-forceps</t>
  </si>
  <si>
    <t xml:space="preserve">Button Pliers</t>
  </si>
  <si>
    <t xml:space="preserve">https://www.thomassci.com/p/button-pliers</t>
  </si>
  <si>
    <t xml:space="preserve">https://www.thomassci.com/p/superbroth-media</t>
  </si>
  <si>
    <t xml:space="preserve">https://www.thomassci.com/p/3m-sodium-acetate-solution</t>
  </si>
  <si>
    <t xml:space="preserve">https://www.thomassci.com/p/lb-lennox-broth-media</t>
  </si>
  <si>
    <t xml:space="preserve">SSC (Standard Sodium Citrate) Buffer, 20X</t>
  </si>
  <si>
    <t xml:space="preserve">https://www.thomassci.com/p/20x-ssc-standard-sodium-citrate-buffer</t>
  </si>
  <si>
    <t xml:space="preserve">TBE (Tris-Borate EDTA), 10X pH 8.3</t>
  </si>
  <si>
    <t xml:space="preserve">https://www.thomassci.com/p/10x-tbe-buffer-tris-borate-edta</t>
  </si>
  <si>
    <t xml:space="preserve">https://www.thomassci.com/p/laser-pointer</t>
  </si>
  <si>
    <t xml:space="preserve">https://www.thomassci.com/p/black-rubber-stoppers</t>
  </si>
  <si>
    <t xml:space="preserve">https://www.thomassci.com/p/porcelain-evaporating-dish</t>
  </si>
  <si>
    <t xml:space="preserve">Brownlee Classic Electrolysis Units</t>
  </si>
  <si>
    <t xml:space="preserve">https://www.thomassci.com/p/brownlee-classic-electrolysis-units</t>
  </si>
  <si>
    <t xml:space="preserve">Porcelain Buchner Funnels</t>
  </si>
  <si>
    <t xml:space="preserve">https://www.thomassci.com/p/porcelain-buchner-funnels1</t>
  </si>
  <si>
    <t xml:space="preserve">https://www.thomassci.com/p/15-gallon-portable-eyewash/drench-hose-unit</t>
  </si>
  <si>
    <t xml:space="preserve">https://www.thomassci.com/p/aquasep-bacteriostatic-additive-for-portable-eye-wash</t>
  </si>
  <si>
    <t xml:space="preserve">https://www.thomassci.com/p/plastic-bowl-wall-mounted-eyewash</t>
  </si>
  <si>
    <t xml:space="preserve">Stainless Steel Bowl Wall-Mounted Eye/Face Wash</t>
  </si>
  <si>
    <t xml:space="preserve">https://www.thomassci.com/p/stainless-steel-bowl-wall-mounted-eye/face-wash</t>
  </si>
  <si>
    <t xml:space="preserve">Stainless Steel Bowl Safety Station with Eye/Face Wash</t>
  </si>
  <si>
    <t xml:space="preserve">https://www.thomassci.com/p/stainless-steel-bowl-safety-station-with-eye/face-wash</t>
  </si>
  <si>
    <t xml:space="preserve">https://www.thomassci.com/p/extracto-vacuum-filter-250ml</t>
  </si>
  <si>
    <t xml:space="preserve">https://www.thomassci.com/p/capsule-fltr-pp-sm-sterile-ny-0-2/0-65um-barb-3/8-inch</t>
  </si>
  <si>
    <t xml:space="preserve">https://www.thomassci.com/p/vent-filter-1</t>
  </si>
  <si>
    <t xml:space="preserve">Polycarbonate (PCTE) Membrane Filters, Roll</t>
  </si>
  <si>
    <t xml:space="preserve">https://www.thomassci.com/p/polycarbonate-pcte-membrane-filters-roll</t>
  </si>
  <si>
    <t xml:space="preserve">ABLUO™ Syringe Filter NY</t>
  </si>
  <si>
    <t xml:space="preserve">https://www.thomassci.com/p/abluo-syringe-filter-ny-1</t>
  </si>
  <si>
    <t xml:space="preserve">https://www.thomassci.com/p/durac-plus-astm-like-liquid-in-glass-thermometers-organic-liquid-fill</t>
  </si>
  <si>
    <t xml:space="preserve">https://www.thomassci.com/p/easy-read-certified-thermometers</t>
  </si>
  <si>
    <t xml:space="preserve">https://www.thomassci.com/p/durac-waterproof-electronic-thermometers</t>
  </si>
  <si>
    <t xml:space="preserve">Double-Safe PFA Safety Coated, Environmentally Friendly Liquid-In-Glass Thermometers</t>
  </si>
  <si>
    <t xml:space="preserve">https://www.thomassci.com/p/double-safe-pfa-safety-coated-environmentally-friendly-liquid-in-glass-thermometers</t>
  </si>
  <si>
    <t xml:space="preserve">FRIO-Temp® Precision Liquid-In-Glass Verification Thermometers</t>
  </si>
  <si>
    <t xml:space="preserve">https://www.thomassci.com/p/frio-temp-precision-liquid-in-glass-verification-thermometers</t>
  </si>
  <si>
    <t xml:space="preserve">benchtop VIS / UV-VIS spectrophotometers for water analysis</t>
  </si>
  <si>
    <t xml:space="preserve">barcoded reagent-vial test chemistries</t>
  </si>
  <si>
    <t xml:space="preserve">portable and benchtop pH / DO / conductivity meters</t>
  </si>
  <si>
    <t xml:space="preserve">-86C ultra-low temperature freezers</t>
  </si>
  <si>
    <t xml:space="preserve">automated -80C / LN2 sample storage systems</t>
  </si>
  <si>
    <t xml:space="preserve">blood bank and pharmacy/vaccine refrigerators</t>
  </si>
  <si>
    <t xml:space="preserve">https://www.thomassci.com/p/halyard-purezero-marin-nitrile-exam-gloves</t>
  </si>
  <si>
    <t xml:space="preserve">https://www.thomassci.com/p/halyard-purezero-limon-nitrile-exam-gloves</t>
  </si>
  <si>
    <t xml:space="preserve">https://www.thomassci.com/p/halyard-universal-precautions-lab-coat-white</t>
  </si>
  <si>
    <t xml:space="preserve">PUREZERO* LIMON-XTRA* 12" Nitrile Exam Gloves</t>
  </si>
  <si>
    <t xml:space="preserve">https://www.thomassci.com/p/purezero-limon-xtra-12-inch-nitrile-exam-gloves</t>
  </si>
  <si>
    <t xml:space="preserve">PUREZERO* MARIN-XTRA* 12" Nitrile Exam Gloves</t>
  </si>
  <si>
    <t xml:space="preserve">https://www.thomassci.com/p/purezero-marin-xtra-12-inch-nitrile-exam-gloves</t>
  </si>
  <si>
    <t xml:space="preserve">automated liquid-handling workstations with CO-RE pipetting</t>
  </si>
  <si>
    <t xml:space="preserve">glass microliter syringes for GC/HPLC autosamplers</t>
  </si>
  <si>
    <t xml:space="preserve">automated ultra-low-temperature sample storage systems</t>
  </si>
  <si>
    <t xml:space="preserve">https://www.dutscher.com/article/491027</t>
  </si>
  <si>
    <t xml:space="preserve">https://www.dutscher.com/article/4910030</t>
  </si>
  <si>
    <t xml:space="preserve">https://www.dutscher.com/article/491044</t>
  </si>
  <si>
    <t xml:space="preserve">Stainless steel Scissors for buttoned incisions - length 145 mm</t>
  </si>
  <si>
    <t xml:space="preserve">https://www.dutscher.com/article/491002</t>
  </si>
  <si>
    <t xml:space="preserve">Stainless steel tweezers Wironit - preparation type - pointed - 100 mm</t>
  </si>
  <si>
    <t xml:space="preserve">https://www.dutscher.com/article/491033</t>
  </si>
  <si>
    <t xml:space="preserve">https://www.dutscher.com/article/052080</t>
  </si>
  <si>
    <t xml:space="preserve">https://www.dutscher.com/article/052437</t>
  </si>
  <si>
    <t xml:space="preserve">https://www.dutscher.com/article/052394A</t>
  </si>
  <si>
    <t xml:space="preserve">pH tester Hanna HI 98128 pHep 5</t>
  </si>
  <si>
    <t xml:space="preserve">https://www.dutscher.com/article/052384</t>
  </si>
  <si>
    <t xml:space="preserve">Waterproof T-shaped thermometer (°C) - 300 mm - with battery</t>
  </si>
  <si>
    <t xml:space="preserve">https://www.dutscher.com/article/524118</t>
  </si>
  <si>
    <t xml:space="preserve">automatic potentiometric titrators</t>
  </si>
  <si>
    <t xml:space="preserve">benchtop/portable pH, EC and DO meter</t>
  </si>
  <si>
    <t xml:space="preserve">multiparameter photometers and handheld colorimeters</t>
  </si>
  <si>
    <t xml:space="preserve">https://www.thomassci.com/p/compactdry-e-coli-ec-and-coliforms-for-colony-counting</t>
  </si>
  <si>
    <t xml:space="preserve">https://www.thomassci.com/p/blood-agar-plate-5-sheep-blood-in-tryptic-soy-agar-tsa-base1</t>
  </si>
  <si>
    <t xml:space="preserve">https://www.thomassci.com/p/kwik-stik-escherichia-coli-derived-from-atcc-35218</t>
  </si>
  <si>
    <t xml:space="preserve">CRITERION™ Brilliant Green Bile Broth</t>
  </si>
  <si>
    <t xml:space="preserve">https://www.thomassci.com/p/criterion-brilliant-green-bile-broth</t>
  </si>
  <si>
    <t xml:space="preserve">CRITERION™ Bile Esculin Azide Agar</t>
  </si>
  <si>
    <t xml:space="preserve">https://www.thomassci.com/p/criterion-bile-esculin-azide-agar</t>
  </si>
  <si>
    <t xml:space="preserve">https://www.dutscher.com/article/161533</t>
  </si>
  <si>
    <t xml:space="preserve">https://www.dutscher.com/article/161528</t>
  </si>
  <si>
    <t xml:space="preserve">https://www.dutscher.com/article/6460221</t>
  </si>
  <si>
    <t xml:space="preserve">Surgical gown straight back Foliodress Protect Basic size L</t>
  </si>
  <si>
    <t xml:space="preserve">https://www.dutscher.com/article/161531B</t>
  </si>
  <si>
    <t xml:space="preserve">Transport and storage bag after sterilisation Sterilsop Protec 420 x 760 mm</t>
  </si>
  <si>
    <t xml:space="preserve">https://www.dutscher.com/article/161556</t>
  </si>
  <si>
    <t xml:space="preserve">https://www.thomassci.com/p/small-diameter-coverslips</t>
  </si>
  <si>
    <t xml:space="preserve">https://www.thomassci.com/p/coverslip-number-15-thickness-017-mm-or-00067-in</t>
  </si>
  <si>
    <t xml:space="preserve">https://www.thomassci.com/p/6-needle-array</t>
  </si>
  <si>
    <t xml:space="preserve">1MM GAP, 70ul STERILE PK50</t>
  </si>
  <si>
    <t xml:space="preserve">https://www.thomassci.com/p/1mm-gap-70ul-sterile-pk50</t>
  </si>
  <si>
    <t xml:space="preserve">ECM 630</t>
  </si>
  <si>
    <t xml:space="preserve">https://www.thomassci.com/p/ecm-630</t>
  </si>
  <si>
    <t xml:space="preserve">https://www.thomassci.com/p/rectangular-cover-glass</t>
  </si>
  <si>
    <t xml:space="preserve">https://www.thomassci.com/p/hausser-hy-lite-hemacytometers1</t>
  </si>
  <si>
    <t xml:space="preserve">https://www.thomassci.com/p/hemacytometer-cover-glass</t>
  </si>
  <si>
    <t xml:space="preserve">Hemacytometer Bright Line</t>
  </si>
  <si>
    <t xml:space="preserve">https://www.thomassci.com/p/1490-chamber-wo-cover-glasses</t>
  </si>
  <si>
    <t xml:space="preserve">Petroff-Hausser Counting Chambers</t>
  </si>
  <si>
    <t xml:space="preserve">https://www.thomassci.com/p/bacteria-counter</t>
  </si>
  <si>
    <t xml:space="preserve">https://www.dutscher.com/article/493051</t>
  </si>
  <si>
    <t xml:space="preserve">https://www.dutscher.com/article/493159</t>
  </si>
  <si>
    <t xml:space="preserve">https://www.dutscher.com/article/493116</t>
  </si>
  <si>
    <t xml:space="preserve">Test Sieve ø x H (mm) = 200 x 50 - opening size 1 mm</t>
  </si>
  <si>
    <t xml:space="preserve">https://www.dutscher.com/article/493151</t>
  </si>
  <si>
    <t xml:space="preserve">Test Sieve ø x H (mm) = 200 x 50 - opening size 125 µm</t>
  </si>
  <si>
    <t xml:space="preserve">https://www.dutscher.com/article/493127</t>
  </si>
  <si>
    <t xml:space="preserve">https://www.thomassci.com/p/onerack-full-size-delrin-pom-test-tube-racks</t>
  </si>
  <si>
    <t xml:space="preserve">https://www.thomassci.com/p/disposable-transfer-pipets</t>
  </si>
  <si>
    <t xml:space="preserve">https://www.thomassci.com/p/cube-rack</t>
  </si>
  <si>
    <t xml:space="preserve">Spatulas</t>
  </si>
  <si>
    <t xml:space="preserve">https://www.thomassci.com/p/spatulas1</t>
  </si>
  <si>
    <t xml:space="preserve">Sprout® Plus Mini Centrifuge</t>
  </si>
  <si>
    <t xml:space="preserve">https://www.thomassci.com/p/sprout-plus-mini-centrifuge</t>
  </si>
  <si>
    <t xml:space="preserve">rotary evaporators (Core, Expert, Ultimate)</t>
  </si>
  <si>
    <t xml:space="preserve">overhead stirrers</t>
  </si>
  <si>
    <t xml:space="preserve">magnetic hotplate stirrers</t>
  </si>
  <si>
    <t xml:space="preserve">https://www.dutscher.com/article/139001A</t>
  </si>
  <si>
    <t xml:space="preserve">https://www.dutscher.com/article/139207</t>
  </si>
  <si>
    <t xml:space="preserve">https://www.dutscher.com/article/139220</t>
  </si>
  <si>
    <t xml:space="preserve">SOLID ETALON FILTER BOX</t>
  </si>
  <si>
    <t xml:space="preserve">https://www.dutscher.com/article/139074</t>
  </si>
  <si>
    <t xml:space="preserve">Hellma standard OG glass cell for spectrophotometry without lid, optical path: 10 mm</t>
  </si>
  <si>
    <t xml:space="preserve">https://www.dutscher.com/article/139065A</t>
  </si>
  <si>
    <t xml:space="preserve">https://www.thomassci.com/p/plain-boiling-granules</t>
  </si>
  <si>
    <t xml:space="preserve">https://www.thomassci.com/p/boiling-stones</t>
  </si>
  <si>
    <t xml:space="preserve">https://www.thomassci.com/p/selenized-boiling-granules</t>
  </si>
  <si>
    <t xml:space="preserve">Plain Micro Boiling Granules</t>
  </si>
  <si>
    <t xml:space="preserve">https://www.thomassci.com/p/plain-micro-boiling-granules</t>
  </si>
  <si>
    <t xml:space="preserve">benchtop laboratory centrifuge</t>
  </si>
  <si>
    <t xml:space="preserve">high-capacity benchtop centrifuges</t>
  </si>
  <si>
    <t xml:space="preserve">microbiological incubators</t>
  </si>
  <si>
    <t xml:space="preserve">https://www.thomassci.com/p/chlorine-testing-dispenser</t>
  </si>
  <si>
    <t xml:space="preserve">https://www.thomassci.com/p/procal-turbidity-calibration-standards</t>
  </si>
  <si>
    <t xml:space="preserve">https://www.thomassci.com/p/laboratory-turbidimeters</t>
  </si>
  <si>
    <t xml:space="preserve">MicroTPW / TPI Handheld Turbidimeters</t>
  </si>
  <si>
    <t xml:space="preserve">https://www.thomassci.com/p/microtpw-/-tpi-handheld-turbidimeters</t>
  </si>
  <si>
    <t xml:space="preserve">Ultrasonic Cuvette Assembly</t>
  </si>
  <si>
    <t xml:space="preserve">https://www.thomassci.com/p/ultrasonic-cuvette-assembly</t>
  </si>
  <si>
    <t xml:space="preserve">https://www.thomassci.com/p/long-cuff-nitrile-exam-gloves</t>
  </si>
  <si>
    <t xml:space="preserve">https://www.thomassci.com/p/e-grip-max-latex-exam-gloves</t>
  </si>
  <si>
    <t xml:space="preserve">https://www.thomassci.com/p/integra-ec-nitrile-exam-gloves</t>
  </si>
  <si>
    <t xml:space="preserve">COBALT® Nitrile Exam Gloves</t>
  </si>
  <si>
    <t xml:space="preserve">https://www.thomassci.com/p/cobalt-nitrile-exam-gloves</t>
  </si>
  <si>
    <t xml:space="preserve">Nitrile Exam Gloves (4 mil)</t>
  </si>
  <si>
    <t xml:space="preserve">https://www.thomassci.com/p/nitrile-exam-gloves-4-mil</t>
  </si>
  <si>
    <t xml:space="preserve">https://www.thomassci.com/p/ultimate-60-polyester-sealed-edge-cleanroom-wipers</t>
  </si>
  <si>
    <t xml:space="preserve">https://www.thomassci.com/p/tacky-traxx-mats</t>
  </si>
  <si>
    <t xml:space="preserve">https://www.thomassci.com/p/free-sat-ultimate-70-pre-saturated-polyester-wipers</t>
  </si>
  <si>
    <t xml:space="preserve">NOVA-TECH P™ Melt-Blown Polypropylene Wipers</t>
  </si>
  <si>
    <t xml:space="preserve">https://www.thomassci.com/p/nova-tech-p-melt-blown-polypropylene-wipers</t>
  </si>
  <si>
    <t xml:space="preserve">Cobalt Blue Sterile Poly-Cellulose Wipes, ISO Class 5</t>
  </si>
  <si>
    <t xml:space="preserve">https://www.thomassci.com/p/cobalt-blue-sterile-poly-cellulose-wipes-iso-class-5-1</t>
  </si>
  <si>
    <t xml:space="preserve">https://www.thomassci.com/p/bismuth-sulphite-agar</t>
  </si>
  <si>
    <t xml:space="preserve">https://www.thomassci.com/p/litmus-milk1</t>
  </si>
  <si>
    <t xml:space="preserve">https://www.thomassci.com/p/potassium-tellurite-35</t>
  </si>
  <si>
    <t xml:space="preserve">Burkholderia Cepacia Selective</t>
  </si>
  <si>
    <t xml:space="preserve">https://www.thomassci.com/p/burkholderia-cepacia-selective</t>
  </si>
  <si>
    <t xml:space="preserve">Yeast Mannitol Agar with Congo Red</t>
  </si>
  <si>
    <t xml:space="preserve">https://www.thomassci.com/p/yeast-mannitol-agar-with-congo-red</t>
  </si>
  <si>
    <t xml:space="preserve">https://www.thomassci.com/p/pipetus</t>
  </si>
  <si>
    <t xml:space="preserve">https://www.thomassci.com/p/9315007-suction-tube-400mm</t>
  </si>
  <si>
    <t xml:space="preserve">https://www.dutscher.com/article/501170</t>
  </si>
  <si>
    <t xml:space="preserve">Graduated cylinder 10 ml low form</t>
  </si>
  <si>
    <t xml:space="preserve">https://www.dutscher.com/article/501082</t>
  </si>
  <si>
    <t xml:space="preserve">Duran class A volumetric flask, 100 ml</t>
  </si>
  <si>
    <t xml:space="preserve">https://www.dutscher.com/article/501023</t>
  </si>
  <si>
    <t xml:space="preserve">https://www.thomassci.com/p/se400-vertical-electrophoresis-systems</t>
  </si>
  <si>
    <t xml:space="preserve">https://www.thomassci.com/p/small-glass-and-alumina-plates-for-mini-vertical-units</t>
  </si>
  <si>
    <t xml:space="preserve">https://www.thomassci.com/p/evopower300-and-evopower500-electrophoresis-power-supplies</t>
  </si>
  <si>
    <t xml:space="preserve">SUBHT High Throughput Sub Electrophoresis</t>
  </si>
  <si>
    <t xml:space="preserve">https://www.thomassci.com/p/subht-high-throughput-sub-electrophoresis</t>
  </si>
  <si>
    <t xml:space="preserve">SUBHT Combs</t>
  </si>
  <si>
    <t xml:space="preserve">https://www.thomassci.com/p/subht-combs</t>
  </si>
  <si>
    <t xml:space="preserve">https://www.thomassci.com/p/fluka-phosphoric-acid-acs-reagent-85-wt-in-h2o-1</t>
  </si>
  <si>
    <t xml:space="preserve">https://www.thomassci.com/p/capping-reagent-biosyn-for-dna/rna-synthesis-80/10/10-thf/pyridine/acetic-anhydride-v/v-un2924</t>
  </si>
  <si>
    <t xml:space="preserve">https://www.thomassci.com/p/oxidation-biosyn-for-dna/rna-synthesis-0-05m-iodine-in-80/10/10-acetonitrile/pyridine/water-v/v-16-4x4l</t>
  </si>
  <si>
    <t xml:space="preserve">LC323 Isopropyl Alcohol</t>
  </si>
  <si>
    <t xml:space="preserve">https://www.thomassci.com/p/lc323-isopropyl-alcohol</t>
  </si>
  <si>
    <t xml:space="preserve">2-Propanol CHROMASOLV™ LC-MS, &gt;=99.9%</t>
  </si>
  <si>
    <t xml:space="preserve">https://www.thomassci.com/p/2-propanol-chromasolv-lc-ms-99-9</t>
  </si>
  <si>
    <t xml:space="preserve">https://www.thomassci.com/p/dichloromethane-b-and-j-brand-contains-cyclohexene-preservative</t>
  </si>
  <si>
    <t xml:space="preserve">https://www.thomassci.com/p/acetone-laboratory-plus</t>
  </si>
  <si>
    <t xml:space="preserve">https://www.thomassci.com/p/acetonitrile-b-and-j-brand-carbonyl-free-meets-uv-specifications</t>
  </si>
  <si>
    <t xml:space="preserve">Pressure Dispense Connector Akta</t>
  </si>
  <si>
    <t xml:space="preserve">https://www.thomassci.com/p/pressure-dispense-connector-akta</t>
  </si>
  <si>
    <t xml:space="preserve">CAP A: BioSyn™, for DNA/RNA synthesis, 80/10/10 THF/Pyridine/Acetic Anhydride (v/v)</t>
  </si>
  <si>
    <t xml:space="preserve">https://www.thomassci.com/p/cap-a-biosyn-for-dna/rna-synthesis-80/10/10-thf/pyridine/acetic-anhydride-v/v</t>
  </si>
  <si>
    <t xml:space="preserve">https://www.thomassci.com/p/butyl-gloves</t>
  </si>
  <si>
    <t xml:space="preserve">https://www.thomassci.com/p/uvex-astrospec-3000-safety-glasses</t>
  </si>
  <si>
    <t xml:space="preserve">https://www.thomassci.com/p/adaptec-protective-eyewear-system</t>
  </si>
  <si>
    <t xml:space="preserve">Glasses, Safety, UVEX, Clear Frosted Frame Color, Clear Lens, Uvextra Anti-Fog Coating, Universal Nosepiece for Easy Fit, 1/each ***MUST BE ORDERED IN INCREMENTS OF 10***</t>
  </si>
  <si>
    <t xml:space="preserve">https://www.thomassci.com/p/glasses-safety-uvex-clear-frosted-frame-color-clear-lens-uvextra-anti-fog-coating-universal-nosepiece-for-easy-fit-1/each-must-be-ordered-in-increments-of-10</t>
  </si>
  <si>
    <t xml:space="preserve">Flex Seal® Safety Goggles</t>
  </si>
  <si>
    <t xml:space="preserve">https://www.thomassci.com/p/flex-seal-goggles</t>
  </si>
  <si>
    <t xml:space="preserve">https://www.thomassci.com/p/fluka-hydranal-methanol-dry-reagent-for-volumetric-one-component-kf-titration-working-medium</t>
  </si>
  <si>
    <t xml:space="preserve">https://www.thomassci.com/p/fluka-hydranal-composite-5-reagent-for-volumetric-one-component-karl-fischer-titration-methanol-free</t>
  </si>
  <si>
    <t xml:space="preserve">https://www.thomassci.com/p/fluka-hydranal-coulomat-ag-reagent-for-coulometric-kf-titration-anolyte-solution-for-cells-with-and-without-diaphragm</t>
  </si>
  <si>
    <t xml:space="preserve">FLUKA HYDRANAL®-Coulomat AK, reagent for coulometric KF titration in ketones (anolyte solution), for cells with and without diaphragm</t>
  </si>
  <si>
    <t xml:space="preserve">https://www.thomassci.com/p/fluka-hydranal-coulomat-ak-reagent-for-coulometric-kf-titration-in-ketones-anolyte-solution-for-cells-with-and-without-diaphragm</t>
  </si>
  <si>
    <t xml:space="preserve">Riedel-de Haen Carbon disulfide CHROMASOLV®, for HPLC, =99.9%</t>
  </si>
  <si>
    <t xml:space="preserve">https://www.thomassci.com/p/riedel-de-haen-carbon-disulfide-chromasolv-for-hplc-999</t>
  </si>
  <si>
    <t xml:space="preserve">https://www.thomassci.com/p/soft-tech-laboratory-grade-wipers</t>
  </si>
  <si>
    <t xml:space="preserve">https://www.thomassci.com/p/10-5-cu-ft-premier-compact-laboratory-manual-defrost-freezer</t>
  </si>
  <si>
    <t xml:space="preserve">https://www.thomassci.com/p/white-diamond-series-flammable-storage-freezer</t>
  </si>
  <si>
    <t xml:space="preserve">https://www.thomassci.com/p/undercounter-vaccine-refrigerator-nsf-certified-5-2-cf</t>
  </si>
  <si>
    <t xml:space="preserve">https://www.thomassci.com/p/abs-refrigerator-13-cf-and-freezer-3-cf-combination-units</t>
  </si>
  <si>
    <t xml:space="preserve">Premier Laboratory Solid Door 5.2 cu. ft. Refrigerator/Solid Door 4 cu. ft. capacity Freezer -30°C</t>
  </si>
  <si>
    <t xml:space="preserve">https://www.thomassci.com/p/premier-laboratory-solid-door-5-2-cu-ft-refrigerator/solid-door-4-cu-ft-capacity-freezer-30c</t>
  </si>
  <si>
    <t xml:space="preserve">30 cu. ft. Standard Hazardous Location Refrigerator/Freezer Combination Unit</t>
  </si>
  <si>
    <t xml:space="preserve">https://www.thomassci.com/p/30-cu-ft-standard-hazardous-location-refrigerator/freezer-combination-unit</t>
  </si>
  <si>
    <t xml:space="preserve">https://www.thomassci.com/p/dcm-300bah-ice-and-water-dispenser</t>
  </si>
  <si>
    <t xml:space="preserve">https://www.thomassci.com/p/hoshizaki-undercounter-refrigerator</t>
  </si>
  <si>
    <t xml:space="preserve">https://www.thomassci.com/p/f-500baf-self-contained-ice-flaker</t>
  </si>
  <si>
    <t xml:space="preserve">Hoshizaki Upright Refrigerator, Two Section, Full Stainless Doors with Lock</t>
  </si>
  <si>
    <t xml:space="preserve">https://www.thomassci.com/p/hoshizaki-upright-refrigerator-two-section-full-stainless-doors-with-lock</t>
  </si>
  <si>
    <t xml:space="preserve">C-80BAJ Undercounter Cubelet Ice Machine</t>
  </si>
  <si>
    <t xml:space="preserve">https://www.thomassci.com/p/c-101bah-undercounter-cubelet-ice-machine</t>
  </si>
  <si>
    <t xml:space="preserve">https://www.thomassci.com/p/handpro-freestyle1100-nitrile-exam-gloves-with-low-dermatitis-potential</t>
  </si>
  <si>
    <t xml:space="preserve">https://www.thomassci.com/p/handpro-9100-cleanroom-class-100-nitrile-gloves-accelerator-and-sulfur-free-white-powder-free-12-length</t>
  </si>
  <si>
    <t xml:space="preserve">https://www.thomassci.com/p/blue-100-nitrile-powder-free-heavy-duty-cleanroom-gloves-300mm12-size-l-100pcs/bg-10bg/cs</t>
  </si>
  <si>
    <t xml:space="preserve">HandPRO® 1550 Clean Class 100 Vinyl 12" Gloves, Case 1000</t>
  </si>
  <si>
    <t xml:space="preserve">https://www.thomassci.com/p/handpro-1550-clean-class-100-vinyl-12-inch-gloves-case-1000</t>
  </si>
  <si>
    <t xml:space="preserve">HandPRO® Series 7100 Clean Class 100 Nitrile Gloves</t>
  </si>
  <si>
    <t xml:space="preserve">https://www.thomassci.com/p/handpro-7100-nitrile-cleanroom-gloves-class-100-white-powder-free-12</t>
  </si>
  <si>
    <t xml:space="preserve">https://www.thomassci.com/p/verishield-100-series-passive-earmuff-vs130-30-nrr-black-over-the-head</t>
  </si>
  <si>
    <t xml:space="preserve">https://www.thomassci.com/p/laser-lite-single-use-earplugs</t>
  </si>
  <si>
    <t xml:space="preserve">https://www.thomassci.com/p/leight-source-500-earplug-dispenser</t>
  </si>
  <si>
    <t xml:space="preserve">MAXIMUM-LITE FOAM EAR PLG BULK PCK F/SOURCE, 500 PR/BX</t>
  </si>
  <si>
    <t xml:space="preserve">https://www.thomassci.com/p/max-lite-foam-ear-plg-bulk-pck-f/source-500-pr/bx</t>
  </si>
  <si>
    <t xml:space="preserve">https://www.thomassci.com/p/max-lite-single-use-earplugs</t>
  </si>
  <si>
    <t xml:space="preserve">https://www.thomassci.com/p/max-single-use-earplugs</t>
  </si>
  <si>
    <t xml:space="preserve">https://www.thomassci.com/p/earplugs-max-lite-uncorded-200-per-box-10-boxes-per-case</t>
  </si>
  <si>
    <t xml:space="preserve">EARPLUGS, MAXIMUM 1,Howard Leight, UNCORDED , Bell Shape,200/BX, 10 Boxes per Case</t>
  </si>
  <si>
    <t xml:space="preserve">https://www.thomassci.com/p/earplugs-max-1howard-leight-uncorded-bell-shape200/bx-10-boxes-per-case</t>
  </si>
  <si>
    <t xml:space="preserve">QM24+(R) Earmuff</t>
  </si>
  <si>
    <t xml:space="preserve">https://www.thomassci.com/p/qm24r-earmuff</t>
  </si>
  <si>
    <t xml:space="preserve">https://www.thomassci.com/p/hr-surgilube-surgical-lubricant</t>
  </si>
  <si>
    <t xml:space="preserve">https://www.thomassci.com/p/hr-lubricating-jelly</t>
  </si>
  <si>
    <t xml:space="preserve">highly dynamic temperature control systems (-125 to +425 C)</t>
  </si>
  <si>
    <t xml:space="preserve">recirculating chillers</t>
  </si>
  <si>
    <t xml:space="preserve">compact bath and circulation thermostats</t>
  </si>
  <si>
    <t xml:space="preserve">https://www.thomassci.com/p/water-baths</t>
  </si>
  <si>
    <t xml:space="preserve">https://www.thomassci.com/p/large-deluxe-water-baths</t>
  </si>
  <si>
    <t xml:space="preserve">https://www.thomassci.com/p/penetration-needles-for-bituminous-material</t>
  </si>
  <si>
    <t xml:space="preserve">Stainless Steel Round Nose Scoops</t>
  </si>
  <si>
    <t xml:space="preserve">https://www.thomassci.com/p/stainless-steel-round-nose-scoops</t>
  </si>
  <si>
    <t xml:space="preserve">Stainless Steel Flat Nose Scoops</t>
  </si>
  <si>
    <t xml:space="preserve">https://www.thomassci.com/p/stainless-steel-flat-nose-scoops</t>
  </si>
  <si>
    <t xml:space="preserve">https://www.thomassci.com/p/tourniquet-strap-box-of-250</t>
  </si>
  <si>
    <t xml:space="preserve">https://www.thomassci.com/p/hygenic-natural-rubber-tubing</t>
  </si>
  <si>
    <t xml:space="preserve">https://www.thomassci.com/p/hygenic-hysynal-synthetic-rubber-disposable-tourniquet-straps</t>
  </si>
  <si>
    <t xml:space="preserve">https://www.thomassci.com/p/sucrose12</t>
  </si>
  <si>
    <t xml:space="preserve">https://www.thomassci.com/p/glycerol6</t>
  </si>
  <si>
    <t xml:space="preserve">https://www.thomassci.com/p/hanging-pipette-stands</t>
  </si>
  <si>
    <t xml:space="preserve">Waste Containers with Hinged Lids</t>
  </si>
  <si>
    <t xml:space="preserve">https://www.thomassci.com/p/waste-containers-with-hinged-lids</t>
  </si>
  <si>
    <t xml:space="preserve">Low Profile Roller</t>
  </si>
  <si>
    <t xml:space="preserve">https://www.thomassci.com/p/low-profile-roller</t>
  </si>
  <si>
    <t xml:space="preserve">https://www.thomassci.com/p/rabbit-anti-marv-gp-pab</t>
  </si>
  <si>
    <t xml:space="preserve">https://www.thomassci.com/p/psm-alpha-3</t>
  </si>
  <si>
    <t xml:space="preserve">https://www.thomassci.com/p/rabbit-anti-marv-vp40-pab</t>
  </si>
  <si>
    <t xml:space="preserve">Mouse anti-EBOV VP40 mAb (AE11)</t>
  </si>
  <si>
    <t xml:space="preserve">https://www.thomassci.com/p/mouse-anti-ebov-vp40-mab-ae11</t>
  </si>
  <si>
    <t xml:space="preserve">Recombinant Hla (tag free)</t>
  </si>
  <si>
    <t xml:space="preserve">https://www.thomassci.com/p/recombinant-hla-tag-free</t>
  </si>
  <si>
    <t xml:space="preserve">https://www.thomassci.com/p/high-capacity-cryogenic-refrigerators</t>
  </si>
  <si>
    <t xml:space="preserve">https://www.thomassci.com/p/ld-series-cryogenic-dewars</t>
  </si>
  <si>
    <t xml:space="preserve">https://www.thomassci.com/p/accessories-for-cryogenic-dewars</t>
  </si>
  <si>
    <t xml:space="preserve">LS Laboratory Series Cryogenic Storage System</t>
  </si>
  <si>
    <t xml:space="preserve">https://www.thomassci.com/p/ls-laboratory-series-cryogenic-storage-system</t>
  </si>
  <si>
    <t xml:space="preserve">Cryo Express Dry Shippers</t>
  </si>
  <si>
    <t xml:space="preserve">https://www.thomassci.com/p/cryo-express-dry-shippers</t>
  </si>
  <si>
    <t xml:space="preserve">https://www.thomassci.com/p/plastic-replaceable-tip-tweezers-3</t>
  </si>
  <si>
    <t xml:space="preserve">https://www.thomassci.com/p/plastic-tweezer-tips-7</t>
  </si>
  <si>
    <t xml:space="preserve">https://www.thomassci.com/p/ergo-tek-slim-carbide-cutters-1</t>
  </si>
  <si>
    <t xml:space="preserve">Full Plastic Tweezers</t>
  </si>
  <si>
    <t xml:space="preserve">https://www.thomassci.com/p/full-plastic-tweezers-5</t>
  </si>
  <si>
    <t xml:space="preserve">Cutting Tweezers</t>
  </si>
  <si>
    <t xml:space="preserve">https://www.thomassci.com/p/cutting-tweezers-2</t>
  </si>
  <si>
    <t xml:space="preserve">https://www.thomassci.com/p/shut-off-valves-with-fittings</t>
  </si>
  <si>
    <t xml:space="preserve">https://www.thomassci.com/p/low-pressure-tee-assemblies</t>
  </si>
  <si>
    <t xml:space="preserve">https://www.thomassci.com/p/quick-connect-threaded-male-luer-adapters</t>
  </si>
  <si>
    <t xml:space="preserve">P-652 PEEK, Standard, English Threaded Adapter</t>
  </si>
  <si>
    <t xml:space="preserve">https://www.thomassci.com/p/p-652-peek-standard-english-threaded-adapter</t>
  </si>
  <si>
    <t xml:space="preserve">MicroFilter Solvent Filtration Frits</t>
  </si>
  <si>
    <t xml:space="preserve">https://www.thomassci.com/p/microfilter-solvent-filtration-frits</t>
  </si>
  <si>
    <t xml:space="preserve">high-shear dispersers / homogenisers</t>
  </si>
  <si>
    <t xml:space="preserve">overhead laboratory stirrers</t>
  </si>
  <si>
    <t xml:space="preserve">https://www.thomassci.com/p/scape-powered-cbrn-air-purifying-escape-respirator</t>
  </si>
  <si>
    <t xml:space="preserve">https://www.thomassci.com/p/sentinel-xl-system</t>
  </si>
  <si>
    <t xml:space="preserve">https://www.thomassci.com/p/sentinel-ez-biohood-papr-respirator</t>
  </si>
  <si>
    <t xml:space="preserve">Sentinel XT PAPR System</t>
  </si>
  <si>
    <t xml:space="preserve">https://www.thomassci.com/p/sentinel-xt-papr-system</t>
  </si>
  <si>
    <t xml:space="preserve">https://www.thomassci.com/p/vinyl-kneel-pad-blue-closed-cell-foam-kneel-pad</t>
  </si>
  <si>
    <t xml:space="preserve">https://www.thomassci.com/p/impacto-toes2go-composite-toe-cap-safety-overshoes</t>
  </si>
  <si>
    <t xml:space="preserve">https://www.thomassci.com/p/impacto-anti-fatigue-memory-foam-insoles</t>
  </si>
  <si>
    <t xml:space="preserve">IMPACTO® TOES2GO Steel Toe Cap Overshoes</t>
  </si>
  <si>
    <t xml:space="preserve">https://www.thomassci.com/p/impacto-toes2go-steel-toe-cap-overshoes</t>
  </si>
  <si>
    <t xml:space="preserve">IMPACTO® Hard Shell Kneepads</t>
  </si>
  <si>
    <t xml:space="preserve">https://www.thomassci.com/p/impacto-hard-shell-kneepads</t>
  </si>
  <si>
    <t xml:space="preserve">https://www.thomassci.com/p/od600-diluphotometer</t>
  </si>
  <si>
    <t xml:space="preserve">https://www.thomassci.com/p/standard-solution-for-the-nanophotometer</t>
  </si>
  <si>
    <t xml:space="preserve">https://www.thomassci.com/p/n50-nanophotometer</t>
  </si>
  <si>
    <t xml:space="preserve">OD600-Eu Photometer with USB-C cable, charger, and quick start guide</t>
  </si>
  <si>
    <t xml:space="preserve">https://www.dutscher.com/article/499257</t>
  </si>
  <si>
    <t xml:space="preserve">Implen Nano spectrophotometer - N60 - touch screen</t>
  </si>
  <si>
    <t xml:space="preserve">https://www.dutscher.com/article/499203</t>
  </si>
  <si>
    <t xml:space="preserve">https://www.dutscher.com/article/994512</t>
  </si>
  <si>
    <t xml:space="preserve">https://www.dutscher.com/article/994511</t>
  </si>
  <si>
    <t xml:space="preserve">https://www.thomassci.com/p/l-rhamnose1</t>
  </si>
  <si>
    <t xml:space="preserve">https://www.thomassci.com/p/shikimic-acid</t>
  </si>
  <si>
    <t xml:space="preserve">https://www.thomassci.com/p/l-methionine-sulfone</t>
  </si>
  <si>
    <t xml:space="preserve">https://www.thomassci.com/p/waterworks-test-strips</t>
  </si>
  <si>
    <t xml:space="preserve">https://www.thomassci.com/p/industrial-test-systems-sensafe-metals-check</t>
  </si>
  <si>
    <t xml:space="preserve">https://www.thomassci.com/p/lead-water-test</t>
  </si>
  <si>
    <t xml:space="preserve">Sensafe® Chlorine Test Strips</t>
  </si>
  <si>
    <t xml:space="preserve">https://www.thomassci.com/p/sensafe-chlorine-test-strips</t>
  </si>
  <si>
    <t xml:space="preserve">Bacteria Tests</t>
  </si>
  <si>
    <t xml:space="preserve">https://www.thomassci.com/p/bacteria-tests</t>
  </si>
  <si>
    <t xml:space="preserve">https://www.thomassci.com/p/performance/internal-standard-headspace-sampling-system-standard-in-methanol</t>
  </si>
  <si>
    <t xml:space="preserve">https://www.thomassci.com/p/internal-standard-gas-canister</t>
  </si>
  <si>
    <t xml:space="preserve">https://www.thomassci.com/p/sample-vials-40-ml</t>
  </si>
  <si>
    <t xml:space="preserve">Performance Standard Concentrator/Air in Methanol 1.2 mL</t>
  </si>
  <si>
    <t xml:space="preserve">https://www.thomassci.com/p/performance-standard-concentrator/air-in-methanol-12-ml</t>
  </si>
  <si>
    <t xml:space="preserve">Concentrator Tube with Heater, Tri-Bed</t>
  </si>
  <si>
    <t xml:space="preserve">https://www.thomassci.com/p/concentrator-tube-with-heater-tri-bed</t>
  </si>
  <si>
    <t xml:space="preserve">https://www.thomassci.com/p/4-inch-x-6-inch-direct-thermal-paper-labels</t>
  </si>
  <si>
    <t xml:space="preserve">https://www.thomassci.com/p/ribbon-433-x-244-wax-ribbon-12rls/bx-2bx/cs</t>
  </si>
  <si>
    <t xml:space="preserve">https://www.thomassci.com/p/zebra-3200-wax/resin-ribbon-110mm-x-74m-4-3-inch-x-244-0-5-inch-core</t>
  </si>
  <si>
    <t xml:space="preserve">2.25 x 2 TT paper Label 1” core, 1,370 labels per roll</t>
  </si>
  <si>
    <t xml:space="preserve">https://www.thomassci.com/p/2-25-x-2-tt-paper-label-1-core-1370-labels-per-roll</t>
  </si>
  <si>
    <t xml:space="preserve">AirTrack AT Performance DT Paper, 1240 Labels per Roll, 8 rolls per Case, Sold by Case only</t>
  </si>
  <si>
    <t xml:space="preserve">https://www.thomassci.com/p/airtrack-at-performance-dt-paper-1240-labels-per-roll-8-rolls-per-case-sold-by-case-only</t>
  </si>
  <si>
    <t xml:space="preserve">https://www.thomassci.com/p/gentoo-45-5l-ista-profile-packs</t>
  </si>
  <si>
    <t xml:space="preserve">https://www.thomassci.com/p/13-x-18-large-95-kpa-bag-printed</t>
  </si>
  <si>
    <t xml:space="preserve">https://www.thomassci.com/p/absorbent-sheet-12x12-inch-900ml</t>
  </si>
  <si>
    <t xml:space="preserve">https://www.thomassci.com/p/dye-fd-and-c-blue-number-1-50ml</t>
  </si>
  <si>
    <t xml:space="preserve">https://www.thomassci.com/p/xylene-xylol-reagent-500ml</t>
  </si>
  <si>
    <t xml:space="preserve">https://www.thomassci.com/p/agar-bacteriological-powder-l/g-100g</t>
  </si>
  <si>
    <t xml:space="preserve">Buffer Solution Ph 10.00 500Ml Bb0410-500Ml</t>
  </si>
  <si>
    <t xml:space="preserve">https://www.thomassci.com/p/buffer-solution-ph-10-00-500ml-bb0410-500ml</t>
  </si>
  <si>
    <t xml:space="preserve">Forensic Analysis Of Narcotics</t>
  </si>
  <si>
    <t xml:space="preserve">https://www.thomassci.com/p/forensic-analysis-of-narcotics</t>
  </si>
  <si>
    <t xml:space="preserve">https://www.thomassci.com/p/nitrate-as-n-1000g/ml</t>
  </si>
  <si>
    <t xml:space="preserve">https://www.thomassci.com/p/bromide-1000g/ml</t>
  </si>
  <si>
    <t xml:space="preserve">https://www.thomassci.com/p/1000-ppm-phosphate-phosphorus-for-ic</t>
  </si>
  <si>
    <t xml:space="preserve">1000 ppm Fluoride for IC</t>
  </si>
  <si>
    <t xml:space="preserve">https://www.thomassci.com/p/fluoride-1000g/ml</t>
  </si>
  <si>
    <t xml:space="preserve">1000 ppm Nitrite-Nitrogen for IC</t>
  </si>
  <si>
    <t xml:space="preserve">https://www.thomassci.com/p/nitrite-as-n-1000g/ml</t>
  </si>
  <si>
    <t xml:space="preserve">https://www.thomassci.com/p/standing-height-base-cabinets-with-2-doors-and-2-drawers</t>
  </si>
  <si>
    <t xml:space="preserve">https://www.thomassci.com/p/standing-height-base-cabinets-with-4-drawers</t>
  </si>
  <si>
    <t xml:space="preserve">https://www.thomassci.com/p/patriot-table-complete-plumbing-assemblies</t>
  </si>
  <si>
    <t xml:space="preserve">Rear Retaining Lips</t>
  </si>
  <si>
    <t xml:space="preserve">https://www.thomassci.com/p/rear-retaining-lips</t>
  </si>
  <si>
    <t xml:space="preserve">Envision Workstations with Phenolic Work Surfaces</t>
  </si>
  <si>
    <t xml:space="preserve">https://www.thomassci.com/p/envision-workstations-with-phenolic-work-surfaces</t>
  </si>
  <si>
    <t xml:space="preserve">https://www.thomassci.com/p/pfu-2x-master-mix</t>
  </si>
  <si>
    <t xml:space="preserve">https://www.thomassci.com/p/bl21de3-chemically-competent-cells</t>
  </si>
  <si>
    <t xml:space="preserve">https://www.thomassci.com/p/t4-dna-polymerase-1</t>
  </si>
  <si>
    <t xml:space="preserve">DH5-Alpha Chemically Competent Cells (ig™ 5-Alpha)</t>
  </si>
  <si>
    <t xml:space="preserve">https://www.thomassci.com/p/dh5-alpha-chemically-competent-cells-ig-5-alpha</t>
  </si>
  <si>
    <t xml:space="preserve">DirectPlate™ DH5-Alpha Chemically Competent Cells</t>
  </si>
  <si>
    <t xml:space="preserve">https://www.thomassci.com/p/directplate-dh5-alpha-chemically-competent-cells</t>
  </si>
  <si>
    <t xml:space="preserve">electronic single- and multichannel pipettes</t>
  </si>
  <si>
    <t xml:space="preserve">benchtop pipetting robot for electronic pipettes</t>
  </si>
  <si>
    <t xml:space="preserve">aspiration system and media sterilizer/preparator</t>
  </si>
  <si>
    <t xml:space="preserve">https://www.thomassci.com/p/military-grade-cleaner-and-disinfectant-solution</t>
  </si>
  <si>
    <t xml:space="preserve">https://www.thomassci.com/p/crystal-clean-a-commercial-decontaminant</t>
  </si>
  <si>
    <t xml:space="preserve">https://www.thomassci.com/p/barron-b-stainless-steel-pegboard-drying-racks</t>
  </si>
  <si>
    <t xml:space="preserve">https://www.thomassci.com/p/accessories-for-pegboard-drying-racks</t>
  </si>
  <si>
    <t xml:space="preserve">https://www.thomassci.com/p/v-victoria-stainless-steel-pegboard-drying-racks</t>
  </si>
  <si>
    <t xml:space="preserve">Acrylic Pegboard Drying Racks</t>
  </si>
  <si>
    <t xml:space="preserve">https://www.thomassci.com/p/acrylic-pegboard-drying-racks</t>
  </si>
  <si>
    <t xml:space="preserve">Stainless Steel Screen Inserts</t>
  </si>
  <si>
    <t xml:space="preserve">https://www.thomassci.com/p/stainless-steel-screen-inserts</t>
  </si>
  <si>
    <t xml:space="preserve">https://www.thomassci.com/p/polyseed-bod-capsules</t>
  </si>
  <si>
    <t xml:space="preserve">https://www.thomassci.com/p/polyseed-nx-cbod-inoculum</t>
  </si>
  <si>
    <t xml:space="preserve">https://www.thomassci.com/p/metro-mw-series-utility-cart-with-1-stainless-steel-solid</t>
  </si>
  <si>
    <t xml:space="preserve">https://www.thomassci.com/p/metro-super-erecta-mobile-security-shelving-unit-chrome</t>
  </si>
  <si>
    <t xml:space="preserve">https://www.thomassci.com/p/metro-tableworx-stationary-work-table-type-316-stainless-steel-surface-stainless-i-frame-all-ss-finish</t>
  </si>
  <si>
    <t xml:space="preserve">Metro Glides for Super Erecta Industrial Wire Shelving</t>
  </si>
  <si>
    <t xml:space="preserve">https://www.thomassci.com/p/metro-glides-for-super-erecta-industrial-wire-shelving</t>
  </si>
  <si>
    <t xml:space="preserve">Utility Cart, 3 Stainless Steel Wire Shelves and Casters, 21"x36"x39", 1 each</t>
  </si>
  <si>
    <t xml:space="preserve">https://www.thomassci.com/p/utility-cart-3-stainless-steel-wire-shelves-and-casters-21x36x39-1-each</t>
  </si>
  <si>
    <t xml:space="preserve">https://www.thomassci.com/p/blue-pvc-cleanroom-chemical-apron</t>
  </si>
  <si>
    <t xml:space="preserve">https://www.thomassci.com/p/gammaguard-ce-frock</t>
  </si>
  <si>
    <t xml:space="preserve">https://www.thomassci.com/p/gammaguard-ce-sterile-coverall</t>
  </si>
  <si>
    <t xml:space="preserve">White SMS Pleatted Bouffant Cap</t>
  </si>
  <si>
    <t xml:space="preserve">https://www.thomassci.com/p/white-sms-pleatted-bouffant-cap</t>
  </si>
  <si>
    <t xml:space="preserve">MicroGuard MP® Microporous Coverall</t>
  </si>
  <si>
    <t xml:space="preserve">https://www.thomassci.com/p/microguard-mp-microporous-coverall</t>
  </si>
  <si>
    <t xml:space="preserve">https://www.thomassci.com/p/clear-zip-lock-bags-10-x-12-002-1000/cs</t>
  </si>
  <si>
    <t xml:space="preserve">https://www.thomassci.com/p/specimen-shield-tear-biohazard-pouch-bags</t>
  </si>
  <si>
    <t xml:space="preserve">https://www.thomassci.com/p/clearzip-lock-top-biohazard-bags</t>
  </si>
  <si>
    <t xml:space="preserve">4ml ClearZip Clear Plastic bags, 10x12</t>
  </si>
  <si>
    <t xml:space="preserve">https://www.thomassci.com/p/4ml-clearzip-clear-plastic-bags-10x12</t>
  </si>
  <si>
    <t xml:space="preserve">https://www.thomassci.com/p/bagrack-storage-racks-for-bags</t>
  </si>
  <si>
    <t xml:space="preserve">https://www.thomassci.com/p/scan-automatic-colony-counters</t>
  </si>
  <si>
    <t xml:space="preserve">https://www.thomassci.com/p/bagopen-bag-openers</t>
  </si>
  <si>
    <t xml:space="preserve">DiluFlow® Pro Gravimetric Dilutors</t>
  </si>
  <si>
    <t xml:space="preserve">https://www.thomassci.com/p/diluflow-pro-gravimetric-dilutors</t>
  </si>
  <si>
    <t xml:space="preserve">BAGFILTER®: Bags for Lab Blender with Lateral Non-Woven Filter</t>
  </si>
  <si>
    <t xml:space="preserve">https://www.thomassci.com/p/bagfilter-bags-for-lab-blender-with-lateral-non-woven-filter</t>
  </si>
  <si>
    <t xml:space="preserve">https://www.thomassci.com/p/5-minute-epoxy-1</t>
  </si>
  <si>
    <t xml:space="preserve">https://www.thomassci.com/p/5-minute-epoxy</t>
  </si>
  <si>
    <t xml:space="preserve">https://www.thomassci.com/p/technisat-tx8488-pre-wetted-nonwoven-cleanroom-wipers-non-sterile</t>
  </si>
  <si>
    <t xml:space="preserve">https://www.thomassci.com/p/texwrite-22-cleanroom-laboratory-notebooks-spiral-bound</t>
  </si>
  <si>
    <t xml:space="preserve">https://www.thomassci.com/p/sterile-alcohol-texwipe-sterile-70-ipa-32-oz-trigger-spray-plastic-bottle-02micron-filtered-gamma-irradiated-validated-sterile-double-bagged-1/ea-12ea/cs</t>
  </si>
  <si>
    <t xml:space="preserve">Alcohol, Non-Sterile 70% IPA</t>
  </si>
  <si>
    <t xml:space="preserve">https://www.thomassci.com/p/alcohol-non-sterile-70-ipa-16-oz-trigger-12-bottles-per-case</t>
  </si>
  <si>
    <t xml:space="preserve">Sterile TechniSat Presaturated Wipers, 9x11</t>
  </si>
  <si>
    <t xml:space="preserve">https://www.thomassci.com/p/sterile-technisat-presaturated-wipers-9x11</t>
  </si>
  <si>
    <t xml:space="preserve">https://www.thomassci.com/p/standard-aluminum-seals</t>
  </si>
  <si>
    <t xml:space="preserve">https://www.thomassci.com/p/big-mouth-autosampler-vials</t>
  </si>
  <si>
    <t xml:space="preserve">https://www.thomassci.com/p/lc-certified-vial-kits</t>
  </si>
  <si>
    <t xml:space="preserve">Polyethylene Snap Plugs with Starburst</t>
  </si>
  <si>
    <t xml:space="preserve">https://www.thomassci.com/p/polyethylene-snap-plugs-with-starburst</t>
  </si>
  <si>
    <t xml:space="preserve">VOA Vials - Solid Top Closures, PTFE Lined, Standard</t>
  </si>
  <si>
    <t xml:space="preserve">https://www.thomassci.com/p/voa-vials-solid-top-closures-ptfe-lined-standard</t>
  </si>
  <si>
    <t xml:space="preserve">https://www.thomassci.com/p/portable-fluid-dispenser-10cc-hpd10k</t>
  </si>
  <si>
    <t xml:space="preserve">https://www.thomassci.com/p/flexible-dispensing-tip-18-gauge-15-inch-green</t>
  </si>
  <si>
    <t xml:space="preserve">https://www.thomassci.com/p/precision-stainless-steel-dispensing-tip-32-gauge-yellow-635mm-025</t>
  </si>
  <si>
    <t xml:space="preserve">Precision Stainless Steel Dispensing Tip, 27 Gauge, Clear, 12.7mm (0.50")</t>
  </si>
  <si>
    <t xml:space="preserve">https://www.thomassci.com/p/precision-stainless-steel-dispensing-tip-27-gauge-clear-127mm-050</t>
  </si>
  <si>
    <t xml:space="preserve">Precision Dispense Tip</t>
  </si>
  <si>
    <t xml:space="preserve">https://www.thomassci.com/p/tips-efd-blunt-tip-stainless-steel-30-gauge-x-025in-length-lavender-hub-50ea/box</t>
  </si>
  <si>
    <t xml:space="preserve">https://www.thomassci.com/p/normal-donkey-serum</t>
  </si>
  <si>
    <t xml:space="preserve">https://www.thomassci.com/p/affinipure-fab2-fragment-goat-anti-mouse-igm-chain-specific1</t>
  </si>
  <si>
    <t xml:space="preserve">https://www.thomassci.com/p/rhodamine-tritc-affinipure-donkey-anti-mouse-igg-hl1</t>
  </si>
  <si>
    <t xml:space="preserve">Cy™2 AffiniPure Goat Anti-Mouse IgG, Fcy Subclass 1 Specific</t>
  </si>
  <si>
    <t xml:space="preserve">https://www.thomassci.com/p/cy2-affinipure-goat-anti-mouse-igg-fcy-subclass-1-specific</t>
  </si>
  <si>
    <t xml:space="preserve">Peroxidase AffiniPure Donkey Anti-Goat IgG (H+L)</t>
  </si>
  <si>
    <t xml:space="preserve">https://www.thomassci.com/p/peroxidase-affinipure-donkey-anti-goat-igg-hl</t>
  </si>
  <si>
    <t xml:space="preserve">https://www.thomassci.com/p/identi-markers</t>
  </si>
  <si>
    <t xml:space="preserve">https://www.thomassci.com/p/foam-bench-shelf-and-drawer-liners</t>
  </si>
  <si>
    <t xml:space="preserve">https://www.thomassci.com/p/foam-test-tube-racks1</t>
  </si>
  <si>
    <t xml:space="preserve">Absorbent Liner</t>
  </si>
  <si>
    <t xml:space="preserve">https://www.thomassci.com/p/absorbent-liner</t>
  </si>
  <si>
    <t xml:space="preserve">Lightweight Plastic Slide Holders</t>
  </si>
  <si>
    <t xml:space="preserve">https://www.thomassci.com/p/slide-holders</t>
  </si>
  <si>
    <t xml:space="preserve">circular dichroism (CD) spectrometer</t>
  </si>
  <si>
    <t xml:space="preserve">FTIR spectrometers</t>
  </si>
  <si>
    <t xml:space="preserve">UV-Vis/NIR spectrophotometers</t>
  </si>
  <si>
    <t xml:space="preserve">https://www.thomassci.com/p/open-air-shakers</t>
  </si>
  <si>
    <t xml:space="preserve">https://www.thomassci.com/p/advanced-orbital-shakers</t>
  </si>
  <si>
    <t xml:space="preserve">https://www.thomassci.com/p/bs2-shaking-heating-baths</t>
  </si>
  <si>
    <t xml:space="preserve">Stackable Incubated Shakers</t>
  </si>
  <si>
    <t xml:space="preserve">https://www.thomassci.com/p/chamber-incubated-shakers</t>
  </si>
  <si>
    <t xml:space="preserve">Floor Standing Incubated Shakers</t>
  </si>
  <si>
    <t xml:space="preserve">https://www.thomassci.com/p/floor-standing-incubated-shakers</t>
  </si>
  <si>
    <t xml:space="preserve">https://www.thomassci.com/p/needle-blue-25-gauge-05</t>
  </si>
  <si>
    <t xml:space="preserve">https://www.thomassci.com/p/teflon-24-gauge-needle-05in-ptfe-tip-id-022in-red-50ea/pk</t>
  </si>
  <si>
    <t xml:space="preserve">https://www.thomassci.com/p/27-gauge-1-0-inch-it-series-tip-id-009-inch-gray</t>
  </si>
  <si>
    <t xml:space="preserve">Syringe, 3cc, UV Black</t>
  </si>
  <si>
    <t xml:space="preserve">https://www.thomassci.com/p/syringe-3cc-uv-black</t>
  </si>
  <si>
    <t xml:space="preserve">Needle, 24gauge, 3inch metal, 12/bx</t>
  </si>
  <si>
    <t xml:space="preserve">https://www.thomassci.com/p/needle-24gauge-3inch-metal-12/bx</t>
  </si>
  <si>
    <t xml:space="preserve">atomic-resolution aberration-corrected TEM/STEM</t>
  </si>
  <si>
    <t xml:space="preserve">field-emission scanning electron microscopes</t>
  </si>
  <si>
    <t xml:space="preserve">NMR spectrometer series</t>
  </si>
  <si>
    <t xml:space="preserve">https://www.dutscher.com/article/068642</t>
  </si>
  <si>
    <t xml:space="preserve">https://www.dutscher.com/article/341071</t>
  </si>
  <si>
    <t xml:space="preserve">https://www.dutscher.com/article/068649</t>
  </si>
  <si>
    <t xml:space="preserve">Rocking shaker Movil-Tub</t>
  </si>
  <si>
    <t xml:space="preserve">https://www.dutscher.com/article/068564</t>
  </si>
  <si>
    <t xml:space="preserve">Flocumatic bench flocculator 4 stations</t>
  </si>
  <si>
    <t xml:space="preserve">https://www.dutscher.com/article/942748</t>
  </si>
  <si>
    <t xml:space="preserve">https://www.thomassci.com/p/evolution-6121-hard-hat-white-6-pt-sus</t>
  </si>
  <si>
    <t xml:space="preserve">https://www.thomassci.com/p/hardcap-a1-baseball-style-bump-cap-with-hdpe-protective-liner-and-adjustable-back-black/black</t>
  </si>
  <si>
    <t xml:space="preserve">https://www.thomassci.com/p/vented-full-brim-hard-hat-with-hdpe-shell-6-point-polyester-suspension-and-wheel-ratchet-adjustment</t>
  </si>
  <si>
    <t xml:space="preserve">highly dynamic process temperature control systems</t>
  </si>
  <si>
    <t xml:space="preserve">refrigerated and heating circulators</t>
  </si>
  <si>
    <t xml:space="preserve">recirculating coolers (chillers)</t>
  </si>
  <si>
    <t xml:space="preserve">https://www.thomassci.com/p/cylinder-and-bottle-brushes</t>
  </si>
  <si>
    <t xml:space="preserve">https://www.thomassci.com/p/pipet-brushes</t>
  </si>
  <si>
    <t xml:space="preserve">https://www.thomassci.com/p/test-tube-brushes-radial-tip</t>
  </si>
  <si>
    <t xml:space="preserve">Funnel, Graduate, or Cylinder Brushes</t>
  </si>
  <si>
    <t xml:space="preserve">https://www.thomassci.com/p/funnel-graduate-or-cylinder-brushes</t>
  </si>
  <si>
    <t xml:space="preserve">Fan Tip Tube Brushes</t>
  </si>
  <si>
    <t xml:space="preserve">https://www.thomassci.com/p/fan-tip-tube-brushes</t>
  </si>
  <si>
    <t xml:space="preserve">https://www.thomassci.com/p/justrite-sure-grip-yellow-ex-flammable-safety-cabinet-90-gallons-w/-2-shelves-and-2-self-close-doors-18-ga-cr-steel</t>
  </si>
  <si>
    <t xml:space="preserve">https://www.thomassci.com/p/sure-grip-ex-countertop-and-compac-cabinets-for-corrosives</t>
  </si>
  <si>
    <t xml:space="preserve">https://www.thomassci.com/p/steel-acid-storage-cabinets</t>
  </si>
  <si>
    <t xml:space="preserve">Flammable Liquid Storage Cabinets, Compac</t>
  </si>
  <si>
    <t xml:space="preserve">https://www.thomassci.com/p/flammable-liquid-storage-cabinets-compac</t>
  </si>
  <si>
    <t xml:space="preserve">Safety Drum Funnel</t>
  </si>
  <si>
    <t xml:space="preserve">https://www.thomassci.com/p/safety-drum-funnel-large-steel-funnel-with-self-closing-cover-and-6-inch-flame-arrester-for-use-with-flammables</t>
  </si>
  <si>
    <t xml:space="preserve">https://www.thomassci.com/p/biotinylated-human-hla-a0201-and-b2m-and-prame-alyvdslffl-monomer-protein-mhc-hm447b</t>
  </si>
  <si>
    <t xml:space="preserve">https://www.thomassci.com/p/biotinylated-human-hla-a0201-and-b2m-and-mage-a4-or-mage-a8-kvlehvvrv-monomer-protein-mhc-hm437b</t>
  </si>
  <si>
    <t xml:space="preserve">https://www.thomassci.com/p/biotinylated-human-hla-a0201-and-b2m-and-mage-a1-kvleyvikv-monomer-protein-mhc-hm445b</t>
  </si>
  <si>
    <t xml:space="preserve">Human CD19 Protein (CD1-HM119)</t>
  </si>
  <si>
    <t xml:space="preserve">https://www.thomassci.com/p/human-cd19-protein-cd1-hm119</t>
  </si>
  <si>
    <t xml:space="preserve">https://www.dutscher.com/article/216007</t>
  </si>
  <si>
    <t xml:space="preserve">https://www.dutscher.com/article/216057B</t>
  </si>
  <si>
    <t xml:space="preserve">https://www.dutscher.com/article/216333</t>
  </si>
  <si>
    <t xml:space="preserve">Intermediate semi seat black colour</t>
  </si>
  <si>
    <t xml:space="preserve">https://www.dutscher.com/article/216068B</t>
  </si>
  <si>
    <t xml:space="preserve">Polyurethane chair with casters locked when in use</t>
  </si>
  <si>
    <t xml:space="preserve">https://www.dutscher.com/article/216335</t>
  </si>
  <si>
    <t xml:space="preserve">https://www.thomassci.com/p/provent-coverall-1</t>
  </si>
  <si>
    <t xml:space="preserve">https://www.thomassci.com/p/durachem-500-certified-berry-compliant-ensemble</t>
  </si>
  <si>
    <t xml:space="preserve">https://www.thomassci.com/p/kappler-provent-plus-coverall-with-hood-elastic-back-waist-wrists-ankles-and-face-opening</t>
  </si>
  <si>
    <t xml:space="preserve">Zytron® 100 XP Coverall</t>
  </si>
  <si>
    <t xml:space="preserve">https://www.thomassci.com/p/zytron-100-xp-coverall</t>
  </si>
  <si>
    <t xml:space="preserve">Zytron® 500 Certified Vapor Total Encapsulating Suit</t>
  </si>
  <si>
    <t xml:space="preserve">https://www.thomassci.com/p/zytron-500-certified-vapor-total-encapsulating-suit</t>
  </si>
  <si>
    <t xml:space="preserve">https://www.thomassci.com/p/legato-101-infuse-only-dual-syringe-pumps</t>
  </si>
  <si>
    <t xml:space="preserve">https://www.thomassci.com/p/legato-180/185-infuse/withdraw-syringe-pumps</t>
  </si>
  <si>
    <t xml:space="preserve">https://www.thomassci.com/p/legato-111-infuse/withdraw-dual-syringe-pumps</t>
  </si>
  <si>
    <t xml:space="preserve">Legato 110 Infuse/Withdraw Syringe Pumps</t>
  </si>
  <si>
    <t xml:space="preserve">https://www.thomassci.com/p/legato-110-infuse/withdraw-syringe-pumps</t>
  </si>
  <si>
    <t xml:space="preserve">Syringe Infusion/Withdrawal Pumps</t>
  </si>
  <si>
    <t xml:space="preserve">https://www.thomassci.com/p/syringe-infusionwithdrawl-pumps</t>
  </si>
  <si>
    <t xml:space="preserve">https://www.thomassci.com/p/96-deep-round-well-plate-1ml-per-well-polypropylene-non-sterile-dnase/rnase-free-1</t>
  </si>
  <si>
    <t xml:space="preserve">https://www.thomassci.com/p/96-deep-square-well-plate-2ml-per-well-polypropylene-non-sterile-dnase/rnase-free-1</t>
  </si>
  <si>
    <t xml:space="preserve">https://www.thomassci.com/p/synthware-hollow-glass-penny-head-stoppers</t>
  </si>
  <si>
    <t xml:space="preserve">https://www.thomassci.com/p/synthware-micro-dewar-vacuum-traps</t>
  </si>
  <si>
    <t xml:space="preserve">https://www.thomassci.com/p/synthware-vertical-orientation-distrubution-adapter</t>
  </si>
  <si>
    <t xml:space="preserve">SYNTHWARE Flask-Length PTFE Stoppers</t>
  </si>
  <si>
    <t xml:space="preserve">https://www.thomassci.com/p/synthware-flask-length-ptfe-stoppers</t>
  </si>
  <si>
    <t xml:space="preserve">SYNTHWARE Distillation Receivers</t>
  </si>
  <si>
    <t xml:space="preserve">https://www.thomassci.com/p/synthware-distillation-receivers</t>
  </si>
  <si>
    <t xml:space="preserve">https://www.thomassci.com/p/pure-latex-amber-autoclavable-rubber-tubing</t>
  </si>
  <si>
    <t xml:space="preserve">https://www.thomassci.com/p/laboratory-grade-seamless-black-latex-rubber-tubing</t>
  </si>
  <si>
    <t xml:space="preserve">https://www.thomassci.com/p/tyvek-autoclavable-stopper-bowl-covers</t>
  </si>
  <si>
    <t xml:space="preserve">https://www.thomassci.com/p/tyvek-1073b-self-sealing-autoclave-bags-with-steam-indicator</t>
  </si>
  <si>
    <t xml:space="preserve">https://www.thomassci.com/p/1422a-tyvek-autoclave-wrap</t>
  </si>
  <si>
    <t xml:space="preserve">Breather Bag Tubing</t>
  </si>
  <si>
    <t xml:space="preserve">https://www.thomassci.com/p/breather-bag-tubing</t>
  </si>
  <si>
    <t xml:space="preserve">Tyvek® Mini-Muff</t>
  </si>
  <si>
    <t xml:space="preserve">https://www.thomassci.com/p/tyvek-mini-muff</t>
  </si>
  <si>
    <t xml:space="preserve">https://www.thomassci.com/p/keyguard-bouffant-cap/head-cove</t>
  </si>
  <si>
    <t xml:space="preserve">https://www.thomassci.com/p/shoecover-blue-18-5-inch-nonskid-3</t>
  </si>
  <si>
    <t xml:space="preserve">https://www.thomassci.com/p/heavy-duty-polypropylene-lab-coats-with-3-pockets-elastic-wrists-and-snap-front</t>
  </si>
  <si>
    <t xml:space="preserve">Polypropylene Bouffant Caps</t>
  </si>
  <si>
    <t xml:space="preserve">https://www.thomassci.com/p/polypropylene-bouffant-caps2</t>
  </si>
  <si>
    <t xml:space="preserve">Pleated Polypropylene Bouffant Caps</t>
  </si>
  <si>
    <t xml:space="preserve">https://www.thomassci.com/p/pleated-polypropylene-bouffant-caps</t>
  </si>
  <si>
    <t xml:space="preserve">https://www.thomassci.com/p/tape-vinylcrgreen-3/4x36yd-plastic-core-36-rls/cs</t>
  </si>
  <si>
    <t xml:space="preserve">https://www.thomassci.com/p/kapton-polyimide-tape-with-acrylic-adhesive-36-yard-length-plastic-core-25mil</t>
  </si>
  <si>
    <t xml:space="preserve">https://www.thomassci.com/p/tape-vinyl-cleanroom-green-1-inch-x-36-yards-plastic-core-36-rolls-per-case-1-roll-each</t>
  </si>
  <si>
    <t xml:space="preserve">Tape, Tesa Polypropylene Packaging, Clear 2IN Wide x 110YD per Roll, 1EA/RL, 36RL/CS</t>
  </si>
  <si>
    <t xml:space="preserve">https://www.thomassci.com/p/tape-tesa-polypropylene-packaging-clear-2in-wide-x-110yd-per-roll-1ea/rl-36rl/cs</t>
  </si>
  <si>
    <t xml:space="preserve">Kapton Polyimide Tape, 5.0 IN x 36 yd per roll, Silicone Adhesive, 3IN Plastic Core, 1.0mil Film Thickness, 1.5mil Adhesive, 2.5mil Total Tape Thickness, Meets ASTM D5213, 1EA/RL</t>
  </si>
  <si>
    <t xml:space="preserve">https://www.thomassci.com/p/kapton-polyimide-tape-50-in-x-36-yd-per-roll-silicone-adhesive-3in-plastic-core-10mil-film-thickness-15mil-adhesive-25mil-total-tape-thickness-meets-astm-d5213-1ea/rl</t>
  </si>
  <si>
    <t xml:space="preserve">https://www.dutscher.com/article/091354</t>
  </si>
  <si>
    <t xml:space="preserve">https://www.dutscher.com/article/091359</t>
  </si>
  <si>
    <t xml:space="preserve">https://www.dutscher.com/article/091360</t>
  </si>
  <si>
    <t xml:space="preserve">Stainless steel transport Dewar flask 2 Litres</t>
  </si>
  <si>
    <t xml:space="preserve">https://www.dutscher.com/article/091358</t>
  </si>
  <si>
    <t xml:space="preserve">Aluminium transport Dewar flask 3 Litres</t>
  </si>
  <si>
    <t xml:space="preserve">https://www.dutscher.com/article/091355</t>
  </si>
  <si>
    <t xml:space="preserve">https://www.thomassci.com/p/ac-powered-plug-in-co/gas-combination-alarm-with-battery-backup</t>
  </si>
  <si>
    <t xml:space="preserve">https://www.thomassci.com/p/fire-extinguisher-bracket-5-lb</t>
  </si>
  <si>
    <t xml:space="preserve">https://www.thomassci.com/p/carbon-monoxide-alarm-ac-powered-plug-in-with-battery-backup</t>
  </si>
  <si>
    <t xml:space="preserve">Pro 10 Carbon Dioxide Fire Extinguisher</t>
  </si>
  <si>
    <t xml:space="preserve">https://www.thomassci.com/p/pro-10-carbon-dioxide-fire-extinguisher</t>
  </si>
  <si>
    <t xml:space="preserve">https://www.thomassci.com/p/bubblewrap-antistat-24x250-large</t>
  </si>
  <si>
    <t xml:space="preserve">https://www.thomassci.com/p/pallet-wrap-18x1500</t>
  </si>
  <si>
    <t xml:space="preserve">https://www.thomassci.com/p/bubblewrap-antistat-24x750-small</t>
  </si>
  <si>
    <t xml:space="preserve">Tape, Masking, Natural, 2 inch x 60 yards</t>
  </si>
  <si>
    <t xml:space="preserve">https://www.thomassci.com/p/tape-masking-natural-2-inch-x-60-yards-1-roll-each-24-rolls-per-case</t>
  </si>
  <si>
    <t xml:space="preserve">Kraft Paper,24inx36in</t>
  </si>
  <si>
    <t xml:space="preserve">https://www.thomassci.com/p/kraft-paper24inx36in</t>
  </si>
  <si>
    <t xml:space="preserve">https://www.dutscher.com/article/002938</t>
  </si>
  <si>
    <t xml:space="preserve">https://www.dutscher.com/article/002965B</t>
  </si>
  <si>
    <t xml:space="preserve">https://www.dutscher.com/article/002307</t>
  </si>
  <si>
    <t xml:space="preserve">Ultra-resistant cloth Green Kimberly-Clark Professional</t>
  </si>
  <si>
    <t xml:space="preserve">https://www.dutscher.com/article/002910</t>
  </si>
  <si>
    <t xml:space="preserve">Cellulose wadding hand towels Kleenex Ultra 3 fold</t>
  </si>
  <si>
    <t xml:space="preserve">https://www.dutscher.com/article/002929B</t>
  </si>
  <si>
    <t xml:space="preserve">https://www.thomassci.com/p/kimwipe-ex-l-delicate-task-wipers</t>
  </si>
  <si>
    <t xml:space="preserve">https://www.thomassci.com/p/kimwipes-delicate-task-wipers</t>
  </si>
  <si>
    <t xml:space="preserve">https://www.thomassci.com/p/kaydry-ex-l-delicate-task-wipers</t>
  </si>
  <si>
    <t xml:space="preserve">Crew® Critical Task Wipers</t>
  </si>
  <si>
    <t xml:space="preserve">https://www.thomassci.com/p/crew-critical-task-wipers</t>
  </si>
  <si>
    <t xml:space="preserve">WypAll® X60 Cloths</t>
  </si>
  <si>
    <t xml:space="preserve">https://www.thomassci.com/p/teri-wipers</t>
  </si>
  <si>
    <t xml:space="preserve">https://www.dutscher.com/article/002345</t>
  </si>
  <si>
    <t xml:space="preserve">https://www.dutscher.com/article/002382</t>
  </si>
  <si>
    <t xml:space="preserve">https://www.dutscher.com/article/002383</t>
  </si>
  <si>
    <t xml:space="preserve">KIMTECH™ Opal Nitrile glove - size XS</t>
  </si>
  <si>
    <t xml:space="preserve">https://www.dutscher.com/article/002341</t>
  </si>
  <si>
    <t xml:space="preserve">Kimtech™ Polaris™ Xtra glove size L</t>
  </si>
  <si>
    <t xml:space="preserve">https://www.dutscher.com/article/002385</t>
  </si>
  <si>
    <t xml:space="preserve">https://www.thomassci.com/p/dispoable-generators-for-polytron-homogenizers</t>
  </si>
  <si>
    <t xml:space="preserve">https://www.thomassci.com/p/generators-for-polytron-homogenizers</t>
  </si>
  <si>
    <t xml:space="preserve">https://www.thomassci.com/p/polytron-pt-1035-gt-laboratory-homogenizer</t>
  </si>
  <si>
    <t xml:space="preserve">POLYTRON® PT 2500 E Homogenizers</t>
  </si>
  <si>
    <t xml:space="preserve">https://www.thomassci.com/p/polytron-pt-2500-e-homogenizers</t>
  </si>
  <si>
    <t xml:space="preserve">POLYTRON® PT 3100 D Homogenizers</t>
  </si>
  <si>
    <t xml:space="preserve">https://www.thomassci.com/p/polytron-pt-3100-d-homogenizers</t>
  </si>
  <si>
    <t xml:space="preserve">https://www.thomassci.com/p/telos-bulk-spe-media</t>
  </si>
  <si>
    <t xml:space="preserve">https://www.thomassci.com/p/telos-nh2-flash-chromatography-columns1</t>
  </si>
  <si>
    <t xml:space="preserve">https://www.thomassci.com/p/telos-neo-pax-spe-columns</t>
  </si>
  <si>
    <t xml:space="preserve">TELOS® Filtration MicroPlate™ Plates</t>
  </si>
  <si>
    <t xml:space="preserve">https://www.thomassci.com/p/telos-filtration-microplate-plates</t>
  </si>
  <si>
    <t xml:space="preserve">Kinesis Deuterium Lamps</t>
  </si>
  <si>
    <t xml:space="preserve">https://www.thomassci.com/p/kinesis-deuterium-lamps</t>
  </si>
  <si>
    <t xml:space="preserve">https://www.dutscher.com/article/144200B</t>
  </si>
  <si>
    <t xml:space="preserve">https://www.dutscher.com/article/393000</t>
  </si>
  <si>
    <t xml:space="preserve">https://www.dutscher.com/article/144766B</t>
  </si>
  <si>
    <t xml:space="preserve">Autoclave indicator tape</t>
  </si>
  <si>
    <t xml:space="preserve">https://www.dutscher.com/article/490009</t>
  </si>
  <si>
    <t xml:space="preserve">Cell C-Chip Burker Turk 10 µl</t>
  </si>
  <si>
    <t xml:space="preserve">https://www.dutscher.com/article/393002</t>
  </si>
  <si>
    <t xml:space="preserve">https://www.thomassci.com/p/simdos-02-liquid-dosing-pumps-0-03-20-ml/min</t>
  </si>
  <si>
    <t xml:space="preserve">https://www.thomassci.com/p/rollstock-tubing-knf-clear-nylon-2mil-thickness-4-wide-x-500ft/rl-cleaned-to-level-100-1-each-per-roll</t>
  </si>
  <si>
    <t xml:space="preserve">https://www.thomassci.com/p/pump-accessories</t>
  </si>
  <si>
    <t xml:space="preserve">Dampening Diaphragm</t>
  </si>
  <si>
    <t xml:space="preserve">https://www.thomassci.com/p/dampening-diaphragm</t>
  </si>
  <si>
    <t xml:space="preserve">Laboport Diaphragm Pumps</t>
  </si>
  <si>
    <t xml:space="preserve">https://www.thomassci.com/p/laboport-diaphragm-pumps</t>
  </si>
  <si>
    <t xml:space="preserve">https://www.thomassci.com/p/manual-flash-point-testers</t>
  </si>
  <si>
    <t xml:space="preserve">https://www.thomassci.com/p/sediment-extraction-apparatus</t>
  </si>
  <si>
    <t xml:space="preserve">https://www.thomassci.com/p/pyrex-beaker-332-002017</t>
  </si>
  <si>
    <t xml:space="preserve">Polarimeter Tubes</t>
  </si>
  <si>
    <t xml:space="preserve">https://www.thomassci.com/p/polarimeter-tubes</t>
  </si>
  <si>
    <t xml:space="preserve">Graduate, Type A, 25 mL</t>
  </si>
  <si>
    <t xml:space="preserve">https://www.thomassci.com/p/graduate-type-a-25-ml</t>
  </si>
  <si>
    <t xml:space="preserve">https://www.thomassci.com/p/kord-valmark-high-quality-clear-polypropylene-conical-bottom-centrifuge-tubes</t>
  </si>
  <si>
    <t xml:space="preserve">https://www.thomassci.com/p/slippable-polystyrene-petri-dishes</t>
  </si>
  <si>
    <t xml:space="preserve">https://www.thomassci.com/p/wide-opening-fly-vials</t>
  </si>
  <si>
    <t xml:space="preserve">Stackable Polystyrene Petri Dishes</t>
  </si>
  <si>
    <t xml:space="preserve">https://www.thomassci.com/p/stackable-polystyrene-petri-dishes</t>
  </si>
  <si>
    <t xml:space="preserve">No Rim Polystyrene Petri Dishes</t>
  </si>
  <si>
    <t xml:space="preserve">https://www.thomassci.com/p/no-rim-polystyrene-petri-dishes</t>
  </si>
  <si>
    <t xml:space="preserve">https://www.dutscher.com/article/382162</t>
  </si>
  <si>
    <t xml:space="preserve">https://www.dutscher.com/article/382210</t>
  </si>
  <si>
    <t xml:space="preserve">https://www.dutscher.com/article/382158</t>
  </si>
  <si>
    <t xml:space="preserve">Köttermann wheeled underframe 2 drawers (drawers H: 300 mm) - width: 1200 mm</t>
  </si>
  <si>
    <t xml:space="preserve">https://www.dutscher.com/article/382142</t>
  </si>
  <si>
    <t xml:space="preserve">Köttermann under-counter cabinet on castors with 4 drawers (drawers H: 150 mm) - width: 450 mm</t>
  </si>
  <si>
    <t xml:space="preserve">https://www.dutscher.com/article/382154</t>
  </si>
  <si>
    <t xml:space="preserve">https://www.thomassci.com/p/kut-gard-seamless-knit-kevlar-glove-with-double-sided-pvc-dot-grip-medium-weight</t>
  </si>
  <si>
    <t xml:space="preserve">https://www.thomassci.com/p/cut-resistant-gloves-1</t>
  </si>
  <si>
    <t xml:space="preserve">https://www.thomassci.com/p/double-ply-kevlar-sleeve-2/thumbslot-18</t>
  </si>
  <si>
    <t xml:space="preserve">Kut Gard Cut-Resistant Gloves</t>
  </si>
  <si>
    <t xml:space="preserve">https://www.thomassci.com/p/gloves-dupont-kelver-7-guage-size-large-uncoated-medium-weight-knit-wrist-yellow-cut-resistant-12dz/cs</t>
  </si>
  <si>
    <t xml:space="preserve">https://www.thomassci.com/p/walkabout-scoop-tray</t>
  </si>
  <si>
    <t xml:space="preserve">https://www.thomassci.com/p/lab-armor-bead-bath-with-beads</t>
  </si>
  <si>
    <t xml:space="preserve">https://www.thomassci.com/p/ngb-i</t>
  </si>
  <si>
    <t xml:space="preserve">https://www.thomassci.com/p/strongblock-i</t>
  </si>
  <si>
    <t xml:space="preserve">https://www.thomassci.com/p/phenol-5-w/v</t>
  </si>
  <si>
    <t xml:space="preserve">https://www.thomassci.com/p/hydrochloric-acid-02n-02m</t>
  </si>
  <si>
    <t xml:space="preserve">https://www.thomassci.com/p/glucose-glutamic-acid2</t>
  </si>
  <si>
    <t xml:space="preserve">LabChem 1000 ppm Cyanide Standard</t>
  </si>
  <si>
    <t xml:space="preserve">https://www.thomassci.com/p/cyanide-standard-1000ppm-1ml-1mg-cn</t>
  </si>
  <si>
    <t xml:space="preserve">LabChem ACS Acetone</t>
  </si>
  <si>
    <t xml:space="preserve">https://www.thomassci.com/p/acetone-acs1</t>
  </si>
  <si>
    <t xml:space="preserve">https://www.thomassci.com/p/eclipse-macro-10ml-pipet-tips-for-popular-pipettors</t>
  </si>
  <si>
    <t xml:space="preserve">https://www.thomassci.com/p/microtube-storage-racks</t>
  </si>
  <si>
    <t xml:space="preserve">https://www.thomassci.com/p/eclipse-200l-graduated-pipet-tips</t>
  </si>
  <si>
    <t xml:space="preserve">2.0mL SuperClear® Microcentrifuge Tubes with Attached Caps</t>
  </si>
  <si>
    <t xml:space="preserve">https://www.thomassci.com/p/20ml-superclear-microcentrifuge-tubes-with-attached-caps</t>
  </si>
  <si>
    <t xml:space="preserve">ZAP™ SLIK 1000µL Low Retention Aerosol Filter Pipet Tips with Wide Orifice</t>
  </si>
  <si>
    <t xml:space="preserve">https://www.thomassci.com/p/zap-slik-1000l-low-retention-aerosol-filter-pipet-tips-with-wide-orifice</t>
  </si>
  <si>
    <t xml:space="preserve">ducted and ductless chemical fume hoods</t>
  </si>
  <si>
    <t xml:space="preserve">benchtop and console laboratory lyophilizers</t>
  </si>
  <si>
    <t xml:space="preserve">Class II A2/B2/C1 biological safety cabinets</t>
  </si>
  <si>
    <t xml:space="preserve">https://www.thomassci.com/p/individually-wrapped-sterile-serological-pipettes</t>
  </si>
  <si>
    <t xml:space="preserve">https://www.thomassci.com/p/thomas-tissue-slicerblades</t>
  </si>
  <si>
    <t xml:space="preserve">https://www.thomassci.com/p/sharp-precision-barrier-tips</t>
  </si>
  <si>
    <t xml:space="preserve">Ultra-High-Speed 15mL &amp; 50mL Polypropylene Centrifuge Tubes</t>
  </si>
  <si>
    <t xml:space="preserve">https://www.thomassci.com/p/labforce-ultra-high-speed-15ml-and-50ml-polypropylene-centrifuge-tubes</t>
  </si>
  <si>
    <t xml:space="preserve">Amplifyt® PCR Split-Strip Tubes With Attached Caps</t>
  </si>
  <si>
    <t xml:space="preserve">https://www.thomassci.com/p/phenix-quickstrip-8-strip-tubes-with-individually-attached-dome-caps</t>
  </si>
  <si>
    <t xml:space="preserve">https://www.thomassci.com/p/revolver-adjustable-rotator</t>
  </si>
  <si>
    <t xml:space="preserve">https://www.thomassci.com/p/vortex-mixer-vx-200-120v</t>
  </si>
  <si>
    <t xml:space="preserve">https://www.thomassci.com/p/spectrafuge-24d-digital-microcentrifuge</t>
  </si>
  <si>
    <t xml:space="preserve">96 Well Solid Microplates, Polypropylene, natural, V well bottom, 225µl Capacity, Inner Pack: 10, 100/PK</t>
  </si>
  <si>
    <t xml:space="preserve">https://www.thomassci.com/p/96-well-solid-microplates-polypropylene-natural-v-well-bottom-225l-capacity-inner-pack-10-100/pk</t>
  </si>
  <si>
    <t xml:space="preserve">Rocker 35 EZ Large Capacity Lab Rockers</t>
  </si>
  <si>
    <t xml:space="preserve">https://www.thomassci.com/p/problot-35-deluxe-rocking-platform</t>
  </si>
  <si>
    <t xml:space="preserve">https://www.thomassci.com/p/twirlem-sterile-sampling-bags-safety-tabs-opaque</t>
  </si>
  <si>
    <t xml:space="preserve">https://www.thomassci.com/p/twirlem-large-format-sterile-sampling-bags-safety-tabs</t>
  </si>
  <si>
    <t xml:space="preserve">https://www.thomassci.com/p/twirlem-/-sterile-sampling-bags-safety-tab</t>
  </si>
  <si>
    <t xml:space="preserve">Sterile Blue Gloves</t>
  </si>
  <si>
    <t xml:space="preserve">https://www.thomassci.com/p/sterile-blue-gloves</t>
  </si>
  <si>
    <t xml:space="preserve">Sani-S'wipe Blue Sampling Cloth Kit</t>
  </si>
  <si>
    <t xml:space="preserve">https://www.thomassci.com/p/sani-swipe-blue-sampling-cloth-kit-1</t>
  </si>
  <si>
    <t xml:space="preserve">https://www.thomassci.com/p/ultra-elite-series-flammable-material-storage-upright-refrigerators-and-freezers</t>
  </si>
  <si>
    <t xml:space="preserve">https://www.thomassci.com/p/manual-defrost-freezers</t>
  </si>
  <si>
    <t xml:space="preserve">https://www.thomassci.com/p/futura-silver-series-prime-laboratory-refrigerator-and-freezers</t>
  </si>
  <si>
    <t xml:space="preserve">Ultra Elite Series Manual Defrost Freezers</t>
  </si>
  <si>
    <t xml:space="preserve">https://www.thomassci.com/p/ultra-elite-series-manual-defrost-freezers</t>
  </si>
  <si>
    <t xml:space="preserve">CliniCool© Ultra Series Pharmacy/Vaccine Refrigerator</t>
  </si>
  <si>
    <t xml:space="preserve">https://www.thomassci.com/p/clinicool-ultra-series-pharmacy/vaccine-refrigerator</t>
  </si>
  <si>
    <t xml:space="preserve">https://www.thomassci.com/p/t-piece-plastic-cld/boiler-andpretreated-feed-8lt-only</t>
  </si>
  <si>
    <t xml:space="preserve">https://www.thomassci.com/p/flow-restrictor</t>
  </si>
  <si>
    <t xml:space="preserve">https://www.thomassci.com/p/ventgard-filter-replacement</t>
  </si>
  <si>
    <t xml:space="preserve">Cleaning Syringe</t>
  </si>
  <si>
    <t xml:space="preserve">https://www.thomassci.com/p/cleaning-syringe</t>
  </si>
  <si>
    <t xml:space="preserve">Drain Valve Assy(no s/v)</t>
  </si>
  <si>
    <t xml:space="preserve">https://www.thomassci.com/p/drain-valve-assyno-s/v</t>
  </si>
  <si>
    <t xml:space="preserve">https://www.thomassci.com/p/reclosable-static-shielding-bags-1</t>
  </si>
  <si>
    <t xml:space="preserve">https://www.thomassci.com/p/14x20-4mil-bags</t>
  </si>
  <si>
    <t xml:space="preserve">https://www.thomassci.com/p/cleanmax-select-smms-cleanroom-coverall</t>
  </si>
  <si>
    <t xml:space="preserve">https://www.thomassci.com/p/cleanmax-select-cleanroom-sterile-lab-coats/frocks</t>
  </si>
  <si>
    <t xml:space="preserve">https://www.thomassci.com/p/cleanmax-nonsterile-frocks-individually-packaged</t>
  </si>
  <si>
    <t xml:space="preserve">Cleanmax Nonsterile Coveralls, individually packaged</t>
  </si>
  <si>
    <t xml:space="preserve">https://www.thomassci.com/p/cleanmax-nonsterile-coveralls-individually-packaged</t>
  </si>
  <si>
    <t xml:space="preserve">MicroMax® NS ANSI Pattern Coveralls</t>
  </si>
  <si>
    <t xml:space="preserve">https://www.thomassci.com/p/micromax-ns-ansi-pattern-coveralls-1</t>
  </si>
  <si>
    <t xml:space="preserve">https://www.thomassci.com/p/4824lt01-hardness-kit</t>
  </si>
  <si>
    <t xml:space="preserve">https://www.thomassci.com/p/638s-35ml-sulfide-rgt-6-lamotte-4</t>
  </si>
  <si>
    <t xml:space="preserve">https://www.thomassci.com/p/test-strips-free-and-total-chlorine</t>
  </si>
  <si>
    <t xml:space="preserve">Phosphonate Test Kit</t>
  </si>
  <si>
    <t xml:space="preserve">https://www.thomassci.com/p/phosphonate-test-kit</t>
  </si>
  <si>
    <t xml:space="preserve">LaMotte COD/UDS Adapter</t>
  </si>
  <si>
    <t xml:space="preserve">https://www.thomassci.com/p/cod/uds-adapter</t>
  </si>
  <si>
    <t xml:space="preserve">https://www.dutscher.com/article/331700B</t>
  </si>
  <si>
    <t xml:space="preserve">https://www.dutscher.com/article/332249</t>
  </si>
  <si>
    <t xml:space="preserve">https://www.dutscher.com/article/332251</t>
  </si>
  <si>
    <t xml:space="preserve">Option for Getinge 815 washer: Extended warranty for 2 years with maintenance visits at the end of the first and second year</t>
  </si>
  <si>
    <t xml:space="preserve">https://www.dutscher.com/article/332252</t>
  </si>
  <si>
    <t xml:space="preserve">Getinge laboratory washer-dryer - model 815 - QL qualified configuration</t>
  </si>
  <si>
    <t xml:space="preserve">https://www.dutscher.com/article/332247</t>
  </si>
  <si>
    <t xml:space="preserve">process thermostats for heating and cooling</t>
  </si>
  <si>
    <t xml:space="preserve">laboratory heating and cooling thermostats</t>
  </si>
  <si>
    <t xml:space="preserve">process circulation chillers</t>
  </si>
  <si>
    <t xml:space="preserve">https://www.thomassci.com/p/laxco-handheld-refractometer</t>
  </si>
  <si>
    <t xml:space="preserve">https://www.thomassci.com/p/laxco-handheld-analog-brix/sucrose-refractometer</t>
  </si>
  <si>
    <t xml:space="preserve">https://www.thomassci.com/p/laxco-benchtop-digital-brix/ri-refractometer</t>
  </si>
  <si>
    <t xml:space="preserve">Laxco™ Handheld LED Analog Brix/Sucrose Refractometer</t>
  </si>
  <si>
    <t xml:space="preserve">https://www.thomassci.com/p/laxco-handheld-led-analog-brix/sucrose-refractometer</t>
  </si>
  <si>
    <t xml:space="preserve">Laxco™ Benchtop Digital Clinical Refractometer</t>
  </si>
  <si>
    <t xml:space="preserve">https://www.thomassci.com/p/laxco-benchtop-digital-clinical-refractometer</t>
  </si>
  <si>
    <t xml:space="preserve">https://www.thomassci.com/p/nylon-apparatus-flange-vertical-base-plate</t>
  </si>
  <si>
    <t xml:space="preserve">https://www.thomassci.com/p/nylon-closed-connector</t>
  </si>
  <si>
    <t xml:space="preserve">https://www.thomassci.com/p/stainless-steel-closed-lab-rod-connector</t>
  </si>
  <si>
    <t xml:space="preserve">Back Mount Lab-Frame Kits for Fume Hoods</t>
  </si>
  <si>
    <t xml:space="preserve">https://www.thomassci.com/p/back-mount-lab-frame-kits-for-fume-hoods</t>
  </si>
  <si>
    <t xml:space="preserve">Zinc Swivel Base Plate</t>
  </si>
  <si>
    <t xml:space="preserve">https://www.thomassci.com/p/zinc-swivel-base-plate</t>
  </si>
  <si>
    <t xml:space="preserve">https://www.thomassci.com/p/12-channel-reagent-reservoirs</t>
  </si>
  <si>
    <t xml:space="preserve">https://www.thomassci.com/p/disposable-universal-electroporation-cuvettes</t>
  </si>
  <si>
    <t xml:space="preserve">https://www.thomassci.com/p/10g-silica-gel-desiccant-1-1/2-x-2-3/4-tyvek-packs</t>
  </si>
  <si>
    <t xml:space="preserve">https://www.thomassci.com/p/varian-gas-box-kit-34-x-10-3/4-x-11-7/8-rsc-48ect-dw-kraft-plain-glued-2-inch-glue-joint-with-foam-pieces</t>
  </si>
  <si>
    <t xml:space="preserve">https://www.thomassci.com/p/sl-278-hd-plus-stretch-film-dispenser-for-11-5-inch-20-inch-film</t>
  </si>
  <si>
    <t xml:space="preserve">Anti-Static Bubble</t>
  </si>
  <si>
    <t xml:space="preserve">https://www.thomassci.com/p/anti-static-bubble</t>
  </si>
  <si>
    <t xml:space="preserve">ACRYLIC 2.6MIL 72mm X 100M CLEAR TAPE</t>
  </si>
  <si>
    <t xml:space="preserve">https://www.thomassci.com/p/acrylic-2-6mil-72mm-x-100m-clear-tape</t>
  </si>
  <si>
    <t xml:space="preserve">confocal microscopy platform</t>
  </si>
  <si>
    <t xml:space="preserve">automated widefield/confocal imaging microhub</t>
  </si>
  <si>
    <t xml:space="preserve">computational-clearing widefield imaging systems</t>
  </si>
  <si>
    <t xml:space="preserve">https://www.thomassci.com/p/astm-scrub-media</t>
  </si>
  <si>
    <t xml:space="preserve">https://www.thomassci.com/p/paint-test-charts1</t>
  </si>
  <si>
    <t xml:space="preserve">https://www.thomassci.com/p/paint-test-card-plain-white</t>
  </si>
  <si>
    <t xml:space="preserve">Paint Test Chart, Plain White, Form WM</t>
  </si>
  <si>
    <t xml:space="preserve">https://www.thomassci.com/p/paint-test-chart-plain-white-form-wm</t>
  </si>
  <si>
    <t xml:space="preserve">https://www.thomassci.com/p/non-tc-treated-vented-cap-flasks</t>
  </si>
  <si>
    <t xml:space="preserve">https://www.thomassci.com/p/lethenea-single-use-freezing-bags</t>
  </si>
  <si>
    <t xml:space="preserve">https://www.thomassci.com/p/3d-drum-bags</t>
  </si>
  <si>
    <t xml:space="preserve">LeSiever® PES Hydrophobic AH Sterilizing-Grade Vent Filter</t>
  </si>
  <si>
    <t xml:space="preserve">https://www.thomassci.com/p/pes-air/gas-capsules</t>
  </si>
  <si>
    <t xml:space="preserve">TC Treated Vented Cap Flasks</t>
  </si>
  <si>
    <t xml:space="preserve">https://www.thomassci.com/p/tc-treated-vented-cap-flasks</t>
  </si>
  <si>
    <t xml:space="preserve">https://www.thomassci.com/p/levgo-smartspatula-pp-disposable-lab-spatulas</t>
  </si>
  <si>
    <t xml:space="preserve">https://www.thomassci.com/p/levgo-smartpick-wood-inoculation-pick</t>
  </si>
  <si>
    <t xml:space="preserve">https://www.thomassci.com/p/levgo-smartslicer-disposable-gel-cutter-and-safety-razor</t>
  </si>
  <si>
    <t xml:space="preserve">LevGo® smartBoats® Disposable Paper Weighing Boats, FSC® Certified</t>
  </si>
  <si>
    <t xml:space="preserve">https://www.thomassci.com/p/levgo-smartboats-disposable-paper-weighing-boats-fsc-certified</t>
  </si>
  <si>
    <t xml:space="preserve">LevGo® smartStand® Multifunction Aluminum Support Stand</t>
  </si>
  <si>
    <t xml:space="preserve">https://www.thomassci.com/p/levgo-smartstand-multifunction-aluminum-support-stand</t>
  </si>
  <si>
    <t xml:space="preserve">https://www.thomassci.com/p/quickextract-dna-extraction-solution</t>
  </si>
  <si>
    <t xml:space="preserve">https://www.thomassci.com/p/ampliscribe-t7-flash-transcription-kits</t>
  </si>
  <si>
    <t xml:space="preserve">https://www.thomassci.com/p/transformax-ec100d</t>
  </si>
  <si>
    <t xml:space="preserve">MasterPure Gram Positive DNA Purification Kit 100 Purif.</t>
  </si>
  <si>
    <t xml:space="preserve">https://www.thomassci.com/p/masterpure-gram-positive-dna-purification-kit-100-purif-</t>
  </si>
  <si>
    <t xml:space="preserve">SS320 (MC1061 F) Electrocompetent Cells</t>
  </si>
  <si>
    <t xml:space="preserve">https://www.thomassci.com/p/ss320-mc1061-f-electrocompetent-cells</t>
  </si>
  <si>
    <t xml:space="preserve">https://www.thomassci.com/p/jade-bottle-top-dispensers</t>
  </si>
  <si>
    <t xml:space="preserve">https://www.thomassci.com/p/sapphire-bottle-top-dispensers</t>
  </si>
  <si>
    <t xml:space="preserve">https://www.thomassci.com/p/lcn2-cleaned-level-50-nylon-2-mil-open-top-bags</t>
  </si>
  <si>
    <t xml:space="preserve">https://www.thomassci.com/p/bags-liberty-pkg-2-mil-clear-nylon-level-50-cleaned-2x3-double-bagged-cleaned-and-certified-100ea/pk/cs</t>
  </si>
  <si>
    <t xml:space="preserve">https://www.thomassci.com/p/clean-moisture-barrier-bag</t>
  </si>
  <si>
    <t xml:space="preserve">Liberty Film Polysheeting</t>
  </si>
  <si>
    <t xml:space="preserve">https://www.thomassci.com/p/polysheeting-liberty-film-cleaned-level-c100-6mil-thickness-center-fold-used-for-clean-build-construction-to-divide-off-areas-of-construction-size-60x-100ft/rl</t>
  </si>
  <si>
    <t xml:space="preserve">https://www.thomassci.com/p/4-mil-rollstock-tubing-c100-cleaned-barefoot-36-x-500-roll</t>
  </si>
  <si>
    <t xml:space="preserve">https://www.thomassci.com/p/glove-liberty-gloves-100-cotton-lisle-hemmed-mens-large-12pr/pk-50pk/cs-sold-by-the-pack</t>
  </si>
  <si>
    <t xml:space="preserve">https://www.thomassci.com/p/earplug-duraplug-corded-reusable-3-layer-flange-nrr25db-compliance-with-ansi-s3-19-1974-each-pair-individually-wrapped-100/bx-10bx/cs</t>
  </si>
  <si>
    <t xml:space="preserve">https://www.thomassci.com/p/gloves-nitrile-blue-powderfree-small-boxed-100/box-10-boxes/case</t>
  </si>
  <si>
    <t xml:space="preserve">100% Soft Nylon Beard Covers</t>
  </si>
  <si>
    <t xml:space="preserve">https://www.thomassci.com/p/beard-cover-liberty-glove-and-safety-nylon-1/8-inch-holes-18-inch-x-8-inch-white-100-per-bag-10-bags-per-case</t>
  </si>
  <si>
    <t xml:space="preserve">Disposable Gloves</t>
  </si>
  <si>
    <t xml:space="preserve">https://www.thomassci.com/p/gloves-nitrile-greenlarge-flocked-13-inch-15-mil-12pr/pk-12pk/cs</t>
  </si>
  <si>
    <t xml:space="preserve">https://www.thomassci.com/p/econowipes</t>
  </si>
  <si>
    <t xml:space="preserve">https://www.thomassci.com/p/tacky-roll-18-wide-w/3-core-1/ea</t>
  </si>
  <si>
    <t xml:space="preserve">https://www.dutscher.com/article/671944</t>
  </si>
  <si>
    <t xml:space="preserve">https://www.dutscher.com/article/671938</t>
  </si>
  <si>
    <t xml:space="preserve">https://www.dutscher.com/article/671805</t>
  </si>
  <si>
    <t xml:space="preserve">Laboratory fridge-freezer combination with NoFrost - SCFvh 4032 Perfection</t>
  </si>
  <si>
    <t xml:space="preserve">https://www.dutscher.com/article/671937</t>
  </si>
  <si>
    <t xml:space="preserve">LABORATORY FREEZER -20°CSFFSG 5501 740 499 LITRES, WITH DRAWERS</t>
  </si>
  <si>
    <t xml:space="preserve">https://www.dutscher.com/article/671943</t>
  </si>
  <si>
    <t xml:space="preserve">https://www.thomassci.com/p/off-the-shelf-sterile-reagents</t>
  </si>
  <si>
    <t xml:space="preserve">https://www.thomassci.com/p/simple-lifecycle-molecular-diagnostics-reagents</t>
  </si>
  <si>
    <t xml:space="preserve">https://www.thomassci.com/p/buffered-saline-9-withv-10l-non</t>
  </si>
  <si>
    <t xml:space="preserve">HELIX Oscillating Biomixer®</t>
  </si>
  <si>
    <t xml:space="preserve">https://www.thomassci.com/p/helix-oscillating-biomixer</t>
  </si>
  <si>
    <t xml:space="preserve">Sheath Fluid For Flow Cytometry</t>
  </si>
  <si>
    <t xml:space="preserve">https://www.thomassci.com/p/sheath-fluid-for-flow-cytometry</t>
  </si>
  <si>
    <t xml:space="preserve">https://www.thomassci.com/p/sanitex-general-purpose-synthetic-vinyl-gloves-small</t>
  </si>
  <si>
    <t xml:space="preserve">https://www.thomassci.com/p/sanitex-nitrile-powder-free-industrial-/-general-purpose-gloves-blue-40-mil-95-length</t>
  </si>
  <si>
    <t xml:space="preserve">https://www.thomassci.com/p/lavender-multi-fold-hand-towel</t>
  </si>
  <si>
    <t xml:space="preserve">Latex Medical Examination Gloves</t>
  </si>
  <si>
    <t xml:space="preserve">https://www.thomassci.com/p/sentry-powderfree-latex-exam-textured-grip-ambi-gloves</t>
  </si>
  <si>
    <t xml:space="preserve">Durasafe Synthetic Stretch Vinyl Medical Exam Gloves</t>
  </si>
  <si>
    <t xml:space="preserve">https://www.thomassci.com/p/gloves-super-stretch-vinyl-lifeguard-xlarge-durasafe-fda-medical-exam-grade-powder-free-100/bx-10bx/cs</t>
  </si>
  <si>
    <t xml:space="preserve">https://www.thomassci.com/p/eua-authorized-covid-19/flu-a-and-b-25-tests/bx-orders-are-non-cancellable-and-non-returnable</t>
  </si>
  <si>
    <t xml:space="preserve">https://www.thomassci.com/p/status-hcg-strip</t>
  </si>
  <si>
    <t xml:space="preserve">https://www.thomassci.com/p/tube-adapter-59529</t>
  </si>
  <si>
    <t xml:space="preserve">https://www.thomassci.com/p/box-furnace-dtp-bf51748c</t>
  </si>
  <si>
    <t xml:space="preserve">https://www.thomassci.com/p/1200c-lgo-box-ashing-furnaces</t>
  </si>
  <si>
    <t xml:space="preserve">Lindberg/Blue M™ Tube Furnace</t>
  </si>
  <si>
    <t xml:space="preserve">https://www.thomassci.com/p/furnace-1100c-tube-stf55666c</t>
  </si>
  <si>
    <t xml:space="preserve">Lindberg/Blue M™ 1200°C Split-Hinge Tube Furnaces</t>
  </si>
  <si>
    <t xml:space="preserve">https://www.thomassci.com/p/lindberg/blue-m-1200c-split-hinge-tube-furnaces</t>
  </si>
  <si>
    <t xml:space="preserve">https://www.dutscher.com/article/339002</t>
  </si>
  <si>
    <t xml:space="preserve">https://www.dutscher.com/article/339050</t>
  </si>
  <si>
    <t xml:space="preserve">https://www.dutscher.com/article/339026</t>
  </si>
  <si>
    <t xml:space="preserve">Oxidase test strip</t>
  </si>
  <si>
    <t xml:space="preserve">https://www.dutscher.com/article/339046</t>
  </si>
  <si>
    <t xml:space="preserve">Pseudomonas aeruginosa ATCC® 9027</t>
  </si>
  <si>
    <t xml:space="preserve">https://www.dutscher.com/article/339151</t>
  </si>
  <si>
    <t xml:space="preserve">https://www.thomassci.com/p/deb-instantfoam-free-alcohol-free-foaming-hand-sanitizer-1-liter-touch-free-cartridges</t>
  </si>
  <si>
    <t xml:space="preserve">https://www.thomassci.com/p/sc-johnson-professional-sanitizer-dispenser</t>
  </si>
  <si>
    <t xml:space="preserve">https://www.thomassci.com/p/deb-azure-foam-wash-1-liter-cartridges-6-per-case-1-case</t>
  </si>
  <si>
    <t xml:space="preserve">SC Johnson Professional® InstantFOAM™ Non-Alcohol PURE Hand Sanitizer (For Manual Dispensers)</t>
  </si>
  <si>
    <t xml:space="preserve">https://www.thomassci.com/p/sc-johnson-professional-instantfoam-non-alcohol-pure-hand-sanitizer-for-manual-dispensers</t>
  </si>
  <si>
    <t xml:space="preserve">https://www.dutscher.com/article/596500</t>
  </si>
  <si>
    <t xml:space="preserve">https://www.dutscher.com/article/596584</t>
  </si>
  <si>
    <t xml:space="preserve">https://www.dutscher.com/article/596583</t>
  </si>
  <si>
    <t xml:space="preserve">Automatic cell counter LUNA-FX7 standard pack</t>
  </si>
  <si>
    <t xml:space="preserve">https://www.dutscher.com/article/596539</t>
  </si>
  <si>
    <t xml:space="preserve">LUNA-FL Automated Cell counter</t>
  </si>
  <si>
    <t xml:space="preserve">https://www.dutscher.com/article/596506</t>
  </si>
  <si>
    <t xml:space="preserve">https://www.thomassci.com/p/clamp-stainless-steel</t>
  </si>
  <si>
    <t xml:space="preserve">https://www.thomassci.com/p/serological-pipets-1</t>
  </si>
  <si>
    <t xml:space="preserve">https://www.thomassci.com/p/flashgel-device-pack</t>
  </si>
  <si>
    <t xml:space="preserve">https://www.thomassci.com/p/seaplaquetm-gtgtm-agarose</t>
  </si>
  <si>
    <t xml:space="preserve">https://www.thomassci.com/p/accugenetm-te/tae-buffer</t>
  </si>
  <si>
    <t xml:space="preserve">TheraPEAK® X-VIVO® 15 Serum-free Hematopoietic Cell Medium, with L-Glutamine, without gentamicin and phenol red, xenofree, 1L bag</t>
  </si>
  <si>
    <t xml:space="preserve">https://www.thomassci.com/p/therapeak-x-vivo-15-serum-free-hematopoietic-cell-medium-with-l-glutamine-without-gentamicin-and-phenol-red-xenofree-1l-bag</t>
  </si>
  <si>
    <t xml:space="preserve">SeaKem® LE Agarose</t>
  </si>
  <si>
    <t xml:space="preserve">https://www.thomassci.com/p/seakem-le-agarose</t>
  </si>
  <si>
    <t xml:space="preserve">https://www.thomassci.com/p/dpd-no-1-tablets</t>
  </si>
  <si>
    <t xml:space="preserve">https://www.thomassci.com/p/replacement-varnish-tubes</t>
  </si>
  <si>
    <t xml:space="preserve">https://www.thomassci.com/p/t-cal-formazin-standard</t>
  </si>
  <si>
    <t xml:space="preserve">Set Phosphate No. 1 HR/No. 2 HR 100 Pc.</t>
  </si>
  <si>
    <t xml:space="preserve">https://www.thomassci.com/p/set-phosphate-no-1-hr/no-2-hr-100-pc-</t>
  </si>
  <si>
    <t xml:space="preserve">COD Tube TestsOD Tube Tests</t>
  </si>
  <si>
    <t xml:space="preserve">https://www.thomassci.com/p/cod-tube-testsod-tube-tests</t>
  </si>
  <si>
    <t xml:space="preserve">https://www.thomassci.com/p/esd-brushes-special-sizes</t>
  </si>
  <si>
    <t xml:space="preserve">https://www.thomassci.com/p/esd-maintenance-and-cleaning-products</t>
  </si>
  <si>
    <t xml:space="preserve">https://www.thomassci.com/p/esd-brass-brushes</t>
  </si>
  <si>
    <t xml:space="preserve">ESD &amp; Anti-Static Wipes</t>
  </si>
  <si>
    <t xml:space="preserve">https://www.thomassci.com/p/esd-and-anti-static-wipes</t>
  </si>
  <si>
    <t xml:space="preserve">ESD Tools for Hazardous Environments</t>
  </si>
  <si>
    <t xml:space="preserve">https://www.thomassci.com/p/esd-tools-for-hazardous-environments</t>
  </si>
  <si>
    <t xml:space="preserve">https://www.thomassci.com/p/96-well-filter-plates-1</t>
  </si>
  <si>
    <t xml:space="preserve">https://www.thomassci.com/p/purospin-mini-filter-spin-columns</t>
  </si>
  <si>
    <t xml:space="preserve">https://www.thomassci.com/p/azide-magnetic-beads-10ml</t>
  </si>
  <si>
    <t xml:space="preserve">Multi-Position MAXI Magnetic Racks</t>
  </si>
  <si>
    <t xml:space="preserve">https://www.thomassci.com/p/multi-position-maxi-magnetic-racks</t>
  </si>
  <si>
    <t xml:space="preserve">PuroSPIN MINI Silica Spin Columns</t>
  </si>
  <si>
    <t xml:space="preserve">https://www.thomassci.com/p/purospin-mini-silica-spin-columns-200</t>
  </si>
  <si>
    <t xml:space="preserve">https://www.thomassci.com/p/utility-cart-/-utility-bins</t>
  </si>
  <si>
    <t xml:space="preserve">https://www.thomassci.com/p/pneumatic-adjustable-height-flip-top-student-desk/nesting-desk</t>
  </si>
  <si>
    <t xml:space="preserve">https://www.thomassci.com/p/reversable-double-sided-whiteboard</t>
  </si>
  <si>
    <t xml:space="preserve">SideTrak® Portable Freestanding and Attachable Monitors</t>
  </si>
  <si>
    <t xml:space="preserve">https://www.thomassci.com/p/sidetrak-portable-freestanding-and-attachable-monitors</t>
  </si>
  <si>
    <t xml:space="preserve">Three Shelf Tub Cart</t>
  </si>
  <si>
    <t xml:space="preserve">https://www.thomassci.com/p/three-shelf-tub-cart</t>
  </si>
  <si>
    <t xml:space="preserve">https://www.thomassci.com/p/safe-5ml-tubes-2d-bottom-code-1d-and-human-readable-side-codes-pre-racked-with-red-caps-automation-friendly-rack-50-racks-per-case-1</t>
  </si>
  <si>
    <t xml:space="preserve">https://www.thomassci.com/p/safe-barcode-reader-wireless</t>
  </si>
  <si>
    <t xml:space="preserve">https://www.thomassci.com/p/g32ml-tube2dbottomcode1dsidecodepre-rack-withred-capautorackbeta-sterile</t>
  </si>
  <si>
    <t xml:space="preserve">SAFE® 2D Tube Rack, No Side Code, External Thread, Slide Lock Lid, 1000µl</t>
  </si>
  <si>
    <t xml:space="preserve">https://www.thomassci.com/p/safe-2d-tube-rack-no-side-code-external-thread-slide-lock-lid-1000l</t>
  </si>
  <si>
    <t xml:space="preserve">SAFE® 2D Tube Rack, No Side Code, External Thread, Non-Capped, 300µl Slide Lock Lid</t>
  </si>
  <si>
    <t xml:space="preserve">https://www.thomassci.com/p/safe2d-tube-rack-no-side-code-external-thread-non-capped-300l-slide-lock-lid</t>
  </si>
  <si>
    <t xml:space="preserve">https://www.thomassci.com/p/hemacytometer1</t>
  </si>
  <si>
    <t xml:space="preserve">https://www.thomassci.com/p/digital-water-baths3</t>
  </si>
  <si>
    <t xml:space="preserve">https://www.thomassci.com/p/usa-cytoprep-heat-fix-and-dry</t>
  </si>
  <si>
    <t xml:space="preserve">Rotors for Combo V24 Centrifuge</t>
  </si>
  <si>
    <t xml:space="preserve">https://www.thomassci.com/p/combo-v24-centrifuge</t>
  </si>
  <si>
    <t xml:space="preserve">USA E8 Portafuges</t>
  </si>
  <si>
    <t xml:space="preserve">https://www.thomassci.com/p/usa-e8-portafuges</t>
  </si>
  <si>
    <t xml:space="preserve">https://www.thomassci.com/p/cleanroom-wipes-c30-polyester/cellulose-nonwoven</t>
  </si>
  <si>
    <t xml:space="preserve">https://www.thomassci.com/p/light-weight-m1-cleanroom-wipes</t>
  </si>
  <si>
    <t xml:space="preserve">https://www.thomassci.com/p/m1-technology-c30l-cleanroom-polycellulose-wipers-lightweight</t>
  </si>
  <si>
    <t xml:space="preserve">M1 Technology Cleanroom Mops</t>
  </si>
  <si>
    <t xml:space="preserve">https://www.thomassci.com/p/mop-m1-technology-cleanroom-edgeless-polyester-loop-style-class-100-cleaned-individually-double-bagged-7-yoke-and-18-strand-length-1/ea-20ea/cs</t>
  </si>
  <si>
    <t xml:space="preserve">Stickymat, M1 Technology Blue Color, 1.8mil Coated Polyethyelene Sheets, 18x36, Numbered Corner Tabs, Cleanroom Packed, Medium Tack 30Sheets/Mat, 4Mats/Case</t>
  </si>
  <si>
    <t xml:space="preserve">https://www.thomassci.com/p/stickymat-m1-technology-blue-color-18mil-coated-polyethyelene-sheets-18x36-numbered-corner-tabs-cleanroom-packed-medium-tack-30sheets/mat-4mats/case</t>
  </si>
  <si>
    <t xml:space="preserve">https://www.thomassci.com/p/lower-shelf-for-4-leg-36-inchh-and-84-inchh-laboratory-benches</t>
  </si>
  <si>
    <t xml:space="preserve">https://www.thomassci.com/p/4-drawer-cabinet-standing-height-base-cabinet</t>
  </si>
  <si>
    <t xml:space="preserve">https://www.thomassci.com/p/pehanon-ph-0-0-1-8-box-of-200-strips</t>
  </si>
  <si>
    <t xml:space="preserve">https://www.thomassci.com/p/nanocolor-cod-160-hg-free</t>
  </si>
  <si>
    <t xml:space="preserve">https://www.thomassci.com/p/potassium-iodide-starch-paper-mn-616-t-recommended-for-spot-tests</t>
  </si>
  <si>
    <t xml:space="preserve">QUANTOFIX Phosphate-100 strips &amp; reagentUN3316</t>
  </si>
  <si>
    <t xml:space="preserve">https://www.thomassci.com/p/quantofix-phosphate-100-strips-and-reagentun3316</t>
  </si>
  <si>
    <t xml:space="preserve">QUANTOFIX Phosphate 10-box of 100 strips</t>
  </si>
  <si>
    <t xml:space="preserve">https://www.thomassci.com/p/quantofix-phosphate-10-box-of-100-strips</t>
  </si>
  <si>
    <t xml:space="preserve">https://www.thomassci.com/p/blue-disposible-pf-nitrile-glove</t>
  </si>
  <si>
    <t xml:space="preserve">https://www.thomassci.com/p/lisle-glove</t>
  </si>
  <si>
    <t xml:space="preserve">https://www.thomassci.com/p/nylon-glove</t>
  </si>
  <si>
    <t xml:space="preserve">https://www.thomassci.com/p/mini-maglite-aaa-flashlight-in-presentation-box</t>
  </si>
  <si>
    <t xml:space="preserve">https://www.thomassci.com/p/mini-maglite-flashlight-combo-pack</t>
  </si>
  <si>
    <t xml:space="preserve">https://www.thomassci.com/p/mini-maglite-pocket-flashlight</t>
  </si>
  <si>
    <t xml:space="preserve">https://www.thomassci.com/p/conductive-rubber-bands-esd-black</t>
  </si>
  <si>
    <t xml:space="preserve">https://www.thomassci.com/p/tyvek-wafer-separator-grade-1056d-white-125mm-5-diameter-round</t>
  </si>
  <si>
    <t xml:space="preserve">https://www.thomassci.com/p/rubber-bands-anti-static-pink-latex-3in-x-1/16in-bulk-packed-1200/pk</t>
  </si>
  <si>
    <t xml:space="preserve">89 MM Tyvek Separator Disc, Malaster, 1/EA</t>
  </si>
  <si>
    <t xml:space="preserve">https://www.thomassci.com/p/89-mm-tyvek-separator-disc-malaster-1/ea</t>
  </si>
  <si>
    <t xml:space="preserve">Square Tyvek Wafer Separator, 1.75" x 1.75"</t>
  </si>
  <si>
    <t xml:space="preserve">https://www.thomassci.com/p/square-tyvek-wafer-separator-175-x-175</t>
  </si>
  <si>
    <t xml:space="preserve">https://www.dutscher.com/article/430025B</t>
  </si>
  <si>
    <t xml:space="preserve">https://www.dutscher.com/article/430108</t>
  </si>
  <si>
    <t xml:space="preserve">https://www.dutscher.com/article/432525A</t>
  </si>
  <si>
    <t xml:space="preserve">Pair of Ultranitrile chemical protective gloves in green nitrile - size 7</t>
  </si>
  <si>
    <t xml:space="preserve">https://www.dutscher.com/article/432521A</t>
  </si>
  <si>
    <t xml:space="preserve">Pair of Ultranitrile chemical protection gloves in green nitrile - size 8</t>
  </si>
  <si>
    <t xml:space="preserve">https://www.dutscher.com/article/432522A</t>
  </si>
  <si>
    <t xml:space="preserve">https://www.thomassci.com/p/mapa-51856-orange-trionic-cleanroom-acid-gloves-14-inch</t>
  </si>
  <si>
    <t xml:space="preserve">https://www.thomassci.com/p/trionic-521-controlled-environment-gloves</t>
  </si>
  <si>
    <t xml:space="preserve">https://www.thomassci.com/p/temp-tec-insulated-neoprene-gloves</t>
  </si>
  <si>
    <t xml:space="preserve">Trionic E194 - Bulk Packed Controlled Environment Gloves</t>
  </si>
  <si>
    <t xml:space="preserve">https://www.thomassci.com/p/trionic-e194-bulk-packed-controlled-environment-gloves</t>
  </si>
  <si>
    <t xml:space="preserve">StanZoil NL-34 Neoprene Gloves</t>
  </si>
  <si>
    <t xml:space="preserve">https://www.thomassci.com/p/stanzoil-nl-34-neoprene-gloves</t>
  </si>
  <si>
    <t xml:space="preserve">https://www.dutscher.com/article/140605</t>
  </si>
  <si>
    <t xml:space="preserve">https://www.dutscher.com/article/140536</t>
  </si>
  <si>
    <t xml:space="preserve">https://www.dutscher.com/article/900621</t>
  </si>
  <si>
    <t xml:space="preserve">Thoma counting cell</t>
  </si>
  <si>
    <t xml:space="preserve">https://www.dutscher.com/article/140535</t>
  </si>
  <si>
    <t xml:space="preserve">Soda-lime glass jar ø x h = 150 x 150 mm</t>
  </si>
  <si>
    <t xml:space="preserve">https://www.dutscher.com/article/140691</t>
  </si>
  <si>
    <t xml:space="preserve">https://www.thomassci.com/p/accessories-for-market-forge-sterilmatic-autoclaves</t>
  </si>
  <si>
    <t xml:space="preserve">https://www.thomassci.com/p/sterilmatic-autoclave</t>
  </si>
  <si>
    <t xml:space="preserve">https://www.thomassci.com/p/digital-sterilimatic-sterilizers</t>
  </si>
  <si>
    <t xml:space="preserve">https://www.thomassci.com/p/24-general-purpose-freezer-with-automatic-defrost</t>
  </si>
  <si>
    <t xml:space="preserve">https://www.thomassci.com/p/15-low-profile-clear-ice-machine-stainless-steel-solid-door-reversible-door</t>
  </si>
  <si>
    <t xml:space="preserve">https://www.thomassci.com/p/24-general-purpose-olive-green-combination-refrigerator/freezer</t>
  </si>
  <si>
    <t xml:space="preserve">24" General Purpose Refrigerator with Solid Door</t>
  </si>
  <si>
    <t xml:space="preserve">https://www.thomassci.com/p/24-general-purpose-refrigerator-with-solid-door</t>
  </si>
  <si>
    <t xml:space="preserve">24" Solid Door ADA-Height Compliant Refrigerators</t>
  </si>
  <si>
    <t xml:space="preserve">https://www.thomassci.com/p/24-solid-door-ada-height-compliant-refrigerators</t>
  </si>
  <si>
    <t xml:space="preserve">https://www.thomassci.com/p/e1470-cage-plastsize-140-cs10</t>
  </si>
  <si>
    <t xml:space="preserve">https://www.thomassci.com/p/slide-storage-boxes-100-place</t>
  </si>
  <si>
    <t xml:space="preserve">https://www.thomassci.com/p/polypropylene-cage-bottoms</t>
  </si>
  <si>
    <t xml:space="preserve">Slide Storage Boxes - 25 Place</t>
  </si>
  <si>
    <t xml:space="preserve">https://www.thomassci.com/p/slide-storage-boxes-25-place</t>
  </si>
  <si>
    <t xml:space="preserve">Stainless Steel Cage Covers</t>
  </si>
  <si>
    <t xml:space="preserve">https://www.thomassci.com/p/stainless-steel-cage-covers</t>
  </si>
  <si>
    <t xml:space="preserve">https://www.thomassci.com/p/element-kits-for-master-appliance-heat-guns</t>
  </si>
  <si>
    <t xml:space="preserve">https://www.thomassci.com/p/heat-guns</t>
  </si>
  <si>
    <t xml:space="preserve">https://www.thomassci.com/p/masterflow-heat-blower</t>
  </si>
  <si>
    <t xml:space="preserve">Master-Mite® Heat Gun</t>
  </si>
  <si>
    <t xml:space="preserve">https://www.thomassci.com/p/master-mite-heat-gun</t>
  </si>
  <si>
    <t xml:space="preserve">Master Heat Gun</t>
  </si>
  <si>
    <t xml:space="preserve">https://www.thomassci.com/p/master-heat-gun</t>
  </si>
  <si>
    <t xml:space="preserve">https://www.thomassci.com/p/hemasure-omics-blood-stabilization-direct-draw-tube</t>
  </si>
  <si>
    <t xml:space="preserve">https://www.thomassci.com/p/iswab-discovery-human-dna-collection-kit</t>
  </si>
  <si>
    <t xml:space="preserve">https://www.thomassci.com/p/iswab-cells-collection-tube-rack</t>
  </si>
  <si>
    <t xml:space="preserve">iSWAB DNA Collection Kit</t>
  </si>
  <si>
    <t xml:space="preserve">https://www.thomassci.com/p/iswab-dna-collection-kit</t>
  </si>
  <si>
    <t xml:space="preserve">iSWAB Microbiome Collection Kit</t>
  </si>
  <si>
    <t xml:space="preserve">https://www.thomassci.com/p/iswab-microbiome-collection-kit-1</t>
  </si>
  <si>
    <t xml:space="preserve">https://www.thomassci.com/p/static-shield-bag-dou-yee-zip-lock-3-x-3-100-each-per-pack-20-packs-per-case</t>
  </si>
  <si>
    <t xml:space="preserve">https://www.thomassci.com/p/art-wide-bore-genomic-tips</t>
  </si>
  <si>
    <t xml:space="preserve">https://www.thomassci.com/p/softfit-l-pipet-tips4</t>
  </si>
  <si>
    <t xml:space="preserve">https://www.thomassci.com/p/snap-cap-centrifuge-tubes</t>
  </si>
  <si>
    <t xml:space="preserve">Tip ART 1250ul XLen St</t>
  </si>
  <si>
    <t xml:space="preserve">https://www.thomassci.com/p/mbp10</t>
  </si>
  <si>
    <t xml:space="preserve">Tip ART 20µL St Pk960</t>
  </si>
  <si>
    <t xml:space="preserve">https://www.thomassci.com/p/tip-art-20l-st-pk960</t>
  </si>
  <si>
    <t xml:space="preserve">https://www.thomassci.com/p/drape-3m-1000-steri-drape-general-purpose-drape-small-towel-drape-17w-x-11l-unfenestrated-clear-without-covers-pouches-or-holders-secures-with-adhesive-strip-10ea/bx</t>
  </si>
  <si>
    <t xml:space="preserve">https://www.thomassci.com/p/or-towel-medi-pak-17w-x-27l-blue-sterile-16-6004b-4ea/pk-20pk/cs</t>
  </si>
  <si>
    <t xml:space="preserve">https://www.thomassci.com/p/aneroid-sphygmomanometer-unit-tycos-2-tubes-mobile-/-wall-mount-adult-large-cuff</t>
  </si>
  <si>
    <t xml:space="preserve">3M 1581 Elastic Coban Bandages 1IN x 5YD Pack</t>
  </si>
  <si>
    <t xml:space="preserve">https://www.thomassci.com/p/3m-1581-elastic-coban-bandages-1in-x-5yd-pack</t>
  </si>
  <si>
    <t xml:space="preserve">Sterile,Syringe/Needle, LI Lf, NIPRO MEDICAL, 3cc 23g x 1.5" 100/bx</t>
  </si>
  <si>
    <t xml:space="preserve">https://www.thomassci.com/p/sterilesyringe/needle-li-lf-nipro-medical-3cc-23g-x-15-100/bx</t>
  </si>
  <si>
    <t xml:space="preserve">https://www.thomassci.com/p/double-matrix-replacement-window-clear-polycarbonate-flat-7-inches-x-16-75-inches-x-040</t>
  </si>
  <si>
    <t xml:space="preserve">https://www.thomassci.com/p/mcr-safety-2230r-crews-protective-goggles</t>
  </si>
  <si>
    <t xml:space="preserve">https://www.thomassci.com/p/safety-eyewear</t>
  </si>
  <si>
    <t xml:space="preserve">PETG .040 WINDOW, CLEAR</t>
  </si>
  <si>
    <t xml:space="preserve">https://www.thomassci.com/p/petg-040-window-clear</t>
  </si>
  <si>
    <t xml:space="preserve">https://www.thomassci.com/p/grid-marked-cellulose-nitrate-membrane-disc-filters-in-reel-form</t>
  </si>
  <si>
    <t xml:space="preserve">https://www.thomassci.com/p/ptfe-membrane-syringe-filters</t>
  </si>
  <si>
    <t xml:space="preserve">https://www.thomassci.com/p/endotoxin-free-quanta-midi-kit</t>
  </si>
  <si>
    <t xml:space="preserve">Transfer Membranes</t>
  </si>
  <si>
    <t xml:space="preserve">https://www.thomassci.com/p/transfer-membranes</t>
  </si>
  <si>
    <t xml:space="preserve">Grid Marked Cellulose Nitrate Membrane Disc Filters</t>
  </si>
  <si>
    <t xml:space="preserve">https://www.thomassci.com/p/grid-marked-cellulose-nitrate-membrane-disc-filters</t>
  </si>
  <si>
    <t xml:space="preserve">https://www.thomassci.com/p/beaker-tri-pour-250ml</t>
  </si>
  <si>
    <t xml:space="preserve">https://www.thomassci.com/p/sterile-specimen-containers-clikseal-style-with-lids</t>
  </si>
  <si>
    <t xml:space="preserve">https://www.thomassci.com/p/wash-basins-solution/sponge-stainless-steel-1</t>
  </si>
  <si>
    <t xml:space="preserve">Biohazardous Waste Bags</t>
  </si>
  <si>
    <t xml:space="preserve">https://www.thomassci.com/p/biohazardous-waste-bags-1</t>
  </si>
  <si>
    <t xml:space="preserve">Lab Specimen Transport Bags</t>
  </si>
  <si>
    <t xml:space="preserve">https://www.thomassci.com/p/lab-specimen-transport-bags</t>
  </si>
  <si>
    <t xml:space="preserve">https://www.thomassci.com/p/beakers-tri-pour-1000ml-pp-100-per-case-formerly-137j1-0259350f</t>
  </si>
  <si>
    <t xml:space="preserve">https://www.thomassci.com/p/chemo-gear-spill-kit-for-use-with-hazardous-and-chemotherapy-drugs</t>
  </si>
  <si>
    <t xml:space="preserve">https://www.thomassci.com/p/acti-gauz-sterile-island-dressings</t>
  </si>
  <si>
    <t xml:space="preserve">https://www.thomassci.com/p/isopropyl-alcohol-99-medical-chemical-usp-grade-999-1-gallon-poly-bottle-1ea/cs-4ea/cs</t>
  </si>
  <si>
    <t xml:space="preserve">https://www.thomassci.com/p/ipa-usp-grade-cubitainer-99-5-gallons-each</t>
  </si>
  <si>
    <t xml:space="preserve">https://www.thomassci.com/p/potassium-permanganate-05</t>
  </si>
  <si>
    <t xml:space="preserve">Acetone, Medical Chem, 99.9% USP/NF Grade, Plastic Poly Jugs, 1 gallon each, 4 each per case, Formerly 128D-100B4 or 100B4</t>
  </si>
  <si>
    <t xml:space="preserve">https://www.thomassci.com/p/acetone-medical-chem-999-usp/nf-grade-plastic-poly-jugs-1-gallon-each-4-each-per-case-formerly-128d-100b4-or-100b4</t>
  </si>
  <si>
    <t xml:space="preserve">Auramine O Stain Kit</t>
  </si>
  <si>
    <t xml:space="preserve">https://www.thomassci.com/p/auramine-o-stain-kit</t>
  </si>
  <si>
    <t xml:space="preserve">https://www.dutscher.com/article/030724</t>
  </si>
  <si>
    <t xml:space="preserve">https://www.dutscher.com/article/475502</t>
  </si>
  <si>
    <t xml:space="preserve">https://www.dutscher.com/article/475319A</t>
  </si>
  <si>
    <t xml:space="preserve">White polypropylene labcoat with snap fastener, size 4 / XL</t>
  </si>
  <si>
    <t xml:space="preserve">https://www.dutscher.com/article/475128B</t>
  </si>
  <si>
    <t xml:space="preserve">IIR surgical mask with elastic Kolmi Vitals - Box of 50</t>
  </si>
  <si>
    <t xml:space="preserve">https://www.dutscher.com/article/931674A</t>
  </si>
  <si>
    <t xml:space="preserve">https://www.thomassci.com/p/samix-mixer-jars</t>
  </si>
  <si>
    <t xml:space="preserve">https://www.thomassci.com/p/precisedose-dispenser-amber</t>
  </si>
  <si>
    <t xml:space="preserve">https://www.thomassci.com/p/protection-plus-disposable-underpads</t>
  </si>
  <si>
    <t xml:space="preserve">https://www.thomassci.com/p/non-sterile-graduated-plastic-medicine-cups</t>
  </si>
  <si>
    <t xml:space="preserve">https://www.thomassci.com/p/coflex-nl-cohesive-easytear-bandages-by-andover-healthcare</t>
  </si>
  <si>
    <t xml:space="preserve">Sensicare® Surgical Gloves</t>
  </si>
  <si>
    <t xml:space="preserve">https://www.thomassci.com/p/medline-sensicare-glove-with-aloe-coating</t>
  </si>
  <si>
    <t xml:space="preserve">Noninsulated Plastic Pitchers with Handles</t>
  </si>
  <si>
    <t xml:space="preserve">https://www.thomassci.com/p/noninsulated-plastic-pitchers-with-handles</t>
  </si>
  <si>
    <t xml:space="preserve">https://www.thomassci.com/p/incyto-c-chip-hemocytometers-neubauer-improved</t>
  </si>
  <si>
    <t xml:space="preserve">https://www.thomassci.com/p/incyto-c-chip-hemocytometers-semen-test</t>
  </si>
  <si>
    <t xml:space="preserve">https://www.thomassci.com/p/incyto-c-chip-hemocytometers-fuchs-rosenthal</t>
  </si>
  <si>
    <t xml:space="preserve">INCYTO C-Chip Hemocytometers (Burker Turk)</t>
  </si>
  <si>
    <t xml:space="preserve">https://www.thomassci.com/p/incyto-c-chip-hemocytometers-burker-turk</t>
  </si>
  <si>
    <t xml:space="preserve">universal heating and drying ovens</t>
  </si>
  <si>
    <t xml:space="preserve">incubators, cooled and CO2 incubators</t>
  </si>
  <si>
    <t xml:space="preserve">constant climate and stability test chambers</t>
  </si>
  <si>
    <t xml:space="preserve">https://www.thomassci.com/p/pump-one-touch-8oz-square</t>
  </si>
  <si>
    <t xml:space="preserve">https://www.thomassci.com/p/take-along-locking-square-hdpe-4-oz</t>
  </si>
  <si>
    <t xml:space="preserve">https://www.thomassci.com/p/lasting-touch-brwn-hdpe-8-0z-alcohol</t>
  </si>
  <si>
    <t xml:space="preserve">Natural Square HDPE Bottle with One-Touch Pump</t>
  </si>
  <si>
    <t xml:space="preserve">https://www.thomassci.com/p/one-touch-square-hdpe-4-oz</t>
  </si>
  <si>
    <t xml:space="preserve">One-Touch Pump, HDPE durAstatic™ Bottle, Yellow, 6 oz. (180mL)</t>
  </si>
  <si>
    <t xml:space="preserve">https://www.thomassci.com/p/one-touch-pump-hdpe-durastatic-bottle-yellow-6-oz-180ml</t>
  </si>
  <si>
    <t xml:space="preserve">https://www.thomassci.com/p/dri-general-oxidant-detect-specimen-validity-test</t>
  </si>
  <si>
    <t xml:space="preserve">https://www.thomassci.com/p/dri-amphetamines-drugs-of-abuse-assay-kit</t>
  </si>
  <si>
    <t xml:space="preserve">https://www.thomassci.com/p/cedia-heroin-metabolite-6-acetylmorphine-drugs-of-abuse-assay</t>
  </si>
  <si>
    <t xml:space="preserve">DRI® Phencyclidine (PCP) Drugs of Abuse Assay</t>
  </si>
  <si>
    <t xml:space="preserve">https://www.thomassci.com/p/dri-phencyclidine-pcp-drugs-of-abuse-assay</t>
  </si>
  <si>
    <t xml:space="preserve">DRI Methadone Metabolite Kit</t>
  </si>
  <si>
    <t xml:space="preserve">https://www.thomassci.com/p/dri-methadone-metabolite-kit</t>
  </si>
  <si>
    <t xml:space="preserve">laboratory ultrapure / pure water purification systems</t>
  </si>
  <si>
    <t xml:space="preserve">lab filtration and single-use bioprocess products</t>
  </si>
  <si>
    <t xml:space="preserve">reagents, biochemicals and analytical standards</t>
  </si>
  <si>
    <t xml:space="preserve">https://www.thomassci.com/p/biotaq-dna-polymerase</t>
  </si>
  <si>
    <t xml:space="preserve">https://www.thomassci.com/p/mytaq-dna-polymerase</t>
  </si>
  <si>
    <t xml:space="preserve">https://www.thomassci.com/p/ribosafe-rnase-inhibitor</t>
  </si>
  <si>
    <t xml:space="preserve">ISOLATE II RNA Mini Kit</t>
  </si>
  <si>
    <t xml:space="preserve">https://www.thomassci.com/p/isolate-ii-rna-mini-kit</t>
  </si>
  <si>
    <t xml:space="preserve">MgCl2 Solution</t>
  </si>
  <si>
    <t xml:space="preserve">https://www.thomassci.com/p/mgcl2-solution</t>
  </si>
  <si>
    <t xml:space="preserve">https://www.thomassci.com/p/low-form-zirconium-crucibles</t>
  </si>
  <si>
    <t xml:space="preserve">https://www.thomassci.com/p/low-form-inconel-crucibles</t>
  </si>
  <si>
    <t xml:space="preserve">https://www.dutscher.com/article/995216</t>
  </si>
  <si>
    <t xml:space="preserve">https://www.dutscher.com/article/995202</t>
  </si>
  <si>
    <t xml:space="preserve">https://www.dutscher.com/article/995210</t>
  </si>
  <si>
    <t xml:space="preserve">METISOL CLEAN AUTOMATE CLEANING SOLUTION</t>
  </si>
  <si>
    <t xml:space="preserve">https://www.dutscher.com/article/995219</t>
  </si>
  <si>
    <t xml:space="preserve">METISOLCLEAN C SOLUTION FOR FLOW CYTOMETER</t>
  </si>
  <si>
    <t xml:space="preserve">https://www.dutscher.com/article/995203</t>
  </si>
  <si>
    <t xml:space="preserve">https://www.thomassci.com/p/metrex-cavicide-surface-disinfectant</t>
  </si>
  <si>
    <t xml:space="preserve">https://www.thomassci.com/p/metrex-metritest-glutaraldehyde</t>
  </si>
  <si>
    <t xml:space="preserve">https://www.thomassci.com/p/metrex-metrizyme-dual-enzymatic-detergent</t>
  </si>
  <si>
    <t xml:space="preserve">Metrex Metriclean® 2 Low Foam Instrument Cleaner &amp; Lubricant</t>
  </si>
  <si>
    <t xml:space="preserve">https://www.thomassci.com/p/metrex-metriclean-2-low-foam-instrument-cleaner-and-lubricant</t>
  </si>
  <si>
    <t xml:space="preserve">Metrex Metricide 28® Disinfecting Solution</t>
  </si>
  <si>
    <t xml:space="preserve">https://www.thomassci.com/p/metrex-metricide-28-disinfecting-solution</t>
  </si>
  <si>
    <t xml:space="preserve">modular automated titration platform</t>
  </si>
  <si>
    <t xml:space="preserve">ion chromatography systems</t>
  </si>
  <si>
    <t xml:space="preserve">potentiostat/galvanostat electrochemistry workstations</t>
  </si>
  <si>
    <t xml:space="preserve">high-precision laboratory balances</t>
  </si>
  <si>
    <t xml:space="preserve">manual and electronic pipettes</t>
  </si>
  <si>
    <t xml:space="preserve">titration and pH/ion analysis</t>
  </si>
  <si>
    <t xml:space="preserve">https://www.thomassci.com/p/peracetic-acid-test-paper</t>
  </si>
  <si>
    <t xml:space="preserve">https://www.thomassci.com/p/hydrion-quat-test-paper</t>
  </si>
  <si>
    <t xml:space="preserve">https://www.thomassci.com/p/short-range-single-roll-dispenser</t>
  </si>
  <si>
    <t xml:space="preserve">Hydrion Plastic pH Strips</t>
  </si>
  <si>
    <t xml:space="preserve">https://www.thomassci.com/p/hydrion-plastic-ph-strips</t>
  </si>
  <si>
    <t xml:space="preserve">Hydrion D/R Dispenser 1.0-6.0</t>
  </si>
  <si>
    <t xml:space="preserve">https://www.thomassci.com/p/hydrion-d/r-dispenser-10-60</t>
  </si>
  <si>
    <t xml:space="preserve">https://www.thomassci.com/p/opti-cide-spray-cleaner</t>
  </si>
  <si>
    <t xml:space="preserve">https://www.thomassci.com/p/antimicrobial-handskin-cleanser</t>
  </si>
  <si>
    <t xml:space="preserve">https://www.thomassci.com/p/microkleen-hs-high-suds-neutral-detergent</t>
  </si>
  <si>
    <t xml:space="preserve">MicroKleen™ LS Low Suds Neutral Detergent</t>
  </si>
  <si>
    <t xml:space="preserve">https://www.thomassci.com/p/microkleen-ls-low-suds-neutral-detergent</t>
  </si>
  <si>
    <t xml:space="preserve">Goo Gone® Topical and Surface Adhesive Remover</t>
  </si>
  <si>
    <t xml:space="preserve">https://www.thomassci.com/p/goo-gone-topical-and-surface-adhesive-remover</t>
  </si>
  <si>
    <t xml:space="preserve">https://www.thomassci.com/p/baffled-96-deep-well-plates</t>
  </si>
  <si>
    <t xml:space="preserve">https://www.thomassci.com/p/centrifuge-tubes-4</t>
  </si>
  <si>
    <t xml:space="preserve">https://www.thomassci.com/p/microcare-alcohol-enhanced-flux-remover</t>
  </si>
  <si>
    <t xml:space="preserve">https://www.thomassci.com/p/microcare-general-purpose-dust-remover</t>
  </si>
  <si>
    <t xml:space="preserve">https://www.thomassci.com/p/isopropyl-alcohol-2</t>
  </si>
  <si>
    <t xml:space="preserve">Multitasking Electronics Cleaner</t>
  </si>
  <si>
    <t xml:space="preserve">https://www.thomassci.com/p/cleaner-surface-and-multi-task</t>
  </si>
  <si>
    <t xml:space="preserve">MicroCare Lint-Free Stencil Wipes</t>
  </si>
  <si>
    <t xml:space="preserve">https://www.thomassci.com/p/microcare-lint-free-stencil-wipes</t>
  </si>
  <si>
    <t xml:space="preserve">https://www.thomassci.com/p/safe-grip-latex-gloves</t>
  </si>
  <si>
    <t xml:space="preserve">https://www.thomassci.com/p/diamond-grip-plus-latex-gloves</t>
  </si>
  <si>
    <t xml:space="preserve">https://www.thomassci.com/p/midknight-black-nitrile-gloves</t>
  </si>
  <si>
    <t xml:space="preserve">NeoPro® Green Chloroprene Gloves</t>
  </si>
  <si>
    <t xml:space="preserve">https://www.thomassci.com/p/neopro-green-chloroprene-gloves</t>
  </si>
  <si>
    <t xml:space="preserve">Supreno™ SE Nitrile Gloves</t>
  </si>
  <si>
    <t xml:space="preserve">https://www.thomassci.com/p/supreno-se-nitrile-gloves</t>
  </si>
  <si>
    <t xml:space="preserve">https://www.thomassci.com/p/aqua-electronic-single-channel-variable-volume-pipettors</t>
  </si>
  <si>
    <t xml:space="preserve">https://www.thomassci.com/p/micropipettor-starter-kit</t>
  </si>
  <si>
    <t xml:space="preserve">https://www.thomassci.com/p/single-channel-variable-volume-pipettors</t>
  </si>
  <si>
    <t xml:space="preserve">Micropipette Set</t>
  </si>
  <si>
    <t xml:space="preserve">https://www.thomassci.com/p/micropipette-set</t>
  </si>
  <si>
    <t xml:space="preserve">Microlit Lentus Bottle Top Dispenser for Hydrofluoric Acid</t>
  </si>
  <si>
    <t xml:space="preserve">https://www.thomassci.com/p/microlit-lentus-bottle-top-dispenser-for-hydrofluoric-acid</t>
  </si>
  <si>
    <t xml:space="preserve">https://www.dutscher.com/article/944234</t>
  </si>
  <si>
    <t xml:space="preserve">https://www.dutscher.com/article/MP32035</t>
  </si>
  <si>
    <t xml:space="preserve">https://www.dutscher.com/article/944031</t>
  </si>
  <si>
    <t xml:space="preserve">Micronic 0.75 ml storage tubes, in bulk</t>
  </si>
  <si>
    <t xml:space="preserve">https://www.dutscher.com/article/MP32017</t>
  </si>
  <si>
    <t xml:space="preserve">Micronic 0.5 ml storage tubes, in bulk</t>
  </si>
  <si>
    <t xml:space="preserve">https://www.dutscher.com/article/MP32040</t>
  </si>
  <si>
    <t xml:space="preserve">https://www.thomassci.com/p/m-zone-sterile-bucket-liners</t>
  </si>
  <si>
    <t xml:space="preserve">https://www.thomassci.com/p/mop-micronova-tmop-novapoly-cover-thin-yellow-sponge-14-length-individually-packed-1/ea-12ea/cs</t>
  </si>
  <si>
    <t xml:space="preserve">https://www.thomassci.com/p/polysorb-flatmop-covers</t>
  </si>
  <si>
    <t xml:space="preserve">NovaClean™ Cleanroom Floor Cleaner</t>
  </si>
  <si>
    <t xml:space="preserve">https://www.thomassci.com/p/novaclean-cleanroom-floor-cleaner</t>
  </si>
  <si>
    <t xml:space="preserve">NovaClean™ Lab &amp; Glass Cleaner</t>
  </si>
  <si>
    <t xml:space="preserve">https://www.thomassci.com/p/novaclean-lab-and-glass-cleaner-cleanroom-detergent-for-workstations-and-glass-1-gallon</t>
  </si>
  <si>
    <t xml:space="preserve">https://www.thomassci.com/p/procare-lab-glassware-washers</t>
  </si>
  <si>
    <t xml:space="preserve">https://www.thomassci.com/p/lab-glassware-washers-procare-universal-61-softener-salt</t>
  </si>
  <si>
    <t xml:space="preserve">https://www.thomassci.com/p/neodisher-mediclean-forte-5-liter</t>
  </si>
  <si>
    <t xml:space="preserve">ProCare Lab Universal 61 Regenerating salt - 6 kg</t>
  </si>
  <si>
    <t xml:space="preserve">https://www.dutscher.com/article/933458</t>
  </si>
  <si>
    <t xml:space="preserve">Laboratory washer-disinfector ExpertLine PLW 8683 CD - Stainless steel body - Without pump - DryPlus hot air drying - For deionised water an</t>
  </si>
  <si>
    <t xml:space="preserve">https://www.dutscher.com/article/934914</t>
  </si>
  <si>
    <t xml:space="preserve">https://www.thomassci.com/p/disposable-micropipettes</t>
  </si>
  <si>
    <t xml:space="preserve">https://www.thomassci.com/p/silica-gel-hlf-uniplates</t>
  </si>
  <si>
    <t xml:space="preserve">https://www.thomassci.com/p/glass-backed-analytical-tlc-plates</t>
  </si>
  <si>
    <t xml:space="preserve">Reversed Phase Octadecyl Silanized Silica Gel UNIPLATES</t>
  </si>
  <si>
    <t xml:space="preserve">https://www.thomassci.com/p/reversed-phase-octadecyl-silanized-silica-gel-uniplates</t>
  </si>
  <si>
    <t xml:space="preserve">Silica Gel GHLF UNIPLATES</t>
  </si>
  <si>
    <t xml:space="preserve">https://www.thomassci.com/p/silica-gel-ghlf-uniplates</t>
  </si>
  <si>
    <t xml:space="preserve">https://www.thomassci.com/p/miller-harness-accessories</t>
  </si>
  <si>
    <t xml:space="preserve">https://www.thomassci.com/p/duraflex-python-harnesses</t>
  </si>
  <si>
    <t xml:space="preserve">https://www.thomassci.com/p/scissors</t>
  </si>
  <si>
    <t xml:space="preserve">https://www.thomassci.com/p/forceps</t>
  </si>
  <si>
    <t xml:space="preserve">https://www.thomassci.com/p/ez-zyme-all-purpose-enzyme-cleaner</t>
  </si>
  <si>
    <t xml:space="preserve">Surgical Needle Holders</t>
  </si>
  <si>
    <t xml:space="preserve">https://www.thomassci.com/p/thomas-surgical-needle-holders</t>
  </si>
  <si>
    <t xml:space="preserve">Disposable Safety Scalpels</t>
  </si>
  <si>
    <t xml:space="preserve">https://www.thomassci.com/p/disposable-safety-scalpels</t>
  </si>
  <si>
    <t xml:space="preserve">https://www.thomassci.com/p/professional-free-and-total-chlorine-high-range-photometer</t>
  </si>
  <si>
    <t xml:space="preserve">https://www.thomassci.com/p/free-chlorine-handy-photometer</t>
  </si>
  <si>
    <t xml:space="preserve">https://www.thomassci.com/p/accessories-for-laboratory-line</t>
  </si>
  <si>
    <t xml:space="preserve">Standard Portable TDS Meter (Range: 0 to 1990 mg/L)</t>
  </si>
  <si>
    <t xml:space="preserve">https://www.thomassci.com/p/standard-portable-tds-meter-range-0-to-1990-mg/l</t>
  </si>
  <si>
    <t xml:space="preserve">Digital Refractometers for Wine/Grape Measurements (% Brix &amp; Potential Alcohol)</t>
  </si>
  <si>
    <t xml:space="preserve">https://www.thomassci.com/p/digital-refractometers-for-wine/grape-measurements-brix-and-potential-alcohol</t>
  </si>
  <si>
    <t xml:space="preserve">https://www.thomassci.com/p/pcr-clean-wipes</t>
  </si>
  <si>
    <t xml:space="preserve">https://www.thomassci.com/p/pcr-cycler-check</t>
  </si>
  <si>
    <t xml:space="preserve">https://www.thomassci.com/p/venorgem-qonestep-mycoplasma-detection-kits</t>
  </si>
  <si>
    <t xml:space="preserve">Venor®GeM qEP Mycoplasma Detection Kits</t>
  </si>
  <si>
    <t xml:space="preserve">https://www.thomassci.com/p/venorgem-qep-mycoplasma-detection-kits</t>
  </si>
  <si>
    <t xml:space="preserve">ZellShield®</t>
  </si>
  <si>
    <t xml:space="preserve">https://www.thomassci.com/p/zellshield</t>
  </si>
  <si>
    <t xml:space="preserve">https://www.thomassci.com/p/2-mil-plain-zippit-reclosable-zipper-bags</t>
  </si>
  <si>
    <t xml:space="preserve">https://www.thomassci.com/p/lab-guard-recloseable-specimen-bags-stat</t>
  </si>
  <si>
    <t xml:space="preserve">https://www.thomassci.com/p/4-mil-plain-premium-red-line-reclosable-zipper-bags</t>
  </si>
  <si>
    <t xml:space="preserve">MINIGRIP® GREENLINE™ Biodegradable, Reclosable Zip Bags</t>
  </si>
  <si>
    <t xml:space="preserve">https://www.thomassci.com/p/minigrip-greenline-biodegradable-reclosable-zip-bags</t>
  </si>
  <si>
    <t xml:space="preserve">6 Mil Plain Premium Red Line™ Reclosable Zipper Bags</t>
  </si>
  <si>
    <t xml:space="preserve">https://www.thomassci.com/p/6-mil-plain-premium-red-line-reclosable-zipper-bags</t>
  </si>
  <si>
    <t xml:space="preserve">https://www.thomassci.com/p/diffcount-manual-differential-cell-counter</t>
  </si>
  <si>
    <t xml:space="preserve">https://www.thomassci.com/p/10212compu-u-diff-keypad</t>
  </si>
  <si>
    <t xml:space="preserve">https://www.dutscher.com/article/053276</t>
  </si>
  <si>
    <t xml:space="preserve">https://www.dutscher.com/article/098480</t>
  </si>
  <si>
    <t xml:space="preserve">https://www.dutscher.com/article/053310</t>
  </si>
  <si>
    <t xml:space="preserve">Manual counter with ring (1 counter)</t>
  </si>
  <si>
    <t xml:space="preserve">https://www.dutscher.com/article/045320</t>
  </si>
  <si>
    <t xml:space="preserve">Round mechanical timer 60 minutes</t>
  </si>
  <si>
    <t xml:space="preserve">https://www.dutscher.com/article/053266</t>
  </si>
  <si>
    <t xml:space="preserve">https://www.thomassci.com/p/2300n95-series-particulate-respirators-with-exhale-valve</t>
  </si>
  <si>
    <t xml:space="preserve">https://www.thomassci.com/p/earplugs-moldex-corded-purafit-soft-tapered-foam-lime-green-100-pair-per-box-20-boxes-per-case-formerly-152a3-6900</t>
  </si>
  <si>
    <t xml:space="preserve">https://www.thomassci.com/p/n99-premium-particulate-respirator-for-most-welding-applications-10/bg-6-bgs/cs</t>
  </si>
  <si>
    <t xml:space="preserve">Respirator, Moldex 2200 N95 20 each per box, 12 boxes per case, Formerly 157A1-2200N95</t>
  </si>
  <si>
    <t xml:space="preserve">https://www.thomassci.com/p/respirator-moldex-2200-n95-20-each-per-box-12-boxes-per-case-formerly-157a1-2200n95</t>
  </si>
  <si>
    <t xml:space="preserve">Glide® Foam Twist In Earplugs</t>
  </si>
  <si>
    <t xml:space="preserve">https://www.thomassci.com/p/glide-foam-twist-in-earplugs</t>
  </si>
  <si>
    <t xml:space="preserve">https://www.thomassci.com/p/digestion-vessels-and-accessories-1</t>
  </si>
  <si>
    <t xml:space="preserve">https://www.thomassci.com/p/sample-cups-and-vials</t>
  </si>
  <si>
    <t xml:space="preserve">https://www.thomassci.com/p/autosampler-tubes-and-caps</t>
  </si>
  <si>
    <t xml:space="preserve">Titration Beakers</t>
  </si>
  <si>
    <t xml:space="preserve">https://www.thomassci.com/p/titration-beakers-1</t>
  </si>
  <si>
    <t xml:space="preserve">https://www.thomassci.com/p/sexually-transmitted-microbiota-simplicity-panel</t>
  </si>
  <si>
    <t xml:space="preserve">https://www.thomassci.com/p/vaginal-microbiota-simplicity-panel</t>
  </si>
  <si>
    <t xml:space="preserve">https://www.thomassci.com/p/urinary-tract-plus-microbiota-simplicity-panel</t>
  </si>
  <si>
    <t xml:space="preserve">Fungal Microbiota Simplicity Panel™</t>
  </si>
  <si>
    <t xml:space="preserve">https://www.thomassci.com/p/fungal-microbiota-simplicity-panel</t>
  </si>
  <si>
    <t xml:space="preserve">Urinary Tract/Wound Microbiota Simplicity Panel™</t>
  </si>
  <si>
    <t xml:space="preserve">https://www.thomassci.com/p/urinary-tract/wound-microbiota-simplicity-panel</t>
  </si>
  <si>
    <t xml:space="preserve">https://www.dutscher.com/article/711725B</t>
  </si>
  <si>
    <t xml:space="preserve">https://www.dutscher.com/article/711722B</t>
  </si>
  <si>
    <t xml:space="preserve">https://www.dutscher.com/article/711719B</t>
  </si>
  <si>
    <t xml:space="preserve">Sterile disposable surgical gown - L - length 121 cm - per dispenser box of 20</t>
  </si>
  <si>
    <t xml:space="preserve">https://www.dutscher.com/article/711717B</t>
  </si>
  <si>
    <t xml:space="preserve">Sterile disposable surgical gown - XL - length 145 cm - per dispenser box of 18</t>
  </si>
  <si>
    <t xml:space="preserve">https://www.dutscher.com/article/711723B</t>
  </si>
  <si>
    <t xml:space="preserve">https://www.thomassci.com/p/barrier-ear-loop-face-mask</t>
  </si>
  <si>
    <t xml:space="preserve">https://www.thomassci.com/p/barrier-anti-fog-face-mask</t>
  </si>
  <si>
    <t xml:space="preserve">https://www.thomassci.com/p/protective-glasses</t>
  </si>
  <si>
    <t xml:space="preserve">Biogel PI Micro Indicator Undergloves</t>
  </si>
  <si>
    <t xml:space="preserve">https://www.thomassci.com/p/biogel-pi-micro-indicator-undergloves</t>
  </si>
  <si>
    <t xml:space="preserve">Operating Caps</t>
  </si>
  <si>
    <t xml:space="preserve">https://www.thomassci.com/p/operating-caps</t>
  </si>
  <si>
    <t xml:space="preserve">https://www.thomassci.com/p/tryptic-soy-broth11</t>
  </si>
  <si>
    <t xml:space="preserve">https://www.thomassci.com/p/sabouraud-dextrose-agar8</t>
  </si>
  <si>
    <t xml:space="preserve">https://www.thomassci.com/p/r2a-agar8</t>
  </si>
  <si>
    <t xml:space="preserve">MacConkey Agar</t>
  </si>
  <si>
    <t xml:space="preserve">https://www.thomassci.com/p/macconkey-agar10</t>
  </si>
  <si>
    <t xml:space="preserve">Moltox Tris-HCL Buffer</t>
  </si>
  <si>
    <t xml:space="preserve">https://www.thomassci.com/p/tris-hcl-solutions</t>
  </si>
  <si>
    <t xml:space="preserve">https://www.thomassci.com/p/triton-x-1009</t>
  </si>
  <si>
    <t xml:space="preserve">https://www.thomassci.com/p/sodium-phosphate-monobasic-monohydrate8</t>
  </si>
  <si>
    <t xml:space="preserve">https://www.thomassci.com/p/lysing-matrix-a-2ml-tubes</t>
  </si>
  <si>
    <t xml:space="preserve">Heptafluorobutyric Acid</t>
  </si>
  <si>
    <t xml:space="preserve">https://www.thomassci.com/p/heptafluorobutyric-acid1</t>
  </si>
  <si>
    <t xml:space="preserve">ES 7X®-O-Matic Cleaning Solution</t>
  </si>
  <si>
    <t xml:space="preserve">https://www.thomassci.com/p/es-7x-o-matic-cleaning-solution</t>
  </si>
  <si>
    <t xml:space="preserve">https://www.dutscher.com/article/475046</t>
  </si>
  <si>
    <t xml:space="preserve">https://www.dutscher.com/article/475066</t>
  </si>
  <si>
    <t xml:space="preserve">https://www.dutscher.com/article/476074A</t>
  </si>
  <si>
    <t xml:space="preserve">EXTRABOX of Standard wipes</t>
  </si>
  <si>
    <t xml:space="preserve">https://www.dutscher.com/article/002914C</t>
  </si>
  <si>
    <t xml:space="preserve">ECOBOX of Top wipes, Blue</t>
  </si>
  <si>
    <t xml:space="preserve">https://www.dutscher.com/article/002967C</t>
  </si>
  <si>
    <t xml:space="preserve">https://www.thomassci.com/p/msa-n95-covers</t>
  </si>
  <si>
    <t xml:space="preserve">https://www.thomassci.com/p/msa-comfo-respirator-cartridges</t>
  </si>
  <si>
    <t xml:space="preserve">https://www.thomassci.com/p/topgard-hard-hat-cap-style</t>
  </si>
  <si>
    <t xml:space="preserve">MSA Advantage® Particle Filters</t>
  </si>
  <si>
    <t xml:space="preserve">https://www.thomassci.com/p/msa-advantage-particle-filters</t>
  </si>
  <si>
    <t xml:space="preserve">MSA Advantage® 200 LS Half-Mask Respirators</t>
  </si>
  <si>
    <t xml:space="preserve">https://www.thomassci.com/p/msa-advantage-200-ls-half-mask-respirators</t>
  </si>
  <si>
    <t xml:space="preserve">https://www.thomassci.com/p/centrifuge-tubes10</t>
  </si>
  <si>
    <t xml:space="preserve">https://www.thomassci.com/p/spectratube-rainbow-cap-centrifuge-tubes</t>
  </si>
  <si>
    <t xml:space="preserve">https://www.thomassci.com/p/pureamp-pcr-tubes-strips-and-sealing-options</t>
  </si>
  <si>
    <t xml:space="preserve">Sealing Mat, PTFE/Silicone</t>
  </si>
  <si>
    <t xml:space="preserve">https://www.thomassci.com/p/sealing-mat-ptfe/silicone</t>
  </si>
  <si>
    <t xml:space="preserve">FlowTubes™ for Flow Cytometry Instruments</t>
  </si>
  <si>
    <t xml:space="preserve">https://www.thomassci.com/p/flowtubes-for-flow-cytometry-instruments</t>
  </si>
  <si>
    <t xml:space="preserve">https://www.dutscher.com/article/077250T</t>
  </si>
  <si>
    <t xml:space="preserve">https://www.dutscher.com/article/010040</t>
  </si>
  <si>
    <t xml:space="preserve">https://www.dutscher.com/article/010190</t>
  </si>
  <si>
    <t xml:space="preserve">Tip 200 µl, bulk - lenght: 50,70 mm</t>
  </si>
  <si>
    <t xml:space="preserve">https://www.dutscher.com/article/010440</t>
  </si>
  <si>
    <t xml:space="preserve">Tip 100 µl V,sterile, gratuated, CellRack, low binding - lenght: 50,7 mm Low Binding Surface Technology, Ideal for molecular biology applica</t>
  </si>
  <si>
    <t xml:space="preserve">https://www.dutscher.com/article/030380T</t>
  </si>
  <si>
    <t xml:space="preserve">https://www.dutscher.com/article/540160</t>
  </si>
  <si>
    <t xml:space="preserve">https://www.dutscher.com/article/040002</t>
  </si>
  <si>
    <t xml:space="preserve">https://www.dutscher.com/article/039982</t>
  </si>
  <si>
    <t xml:space="preserve">Eco drawer capacity per drawer 23 Litres</t>
  </si>
  <si>
    <t xml:space="preserve">https://www.dutscher.com/article/040139</t>
  </si>
  <si>
    <t xml:space="preserve">Box with ball hinges l x w x h = 27 x 27 x 13 mm</t>
  </si>
  <si>
    <t xml:space="preserve">https://www.dutscher.com/article/039676</t>
  </si>
  <si>
    <t xml:space="preserve">https://www.thomassci.com/p/glassvan-sterile-stainless-blade</t>
  </si>
  <si>
    <t xml:space="preserve">https://www.thomassci.com/p/technocut-plus-sterile-safety-scalpel</t>
  </si>
  <si>
    <t xml:space="preserve">https://www.thomassci.com/p/reli-quincke-needle-metric-mark</t>
  </si>
  <si>
    <t xml:space="preserve">Reli® Redisorb Fast Pro Undyed BR Sutures</t>
  </si>
  <si>
    <t xml:space="preserve">https://www.thomassci.com/p/reli-redisorb-fast-pro-undyed-br-sutures</t>
  </si>
  <si>
    <t xml:space="preserve">QLICKSMART® BladeFLASK, Scalpel Blade Removal System</t>
  </si>
  <si>
    <t xml:space="preserve">https://www.thomassci.com/p/qlicksmart-bladeflask-scalpel-blade-removal-system</t>
  </si>
  <si>
    <t xml:space="preserve">https://www.thomassci.com/p/myron-l-nacl-14-0-conductivity/tds-standard-solution-quart-bottle-32-oz</t>
  </si>
  <si>
    <t xml:space="preserve">https://www.thomassci.com/p/myron-l-kcl-7000-conductivity/tds-standard-solution-quart-bottle-32-oz</t>
  </si>
  <si>
    <t xml:space="preserve">https://www.thomassci.com/p/techpro-multiparameter-meters</t>
  </si>
  <si>
    <t xml:space="preserve">Conductivity/pH Ultrameter</t>
  </si>
  <si>
    <t xml:space="preserve">https://www.thomassci.com/p/conductivityph-ultrameter</t>
  </si>
  <si>
    <t xml:space="preserve">Ultrameter Conductivity Meter</t>
  </si>
  <si>
    <t xml:space="preserve">https://www.thomassci.com/p/ultrameter-conductivity-meter</t>
  </si>
  <si>
    <t xml:space="preserve">https://www.thomassci.com/p/cleanprep-workstations</t>
  </si>
  <si>
    <t xml:space="preserve">https://www.thomassci.com/p/my-2400-basic-ductless-workstation</t>
  </si>
  <si>
    <t xml:space="preserve">https://www.thomassci.com/p/accessories-for-pcr-workstations</t>
  </si>
  <si>
    <t xml:space="preserve">Filters for FR-Series Evidence Drying Cabinets</t>
  </si>
  <si>
    <t xml:space="preserve">https://www.thomassci.com/p/filters-for-fr-series-evidence-drying-cabinets</t>
  </si>
  <si>
    <t xml:space="preserve">Downflow Workstation</t>
  </si>
  <si>
    <t xml:space="preserve">https://www.thomassci.com/p/downflow-workstation</t>
  </si>
  <si>
    <t xml:space="preserve">laboratory muffle furnaces up to 1,300 °C</t>
  </si>
  <si>
    <t xml:space="preserve">compact and rotary tube furnaces</t>
  </si>
  <si>
    <t xml:space="preserve">chamber furnaces up to 1,800 °C</t>
  </si>
  <si>
    <t xml:space="preserve">https://www.dutscher.com/article/110011</t>
  </si>
  <si>
    <t xml:space="preserve">https://www.dutscher.com/article/110117</t>
  </si>
  <si>
    <t xml:space="preserve">https://www.dutscher.com/article/110101</t>
  </si>
  <si>
    <t xml:space="preserve">Glass test tube 16 x 160 mm, single use</t>
  </si>
  <si>
    <t xml:space="preserve">https://www.dutscher.com/article/110120</t>
  </si>
  <si>
    <t xml:space="preserve">Durham tube or bell jar ø x h =7.25 x 50 mm</t>
  </si>
  <si>
    <t xml:space="preserve">https://www.dutscher.com/article/110125</t>
  </si>
  <si>
    <t xml:space="preserve">high-resolution Orbitrap LC-MS mass spectrometer</t>
  </si>
  <si>
    <t xml:space="preserve">real-time PCR (qPCR/dPCR) instrument family</t>
  </si>
  <si>
    <t xml:space="preserve">cryo-electron microscope for structural biology</t>
  </si>
  <si>
    <t xml:space="preserve">https://www.dutscher.com/article/052917</t>
  </si>
  <si>
    <t xml:space="preserve">https://www.dutscher.com/article/052902</t>
  </si>
  <si>
    <t xml:space="preserve">https://www.dutscher.com/article/052911</t>
  </si>
  <si>
    <t xml:space="preserve">Whirl-Pak bag for large samples capacity 5441 ml</t>
  </si>
  <si>
    <t xml:space="preserve">https://www.dutscher.com/article/052954</t>
  </si>
  <si>
    <t xml:space="preserve">Whirl-Pak bag standard capacity 720 ml</t>
  </si>
  <si>
    <t xml:space="preserve">https://www.dutscher.com/article/052905</t>
  </si>
  <si>
    <t xml:space="preserve">https://www.thomassci.com/p/small-animal-ear-tags-etched</t>
  </si>
  <si>
    <t xml:space="preserve">https://www.thomassci.com/p/small-animal-ear-tags-stamped</t>
  </si>
  <si>
    <t xml:space="preserve">https://www.thomassci.com/p/small-animal-ear-tag-applicator</t>
  </si>
  <si>
    <t xml:space="preserve">Small Animal Compound Action Stainless Steel Punch</t>
  </si>
  <si>
    <t xml:space="preserve">https://www.thomassci.com/p/small-animal-compound-action-stainless-steel-punch</t>
  </si>
  <si>
    <t xml:space="preserve">https://www.thomassci.com/p/spritz-rtu-12-qts/cs-sanitizing-spray-no-rinse-required</t>
  </si>
  <si>
    <t xml:space="preserve">https://www.thomassci.com/p/neutral-q-disinfectant-cleaner-4x1-gal-per-case</t>
  </si>
  <si>
    <t xml:space="preserve">https://www.thomassci.com/p/easy-dab-creme-cleanser</t>
  </si>
  <si>
    <t xml:space="preserve">AVISTAT-D™ Ready-To-Use Spray Disinfectant Cleaner</t>
  </si>
  <si>
    <t xml:space="preserve">https://www.thomassci.com/p/avistat-d-ready-to-use-spray-disinfectant-cleaner</t>
  </si>
  <si>
    <t xml:space="preserve">MAGIC BREEZE™ Lavender Spray Air Freshener</t>
  </si>
  <si>
    <t xml:space="preserve">https://www.thomassci.com/p/magic-breeze-lavender-spray-air-freshener</t>
  </si>
  <si>
    <t xml:space="preserve">https://www.dutscher.com/article/955053</t>
  </si>
  <si>
    <t xml:space="preserve">https://www.dutscher.com/article/995002</t>
  </si>
  <si>
    <t xml:space="preserve">https://www.dutscher.com/article/995040</t>
  </si>
  <si>
    <t xml:space="preserve">Portable mini CO₂ incubator</t>
  </si>
  <si>
    <t xml:space="preserve">https://www.dutscher.com/article/995037</t>
  </si>
  <si>
    <t xml:space="preserve">NB-205L benchtop shaking incubator</t>
  </si>
  <si>
    <t xml:space="preserve">https://www.dutscher.com/article/995018</t>
  </si>
  <si>
    <t xml:space="preserve">https://www.thomassci.com/p/fluid-thioglycollate-medium-usp-formulation</t>
  </si>
  <si>
    <t xml:space="preserve">https://www.thomassci.com/p/mr-vp-broth</t>
  </si>
  <si>
    <t xml:space="preserve">https://www.thomassci.com/p/campy-blaser</t>
  </si>
  <si>
    <t xml:space="preserve">Ureaplasma Broth</t>
  </si>
  <si>
    <t xml:space="preserve">https://www.thomassci.com/p/ureaplasma-broth</t>
  </si>
  <si>
    <t xml:space="preserve">Urea Agar</t>
  </si>
  <si>
    <t xml:space="preserve">https://www.thomassci.com/p/urea-agar-1</t>
  </si>
  <si>
    <t xml:space="preserve">https://www.thomassci.com/p/neogen-sponge-stick-with-letheen-broth</t>
  </si>
  <si>
    <t xml:space="preserve">https://www.thomassci.com/p/clean-trace-surface-protein-allergen-test-swab</t>
  </si>
  <si>
    <t xml:space="preserve">https://www.thomassci.com/p/quick-swab</t>
  </si>
  <si>
    <t xml:space="preserve">Flip Top Bottle Phosphate Buffer</t>
  </si>
  <si>
    <t xml:space="preserve">https://www.thomassci.com/p/flip-top-bottle-phosphate-buffer</t>
  </si>
  <si>
    <t xml:space="preserve">Petrifilm® Rapid Aerobic Count Plates</t>
  </si>
  <si>
    <t xml:space="preserve">https://www.thomassci.com/p/petrifilm-rapid-aerobic-count-plates</t>
  </si>
  <si>
    <t xml:space="preserve">https://www.thomassci.com/p/centrifuge-tube-racks</t>
  </si>
  <si>
    <t xml:space="preserve">https://www.thomassci.com/p/96-well-pcr-plates1</t>
  </si>
  <si>
    <t xml:space="preserve">https://www.thomassci.com/p/erlenmeyer-flasks3</t>
  </si>
  <si>
    <t xml:space="preserve">Non-Treated Cell Culture Plates</t>
  </si>
  <si>
    <t xml:space="preserve">https://www.thomassci.com/p/non-treated-cell-culture-plates</t>
  </si>
  <si>
    <t xml:space="preserve">TC-Treated Cell Culture Dishes</t>
  </si>
  <si>
    <t xml:space="preserve">https://www.thomassci.com/p/tc-treated-cell-culture-dishes</t>
  </si>
  <si>
    <t xml:space="preserve">https://www.thomassci.com/p/label-tape-3/4-x-500</t>
  </si>
  <si>
    <t xml:space="preserve">https://www.thomassci.com/p/label-tape-3/4-x-2160</t>
  </si>
  <si>
    <t xml:space="preserve">https://www.thomassci.com/p/cryogenic-labels</t>
  </si>
  <si>
    <t xml:space="preserve">Label Tape - 1" x 500"</t>
  </si>
  <si>
    <t xml:space="preserve">https://www.thomassci.com/p/label-tape-1-x-500</t>
  </si>
  <si>
    <t xml:space="preserve">Label Tape - 1/2" x 2160"</t>
  </si>
  <si>
    <t xml:space="preserve">https://www.thomassci.com/p/label-tape-1/2-x-2160</t>
  </si>
  <si>
    <t xml:space="preserve">https://www.thomassci.com/p/extra-shelves-for-new-brunswick-freezers</t>
  </si>
  <si>
    <t xml:space="preserve">https://www.thomassci.com/p/accessories-clamps-and-test-tube-racks2</t>
  </si>
  <si>
    <t xml:space="preserve">https://www.thomassci.com/p/innova-26-incubator-shakers</t>
  </si>
  <si>
    <t xml:space="preserve">Innova 42 &amp; 42R Optional Accessories</t>
  </si>
  <si>
    <t xml:space="preserve">https://www.thomassci.com/p/innova-42-and-42r-optional-accessories</t>
  </si>
  <si>
    <t xml:space="preserve">Innova 43 &amp; 43R Accessories</t>
  </si>
  <si>
    <t xml:space="preserve">https://www.thomassci.com/p/innova-43-and-43r-accessories</t>
  </si>
  <si>
    <t xml:space="preserve">high-fidelity PCR enzyme and master mixes</t>
  </si>
  <si>
    <t xml:space="preserve">NGS library-preparation kits</t>
  </si>
  <si>
    <t xml:space="preserve">nucleic acid purification kits</t>
  </si>
  <si>
    <t xml:space="preserve">https://www.thomassci.com/p/used-battery-container-775x975x925-2gal</t>
  </si>
  <si>
    <t xml:space="preserve">https://www.thomassci.com/p/mats-absorbent-polypropylene-gray-15-x-20-heavy-weight-perforated-lasts-2x-longer-100-pads-per-box</t>
  </si>
  <si>
    <t xml:space="preserve">https://www.thomassci.com/p/pig-absorbant-heavyweight-mat-roll-24x150</t>
  </si>
  <si>
    <t xml:space="preserve">NOVUS® Pop-up Caution Wet Floor Cone</t>
  </si>
  <si>
    <t xml:space="preserve">https://www.thomassci.com/p/novus-pop-up-caution-wet-floor-cone</t>
  </si>
  <si>
    <t xml:space="preserve">Spill-X-A® Acid-Neutralizing Adsorbent</t>
  </si>
  <si>
    <t xml:space="preserve">https://www.thomassci.com/p/spill-x-a-acid-neutralizing-adsorbent</t>
  </si>
  <si>
    <t xml:space="preserve">https://www.thomassci.com/p/sieve-53-um-number-270-3-uss-superlasieve</t>
  </si>
  <si>
    <t xml:space="preserve">https://www.thomassci.com/p/stainless-steel-6-inch</t>
  </si>
  <si>
    <t xml:space="preserve">https://www.thomassci.com/p/us-standard-sieves-stainless-steel-8-inch1</t>
  </si>
  <si>
    <t xml:space="preserve">Stainless Steel, 3-Inch</t>
  </si>
  <si>
    <t xml:space="preserve">https://www.thomassci.com/p/stainless-steel-3-inch</t>
  </si>
  <si>
    <t xml:space="preserve">U.S. Standard Sieves, Stainless Steel, 3-Inch</t>
  </si>
  <si>
    <t xml:space="preserve">https://www.thomassci.com/p/us-standard-sieves-stainless-steel-3-inch</t>
  </si>
  <si>
    <t xml:space="preserve">https://www.thomassci.com/p/digital-display-doppler-dd-770</t>
  </si>
  <si>
    <t xml:space="preserve">https://www.thomassci.com/p/display-digital-doppler-dd-700</t>
  </si>
  <si>
    <t xml:space="preserve">https://www.thomassci.com/p/ez-clean-vascular-cuff-set</t>
  </si>
  <si>
    <t xml:space="preserve">https://www.thomassci.com/p/zetexplus-series-200-single-palm-and-series-220-double-palm-gloves</t>
  </si>
  <si>
    <t xml:space="preserve">https://www.thomassci.com/p/300-series-z-flex-aluminized-gloves</t>
  </si>
  <si>
    <t xml:space="preserve">https://www.dutscher.com/article/152120</t>
  </si>
  <si>
    <t xml:space="preserve">https://www.dutscher.com/article/555744</t>
  </si>
  <si>
    <t xml:space="preserve">https://www.dutscher.com/article/555676</t>
  </si>
  <si>
    <t xml:space="preserve">Bullet Blender bead mill homogeniser - 50 DX+</t>
  </si>
  <si>
    <t xml:space="preserve">https://www.dutscher.com/article/152122</t>
  </si>
  <si>
    <t xml:space="preserve">Bullet Blender bead mill homogeniser - 5E Gold+</t>
  </si>
  <si>
    <t xml:space="preserve">https://www.dutscher.com/article/152121</t>
  </si>
  <si>
    <t xml:space="preserve">https://www.dutscher.com/article/343058</t>
  </si>
  <si>
    <t xml:space="preserve">https://www.dutscher.com/article/343029</t>
  </si>
  <si>
    <t xml:space="preserve">https://www.dutscher.com/article/343036</t>
  </si>
  <si>
    <t xml:space="preserve">Pack 2: Nichipet Premium starter package</t>
  </si>
  <si>
    <t xml:space="preserve">https://www.dutscher.com/article/343043</t>
  </si>
  <si>
    <t xml:space="preserve">Nichipet EX Plus II pipette, volume range: 1000 - 10000 µl</t>
  </si>
  <si>
    <t xml:space="preserve">https://www.dutscher.com/article/343016</t>
  </si>
  <si>
    <t xml:space="preserve">inverted research microscope platform for live-cell imaging</t>
  </si>
  <si>
    <t xml:space="preserve">high-resolution confocal microscope systems</t>
  </si>
  <si>
    <t xml:space="preserve">AI-driven smart imaging/cell-analysis system</t>
  </si>
  <si>
    <t xml:space="preserve">https://www.thomassci.com/p/vacuum-cleaners</t>
  </si>
  <si>
    <t xml:space="preserve">https://www.thomassci.com/p/hepa-exhaust-filter-kit-1-set-for-gm80-cr-vacuums</t>
  </si>
  <si>
    <t xml:space="preserve">https://www.thomassci.com/p/nilfisk-mini-industrial-vacuums</t>
  </si>
  <si>
    <t xml:space="preserve">GM80 12 inch Conductive Floor tool</t>
  </si>
  <si>
    <t xml:space="preserve">https://www.thomassci.com/p/gm80-12-inch-conductive-floor-tool</t>
  </si>
  <si>
    <t xml:space="preserve">The portable GM 80CR</t>
  </si>
  <si>
    <t xml:space="preserve">https://www.thomassci.com/p/the-portable-gm-80cr</t>
  </si>
  <si>
    <t xml:space="preserve">https://www.dutscher.com/article/088900</t>
  </si>
  <si>
    <t xml:space="preserve">https://www.dutscher.com/article/523272</t>
  </si>
  <si>
    <t xml:space="preserve">https://www.dutscher.com/article/523624</t>
  </si>
  <si>
    <t xml:space="preserve">FastGene Restriction Enzyme Age I 300 U (10 U/µl)</t>
  </si>
  <si>
    <t xml:space="preserve">https://www.dutscher.com/article/523421</t>
  </si>
  <si>
    <t xml:space="preserve">Bambanker Standard freezing medium, 20 ml</t>
  </si>
  <si>
    <t xml:space="preserve">https://www.dutscher.com/article/523303</t>
  </si>
  <si>
    <t xml:space="preserve">https://www.thomassci.com/p/total-rna-purification-maxi-kit</t>
  </si>
  <si>
    <t xml:space="preserve">https://www.thomassci.com/p/endotoxin-removal-kits-for-dna</t>
  </si>
  <si>
    <t xml:space="preserve">https://www.thomassci.com/p/hbv-taqman-pcr-detection-kits</t>
  </si>
  <si>
    <t xml:space="preserve">Stool Nucleic Acid Collection and Preservation System (50)</t>
  </si>
  <si>
    <t xml:space="preserve">https://www.thomassci.com/p/stool-nucleic-acid-collection-and-preservation-system-50</t>
  </si>
  <si>
    <t xml:space="preserve">DNA Gel Extraction Kit</t>
  </si>
  <si>
    <t xml:space="preserve">https://www.thomassci.com/p/dna-gel-extraction-kit</t>
  </si>
  <si>
    <t xml:space="preserve">https://www.thomassci.com/p/faceshield-windows-and-brackets</t>
  </si>
  <si>
    <t xml:space="preserve">https://www.thomassci.com/p/refresher-wipes</t>
  </si>
  <si>
    <t xml:space="preserve">https://www.thomassci.com/p/gas-and-vapor-respirator-cartridges</t>
  </si>
  <si>
    <t xml:space="preserve">Protecto Shield Prolok Headgear</t>
  </si>
  <si>
    <t xml:space="preserve">https://www.thomassci.com/p/protecto-shield-prolok-headgear</t>
  </si>
  <si>
    <t xml:space="preserve">Particulate Filters</t>
  </si>
  <si>
    <t xml:space="preserve">https://www.thomassci.com/p/particulate-filters</t>
  </si>
  <si>
    <t xml:space="preserve">https://www.thomassci.com/p/butyl-unsupported-smooth-grip-gloves</t>
  </si>
  <si>
    <t xml:space="preserve">https://www.thomassci.com/p/butyl-glovebox-gloves</t>
  </si>
  <si>
    <t xml:space="preserve">https://www.thomassci.com/p/hypalon-drybox-gloves</t>
  </si>
  <si>
    <t xml:space="preserve">5400 Series Full Facepiece Respirator</t>
  </si>
  <si>
    <t xml:space="preserve">https://www.thomassci.com/p/5400-series-full-facepiece-respirator</t>
  </si>
  <si>
    <t xml:space="preserve">ER2000 CBRN Escape Respirator</t>
  </si>
  <si>
    <t xml:space="preserve">https://www.thomassci.com/p/er2000-cbrn-escape-respirator</t>
  </si>
  <si>
    <t xml:space="preserve">https://www.thomassci.com/p/kit-membrane-pco2-bp-flex</t>
  </si>
  <si>
    <t xml:space="preserve">https://www.thomassci.com/p/sensor-po2-bp-flex</t>
  </si>
  <si>
    <t xml:space="preserve">https://www.thomassci.com/p/conditioning-soln-pc02/tc02</t>
  </si>
  <si>
    <t xml:space="preserve">BioProfile FLEX 2 MicroSensor™ Card LV (125 samples or 21 days)</t>
  </si>
  <si>
    <t xml:space="preserve">https://www.thomassci.com/p/bioprofile-flex-2-microsensor-card-lv-125-samples-or-21-days</t>
  </si>
  <si>
    <t xml:space="preserve">Sensor Lactate Bp Flex</t>
  </si>
  <si>
    <t xml:space="preserve">https://www.thomassci.com/p/sensor-lactate-bp-flex</t>
  </si>
  <si>
    <t xml:space="preserve">https://www.thomassci.com/p/real-time-pcr-detection-kit-for-htlv1-150-reactions</t>
  </si>
  <si>
    <t xml:space="preserve">https://www.thomassci.com/p/genesig-advanced-kit-for-monkey-pox-virus</t>
  </si>
  <si>
    <t xml:space="preserve">https://www.thomassci.com/p/real-time-pcr-detection-kit-for-lyme-disease-150-reactions</t>
  </si>
  <si>
    <t xml:space="preserve">genesigPlex, real time PCR, multiplex kit, HIV1/HIV2//HBV/HCV</t>
  </si>
  <si>
    <t xml:space="preserve">https://www.thomassci.com/p/genesigplex-real-time-pcr-multiplex-kit-hiv1/hiv2//hbv/hcv</t>
  </si>
  <si>
    <t xml:space="preserve">Standard Real-Time PCR Detection Kit, Trypanosoma cruzi, 150 reactions</t>
  </si>
  <si>
    <t xml:space="preserve">https://www.thomassci.com/p/standard-real-time-pcr-detection-kit-trypanosoma-cruzi-150-reactions</t>
  </si>
  <si>
    <t xml:space="preserve">https://www.thomassci.com/p/class-2-electrical-safety-kit-1pr-bicolor-esp-glove-1-pr-cow-protector-1-14-glove-bag</t>
  </si>
  <si>
    <t xml:space="preserve">https://www.thomassci.com/p/novax-class-0-rubber-insul-glv-11-blk-7</t>
  </si>
  <si>
    <t xml:space="preserve">automated capillary western-blot immunoassay systems</t>
  </si>
  <si>
    <t xml:space="preserve">recombinant proteins, antibodies, immunoassay kits</t>
  </si>
  <si>
    <t xml:space="preserve">in situ hybridization assays for RNA detection</t>
  </si>
  <si>
    <t xml:space="preserve">https://www.thomassci.com/p/staticmaster-static-eliminator</t>
  </si>
  <si>
    <t xml:space="preserve">https://www.thomassci.com/p/esd-workstation-kit</t>
  </si>
  <si>
    <t xml:space="preserve">https://www.thomassci.com/p/static-eliminating-brushes</t>
  </si>
  <si>
    <t xml:space="preserve">https://www.thomassci.com/p/quantitative-legionella-pt</t>
  </si>
  <si>
    <t xml:space="preserve">https://www.thomassci.com/p/eaerogenes-snap-stick</t>
  </si>
  <si>
    <t xml:space="preserve">https://www.thomassci.com/p/microbiological-crms-for-petrifilm-staph-express-count-plates</t>
  </si>
  <si>
    <t xml:space="preserve">NPW - Total Residual Chlorine, NELAC range 0.5-3.0 mg/L, 2.2mL</t>
  </si>
  <si>
    <t xml:space="preserve">https://www.thomassci.com/p/npw-total-residual-chlorine-nelac-range-0-5-3-0-mg/l-2-2ml</t>
  </si>
  <si>
    <t xml:space="preserve">Quantitative Coliforms/E.coli/Fecal Coliform</t>
  </si>
  <si>
    <t xml:space="preserve">https://www.thomassci.com/p/quantitative-coliforms/e-coli/fecal-coliform</t>
  </si>
  <si>
    <t xml:space="preserve">https://www.thomassci.com/p/patient-room-collectors</t>
  </si>
  <si>
    <t xml:space="preserve">https://www.thomassci.com/p/large-multi-purpose-sharps-containers</t>
  </si>
  <si>
    <t xml:space="preserve">https://www.thomassci.com/p/phlebotomy-sharps-containers</t>
  </si>
  <si>
    <t xml:space="preserve">Multi-Purpose Sharps Containers</t>
  </si>
  <si>
    <t xml:space="preserve">https://www.thomassci.com/p/multi-purpose-sharps-containers-1</t>
  </si>
  <si>
    <t xml:space="preserve">https://www.thomassci.com/p/supersal2-oral-fluid-saliva-collection-device</t>
  </si>
  <si>
    <t xml:space="preserve">https://www.thomassci.com/p/microsal-for-children-child-saliva-collection-kit</t>
  </si>
  <si>
    <t xml:space="preserve">https://www.thomassci.com/p/supersal-oral-fluid-saliva-collection-device</t>
  </si>
  <si>
    <t xml:space="preserve">RNAPro•SAL™ Split Sample Kit for Liquid Biopsy</t>
  </si>
  <si>
    <t xml:space="preserve">https://www.thomassci.com/p/rnaprosal-split-sample-kit-for-liquid-biopsy</t>
  </si>
  <si>
    <t xml:space="preserve">Pure•SAL™ Ideal for Liquid Biopsy and Exosomes</t>
  </si>
  <si>
    <t xml:space="preserve">https://www.thomassci.com/p/puresal-ideal-for-liquid-biopsy-and-exosomes</t>
  </si>
  <si>
    <t xml:space="preserve">https://www.thomassci.com/p/octapoolsolution-reservoirs-25ml-disposable-sterile-one-per-bag-qty-100</t>
  </si>
  <si>
    <t xml:space="preserve">https://www.thomassci.com/p/octapoolsolution-reservoirs-50ml-disposable-sterile-five-per-bag-qty-200</t>
  </si>
  <si>
    <t xml:space="preserve">https://www.thomassci.com/p/octapoolsolution-reservoirs-100ml-disposable-sterile-five-per-bag-qty-200</t>
  </si>
  <si>
    <t xml:space="preserve">OctaPool™Solution Reservoirs, 50ml disposable, nonsterile, Qty: 100</t>
  </si>
  <si>
    <t xml:space="preserve">https://www.thomassci.com/p/octapoolsolution-reservoirs-50ml-disposable-nonsterile-qty-100</t>
  </si>
  <si>
    <t xml:space="preserve">OctaPool™Solution Reservoirs, 100ml disposable, sterile, one per bag, Qty:100</t>
  </si>
  <si>
    <t xml:space="preserve">https://www.thomassci.com/p/octapoolsolution-reservoirs-100ml-disposable-sterile-one-per-bag-qty100</t>
  </si>
  <si>
    <t xml:space="preserve">analytical &amp; precision laboratory balances</t>
  </si>
  <si>
    <t xml:space="preserve">mid-range analytical and precision balances</t>
  </si>
  <si>
    <t xml:space="preserve">benchtop micro, multi-pro and high-speed centrifuges</t>
  </si>
  <si>
    <t xml:space="preserve">https://www.thomassci.com/p/needle-olive-14-gauge</t>
  </si>
  <si>
    <t xml:space="preserve">https://www.thomassci.com/p/700-tip-cap-double-helix-thread-orange-50ea/pk</t>
  </si>
  <si>
    <t xml:space="preserve">https://www.thomassci.com/p/te-series-blunt-tip-30g-x-1/4-length-dispensing-needles</t>
  </si>
  <si>
    <t xml:space="preserve">700 Series 5cc Syringe Barrel, Natural Color with White Wiper Piston</t>
  </si>
  <si>
    <t xml:space="preserve">https://www.thomassci.com/p/700-series-5cc-syringe-barrel-natural-color-with-white-wiper-piston</t>
  </si>
  <si>
    <t xml:space="preserve">Techon Flexible Tip</t>
  </si>
  <si>
    <t xml:space="preserve">https://www.thomassci.com/p/plastic-needle-with-flex-poly-tip</t>
  </si>
  <si>
    <t xml:space="preserve">https://www.thomassci.com/p/hibind-rna-spin-columns-v-spin</t>
  </si>
  <si>
    <t xml:space="preserve">https://www.thomassci.com/p/hibind-dna-columns</t>
  </si>
  <si>
    <t xml:space="preserve">https://www.thomassci.com/p/e-z-96-tissue-dna-kit</t>
  </si>
  <si>
    <t xml:space="preserve">E.Z.N.A.® HP Plant DNA Kit</t>
  </si>
  <si>
    <t xml:space="preserve">https://www.thomassci.com/p/e-z-n-a-hp-plant-dna-kit</t>
  </si>
  <si>
    <t xml:space="preserve">E-Z 96® Total RNA Kit</t>
  </si>
  <si>
    <t xml:space="preserve">https://www.thomassci.com/p/e-z-96-total-rna-kit</t>
  </si>
  <si>
    <t xml:space="preserve">https://www.thomassci.com/p/bead-ruptor-24-2ml-tube-carriage-kit</t>
  </si>
  <si>
    <t xml:space="preserve">https://www.thomassci.com/p/bead-ruptor-pre-filled-bead-tubes</t>
  </si>
  <si>
    <t xml:space="preserve">https://www.thomassci.com/p/high-power-series-homogenizers</t>
  </si>
  <si>
    <t xml:space="preserve">TH Tissue Homogenizer</t>
  </si>
  <si>
    <t xml:space="preserve">https://www.thomassci.com/p/omni-th-tissue-homogenizer</t>
  </si>
  <si>
    <t xml:space="preserve">2 mL Reinforced Tubes with Screw Caps &amp; Silicone O-Rings, 1000/Pack</t>
  </si>
  <si>
    <t xml:space="preserve">https://www.thomassci.com/p/2-ml-reinforced-tubes-with-screw-caps-and-silicone-o-rings-1000/pack</t>
  </si>
  <si>
    <t xml:space="preserve">https://www.dutscher.com/article/670957</t>
  </si>
  <si>
    <t xml:space="preserve">https://www.dutscher.com/article/671226</t>
  </si>
  <si>
    <t xml:space="preserve">https://www.dutscher.com/article/671262</t>
  </si>
  <si>
    <t xml:space="preserve">Inverted microscope IM-300 trinocular LED ph10x ph20x ph40x</t>
  </si>
  <si>
    <t xml:space="preserve">https://www.dutscher.com/article/671669</t>
  </si>
  <si>
    <t xml:space="preserve">Straight microscope B-192 binocular head Optika</t>
  </si>
  <si>
    <t xml:space="preserve">https://www.dutscher.com/article/670149B</t>
  </si>
  <si>
    <t xml:space="preserve">https://www.thomassci.com/p/microvap-microplate-evaporators</t>
  </si>
  <si>
    <t xml:space="preserve">https://www.thomassci.com/p/6-position-n-evap-nitrogen-evaporators</t>
  </si>
  <si>
    <t xml:space="preserve">https://www.thomassci.com/p/microvap-triple-microplate-evaporators</t>
  </si>
  <si>
    <t xml:space="preserve">Accessories &amp; Parts for Evaporators</t>
  </si>
  <si>
    <t xml:space="preserve">https://www.thomassci.com/p/accessories-and-parts-for-evaporators</t>
  </si>
  <si>
    <t xml:space="preserve">24 Position MICROVAP® Small Batch Evaporators</t>
  </si>
  <si>
    <t xml:space="preserve">https://www.thomassci.com/p/24-position-microvap-small-batch-evaporators</t>
  </si>
  <si>
    <t xml:space="preserve">https://www.thomassci.com/p/general-purpose-cable-tie-50-lb-tensile-strenght-7-6-in-l-natural-1000-ea/bg</t>
  </si>
  <si>
    <t xml:space="preserve">https://www.thomassci.com/p/chemzoil-nl-339-heavy-duty-neoprene-glv-size-10-6pr/cs</t>
  </si>
  <si>
    <t xml:space="preserve">https://www.thomassci.com/p/cable-ties</t>
  </si>
  <si>
    <t xml:space="preserve">Shearcutter, Weller 1178MVN, Micro ESD</t>
  </si>
  <si>
    <t xml:space="preserve">https://www.thomassci.com/p/shearcutter-weller-1178mvn-micro-esd</t>
  </si>
  <si>
    <t xml:space="preserve">https://www.thomassci.com/p/genefinder-jev/wnv-realamp-kit</t>
  </si>
  <si>
    <t xml:space="preserve">https://www.thomassci.com/p/genefinder-hla-a6601-realamp-kit</t>
  </si>
  <si>
    <t xml:space="preserve">https://www.thomassci.com/p/genefinder-hla-b52-realamp-kit</t>
  </si>
  <si>
    <t xml:space="preserve">GeneFinder™ COVID-19/Flu A&amp;B RealAmp Kit</t>
  </si>
  <si>
    <t xml:space="preserve">https://www.thomassci.com/p/genefinder-covid-19/flu-a-and-b-realamp-kit</t>
  </si>
  <si>
    <t xml:space="preserve">GeneFinder™ HLA-DQ6.2/DR2 RealAmp kit</t>
  </si>
  <si>
    <t xml:space="preserve">https://www.thomassci.com/p/genefinder-hla-dq6-2/dr2-realamp-kit</t>
  </si>
  <si>
    <t xml:space="preserve">https://www.dutscher.com/article/258512</t>
  </si>
  <si>
    <t xml:space="preserve">https://www.dutscher.com/article/258475</t>
  </si>
  <si>
    <t xml:space="preserve">https://www.dutscher.com/article/258510</t>
  </si>
  <si>
    <t xml:space="preserve">Ultra Mix Owi Script Reverse Transcriptase with gDNA CleanUp for qPCR, 20 reactions</t>
  </si>
  <si>
    <t xml:space="preserve">https://www.dutscher.com/article/258496</t>
  </si>
  <si>
    <t xml:space="preserve">Master Mix qPCR Owi Green Fast 5 ml</t>
  </si>
  <si>
    <t xml:space="preserve">https://www.dutscher.com/article/258494</t>
  </si>
  <si>
    <t xml:space="preserve">EDS/EBSD microanalysis systems for SEM/TEM</t>
  </si>
  <si>
    <t xml:space="preserve">scientific EMCCD/sCMOS cameras &amp; confocal imaging</t>
  </si>
  <si>
    <t xml:space="preserve">plasma etch &amp; deposition tools for semiconductors</t>
  </si>
  <si>
    <t xml:space="preserve">https://www.thomassci.com/p/centrifuge-and-fixed-angle-rotors</t>
  </si>
  <si>
    <t xml:space="preserve">https://www.thomassci.com/p/oxford-stirrers-and-quarter-reaction-block</t>
  </si>
  <si>
    <t xml:space="preserve">https://www.thomassci.com/p/capporigami-40-ml-12-channel-pipettes-pre-sterile-10-bags-with-5-pcs-each</t>
  </si>
  <si>
    <t xml:space="preserve">OXFORD BENCHMATE PLUS PIPETTES</t>
  </si>
  <si>
    <t xml:space="preserve">https://www.thomassci.com/p/oxford-benchmate-plus-pipettes</t>
  </si>
  <si>
    <t xml:space="preserve">CappAero, stainless steel body &amp; piston, ergonomic lever ejector, aluminum shaft</t>
  </si>
  <si>
    <t xml:space="preserve">https://www.thomassci.com/p/cappaero-stainless-steel-body-and-piston-ergonomic-lever-ejector-aluminum-shaft</t>
  </si>
  <si>
    <t xml:space="preserve">https://www.thomassci.com/p/x-gal-staining-kit</t>
  </si>
  <si>
    <t xml:space="preserve">https://www.thomassci.com/p/hype-293-reagent-b293-transfection-reagent</t>
  </si>
  <si>
    <t xml:space="preserve">https://www.thomassci.com/p/silencemag-transfection-reagent</t>
  </si>
  <si>
    <t xml:space="preserve">Geneblaster</t>
  </si>
  <si>
    <t xml:space="preserve">https://www.thomassci.com/p/geneblaster</t>
  </si>
  <si>
    <t xml:space="preserve">Viromag</t>
  </si>
  <si>
    <t xml:space="preserve">https://www.thomassci.com/p/viromag</t>
  </si>
  <si>
    <t xml:space="preserve">https://www.thomassci.com/p/wall-mount-fold-down-gowning-bench</t>
  </si>
  <si>
    <t xml:space="preserve">https://www.thomassci.com/p/gowning-benches</t>
  </si>
  <si>
    <t xml:space="preserve">https://www.dutscher.com/article/278153</t>
  </si>
  <si>
    <t xml:space="preserve">https://www.dutscher.com/article/278040</t>
  </si>
  <si>
    <t xml:space="preserve">https://www.dutscher.com/article/278715</t>
  </si>
  <si>
    <t xml:space="preserve">Pall Acrodisc sterile syringe filter with Supor membrane - ø: 25 mm - Threshold: 0.8 µm</t>
  </si>
  <si>
    <t xml:space="preserve">https://www.dutscher.com/article/278030</t>
  </si>
  <si>
    <t xml:space="preserve">Acrodisc PVDF syringe filter - threshold: 0.45 µm - ø: 25 mm</t>
  </si>
  <si>
    <t xml:space="preserve">https://www.dutscher.com/article/278087</t>
  </si>
  <si>
    <t xml:space="preserve">https://www.thomassci.com/p/discide-ultra-disinfecting-towelettes-and-spray</t>
  </si>
  <si>
    <t xml:space="preserve">https://www.thomassci.com/p/discide-ultra-disinfecting-towelettes-and-spray-holders-and-dispensers</t>
  </si>
  <si>
    <t xml:space="preserve">https://www.thomassci.com/p/versi-wipe-dry-towel</t>
  </si>
  <si>
    <t xml:space="preserve">Biohazard Warning Labels</t>
  </si>
  <si>
    <t xml:space="preserve">https://www.thomassci.com/p/biohazard-warning-labels1</t>
  </si>
  <si>
    <t xml:space="preserve">https://www.dutscher.com/article/P04-992000</t>
  </si>
  <si>
    <t xml:space="preserve">https://www.dutscher.com/article/P04-01500</t>
  </si>
  <si>
    <t xml:space="preserve">https://www.dutscher.com/article/P10-023100SP</t>
  </si>
  <si>
    <t xml:space="preserve">P06-07300 · Penicillin/streptomycin/fungizone 10 000 U/10 ml/ 25 µg</t>
  </si>
  <si>
    <t xml:space="preserve">https://www.dutscher.com/article/P06-07300</t>
  </si>
  <si>
    <t xml:space="preserve">P04-01548 · Liquid media: DMEM without Glucose, without Phenol, without L-Glutamine, without Sodium Pyruvate, with 3.7 g/L NaHCO₃</t>
  </si>
  <si>
    <t xml:space="preserve">https://www.dutscher.com/article/P04-01548</t>
  </si>
  <si>
    <t xml:space="preserve">https://www.thomassci.com/p/nitrogen-generators-2</t>
  </si>
  <si>
    <t xml:space="preserve">https://www.thomassci.com/p/purity-hydrogen-generators</t>
  </si>
  <si>
    <t xml:space="preserve">https://www.thomassci.com/p/zero-air-generators</t>
  </si>
  <si>
    <t xml:space="preserve">https://www.thomassci.com/p/parter-petri-dishes</t>
  </si>
  <si>
    <t xml:space="preserve">https://www.thomassci.com/p/petri-dish-parter-medical-150x15mm-sterile-clear-polystyrene-dishes-sleeves-of-dishes-6-sleeves-per-case-20-each-per-sleeve-120-each-per-case</t>
  </si>
  <si>
    <t xml:space="preserve">https://www.thomassci.com/p/drosophila-bottles2</t>
  </si>
  <si>
    <t xml:space="preserve">65 x 15mm, Contact Plate, Sterile, Convex Bottom, Center Gated, Outside Grid, 700/case</t>
  </si>
  <si>
    <t xml:space="preserve">https://www.thomassci.com/p/65-x-15mm-contact-plate-sterile-convex-bottom-center-gated-outside-grid-700/case</t>
  </si>
  <si>
    <t xml:space="preserve">Specimen Container, Sterile, 4 oz,White Cap, Duo Click, 75/bg, 4bg/cs (300/cs) ***CERTIFICATE OF ANALYSIS MUST ACCOMPANY SHIPMENT***</t>
  </si>
  <si>
    <t xml:space="preserve">https://www.thomassci.com/p/specimen-container-sterile-4-ozwhite-cap-duo-click-75/bg-4bg/cs-300/cs-certificate-of-analysis-must-accompany-shipment</t>
  </si>
  <si>
    <t xml:space="preserve">https://www.thomassci.com/p/clara-hrm-mix</t>
  </si>
  <si>
    <t xml:space="preserve">https://www.thomassci.com/p/verifi-red-mix</t>
  </si>
  <si>
    <t xml:space="preserve">https://www.thomassci.com/p/hs-verifi-polymerase</t>
  </si>
  <si>
    <t xml:space="preserve">IsoFast™ Bst Polymerase</t>
  </si>
  <si>
    <t xml:space="preserve">https://www.thomassci.com/p/isofast-bst-polymerase</t>
  </si>
  <si>
    <t xml:space="preserve">Clara™ Probe 1-Step Mix, No-ROX</t>
  </si>
  <si>
    <t xml:space="preserve">https://www.thomassci.com/p/clara-probe-1-step-mix-no-rox</t>
  </si>
  <si>
    <t xml:space="preserve">https://www.thomassci.com/p/sani-cloth-plus-germicidal-disposable-cloth</t>
  </si>
  <si>
    <t xml:space="preserve">https://www.thomassci.com/p/sani-cloth-bleach-germicidal-disposable-wipes</t>
  </si>
  <si>
    <t xml:space="preserve">https://www.thomassci.com/p/super-sani-cloth-germicidal-disposable-wipes</t>
  </si>
  <si>
    <t xml:space="preserve">Sani-Hands® Instant Hand Sanitizing Wipes</t>
  </si>
  <si>
    <t xml:space="preserve">https://www.thomassci.com/p/sani-hands-instant-hand-sanitizing-wipes</t>
  </si>
  <si>
    <t xml:space="preserve">AF3 Germicidal Disposable Wipes</t>
  </si>
  <si>
    <t xml:space="preserve">https://www.thomassci.com/p/af3-germicidal-disposable-wipes</t>
  </si>
  <si>
    <t xml:space="preserve">https://www.thomassci.com/p/infinity-xe6040-nitrogen-gas-generator</t>
  </si>
  <si>
    <t xml:space="preserve">https://www.thomassci.com/p/precision-zero-air-30l-generator</t>
  </si>
  <si>
    <t xml:space="preserve">https://www.thomassci.com/p/wiper-glass-and-surface-pull-up-975-x-1675-150/bx-6bx/cs-900-count</t>
  </si>
  <si>
    <t xml:space="preserve">https://www.thomassci.com/p/industrial-maxituff-polycellulose-nonwoven-wipers</t>
  </si>
  <si>
    <t xml:space="preserve">https://www.thomassci.com/p/wiper-blue-meltblown-12-x-13-inches-1/4-fold-55-wipers-per-bag-10-bags-per-case-or-550-wipers-per-case</t>
  </si>
  <si>
    <t xml:space="preserve">Wipers, DRC Wiper, Pop-Up, 9 inch X 16.5 inches, 100 each per box, 8 boxes per case</t>
  </si>
  <si>
    <t xml:space="preserve">https://www.thomassci.com/p/wipers-drc-wiper-pop-up-9-inch-x-165-inches-100-each-per-box-8-boxes-per-case</t>
  </si>
  <si>
    <t xml:space="preserve">https://www.thomassci.com/p/bmp4-selective-inhibitor-peptide-1</t>
  </si>
  <si>
    <t xml:space="preserve">https://www.thomassci.com/p/vegf-alternative-peptide-1</t>
  </si>
  <si>
    <t xml:space="preserve">https://www.thomassci.com/p/wnt3a-alternative-peptide-1</t>
  </si>
  <si>
    <t xml:space="preserve">BDNF Alternative Peptide</t>
  </si>
  <si>
    <t xml:space="preserve">https://www.thomassci.com/p/bdnf-alternative-peptide</t>
  </si>
  <si>
    <t xml:space="preserve">BMP7 Selective Inhibitor Peptide</t>
  </si>
  <si>
    <t xml:space="preserve">https://www.thomassci.com/p/bmp7-selective-inhibitor-peptide-1</t>
  </si>
  <si>
    <t xml:space="preserve">https://www.thomassci.com/p/truclean-blue-cleanroom-microfiber-mopcover</t>
  </si>
  <si>
    <t xml:space="preserve">https://www.thomassci.com/p/truclean-pro-triple-bucket-system</t>
  </si>
  <si>
    <t xml:space="preserve">https://www.thomassci.com/p/truclean-microfiber-mop-cover-1ea-25cv/bg-20bg/cs</t>
  </si>
  <si>
    <t xml:space="preserve">TruCLEAN 2 Piece Polypropylene Mop Handle, 34-62 Length, Requires Frame</t>
  </si>
  <si>
    <t xml:space="preserve">https://www.thomassci.com/p/truclean-2-piece-polypropylene-mop-handle-34-62-length-requires-frame</t>
  </si>
  <si>
    <t xml:space="preserve">TruCLEAN Pro Cart with 3" casters, PERFEX, each</t>
  </si>
  <si>
    <t xml:space="preserve">https://www.thomassci.com/p/truclean-pro-cart-with-3-casters-perfex-each</t>
  </si>
  <si>
    <t xml:space="preserve">inductively coupled plasma mass spectrometers</t>
  </si>
  <si>
    <t xml:space="preserve">ICP optical emission spectrometers for elemental analysis</t>
  </si>
  <si>
    <t xml:space="preserve">FT-IR, UV-Vis and thermal analysis instruments</t>
  </si>
  <si>
    <t xml:space="preserve">https://www.thomassci.com/p/ring-magnet-plate</t>
  </si>
  <si>
    <t xml:space="preserve">https://www.thomassci.com/p/96s-super-magnet-plate-1</t>
  </si>
  <si>
    <t xml:space="preserve">https://www.thomassci.com/p/centrifuge-tube-magnetic-separation-rack</t>
  </si>
  <si>
    <t xml:space="preserve">Pull Bar Magnet PCR Separation Plate</t>
  </si>
  <si>
    <t xml:space="preserve">https://www.thomassci.com/p/pull-bar-magnet-pcr-separation-plate</t>
  </si>
  <si>
    <t xml:space="preserve">Microcentrifuge Tube Magnet Separation Rack</t>
  </si>
  <si>
    <t xml:space="preserve">https://www.thomassci.com/p/microcentrifuge-tube-magnet-separation-rack</t>
  </si>
  <si>
    <t xml:space="preserve">https://www.dutscher.com/article/972569B</t>
  </si>
  <si>
    <t xml:space="preserve">https://www.dutscher.com/article/972499</t>
  </si>
  <si>
    <t xml:space="preserve">https://www.dutscher.com/article/972492</t>
  </si>
  <si>
    <t xml:space="preserve">Phago'gel SPS - 500 ml bottle with 3 ml pump</t>
  </si>
  <si>
    <t xml:space="preserve">https://www.dutscher.com/article/972621A</t>
  </si>
  <si>
    <t xml:space="preserve">Disinfectant cleaning tablets in Virkon 50 g doses</t>
  </si>
  <si>
    <t xml:space="preserve">https://www.dutscher.com/article/972473</t>
  </si>
  <si>
    <t xml:space="preserve">-86C ultra-low temperature freezer</t>
  </si>
  <si>
    <t xml:space="preserve">CO2 incubators with H2O2 decontamination</t>
  </si>
  <si>
    <t xml:space="preserve">pharmaceutical refrigerators and biomedical freezers</t>
  </si>
  <si>
    <t xml:space="preserve">https://www.thomassci.com/p/white-freezer-boxes</t>
  </si>
  <si>
    <t xml:space="preserve">https://www.thomassci.com/p/gelred-nucleic-acid-stain-10000x</t>
  </si>
  <si>
    <t xml:space="preserve">https://www.thomassci.com/p/96-well-pcr-plates-non-skirted</t>
  </si>
  <si>
    <t xml:space="preserve">Molecular Grade Water</t>
  </si>
  <si>
    <t xml:space="preserve">https://www.thomassci.com/p/molecular-grade-water</t>
  </si>
  <si>
    <t xml:space="preserve">96 Well PCR Plates, Non-Warping, Semi-Skirted</t>
  </si>
  <si>
    <t xml:space="preserve">https://www.thomassci.com/p/96-well-pcr-plates-non-warping-semi-skirted</t>
  </si>
  <si>
    <t xml:space="preserve">https://www.thomassci.com/p/pb-900-series-programmable-jar-testers</t>
  </si>
  <si>
    <t xml:space="preserve">https://www.thomassci.com/p/programmable-jar-testersstirrers</t>
  </si>
  <si>
    <t xml:space="preserve">https://www.thomassci.com/p/ansi-type-r-class-2-four-pocket-value-mesh-vest</t>
  </si>
  <si>
    <t xml:space="preserve">https://www.thomassci.com/p/burn-kit-1</t>
  </si>
  <si>
    <t xml:space="preserve">https://www.thomassci.com/p/ansi-z308-1-2021-class-a-first-aid-kits-1</t>
  </si>
  <si>
    <t xml:space="preserve">Industrial Climbing Helmets with Mips® Technology</t>
  </si>
  <si>
    <t xml:space="preserve">https://www.thomassci.com/p/industrial-climbing-helmets-with-mips-technology</t>
  </si>
  <si>
    <t xml:space="preserve">ANSI Z308.1-2021, Class A, 25 Person Kit, Plastic Case</t>
  </si>
  <si>
    <t xml:space="preserve">https://www.thomassci.com/p/first-aid-kit-25-person-plastic-box-gasketted-class-a-waterproof-ansi-z308-1-2021</t>
  </si>
  <si>
    <t xml:space="preserve">https://www.thomassci.com/p/biocoupler-glass-sets</t>
  </si>
  <si>
    <t xml:space="preserve">https://www.thomassci.com/p/supreme-tc-grade-agar</t>
  </si>
  <si>
    <t xml:space="preserve">https://www.thomassci.com/p/compact-glove-boxes</t>
  </si>
  <si>
    <t xml:space="preserve">https://www.thomassci.com/p/one-touch-/-go-anaerobic-automatic-anaerobic-chamber</t>
  </si>
  <si>
    <t xml:space="preserve">https://www.thomassci.com/p/broome-style-rodent-restrainer</t>
  </si>
  <si>
    <t xml:space="preserve">Econo-Cage Animal Restrainers</t>
  </si>
  <si>
    <t xml:space="preserve">https://www.thomassci.com/p/econo-cage-animal-restrainers</t>
  </si>
  <si>
    <t xml:space="preserve">810-SG30 University Glove Box</t>
  </si>
  <si>
    <t xml:space="preserve">https://www.thomassci.com/p/810-sg30-university-glove-box</t>
  </si>
  <si>
    <t xml:space="preserve">https://www.thomassci.com/p/trimming-knives-w/-break-away-blades-multi-color-5-1/ea</t>
  </si>
  <si>
    <t xml:space="preserve">https://www.thomassci.com/p/premium-4-1/2-gate-cutters-stainless-1/each</t>
  </si>
  <si>
    <t xml:space="preserve">https://www.thomassci.com/p/neoprene-rubber-stoppers</t>
  </si>
  <si>
    <t xml:space="preserve">https://www.thomassci.com/p/twistit-convertible-stoppers</t>
  </si>
  <si>
    <t xml:space="preserve">https://www.thomassci.com/p/solid-rubber-stoppers</t>
  </si>
  <si>
    <t xml:space="preserve">One-Hole Rubber Stoppers</t>
  </si>
  <si>
    <t xml:space="preserve">https://www.thomassci.com/p/one-hole-rubber-stoppers</t>
  </si>
  <si>
    <t xml:space="preserve">https://www.thomassci.com/p/thermotrack-pc</t>
  </si>
  <si>
    <t xml:space="preserve">https://www.thomassci.com/p/sensor-net-connect</t>
  </si>
  <si>
    <t xml:space="preserve">https://www.thomassci.com/p/calibration-certificates</t>
  </si>
  <si>
    <t xml:space="preserve">Thermo Button - Hygro Button</t>
  </si>
  <si>
    <t xml:space="preserve">https://www.thomassci.com/p/thermo-button-hydro-button</t>
  </si>
  <si>
    <t xml:space="preserve">FoxNet Wireless Temperature Monitoring</t>
  </si>
  <si>
    <t xml:space="preserve">https://www.thomassci.com/p/foxnet-wireless-temperature-monitoring</t>
  </si>
  <si>
    <t xml:space="preserve">https://www.thomassci.com/p/thermo-chill-insulated-foam-shippers</t>
  </si>
  <si>
    <t xml:space="preserve">https://www.thomassci.com/p/ice-brix-and-xtreme-brix-cold-packs</t>
  </si>
  <si>
    <t xml:space="preserve">https://www.thomassci.com/p/dry-icetransport/storage-chests</t>
  </si>
  <si>
    <t xml:space="preserve">Hazardous Liquid Can Shippers</t>
  </si>
  <si>
    <t xml:space="preserve">https://www.thomassci.com/p/hazardous-liquid-can-shippers</t>
  </si>
  <si>
    <t xml:space="preserve">Safeway™ Series UN &amp; DOT Compliance Bottle Shippers</t>
  </si>
  <si>
    <t xml:space="preserve">https://www.thomassci.com/p/safeway-series-un-and-dot-compliance-bottle-shippers</t>
  </si>
  <si>
    <t xml:space="preserve">https://www.thomassci.com/p/utility-trays</t>
  </si>
  <si>
    <t xml:space="preserve">https://www.thomassci.com/p/griffin-style-beakers-with-closed-handles</t>
  </si>
  <si>
    <t xml:space="preserve">https://www.thomassci.com/p/griffin-low-form-beakers</t>
  </si>
  <si>
    <t xml:space="preserve">Solution Basins</t>
  </si>
  <si>
    <t xml:space="preserve">https://www.thomassci.com/p/solution-basins</t>
  </si>
  <si>
    <t xml:space="preserve">Emesis Basins</t>
  </si>
  <si>
    <t xml:space="preserve">https://www.thomassci.com/p/emesis-basins</t>
  </si>
  <si>
    <t xml:space="preserve">https://www.thomassci.com/p/polywear-2-milsmooth-disposable-gowns</t>
  </si>
  <si>
    <t xml:space="preserve">https://www.thomassci.com/p/vr-gown-with-elastic-cuffs-large-50-inch-length-blue-6-mil-bulk-packaging-50-per-case</t>
  </si>
  <si>
    <t xml:space="preserve">https://www.thomassci.com/p/polywear-disposable-gowns</t>
  </si>
  <si>
    <t xml:space="preserve">VR® Boot Covers</t>
  </si>
  <si>
    <t xml:space="preserve">https://www.thomassci.com/p/vrboot-covers</t>
  </si>
  <si>
    <t xml:space="preserve">18" long VR sleeve</t>
  </si>
  <si>
    <t xml:space="preserve">https://www.thomassci.com/p/18-inch-long-vr-sleeve</t>
  </si>
  <si>
    <t xml:space="preserve">https://www.thomassci.com/p/premium-digital-general-purpose-water-baths</t>
  </si>
  <si>
    <t xml:space="preserve">https://www.thomassci.com/p/dynalene-hc-50-low-temperature-bath-fluid</t>
  </si>
  <si>
    <t xml:space="preserve">https://www.thomassci.com/p/polyscience-polycool-pg-20-propylene-glycol1-gallon-bottle-1/ea</t>
  </si>
  <si>
    <t xml:space="preserve">Refrigerated Circulators with Advanced Digital Temperature Controllers</t>
  </si>
  <si>
    <t xml:space="preserve">https://www.thomassci.com/p/refrigerated-circulators-with-advanced-digital-temperature-controllers</t>
  </si>
  <si>
    <t xml:space="preserve">PolyClear Mix 30 Plus Bath Fluid</t>
  </si>
  <si>
    <t xml:space="preserve">https://www.thomassci.com/p/polyclear-mix-30-plus-bath-fluid</t>
  </si>
  <si>
    <t xml:space="preserve">https://www.thomassci.com/p/low-form-cylindrical-dewar-flasks</t>
  </si>
  <si>
    <t xml:space="preserve">https://www.thomassci.com/p/cylindrical-form-dewar-flasks</t>
  </si>
  <si>
    <t xml:space="preserve">https://www.thomassci.com/p/cylindrical-wide-mouth-dewars-with-metal-handles</t>
  </si>
  <si>
    <t xml:space="preserve">Low Form, Hemispherical Dewar Flasks</t>
  </si>
  <si>
    <t xml:space="preserve">https://www.thomassci.com/p/low-form-hemispherical-dewar-flasks</t>
  </si>
  <si>
    <t xml:space="preserve">Cylindrical Form Dewar Flasks With Extended Base</t>
  </si>
  <si>
    <t xml:space="preserve">https://www.thomassci.com/p/cylindrical-form-dewar-flasks-with-extended-base</t>
  </si>
  <si>
    <t xml:space="preserve">https://www.thomassci.com/p/calibration-gas-hydrogen-sulfide-25-ppm-carbon-monoxide-100-ppm-methane-2-5-50-lel-oxygen-18-nitrogen-balance-58-liter-cylinder-c-10-connection-24-month-shelf-life</t>
  </si>
  <si>
    <t xml:space="preserve">https://www.thomassci.com/p/calibration-gas-hydrogen-sulfide-20-ppm-carbon-monoxide-200-ppm-methane-2-5-50-lel-oxygen-18-nitrogen-balance-58-liter-cylinder-c-10-connection-24-month-shelf-life</t>
  </si>
  <si>
    <t xml:space="preserve">https://www.thomassci.com/p/calibration-gas-iso-butylene-100-ppm-air-balance-100-liter-cylinder-c-10-connection-36-month-shelf-life</t>
  </si>
  <si>
    <t xml:space="preserve">Calibration Gas, Hydrogen Sulfide 25 Ppm, Nitrogen Balance, 58 Liter Cylinder, C-10 Connection</t>
  </si>
  <si>
    <t xml:space="preserve">https://www.thomassci.com/p/calibration-gas-hydrogen-sulfide-25-ppm-nitrogen-balance-58-liter-cylinder-c-10-connection</t>
  </si>
  <si>
    <t xml:space="preserve">Preset, Fixed Flow Regulator, Economy, 0.5 Liters Per Minute (Lpm) Flow Rate, C-10 Connection</t>
  </si>
  <si>
    <t xml:space="preserve">https://www.thomassci.com/p/preset-fixed-flow-regulator-economy-0-5-liters-per-minute-lpm-flow-rate-c-10-connection</t>
  </si>
  <si>
    <t xml:space="preserve">https://www.thomassci.com/p/24-well-krystal-clear-bottom-polystyrene-assay-plates</t>
  </si>
  <si>
    <t xml:space="preserve">https://www.thomassci.com/p/96-well-krystal-glass-bottom-imaging-plates</t>
  </si>
  <si>
    <t xml:space="preserve">https://www.thomassci.com/p/solid-quartz-96-well-clear-plate-with-clear-base</t>
  </si>
  <si>
    <t xml:space="preserve">Peelable Foil (White Laminate) Film</t>
  </si>
  <si>
    <t xml:space="preserve">https://www.thomassci.com/p/peelable-foil-white-laminate-film</t>
  </si>
  <si>
    <t xml:space="preserve">Easily Pierced Foil Heat Sealing Film</t>
  </si>
  <si>
    <t xml:space="preserve">https://www.thomassci.com/p/easily-pierced-foil-heat-sealing-film</t>
  </si>
  <si>
    <t xml:space="preserve">https://www.thomassci.com/p/posiwear-ub-boot-cover</t>
  </si>
  <si>
    <t xml:space="preserve">https://www.thomassci.com/p/posiwear-ub</t>
  </si>
  <si>
    <t xml:space="preserve">https://www.thomassci.com/p/posi-wear-ba-disposable-coveralls</t>
  </si>
  <si>
    <t xml:space="preserve">https://www.thomassci.com/p/precision-clean-ii-002mil-bag</t>
  </si>
  <si>
    <t xml:space="preserve">https://www.thomassci.com/p/zip-clean-pouch</t>
  </si>
  <si>
    <t xml:space="preserve">https://www.thomassci.com/p/precision-clean-ii-tubing-rollstock</t>
  </si>
  <si>
    <t xml:space="preserve">Precision Clean II .006mil Bag</t>
  </si>
  <si>
    <t xml:space="preserve">https://www.thomassci.com/p/precision-clean-ii-006mil-bag</t>
  </si>
  <si>
    <t xml:space="preserve">Precision Clean Breather Bag</t>
  </si>
  <si>
    <t xml:space="preserve">https://www.thomassci.com/p/precision-clean-breather-bag</t>
  </si>
  <si>
    <t xml:space="preserve">https://www.thomassci.com/p/micro-osmometer</t>
  </si>
  <si>
    <t xml:space="preserve">https://www.thomassci.com/p/012-temperature-probe-for20ml-prec-systm2</t>
  </si>
  <si>
    <t xml:space="preserve">https://www.thomassci.com/p/5002-automatic-high-sensititut-prec-systm</t>
  </si>
  <si>
    <t xml:space="preserve">Sample Tubes &amp; Cleanettes</t>
  </si>
  <si>
    <t xml:space="preserve">https://www.thomassci.com/p/samptube-and-cln1000eapk2048</t>
  </si>
  <si>
    <t xml:space="preserve">Sample Tube</t>
  </si>
  <si>
    <t xml:space="preserve">https://www.thomassci.com/p/2020-pk-1000-sample-tubes-precis-sys</t>
  </si>
  <si>
    <t xml:space="preserve">https://www.thomassci.com/p/face-mask-earloop-fluid-resistant</t>
  </si>
  <si>
    <t xml:space="preserve">https://www.thomassci.com/p/progear-ppe-products</t>
  </si>
  <si>
    <t xml:space="preserve">https://www.thomassci.com/p/pro-advantage-soft-nitrile-exam-gloves</t>
  </si>
  <si>
    <t xml:space="preserve">https://www.thomassci.com/p/pro-advantage-gauze-sponges-non-sterile</t>
  </si>
  <si>
    <t xml:space="preserve">https://www.thomassci.com/p/pro-advantage-stockinettes</t>
  </si>
  <si>
    <t xml:space="preserve">Pro Advantage® Diagnostic Penlight</t>
  </si>
  <si>
    <t xml:space="preserve">https://www.thomassci.com/p/pro-advantage-diagnostic-penlight</t>
  </si>
  <si>
    <t xml:space="preserve">Pro Advantage® Paper Surgical Tapes</t>
  </si>
  <si>
    <t xml:space="preserve">https://www.thomassci.com/p/pro-advantage-paper-surgical-tapes</t>
  </si>
  <si>
    <t xml:space="preserve">https://www.thomassci.com/p/bio-gen-pro200-laboratory-homogenizers</t>
  </si>
  <si>
    <t xml:space="preserve">https://www.thomassci.com/p/pro250-laboratory-homogenizers</t>
  </si>
  <si>
    <t xml:space="preserve">https://www.thomassci.com/p/pro-d-series-digital-benchtop-homogenizers</t>
  </si>
  <si>
    <t xml:space="preserve">Multi-Gen 7XL Homogenizer Package</t>
  </si>
  <si>
    <t xml:space="preserve">https://www.thomassci.com/p/multi-gen-7xl-homogenizing-package</t>
  </si>
  <si>
    <t xml:space="preserve">PRO Quick Connect® Homogenizer Generators</t>
  </si>
  <si>
    <t xml:space="preserve">https://www.thomassci.com/p/pro-quick-connect-homogenizer-generators</t>
  </si>
  <si>
    <t xml:space="preserve">automated nucleic acid purification instrument</t>
  </si>
  <si>
    <t xml:space="preserve">multimode microplate readers and luminometers</t>
  </si>
  <si>
    <t xml:space="preserve">bioluminescent cell-viability and reporter assays</t>
  </si>
  <si>
    <t xml:space="preserve">https://www.thomassci.com/p/steri-wrap-iii</t>
  </si>
  <si>
    <t xml:space="preserve">https://www.thomassci.com/p/lead-free-steam-chex-autoclave-indicator-tape</t>
  </si>
  <si>
    <t xml:space="preserve">https://www.thomassci.com/p/steam-dot-blu-indicators</t>
  </si>
  <si>
    <t xml:space="preserve">BI-O.K.® Self-Contained Biological Indicators</t>
  </si>
  <si>
    <t xml:space="preserve">https://www.thomassci.com/p/bi-ok-self-contained-biological-indicators</t>
  </si>
  <si>
    <t xml:space="preserve">OK® Sterilization Indicator Strips</t>
  </si>
  <si>
    <t xml:space="preserve">https://www.thomassci.com/p/ok-sterilization-indicator-strips</t>
  </si>
  <si>
    <t xml:space="preserve">https://www.thomassci.com/p/aven-antibody-cat-no-2413</t>
  </si>
  <si>
    <t xml:space="preserve">https://www.thomassci.com/p/il-17-antibody-cat-no-4887</t>
  </si>
  <si>
    <t xml:space="preserve">https://www.thomassci.com/p/flip-antibody-cat-no-1161</t>
  </si>
  <si>
    <t xml:space="preserve">HIV-1 p24 Antibody [7F4] : Cat. No. PM-6585</t>
  </si>
  <si>
    <t xml:space="preserve">https://www.thomassci.com/p/hiv-1-p24-antibody-7f4-cat-no-pm-6585</t>
  </si>
  <si>
    <t xml:space="preserve">Mcl-1 Antibody: Cat. No. 3477</t>
  </si>
  <si>
    <t xml:space="preserve">https://www.thomassci.com/p/mcl-1-antibody-cat-no-3477</t>
  </si>
  <si>
    <t xml:space="preserve">https://www.thomassci.com/p/pedf-human-hek</t>
  </si>
  <si>
    <t xml:space="preserve">https://www.thomassci.com/p/serpine1-antibody</t>
  </si>
  <si>
    <t xml:space="preserve">https://www.thomassci.com/p/glutamate-decarboxylase-2-pancreatic-islets-and-brain-65kda1</t>
  </si>
  <si>
    <t xml:space="preserve">https://www.thomassci.com/p/mitogen-activated-protein-kinase-9</t>
  </si>
  <si>
    <t xml:space="preserve">https://www.thomassci.com/p/ubp1-rabbit-polyclonal-antibody-13856-1-ap1</t>
  </si>
  <si>
    <t xml:space="preserve">Actin-Binding Rho Activating Protein</t>
  </si>
  <si>
    <t xml:space="preserve">https://www.thomassci.com/p/actin-binding-rho-activating-protein</t>
  </si>
  <si>
    <t xml:space="preserve">Nucleotide Binding Protein-Like</t>
  </si>
  <si>
    <t xml:space="preserve">https://www.thomassci.com/p/nucleotide-binding-protein-like</t>
  </si>
  <si>
    <t xml:space="preserve">https://www.dutscher.com/article/PTX1021</t>
  </si>
  <si>
    <t xml:space="preserve">https://www.dutscher.com/article/PTX1078</t>
  </si>
  <si>
    <t xml:space="preserve">https://www.dutscher.com/article/PTX1118</t>
  </si>
  <si>
    <t xml:space="preserve">EBFP MOUSE POLYCLONAL ANTIBODY PROTEOGENIX IGG 100µl</t>
  </si>
  <si>
    <t xml:space="preserve">https://www.dutscher.com/article/PTX1065</t>
  </si>
  <si>
    <t xml:space="preserve">HUMAN IgG1 ISOTYPE CONTROL ANTICORPS (5Vk2) 100g</t>
  </si>
  <si>
    <t xml:space="preserve">https://www.dutscher.com/article/PTX17956</t>
  </si>
  <si>
    <t xml:space="preserve">https://www.thomassci.com/p/pulpfixin-autosleeve-and-2d-autobox-for-microcentrifuge-tube-sample-storage</t>
  </si>
  <si>
    <t xml:space="preserve">https://www.thomassci.com/p/pulpfixin-2d-autobox-for-4ml-glass-vials-with-2d-barcodes-sample-storage</t>
  </si>
  <si>
    <t xml:space="preserve">https://www.thomassci.com/p/pulp-fixin-autoracks-biodegradable-automation-racks-for-2d-tubes-1</t>
  </si>
  <si>
    <t xml:space="preserve">PulpFixin CryoBoxes - Sustainable Sample Storage Racks and Boxes</t>
  </si>
  <si>
    <t xml:space="preserve">https://www.thomassci.com/p/pulpfixin-cryoboxes-sustainable-sample-storage-racks-and-boxes</t>
  </si>
  <si>
    <t xml:space="preserve">https://www.dutscher.com/article/036414B</t>
  </si>
  <si>
    <t xml:space="preserve">https://www.dutscher.com/article/263025</t>
  </si>
  <si>
    <t xml:space="preserve">https://www.dutscher.com/article/263109</t>
  </si>
  <si>
    <t xml:space="preserve">Pureflock swabs - non-sterile - breakpoint 80 mm</t>
  </si>
  <si>
    <t xml:space="preserve">https://www.dutscher.com/article/263053</t>
  </si>
  <si>
    <t xml:space="preserve">Rayon-tipped applicator - sterile - PS - Standard Tip</t>
  </si>
  <si>
    <t xml:space="preserve">https://www.dutscher.com/article/263085</t>
  </si>
  <si>
    <t xml:space="preserve">https://www.thomassci.com/p/cotton-tipped-wooden-applicators</t>
  </si>
  <si>
    <t xml:space="preserve">https://www.thomassci.com/p/knitted-polyester-applicators-plastic-handle-non-sterile</t>
  </si>
  <si>
    <t xml:space="preserve">https://www.thomassci.com/p/northern-white-birch-tongue-depressor-sterile</t>
  </si>
  <si>
    <t xml:space="preserve">Tongue Depressor, Wooden, White Birch</t>
  </si>
  <si>
    <t xml:space="preserve">https://www.thomassci.com/p/northern-white-birch-spatula-non-sterile</t>
  </si>
  <si>
    <t xml:space="preserve">Transport System</t>
  </si>
  <si>
    <t xml:space="preserve">https://www.thomassci.com/p/transport-system</t>
  </si>
  <si>
    <t xml:space="preserve">https://www.thomassci.com/p/pure-touch-glove-liners</t>
  </si>
  <si>
    <t xml:space="preserve">https://www.thomassci.com/p/cleanroom-socks</t>
  </si>
  <si>
    <t xml:space="preserve">https://www.thomassci.com/p/puruscleanimage-premier-cleanroom-paper-8-5-x-11-cleanroom-paper-white-3-hole-punched-10-packs-per-case</t>
  </si>
  <si>
    <t xml:space="preserve">Cleanroom Paper, Blue, 8.5" x 11"</t>
  </si>
  <si>
    <t xml:space="preserve">https://www.thomassci.com/p/cleanroom-paper-blue-85-x-11</t>
  </si>
  <si>
    <t xml:space="preserve">Pure Stride Cleanroom Shoes</t>
  </si>
  <si>
    <t xml:space="preserve">https://www.thomassci.com/p/cleanroom-shoes</t>
  </si>
  <si>
    <t xml:space="preserve">https://www.thomassci.com/p/pyramex-safety-glasses</t>
  </si>
  <si>
    <t xml:space="preserve">https://www.thomassci.com/p/ots-safety-glasses-clear-lens-blk-frame-1/ea-12/bx-300/cs</t>
  </si>
  <si>
    <t xml:space="preserve">https://www.thomassci.com/p/capstone-500-series-goggles</t>
  </si>
  <si>
    <t xml:space="preserve">Glasses, Safety, Intruder, Multi-Color Temples, Clear, Hard Coated Lens, Lightweight Glass, Scratch-Resistant Lenses, Provides 99% Protection From Harmful UV-A And UV-B Rays, 100% Polycarbonate Lenses, 1 dozen each</t>
  </si>
  <si>
    <t xml:space="preserve">https://www.thomassci.com/p/glasses-safety-intruder-multi-color-temples-clear-hard-coated-lens-lightweight-glass-scratch-resistant-lenses-provides-99-protection-from-harmful-uv-a-and-uv-b-rays-100-</t>
  </si>
  <si>
    <t xml:space="preserve">https://www.thomassci.com/p/pyramid-brand-200ul-steady-rak-tips</t>
  </si>
  <si>
    <t xml:space="preserve">https://www.thomassci.com/p/pyramid-brand-1000ul-blue-tips</t>
  </si>
  <si>
    <t xml:space="preserve">https://www.thomassci.com/p/pyramid-brand-10ul-steady-rak-tips</t>
  </si>
  <si>
    <t xml:space="preserve">https://www.thomassci.com/p/cleanroom-adhesive-mats</t>
  </si>
  <si>
    <t xml:space="preserve">https://www.thomassci.com/p/cleanroom-wipers</t>
  </si>
  <si>
    <t xml:space="preserve">https://www.thomassci.com/p/pylon-wiper-microfiber-and-polyester-blend-9-x-9</t>
  </si>
  <si>
    <t xml:space="preserve">Cleanroom Swabs</t>
  </si>
  <si>
    <t xml:space="preserve">https://www.thomassci.com/p/cleanroom-swabs</t>
  </si>
  <si>
    <t xml:space="preserve">automated nucleic-acid extraction instrument</t>
  </si>
  <si>
    <t xml:space="preserve">syndromic molecular diagnostic panel system</t>
  </si>
  <si>
    <t xml:space="preserve">interferon-gamma TB blood test</t>
  </si>
  <si>
    <t xml:space="preserve">https://www.thomassci.com/p/clear-straight-sided-round-jars-with-black-phenolic-pulp/vinyl-caps</t>
  </si>
  <si>
    <t xml:space="preserve">https://www.thomassci.com/p/cubitainers-1</t>
  </si>
  <si>
    <t xml:space="preserve">https://www.thomassci.com/p/amber-boston-rounds-with-green-thermoset-f217-and-ptfe-caps</t>
  </si>
  <si>
    <t xml:space="preserve">Amber Boston Round Bottles with Green Thermoset F217 &amp; Teflon® Caps</t>
  </si>
  <si>
    <t xml:space="preserve">https://www.thomassci.com/p/amber-style-boston-round-bottles</t>
  </si>
  <si>
    <t xml:space="preserve">Clear Standard Wide Mouths with PP Cap &amp; PTFE Disc</t>
  </si>
  <si>
    <t xml:space="preserve">https://www.thomassci.com/p/clear-standard-wide-mouths-with-pp-cap-and-ptfe-disc</t>
  </si>
  <si>
    <t xml:space="preserve">https://www.thomassci.com/p/precision-swab-with-mini-tapered-tip-and-wood-handle</t>
  </si>
  <si>
    <t xml:space="preserve">https://www.thomassci.com/p/male-luer-lock-to-male-luer-lock-connector-with-one-rotating-collar</t>
  </si>
  <si>
    <t xml:space="preserve">https://www.thomassci.com/p/y-connector-pc</t>
  </si>
  <si>
    <t xml:space="preserve">Ratchet Pinch Clamp, White, 19 mm OD Tubing, PBT</t>
  </si>
  <si>
    <t xml:space="preserve">https://www.thomassci.com/p/ratchet-pinch-clamp-white-19-mm-od-tubing-pbt</t>
  </si>
  <si>
    <t xml:space="preserve">Sponge on a Stick</t>
  </si>
  <si>
    <t xml:space="preserve">https://www.thomassci.com/p/sponge-on-a-stick</t>
  </si>
  <si>
    <t xml:space="preserve">https://www.thomassci.com/p/polyurethane-electrostatic-dissipative-esd-glove-2</t>
  </si>
  <si>
    <t xml:space="preserve">https://www.thomassci.com/p/polyurethane-solvent-glove</t>
  </si>
  <si>
    <t xml:space="preserve">https://www.thomassci.com/p/9c-nitrile-powderfree-static-dissipative-finger-cots</t>
  </si>
  <si>
    <t xml:space="preserve">Heat &amp; Cold Resistant Glove with Twaron® Outer Shell and Nylon Lining</t>
  </si>
  <si>
    <t xml:space="preserve">https://www.thomassci.com/p/heat-and-cold-resistant-glove-with-twaron-outer-shell-and-nylon-lining</t>
  </si>
  <si>
    <t xml:space="preserve">ESD Safe Seamless Knit Cut Resistant Glove with Polyurethane Coated Palm &amp; Fingers</t>
  </si>
  <si>
    <t xml:space="preserve">https://www.thomassci.com/p/esd-safe-seamless-knit-cut-resistant-glove-with-polyurethane-coated-palm-and-fingers</t>
  </si>
  <si>
    <t xml:space="preserve">https://www.thomassci.com/p/q500-sonicators</t>
  </si>
  <si>
    <t xml:space="preserve">https://www.thomassci.com/p/q125-sonicators</t>
  </si>
  <si>
    <t xml:space="preserve">https://www.thomassci.com/p/q55-sonicator</t>
  </si>
  <si>
    <t xml:space="preserve">Q700 Sonicators</t>
  </si>
  <si>
    <t xml:space="preserve">https://www.thomassci.com/p/q700-sonicators</t>
  </si>
  <si>
    <t xml:space="preserve">Sonicator Accessories</t>
  </si>
  <si>
    <t xml:space="preserve">https://www.thomassci.com/p/sonicator-accessories</t>
  </si>
  <si>
    <t xml:space="preserve">https://www.thomassci.com/p/terrific-broth7</t>
  </si>
  <si>
    <t xml:space="preserve">https://www.thomassci.com/p/10x-tbs-hcl-ph-72</t>
  </si>
  <si>
    <t xml:space="preserve">https://www.thomassci.com/p/5m-sodium-chloride</t>
  </si>
  <si>
    <t xml:space="preserve">Endotoxin-Free Water</t>
  </si>
  <si>
    <t xml:space="preserve">https://www.thomassci.com/p/endotoxin-free-water1</t>
  </si>
  <si>
    <t xml:space="preserve">10X RNA Gel Loading Solution</t>
  </si>
  <si>
    <t xml:space="preserve">https://www.thomassci.com/p/10x-rna-gel-loading-solution</t>
  </si>
  <si>
    <t xml:space="preserve">https://www.thomassci.com/p/ultralab-hdpe-wide-mouth-bottles</t>
  </si>
  <si>
    <t xml:space="preserve">https://www.thomassci.com/p/round-wide-mouth-containers</t>
  </si>
  <si>
    <t xml:space="preserve">https://www.thomassci.com/p/labels/custody-seals</t>
  </si>
  <si>
    <t xml:space="preserve">Amber Packer Jar</t>
  </si>
  <si>
    <t xml:space="preserve">https://www.thomassci.com/p/amber-packer-jar</t>
  </si>
  <si>
    <t xml:space="preserve">Straight-Side Jars</t>
  </si>
  <si>
    <t xml:space="preserve">https://www.thomassci.com/p/straight-side-jars</t>
  </si>
  <si>
    <t xml:space="preserve">https://www.thomassci.com/p/qus265-ultra-stack-and-hang-bin</t>
  </si>
  <si>
    <t xml:space="preserve">https://www.thomassci.com/p/qus245-ultra-stack-and-hang-bins-10-7/8-inch-x-16-1/2-inch-x-5-inch</t>
  </si>
  <si>
    <t xml:space="preserve">https://www.thomassci.com/p/qus236-ultra-stack-and-hang-bins-7-3/8-inch-x-11-inch-x-3-inch</t>
  </si>
  <si>
    <t xml:space="preserve">QUS232 Ultra Stack and Hang Bins - 5-3/8" x 11" x 3"</t>
  </si>
  <si>
    <t xml:space="preserve">https://www.thomassci.com/p/qus232-ultra-stack-and-hang-bins-5-3/8-inch-x-11-inch-x-3-inch</t>
  </si>
  <si>
    <t xml:space="preserve">QUS239 Ultra Stack and Hang Bin - 8.25” x 10.75” x 7”</t>
  </si>
  <si>
    <t xml:space="preserve">https://www.thomassci.com/p/bins-stacking-or-hanging-8-1/4-inchw</t>
  </si>
  <si>
    <t xml:space="preserve">https://www.thomassci.com/p/rsv-test</t>
  </si>
  <si>
    <t xml:space="preserve">https://www.thomassci.com/p/strep-a-test</t>
  </si>
  <si>
    <t xml:space="preserve">https://www.thomassci.com/p/hcg-urine</t>
  </si>
  <si>
    <t xml:space="preserve">QuickVue SARS Antigen Dipstick, 25 tests/kit</t>
  </si>
  <si>
    <t xml:space="preserve">https://www.thomassci.com/p/quickvue-sars-antigen-dipstick-25-tests/kit</t>
  </si>
  <si>
    <t xml:space="preserve">Sofia 2 SARS Antigen FIA, 25 tests/kit</t>
  </si>
  <si>
    <t xml:space="preserve">https://www.thomassci.com/p/sofia-2-sars-antigen-fia-25-tests/kit-12-kits/cs</t>
  </si>
  <si>
    <t xml:space="preserve">https://www.thomassci.com/p/quincy-lab-economy-analog-incubators</t>
  </si>
  <si>
    <t xml:space="preserve">https://www.thomassci.com/p/digital-gravity-convection-ovens</t>
  </si>
  <si>
    <t xml:space="preserve">https://www.thomassci.com/p/digital-low-temp-laboratory-ovens</t>
  </si>
  <si>
    <t xml:space="preserve">Analog Bench Ovens</t>
  </si>
  <si>
    <t xml:space="preserve">https://www.thomassci.com/p/analog-bench-ovens</t>
  </si>
  <si>
    <t xml:space="preserve">Steel Microscope Slide Storage Cabinet</t>
  </si>
  <si>
    <t xml:space="preserve">https://www.thomassci.com/p/steel-slide-cabinets</t>
  </si>
  <si>
    <t xml:space="preserve">https://www.thomassci.com/p/tu7-6extngjkt3cdcpbk6/bag-40-bags/cs-repacked</t>
  </si>
  <si>
    <t xml:space="preserve">https://www.thomassci.com/p/trash-bags</t>
  </si>
  <si>
    <t xml:space="preserve">https://www.thomassci.com/p/lotion-esd-blue-8oz</t>
  </si>
  <si>
    <t xml:space="preserve">https://www.thomassci.com/p/esd-solvent-dispenser-6-oz-standard-pump</t>
  </si>
  <si>
    <t xml:space="preserve">https://www.thomassci.com/p/i-c-antistatic-laminating-sheets</t>
  </si>
  <si>
    <t xml:space="preserve">IC Lotion, ESD, Blue, 32oz</t>
  </si>
  <si>
    <t xml:space="preserve">https://www.thomassci.com/p/ic-lotion-esd-blue-32oz</t>
  </si>
  <si>
    <t xml:space="preserve">I.C. Hard Surface Workstation Cleaner</t>
  </si>
  <si>
    <t xml:space="preserve">https://www.thomassci.com/p/ic-hard-surface-cleaner-16oz-in-esd-bottle-with-trigger-spray</t>
  </si>
  <si>
    <t xml:space="preserve">https://www.thomassci.com/p/aluminum-foil-medallion-heavy-duty-18-x-1000-per-roll-1ea/rl</t>
  </si>
  <si>
    <t xml:space="preserve">https://www.thomassci.com/p/miller-temporary-anchorage-connectors</t>
  </si>
  <si>
    <t xml:space="preserve">https://www.thomassci.com/p/rwg550-ghost-series-cut-protection-level-a2-work-glove</t>
  </si>
  <si>
    <t xml:space="preserve">https://www.thomassci.com/p/resistor-32-disposable-foam-earplugs</t>
  </si>
  <si>
    <t xml:space="preserve">https://www.thomassci.com/p/detour-32-disposable-foam-earplugs</t>
  </si>
  <si>
    <t xml:space="preserve">ES4 Bifocal Safety Eyewear</t>
  </si>
  <si>
    <t xml:space="preserve">https://www.thomassci.com/p/es4-bifocal-safety-eyewear</t>
  </si>
  <si>
    <t xml:space="preserve">Radians RHH6 Hypeman™ Type I Class G &amp; E Cap Style Hard Hat</t>
  </si>
  <si>
    <t xml:space="preserve">https://www.thomassci.com/p/radians-rhh6-hypeman-type-i-class-g-and-e-cap-style-hard-hat</t>
  </si>
  <si>
    <t xml:space="preserve">https://www.dutscher.com/article/673226</t>
  </si>
  <si>
    <t xml:space="preserve">https://www.dutscher.com/article/673196</t>
  </si>
  <si>
    <t xml:space="preserve">https://www.dutscher.com/article/673222</t>
  </si>
  <si>
    <t xml:space="preserve">RAL Colouring Kit - Papanicolaou (OG6 for) - 2500 ml</t>
  </si>
  <si>
    <t xml:space="preserve">https://www.dutscher.com/article/673211</t>
  </si>
  <si>
    <t xml:space="preserve">RAL stain- Kit 555 for microbial hematology</t>
  </si>
  <si>
    <t xml:space="preserve">https://www.dutscher.com/article/673005</t>
  </si>
  <si>
    <t xml:space="preserve">https://www.dutscher.com/article/031000</t>
  </si>
  <si>
    <t xml:space="preserve">https://www.dutscher.com/article/045895</t>
  </si>
  <si>
    <t xml:space="preserve">https://www.dutscher.com/article/030118</t>
  </si>
  <si>
    <t xml:space="preserve">Bag 65 Litres for autoclave</t>
  </si>
  <si>
    <t xml:space="preserve">https://www.dutscher.com/article/030119</t>
  </si>
  <si>
    <t xml:space="preserve">Bag 130 Litres for autoclave</t>
  </si>
  <si>
    <t xml:space="preserve">https://www.dutscher.com/article/030121</t>
  </si>
  <si>
    <t xml:space="preserve">https://www.thomassci.com/p/human-il-10-elisa</t>
  </si>
  <si>
    <t xml:space="preserve">https://www.thomassci.com/p/mouse-mip-2-elisa</t>
  </si>
  <si>
    <t xml:space="preserve">https://www.thomassci.com/p/human-mesothelin-elisa</t>
  </si>
  <si>
    <t xml:space="preserve">COVID-19 IgM Serum Samples, 100 ul</t>
  </si>
  <si>
    <t xml:space="preserve">https://www.thomassci.com/p/covid-19-igm-serum-samples-100-ul</t>
  </si>
  <si>
    <t xml:space="preserve">Recombinant SARS-CoV-2 S2 Subunit Protein</t>
  </si>
  <si>
    <t xml:space="preserve">https://www.thomassci.com/p/recombinant-sars-cov-2-s2-subunit-protein</t>
  </si>
  <si>
    <t xml:space="preserve">https://www.thomassci.com/p/disposable-plastic-microscope-coverslips</t>
  </si>
  <si>
    <t xml:space="preserve">https://www.thomassci.com/p/bibulous-paper</t>
  </si>
  <si>
    <t xml:space="preserve">https://www.dutscher.com/article/440862</t>
  </si>
  <si>
    <t xml:space="preserve">https://www.dutscher.com/article/440877</t>
  </si>
  <si>
    <t xml:space="preserve">https://www.dutscher.com/article/440711</t>
  </si>
  <si>
    <t xml:space="preserve">COD standard value 1000 mg/l - 500 ml</t>
  </si>
  <si>
    <t xml:space="preserve">https://www.dutscher.com/article/440835</t>
  </si>
  <si>
    <t xml:space="preserve">Brix Standard - Value 60 % at 20°C - Refractive index: 1.441928 - 15 ml - Reagecon</t>
  </si>
  <si>
    <t xml:space="preserve">https://www.dutscher.com/article/440747</t>
  </si>
  <si>
    <t xml:space="preserve">https://www.thomassci.com/p/tisab-ii-standardized</t>
  </si>
  <si>
    <t xml:space="preserve">https://www.thomassci.com/p/reagents-hplc-water</t>
  </si>
  <si>
    <t xml:space="preserve">https://www.thomassci.com/p/isopropanol-acs-reagent</t>
  </si>
  <si>
    <t xml:space="preserve">Hydrochloric Acid, 1.0N, Standardized</t>
  </si>
  <si>
    <t xml:space="preserve">https://www.thomassci.com/p/hydrochloric-acid-10n-standardized2</t>
  </si>
  <si>
    <t xml:space="preserve">Sodium Phosphate Monobasic Monohydrate, ACS Reagent</t>
  </si>
  <si>
    <t xml:space="preserve">https://www.thomassci.com/p/sodium-phosphate-monobasic-monohydrate-acs-reagent</t>
  </si>
  <si>
    <t xml:space="preserve">https://www.thomassci.com/p/brix/ri-chek-refractometer1</t>
  </si>
  <si>
    <t xml:space="preserve">https://www.thomassci.com/p/quebec-darkfield-colony-counter</t>
  </si>
  <si>
    <t xml:space="preserve">https://www.thomassci.com/p/darkfield-quebec-colony-counter</t>
  </si>
  <si>
    <t xml:space="preserve">Calibration Oils</t>
  </si>
  <si>
    <t xml:space="preserve">https://www.thomassci.com/p/calibration-oils</t>
  </si>
  <si>
    <t xml:space="preserve">Refractometer Rhino</t>
  </si>
  <si>
    <t xml:space="preserve">https://www.thomassci.com/p/7540-refractometer-modiftw40</t>
  </si>
  <si>
    <t xml:space="preserve">https://www.thomassci.com/p/mixing-paddle-40-inch</t>
  </si>
  <si>
    <t xml:space="preserve">https://www.thomassci.com/p/vikan-20-single-blade-ultra-hygiene-squeege-green</t>
  </si>
  <si>
    <t xml:space="preserve">https://www.thomassci.com/p/detail-brush-with-scraping-edge-150-mm-hard-white</t>
  </si>
  <si>
    <t xml:space="preserve">Remco Squeegee, Brush &amp; Broom Handles</t>
  </si>
  <si>
    <t xml:space="preserve">https://www.thomassci.com/p/vikan-28-red-fxd-hd-squeegee-l-275-x-w-35-x-h-375-1-ea-10/cs</t>
  </si>
  <si>
    <t xml:space="preserve">Dish Brush, 290 mm, Medium, White</t>
  </si>
  <si>
    <t xml:space="preserve">https://www.thomassci.com/p/dish-brush-290-mm-medium-white</t>
  </si>
  <si>
    <t xml:space="preserve">https://www.thomassci.com/p/uv-lamp-duel-wavelength-185/254nm</t>
  </si>
  <si>
    <t xml:space="preserve">https://www.thomassci.com/p/rephiduo-u-pack-cartridge</t>
  </si>
  <si>
    <t xml:space="preserve">https://www.thomassci.com/p/tank-200l-level-sensor</t>
  </si>
  <si>
    <t xml:space="preserve">RephiLe RephiDuo P Pack 2</t>
  </si>
  <si>
    <t xml:space="preserve">https://www.thomassci.com/p/filter-repl-rephiduop-pack-2</t>
  </si>
  <si>
    <t xml:space="preserve">RephiLe RephiQuatro U Pack 2 Kit</t>
  </si>
  <si>
    <t xml:space="preserve">https://www.thomassci.com/p/rephiquatro-u-pack-2-pack</t>
  </si>
  <si>
    <t xml:space="preserve">https://www.thomassci.com/p/rinsed-and-cleaned-304-stainless-steel-tubing</t>
  </si>
  <si>
    <t xml:space="preserve">https://www.thomassci.com/p/5081-gc-degradation-check-mix-2-components</t>
  </si>
  <si>
    <t xml:space="preserve">https://www.thomassci.com/p/ptfe-ferrules</t>
  </si>
  <si>
    <t xml:space="preserve">Organochlorine Pesticide System Evaluation Mix (2 components)</t>
  </si>
  <si>
    <t xml:space="preserve">https://www.thomassci.com/p/organochlorine-pesticide-system-evaluation-mix-2-components</t>
  </si>
  <si>
    <t xml:space="preserve">Deactivated Borosilicate Glass Wool</t>
  </si>
  <si>
    <t xml:space="preserve">https://www.thomassci.com/p/deactivated-borosilicate-glass-wool</t>
  </si>
  <si>
    <t xml:space="preserve">planetary ball mills, cutting mills, AS 200 sieving</t>
  </si>
  <si>
    <t xml:space="preserve">laboratory chamber, tube and high-temperature furnaces</t>
  </si>
  <si>
    <t xml:space="preserve">laser diffraction and image particle characterization</t>
  </si>
  <si>
    <t xml:space="preserve">https://www.thomassci.com/p/adjustable-stailness-steel-chair</t>
  </si>
  <si>
    <t xml:space="preserve">https://www.thomassci.com/p/stainless-steel-2-step-stool</t>
  </si>
  <si>
    <t xml:space="preserve">https://www.thomassci.com/p/adjustable-height-stainless-steel-laptop-cart</t>
  </si>
  <si>
    <t xml:space="preserve">https://www.thomassci.com/p/ph-test-strips2</t>
  </si>
  <si>
    <t xml:space="preserve">https://www.thomassci.com/p/color-coded-ph-buffers</t>
  </si>
  <si>
    <t xml:space="preserve">https://www.thomassci.com/p/acetic-acid-glacial-acs-reagent-grade</t>
  </si>
  <si>
    <t xml:space="preserve">Buffer, Reference Standard, pH 12.45 ± 0.01 at 25°C</t>
  </si>
  <si>
    <t xml:space="preserve">https://www.thomassci.com/p/buffer-ph-1245</t>
  </si>
  <si>
    <t xml:space="preserve">Acetone-Alcohol, 1 + 1 Decolorizer Solution</t>
  </si>
  <si>
    <t xml:space="preserve">https://www.thomassci.com/p/acetone-alcohol-1-1-decolorizer-solution-for-use-in-gram-staining</t>
  </si>
  <si>
    <t xml:space="preserve">https://www.thomassci.com/p/resolve-immersion-oil</t>
  </si>
  <si>
    <t xml:space="preserve">https://www.thomassci.com/p/cytoseal-mounting-media</t>
  </si>
  <si>
    <t xml:space="preserve">https://www.thomassci.com/p/signature-series-hematoxylin-2</t>
  </si>
  <si>
    <t xml:space="preserve">Signature Series™ Hematoxylin</t>
  </si>
  <si>
    <t xml:space="preserve">https://www.thomassci.com/p/signature-series-hematoxylin</t>
  </si>
  <si>
    <t xml:space="preserve">Board, Dissecting</t>
  </si>
  <si>
    <t xml:space="preserve">https://www.thomassci.com/p/board-dissecting</t>
  </si>
  <si>
    <t xml:space="preserve">https://www.dutscher.com/article/070511</t>
  </si>
  <si>
    <t xml:space="preserve">https://www.dutscher.com/article/070528D</t>
  </si>
  <si>
    <t xml:space="preserve">https://www.dutscher.com/article/750250B</t>
  </si>
  <si>
    <t xml:space="preserve">Black graphite tip 200 µl for Tecan</t>
  </si>
  <si>
    <t xml:space="preserve">https://www.dutscher.com/article/071314</t>
  </si>
  <si>
    <t xml:space="preserve">Ritips Standard - Capacity 25 ml - non-sterile</t>
  </si>
  <si>
    <t xml:space="preserve">https://www.dutscher.com/article/070560</t>
  </si>
  <si>
    <t xml:space="preserve">https://www.thomassci.com/p/zip-pak-reclosable-write-on-bags</t>
  </si>
  <si>
    <t xml:space="preserve">https://www.thomassci.com/p/zip-pak-reclosable-amber-bags</t>
  </si>
  <si>
    <t xml:space="preserve">https://www.thomassci.com/p/zip-top-reclosable-bags-with-white-blocks</t>
  </si>
  <si>
    <t xml:space="preserve">Minigrip Zip-Top Reclosable Bags</t>
  </si>
  <si>
    <t xml:space="preserve">https://www.thomassci.com/p/zip-pak-reclosable-bags</t>
  </si>
  <si>
    <t xml:space="preserve">Biohazard Specimen Reclosable Bags</t>
  </si>
  <si>
    <t xml:space="preserve">https://www.thomassci.com/p/zip-pak-reclosable-biohazard-bags</t>
  </si>
  <si>
    <t xml:space="preserve">high-throughput clinical chemistry and immunoassay analyzers</t>
  </si>
  <si>
    <t xml:space="preserve">automated PCR molecular diagnostics platforms</t>
  </si>
  <si>
    <t xml:space="preserve">real-time PCR instruments</t>
  </si>
  <si>
    <t xml:space="preserve">https://www.dutscher.com/article/886074</t>
  </si>
  <si>
    <t xml:space="preserve">https://www.dutscher.com/article/886083</t>
  </si>
  <si>
    <t xml:space="preserve">https://www.dutscher.com/article/886082</t>
  </si>
  <si>
    <t xml:space="preserve">Glass filtration unit model VF 3 - Funnel 300 ml - Vacuum flask 1000 ml - sintered glass - ø 47 mm</t>
  </si>
  <si>
    <t xml:space="preserve">https://www.dutscher.com/article/886100</t>
  </si>
  <si>
    <t xml:space="preserve">Rocker 410 Vacuum Pump</t>
  </si>
  <si>
    <t xml:space="preserve">https://www.dutscher.com/article/886077</t>
  </si>
  <si>
    <t xml:space="preserve">https://www.thomassci.com/p/anti-trypsin-rabbit-antibody-2ml-lyophilized</t>
  </si>
  <si>
    <t xml:space="preserve">https://www.thomassci.com/p/ht-1080-cell-nuclear-extract-200g-liquid-sterile-filtered</t>
  </si>
  <si>
    <t xml:space="preserve">https://www.thomassci.com/p/human-igm-myeloma-whole-molecule-texas-red-conjugated-1mg</t>
  </si>
  <si>
    <t xml:space="preserve">Anti-ZIP5 (RABBIT) Antibody, 100µg, Liquid (sterile filtered)</t>
  </si>
  <si>
    <t xml:space="preserve">https://www.thomassci.com/p/anti-zip5-rabbit-antibody-100g-liquid-sterile-filtered</t>
  </si>
  <si>
    <t xml:space="preserve">Anti-IP3 Receptor (MOUSE) Monoclonal Antibody, 100µg, Liquid (sterile filtered)</t>
  </si>
  <si>
    <t xml:space="preserve">https://www.thomassci.com/p/anti-ip3-receptor-mouse-monoclonal-antibody-100g-liquid-sterile-filtered</t>
  </si>
  <si>
    <t xml:space="preserve">https://www.thomassci.com/p/hygropalm-aw1-water-activity-set</t>
  </si>
  <si>
    <t xml:space="preserve">https://www.thomassci.com/p/2-m-extension-cable-hygroclip-to-hygropalm</t>
  </si>
  <si>
    <t xml:space="preserve">https://www.thomassci.com/p/distilled-water1</t>
  </si>
  <si>
    <t xml:space="preserve">https://www.thomassci.com/p/sodium-citrate-trisodium-salt-acs</t>
  </si>
  <si>
    <t xml:space="preserve">https://www.thomassci.com/p/x-gal-and-iptg-ready-to-use-non-toxic-solution</t>
  </si>
  <si>
    <t xml:space="preserve">Lysozyme</t>
  </si>
  <si>
    <t xml:space="preserve">https://www.thomassci.com/p/lysozyme4</t>
  </si>
  <si>
    <t xml:space="preserve">PEG 8000</t>
  </si>
  <si>
    <t xml:space="preserve">https://www.thomassci.com/p/peg-80001</t>
  </si>
  <si>
    <t xml:space="preserve">https://www.thomassci.com/p/highland-invisible-tape-6200</t>
  </si>
  <si>
    <t xml:space="preserve">https://www.thomassci.com/p/static-tip-loctite-53sq-24el-10/pk</t>
  </si>
  <si>
    <t xml:space="preserve">https://www.thomassci.com/p/mapa-trionic-522-gloves</t>
  </si>
  <si>
    <t xml:space="preserve">https://www.thomassci.com/p/insulated-neoprene-glove-temp-tec-nl-56-14size-8</t>
  </si>
  <si>
    <t xml:space="preserve">https://www.thomassci.com/p/mapa-517987-trionic-gloves</t>
  </si>
  <si>
    <t xml:space="preserve">BRUTE® Dollies</t>
  </si>
  <si>
    <t xml:space="preserve">https://www.thomassci.com/p/brute-dollies</t>
  </si>
  <si>
    <t xml:space="preserve">NEOPRENE 30 MIL 12-1/2IN, 72 pairs per case</t>
  </si>
  <si>
    <t xml:space="preserve">https://www.thomassci.com/p/neoprene-30-mil-12-1/2in-72-pairs-per-case</t>
  </si>
  <si>
    <t xml:space="preserve">https://www.thomassci.com/p/rx-destroyer-mail-back-program</t>
  </si>
  <si>
    <t xml:space="preserve">https://www.thomassci.com/p/rx-destroyer-all-purpose-bottle</t>
  </si>
  <si>
    <t xml:space="preserve">https://www.thomassci.com/p/wall-mount-for-rx-destroyer-products</t>
  </si>
  <si>
    <t xml:space="preserve">Rx Destroyer™ Drug Disposal System, Hardener Packets</t>
  </si>
  <si>
    <t xml:space="preserve">https://www.thomassci.com/p/rx-destroyer-drug-disposal-system-hardener-packets</t>
  </si>
  <si>
    <t xml:space="preserve">Rx Destroyer™ Pharmaceutical Disposal System</t>
  </si>
  <si>
    <t xml:space="preserve">https://www.thomassci.com/p/rx-destroyer-pharmaceutical-disposal-system</t>
  </si>
  <si>
    <t xml:space="preserve">https://www.thomassci.com/p/carry-all-lab-caddie</t>
  </si>
  <si>
    <t xml:space="preserve">https://www.thomassci.com/p/bouffant-dispenser-with-lid-rectangular-opening-3/16-inch-petg-12-inchw-x-12-inch-h-x-6-inchd</t>
  </si>
  <si>
    <t xml:space="preserve">https://www.thomassci.com/p/product-dispenser-s-curve-wall-mounted-single-chamber-dispenser-made-of-petg-sloped-top-lid-and-access-port-12-inchx12-inchx12-inch-can-be-used-for-gloves-or-other-apparel-li</t>
  </si>
  <si>
    <t xml:space="preserve">Sloping Lid Glove Dispenser with 4 Compartments - front access holes - 1/4" clear acrylic material - 27x19x17 20lb by the each.</t>
  </si>
  <si>
    <t xml:space="preserve">https://www.thomassci.com/p/sloping-lid-glove-dispenser-with-4-compartments-front-access-holes-1/4-clear-acrylic-material-27x19x17-20lb-by-the-each</t>
  </si>
  <si>
    <t xml:space="preserve">Product Dispenser, S-Curve, 3/16" PETG, Facemask Dispenser, 10"x10"x6" with lid and slot for dispensing, 1/EA</t>
  </si>
  <si>
    <t xml:space="preserve">https://www.thomassci.com/p/product-dispenser-s-curve-3/16-petg-facemask-dispenser-10x10x6-with-lid-and-slot-for-dispensing-1/ea</t>
  </si>
  <si>
    <t xml:space="preserve">https://www.thomassci.com/p/bacteroides-bile-esculin-bbe-agar-90mm</t>
  </si>
  <si>
    <t xml:space="preserve">https://www.thomassci.com/p/chocolate-agar1</t>
  </si>
  <si>
    <t xml:space="preserve">https://www.thomassci.com/p/macconkey-broth-usp-100ml-bottle-1</t>
  </si>
  <si>
    <t xml:space="preserve">vLogiX (VTSM), 3mL (no swab), Box of 50</t>
  </si>
  <si>
    <t xml:space="preserve">https://www.thomassci.com/p/3ml-viral-transport-medium-vtm-50-tubes/box</t>
  </si>
  <si>
    <t xml:space="preserve">Tryptic Soy Broth (TSB), USP</t>
  </si>
  <si>
    <t xml:space="preserve">https://www.thomassci.com/p/tryptic-soy-broth-tsb-usp-1</t>
  </si>
  <si>
    <t xml:space="preserve">https://www.thomassci.com/p/saf-t-temp-gel-paks</t>
  </si>
  <si>
    <t xml:space="preserve">https://www.thomassci.com/p/category-a-reusable-shipping-system-ambient</t>
  </si>
  <si>
    <t xml:space="preserve">https://www.thomassci.com/p/category-a-shipping-overpak-insulated</t>
  </si>
  <si>
    <t xml:space="preserve">Disposable Secondary Pressure Receptacles</t>
  </si>
  <si>
    <t xml:space="preserve">https://www.thomassci.com/p/disposable-secondary-pressure-receptacles</t>
  </si>
  <si>
    <t xml:space="preserve">Saf-T-Rap® Sticky Side Bubble Wrap</t>
  </si>
  <si>
    <t xml:space="preserve">https://www.thomassci.com/p/saf-t-rap-sticky-side-bubble-wrap</t>
  </si>
  <si>
    <t xml:space="preserve">https://www.thomassci.com/p/stretchease-powder-free-nitrile-exam-gloves</t>
  </si>
  <si>
    <t xml:space="preserve">https://www.thomassci.com/p/safeforce-socks</t>
  </si>
  <si>
    <t xml:space="preserve">https://www.thomassci.com/p/safeforce-glass-disposal-boxes</t>
  </si>
  <si>
    <t xml:space="preserve">https://www.thomassci.com/p/white-polypropylene-lab-coats-with-elastic-wrists</t>
  </si>
  <si>
    <t xml:space="preserve">https://www.thomassci.com/p/100-cotton-lisle-light-weight-inspector-gloves</t>
  </si>
  <si>
    <t xml:space="preserve">https://www.thomassci.com/p/white-50-gram-sms-polypropylene-lab-coats</t>
  </si>
  <si>
    <t xml:space="preserve">Clear Standard Powder Free Vinyl Gloves</t>
  </si>
  <si>
    <t xml:space="preserve">https://www.thomassci.com/p/clear-standard-powder-free-vinyl-gloves</t>
  </si>
  <si>
    <t xml:space="preserve">Disposable Polyethylene Sleeves</t>
  </si>
  <si>
    <t xml:space="preserve">https://www.thomassci.com/p/disposable-polyethylene-sleeves</t>
  </si>
  <si>
    <t xml:space="preserve">https://www.thomassci.com/p/tygon-s3-e-3603-laboratory-tubing</t>
  </si>
  <si>
    <t xml:space="preserve">https://www.thomassci.com/p/chemware-tfe-teflon-dishes</t>
  </si>
  <si>
    <t xml:space="preserve">https://www.thomassci.com/p/saint-gobain-bytac-fep-film-bench-protector-with-vinyl-backing</t>
  </si>
  <si>
    <t xml:space="preserve">Chemware® PFA Griffin Beakers</t>
  </si>
  <si>
    <t xml:space="preserve">https://www.thomassci.com/p/chemware-pfa-griffin-beakers</t>
  </si>
  <si>
    <t xml:space="preserve">Chemware PFA Test Tubes</t>
  </si>
  <si>
    <t xml:space="preserve">https://www.thomassci.com/p/chemware-pfa-test-tubes</t>
  </si>
  <si>
    <t xml:space="preserve">https://www.thomassci.com/p/c-flex-tpe-biopharmaceutical-tubing-082-translucent-coils</t>
  </si>
  <si>
    <t xml:space="preserve">https://www.thomassci.com/p/c-flex-tpe-biopharmaceutical-tubing-374-translucent-coils</t>
  </si>
  <si>
    <t xml:space="preserve">https://www.thomassci.com/p/c-flex-ultra-thermoplastic-pump-tubing</t>
  </si>
  <si>
    <t xml:space="preserve">C-Flex® TPE Biopharmaceutical Tubing, 374, Translucent Spools</t>
  </si>
  <si>
    <t xml:space="preserve">https://www.thomassci.com/p/c-flex-tpe-biopharmaceutical-tubing-374-translucent-spools</t>
  </si>
  <si>
    <t xml:space="preserve">C-Flex® TPE Biopharmaceutical Tubing, 050</t>
  </si>
  <si>
    <t xml:space="preserve">https://www.thomassci.com/p/c-flex-tpe-biopharmaceutical-tubing-050</t>
  </si>
  <si>
    <t xml:space="preserve">https://www.thomassci.com/p/tissue-tek-accu-edge-trimming-knife-disposable-blades</t>
  </si>
  <si>
    <t xml:space="preserve">https://www.thomassci.com/p/cyto-tek-centrifuge-funnel-chamber</t>
  </si>
  <si>
    <t xml:space="preserve">https://www.thomassci.com/p/steriware-disposable-powdersafe</t>
  </si>
  <si>
    <t xml:space="preserve">https://www.thomassci.com/p/pocket-sampler</t>
  </si>
  <si>
    <t xml:space="preserve">https://www.thomassci.com/p/stainless-steel-containers</t>
  </si>
  <si>
    <t xml:space="preserve">Stainless Steel Measuring Scoop</t>
  </si>
  <si>
    <t xml:space="preserve">https://www.thomassci.com/p/stainless-steel-measuring-scoop</t>
  </si>
  <si>
    <t xml:space="preserve">Stainless Sample Dipper</t>
  </si>
  <si>
    <t xml:space="preserve">https://www.thomassci.com/p/stainless-dipper</t>
  </si>
  <si>
    <t xml:space="preserve">https://www.thomassci.com/p/wipers-terri-cloth-all-white-loose-cut-cotton-poly-pak-only-40-pounds-per-case-formerly-102a1-512w40</t>
  </si>
  <si>
    <t xml:space="preserve">https://www.thomassci.com/p/wiping-rags-colored-cotton-knit</t>
  </si>
  <si>
    <t xml:space="preserve">https://www.thomassci.com/p/sanisure-gamma-stable-stir-bars</t>
  </si>
  <si>
    <t xml:space="preserve">https://www.thomassci.com/p/sanisure-bio-ease-hd-sanitary-clamps</t>
  </si>
  <si>
    <t xml:space="preserve">https://www.thomassci.com/p/sanisure-cellgyn-tpe-tubing</t>
  </si>
  <si>
    <t xml:space="preserve">SaniSure® Pharma-Clear LH® Tubing</t>
  </si>
  <si>
    <t xml:space="preserve">https://www.thomassci.com/p/sanisure-pharma-clear-lh-tubing</t>
  </si>
  <si>
    <t xml:space="preserve">SaniSure® Bio-Ease+™ HD Hose Clamp</t>
  </si>
  <si>
    <t xml:space="preserve">https://www.thomassci.com/p/sanisure-bio-ease-hd-hose-clamp</t>
  </si>
  <si>
    <t xml:space="preserve">venous blood collection system</t>
  </si>
  <si>
    <t xml:space="preserve">capillary blood and saliva collection</t>
  </si>
  <si>
    <t xml:space="preserve">screw-cap tubes, pipette tips, plates</t>
  </si>
  <si>
    <t xml:space="preserve">label-free bio-layer interferometry analyzers</t>
  </si>
  <si>
    <t xml:space="preserve">single-use stirred-tank bioreactors</t>
  </si>
  <si>
    <t xml:space="preserve">modular premium laboratory balances</t>
  </si>
  <si>
    <t xml:space="preserve">https://www.thomassci.com/p/safe-cone-filters</t>
  </si>
  <si>
    <t xml:space="preserve">https://www.thomassci.com/p/eline-electronic-pipettors1</t>
  </si>
  <si>
    <t xml:space="preserve">https://www.thomassci.com/p/biohit-standard-tips</t>
  </si>
  <si>
    <t xml:space="preserve">Silicone Molycote Grease</t>
  </si>
  <si>
    <t xml:space="preserve">https://www.thomassci.com/p/silicone-molycote-grease</t>
  </si>
  <si>
    <t xml:space="preserve">mLINE® Mechanical Multi-Channel Pipettors</t>
  </si>
  <si>
    <t xml:space="preserve">https://www.thomassci.com/p/mline-multichannel</t>
  </si>
  <si>
    <t xml:space="preserve">https://www.thomassci.com/p/polypropylene-shoe-covers1</t>
  </si>
  <si>
    <t xml:space="preserve">https://www.thomassci.com/p/value-touch-powder-free-latex-disposable-gloves</t>
  </si>
  <si>
    <t xml:space="preserve">https://www.thomassci.com/p/safety-goggles</t>
  </si>
  <si>
    <t xml:space="preserve">Raven Gloves – Powder-Free, Nitrile, Disposable</t>
  </si>
  <si>
    <t xml:space="preserve">https://www.thomassci.com/p/raven-powder-free-nitrile-disposable-gloves</t>
  </si>
  <si>
    <t xml:space="preserve">Astro-Grip Powder-Free Exam Grade Nitrile Gloves</t>
  </si>
  <si>
    <t xml:space="preserve">https://www.thomassci.com/p/astro-grip-powder-free-exam-grade-nitrile-gloves</t>
  </si>
  <si>
    <t xml:space="preserve">https://www.thomassci.com/p/polyurethane-foam-sticky-roller-refills-18-wide</t>
  </si>
  <si>
    <t xml:space="preserve">https://www.thomassci.com/p/stickymat-tacky-high-tack-36-x-60-blue-30-sheets-per-pad-8-pads-per-case-1-each</t>
  </si>
  <si>
    <t xml:space="preserve">https://www.thomassci.com/p/tacky-roller-handle-for-12-and-18-wide-rollers</t>
  </si>
  <si>
    <t xml:space="preserve">Tacky Roller Extension Handle</t>
  </si>
  <si>
    <t xml:space="preserve">https://www.thomassci.com/p/tacky-roller-handle-extension-shaft-3-to-6</t>
  </si>
  <si>
    <t xml:space="preserve">https://www.dutscher.com/article/799779</t>
  </si>
  <si>
    <t xml:space="preserve">https://www.dutscher.com/article/959434</t>
  </si>
  <si>
    <t xml:space="preserve">https://www.dutscher.com/article/959553</t>
  </si>
  <si>
    <t xml:space="preserve">Marco lid funnel without lance - non conductive - S51 thread</t>
  </si>
  <si>
    <t xml:space="preserve">https://www.dutscher.com/article/999256</t>
  </si>
  <si>
    <t xml:space="preserve">JERRYCAN HDPE 20l FILE S60/61 WITH UN APPROVAL</t>
  </si>
  <si>
    <t xml:space="preserve">https://www.dutscher.com/article/799673</t>
  </si>
  <si>
    <t xml:space="preserve">https://www.dutscher.com/article/799313</t>
  </si>
  <si>
    <t xml:space="preserve">https://www.dutscher.com/article/074209</t>
  </si>
  <si>
    <t xml:space="preserve">https://www.dutscher.com/article/799314</t>
  </si>
  <si>
    <t xml:space="preserve">Combined pH electrode Schott type 5900A</t>
  </si>
  <si>
    <t xml:space="preserve">https://www.dutscher.com/article/074206</t>
  </si>
  <si>
    <t xml:space="preserve">SI Analytics Titronic 300 Dispensing Burette - without magnetic stirrer - with exchangeable unit 50 ml</t>
  </si>
  <si>
    <t xml:space="preserve">https://www.dutscher.com/article/174037</t>
  </si>
  <si>
    <t xml:space="preserve">https://www.thomassci.com/p/vortex-genie-1</t>
  </si>
  <si>
    <t xml:space="preserve">https://www.thomassci.com/p/torbal-fsc-tool-and-wrench-torque-gauges</t>
  </si>
  <si>
    <t xml:space="preserve">https://www.thomassci.com/p/genie-shaker-accessories</t>
  </si>
  <si>
    <t xml:space="preserve">Bead Genie™</t>
  </si>
  <si>
    <t xml:space="preserve">https://www.thomassci.com/p/bead-genie</t>
  </si>
  <si>
    <t xml:space="preserve">TORBAL FC PRO High Resolution Precision Force Gauge</t>
  </si>
  <si>
    <t xml:space="preserve">https://www.thomassci.com/p/torbal-fc-pro-high-resolution-precision-force-gauge</t>
  </si>
  <si>
    <t xml:space="preserve">https://www.thomassci.com/p/spill-containment-trays</t>
  </si>
  <si>
    <t xml:space="preserve">https://www.thomassci.com/p/secondary-containment-trays</t>
  </si>
  <si>
    <t xml:space="preserve">https://www.thomassci.com/p/experiment-trays</t>
  </si>
  <si>
    <t xml:space="preserve">Shelf Totes</t>
  </si>
  <si>
    <t xml:space="preserve">https://www.thomassci.com/p/shelf-totes</t>
  </si>
  <si>
    <t xml:space="preserve">Carboy Containment Trays</t>
  </si>
  <si>
    <t xml:space="preserve">https://www.thomassci.com/p/carboy-containment-trays</t>
  </si>
  <si>
    <t xml:space="preserve">https://www.thomassci.com/p/scilogex-dispensmate-plus-bottle-top-dispensers</t>
  </si>
  <si>
    <t xml:space="preserve">https://www.thomassci.com/p/micropette-universal-pipette-tips</t>
  </si>
  <si>
    <t xml:space="preserve">https://www.thomassci.com/p/adjustable-volume-single-channel-micropipette-pipettors</t>
  </si>
  <si>
    <t xml:space="preserve">SCILOGEX D2012 High Speed Personal Mini-Centrifuge</t>
  </si>
  <si>
    <t xml:space="preserve">https://www.thomassci.com/p/scilogex-d2012-high-speed-personal-mini-centrifuge</t>
  </si>
  <si>
    <t xml:space="preserve">SCILOGEX Analog Magnetic Hot Plate Stirrer, 10-Channel</t>
  </si>
  <si>
    <t xml:space="preserve">https://www.thomassci.com/p/scilogex-analog-magnetic-hot-plate-stirrer-10-channel</t>
  </si>
  <si>
    <t xml:space="preserve">https://www.thomassci.com/p/adapter-auto-decap-for-pf-96-autorack</t>
  </si>
  <si>
    <t xml:space="preserve">https://www.thomassci.com/p/v-bottom-tubes-internal-thread</t>
  </si>
  <si>
    <t xml:space="preserve">https://www.thomassci.com/p/96-deep-well-reservoir-for-automated-liquid-handling-systems</t>
  </si>
  <si>
    <t xml:space="preserve">https://www.thomassci.com/p/bench-plast-a-cab-hdpe-base-white</t>
  </si>
  <si>
    <t xml:space="preserve">https://www.thomassci.com/p/acid-cabinets</t>
  </si>
  <si>
    <t xml:space="preserve">https://www.thomassci.com/p/econacab-acid-cabinet</t>
  </si>
  <si>
    <t xml:space="preserve">54 Gallon Floor Flammable Cabinet w/ self-closing doors</t>
  </si>
  <si>
    <t xml:space="preserve">https://www.thomassci.com/p/54-gallon-floor-flammable-cabinet-with-self-closing-doors</t>
  </si>
  <si>
    <t xml:space="preserve">Stak-a-Cab™ Acid and Flammable Cabinets</t>
  </si>
  <si>
    <t xml:space="preserve">https://www.thomassci.com/p/stak-a-cab-acid-and-flammable-cabinets</t>
  </si>
  <si>
    <t xml:space="preserve">https://www.thomassci.com/p/plate-label-kit</t>
  </si>
  <si>
    <t xml:space="preserve">https://www.thomassci.com/p/96-standard-pin-replicator</t>
  </si>
  <si>
    <t xml:space="preserve">https://www.thomassci.com/p/96-long-pin-replicator</t>
  </si>
  <si>
    <t xml:space="preserve">384 Pin Replicator</t>
  </si>
  <si>
    <t xml:space="preserve">https://www.thomassci.com/p/384-pin-replicator</t>
  </si>
  <si>
    <t xml:space="preserve">https://www.thomassci.com/p/coliform-bottles</t>
  </si>
  <si>
    <t xml:space="preserve">https://www.thomassci.com/p/hdpe-sample-bottles-with-leakproof-caps</t>
  </si>
  <si>
    <t xml:space="preserve">https://www.thomassci.com/p/labels-and-custody-seals</t>
  </si>
  <si>
    <t xml:space="preserve">Bottle 16oz.Bulk</t>
  </si>
  <si>
    <t xml:space="preserve">https://www.thomassci.com/p/bottle-16ozbulkcs153</t>
  </si>
  <si>
    <t xml:space="preserve">Cubitainers</t>
  </si>
  <si>
    <t xml:space="preserve">https://www.thomassci.com/p/cubitainers</t>
  </si>
  <si>
    <t xml:space="preserve">https://www.thomassci.com/p/essential-ice-undercounter-ice-maker-model-cu0920</t>
  </si>
  <si>
    <t xml:space="preserve">https://www.thomassci.com/p/essential-ice-undercounter-ice-maker-model-cu0415</t>
  </si>
  <si>
    <t xml:space="preserve">https://www.thomassci.com/p/ice-bagger</t>
  </si>
  <si>
    <t xml:space="preserve">Field Installed Nugget Ice Kit, for all ID Dispensers</t>
  </si>
  <si>
    <t xml:space="preserve">https://www.thomassci.com/p/ice-only-counter-top-dispensers</t>
  </si>
  <si>
    <t xml:space="preserve">HID312 Meridian™ Series Ice and Water Dispensers</t>
  </si>
  <si>
    <t xml:space="preserve">https://www.thomassci.com/p/hid312-meridian-series-ice-and-water-dispensers</t>
  </si>
  <si>
    <t xml:space="preserve">https://www.thomassci.com/p/bags-desco/scs-static-shielding-bag-1000-series-metal-in-28x32-open-top-100ea/pk</t>
  </si>
  <si>
    <t xml:space="preserve">https://www.thomassci.com/p/3m-dri-shield-2000-moisture-barrier-shield-bag-10-x-12</t>
  </si>
  <si>
    <t xml:space="preserve">https://www.thomassci.com/p/3m-9900-static-control-anti-fatigue-mat-3x5</t>
  </si>
  <si>
    <t xml:space="preserve">SCS Heel Grounder with Dual Cup</t>
  </si>
  <si>
    <t xml:space="preserve">https://www.thomassci.com/p/3m-cup-style-heel-grounder-1-meg</t>
  </si>
  <si>
    <t xml:space="preserve">SCS Dual Conductor Coiled Cord</t>
  </si>
  <si>
    <t xml:space="preserve">https://www.thomassci.com/p/3m-2360-dual-wire-5-ft-coil-cord-with-30mm-straight-plug</t>
  </si>
  <si>
    <t xml:space="preserve">https://www.dutscher.com/article/074012</t>
  </si>
  <si>
    <t xml:space="preserve">https://www.dutscher.com/article/074011</t>
  </si>
  <si>
    <t xml:space="preserve">https://www.dutscher.com/article/074009</t>
  </si>
  <si>
    <t xml:space="preserve">NITEX filtration fabric (sifiting fabric) NITEX, mesh 20 μm pore size</t>
  </si>
  <si>
    <t xml:space="preserve">https://www.dutscher.com/article/074017</t>
  </si>
  <si>
    <t xml:space="preserve">Nylon filtration tissue (sifting fabric) NITEX, mesh opening 1000 µm</t>
  </si>
  <si>
    <t xml:space="preserve">https://www.dutscher.com/article/074001</t>
  </si>
  <si>
    <t xml:space="preserve">https://www.thomassci.com/p/albumin-reagent</t>
  </si>
  <si>
    <t xml:space="preserve">https://www.thomassci.com/p/cholesterol-reagent</t>
  </si>
  <si>
    <t xml:space="preserve">https://www.thomassci.com/p/homocysteine-reagent-dz</t>
  </si>
  <si>
    <t xml:space="preserve">Lp (a)</t>
  </si>
  <si>
    <t xml:space="preserve">https://www.thomassci.com/p/lp-a</t>
  </si>
  <si>
    <t xml:space="preserve">HDL Reagent</t>
  </si>
  <si>
    <t xml:space="preserve">https://www.thomassci.com/p/hdl-reagent</t>
  </si>
  <si>
    <t xml:space="preserve">https://www.thomassci.com/p/procell-alkaline-batteries-d-12each/box-6boxes/case-72each/case</t>
  </si>
  <si>
    <t xml:space="preserve">https://www.thomassci.com/p/energizer-ultimate-lithium-aaa-2ea-in-a-pk-12pk/bx</t>
  </si>
  <si>
    <t xml:space="preserve">https://www.dutscher.com/article/559005</t>
  </si>
  <si>
    <t xml:space="preserve">https://www.dutscher.com/article/559019</t>
  </si>
  <si>
    <t xml:space="preserve">https://www.dutscher.com/article/559020</t>
  </si>
  <si>
    <t xml:space="preserve">SEMPERGUARD glove - Nitrile Xtra Lite - Size S</t>
  </si>
  <si>
    <t xml:space="preserve">https://www.dutscher.com/article/559017</t>
  </si>
  <si>
    <t xml:space="preserve">SEMPERGUARD glove - Nitrile Confort - Size XL</t>
  </si>
  <si>
    <t xml:space="preserve">https://www.dutscher.com/article/559016</t>
  </si>
  <si>
    <t xml:space="preserve">https://www.thomassci.com/p/semperforce-black-nitrile-gloves</t>
  </si>
  <si>
    <t xml:space="preserve">https://www.thomassci.com/p/starmed-plus-nitrile-gloves</t>
  </si>
  <si>
    <t xml:space="preserve">https://www.thomassci.com/p/gloves-sempermed-starmed-rose-nitrile-large-powder-free-with-aloe-and-vitamin-e-200-per-box-10-boxes-per-case</t>
  </si>
  <si>
    <t xml:space="preserve">vinyl classic® Vinyl Powdered Gloves</t>
  </si>
  <si>
    <t xml:space="preserve">https://www.thomassci.com/p/semperguard-vinyl-powdered-gloves</t>
  </si>
  <si>
    <t xml:space="preserve">sapphireXP® White Nitrile Gloves</t>
  </si>
  <si>
    <t xml:space="preserve">https://www.thomassci.com/p/gripstrong-white-nitrile-gloves</t>
  </si>
  <si>
    <t xml:space="preserve">https://www.dutscher.com/article/049983D</t>
  </si>
  <si>
    <t xml:space="preserve">https://www.thomassci.com/p/3-in-1-combination-electrodes</t>
  </si>
  <si>
    <t xml:space="preserve">https://www.thomassci.com/p/orp1000-polycarbonate-laboratory-orp-sensor</t>
  </si>
  <si>
    <t xml:space="preserve">https://www.thomassci.com/p/combination-electrodes</t>
  </si>
  <si>
    <t xml:space="preserve">Handheld UV Transmittance Monitor</t>
  </si>
  <si>
    <t xml:space="preserve">https://www.thomassci.com/p/handheld-uv-transmittance-monitor</t>
  </si>
  <si>
    <t xml:space="preserve">pH Pre-Amplifier</t>
  </si>
  <si>
    <t xml:space="preserve">https://www.thomassci.com/p/ph-pre-amplifier</t>
  </si>
  <si>
    <t xml:space="preserve">https://www.dutscher.com/article/215445</t>
  </si>
  <si>
    <t xml:space="preserve">https://www.dutscher.com/article/215446</t>
  </si>
  <si>
    <t xml:space="preserve">https://www.dutscher.com/article/115866</t>
  </si>
  <si>
    <t xml:space="preserve">HPE™ BlueHorizon™ Cooling unit</t>
  </si>
  <si>
    <t xml:space="preserve">https://www.dutscher.com/article/115795</t>
  </si>
  <si>
    <t xml:space="preserve">BlueHorizon Electrophoresis Systemdouble drawer</t>
  </si>
  <si>
    <t xml:space="preserve">https://www.dutscher.com/article/115810</t>
  </si>
  <si>
    <t xml:space="preserve">https://www.thomassci.com/p/stomacher-bag-racks</t>
  </si>
  <si>
    <t xml:space="preserve">https://www.thomassci.com/p/stomacher-400-evo-lab-blender-240/110v-and-bags</t>
  </si>
  <si>
    <t xml:space="preserve">https://www.thomassci.com/p/stomacher-lab-blenders</t>
  </si>
  <si>
    <t xml:space="preserve">Stomacher® Bag Openers</t>
  </si>
  <si>
    <t xml:space="preserve">https://www.thomassci.com/p/stomacher-bag-openers</t>
  </si>
  <si>
    <t xml:space="preserve">Stomacher® 400 Circulator Lab Blender</t>
  </si>
  <si>
    <t xml:space="preserve">https://www.thomassci.com/p/stomacher-400-circulator-lab-blender</t>
  </si>
  <si>
    <t xml:space="preserve">https://www.thomassci.com/p/ctc-pal-hplc-autosampler-syringes</t>
  </si>
  <si>
    <t xml:space="preserve">https://www.thomassci.com/p/replacement-luer-lock-needles</t>
  </si>
  <si>
    <t xml:space="preserve">https://www.thomassci.com/p/focusliner-gc-inlet-liners</t>
  </si>
  <si>
    <t xml:space="preserve">Needle Cleaning Kit</t>
  </si>
  <si>
    <t xml:space="preserve">https://www.thomassci.com/p/needle-cleaning-kit1</t>
  </si>
  <si>
    <t xml:space="preserve">BP1 / BP1 PONA Capillary Columns</t>
  </si>
  <si>
    <t xml:space="preserve">https://www.thomassci.com/p/capillary-columns-bp1-100-dimethyl-polysiloxane</t>
  </si>
  <si>
    <t xml:space="preserve">https://www.thomassci.com/p/labeling-tape1</t>
  </si>
  <si>
    <t xml:space="preserve">https://www.thomassci.com/p/1-inch-x-2-5/8-inch-white-exempt-human-specimen-labels-500/roll</t>
  </si>
  <si>
    <t xml:space="preserve">https://www.thomassci.com/p/hazardous-package-contents-transportation-warning-labels</t>
  </si>
  <si>
    <t xml:space="preserve">Dot Label Sheets and Rolls, 0.25"</t>
  </si>
  <si>
    <t xml:space="preserve">https://www.thomassci.com/p/dot-label-sheets-and-rolls-0-25-inch</t>
  </si>
  <si>
    <t xml:space="preserve">BioHazard Warning Labels and Signs</t>
  </si>
  <si>
    <t xml:space="preserve">https://www.thomassci.com/p/biohazard-warning-labels-and-signs</t>
  </si>
  <si>
    <t xml:space="preserve">https://www.thomassci.com/p/forced-air-general-purpose-ovens</t>
  </si>
  <si>
    <t xml:space="preserve">https://www.thomassci.com/p/li6p-incubators</t>
  </si>
  <si>
    <t xml:space="preserve">https://www.thomassci.com/p/li-series-refrigerated-bod-incubators</t>
  </si>
  <si>
    <t xml:space="preserve">SVAC Series Vacuum Economy Ovens</t>
  </si>
  <si>
    <t xml:space="preserve">https://www.thomassci.com/p/vacuum-oven-210c</t>
  </si>
  <si>
    <t xml:space="preserve">Model SCO6AD High Heat Decontamination CO2 Incubators</t>
  </si>
  <si>
    <t xml:space="preserve">https://www.thomassci.com/p/3552-high-heat-decontamination-co2-incubators</t>
  </si>
  <si>
    <t xml:space="preserve">https://www.dutscher.com/article/065746B</t>
  </si>
  <si>
    <t xml:space="preserve">https://www.dutscher.com/article/065767</t>
  </si>
  <si>
    <t xml:space="preserve">https://www.dutscher.com/article/065781</t>
  </si>
  <si>
    <t xml:space="preserve">SMARTLine™ Blue Nitrile 240 glove, length 240 mm - size 10/XL</t>
  </si>
  <si>
    <t xml:space="preserve">https://www.dutscher.com/article/065931</t>
  </si>
  <si>
    <t xml:space="preserve">SHIELDskin™ ORANGE NITRILE 260™ - size L/9</t>
  </si>
  <si>
    <t xml:space="preserve">https://www.dutscher.com/article/065703</t>
  </si>
  <si>
    <t xml:space="preserve">https://www.thomassci.com/p/20-place-compartment-trays</t>
  </si>
  <si>
    <t xml:space="preserve">https://www.thomassci.com/p/stack-and-nest-180-totes</t>
  </si>
  <si>
    <t xml:space="preserve">https://www.thomassci.com/p/3-place-compartment-trays</t>
  </si>
  <si>
    <t xml:space="preserve">Storage Trays, 16L x 12H x 4W</t>
  </si>
  <si>
    <t xml:space="preserve">https://www.thomassci.com/p/storage-trays-16l-x-12h-x-4w</t>
  </si>
  <si>
    <t xml:space="preserve">All Purpose Storage Totes</t>
  </si>
  <si>
    <t xml:space="preserve">https://www.thomassci.com/p/all-purpose-storage-totes</t>
  </si>
  <si>
    <t xml:space="preserve">https://www.thomassci.com/p/polypropylene-anti-skid-and-static-shoe-covers</t>
  </si>
  <si>
    <t xml:space="preserve">https://www.thomassci.com/p/shoecover-magic-refill-poly-pro-white</t>
  </si>
  <si>
    <t xml:space="preserve">https://www.thomassci.com/p/polypropylene-material-with-non-skid-non-conductive-soles-and-an-anti-static-carbon-strip-this-shoe-cover-is-skid-resistant-which-improves-traction-and-friction-one-size-fits-a</t>
  </si>
  <si>
    <t xml:space="preserve">Chlorinated Polyethylene (CPE) Shoe Cover</t>
  </si>
  <si>
    <t xml:space="preserve">https://www.thomassci.com/p/chlorinated-polyethylene-cpe-shoe-cover</t>
  </si>
  <si>
    <t xml:space="preserve">Automatic Shoe Cover Dispenser</t>
  </si>
  <si>
    <t xml:space="preserve">https://www.thomassci.com/p/automatic-shoe-cover-dispenser</t>
  </si>
  <si>
    <t xml:space="preserve">https://www.thomassci.com/p/shoecover-shoeinn-super-shoe-covers-spunbonded-polypropylene-material-with-polyethylene-super-anti-skid-traction-completely-waterproof-heat-sealed-seams</t>
  </si>
  <si>
    <t xml:space="preserve">https://www.thomassci.com/p/shoe-covers-shoe-inn-non-skid-polypropylene-for-si-7200-machine-with-clips-100ea/pk</t>
  </si>
  <si>
    <t xml:space="preserve">https://www.thomassci.com/p/plastic-shoe-covers</t>
  </si>
  <si>
    <t xml:space="preserve">Shoe Cover with Traction</t>
  </si>
  <si>
    <t xml:space="preserve">https://www.thomassci.com/p/fabric-shoe-covers-with-traction-case-of-1200-600-pairs</t>
  </si>
  <si>
    <t xml:space="preserve">https://www.thomassci.com/p/atlas-kv350-nitrile-gloves</t>
  </si>
  <si>
    <t xml:space="preserve">https://www.thomassci.com/p/atlas-gloves</t>
  </si>
  <si>
    <t xml:space="preserve">https://www.thomassci.com/p/atlas-assembly-grip-gloves</t>
  </si>
  <si>
    <t xml:space="preserve">D-Flex®DYNEEMA® Gloves</t>
  </si>
  <si>
    <t xml:space="preserve">https://www.thomassci.com/p/d-flexdyneema-gloves</t>
  </si>
  <si>
    <t xml:space="preserve">Chemical Resistant Green Nitrile Gloves, 15 mil, Flock Lined</t>
  </si>
  <si>
    <t xml:space="preserve">https://www.thomassci.com/p/chemical-resistant-unsupported-nitrile-13-inch-15-mil-light-green-raised-diamond-palm-flock-lined</t>
  </si>
  <si>
    <t xml:space="preserve">https://www.thomassci.com/p/tape-dispenser-sure-grip-max-3pistol-grip-1/each</t>
  </si>
  <si>
    <t xml:space="preserve">https://www.thomassci.com/p/cp-631-general-purpose-grade-medium-high-adhesion-colored-masking-tape</t>
  </si>
  <si>
    <t xml:space="preserve">https://www.thomassci.com/p/cp-105-general-purpose-grade-medium-high-adhesion-masking-tape</t>
  </si>
  <si>
    <t xml:space="preserve">https://www.thomassci.com/p/a-162-2m-din-id-ph-combination-electrode-with-sensor-recognition</t>
  </si>
  <si>
    <t xml:space="preserve">https://www.thomassci.com/p/n-62-ph-combination-electrode-120mm-with-plug-head</t>
  </si>
  <si>
    <t xml:space="preserve">https://www.thomassci.com/p/plug-cable-combination</t>
  </si>
  <si>
    <t xml:space="preserve">A 7780: pH Combination Electrode with Ceramic Junction</t>
  </si>
  <si>
    <t xml:space="preserve">https://www.thomassci.com/p/a-7780-ph-combination-electrode-with-ceramic-junction</t>
  </si>
  <si>
    <t xml:space="preserve">Pt 61 Metal Combination Electrode</t>
  </si>
  <si>
    <t xml:space="preserve">https://www.thomassci.com/p/pt-61-metal-combination-electrode</t>
  </si>
  <si>
    <t xml:space="preserve">https://www.thomassci.com/p/crystal-simple-green-industrial-cleaner/degreaser</t>
  </si>
  <si>
    <t xml:space="preserve">https://www.thomassci.com/p/extreme-simple-green-aircraft-and-precision-cleaner</t>
  </si>
  <si>
    <t xml:space="preserve">https://www.thomassci.com/p/simple-green-concentrated-cleaner</t>
  </si>
  <si>
    <t xml:space="preserve">Simple Green Safety Towels®</t>
  </si>
  <si>
    <t xml:space="preserve">https://www.thomassci.com/p/simple-green-safety-towels</t>
  </si>
  <si>
    <t xml:space="preserve">Simple Green® Anti-Spatter</t>
  </si>
  <si>
    <t xml:space="preserve">https://www.thomassci.com/p/simple-green-anti-spatter</t>
  </si>
  <si>
    <t xml:space="preserve">https://www.thomassci.com/p/200-proof-specially-denatured-alcohol-formula-40b</t>
  </si>
  <si>
    <t xml:space="preserve">https://www.thomassci.com/p/200-proof-completely-denatured-alcohol-formula-12a</t>
  </si>
  <si>
    <t xml:space="preserve">https://www.thomassci.com/p/n-pentane-99</t>
  </si>
  <si>
    <t xml:space="preserve">99.9% Isopropyl Alcohol, Tech Grade</t>
  </si>
  <si>
    <t xml:space="preserve">https://www.thomassci.com/p/99-9-isopropyl-alcohol-1</t>
  </si>
  <si>
    <t xml:space="preserve">Heptane, Ultra Low Aromatic</t>
  </si>
  <si>
    <t xml:space="preserve">https://www.thomassci.com/p/heptane-ultra-low-aromatic</t>
  </si>
  <si>
    <t xml:space="preserve">https://www.thomassci.com/p/histosette-ii-tissue-processing-/-embedding-cassettes</t>
  </si>
  <si>
    <t xml:space="preserve">https://www.thomassci.com/p/base-molds-disposable</t>
  </si>
  <si>
    <t xml:space="preserve">https://www.thomassci.com/p/cryovial-external-thread-with-silicone-washer-seal7</t>
  </si>
  <si>
    <t xml:space="preserve">Flat Top Colored Closures</t>
  </si>
  <si>
    <t xml:space="preserve">https://www.thomassci.com/p/microtube-caps</t>
  </si>
  <si>
    <t xml:space="preserve">StainTray™ Slide Staining System</t>
  </si>
  <si>
    <t xml:space="preserve">https://www.thomassci.com/p/staintray-slide-staining-system</t>
  </si>
  <si>
    <t xml:space="preserve">https://www.thomassci.com/p/sorbent-tube-anasorb-csc-coconut-charcoal</t>
  </si>
  <si>
    <t xml:space="preserve">https://www.thomassci.com/p/sorbent-tubes-anasorb-747-sulfuric-acid</t>
  </si>
  <si>
    <t xml:space="preserve">https://www.thomassci.com/p/gastec-smoke-tube-kit</t>
  </si>
  <si>
    <t xml:space="preserve">Tedlar Air Sampling Bags</t>
  </si>
  <si>
    <t xml:space="preserve">https://www.thomassci.com/p/tedlar-air-sampling-bags</t>
  </si>
  <si>
    <t xml:space="preserve">Constant Pressure Controller (CPC)</t>
  </si>
  <si>
    <t xml:space="preserve">https://www.thomassci.com/p/constant-pressure-controller-cpc</t>
  </si>
  <si>
    <t xml:space="preserve">https://www.thomassci.com/p/manual-industrial-knife</t>
  </si>
  <si>
    <t xml:space="preserve">https://www.thomassci.com/p/ceramic-blade-craft-cutter-handle</t>
  </si>
  <si>
    <t xml:space="preserve">https://www.thomassci.com/p/folding-utility-knife</t>
  </si>
  <si>
    <t xml:space="preserve">Manual Box Cutter</t>
  </si>
  <si>
    <t xml:space="preserve">https://www.thomassci.com/p/manual-box-cutter</t>
  </si>
  <si>
    <t xml:space="preserve">Ceramic Utility Repl Blades</t>
  </si>
  <si>
    <t xml:space="preserve">https://www.thomassci.com/p/ceramic-utility-repl-blades</t>
  </si>
  <si>
    <t xml:space="preserve">https://www.dutscher.com/article/176123</t>
  </si>
  <si>
    <t xml:space="preserve">https://www.dutscher.com/article/176313B</t>
  </si>
  <si>
    <t xml:space="preserve">https://www.dutscher.com/article/176047</t>
  </si>
  <si>
    <t xml:space="preserve">Jerrycan 5 L non-sterile HDPE - white cap</t>
  </si>
  <si>
    <t xml:space="preserve">https://www.dutscher.com/article/176310B</t>
  </si>
  <si>
    <t xml:space="preserve">Jerrycan 5 L sterile HDPE - white cap</t>
  </si>
  <si>
    <t xml:space="preserve">https://www.dutscher.com/article/176311B</t>
  </si>
  <si>
    <t xml:space="preserve">https://www.thomassci.com/p/dressing-collagen</t>
  </si>
  <si>
    <t xml:space="preserve">https://www.thomassci.com/p/wound-cleanser</t>
  </si>
  <si>
    <t xml:space="preserve">https://www.thomassci.com/p/hypodermic-needle-pro-edge-safety-needles-w/syringe1</t>
  </si>
  <si>
    <t xml:space="preserve">https://www.thomassci.com/p/smiths-medical-medex-jelco-injection-caps</t>
  </si>
  <si>
    <t xml:space="preserve">https://www.thomassci.com/p/hypodermic-needle-pro-safety-needles-w/insulin-syringe1</t>
  </si>
  <si>
    <t xml:space="preserve">Smiths Medical Saf-T Holder® Devices &amp; Blood Transfer Devices</t>
  </si>
  <si>
    <t xml:space="preserve">https://www.thomassci.com/p/smiths-medical-saf-t-holder-devices-and-blood-transfer-devices</t>
  </si>
  <si>
    <t xml:space="preserve">Smiths Medical Medex Stopcocks</t>
  </si>
  <si>
    <t xml:space="preserve">https://www.thomassci.com/p/smiths-medical-medex-stopcocks</t>
  </si>
  <si>
    <t xml:space="preserve">https://www.thomassci.com/p/upright-style-ultra-low-freezers</t>
  </si>
  <si>
    <t xml:space="preserve">https://www.thomassci.com/p/so-low-flammable-material-storage-freezer-manual-defrost-20-cubic-ft-upright-25c-/-solid-door</t>
  </si>
  <si>
    <t xml:space="preserve">https://www.thomassci.com/p/chest-style-ultra-low-freezers</t>
  </si>
  <si>
    <t xml:space="preserve">Freezer Racks, Stainless Steel, 23" X 5 1/2" x 9 3/4" 100 CELL</t>
  </si>
  <si>
    <t xml:space="preserve">https://www.thomassci.com/p/freezer-racks-stainless-steel-23-x-5-1/2-x-9-3/4-100-cell</t>
  </si>
  <si>
    <t xml:space="preserve">Laboratory and Pharmacy Refrigerators</t>
  </si>
  <si>
    <t xml:space="preserve">https://www.thomassci.com/p/laboratory-and-pharmacy-refrigerators</t>
  </si>
  <si>
    <t xml:space="preserve">https://www.dutscher.com/article/061305</t>
  </si>
  <si>
    <t xml:space="preserve">https://www.dutscher.com/article/320219</t>
  </si>
  <si>
    <t xml:space="preserve">https://www.dutscher.com/article/061001</t>
  </si>
  <si>
    <t xml:space="preserve">Reagent reservoir 12 channels sterile</t>
  </si>
  <si>
    <t xml:space="preserve">https://www.dutscher.com/article/061069</t>
  </si>
  <si>
    <t xml:space="preserve">Micropipette Acura® 835 1-10 ml Socorex</t>
  </si>
  <si>
    <t xml:space="preserve">https://www.dutscher.com/article/061113</t>
  </si>
  <si>
    <t xml:space="preserve">https://www.thomassci.com/p/softbox-vip-shippers</t>
  </si>
  <si>
    <t xml:space="preserve">https://www.thomassci.com/p/tracsafe-rlt-data-logger</t>
  </si>
  <si>
    <t xml:space="preserve">https://www.thomassci.com/p/cheesecloth-cleaning-cloth</t>
  </si>
  <si>
    <t xml:space="preserve">https://www.thomassci.com/p/rymplecloth-cleaning-cloth</t>
  </si>
  <si>
    <t xml:space="preserve">https://www.thomassci.com/p/safety-needle</t>
  </si>
  <si>
    <t xml:space="preserve">https://www.thomassci.com/p/luer-lock-syringe</t>
  </si>
  <si>
    <t xml:space="preserve">https://www.thomassci.com/p/sol-vet-blood-collection-needle</t>
  </si>
  <si>
    <t xml:space="preserve">Blood Collection Tube Holder</t>
  </si>
  <si>
    <t xml:space="preserve">https://www.thomassci.com/p/blood-collection</t>
  </si>
  <si>
    <t xml:space="preserve">Sol-M® Allergy Syringe Tray</t>
  </si>
  <si>
    <t xml:space="preserve">https://www.thomassci.com/p/sol-m-allergy-syringe-tray</t>
  </si>
  <si>
    <t xml:space="preserve">https://www.thomassci.com/p/nist-uvb-radiometer-measures-280-320nm-light-range-of-0-19-99-mwithcm-model-6-0-standard-uvb-meter</t>
  </si>
  <si>
    <t xml:space="preserve">https://www.thomassci.com/p/nist-red-light-radiometer-measures-577-661nm-light-range-of-0-199-9-mwithcm-model-9-6-red-light-meter</t>
  </si>
  <si>
    <t xml:space="preserve">https://www.thomassci.com/p/nist-traceable-uvc-radiometer-with-remote-probe-that-measures-254-/-8nm-light-with-a-range-of-0-1999-withcm</t>
  </si>
  <si>
    <t xml:space="preserve">NIST UVA Radiometer, Measures 320-400nm light, Range of 0-1999 µW/cm², Model 4.2 Sensitive UVA Meter</t>
  </si>
  <si>
    <t xml:space="preserve">https://www.thomassci.com/p/nist-uva-radiometer-measures-320-400nm-light-range-of-0-1999-withcm-model-4-2-sensitive-uva-meter</t>
  </si>
  <si>
    <t xml:space="preserve">NIST UVA Radiometer, Measures 320-400nm Light Range of 0-199.9 mW/cm², Model 4.0 Standard UVA Meter</t>
  </si>
  <si>
    <t xml:space="preserve">https://www.thomassci.com/p/nist-uva-radiometer-measures-320-400nm-light-range-of-0-199-9-mwithcm-model-4-0-standard-uva-meter</t>
  </si>
  <si>
    <t xml:space="preserve">https://www.dutscher.com/article/755134</t>
  </si>
  <si>
    <t xml:space="preserve">https://www.dutscher.com/article/755071</t>
  </si>
  <si>
    <t xml:space="preserve">https://www.dutscher.com/article/755056</t>
  </si>
  <si>
    <t xml:space="preserve">FIREScript Mix for reverse transcriptase cDNA synthesis with random primers (3 tubes)</t>
  </si>
  <si>
    <t xml:space="preserve">https://www.dutscher.com/article/755097</t>
  </si>
  <si>
    <t xml:space="preserve">Hot FIREpol® (hot start DNA polymerase) 1000 U</t>
  </si>
  <si>
    <t xml:space="preserve">https://www.dutscher.com/article/755010</t>
  </si>
  <si>
    <t xml:space="preserve">https://www.dutscher.com/article/32201-1L-HON</t>
  </si>
  <si>
    <t xml:space="preserve">https://www.dutscher.com/article/33665-500ML-HON</t>
  </si>
  <si>
    <t xml:space="preserve">https://www.dutscher.com/article/34283-1L-HON</t>
  </si>
  <si>
    <t xml:space="preserve">34866-2.5L-HON · Toluene min. 99.9% - Chromasolv for HPLC - 2.5 L</t>
  </si>
  <si>
    <t xml:space="preserve">https://www.dutscher.com/article/34866-2.5L-HON</t>
  </si>
  <si>
    <t xml:space="preserve">84415-500ML-HON · Hydrochloric acid min. 32% - TraceSelect for trace analysis - 500 mL</t>
  </si>
  <si>
    <t xml:space="preserve">https://www.dutscher.com/article/84415-500ML-HON</t>
  </si>
  <si>
    <t xml:space="preserve">https://www.thomassci.com/p/labstamp-slides</t>
  </si>
  <si>
    <t xml:space="preserve">https://www.thomassci.com/p/labstamp-automated-tattoo-machine</t>
  </si>
  <si>
    <t xml:space="preserve">https://www.thomassci.com/p/labstamp-tail-gauge</t>
  </si>
  <si>
    <t xml:space="preserve">Labstamp® Restraint</t>
  </si>
  <si>
    <t xml:space="preserve">https://www.thomassci.com/p/labstamp-restraint</t>
  </si>
  <si>
    <t xml:space="preserve">Labstamp® Tail Oil, Sterile (4oz/bottle)</t>
  </si>
  <si>
    <t xml:space="preserve">https://www.thomassci.com/p/labstamp-tail-oil-sterile-4oz/bottle</t>
  </si>
  <si>
    <t xml:space="preserve">https://www.thomassci.com/p/6300408-replaceable-25mm-tip</t>
  </si>
  <si>
    <t xml:space="preserve">https://www.thomassci.com/p/6300406-repcble-13mm-tip</t>
  </si>
  <si>
    <t xml:space="preserve">https://www.thomassci.com/p/6300310-25mm-hgain-probe</t>
  </si>
  <si>
    <t xml:space="preserve">130 Watt Ultrasonic Processors</t>
  </si>
  <si>
    <t xml:space="preserve">https://www.thomassci.com/p/130-watt-ultrasonic-processors</t>
  </si>
  <si>
    <t xml:space="preserve">500 And 750 Watt Ultrasonic Processors</t>
  </si>
  <si>
    <t xml:space="preserve">https://www.thomassci.com/p/500-and-750-watt-ultrasonic-processors</t>
  </si>
  <si>
    <t xml:space="preserve">https://www.thomassci.com/p/sonoco-thermosafe-insulatedshipper-pur-packed-in-case</t>
  </si>
  <si>
    <t xml:space="preserve">https://www.thomassci.com/p/eps-shipper-id-11-6-x-9-9-x-7-0-in-1-6-in-wall-plug-lid-with-carton</t>
  </si>
  <si>
    <t xml:space="preserve">https://www.thomassci.com/p/mltiflex-round-gel-loading-tips</t>
  </si>
  <si>
    <t xml:space="preserve">https://www.thomassci.com/p/real-time-pcr-plate-seal</t>
  </si>
  <si>
    <t xml:space="preserve">https://www.thomassci.com/p/miti-safeseal-microcentrifuge-tubes</t>
  </si>
  <si>
    <t xml:space="preserve">OneTouch™ Barrier Pipet Tips</t>
  </si>
  <si>
    <t xml:space="preserve">https://www.thomassci.com/p/onetouch-barrier-pipet-tips</t>
  </si>
  <si>
    <t xml:space="preserve">MultiGuard Barrier Pipet Tips</t>
  </si>
  <si>
    <t xml:space="preserve">https://www.thomassci.com/p/multiguard-barrier-pipet-tips</t>
  </si>
  <si>
    <t xml:space="preserve">https://www.dutscher.com/article/061906</t>
  </si>
  <si>
    <t xml:space="preserve">https://www.dutscher.com/article/062435</t>
  </si>
  <si>
    <t xml:space="preserve">https://www.dutscher.com/article/061900</t>
  </si>
  <si>
    <t xml:space="preserve">Phyprol anti-solvent gel - Tube 125 ml</t>
  </si>
  <si>
    <t xml:space="preserve">https://www.dutscher.com/article/061904</t>
  </si>
  <si>
    <t xml:space="preserve">LIBAL protective multi-use cream - 50ml</t>
  </si>
  <si>
    <t xml:space="preserve">https://www.dutscher.com/article/061902</t>
  </si>
  <si>
    <t xml:space="preserve">https://www.thomassci.com/p/goat-anti-human-igg-mouse/bovine/horse-sp-ads-ap</t>
  </si>
  <si>
    <t xml:space="preserve">https://www.thomassci.com/p/goat-anti-mouse-ige-biot</t>
  </si>
  <si>
    <t xml:space="preserve">https://www.thomassci.com/p/goat-anti-human-ig-fab-hrp</t>
  </si>
  <si>
    <t xml:space="preserve">Goat F(ab’)2 Anti-Human Lambda-PE</t>
  </si>
  <si>
    <t xml:space="preserve">https://www.thomassci.com/p/goat-fab2-anti-human-lambda-pe</t>
  </si>
  <si>
    <t xml:space="preserve">Goat Anti-Human IgG(H+L), Mouse/Bovine/Horse SP ads-BIOT</t>
  </si>
  <si>
    <t xml:space="preserve">https://www.thomassci.com/p/goat-anti-human-igghl-mouse/bovine/horse-sp-ads-biot</t>
  </si>
  <si>
    <t xml:space="preserve">https://www.thomassci.com/p/graduated-pitchers-polypropylene</t>
  </si>
  <si>
    <t xml:space="preserve">https://www.thomassci.com/p/autoclavable-biohazard-bag-and-holder</t>
  </si>
  <si>
    <t xml:space="preserve">https://www.thomassci.com/p/pipette-pump-pipet-fillers</t>
  </si>
  <si>
    <t xml:space="preserve">Clavies® Autoclavable Bags</t>
  </si>
  <si>
    <t xml:space="preserve">https://www.thomassci.com/p/clavies-autoclavable-bags1</t>
  </si>
  <si>
    <t xml:space="preserve">Scienceware® Mini Sampler Spoons</t>
  </si>
  <si>
    <t xml:space="preserve">https://www.thomassci.com/p/scienceware-mini-sampler-spoons</t>
  </si>
  <si>
    <t xml:space="preserve">https://www.thomassci.com/p/filterware-microfiltration-glassware</t>
  </si>
  <si>
    <t xml:space="preserve">https://www.thomassci.com/p/laboratory-grade-automatic-burets-with-straight-stopcocks-with-ptfe-plugs</t>
  </si>
  <si>
    <t xml:space="preserve">https://www.thomassci.com/p/distilling-receivers-modified-bidwell-sterling-for-astm-standard-method-d4006</t>
  </si>
  <si>
    <t xml:space="preserve">Class B Graduated Cylinders, TD</t>
  </si>
  <si>
    <t xml:space="preserve">https://www.thomassci.com/p/laboratory-grade-graduated-cylinders-with-pourout</t>
  </si>
  <si>
    <t xml:space="preserve">Two-Piece Vacuum Traps with Hose Connection</t>
  </si>
  <si>
    <t xml:space="preserve">https://www.thomassci.com/p/two-piece-vacuum-trap-with-hose-connection</t>
  </si>
  <si>
    <t xml:space="preserve">https://www.thomassci.com/p/omni-cell-body-with-mount</t>
  </si>
  <si>
    <t xml:space="preserve">https://www.thomassci.com/p/omni-cell-spacers</t>
  </si>
  <si>
    <t xml:space="preserve">https://www.thomassci.com/p/sample-prep-3</t>
  </si>
  <si>
    <t xml:space="preserve">Cell Body &amp; Window Accessories</t>
  </si>
  <si>
    <t xml:space="preserve">https://www.thomassci.com/p/omni-cell</t>
  </si>
  <si>
    <t xml:space="preserve">Demountable &amp; Permanently Sealed Windows</t>
  </si>
  <si>
    <t xml:space="preserve">https://www.thomassci.com/p/omni-cell-windows</t>
  </si>
  <si>
    <t xml:space="preserve">https://www.thomassci.com/p/replacement-parts-and-accessories-for-e-series-lamps</t>
  </si>
  <si>
    <t xml:space="preserve">https://www.thomassci.com/p/x-series-uv-bench-and-display-lamps-germicidal</t>
  </si>
  <si>
    <t xml:space="preserve">https://www.thomassci.com/p/accessories-and-replacement-parts-for-uv-transilluminators</t>
  </si>
  <si>
    <t xml:space="preserve">E-Series Corded Hand-Held UV Lamps, Dual Wavelength, Long/Short Wave</t>
  </si>
  <si>
    <t xml:space="preserve">https://www.thomassci.com/p/e-series-corded-hand-held-uv-lamps-dual-wavelength-long/short-wave</t>
  </si>
  <si>
    <t xml:space="preserve">Ultraviolet germicidal irradiation UV-C (UVGI)</t>
  </si>
  <si>
    <t xml:space="preserve">https://www.thomassci.com/p/ultraviolet-germicidal-irradiation-uv-c-uvgi</t>
  </si>
  <si>
    <t xml:space="preserve">https://www.dutscher.com/article/059002</t>
  </si>
  <si>
    <t xml:space="preserve">https://www.dutscher.com/article/059345</t>
  </si>
  <si>
    <t xml:space="preserve">https://www.dutscher.com/article/059006</t>
  </si>
  <si>
    <t xml:space="preserve">Dialysis tube SPECTRA/POR 6 regenerated cellulose, flat width 45 mm</t>
  </si>
  <si>
    <t xml:space="preserve">https://www.dutscher.com/article/059268</t>
  </si>
  <si>
    <t xml:space="preserve">Dialysis tube SPECTRA/POR 4 regenerated cellulose, flat width 32 mm</t>
  </si>
  <si>
    <t xml:space="preserve">https://www.dutscher.com/article/059021</t>
  </si>
  <si>
    <t xml:space="preserve">https://www.thomassci.com/p/sodium-oleate</t>
  </si>
  <si>
    <t xml:space="preserve">https://www.thomassci.com/p/sec-butyl-alcohol1</t>
  </si>
  <si>
    <t xml:space="preserve">https://www.thomassci.com/p/alcohol-190-proof-usp</t>
  </si>
  <si>
    <t xml:space="preserve">Paraformaldehyde, Purified</t>
  </si>
  <si>
    <t xml:space="preserve">https://www.thomassci.com/p/paraformaldehyde-purified</t>
  </si>
  <si>
    <t xml:space="preserve">1-Hexene, Reagent</t>
  </si>
  <si>
    <t xml:space="preserve">https://www.thomassci.com/p/1-hexene-reagent</t>
  </si>
  <si>
    <t xml:space="preserve">https://www.thomassci.com/p/dialysis-tubing</t>
  </si>
  <si>
    <t xml:space="preserve">https://www.thomassci.com/p/biotech-ce-dialysis-trial-kits-1-m/roll</t>
  </si>
  <si>
    <t xml:space="preserve">https://www.thomassci.com/p/bessman-tissue-pulverizer</t>
  </si>
  <si>
    <t xml:space="preserve">Standard RC Ready-to-use Dialysis Sacks: Spectra/Por® 1-4</t>
  </si>
  <si>
    <t xml:space="preserve">https://www.thomassci.com/p/standard-rc-ready-to-use-dialysis-sacksspectra/por-1-4</t>
  </si>
  <si>
    <t xml:space="preserve">Transfertube</t>
  </si>
  <si>
    <t xml:space="preserve">https://www.thomassci.com/p/transfertube</t>
  </si>
  <si>
    <t xml:space="preserve">https://www.thomassci.com/p/infrared-thermometer-with-dewpoint</t>
  </si>
  <si>
    <t xml:space="preserve">https://www.thomassci.com/p/large-display-indoor/outdoor-thermometers</t>
  </si>
  <si>
    <t xml:space="preserve">https://www.thomassci.com/p/continuous-alarm-timer</t>
  </si>
  <si>
    <t xml:space="preserve">Pocket Digital Refractometers</t>
  </si>
  <si>
    <t xml:space="preserve">https://www.thomassci.com/p/pocket-digital-refractometers</t>
  </si>
  <si>
    <t xml:space="preserve">DO/Multi-parameter Meter &amp; Accessories</t>
  </si>
  <si>
    <t xml:space="preserve">https://www.thomassci.com/p/do/multi-parameter-meter-and-accessories</t>
  </si>
  <si>
    <t xml:space="preserve">https://www.thomassci.com/p/2-methylpropane-1000ppm-1ml</t>
  </si>
  <si>
    <t xml:space="preserve">https://www.thomassci.com/p/semi-volatile-calibration-standard</t>
  </si>
  <si>
    <t xml:space="preserve">https://www.thomassci.com/p/iron-5-hno3-10000ppm-100ml</t>
  </si>
  <si>
    <t xml:space="preserve">spex® Chloromethane Single-Component Organic Standard</t>
  </si>
  <si>
    <t xml:space="preserve">https://www.thomassci.com/p/chloromethane-1000ppm-1ml</t>
  </si>
  <si>
    <t xml:space="preserve">Assurance® Grade Rhenium Single-Element Standard</t>
  </si>
  <si>
    <t xml:space="preserve">https://www.thomassci.com/p/rhenium-icp/std-1000ppm-100ml</t>
  </si>
  <si>
    <t xml:space="preserve">https://www.thomassci.com/p/8000d-mixer/mill-accessories</t>
  </si>
  <si>
    <t xml:space="preserve">https://www.thomassci.com/p/ceramic-grind-cyld-3/8x7/8-angle-cut</t>
  </si>
  <si>
    <t xml:space="preserve">https://www.thomassci.com/p/cryo-station</t>
  </si>
  <si>
    <t xml:space="preserve">Zirconium Beads</t>
  </si>
  <si>
    <t xml:space="preserve">https://www.thomassci.com/p/zirconium-beads</t>
  </si>
  <si>
    <t xml:space="preserve">Grinding Beads for Geno/Grinder</t>
  </si>
  <si>
    <t xml:space="preserve">https://www.thomassci.com/p/grinding-beads-for-geno/grinder</t>
  </si>
  <si>
    <t xml:space="preserve">https://www.thomassci.com/p/spinsmart-plasmid-miniprep-dna-purification-columns</t>
  </si>
  <si>
    <t xml:space="preserve">https://www.thomassci.com/p/spinsmart-pcr-purification-and-gel-extraction-kits</t>
  </si>
  <si>
    <t xml:space="preserve">https://www.dutscher.com/article/330158</t>
  </si>
  <si>
    <t xml:space="preserve">https://www.dutscher.com/article/330058</t>
  </si>
  <si>
    <t xml:space="preserve">https://www.dutscher.com/article/330172</t>
  </si>
  <si>
    <t xml:space="preserve">SPL 50 ml conical tube rack, L x w x h: 132.7 x 249.7 x 48.1 mm</t>
  </si>
  <si>
    <t xml:space="preserve">https://www.dutscher.com/article/330133</t>
  </si>
  <si>
    <t xml:space="preserve">SPL 75 cm² cell culture flask - filter cap</t>
  </si>
  <si>
    <t xml:space="preserve">https://www.dutscher.com/article/330018</t>
  </si>
  <si>
    <t xml:space="preserve">https://www.thomassci.com/p/unprinted-4-5ml-externally-threaded-cryovials</t>
  </si>
  <si>
    <t xml:space="preserve">https://www.thomassci.com/p/2-0ml-screw-tubes-skirted-rib-clr-sterile</t>
  </si>
  <si>
    <t xml:space="preserve">https://www.thomassci.com/p/2-0-ml-bead-beating-duratubes</t>
  </si>
  <si>
    <t xml:space="preserve">Screw Cap with O-Ring, Clear, Sterile</t>
  </si>
  <si>
    <t xml:space="preserve">https://www.thomassci.com/p/screw-cap-with-o-ring-clear-sterile</t>
  </si>
  <si>
    <t xml:space="preserve">https://www.thomassci.com/p/dual-path-cell-spectrosil</t>
  </si>
  <si>
    <t xml:space="preserve">https://www.thomassci.com/p/standard-rectangular-quartz-cells</t>
  </si>
  <si>
    <t xml:space="preserve">https://www.thomassci.com/p/fluorometer-micro-square-cells</t>
  </si>
  <si>
    <t xml:space="preserve">Micro Cells with Stopper</t>
  </si>
  <si>
    <t xml:space="preserve">https://www.thomassci.com/p/micro-cells-with-stopper</t>
  </si>
  <si>
    <t xml:space="preserve">Cylindrical Cells, Long Pathlength</t>
  </si>
  <si>
    <t xml:space="preserve">https://www.thomassci.com/p/cylindrical-cells-long-pathlength</t>
  </si>
  <si>
    <t xml:space="preserve">https://www.thomassci.com/p/hdpe-and-polypropylene-trays</t>
  </si>
  <si>
    <t xml:space="preserve">https://www.thomassci.com/p/polypropylene-trays-with-tamper-evident-lids</t>
  </si>
  <si>
    <t xml:space="preserve">https://www.thomassci.com/p/sanicult-swab</t>
  </si>
  <si>
    <t xml:space="preserve">Leakbuster™ Specimen Containers</t>
  </si>
  <si>
    <t xml:space="preserve">https://www.thomassci.com/p/leakbuster-specimen-containers</t>
  </si>
  <si>
    <t xml:space="preserve">90ml Wide Mouth White Oring with Temperature Strip, Non-sterile</t>
  </si>
  <si>
    <t xml:space="preserve">https://www.thomassci.com/p/90ml-wide-mouth-white-oring-with-temperature-strip-non-sterile</t>
  </si>
  <si>
    <t xml:space="preserve">https://www.thomassci.com/p/deionized-water-1</t>
  </si>
  <si>
    <t xml:space="preserve">https://www.thomassci.com/p/acetone-3</t>
  </si>
  <si>
    <t xml:space="preserve">https://www.thomassci.com/p/kt5-slides</t>
  </si>
  <si>
    <t xml:space="preserve">Millennia 2000 Adhesion Slides</t>
  </si>
  <si>
    <t xml:space="preserve">https://www.thomassci.com/p/millennia-2000-adhesion-slides</t>
  </si>
  <si>
    <t xml:space="preserve">Rapid Fix, 4x1 Gallon</t>
  </si>
  <si>
    <t xml:space="preserve">https://www.thomassci.com/p/rapid-fix-4x1-gallon</t>
  </si>
  <si>
    <t xml:space="preserve">https://www.dutscher.com/article/041203</t>
  </si>
  <si>
    <t xml:space="preserve">https://www.dutscher.com/article/020009</t>
  </si>
  <si>
    <t xml:space="preserve">https://www.dutscher.com/article/020005</t>
  </si>
  <si>
    <t xml:space="preserve">Bijou vial 7 ml with label Sterilin</t>
  </si>
  <si>
    <t xml:space="preserve">https://www.dutscher.com/article/080171</t>
  </si>
  <si>
    <t xml:space="preserve">Microtitration 96-well Plate with round bottom non-sterile Sterilin</t>
  </si>
  <si>
    <t xml:space="preserve">https://www.dutscher.com/article/698900</t>
  </si>
  <si>
    <t xml:space="preserve">https://www.thomassci.com/p/spor-klenz-ready-to-use-cold-sterilant1</t>
  </si>
  <si>
    <t xml:space="preserve">https://www.thomassci.com/p/detergent-steris-cip-100-5-gallon-plastic-pail-phosphate-free-alkaline-detergent-1/ea</t>
  </si>
  <si>
    <t xml:space="preserve">https://www.thomassci.com/p/vesphene-iii-st-disinfectant</t>
  </si>
  <si>
    <t xml:space="preserve">Vesphene III se – Disinfectant</t>
  </si>
  <si>
    <t xml:space="preserve">https://www.thomassci.com/p/vesphene-iii-se-phenolic-disinfectant</t>
  </si>
  <si>
    <t xml:space="preserve">CIP 200 ACIDBASED CLEANER/DISINFECTANT</t>
  </si>
  <si>
    <t xml:space="preserve">https://www.thomassci.com/p/cip-200-acidbased-cleaner/disinfectant</t>
  </si>
  <si>
    <t xml:space="preserve">https://www.thomassci.com/p/polycarbonate-pcte-membrane-filters-1</t>
  </si>
  <si>
    <t xml:space="preserve">https://www.thomassci.com/p/sterlitech-silver-membrane-filters</t>
  </si>
  <si>
    <t xml:space="preserve">https://www.thomassci.com/p/mf5-pro-ppsu-magnetic-filter-funnel-with-lid-kit-500ml</t>
  </si>
  <si>
    <t xml:space="preserve">MF Series Magnetic Filter Funnel with Lid Kit (short stem)</t>
  </si>
  <si>
    <t xml:space="preserve">https://www.thomassci.com/p/mf-series-magnetic-filter-funnel-with-lid-kit-short-stem</t>
  </si>
  <si>
    <t xml:space="preserve">https://www.thomassci.com/p/washer-number-1-brass-nickel-144-each-1-gross-per-pack-25-packs-per-case</t>
  </si>
  <si>
    <t xml:space="preserve">https://www.thomassci.com/p/grommet-number-1-brass-nickel-144-each-1-gross-per-pack-25-packs-per-case</t>
  </si>
  <si>
    <t xml:space="preserve">https://www.thomassci.com/p/stylus-pro-alkaline-battery-powered-led-pen-lights</t>
  </si>
  <si>
    <t xml:space="preserve">https://www.thomassci.com/p/streamlight-jr-led-flashlight</t>
  </si>
  <si>
    <t xml:space="preserve">https://www.thomassci.com/p/sterile-foam-swab</t>
  </si>
  <si>
    <t xml:space="preserve">https://www.thomassci.com/p/custom-3-0ml-cryogenic-vial-with-saline-fill-1000/cs</t>
  </si>
  <si>
    <t xml:space="preserve">https://www.thomassci.com/p/iclean-foam-swab-foam-tip-69mm-total-length</t>
  </si>
  <si>
    <t xml:space="preserve">Turnkey service including Urinecollection kit, Vacuum urine container(Sterilized), Tempreature sticker applied,Vacuette Tube, Packaging material, Kittingservice</t>
  </si>
  <si>
    <t xml:space="preserve">https://www.thomassci.com/p/turnkey-service-including-urinecollection-kit-vacuum-urine-containersterilized-tempreature-sticker-appliedvacuette-tube-packaging-material-kittingservice</t>
  </si>
  <si>
    <t xml:space="preserve">https://www.thomassci.com/p/aurelia-protege-nitrile-powder-free-exam-gloves1</t>
  </si>
  <si>
    <t xml:space="preserve">https://www.thomassci.com/p/aurelia-perform-nitrile-exam-gloves</t>
  </si>
  <si>
    <t xml:space="preserve">https://www.thomassci.com/p/aurelia-robust-nitrile-powder-free-exam-gloves</t>
  </si>
  <si>
    <t xml:space="preserve">Aurelia® Distinct™ Honeycomb® Textured Powder Free Latex Exam Gloves</t>
  </si>
  <si>
    <t xml:space="preserve">https://www.thomassci.com/p/aurelia-distinct-honeycomb-textured-powder-free-latex-exam-gloves</t>
  </si>
  <si>
    <t xml:space="preserve">Aurelia® Vibrant™ Micro-Textued Powder Free Latex Exam Gloves</t>
  </si>
  <si>
    <t xml:space="preserve">https://www.thomassci.com/p/aurelia-vibrant-micro-textued-powder-free-latex-exam-gloves</t>
  </si>
  <si>
    <t xml:space="preserve">https://www.thomassci.com/p/chemical-splash-goggles-1</t>
  </si>
  <si>
    <t xml:space="preserve">https://www.thomassci.com/p/face-shield-assembly-splash-shield-kit</t>
  </si>
  <si>
    <t xml:space="preserve">https://www.thomassci.com/p/powerform-s6-ecotek-biodegradable-industrial-nitrile-gloves</t>
  </si>
  <si>
    <t xml:space="preserve">https://www.thomassci.com/p/neoform-x8-chloroprene-powder-free-exam-gloves</t>
  </si>
  <si>
    <t xml:space="preserve">https://www.thomassci.com/p/powerform-nitrile-powder-free-exam-gloves</t>
  </si>
  <si>
    <t xml:space="preserve">SW® PowerForm® PF-95BL Blue 6.1mil Nitrile Exam Dry Core® Sweat Absorbent Gloves</t>
  </si>
  <si>
    <t xml:space="preserve">https://www.thomassci.com/p/hydrex-nitrile-dritek-powder-free-exam-gloves</t>
  </si>
  <si>
    <t xml:space="preserve">SW® TrueForm® TF-12LG Extended-Cuff Light Green 5.9mil Nitrile Exam Gloves</t>
  </si>
  <si>
    <t xml:space="preserve">https://www.thomassci.com/p/powerform-x5-nitrile-long-cuff-powder-free-exam-gloves</t>
  </si>
  <si>
    <t xml:space="preserve">https://www.thomassci.com/p/tube-fittings-union-crosses</t>
  </si>
  <si>
    <t xml:space="preserve">https://www.thomassci.com/p/tube-fittings-caps-and-plugs</t>
  </si>
  <si>
    <t xml:space="preserve">https://www.thomassci.com/p/tube-fittings-cont</t>
  </si>
  <si>
    <t xml:space="preserve">Tube Fittings, Unions</t>
  </si>
  <si>
    <t xml:space="preserve">https://www.thomassci.com/p/tube-fittings-unions</t>
  </si>
  <si>
    <t xml:space="preserve">Meter Valves</t>
  </si>
  <si>
    <t xml:space="preserve">https://www.thomassci.com/p/meter-valves</t>
  </si>
  <si>
    <t xml:space="preserve">https://www.dutscher.com/article/132563SW</t>
  </si>
  <si>
    <t xml:space="preserve">https://www.dutscher.com/article/132574SW</t>
  </si>
  <si>
    <t xml:space="preserve">https://www.dutscher.com/article/132572SW</t>
  </si>
  <si>
    <t xml:space="preserve">Sterile blade n°22 Swann-Morton</t>
  </si>
  <si>
    <t xml:space="preserve">https://www.dutscher.com/article/132522SW</t>
  </si>
  <si>
    <t xml:space="preserve">Stainless Steel Sterile Blade N°11</t>
  </si>
  <si>
    <t xml:space="preserve">https://www.dutscher.com/article/132690</t>
  </si>
  <si>
    <t xml:space="preserve">https://www.thomassci.com/p/medicons</t>
  </si>
  <si>
    <t xml:space="preserve">https://www.thomassci.com/p/filcons-1</t>
  </si>
  <si>
    <t xml:space="preserve">https://www.thomassci.com/p/acetone-tarr-technical-grade-1-gallon-4-each-per-case</t>
  </si>
  <si>
    <t xml:space="preserve">https://www.thomassci.com/p/isopropyl-alcohol-tarr-chemical-70-usp/nf-grade-1gl-plastic-jugs-1/ea-4ea/cs</t>
  </si>
  <si>
    <t xml:space="preserve">https://www.thomassci.com/p/isopropyl-alcohol-tarr-chemical-electronic-semi-grade-999-pure-2um-filtered-amber-glass-1-gallon-1gl/ea-4ea/cs</t>
  </si>
  <si>
    <t xml:space="preserve">Isopropyl Alcohol, Tarr Chemical, 99% USP/NF Grade, 5 Gallon Natural HDPE Jerricans with Flex Spout, 5GL/EA</t>
  </si>
  <si>
    <t xml:space="preserve">https://www.thomassci.com/p/isopropyl-alcohol-tarr-chemical-99-usp/nf-grade-5-gallon-natural-hdpe-jerricans-with-flex-spout-5gl/ea</t>
  </si>
  <si>
    <t xml:space="preserve">Isopropyl Alcohol, Tarr Chemical, 70% IPA, USP/NF Grade, 55GL Blue Plastic Drums, 1DR/EA</t>
  </si>
  <si>
    <t xml:space="preserve">https://www.thomassci.com/p/isopropyl-alcohol-tarr-chemical-70-ipa-usp/nf-grade-55gl-blue-plastic-drums-1dr/ea</t>
  </si>
  <si>
    <t xml:space="preserve">https://www.thomassci.com/p/pocket-stainless-steel-dial-reading-thermometers</t>
  </si>
  <si>
    <t xml:space="preserve">https://www.thomassci.com/p/taylor-pro-waterproof-instant-read-thermometer</t>
  </si>
  <si>
    <t xml:space="preserve">https://www.thomassci.com/p/digital-pocket-thermometers</t>
  </si>
  <si>
    <t xml:space="preserve">automated liquid-handling workstation</t>
  </si>
  <si>
    <t xml:space="preserve">modular liquid-handling and robotics platform</t>
  </si>
  <si>
    <t xml:space="preserve">multimode microplate reader</t>
  </si>
  <si>
    <t xml:space="preserve">https://www.thomassci.com/p/sir-sponges-replacement-tip-wiping-sponge</t>
  </si>
  <si>
    <t xml:space="preserve">https://www.thomassci.com/p/nordson-efd-syringe-supplies</t>
  </si>
  <si>
    <t xml:space="preserve">https://www.thomassci.com/p/tn300w-series-powder-free-nitrile-gloves-95-length-class-100-white</t>
  </si>
  <si>
    <t xml:space="preserve">https://www.thomassci.com/p/green-sm-gloves-class-100-5-mil-12-in-case-1000-10-bags/100-per-case</t>
  </si>
  <si>
    <t xml:space="preserve">https://www.thomassci.com/p/tgl1400-class-100-latex-gloves-ambidextrous-12-inches-5-mils-thick</t>
  </si>
  <si>
    <t xml:space="preserve">Sterile Nitrile Gloves, STN1000W, Bulk Packed, Class 100, White, Ambidextrous, 12 inches</t>
  </si>
  <si>
    <t xml:space="preserve">https://www.thomassci.com/p/sterile-nitrile-gloves-stn1000w-bulk-packed-class-100-white-ambidextrous-12-inches</t>
  </si>
  <si>
    <t xml:space="preserve">https://www.thomassci.com/p/cleanroom-nitrile-gloves-12-bagged-class-100-ambidextrous-blue-medium</t>
  </si>
  <si>
    <t xml:space="preserve">https://www.thomassci.com/p/teknisat-polyester-knit-presaturated-wipes-in-pails-70-ipa/30-di-water-various-packaging</t>
  </si>
  <si>
    <t xml:space="preserve">https://www.thomassci.com/p/teknizorb-polyester-cellulose-wipers</t>
  </si>
  <si>
    <t xml:space="preserve">https://www.thomassci.com/p/polyester/cellulose-pre-saturated-wiper-re-fill-bags</t>
  </si>
  <si>
    <t xml:space="preserve">Teknipure Mop Head Covers, Polycell Mop Head Cover, 68g/m2, 25"x7"</t>
  </si>
  <si>
    <t xml:space="preserve">https://www.thomassci.com/p/teknipure-mop-head-covers-polycell-mop-head-cover-68g/m2-25-inchx7-inch</t>
  </si>
  <si>
    <t xml:space="preserve">Teknipure TekniZorb® Presaturated 70% IPA Polyester/ Cellulose Nonwoven Cleanroom Wipers</t>
  </si>
  <si>
    <t xml:space="preserve">https://www.thomassci.com/p/wipers-pre-saturated70-ipa-30-diw-poly/cell-blend-9x9-50/pk-24-pks/cs</t>
  </si>
  <si>
    <t xml:space="preserve">https://www.thomassci.com/p/1m-magnesium-chloride-solution-50-ml-sterile-25-pack</t>
  </si>
  <si>
    <t xml:space="preserve">https://www.thomassci.com/p/0-5-sodium-hydroxide-sterile</t>
  </si>
  <si>
    <t xml:space="preserve">https://www.thomassci.com/p/sucrose-selection-agar-plates-sterile-1</t>
  </si>
  <si>
    <t xml:space="preserve">Sodium Chloride Spike Solution, pH 9.0, Endotoxin Tested, Sterile</t>
  </si>
  <si>
    <t xml:space="preserve">https://www.thomassci.com/p/sodium-chloride-spike-solution-ph-9-0-endotoxin-tested-sterile</t>
  </si>
  <si>
    <t xml:space="preserve">LB Agar Plates, Sterile</t>
  </si>
  <si>
    <t xml:space="preserve">https://www.thomassci.com/p/lb-agar-plates-sterile-2</t>
  </si>
  <si>
    <t xml:space="preserve">https://www.thomassci.com/p/cryo-industrial-aprons</t>
  </si>
  <si>
    <t xml:space="preserve">https://www.thomassci.com/p/pink-waterproof-cryo-gloves</t>
  </si>
  <si>
    <t xml:space="preserve">https://www.thomassci.com/p/pink-cryo-gloves</t>
  </si>
  <si>
    <t xml:space="preserve">Cryo-Apron®</t>
  </si>
  <si>
    <t xml:space="preserve">https://www.thomassci.com/p/cryo-apron</t>
  </si>
  <si>
    <t xml:space="preserve">Pink Cryo-Apron®</t>
  </si>
  <si>
    <t xml:space="preserve">https://www.thomassci.com/p/pink-cryo-apron</t>
  </si>
  <si>
    <t xml:space="preserve">https://www.thomassci.com/p/biosafe-folding-cleanroom-step-ladders-1</t>
  </si>
  <si>
    <t xml:space="preserve">https://www.thomassci.com/p/grounding-terminal-for-stainless-steel-cabinets/desiccators/pass-throughs</t>
  </si>
  <si>
    <t xml:space="preserve">https://www.thomassci.com/p/waste-receptacle-step-on-biosafe</t>
  </si>
  <si>
    <t xml:space="preserve">Shelf, BioSafe® Pass-Through, 304 SS, for 30"W x 48"D CleanSeam Isolated Interlock</t>
  </si>
  <si>
    <t xml:space="preserve">https://www.thomassci.com/p/shelf-biosafe-pass-through-304-ss-for-30-inchw-x-48-inchd-cleanseam-isolated-interlock</t>
  </si>
  <si>
    <t xml:space="preserve">Fan Filter Unit; Smart® ECM, RSR, 2'x4', ULPA, 120/230 V, Stainless Steel, WhisperFlow, BioSafe®</t>
  </si>
  <si>
    <t xml:space="preserve">https://www.thomassci.com/p/fan-filter-unit-smart-ecm-rsr-2x4-ulpa-120/230-v-stainless-steel-whisperflow-biosafe</t>
  </si>
  <si>
    <t xml:space="preserve">https://www.thomassci.com/p/zero-waste-box-shipping-materials</t>
  </si>
  <si>
    <t xml:space="preserve">https://www.thomassci.com/p/zero-waste-box-centrifuge-tubes-and-rigid-lab-plastics</t>
  </si>
  <si>
    <t xml:space="preserve">https://www.thomassci.com/p/zero-waste-box-disposable-garments</t>
  </si>
  <si>
    <t xml:space="preserve">Zero Waste Box: Pens, Pencils and Markers</t>
  </si>
  <si>
    <t xml:space="preserve">https://www.thomassci.com/p/zero-waste-box-pens-pencils-and-markers</t>
  </si>
  <si>
    <t xml:space="preserve">Zero Waste Box: Disposable Gloves</t>
  </si>
  <si>
    <t xml:space="preserve">https://www.thomassci.com/p/zero-waste-box-disposable-gloves</t>
  </si>
  <si>
    <t xml:space="preserve">https://www.dutscher.com/article/050828</t>
  </si>
  <si>
    <t xml:space="preserve">https://www.dutscher.com/article/050191</t>
  </si>
  <si>
    <t xml:space="preserve">https://www.dutscher.com/article/050013</t>
  </si>
  <si>
    <t xml:space="preserve">Agani Safety needle - Gauge: 25G - Length: 38 mm - Colour: orange</t>
  </si>
  <si>
    <t xml:space="preserve">https://www.dutscher.com/article/050856</t>
  </si>
  <si>
    <t xml:space="preserve">TUBERCULINE SYRINGE 1ml NEEDLE 27G 1/2'' 0,4x13mm x100</t>
  </si>
  <si>
    <t xml:space="preserve">https://www.dutscher.com/article/050878</t>
  </si>
  <si>
    <t xml:space="preserve">https://www.thomassci.com/p/surshield-safety-winged-blood-collection-sets</t>
  </si>
  <si>
    <t xml:space="preserve">https://www.thomassci.com/p/surshield-safety-winged-infusion-sets</t>
  </si>
  <si>
    <t xml:space="preserve">https://www.thomassci.com/p/surguard3-safety-needle-with-syringe</t>
  </si>
  <si>
    <t xml:space="preserve">SURFLO® Winged Needle Sets</t>
  </si>
  <si>
    <t xml:space="preserve">https://www.thomassci.com/p/surflo-winged-needle-sets</t>
  </si>
  <si>
    <t xml:space="preserve">Hypodermic R Needle</t>
  </si>
  <si>
    <t xml:space="preserve">https://www.thomassci.com/p/hypodermic-r-needle</t>
  </si>
  <si>
    <t xml:space="preserve">https://www.dutscher.com/article/057565</t>
  </si>
  <si>
    <t xml:space="preserve">https://www.dutscher.com/article/157315</t>
  </si>
  <si>
    <t xml:space="preserve">https://www.dutscher.com/article/057852</t>
  </si>
  <si>
    <t xml:space="preserve">TESTO 174T USB TEMPERATURE LOGGER</t>
  </si>
  <si>
    <t xml:space="preserve">https://www.dutscher.com/article/057425B</t>
  </si>
  <si>
    <t xml:space="preserve">Compact Vane Anemometer Testo 410-1</t>
  </si>
  <si>
    <t xml:space="preserve">https://www.dutscher.com/article/057820</t>
  </si>
  <si>
    <t xml:space="preserve">https://www.thomassci.com/p/hold-for-mrb-labels</t>
  </si>
  <si>
    <t xml:space="preserve">https://www.thomassci.com/p/inchhot-inch-label-2inch-x-1-inch-red-with-black-lettering-500/roll</t>
  </si>
  <si>
    <t xml:space="preserve">https://www.thomassci.com/p/qc-labels</t>
  </si>
  <si>
    <t xml:space="preserve">Label, Red and Black, Critically Clean, Applied</t>
  </si>
  <si>
    <t xml:space="preserve">https://www.thomassci.com/p/label-red-and-black-critically-clean-applied</t>
  </si>
  <si>
    <t xml:space="preserve">UCT “STOP LABEL” 1.5 x 1.5</t>
  </si>
  <si>
    <t xml:space="preserve">https://www.thomassci.com/p/uct-stop-label-1-5-x-1-5</t>
  </si>
  <si>
    <t xml:space="preserve">https://www.thomassci.com/p/single-laser-accutherm-infrared-thermometer-50-530c</t>
  </si>
  <si>
    <t xml:space="preserve">https://www.thomassci.com/p/hi-precision-spirit-thermometers-76mm-immersion</t>
  </si>
  <si>
    <t xml:space="preserve">https://www.thomassci.com/p/digital-triple-display-thermometers</t>
  </si>
  <si>
    <t xml:space="preserve">Accu-Safe Non-Mercury Laboratory Thermometers</t>
  </si>
  <si>
    <t xml:space="preserve">https://www.thomassci.com/p/accusafe-biodegradable-blue-spirit-fluorpolymer-coated-thermometers-total-immersion</t>
  </si>
  <si>
    <t xml:space="preserve">ASTM - Mercury Thermometer</t>
  </si>
  <si>
    <t xml:space="preserve">https://www.thomassci.com/p/astm-thermometers-gravity</t>
  </si>
  <si>
    <t xml:space="preserve">https://www.thomassci.com/p/chemistry-analyzer-sample-cups</t>
  </si>
  <si>
    <t xml:space="preserve">https://www.thomassci.com/p/flip-top-containers</t>
  </si>
  <si>
    <t xml:space="preserve">https://www.thomassci.com/p/snap-top-polypropylene-vials</t>
  </si>
  <si>
    <t xml:space="preserve">4 oz. Flip Top Polypropylene Water Vials</t>
  </si>
  <si>
    <t xml:space="preserve">https://www.thomassci.com/p/4-oz-flip-top-polypropylene-water-vials</t>
  </si>
  <si>
    <t xml:space="preserve">Screw Top Transport Tubes &amp; Caps</t>
  </si>
  <si>
    <t xml:space="preserve">https://www.thomassci.com/p/screw-top-transport-tubes-and-caps</t>
  </si>
  <si>
    <t xml:space="preserve">https://www.thomassci.com/p/224-trimethylpentane-99</t>
  </si>
  <si>
    <t xml:space="preserve">https://www.thomassci.com/p/polyethylene-glycol-80001</t>
  </si>
  <si>
    <t xml:space="preserve">https://www.thomassci.com/p/aluminum-sulfate-hydrate-97</t>
  </si>
  <si>
    <t xml:space="preserve">Glycerol, 99+%</t>
  </si>
  <si>
    <t xml:space="preserve">https://www.thomassci.com/p/glycerol-99</t>
  </si>
  <si>
    <t xml:space="preserve">Hydroxylamine hydrochloride, 99%</t>
  </si>
  <si>
    <t xml:space="preserve">https://www.thomassci.com/p/hydroxylamine-hydrochloride-99</t>
  </si>
  <si>
    <t xml:space="preserve">https://www.thomassci.com/p/matrix-sepraseal-and-duraseal-capping-systems</t>
  </si>
  <si>
    <t xml:space="preserve">https://www.thomassci.com/p/matrix-2d-barcoded-low-volume-screwtop-storage-tubes</t>
  </si>
  <si>
    <t xml:space="preserve">https://www.thomassci.com/p/matrix-0-5ml-screwtop-tubes-in-barcoded-latch-racks</t>
  </si>
  <si>
    <t xml:space="preserve">Abgene Thermo Easy Pierce Heat Sealing Foil</t>
  </si>
  <si>
    <t xml:space="preserve">https://www.thomassci.com/p/abgene-thermo-easy-pierce-heat-sealing-foil</t>
  </si>
  <si>
    <t xml:space="preserve">8-Channel Screw Cap Decapper</t>
  </si>
  <si>
    <t xml:space="preserve">https://www.thomassci.com/p/8-channel-screw-cap-decapper</t>
  </si>
  <si>
    <t xml:space="preserve">https://www.thomassci.com/p/nunc-cryocolor-coder-inserts</t>
  </si>
  <si>
    <t xml:space="preserve">https://www.thomassci.com/p/roundwell-multiwell-dishes</t>
  </si>
  <si>
    <t xml:space="preserve">https://www.thomassci.com/p/immuno-modules-with-colored-rims</t>
  </si>
  <si>
    <t xml:space="preserve">Immuno™ Clear Standard Modules</t>
  </si>
  <si>
    <t xml:space="preserve">https://www.thomassci.com/p/immuno-modules</t>
  </si>
  <si>
    <t xml:space="preserve">MicroWell™ 96-Well Microplates</t>
  </si>
  <si>
    <t xml:space="preserve">https://www.thomassci.com/p/nunc-microwell-plates</t>
  </si>
  <si>
    <t xml:space="preserve">https://www.thomassci.com/p/96-well-pcr-plate</t>
  </si>
  <si>
    <t xml:space="preserve">https://www.thomassci.com/p/8-strip-caps</t>
  </si>
  <si>
    <t xml:space="preserve">https://www.thomassci.com/p/capping-tool</t>
  </si>
  <si>
    <t xml:space="preserve">Strip Tubes</t>
  </si>
  <si>
    <t xml:space="preserve">https://www.thomassci.com/p/strip-tubes</t>
  </si>
  <si>
    <t xml:space="preserve">24 &amp; 48 Well Semi-Skirted PCR Plate</t>
  </si>
  <si>
    <t xml:space="preserve">https://www.thomassci.com/p/polypropylene-semi-skirted-pcr-plates</t>
  </si>
  <si>
    <t xml:space="preserve">https://www.thomassci.com/p/sorvall-bios-a-centrifuges</t>
  </si>
  <si>
    <t xml:space="preserve">https://www.thomassci.com/p/validation-for-sorvall-bios-centrifuges</t>
  </si>
  <si>
    <t xml:space="preserve">https://www.thomassci.com/p/sorvall-bios-16-centrifuges</t>
  </si>
  <si>
    <t xml:space="preserve">CentriPAK BPC Adapter and Blood Bag Spacer</t>
  </si>
  <si>
    <t xml:space="preserve">https://www.thomassci.com/p/centripak-bpc-adapter-and-blood-bag-spacer</t>
  </si>
  <si>
    <t xml:space="preserve">https://www.thomassci.com/p/genesys-30-vis-spectrophotometer</t>
  </si>
  <si>
    <t xml:space="preserve">https://www.thomassci.com/p/spectronic-200</t>
  </si>
  <si>
    <t xml:space="preserve">https://www.thomassci.com/p/helios-uv-vis-scanning-spectrophotometers</t>
  </si>
  <si>
    <t xml:space="preserve">GENESYS™ 140/150 Vis/UV-Vis Spectrophotometers</t>
  </si>
  <si>
    <t xml:space="preserve">https://www.thomassci.com/p/genesys-140/150-vis/uv-vis-spectrophotometers</t>
  </si>
  <si>
    <t xml:space="preserve">GENESYS 8-position carousel</t>
  </si>
  <si>
    <t xml:space="preserve">https://www.thomassci.com/p/genesys-8-position-carousel</t>
  </si>
  <si>
    <t xml:space="preserve">https://www.thomassci.com/p/thermogrid-2ml-thermal-cycing-tubes-strips-of-8-tubes-and-separate-strips-of-8-caps-yellow-q-pcr-120-strips-per-pkg</t>
  </si>
  <si>
    <t xml:space="preserve">https://www.thomassci.com/p/thermogrid-2ml-thermal-cycing-tubes-strips-of-8-tubes-and-separate-strips-of-8-caps-green-q-pcr-120-strips-per-pkg</t>
  </si>
  <si>
    <t xml:space="preserve">https://www.thomassci.com/p/thermogrid-2ml-thermal-cycing-tubes-strips-of-8-tubes-and-separate-strips-of-8-caps-red-q-pcr-120-strips-per-pkg</t>
  </si>
  <si>
    <t xml:space="preserve">https://www.thomassci.com/p/polar-pack-refrigerants</t>
  </si>
  <si>
    <t xml:space="preserve">https://www.thomassci.com/p/safety-mailer-system-8-tube</t>
  </si>
  <si>
    <t xml:space="preserve">https://www.thomassci.com/p/thermosafe-nomadic-pre-qualified-shippers</t>
  </si>
  <si>
    <t xml:space="preserve">Thick Wall Containers</t>
  </si>
  <si>
    <t xml:space="preserve">https://www.thomassci.com/p/thick-wall-containers</t>
  </si>
  <si>
    <t xml:space="preserve">Dry Ice Chest, 90 lb. Capacity</t>
  </si>
  <si>
    <t xml:space="preserve">https://www.thomassci.com/p/dry-ice-storage-chest-90-lbs-capacity</t>
  </si>
  <si>
    <t xml:space="preserve">https://www.thomassci.com/p/vitroink-rgd</t>
  </si>
  <si>
    <t xml:space="preserve">https://www.thomassci.com/p/vitrogel-mmp-high-concentration</t>
  </si>
  <si>
    <t xml:space="preserve">https://www.thomassci.com/p/vitroink-ikvav-starter-kit</t>
  </si>
  <si>
    <t xml:space="preserve">VitroINK® IKVAV</t>
  </si>
  <si>
    <t xml:space="preserve">https://www.thomassci.com/p/vitroink-ikvav</t>
  </si>
  <si>
    <t xml:space="preserve">VitroGel® Angiogenesis Assay HC Kits</t>
  </si>
  <si>
    <t xml:space="preserve">https://www.thomassci.com/p/vitrogel-angiogenesis-assay-hc-kits</t>
  </si>
  <si>
    <t xml:space="preserve">https://www.thomassci.com/p/labforce-heavy-duty-glass-erlenmeyer-flasks</t>
  </si>
  <si>
    <t xml:space="preserve">https://www.thomassci.com/p/thomas-pressure-sensitive-vinyl-labeling-tapes</t>
  </si>
  <si>
    <t xml:space="preserve">https://www.thomassci.com/p/binderless-glass-microfiber</t>
  </si>
  <si>
    <t xml:space="preserve">Thomas Safe-T-Pette Transfer Pipets</t>
  </si>
  <si>
    <t xml:space="preserve">https://www.thomassci.com/p/thomas-safe-t-pette-transfer-pipets1</t>
  </si>
  <si>
    <t xml:space="preserve">Grade 934-Ah Glass Microfiber Filters</t>
  </si>
  <si>
    <t xml:space="preserve">https://www.thomassci.com/p/thomas-grade-934-ah-glass-microfiber-filters</t>
  </si>
  <si>
    <t xml:space="preserve">https://www.thomassci.com/p/epic-cleanroom-frock-microporous-coated-snap-front-knit-wrist-and-collar-no-pockets-white-small1</t>
  </si>
  <si>
    <t xml:space="preserve">https://www.thomassci.com/p/bouffant-cap-epic-white-24-inch-pleated-style-accordion-style-machine-mfgd-lightweight-polypro-bagged-100ea/pk/cs-1000ea/cs</t>
  </si>
  <si>
    <t xml:space="preserve">https://www.thomassci.com/p/epic-514783-plain-bottom-polypropylene-shoecover-blue</t>
  </si>
  <si>
    <t xml:space="preserve">Epic Lab Coats with Knit Wrists &amp; Collar</t>
  </si>
  <si>
    <t xml:space="preserve">https://www.thomassci.com/p/epic-lightweight-polypropylene-labcoats-no-pockets</t>
  </si>
  <si>
    <t xml:space="preserve">USP800 Compliant Barrier Gown</t>
  </si>
  <si>
    <t xml:space="preserve">https://www.thomassci.com/p/usp800-compliant-barrier-gown</t>
  </si>
  <si>
    <t xml:space="preserve">https://www.thomassci.com/p/avalon-papers-professional-towels-2-ply-tissue</t>
  </si>
  <si>
    <t xml:space="preserve">https://www.thomassci.com/p/avalon-papers-pillowcases</t>
  </si>
  <si>
    <t xml:space="preserve">https://www.thomassci.com/p/tidi-2-ply-all-tissue-towel-and-bib</t>
  </si>
  <si>
    <t xml:space="preserve">Procedure Towels</t>
  </si>
  <si>
    <t xml:space="preserve">https://www.thomassci.com/p/tidi-economy-3-ply-tissue/poly-towels</t>
  </si>
  <si>
    <t xml:space="preserve">TIDI Stretcher Sheet</t>
  </si>
  <si>
    <t xml:space="preserve">https://www.thomassci.com/p/tidi-stretcher-sheet</t>
  </si>
  <si>
    <t xml:space="preserve">https://www.thomassci.com/p/boot-saver-disposable-shoe-cover</t>
  </si>
  <si>
    <t xml:space="preserve">https://www.thomassci.com/p/safetyflex-flame-resistant-sleeves-pvc-on-polyester-green-18</t>
  </si>
  <si>
    <t xml:space="preserve">https://www.thomassci.com/p/boot-pvc-knee-brown-upper-crepe-sole-ht-15composite-safety-toe-size-10</t>
  </si>
  <si>
    <t xml:space="preserve">Tingley Job Sight Class 3 Sportsman Shirt</t>
  </si>
  <si>
    <t xml:space="preserve">https://www.thomassci.com/p/2xl-type-r-class-2-flourscent-yellow-green-long-sleeve-reflective-tape-3-pockets</t>
  </si>
  <si>
    <t xml:space="preserve">Safetyflex™ Flame Resistant Apron, PVC-on-Polyester, Plain Front, Green</t>
  </si>
  <si>
    <t xml:space="preserve">https://www.thomassci.com/p/safetyflex-flame-resistant-apron-pvc-on-polyester-plain-front-green</t>
  </si>
  <si>
    <t xml:space="preserve">https://www.thomassci.com/p/md150-colorimeter</t>
  </si>
  <si>
    <t xml:space="preserve">https://www.thomassci.com/p/md610-multiparameter-colorimeter</t>
  </si>
  <si>
    <t xml:space="preserve">https://www.thomassci.com/p/reference-standard-kit-chlorine-1-0-and-4-0-mg/l-md-100/110/200</t>
  </si>
  <si>
    <t xml:space="preserve">LOVIBOND Calibration Standard Fluoride, 1mg/1</t>
  </si>
  <si>
    <t xml:space="preserve">https://www.thomassci.com/p/lovibond-calibration-standard-fluoride-1mg/1</t>
  </si>
  <si>
    <t xml:space="preserve">Multiparameter Colorimeter</t>
  </si>
  <si>
    <t xml:space="preserve">https://www.thomassci.com/p/multiparameter-colorimeter</t>
  </si>
  <si>
    <t xml:space="preserve">https://www.dutscher.com/article/193403</t>
  </si>
  <si>
    <t xml:space="preserve">https://www.dutscher.com/article/193417</t>
  </si>
  <si>
    <t xml:space="preserve">https://www.dutscher.com/article/193464</t>
  </si>
  <si>
    <t xml:space="preserve">Heavy duty industrial wiping paper in maxi rolls for W1 system - blue</t>
  </si>
  <si>
    <t xml:space="preserve">https://www.dutscher.com/article/193423</t>
  </si>
  <si>
    <t xml:space="preserve">Reusable premium multi-purpose microfibre cloth - green</t>
  </si>
  <si>
    <t xml:space="preserve">https://www.dutscher.com/article/193482</t>
  </si>
  <si>
    <t xml:space="preserve">https://www.thomassci.com/p/digital-stirring-hot-plates</t>
  </si>
  <si>
    <t xml:space="preserve">https://www.thomassci.com/p/2-position-electronic-chillingheating-dry-bath</t>
  </si>
  <si>
    <t xml:space="preserve">https://www.thomassci.com/p/chillingheating-hplc-column-oven</t>
  </si>
  <si>
    <t xml:space="preserve">EchoTherm™ Bench Top Chilling/Heating Incubators</t>
  </si>
  <si>
    <t xml:space="preserve">https://www.thomassci.com/p/echotherm-bench-top-chillingheating-incubators</t>
  </si>
  <si>
    <t xml:space="preserve">EchoTherm™ Digital, Electronic Chilling/Heating Dry Baths</t>
  </si>
  <si>
    <t xml:space="preserve">https://www.thomassci.com/p/echotherm-electronic-chillingheating-plates</t>
  </si>
  <si>
    <t xml:space="preserve">https://www.dutscher.com/article/909904</t>
  </si>
  <si>
    <t xml:space="preserve">https://www.dutscher.com/article/909906</t>
  </si>
  <si>
    <t xml:space="preserve">https://www.dutscher.com/article/909836</t>
  </si>
  <si>
    <t xml:space="preserve">Free-standing table with rear backsplash, dimensions: 600 x 1400 mm</t>
  </si>
  <si>
    <t xml:space="preserve">https://www.dutscher.com/article/909834</t>
  </si>
  <si>
    <t xml:space="preserve">Stainless steel worktop - height adjustable by manual hydraulic system - base without shelves - Worktop dimensions (mm): 700 x 1800</t>
  </si>
  <si>
    <t xml:space="preserve">https://www.dutscher.com/article/909867</t>
  </si>
  <si>
    <t xml:space="preserve">https://www.dutscher.com/article/009902</t>
  </si>
  <si>
    <t xml:space="preserve">https://www.dutscher.com/article/009296</t>
  </si>
  <si>
    <t xml:space="preserve">https://www.dutscher.com/article/009207B</t>
  </si>
  <si>
    <t xml:space="preserve">Cell scraper 30 cm TPP - blade 20 mm</t>
  </si>
  <si>
    <t xml:space="preserve">https://www.dutscher.com/article/009903</t>
  </si>
  <si>
    <t xml:space="preserve">Tissue culture flask with tilting neck and vented cap 2 positions 25cm² TPP - bag of 10</t>
  </si>
  <si>
    <t xml:space="preserve">https://www.dutscher.com/article/009025</t>
  </si>
  <si>
    <t xml:space="preserve">https://www.thomassci.com/p/titanium-etchant-tft-gallon</t>
  </si>
  <si>
    <t xml:space="preserve">https://www.thomassci.com/p/chrome-mask-etchant-ce-5m-gallon</t>
  </si>
  <si>
    <t xml:space="preserve">https://www.thomassci.com/p/copper-etchant-aps-100-gallon</t>
  </si>
  <si>
    <t xml:space="preserve">Nitric Acid 70% LM Grade 5 pint</t>
  </si>
  <si>
    <t xml:space="preserve">https://www.thomassci.com/p/nitric-acid-70-lm-grade-5-pint</t>
  </si>
  <si>
    <t xml:space="preserve">Gold Etchant TFA Gallon</t>
  </si>
  <si>
    <t xml:space="preserve">https://www.thomassci.com/p/gold-etchant-tfa-gallon</t>
  </si>
  <si>
    <t xml:space="preserve">https://www.thomassci.com/p/nomex-esd-hot-gloves-heat-resistant-11-length</t>
  </si>
  <si>
    <t xml:space="preserve">https://www.thomassci.com/p/ac-ionizing-gun</t>
  </si>
  <si>
    <t xml:space="preserve">https://www.thomassci.com/p/two-snap-dual-wire-coil-cord-12-4mm</t>
  </si>
  <si>
    <t xml:space="preserve">In-Tool Ionizer Blower</t>
  </si>
  <si>
    <t xml:space="preserve">https://www.thomassci.com/p/in-tool-ionizer-blower</t>
  </si>
  <si>
    <t xml:space="preserve">ESD Safe Microscope Cover</t>
  </si>
  <si>
    <t xml:space="preserve">https://www.thomassci.com/p/esd-safe-microscope-cover</t>
  </si>
  <si>
    <t xml:space="preserve">https://www.dutscher.com/article/034070B</t>
  </si>
  <si>
    <t xml:space="preserve">https://www.dutscher.com/article/034003</t>
  </si>
  <si>
    <t xml:space="preserve">https://www.dutscher.com/article/034190</t>
  </si>
  <si>
    <t xml:space="preserve">TREFF non-sterile tip, 50 - 1000 μl - Bulk packaging</t>
  </si>
  <si>
    <t xml:space="preserve">https://www.dutscher.com/article/034071B</t>
  </si>
  <si>
    <t xml:space="preserve">TREFF Easyfit 0.5 ml microtube, Green</t>
  </si>
  <si>
    <t xml:space="preserve">https://www.dutscher.com/article/034004</t>
  </si>
  <si>
    <t xml:space="preserve">https://www.thomassci.com/p/oval-horizontal-rail-48</t>
  </si>
  <si>
    <t xml:space="preserve">https://www.thomassci.com/p/black-phenolic-worksurface</t>
  </si>
  <si>
    <t xml:space="preserve">https://www.thomassci.com/p/vertical-upright-tube-4724</t>
  </si>
  <si>
    <t xml:space="preserve">Printer Platform Slideable</t>
  </si>
  <si>
    <t xml:space="preserve">https://www.thomassci.com/p/printer-platform-slideable</t>
  </si>
  <si>
    <t xml:space="preserve">Stacking Bin Set</t>
  </si>
  <si>
    <t xml:space="preserve">https://www.thomassci.com/p/stacking-bin-set</t>
  </si>
  <si>
    <t xml:space="preserve">https://www.thomassci.com/p/polycarbonate-fernbach-flasks</t>
  </si>
  <si>
    <t xml:space="preserve">https://www.thomassci.com/p/polycarbonate-serum-vials</t>
  </si>
  <si>
    <t xml:space="preserve">https://www.thomassci.com/p/polypropylene-shaker-flask-clamps</t>
  </si>
  <si>
    <t xml:space="preserve">Polycarbonate Culture Tubes</t>
  </si>
  <si>
    <t xml:space="preserve">https://www.thomassci.com/p/polycarbonate-culture-tubes</t>
  </si>
  <si>
    <t xml:space="preserve">Polycarbonate Wide Mouth Bottles</t>
  </si>
  <si>
    <t xml:space="preserve">https://www.thomassci.com/p/polycarbonate-wide-mouth-bottles</t>
  </si>
  <si>
    <t xml:space="preserve">https://www.dutscher.com/article/060095</t>
  </si>
  <si>
    <t xml:space="preserve">https://www.dutscher.com/article/060277</t>
  </si>
  <si>
    <t xml:space="preserve">https://www.dutscher.com/article/060151</t>
  </si>
  <si>
    <t xml:space="preserve">Safety cabinet for poisons capacity 12 Litres</t>
  </si>
  <si>
    <t xml:space="preserve">https://www.dutscher.com/article/060037</t>
  </si>
  <si>
    <t xml:space="preserve">Fire safety bin 50 Litres Red and black colour</t>
  </si>
  <si>
    <t xml:space="preserve">https://www.dutscher.com/article/060139</t>
  </si>
  <si>
    <t xml:space="preserve">https://www.thomassci.com/p/kimwipe-holder</t>
  </si>
  <si>
    <t xml:space="preserve">https://www.thomassci.com/p/holders-3</t>
  </si>
  <si>
    <t xml:space="preserve">https://www.thomassci.com/p/face-mask-holder-1</t>
  </si>
  <si>
    <t xml:space="preserve">Cart Core DX</t>
  </si>
  <si>
    <t xml:space="preserve">https://www.thomassci.com/p/cart-core-dx-4</t>
  </si>
  <si>
    <t xml:space="preserve">Vertical/Horizontal Holders</t>
  </si>
  <si>
    <t xml:space="preserve">https://www.thomassci.com/p/verticalhorizontal-holders</t>
  </si>
  <si>
    <t xml:space="preserve">https://www.thomassci.com/p/class-1-electronic-balance-calibration-weights</t>
  </si>
  <si>
    <t xml:space="preserve">https://www.thomassci.com/p/analytical-precision-class-1-weights-with-traceable-certificates1</t>
  </si>
  <si>
    <t xml:space="preserve">https://www.thomassci.com/p/wt-set-cls2-tracebl-72312t</t>
  </si>
  <si>
    <t xml:space="preserve">Analytical Precision Class 4 Weights with Traceable Certificates</t>
  </si>
  <si>
    <t xml:space="preserve">https://www.thomassci.com/p/analytical-precision-class-4-weights-with-traceable-certificates</t>
  </si>
  <si>
    <t xml:space="preserve">Electronic Balance Class 4 Weights, with Traceable Certificates</t>
  </si>
  <si>
    <t xml:space="preserve">https://www.thomassci.com/p/electronic-balance-class-4-weights-with-traceable-certificates</t>
  </si>
  <si>
    <t xml:space="preserve">https://www.thomassci.com/p/fluid-impervious-chemo-rated-isolation-gown-knit-cuffs-waist-ties-blue-color-unisize</t>
  </si>
  <si>
    <t xml:space="preserve">https://www.thomassci.com/p/powder-free-latex-fully-textured-disposable-gloves</t>
  </si>
  <si>
    <t xml:space="preserve">https://www.thomassci.com/p/9662-series-nitrile-12-inch-chemo-rated-powder-free-examination-gloves</t>
  </si>
  <si>
    <t xml:space="preserve">https://www.thomassci.com/p/truescience-color-coded-ph-buffer-solutions</t>
  </si>
  <si>
    <t xml:space="preserve">https://www.thomassci.com/p/truescience-adapter-cables</t>
  </si>
  <si>
    <t xml:space="preserve">https://www.thomassci.com/p/truescience-ph-starter-kit</t>
  </si>
  <si>
    <t xml:space="preserve">https://www.thomassci.com/p/labsci-top-loading-vertical-autoclaves-for-liquids-and-solids</t>
  </si>
  <si>
    <t xml:space="preserve">https://www.thomassci.com/p/t-classic-9-portable-autoclave</t>
  </si>
  <si>
    <t xml:space="preserve">https://www.dutscher.com/article/779000</t>
  </si>
  <si>
    <t xml:space="preserve">Tuttnauer 2840 EL-D autoclave with 1 tray</t>
  </si>
  <si>
    <t xml:space="preserve">https://www.dutscher.com/article/950571</t>
  </si>
  <si>
    <t xml:space="preserve">Horizontal autoclave 23 L semi-automatic</t>
  </si>
  <si>
    <t xml:space="preserve">https://www.dutscher.com/article/950476</t>
  </si>
  <si>
    <t xml:space="preserve">https://www.thomassci.com/p/anti-static-polypropylene-weighing-funnels</t>
  </si>
  <si>
    <t xml:space="preserve">https://www.thomassci.com/p/disposable-tweezers</t>
  </si>
  <si>
    <t xml:space="preserve">https://www.thomassci.com/p/wide-drosophila-vial-plugs</t>
  </si>
  <si>
    <t xml:space="preserve">BioX PCR Tubes &amp; Caps</t>
  </si>
  <si>
    <t xml:space="preserve">https://www.thomassci.com/p/biox-pcr-tubes-and-caps</t>
  </si>
  <si>
    <t xml:space="preserve">BioX Multi-Well Tissue Culture Plates</t>
  </si>
  <si>
    <t xml:space="preserve">https://www.thomassci.com/p/biox-multi-well-tissue-culture-plates</t>
  </si>
  <si>
    <t xml:space="preserve">https://www.thomassci.com/p/12x10-75-inch-foil-pop-up-sheets</t>
  </si>
  <si>
    <t xml:space="preserve">https://www.thomassci.com/p/uline-top-gun-tape-dispenser</t>
  </si>
  <si>
    <t xml:space="preserve">https://www.thomassci.com/p/24-x-20-x-20-inch-corrugated-boxes</t>
  </si>
  <si>
    <t xml:space="preserve">Corrugated Boxes</t>
  </si>
  <si>
    <t xml:space="preserve">https://www.thomassci.com/p/corrugated-boxes</t>
  </si>
  <si>
    <t xml:space="preserve">Labels, ULINE, Industrial Direct Thermal - 4 x 6", 3” Core</t>
  </si>
  <si>
    <t xml:space="preserve">https://www.thomassci.com/p/labels-uline-industrial-direct-thermal-4-x-6-inch-3-core</t>
  </si>
  <si>
    <t xml:space="preserve">https://www.thomassci.com/p/stand-assembly-for-ultra-ezgrind-tissue-homogenizer</t>
  </si>
  <si>
    <t xml:space="preserve">https://www.thomassci.com/p/denville-ultra-ezgrind-tissue-homogenizer</t>
  </si>
  <si>
    <t xml:space="preserve">https://www.thomassci.com/p/polyethylene-super-tack</t>
  </si>
  <si>
    <t xml:space="preserve">https://www.thomassci.com/p/tape-ultratape-classic-clean-polyethylene-super-tack-cleanroom-construction-grade-single-bagged-blue-and-white-striping-2-inch-x-36-yards-1ea/rl-24rl/cs</t>
  </si>
  <si>
    <t xml:space="preserve">https://www.thomassci.com/p/cleanroom-construction-vinyl-tape-medium-adhesion-white-5-x-36-yards</t>
  </si>
  <si>
    <t xml:space="preserve">Barricade Tape - caution</t>
  </si>
  <si>
    <t xml:space="preserve">https://www.thomassci.com/p/barricade-tape-caution</t>
  </si>
  <si>
    <t xml:space="preserve">Cleanroom Construction Super-Tack™ Tape, White, 1" x 36 yd</t>
  </si>
  <si>
    <t xml:space="preserve">https://www.thomassci.com/p/cleanroom-construction-super-tack-tape-white-1-x-36-yd</t>
  </si>
  <si>
    <t xml:space="preserve">https://www.thomassci.com/p/leg-strap-15-inches-wide-white-c3-nano-cleanroom-esd-material-minimum-order-50-units</t>
  </si>
  <si>
    <t xml:space="preserve">https://www.thomassci.com/p/frock-c3-material-white-w/-raglan-sleeve-military-collar-snaps-at-front-opening-and-sleeve-hems-size-3xl</t>
  </si>
  <si>
    <t xml:space="preserve">https://www.thomassci.com/p/frock-altessa-grid-navy-raglan-sleevemilitary-collarcoil-zipper-at-front-openingsnaps-at-collar-snaps-2-below-zipper-knit-cuffs2-waist-pockets1-left-breast-pocket-1/ea-2x-large</t>
  </si>
  <si>
    <t xml:space="preserve">https://www.thomassci.com/p/cfrzc65w-c3-white-polyester-cleanroom-esd-frocks-zip-front-frock</t>
  </si>
  <si>
    <t xml:space="preserve">https://www.thomassci.com/p/frock-white-md-raglan-sleeve-military-collarsnaps-at-front-opening-sleeves-with-knitt-cuff-with-binding-c3-fabric-99-polyester-1-carbon-each</t>
  </si>
  <si>
    <t xml:space="preserve">https://www.thomassci.com/p/reusable-face-veil-white-tricot-material-with-snaps-to-attach-to-hood-onesize-fits-all-1-each</t>
  </si>
  <si>
    <t xml:space="preserve">Disctek 2.5 ISO 4 (Class 10) Cleanroom Coverall</t>
  </si>
  <si>
    <t xml:space="preserve">https://www.thomassci.com/p/coverallreusable-xs-disctek-2-5-material-white-raglan-sleeves-military-collar-coil-zipper-snaps-at-top-of-zipper-snaps-at-leg-hems-snaps-at-back-of-legs-knit-cuffs-with</t>
  </si>
  <si>
    <t xml:space="preserve">Polyester ESD Hood with Snap-under-the-chin Closures, White, Reusable</t>
  </si>
  <si>
    <t xml:space="preserve">https://www.thomassci.com/p/polyester-esd-hood-with-snap-under-the-chin-closures-white-reusable</t>
  </si>
  <si>
    <t xml:space="preserve">https://www.thomassci.com/p/united-scientific-aluminum-weighing-dishes-round</t>
  </si>
  <si>
    <t xml:space="preserve">https://www.thomassci.com/p/united-scientific-stopper-glasssolid</t>
  </si>
  <si>
    <t xml:space="preserve">https://www.thomassci.com/p/pinpoint-pipette-controller</t>
  </si>
  <si>
    <t xml:space="preserve">Glass Beaker, Low Form</t>
  </si>
  <si>
    <t xml:space="preserve">https://www.thomassci.com/p/glass-beaker-low-form</t>
  </si>
  <si>
    <t xml:space="preserve">United Scientific® Digital Infrared thermometer</t>
  </si>
  <si>
    <t xml:space="preserve">https://www.thomassci.com/p/united-scientific-digital-infrared-thermometer</t>
  </si>
  <si>
    <t xml:space="preserve">https://www.thomassci.com/p/611-dv-byoxene-sterilisable-goggle</t>
  </si>
  <si>
    <t xml:space="preserve">https://www.thomassci.com/p/vent-goggles</t>
  </si>
  <si>
    <t xml:space="preserve">https://www.thomassci.com/p/face-shields-1</t>
  </si>
  <si>
    <t xml:space="preserve">https://www.thomassci.com/p/microscope-bulb-150-watt-120v-mr-16</t>
  </si>
  <si>
    <t xml:space="preserve">https://www.thomassci.com/p/jc6v-20withg4-c-6-g4-base-t3-20w-6v-t3-bulb-shape-3200k-g4-base-wattage-20</t>
  </si>
  <si>
    <t xml:space="preserve">https://www.thomassci.com/p/ep-highly-purified-water-hpw</t>
  </si>
  <si>
    <t xml:space="preserve">https://www.thomassci.com/p/astm-type-i-reagent-grade-water-d1193-99e1-astm1</t>
  </si>
  <si>
    <t xml:space="preserve">https://www.thomassci.com/p/acidified-water-for-lab-mice</t>
  </si>
  <si>
    <t xml:space="preserve">HPLC Water</t>
  </si>
  <si>
    <t xml:space="preserve">https://www.thomassci.com/p/hplc-water</t>
  </si>
  <si>
    <t xml:space="preserve">USP Purified Water (USP-PW)</t>
  </si>
  <si>
    <t xml:space="preserve">https://www.thomassci.com/p/usp-purified-water-usp-pw</t>
  </si>
  <si>
    <t xml:space="preserve">https://www.thomassci.com/p/a700-series-eye-protection</t>
  </si>
  <si>
    <t xml:space="preserve">https://www.thomassci.com/p/honeywell-uvex-svp201-clear-frame-safety-glasses</t>
  </si>
  <si>
    <t xml:space="preserve">https://www.thomassci.com/p/uvex-astrospec-otg-30012</t>
  </si>
  <si>
    <t xml:space="preserve">Uvex Stealth Safety Goggles with Clear HydroShield Anti-Fog Lens, White Body &amp; Neoprene Headband</t>
  </si>
  <si>
    <t xml:space="preserve">https://www.thomassci.com/p/uvex-stealth-safety-goggles-with-clear-hydroshield-anti-fog-lens-white-body-and-neoprene-headband</t>
  </si>
  <si>
    <t xml:space="preserve">Uvex® A700 Series Safety Glasses</t>
  </si>
  <si>
    <t xml:space="preserve">https://www.thomassci.com/p/uvex-a700-series-safety-glasses</t>
  </si>
  <si>
    <t xml:space="preserve">https://www.thomassci.com/p/uvex-genesis-x2-eyewear</t>
  </si>
  <si>
    <t xml:space="preserve">https://www.thomassci.com/p/ultra-spec-2001-otg-over-the-glass-eyewear</t>
  </si>
  <si>
    <t xml:space="preserve">https://www.thomassci.com/p/uvex-stealth-otg-goggles</t>
  </si>
  <si>
    <t xml:space="preserve">Uvex Strategy® Goggles</t>
  </si>
  <si>
    <t xml:space="preserve">https://www.thomassci.com/p/uvex-strategy-goggles</t>
  </si>
  <si>
    <t xml:space="preserve">Bionic® Shield</t>
  </si>
  <si>
    <t xml:space="preserve">https://www.thomassci.com/p/bionic-shield</t>
  </si>
  <si>
    <t xml:space="preserve">https://www.dutscher.com/article/441356</t>
  </si>
  <si>
    <t xml:space="preserve">https://www.dutscher.com/article/441418</t>
  </si>
  <si>
    <t xml:space="preserve">https://www.dutscher.com/article/441203</t>
  </si>
  <si>
    <t xml:space="preserve">Portable lamp double wavelength</t>
  </si>
  <si>
    <t xml:space="preserve">https://www.dutscher.com/article/441146</t>
  </si>
  <si>
    <t xml:space="preserve">4 UV tubes Set 312 nm</t>
  </si>
  <si>
    <t xml:space="preserve">https://www.dutscher.com/article/441363</t>
  </si>
  <si>
    <t xml:space="preserve">https://www.dutscher.com/article/978041</t>
  </si>
  <si>
    <t xml:space="preserve">https://www.dutscher.com/article/978002</t>
  </si>
  <si>
    <t xml:space="preserve">https://www.dutscher.com/article/978018</t>
  </si>
  <si>
    <t xml:space="preserve">Aspiration system Biochem VacuuCenter BVC Control G model</t>
  </si>
  <si>
    <t xml:space="preserve">https://www.dutscher.com/article/978020</t>
  </si>
  <si>
    <t xml:space="preserve">Vacuubrand RZ2.5 vane pump with exhaust filter and shut-off valve</t>
  </si>
  <si>
    <t xml:space="preserve">https://www.dutscher.com/article/978032B</t>
  </si>
  <si>
    <t xml:space="preserve">https://www.thomassci.com/p/leather-lifting-belts</t>
  </si>
  <si>
    <t xml:space="preserve">https://www.thomassci.com/p/heavy-duty-elastic-back-supports</t>
  </si>
  <si>
    <t xml:space="preserve">https://www.thomassci.com/p/meshback-lifting-gloves</t>
  </si>
  <si>
    <t xml:space="preserve">Classic Back Supports</t>
  </si>
  <si>
    <t xml:space="preserve">https://www.thomassci.com/p/classic-back-supports</t>
  </si>
  <si>
    <t xml:space="preserve">Pro Material Handling Fingerless Glove</t>
  </si>
  <si>
    <t xml:space="preserve">https://www.thomassci.com/p/pro-material-handling-fingerless-glove</t>
  </si>
  <si>
    <t xml:space="preserve">https://www.thomassci.com/p/cotton-cleanroom-wiper</t>
  </si>
  <si>
    <t xml:space="preserve">https://www.thomassci.com/p/white-round-ear-loop-facemask</t>
  </si>
  <si>
    <t xml:space="preserve">https://www.thomassci.com/p/adhesive-mats-1</t>
  </si>
  <si>
    <t xml:space="preserve">Nitrile Sterile Gloves</t>
  </si>
  <si>
    <t xml:space="preserve">https://www.thomassci.com/p/nitrile-sterile-gloves</t>
  </si>
  <si>
    <t xml:space="preserve">https://www.thomassci.com/p/finger-cots-1</t>
  </si>
  <si>
    <t xml:space="preserve">https://www.thomassci.com/p/varisafe-rna-fmdv-polyprotein-consensus</t>
  </si>
  <si>
    <t xml:space="preserve">https://www.thomassci.com/p/thunder-reverse-transcriptase</t>
  </si>
  <si>
    <t xml:space="preserve">https://www.thomassci.com/p/varisafe-rna-hiv-1-gag-gene</t>
  </si>
  <si>
    <t xml:space="preserve">Cod Uracil-DNA Glycosylase</t>
  </si>
  <si>
    <t xml:space="preserve">https://www.thomassci.com/p/cod-uracil-dna-glycosylase</t>
  </si>
  <si>
    <t xml:space="preserve">CRISPR/Cas9 Nuclease</t>
  </si>
  <si>
    <t xml:space="preserve">https://www.thomassci.com/p/crispr/cas9-nuclease-1</t>
  </si>
  <si>
    <t xml:space="preserve">https://www.thomassci.com/p/semi-micro-w/stopper-self-masking</t>
  </si>
  <si>
    <t xml:space="preserve">https://www.thomassci.com/p/fluorometer-rectangular-w/stopper</t>
  </si>
  <si>
    <t xml:space="preserve">https://www.thomassci.com/p/semi-micro-rectangular-spectrophotometer-cells-w/lid</t>
  </si>
  <si>
    <t xml:space="preserve">Micro w/Stopper Self Masking</t>
  </si>
  <si>
    <t xml:space="preserve">https://www.thomassci.com/p/micro-w/stopper-self-masking</t>
  </si>
  <si>
    <t xml:space="preserve">Semi-Micro Self Masking Spectrophotometer Cells w/lid</t>
  </si>
  <si>
    <t xml:space="preserve">https://www.thomassci.com/p/semi-micro-self-masking-spectrophotometer-cells-w/lid</t>
  </si>
  <si>
    <t xml:space="preserve">https://www.thomassci.com/p/medschenker-culture-tube</t>
  </si>
  <si>
    <t xml:space="preserve">https://www.thomassci.com/p/medschenker-viral-transport-media-vials</t>
  </si>
  <si>
    <t xml:space="preserve">https://www.thomassci.com/p/medschenker-plasma-disinfector</t>
  </si>
  <si>
    <t xml:space="preserve">MedSchenker® Smart Extraction Tube</t>
  </si>
  <si>
    <t xml:space="preserve">https://www.thomassci.com/p/medschenker-smart-extraction-tube</t>
  </si>
  <si>
    <t xml:space="preserve">MedSchenker® Smart Cryogenic Vial</t>
  </si>
  <si>
    <t xml:space="preserve">https://www.thomassci.com/p/medschenker-smart-cryogenic-vial</t>
  </si>
  <si>
    <t xml:space="preserve">https://www.thomassci.com/p/sibata-serological-pipets</t>
  </si>
  <si>
    <t xml:space="preserve">https://www.thomassci.com/p/volumetric-pipet</t>
  </si>
  <si>
    <t xml:space="preserve">https://www.thomassci.com/p/glass-withbubble-trap-100mm-11-ml</t>
  </si>
  <si>
    <t xml:space="preserve">Dial Thermometer Dual Scale 2" D</t>
  </si>
  <si>
    <t xml:space="preserve">https://www.thomassci.com/p/dial-thermometer-dual-scale-2-inch-d</t>
  </si>
  <si>
    <t xml:space="preserve">Sibata Glass Separatory Funnel</t>
  </si>
  <si>
    <t xml:space="preserve">https://www.thomassci.com/p/sibata-glass-separatory-funnel</t>
  </si>
  <si>
    <t xml:space="preserve">automatic Kjeldahl distillation and titration units</t>
  </si>
  <si>
    <t xml:space="preserve">nitrogen/protein determination by combustion</t>
  </si>
  <si>
    <t xml:space="preserve">magnetic stirrers, hotplates and Kjeldahl digestion units</t>
  </si>
  <si>
    <t xml:space="preserve">https://www.thomassci.com/p/decon-clean</t>
  </si>
  <si>
    <t xml:space="preserve">https://www.thomassci.com/p/decon-quat-100</t>
  </si>
  <si>
    <t xml:space="preserve">https://www.thomassci.com/p/decon-peroxide-sterile-3</t>
  </si>
  <si>
    <t xml:space="preserve">Decon Clean, Non-Sterile</t>
  </si>
  <si>
    <t xml:space="preserve">https://www.thomassci.com/p/decon-clean-non-sterile</t>
  </si>
  <si>
    <t xml:space="preserve">Decon-Spore 200 plus Disinfectant</t>
  </si>
  <si>
    <t xml:space="preserve">https://www.thomassci.com/p/decon-spore-200-plus-disinfectant</t>
  </si>
  <si>
    <t xml:space="preserve">https://www.dutscher.com/article/823506</t>
  </si>
  <si>
    <t xml:space="preserve">https://www.dutscher.com/article/823511</t>
  </si>
  <si>
    <t xml:space="preserve">https://www.dutscher.com/article/823551</t>
  </si>
  <si>
    <t xml:space="preserve">Venabio Flow silicone tubing - ø int. x ø ext. x L: 25.4 mm x 34.9 mm x 15.24 m</t>
  </si>
  <si>
    <t xml:space="preserve">https://www.dutscher.com/article/823532</t>
  </si>
  <si>
    <t xml:space="preserve">Technosil braided silicone tubing - ø int. x ø ext. x L: 25.4 mm x 34.5 mm x 4.5 m</t>
  </si>
  <si>
    <t xml:space="preserve">https://www.dutscher.com/article/823558</t>
  </si>
  <si>
    <t xml:space="preserve">https://www.thomassci.com/p/industrial-light-duty-wiper</t>
  </si>
  <si>
    <t xml:space="preserve">https://www.thomassci.com/p/paper-97-bright</t>
  </si>
  <si>
    <t xml:space="preserve">https://www.thomassci.com/p/impact-plastic-janitor-mop-handle-64-safety-orange-fiberglass</t>
  </si>
  <si>
    <t xml:space="preserve">https://www.thomassci.com/p/paper-towels-georgia-pacific-preference-multifold-paper-towels-number-0065-250ea/bx-16bx/cs</t>
  </si>
  <si>
    <t xml:space="preserve">https://www.thomassci.com/p/oasig-lyophilised-qpcr-master-mix-150-reactions</t>
  </si>
  <si>
    <t xml:space="preserve">https://www.thomassci.com/p/oasig-lyophilised-onestep-rt-qpcr-master-mix-150-reactions</t>
  </si>
  <si>
    <t xml:space="preserve">https://www.thomassci.com/p/ce-duo-cleantech-microfiber-and-double-sided-mop-for-controlled-environments</t>
  </si>
  <si>
    <t xml:space="preserve">https://www.thomassci.com/p/mop-refill-fhp-vileda-cleantech-duo-microfiber-laminated-mopheads-refill-blue-and-white-2-sided-for-ce-duomop-frame-137878-20length-50ea/cs</t>
  </si>
  <si>
    <t xml:space="preserve">https://www.thomassci.com/p/vileda-professional-bucket-red-6-gal-ideal-for-10-and-14-roll-o-matic-mops-fits-most-popular-cleanroom-cart-systemsbuckets-are-autoclaveable-10ea/cs-casters-sold-separately-1ea</t>
  </si>
  <si>
    <t xml:space="preserve">Roll-O-Matic® CE "Universal" Refills</t>
  </si>
  <si>
    <t xml:space="preserve">https://www.thomassci.com/p/roll-o-matic-ce-inchuniversal-inch-refills</t>
  </si>
  <si>
    <t xml:space="preserve">Downpress Bucket &amp; Wringer Combos</t>
  </si>
  <si>
    <t xml:space="preserve">https://www.thomassci.com/p/downpress-bucket-and-wringer-combos</t>
  </si>
  <si>
    <t xml:space="preserve">https://www.thomassci.com/p/wrights-blood-stain-histology-grade</t>
  </si>
  <si>
    <t xml:space="preserve">https://www.thomassci.com/p/ethanol-denatured-histology-grade</t>
  </si>
  <si>
    <t xml:space="preserve">https://www.thomassci.com/p/tris-base-1</t>
  </si>
  <si>
    <t xml:space="preserve">Xylene Substitute, Histology Grade</t>
  </si>
  <si>
    <t xml:space="preserve">https://www.thomassci.com/p/xylene-substitute-histology-grade</t>
  </si>
  <si>
    <t xml:space="preserve">Water, Deionized, Histology Grade</t>
  </si>
  <si>
    <t xml:space="preserve">https://www.thomassci.com/p/water-deionized-histology-grade</t>
  </si>
  <si>
    <t xml:space="preserve">https://www.thomassci.com/p/reagent-reservoirs4</t>
  </si>
  <si>
    <t xml:space="preserve">https://www.thomassci.com/p/pipet-stand-10-position</t>
  </si>
  <si>
    <t xml:space="preserve">https://www.thomassci.com/p/ali-q-replacement-membrane-filters</t>
  </si>
  <si>
    <t xml:space="preserve">MLA Seal Kits</t>
  </si>
  <si>
    <t xml:space="preserve">https://www.thomassci.com/p/mla-seal-kits1</t>
  </si>
  <si>
    <t xml:space="preserve">VistaLab Technologies Replacement Kickstand</t>
  </si>
  <si>
    <t xml:space="preserve">https://www.thomassci.com/p/ali-q-2-replacement-kickstand</t>
  </si>
  <si>
    <t xml:space="preserve">https://www.thomassci.com/p/microts-microplate-heat-sealer</t>
  </si>
  <si>
    <t xml:space="preserve">https://www.thomassci.com/p/vts-variable-temperature-sealer</t>
  </si>
  <si>
    <t xml:space="preserve">https://www.thomassci.com/p/ther-mix-heated-laboratory-mixer</t>
  </si>
  <si>
    <t xml:space="preserve">Flexi-Therm Dry Block Heater</t>
  </si>
  <si>
    <t xml:space="preserve">https://www.thomassci.com/p/flexi-therm-dry-block-heater</t>
  </si>
  <si>
    <t xml:space="preserve">Microplate Heat Seals</t>
  </si>
  <si>
    <t xml:space="preserve">https://www.thomassci.com/p/microplate-heat-seals</t>
  </si>
  <si>
    <t xml:space="preserve">https://www.thomassci.com/p/bailers</t>
  </si>
  <si>
    <t xml:space="preserve">https://www.thomassci.com/p/high-capacity-groundwater-filter-cartridge</t>
  </si>
  <si>
    <t xml:space="preserve">https://www.thomassci.com/p/frosted-glass-microscope-slides</t>
  </si>
  <si>
    <t xml:space="preserve">https://www.thomassci.com/p/tc-spinplus-centrifuges</t>
  </si>
  <si>
    <t xml:space="preserve">https://www.thomassci.com/p/human-torso-models</t>
  </si>
  <si>
    <t xml:space="preserve">Human Brain Models for Education &amp; Training</t>
  </si>
  <si>
    <t xml:space="preserve">https://www.thomassci.com/p/human-brain-models</t>
  </si>
  <si>
    <t xml:space="preserve">Half-Size Human Skeleton Models</t>
  </si>
  <si>
    <t xml:space="preserve">https://www.thomassci.com/p/half-size-human-skeleton-models</t>
  </si>
  <si>
    <t xml:space="preserve">https://www.thomassci.com/p/cylindrical-rubber-bulbs</t>
  </si>
  <si>
    <t xml:space="preserve">https://www.thomassci.com/p/reverse-action-forceps</t>
  </si>
  <si>
    <t xml:space="preserve">https://www.thomassci.com/p/all-purpose-safety-shears</t>
  </si>
  <si>
    <t xml:space="preserve">Glass Beads Hollow 4mm 1Lb/Pk</t>
  </si>
  <si>
    <t xml:space="preserve">https://www.thomassci.com/p/glass-beads-hollow-4mm-1lb/pk</t>
  </si>
  <si>
    <t xml:space="preserve">Watch Glasses</t>
  </si>
  <si>
    <t xml:space="preserve">https://www.thomassci.com/p/economy-watch-glasses</t>
  </si>
  <si>
    <t xml:space="preserve">https://www.thomassci.com/p/75-gram-pulverizer-for-blenders</t>
  </si>
  <si>
    <t xml:space="preserve">https://www.thomassci.com/p/mini-container-jars-for-blenders</t>
  </si>
  <si>
    <t xml:space="preserve">https://www.thomassci.com/p/011hg-2-speed-blendor-lextra</t>
  </si>
  <si>
    <t xml:space="preserve">Standard Size Borosilicate Glass Jars For Blenders</t>
  </si>
  <si>
    <t xml:space="preserve">https://www.thomassci.com/p/standard-size-borosilicate-glass-jars-for-blenders</t>
  </si>
  <si>
    <t xml:space="preserve">Waring Commercial® Commercial Blender Base Only</t>
  </si>
  <si>
    <t xml:space="preserve">https://www.thomassci.com/p/011hb-2-speed-blendor-lextr-h</t>
  </si>
  <si>
    <t xml:space="preserve">ultra-performance liquid chromatography systems</t>
  </si>
  <si>
    <t xml:space="preserve">tandem quadrupole LC-MS/MS mass spectrometer</t>
  </si>
  <si>
    <t xml:space="preserve">chromatography data system software</t>
  </si>
  <si>
    <t xml:space="preserve">https://www.thomassci.com/p/platinum-silicone-tubing</t>
  </si>
  <si>
    <t xml:space="preserve">https://www.thomassci.com/p/marprene-tubing</t>
  </si>
  <si>
    <t xml:space="preserve">https://www.thomassci.com/p/silicone-tube-elements-for-323s/mc-microcartrige-pump</t>
  </si>
  <si>
    <t xml:space="preserve">300 Series Laboratory Pumps</t>
  </si>
  <si>
    <t xml:space="preserve">https://www.thomassci.com/p/variable-speed-transfer-pump</t>
  </si>
  <si>
    <t xml:space="preserve">Neoprene Tubing</t>
  </si>
  <si>
    <t xml:space="preserve">https://www.thomassci.com/p/neoprene-tubing</t>
  </si>
  <si>
    <t xml:space="preserve">https://www.thomassci.com/p/electrically-conductive-anti-fatigue-mats</t>
  </si>
  <si>
    <t xml:space="preserve">https://www.thomassci.com/p/wearwell-clean-room-mat</t>
  </si>
  <si>
    <t xml:space="preserve">https://www.thomassci.com/p/vinyl-tech-spongecote-mats</t>
  </si>
  <si>
    <t xml:space="preserve">Ergodeck Ramps And Corner Accessories</t>
  </si>
  <si>
    <t xml:space="preserve">https://www.thomassci.com/p/ergodeck-ramps-and-corner-accessories</t>
  </si>
  <si>
    <t xml:space="preserve">Soft Step Mat</t>
  </si>
  <si>
    <t xml:space="preserve">https://www.thomassci.com/p/mat-soft-step-black-3/8-x-3ft-x-12ft-each</t>
  </si>
  <si>
    <t xml:space="preserve">https://www.thomassci.com/p/crvpro-direct-drive-rotary-vane-vacuum-pumps</t>
  </si>
  <si>
    <t xml:space="preserve">https://www.thomassci.com/p/vacuum-hose-1/4id-5-ft-length</t>
  </si>
  <si>
    <t xml:space="preserve">https://www.thomassci.com/p/iso-adapter-nw-16-for-1399-and-1400</t>
  </si>
  <si>
    <t xml:space="preserve">On/Off Foot Switches</t>
  </si>
  <si>
    <t xml:space="preserve">https://www.thomassci.com/p/onoff-foot-switches</t>
  </si>
  <si>
    <t xml:space="preserve">Welch Pump Oil</t>
  </si>
  <si>
    <t xml:space="preserve">https://www.thomassci.com/p/duo-seal-pump-oil-5-gallons</t>
  </si>
  <si>
    <t xml:space="preserve">https://www.thomassci.com/p/cotton-isle-glove-liner</t>
  </si>
  <si>
    <t xml:space="preserve">https://www.thomassci.com/p/cut-resistant-glove</t>
  </si>
  <si>
    <t xml:space="preserve">https://www.thomassci.com/p/heat-resistant-glove</t>
  </si>
  <si>
    <t xml:space="preserve">Highly Reusable Full Finger Nylon Liner</t>
  </si>
  <si>
    <t xml:space="preserve">https://www.thomassci.com/p/cleanroom-glove-liners-that-is-reusable-up-to-30-times</t>
  </si>
  <si>
    <t xml:space="preserve">Cleanroom heavy duty gloves that offers ANSI Level A7 cut resistance</t>
  </si>
  <si>
    <t xml:space="preserve">https://www.thomassci.com/p/cleanroom-heavy-duty-gloves-that-offers-ansi-level-a7-cut-resistance</t>
  </si>
  <si>
    <t xml:space="preserve">https://www.thomassci.com/p/polypropylene-dolly-for-30-gal-or-55-gal-drums</t>
  </si>
  <si>
    <t xml:space="preserve">https://www.thomassci.com/p/30bt-combination-drum-truck</t>
  </si>
  <si>
    <t xml:space="preserve">https://www.thomassci.com/p/spartan-iii-3-position-aluminum-truck</t>
  </si>
  <si>
    <t xml:space="preserve">Steel Platform Trucks</t>
  </si>
  <si>
    <t xml:space="preserve">https://www.thomassci.com/p/steel-platform-trucks</t>
  </si>
  <si>
    <t xml:space="preserve">15BT Deluxe Series Drum Truck</t>
  </si>
  <si>
    <t xml:space="preserve">https://www.thomassci.com/p/15bt-deluxe-series-drum-truck</t>
  </si>
  <si>
    <t xml:space="preserve">https://www.thomassci.com/p/stopper-butyl-gray-20mm</t>
  </si>
  <si>
    <t xml:space="preserve">https://www.thomassci.com/p/adaptiq-cup-nest-with-topline-vials</t>
  </si>
  <si>
    <t xml:space="preserve">https://www.thomassci.com/p/plascap-plastic-vial-cap</t>
  </si>
  <si>
    <t xml:space="preserve">https://www.thomassci.com/p/whirl-pak-stand-up-sample-bags</t>
  </si>
  <si>
    <t xml:space="preserve">https://www.thomassci.com/p/whirl-pak-water-sample-bags</t>
  </si>
  <si>
    <t xml:space="preserve">https://www.thomassci.com/p/whirl-pak-hydrated-polysponge-bags</t>
  </si>
  <si>
    <t xml:space="preserve">Standard, Write On Strip Bags</t>
  </si>
  <si>
    <t xml:space="preserve">https://www.thomassci.com/p/whirl-pak-write-on-bags</t>
  </si>
  <si>
    <t xml:space="preserve">Cellulose Sponge Bags</t>
  </si>
  <si>
    <t xml:space="preserve">https://www.thomassci.com/p/speci-sponge-bag</t>
  </si>
  <si>
    <t xml:space="preserve">https://www.thomassci.com/p/g-rex6-well-plate</t>
  </si>
  <si>
    <t xml:space="preserve">https://www.thomassci.com/p/g-rex6m-well-plate</t>
  </si>
  <si>
    <t xml:space="preserve">https://www.thomassci.com/p/g-rex10m-open-system-research-use-only</t>
  </si>
  <si>
    <t xml:space="preserve">G-Rex®500M Open System, Research Use Only</t>
  </si>
  <si>
    <t xml:space="preserve">https://www.thomassci.com/p/g-rex500m-open-system-research-use-only</t>
  </si>
  <si>
    <t xml:space="preserve">GatheRex Liquid Handling, Cell Harvest Pump</t>
  </si>
  <si>
    <t xml:space="preserve">https://www.thomassci.com/p/gatherex-liquid-handling-cell-harvest-pump</t>
  </si>
  <si>
    <t xml:space="preserve">https://www.thomassci.com/p/all-american-1941x-41-quart-non-electric-sterilizer</t>
  </si>
  <si>
    <t xml:space="preserve">https://www.thomassci.com/p/all-american-75x-41-quart-electric-sterilizer</t>
  </si>
  <si>
    <t xml:space="preserve">https://www.thomassci.com/p/all-american-50x-25-quart-electric-sterilizer</t>
  </si>
  <si>
    <t xml:space="preserve">Wisconsin Aluminum Foundry Replacement Parts</t>
  </si>
  <si>
    <t xml:space="preserve">https://www.thomassci.com/p/wisconsin-aluminum-foundry-replacement-parts</t>
  </si>
  <si>
    <t xml:space="preserve">ALL AMERICAN® 1925X 25 Quart Non-Electric Sterilizer</t>
  </si>
  <si>
    <t xml:space="preserve">https://www.thomassci.com/p/portable-autoclave</t>
  </si>
  <si>
    <t xml:space="preserve">https://www.thomassci.com/p/fuego-scs-pro</t>
  </si>
  <si>
    <t xml:space="preserve">https://www.thomassci.com/p/gas-cartridge-adapter-cg1750</t>
  </si>
  <si>
    <t xml:space="preserve">https://www.thomassci.com/p/gasprofi-laboratory-gas-burner-accessories</t>
  </si>
  <si>
    <t xml:space="preserve">AA Rechargeable Batteries NiMh Mignon Pk2</t>
  </si>
  <si>
    <t xml:space="preserve">https://www.thomassci.com/p/aa-rechargeable-batteries-nimh-mignon-pk2</t>
  </si>
  <si>
    <t xml:space="preserve">DVGW-Gas Tubing Din 30664 Part 1</t>
  </si>
  <si>
    <t xml:space="preserve">https://www.thomassci.com/p/dvgw-qck-coupling-12-6000101</t>
  </si>
  <si>
    <t xml:space="preserve">https://www.thomassci.com/p/limited-volume-vial-inserts3</t>
  </si>
  <si>
    <t xml:space="preserve">https://www.thomassci.com/p/headspace-vials-1</t>
  </si>
  <si>
    <t xml:space="preserve">https://www.thomassci.com/p/microwave-vials</t>
  </si>
  <si>
    <t xml:space="preserve">Vial Closures</t>
  </si>
  <si>
    <t xml:space="preserve">https://www.thomassci.com/p/vial-closures</t>
  </si>
  <si>
    <t xml:space="preserve">High Recovery Vials</t>
  </si>
  <si>
    <t xml:space="preserve">https://www.thomassci.com/p/high-recovery-vials</t>
  </si>
  <si>
    <t xml:space="preserve">https://www.dutscher.com/article/050200</t>
  </si>
  <si>
    <t xml:space="preserve">https://www.dutscher.com/article/500085</t>
  </si>
  <si>
    <t xml:space="preserve">https://www.dutscher.com/article/W504167</t>
  </si>
  <si>
    <t xml:space="preserve">WFD35-100 · Fluorodish Petri dishes - Int. diam. 33 mm - access angle 29 degrees - well diameter 23.5 mm</t>
  </si>
  <si>
    <t xml:space="preserve">https://www.dutscher.com/article/WFD35-100</t>
  </si>
  <si>
    <t xml:space="preserve">WFD3510-100 · Fluorodish Petri dishes - Int. diam. 33 mm - access angle 29 degrees - well diameter 10 mm</t>
  </si>
  <si>
    <t xml:space="preserve">https://www.dutscher.com/article/WFD3510-100</t>
  </si>
  <si>
    <t xml:space="preserve">https://www.thomassci.com/p/ph-tester</t>
  </si>
  <si>
    <t xml:space="preserve">https://www.thomassci.com/p/inolab-benchtop-ph-meters</t>
  </si>
  <si>
    <t xml:space="preserve">https://www.thomassci.com/p/profiline-single-parameter-portable-conductivity-meter-series</t>
  </si>
  <si>
    <t xml:space="preserve">NTH 600 Nitrification Inihibitor</t>
  </si>
  <si>
    <t xml:space="preserve">https://www.thomassci.com/p/nth-600-nitrification-inihibitor</t>
  </si>
  <si>
    <t xml:space="preserve">OxiTop® IS</t>
  </si>
  <si>
    <t xml:space="preserve">https://www.thomassci.com/p/oxitop-is</t>
  </si>
  <si>
    <t xml:space="preserve">https://www.thomassci.com/p/xtreme-series-boilproof-microtubes</t>
  </si>
  <si>
    <t xml:space="preserve">https://www.thomassci.com/p/xtreme-series-low-retention-microtubes</t>
  </si>
  <si>
    <t xml:space="preserve">https://www.thomassci.com/p/xtreme-series-silicone-sealing-mats</t>
  </si>
  <si>
    <t xml:space="preserve">https://www.thomassci.com/p/valusep-aluminum-pans</t>
  </si>
  <si>
    <t xml:space="preserve">https://www.thomassci.com/p/xenomax-pre-weighed-tss-filters</t>
  </si>
  <si>
    <t xml:space="preserve">https://www.thomassci.com/p/xenomax-1664a-solid-phase-extraction-filters</t>
  </si>
  <si>
    <t xml:space="preserve">ValuSep® 1664A Solid Phase Extraction Filters</t>
  </si>
  <si>
    <t xml:space="preserve">https://www.thomassci.com/p/valusep-1664a-solid-phase-extraction-filters</t>
  </si>
  <si>
    <t xml:space="preserve">ValuSep® Precision and Recovery (PAR) Standard</t>
  </si>
  <si>
    <t xml:space="preserve">https://www.thomassci.com/p/valusep-precision-and-recovery-par-standard</t>
  </si>
  <si>
    <t xml:space="preserve">https://www.thomassci.com/p/standard-shape-platinum-crucibles</t>
  </si>
  <si>
    <t xml:space="preserve">https://www.thomassci.com/p/zirconium-low-form-crucibles</t>
  </si>
  <si>
    <t xml:space="preserve">https://www.thomassci.com/p/bouffant-cap-1</t>
  </si>
  <si>
    <t xml:space="preserve">https://www.thomassci.com/p/xc4438-shoe-covers-polypropylene-non-skid</t>
  </si>
  <si>
    <t xml:space="preserve">https://www.thomassci.com/p/xc6010-disposable-frocks</t>
  </si>
  <si>
    <t xml:space="preserve">XC7020 Lab Coats, Polypropylene</t>
  </si>
  <si>
    <t xml:space="preserve">https://www.thomassci.com/p/xc7020-lab-coats-polypropylene</t>
  </si>
  <si>
    <t xml:space="preserve">XtraClean XC2000 White Polypropylene, Universal Beard Covers</t>
  </si>
  <si>
    <t xml:space="preserve">https://www.thomassci.com/p/xtraclean-white-polypropylene-universal-beard-covers</t>
  </si>
  <si>
    <t xml:space="preserve">https://www.dutscher.com/article/799706</t>
  </si>
  <si>
    <t xml:space="preserve">https://www.dutscher.com/article/799926</t>
  </si>
  <si>
    <t xml:space="preserve">https://www.dutscher.com/article/799627</t>
  </si>
  <si>
    <t xml:space="preserve">INSTALLATION AND TRAINING PACKAGE (DOCUMENTS AND SERVICE QI QO QP)</t>
  </si>
  <si>
    <t xml:space="preserve">https://www.dutscher.com/article/511212</t>
  </si>
  <si>
    <t xml:space="preserve">HALF-DAY USER TRAINING FOR EBRO EQUIPMENT</t>
  </si>
  <si>
    <t xml:space="preserve">https://www.dutscher.com/article/799998</t>
  </si>
  <si>
    <t xml:space="preserve">forced-convection laboratory drying ovens</t>
  </si>
  <si>
    <t xml:space="preserve">benchtop and vertical steam sterilizers</t>
  </si>
  <si>
    <t xml:space="preserve">laboratory water purification systems</t>
  </si>
  <si>
    <t xml:space="preserve">https://www.thomassci.com/p/reversed-phase-c18-columns-ods-ods-a-120a-3um</t>
  </si>
  <si>
    <t xml:space="preserve">https://www.thomassci.com/p/reversed-phase-c18-columns-ods-pro-c18-120a-3um</t>
  </si>
  <si>
    <t xml:space="preserve">https://www.thomassci.com/p/butyl-300a-5um-column</t>
  </si>
  <si>
    <t xml:space="preserve">YMC HPLC NH2 (Amino) Normal-Phase Column</t>
  </si>
  <si>
    <t xml:space="preserve">https://www.thomassci.com/p/amino-120a-5um-and-15um-column</t>
  </si>
  <si>
    <t xml:space="preserve">YMC HPLC Pro C8 (Octyle) Reversed-Phase Column</t>
  </si>
  <si>
    <t xml:space="preserve">https://www.thomassci.com/p/pro-c8-120a-5um-column</t>
  </si>
  <si>
    <t xml:space="preserve">https://www.thomassci.com/p/proobod-optical-bod-probe</t>
  </si>
  <si>
    <t xml:space="preserve">https://www.thomassci.com/p/ecosense-ec300a-conductivity/temperature-meters</t>
  </si>
  <si>
    <t xml:space="preserve">https://www.thomassci.com/p/trulab-1110-ph/mv-benchtop-meters</t>
  </si>
  <si>
    <t xml:space="preserve">Accessories for TitroLine® &amp; TITRONIC®</t>
  </si>
  <si>
    <t xml:space="preserve">https://www.thomassci.com/p/accessories-for-titroline-and-titronic</t>
  </si>
  <si>
    <t xml:space="preserve">ORP15A ORP (Redox)/Temperature Meters</t>
  </si>
  <si>
    <t xml:space="preserve">https://www.thomassci.com/p/orp15a-orp-redox/temperature-meters</t>
  </si>
  <si>
    <t xml:space="preserve">https://www.thomassci.com/p/nattrol-tropical-fever-verification-panel-9-x-0-3ml-3-x-1-0ml</t>
  </si>
  <si>
    <t xml:space="preserve">https://www.thomassci.com/p/nattrol-global-fever-panel</t>
  </si>
  <si>
    <t xml:space="preserve">https://www.thomassci.com/p/hbv-seroconversion-panel-donor-number-65584-8-x-1-ml</t>
  </si>
  <si>
    <t xml:space="preserve">NATtrol Staphylococcus aureus (MRSA) External Run Control, Low</t>
  </si>
  <si>
    <t xml:space="preserve">https://www.thomassci.com/p/nattrol-staphylococcus-aureus-mrsa-external-run-control-low</t>
  </si>
  <si>
    <t xml:space="preserve">NATtrol MRSA Positive Control (6 X 0.5 mL)</t>
  </si>
  <si>
    <t xml:space="preserve">https://www.thomassci.com/p/nattrol-mrsa-positive-control-6-x-0-5-ml</t>
  </si>
  <si>
    <t xml:space="preserve">https://www.dutscher.com/article/677856</t>
  </si>
  <si>
    <t xml:space="preserve">https://www.dutscher.com/article/677854</t>
  </si>
  <si>
    <t xml:space="preserve">https://www.dutscher.com/article/670676</t>
  </si>
  <si>
    <t xml:space="preserve">COFRAC calibration for E1 weight (fl cobalt alloy only) - to be ordered in addition to the weight</t>
  </si>
  <si>
    <t xml:space="preserve">https://www.dutscher.com/article/670675</t>
  </si>
  <si>
    <t xml:space="preserve">Anti-vibration bench, W x D x H = 900 x 600 x 750 mm</t>
  </si>
  <si>
    <t xml:space="preserve">https://www.dutscher.com/article/677855</t>
  </si>
  <si>
    <t xml:space="preserve">https://www.thomassci.com/p/zymo-spin-i-columns</t>
  </si>
  <si>
    <t xml:space="preserve">https://www.thomassci.com/p/zymopure-ii-plasmid-midiprep-kits</t>
  </si>
  <si>
    <t xml:space="preserve">https://www.thomassci.com/p/rna-clean-and-concentrator-5-kits</t>
  </si>
  <si>
    <t xml:space="preserve">Quick-RNA MagBead</t>
  </si>
  <si>
    <t xml:space="preserve">https://www.thomassci.com/p/quick-rna-magbead</t>
  </si>
  <si>
    <t xml:space="preserve">ZymoPURE Plasmid Miniprep Kits</t>
  </si>
  <si>
    <t xml:space="preserve">https://www.thomassci.com/p/zymopure-plasmid-miniprep-kits</t>
  </si>
  <si>
    <t xml:space="preserve">מספר ספקים</t>
  </si>
  <si>
    <t xml:space="preserve">ספקים</t>
  </si>
  <si>
    <t xml:space="preserve">Bellco; Benchmark; Benchmark Scientific; Biochrom; Bioplastics; Cytiva; Duran; DWK Life Sciences (Wheaton); Esco; Excel Scientific; Foxx Life Sciences; Greiner Bio-One; Hamilton; Kimble; Lucigen (including Epicentre); Marienfeld; Micronic; Nalgene; Omega Bio-Tek; Sensoquest; Thermo Scientific; Thermo Scientific Nalgene; Thermo Scientific Orion; Wheaton</t>
  </si>
  <si>
    <t xml:space="preserve">ABclonal; Arbor Assays; Assaypro; Bachem; Bio-Rad; Bio X Cell; Biotium; Cayman Chemical Company; Electron Microscopy (EMS); Genetex; Gold Biotechnology; Jackson ImmunoResearch; MedChemExpress; MP Biomedicals; Novoprotein; ProSci; Quidel Corporation; Revvity; Rockland Immunochemicals Inc; Santa Cruz Biotechnology; Sino Biological; STEMCELL Technologies; Worthington Biochemical</t>
  </si>
  <si>
    <t xml:space="preserve">Binder; Brand; BrandTech®; Elma; Heidolph; Ika; IKA Works; Julabo; Kinematica; Labconco; Ohaus; Omni International; Optika; Peak Scientific; Sartorius; Vacuubrand; Velp; Velp Scientifica</t>
  </si>
  <si>
    <t xml:space="preserve">4Titude; Adipogen; Analytik Jena; Azenta; Azenta Life Sciences (formerly 4titude); Bertin Corp; Bioer; BMS; Cytiva; Nusep; PCR Biosystems; Sarstedt; Serva</t>
  </si>
  <si>
    <t xml:space="preserve">AAT Bioquest; ABclonal; Acrobiosystems; Ambeed; Biorbyt; Biotium; BioWORLD; Boster Bio; Cell Systems; List Biological Laboratories; MedKoo Biosciences; NSJ Bioreagents; TargetMol</t>
  </si>
  <si>
    <t xml:space="preserve">Cole parmer; Electrothermal (Cole-Parmer); Hanna Instruments; Ika; IKA Works; Integra; INTEGRA Biosciences; Jenway (Cole-Parmer); Lauda; Memmert; Oakton; Stuart (Cole-Parmer); Techne (Cole-Parmer)</t>
  </si>
  <si>
    <t xml:space="preserve">Cleaver Scientific; Dr. Weigert; Kimble; Macherey Nagel; Merck; Metrohm; Mettler-Toledo; Reagecon; Serva; TCI America; Thermo Scientific; WTW</t>
  </si>
  <si>
    <t xml:space="preserve">Nalgene; Nalgene; Nalgene; Thermo Scientific; Thermo Scientific; Thermo Scientific; Thermo Scientific Nalgene; Thermo Scientific Nalgene; Thermo Scientific Nalgene; Thermo Scientific Orion; Thermo Scientific Orion; Thermo Scientific Orion</t>
  </si>
  <si>
    <t xml:space="preserve">Biotage; Electron Microscopy (EMS); General Lab Products; JEOL USA; Nalgene; Oxford Instruments America; Scinomix; Thermo Scientific; Thermo Scientific Nalgene; Thermo Scientific Orion; Waters</t>
  </si>
  <si>
    <t xml:space="preserve">Analytik Jena; Bioline; Biotix; Conda; Cytiva; FroggaBio; Genetex; Gilson Co. Inc.; Revvity; TPP</t>
  </si>
  <si>
    <t xml:space="preserve">Atlas Antibodies; Azura Genomics; G-Biosciences; Genovis; GoatThroat; Miles Scientific (Analtech); MTC Bio; Ohaus; Pan biotech; TrippNT</t>
  </si>
  <si>
    <t xml:space="preserve">ACTGene, Inc.; AMSBIO; BioWORLD; Caisson Labs; Cube Biotech; EZ Biosystems; OZ Biosciences; Selleck Chemicals; TargetMol</t>
  </si>
  <si>
    <t xml:space="preserve">Agilent; Agilent Technologies; Epredia; Hettich; Hettich Instruments; Macherey Nagel; PHC Corporation of North America; PHCBI; Qiagen</t>
  </si>
  <si>
    <t xml:space="preserve">Agilent; Analytik Jena; Eppendorf; Hellma; Interscience; Lovibond; PHC Corporation of North America; PHCBI; Qsonica</t>
  </si>
  <si>
    <t xml:space="preserve">Assay Genie; Blue-Ray Biotech Corporation; Cell Signaling Technology; Lonza; Macherey Nagel; New England Biolabs (NEB); Next advance; Sorenson; Uvitec</t>
  </si>
  <si>
    <t xml:space="preserve">Branson; CHEMetrics; Chemglass; Huber USA; Ika; Oakton; Yamato; Yamato Scientific America</t>
  </si>
  <si>
    <t xml:space="preserve">Beckman Coulter; Electron Microscopy (EMS); Leica; Nalgene; Thermo Scientific; Thermo Scientific Nalgene; Thermo Scientific Orion</t>
  </si>
  <si>
    <t xml:space="preserve">Cleaver Scientific; Diversified Biotech; Gel Company; Labnet; Ohaus; Scientific Industries; Tecan</t>
  </si>
  <si>
    <t xml:space="preserve">Nalgene; Roche; Roche Diagnostics Corp.; Tecan; Thermo Scientific; Thermo Scientific Nalgene; Thermo Scientific Orion</t>
  </si>
  <si>
    <t xml:space="preserve">Biospec; DLAB Scientific; Edmund Buehler; KNF; PRO Scientific; Shel Lab</t>
  </si>
  <si>
    <t xml:space="preserve">Abcam; Antibodies.com; Mirus Bio; Vector Laboratories; Zymo Research Corporation</t>
  </si>
  <si>
    <t xml:space="preserve">Biotium; Fine Science Tools; Harvard Apparatus; Instech; WPI</t>
  </si>
  <si>
    <t xml:space="preserve">Gilson Co. Inc.; Mettler-Toledo; Nikon; Nova Biomedical Corporation; Rainin</t>
  </si>
  <si>
    <t xml:space="preserve">BD Biosciences; Drucker Diagnostics; Falcon; Leica</t>
  </si>
  <si>
    <t xml:space="preserve">Corning; Novus Biologicals; R&amp;D Systems; Tocris</t>
  </si>
  <si>
    <t xml:space="preserve">Cytiva; Guardian; LVL technologies; PromoCell</t>
  </si>
  <si>
    <t xml:space="preserve">Nalgene; Thermo Scientific; Thermo Scientific Nalgene; Thermo Scientific Orion</t>
  </si>
  <si>
    <t xml:space="preserve">ABclonal; Promega; PromoCell</t>
  </si>
  <si>
    <t xml:space="preserve">Azenta; Azenta Life Sciences (formerly 4titude); Clean Rooms International</t>
  </si>
  <si>
    <t xml:space="preserve">Bellco; Edmund Buehler; Haier</t>
  </si>
  <si>
    <t xml:space="preserve">Hanna Instruments; Merck; MilliporeSigma</t>
  </si>
  <si>
    <t xml:space="preserve">Metrohm; PerkinElmer; Revvity</t>
  </si>
  <si>
    <t xml:space="preserve">Novus Biologicals; R&amp;D Systems; Tocris</t>
  </si>
  <si>
    <t xml:space="preserve">BD Biosciences; Waters</t>
  </si>
  <si>
    <t xml:space="preserve">Bio-Rad; Bio-Rad</t>
  </si>
  <si>
    <t xml:space="preserve">Brand; BrandTech®</t>
  </si>
  <si>
    <t xml:space="preserve">Corning; MSA</t>
  </si>
  <si>
    <t xml:space="preserve">Hamilton; Jasco</t>
  </si>
  <si>
    <t xml:space="preserve">Hamilton; Terumo</t>
  </si>
  <si>
    <t xml:space="preserve">Hanna; Rotronics</t>
  </si>
  <si>
    <t xml:space="preserve">Lauda; Thermo Scientific Sorvall</t>
  </si>
  <si>
    <t xml:space="preserve">Lauda; Retsch</t>
  </si>
  <si>
    <t xml:space="preserve">Memmert; Nabertherm</t>
  </si>
  <si>
    <t xml:space="preserve">Merck; MilliporeSigma</t>
  </si>
  <si>
    <t xml:space="preserve">Mettler-Toledo; Rainin</t>
  </si>
  <si>
    <t xml:space="preserve">PerkinElmer; Revvity</t>
  </si>
  <si>
    <t xml:space="preserve">Roche; Roche Diagnostics Corp.</t>
  </si>
  <si>
    <t xml:space="preserve">סיכום</t>
  </si>
  <si>
    <t xml:space="preserve">2026-10-18</t>
  </si>
  <si>
    <r>
      <rPr>
        <b val="true"/>
        <sz val="11"/>
        <rFont val="FreeSans"/>
        <family val="2"/>
      </rPr>
      <t xml:space="preserve">מופיעים ב</t>
    </r>
    <r>
      <rPr>
        <b val="true"/>
        <sz val="11"/>
        <rFont val="Cambria"/>
        <family val="0"/>
        <charset val="1"/>
      </rPr>
      <t xml:space="preserve">-Dutscher</t>
    </r>
  </si>
  <si>
    <r>
      <rPr>
        <b val="true"/>
        <sz val="11"/>
        <rFont val="FreeSans"/>
        <family val="2"/>
      </rPr>
      <t xml:space="preserve">מופיעים ב</t>
    </r>
    <r>
      <rPr>
        <b val="true"/>
        <sz val="11"/>
        <rFont val="Cambria"/>
        <family val="0"/>
        <charset val="1"/>
      </rPr>
      <t xml:space="preserve">-Thomas Scientific</t>
    </r>
  </si>
  <si>
    <r>
      <rPr>
        <b val="true"/>
        <sz val="11"/>
        <rFont val="FreeSans"/>
        <family val="2"/>
      </rPr>
      <t xml:space="preserve">מופיעים ב</t>
    </r>
    <r>
      <rPr>
        <b val="true"/>
        <sz val="11"/>
        <rFont val="Cambria"/>
        <family val="0"/>
        <charset val="1"/>
      </rPr>
      <t xml:space="preserve">-Quartzy</t>
    </r>
  </si>
  <si>
    <r>
      <rPr>
        <b val="true"/>
        <sz val="11"/>
        <rFont val="FreeSans"/>
        <family val="2"/>
      </rPr>
      <t xml:space="preserve">מופיעים ב</t>
    </r>
    <r>
      <rPr>
        <b val="true"/>
        <sz val="11"/>
        <rFont val="Cambria"/>
        <family val="0"/>
        <charset val="1"/>
      </rPr>
      <t xml:space="preserve">-Quartzy – new suppliers</t>
    </r>
  </si>
  <si>
    <r>
      <rPr>
        <b val="true"/>
        <sz val="11"/>
        <rFont val="FreeSans"/>
        <family val="2"/>
      </rPr>
      <t xml:space="preserve">חברה</t>
    </r>
    <r>
      <rPr>
        <b val="true"/>
        <sz val="11"/>
        <rFont val="Cambria"/>
        <family val="0"/>
        <charset val="1"/>
      </rPr>
      <t xml:space="preserve">-</t>
    </r>
    <r>
      <rPr>
        <b val="true"/>
        <sz val="11"/>
        <rFont val="FreeSans"/>
        <family val="2"/>
      </rPr>
      <t xml:space="preserve">בת בישראל</t>
    </r>
  </si>
  <si>
    <r>
      <rPr>
        <b val="true"/>
        <sz val="11"/>
        <rFont val="FreeSans"/>
        <family val="2"/>
      </rPr>
      <t xml:space="preserve">מפיץ</t>
    </r>
    <r>
      <rPr>
        <b val="true"/>
        <sz val="11"/>
        <rFont val="Cambria"/>
        <family val="0"/>
        <charset val="1"/>
      </rPr>
      <t xml:space="preserve">/</t>
    </r>
    <r>
      <rPr>
        <b val="true"/>
        <sz val="11"/>
        <rFont val="FreeSans"/>
        <family val="2"/>
      </rPr>
      <t xml:space="preserve">נציג בישראל</t>
    </r>
  </si>
  <si>
    <r>
      <rPr>
        <b val="true"/>
        <sz val="11"/>
        <rFont val="FreeSans"/>
        <family val="2"/>
      </rPr>
      <t xml:space="preserve">דרך חברת</t>
    </r>
    <r>
      <rPr>
        <b val="true"/>
        <sz val="11"/>
        <rFont val="Cambria"/>
        <family val="0"/>
        <charset val="1"/>
      </rPr>
      <t xml:space="preserve">-</t>
    </r>
    <r>
      <rPr>
        <b val="true"/>
        <sz val="11"/>
        <rFont val="FreeSans"/>
        <family val="2"/>
      </rPr>
      <t xml:space="preserve">האם בישראל</t>
    </r>
  </si>
  <si>
    <t xml:space="preserve">טרם נבדק</t>
  </si>
  <si>
    <t xml:space="preserve">עם אתר מזוהה</t>
  </si>
  <si>
    <t xml:space="preserve">עם נתון עובדים</t>
  </si>
  <si>
    <t xml:space="preserve">עם נתון הכנסות</t>
  </si>
  <si>
    <r>
      <rPr>
        <b val="true"/>
        <sz val="11"/>
        <rFont val="FreeSans"/>
        <family val="2"/>
      </rPr>
      <t xml:space="preserve">עם </t>
    </r>
    <r>
      <rPr>
        <b val="true"/>
        <sz val="11"/>
        <rFont val="Cambria"/>
        <family val="0"/>
        <charset val="1"/>
      </rPr>
      <t xml:space="preserve">3 </t>
    </r>
    <r>
      <rPr>
        <b val="true"/>
        <sz val="11"/>
        <rFont val="FreeSans"/>
        <family val="2"/>
      </rPr>
      <t xml:space="preserve">מוצרים</t>
    </r>
  </si>
  <si>
    <t xml:space="preserve">עם טלפון</t>
  </si>
  <si>
    <t xml:space="preserve">חציון עובדים</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</si>
</sst>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color rgb="FFFFFFFF"/>
      <name val="FreeSans"/>
      <family val="2"/>
    </font>
    <font>
      <sz val="11"/>
      <color theme="1"/>
      <name val="FreeSans"/>
      <family val="2"/>
    </font>
    <font>
      <sz val="11"/>
      <color theme="1"/>
      <name val="WenQuanYi Zen Hei"/>
      <family val="2"/>
    </font>
    <font>
      <b val="true"/>
      <sz val="13"/>
      <name val="FreeSans"/>
      <family val="2"/>
    </font>
    <font>
      <b val="true"/>
      <sz val="11"/>
      <name val="FreeSans"/>
      <family val="2"/>
    </font>
    <font>
      <b val="true"/>
      <sz val="11"/>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382"/>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8"/>
    <col collapsed="false" customWidth="true" hidden="false" outlineLevel="0" max="7" min="7" style="0" width="12"/>
    <col collapsed="false" customWidth="true" hidden="false" outlineLevel="0" max="8" min="8" style="0" width="30"/>
    <col collapsed="false" customWidth="true" hidden="false" outlineLevel="0" max="9" min="9" style="0" width="9"/>
    <col collapsed="false" customWidth="true" hidden="false" outlineLevel="0" max="10" min="10" style="0" width="12"/>
    <col collapsed="false" customWidth="true" hidden="false" outlineLevel="0" max="11" min="11" style="0" width="18"/>
    <col collapsed="false" customWidth="true" hidden="false" outlineLevel="0" max="12" min="12" style="0" width="20"/>
    <col collapsed="false" customWidth="true" hidden="false" outlineLevel="0" max="13" min="13" style="0" width="8"/>
    <col collapsed="false" customWidth="true" hidden="false" outlineLevel="0" max="14" min="14" style="0" width="20"/>
    <col collapsed="false" customWidth="true" hidden="false" outlineLevel="0" max="15" min="15" style="0" width="18"/>
    <col collapsed="false" customWidth="true" hidden="false" outlineLevel="0" max="16" min="16" style="0" width="10"/>
    <col collapsed="false" customWidth="true" hidden="false" outlineLevel="0" max="17" min="17" style="0" width="50"/>
    <col collapsed="false" customWidth="true" hidden="false" outlineLevel="0" max="18" min="18" style="0" width="10"/>
    <col collapsed="false" customWidth="true" hidden="false" outlineLevel="0" max="19" min="19" style="0" width="8"/>
    <col collapsed="false" customWidth="true" hidden="false" outlineLevel="0" max="21" min="20" style="0" width="9"/>
    <col collapsed="false" customWidth="true" hidden="false" outlineLevel="0" max="22" min="22" style="0" width="14"/>
    <col collapsed="false" customWidth="true" hidden="false" outlineLevel="0" max="24" min="23" style="0" width="7"/>
    <col collapsed="false" customWidth="true" hidden="false" outlineLevel="0" max="26" min="25" style="0" width="9"/>
    <col collapsed="false" customWidth="true" hidden="false" outlineLevel="0" max="27" min="27" style="0" width="10"/>
    <col collapsed="false" customWidth="true" hidden="false" outlineLevel="0" max="30" min="28" style="0" width="28"/>
    <col collapsed="false" customWidth="true" hidden="false" outlineLevel="0" max="31" min="31" style="0" width="10"/>
    <col collapsed="false" customWidth="true" hidden="false" outlineLevel="0" max="32" min="32" style="0" width="20"/>
    <col collapsed="false" customWidth="true" hidden="false" outlineLevel="0" max="33" min="33" style="0" width="14"/>
    <col collapsed="false" customWidth="true" hidden="false" outlineLevel="0" max="34" min="34" style="0" width="8"/>
    <col collapsed="false" customWidth="true" hidden="false" outlineLevel="0" max="35" min="35" style="0" width="40"/>
    <col collapsed="false" customWidth="true" hidden="false" outlineLevel="0" max="36" min="36" style="0" width="50"/>
    <col collapsed="false" customWidth="true" hidden="false" outlineLevel="0" max="37" min="37" style="0" width="40"/>
    <col collapsed="false" customWidth="true" hidden="false" outlineLevel="0" max="38" min="38" style="0" width="16"/>
    <col collapsed="false" customWidth="true" hidden="false" outlineLevel="0" max="39" min="39" style="0" width="24"/>
    <col collapsed="false" customWidth="true" hidden="false" outlineLevel="0" max="40" min="40" style="0" width="36"/>
    <col collapsed="false" customWidth="true" hidden="false" outlineLevel="0" max="41" min="41" style="0" width="30"/>
    <col collapsed="false" customWidth="true" hidden="false" outlineLevel="0" max="42" min="42" style="0" width="20"/>
    <col collapsed="false" customWidth="true" hidden="false" outlineLevel="0" max="43" min="43" style="0" width="10"/>
    <col collapsed="false" customWidth="true" hidden="false" outlineLevel="0" max="44" min="44" style="0" width="60"/>
  </cols>
  <sheetData>
    <row r="1" customFormat="false" ht="46.25" hidden="false" customHeight="false" outlineLevel="0" collapsed="false">
      <c r="A1" s="1" t="s">
        <v>0</v>
      </c>
      <c r="B1" s="2" t="s">
        <v>1</v>
      </c>
      <c r="C1" s="2"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19</v>
      </c>
      <c r="Z1" s="2" t="s">
        <v>20</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1" t="s">
        <v>40</v>
      </c>
      <c r="AR1" s="2" t="s">
        <v>41</v>
      </c>
    </row>
    <row r="2" customFormat="false" ht="15" hidden="false" customHeight="false" outlineLevel="0" collapsed="false">
      <c r="A2" s="0" t="n">
        <v>1</v>
      </c>
      <c r="B2" s="0" t="s">
        <v>42</v>
      </c>
      <c r="C2" s="0" t="s">
        <v>43</v>
      </c>
      <c r="F2" s="0" t="s">
        <v>44</v>
      </c>
      <c r="H2" s="0" t="s">
        <v>45</v>
      </c>
      <c r="I2" s="0" t="s">
        <v>46</v>
      </c>
      <c r="AA2" s="0" t="s">
        <v>47</v>
      </c>
      <c r="AF2" s="3" t="s">
        <v>48</v>
      </c>
      <c r="AG2" s="3" t="s">
        <v>49</v>
      </c>
      <c r="AR2" s="0" t="s">
        <v>50</v>
      </c>
    </row>
    <row r="3" customFormat="false" ht="15" hidden="false" customHeight="false" outlineLevel="0" collapsed="false">
      <c r="A3" s="0" t="n">
        <v>2</v>
      </c>
      <c r="B3" s="0" t="s">
        <v>51</v>
      </c>
      <c r="C3" s="0" t="s">
        <v>52</v>
      </c>
      <c r="D3" s="0" t="s">
        <v>53</v>
      </c>
      <c r="N3" s="3" t="s">
        <v>54</v>
      </c>
      <c r="O3" s="3" t="s">
        <v>54</v>
      </c>
      <c r="P3" s="0" t="s">
        <v>55</v>
      </c>
      <c r="AA3" s="0" t="s">
        <v>47</v>
      </c>
      <c r="AB3" s="0" t="s">
        <v>56</v>
      </c>
      <c r="AC3" s="0" t="s">
        <v>57</v>
      </c>
      <c r="AD3" s="0" t="s">
        <v>58</v>
      </c>
      <c r="AE3" s="0" t="s">
        <v>59</v>
      </c>
      <c r="AF3" s="3" t="s">
        <v>48</v>
      </c>
      <c r="AG3" s="3" t="s">
        <v>49</v>
      </c>
      <c r="AR3" s="0" t="s">
        <v>53</v>
      </c>
    </row>
    <row r="4" customFormat="false" ht="15" hidden="false" customHeight="false" outlineLevel="0" collapsed="false">
      <c r="A4" s="0" t="n">
        <v>3</v>
      </c>
      <c r="B4" s="0" t="s">
        <v>60</v>
      </c>
      <c r="C4" s="0" t="s">
        <v>61</v>
      </c>
      <c r="D4" s="0" t="s">
        <v>62</v>
      </c>
      <c r="E4" s="0" t="s">
        <v>63</v>
      </c>
      <c r="H4" s="0" t="s">
        <v>64</v>
      </c>
      <c r="I4" s="0" t="s">
        <v>65</v>
      </c>
      <c r="J4" s="3" t="s">
        <v>66</v>
      </c>
      <c r="K4" s="0" t="s">
        <v>67</v>
      </c>
      <c r="M4" s="0" t="s">
        <v>68</v>
      </c>
      <c r="N4" s="3" t="s">
        <v>69</v>
      </c>
      <c r="O4" s="3" t="s">
        <v>69</v>
      </c>
      <c r="P4" s="0" t="s">
        <v>55</v>
      </c>
      <c r="Q4" s="0" t="s">
        <v>70</v>
      </c>
      <c r="R4" s="0" t="n">
        <v>94987</v>
      </c>
      <c r="S4" s="0" t="s">
        <v>71</v>
      </c>
      <c r="T4" s="0" t="s">
        <v>72</v>
      </c>
      <c r="U4" s="0" t="s">
        <v>65</v>
      </c>
      <c r="V4" s="0" t="n">
        <v>34229</v>
      </c>
      <c r="W4" s="0" t="s">
        <v>73</v>
      </c>
      <c r="X4" s="0" t="s">
        <v>74</v>
      </c>
      <c r="Y4" s="0" t="s">
        <v>72</v>
      </c>
      <c r="Z4" s="0" t="s">
        <v>65</v>
      </c>
      <c r="AA4" s="0" t="s">
        <v>75</v>
      </c>
      <c r="AB4" s="0" t="s">
        <v>76</v>
      </c>
      <c r="AC4" s="0" t="s">
        <v>77</v>
      </c>
      <c r="AD4" s="0" t="s">
        <v>78</v>
      </c>
      <c r="AE4" s="0" t="s">
        <v>79</v>
      </c>
      <c r="AF4" s="3" t="s">
        <v>80</v>
      </c>
      <c r="AG4" s="3" t="s">
        <v>81</v>
      </c>
      <c r="AH4" s="0" t="n">
        <v>2015</v>
      </c>
      <c r="AI4" s="0" t="s">
        <v>82</v>
      </c>
      <c r="AJ4" s="0" t="s">
        <v>83</v>
      </c>
      <c r="AK4" s="0" t="s">
        <v>84</v>
      </c>
      <c r="AN4" s="0" t="s">
        <v>67</v>
      </c>
      <c r="AQ4" s="0" t="s">
        <v>85</v>
      </c>
      <c r="AR4" s="0" t="s">
        <v>86</v>
      </c>
    </row>
    <row r="5" customFormat="false" ht="15" hidden="false" customHeight="false" outlineLevel="0" collapsed="false">
      <c r="A5" s="0" t="n">
        <v>4</v>
      </c>
      <c r="B5" s="0" t="s">
        <v>87</v>
      </c>
      <c r="C5" s="0" t="s">
        <v>88</v>
      </c>
      <c r="E5" s="0" t="s">
        <v>89</v>
      </c>
      <c r="H5" s="0" t="s">
        <v>90</v>
      </c>
      <c r="I5" s="0" t="s">
        <v>46</v>
      </c>
      <c r="AA5" s="0" t="s">
        <v>47</v>
      </c>
      <c r="AF5" s="3" t="s">
        <v>48</v>
      </c>
      <c r="AG5" s="3" t="s">
        <v>49</v>
      </c>
      <c r="AR5" s="0" t="s">
        <v>89</v>
      </c>
    </row>
    <row r="6" customFormat="false" ht="15" hidden="false" customHeight="false" outlineLevel="0" collapsed="false">
      <c r="A6" s="0" t="n">
        <v>5</v>
      </c>
      <c r="B6" s="0" t="s">
        <v>91</v>
      </c>
      <c r="C6" s="0" t="s">
        <v>88</v>
      </c>
      <c r="E6" s="0" t="s">
        <v>92</v>
      </c>
      <c r="H6" s="0" t="s">
        <v>93</v>
      </c>
      <c r="I6" s="0" t="s">
        <v>94</v>
      </c>
      <c r="N6" s="3" t="s">
        <v>95</v>
      </c>
      <c r="O6" s="3" t="s">
        <v>95</v>
      </c>
      <c r="P6" s="0" t="s">
        <v>96</v>
      </c>
      <c r="AA6" s="0" t="s">
        <v>47</v>
      </c>
      <c r="AB6" s="0" t="s">
        <v>97</v>
      </c>
      <c r="AC6" s="0" t="s">
        <v>98</v>
      </c>
      <c r="AD6" s="0" t="s">
        <v>99</v>
      </c>
      <c r="AE6" s="0" t="s">
        <v>79</v>
      </c>
      <c r="AF6" s="3" t="s">
        <v>48</v>
      </c>
      <c r="AG6" s="3" t="s">
        <v>49</v>
      </c>
      <c r="AR6" s="0" t="s">
        <v>92</v>
      </c>
    </row>
    <row r="7" customFormat="false" ht="15" hidden="false" customHeight="false" outlineLevel="0" collapsed="false">
      <c r="A7" s="0" t="n">
        <v>6</v>
      </c>
      <c r="B7" s="0" t="s">
        <v>100</v>
      </c>
      <c r="C7" s="0" t="s">
        <v>61</v>
      </c>
      <c r="D7" s="0" t="s">
        <v>101</v>
      </c>
      <c r="E7" s="0" t="s">
        <v>102</v>
      </c>
      <c r="H7" s="0" t="s">
        <v>103</v>
      </c>
      <c r="I7" s="0" t="s">
        <v>94</v>
      </c>
      <c r="N7" s="3" t="s">
        <v>104</v>
      </c>
      <c r="O7" s="3" t="s">
        <v>104</v>
      </c>
      <c r="P7" s="0" t="s">
        <v>55</v>
      </c>
      <c r="AA7" s="0" t="s">
        <v>47</v>
      </c>
      <c r="AB7" s="0" t="s">
        <v>105</v>
      </c>
      <c r="AC7" s="0" t="s">
        <v>106</v>
      </c>
      <c r="AD7" s="0" t="s">
        <v>107</v>
      </c>
      <c r="AE7" s="0" t="s">
        <v>79</v>
      </c>
      <c r="AF7" s="3" t="s">
        <v>108</v>
      </c>
      <c r="AG7" s="3" t="s">
        <v>49</v>
      </c>
      <c r="AH7" s="0" t="n">
        <v>2026</v>
      </c>
      <c r="AI7" s="0" t="s">
        <v>109</v>
      </c>
      <c r="AJ7" s="0" t="s">
        <v>110</v>
      </c>
      <c r="AK7" s="0" t="s">
        <v>111</v>
      </c>
      <c r="AR7" s="0" t="s">
        <v>112</v>
      </c>
    </row>
    <row r="8" customFormat="false" ht="15" hidden="false" customHeight="false" outlineLevel="0" collapsed="false">
      <c r="A8" s="0" t="n">
        <v>7</v>
      </c>
      <c r="B8" s="0" t="s">
        <v>113</v>
      </c>
      <c r="C8" s="0" t="s">
        <v>43</v>
      </c>
      <c r="F8" s="0" t="s">
        <v>44</v>
      </c>
      <c r="H8" s="0" t="s">
        <v>114</v>
      </c>
      <c r="I8" s="0" t="s">
        <v>115</v>
      </c>
      <c r="J8" s="3" t="s">
        <v>116</v>
      </c>
      <c r="K8" s="0" t="s">
        <v>117</v>
      </c>
      <c r="M8" s="0" t="n">
        <v>1977</v>
      </c>
      <c r="N8" s="0" t="s">
        <v>118</v>
      </c>
      <c r="O8" s="3" t="s">
        <v>119</v>
      </c>
      <c r="P8" s="0" t="s">
        <v>96</v>
      </c>
      <c r="R8" s="0" t="n">
        <v>2438</v>
      </c>
      <c r="S8" s="0" t="n">
        <v>2025</v>
      </c>
      <c r="T8" s="0" t="s">
        <v>72</v>
      </c>
      <c r="U8" s="0" t="s">
        <v>115</v>
      </c>
      <c r="V8" s="0" t="n">
        <v>464.5</v>
      </c>
      <c r="W8" s="0" t="s">
        <v>120</v>
      </c>
      <c r="X8" s="0" t="s">
        <v>121</v>
      </c>
      <c r="Y8" s="0" t="s">
        <v>72</v>
      </c>
      <c r="Z8" s="0" t="s">
        <v>115</v>
      </c>
      <c r="AA8" s="0" t="s">
        <v>75</v>
      </c>
      <c r="AB8" s="0" t="s">
        <v>122</v>
      </c>
      <c r="AC8" s="0" t="s">
        <v>123</v>
      </c>
      <c r="AD8" s="0" t="s">
        <v>124</v>
      </c>
      <c r="AE8" s="0" t="s">
        <v>115</v>
      </c>
      <c r="AF8" s="3" t="s">
        <v>125</v>
      </c>
      <c r="AG8" s="3" t="s">
        <v>81</v>
      </c>
      <c r="AK8" s="3" t="s">
        <v>126</v>
      </c>
      <c r="AL8" s="0" t="s">
        <v>127</v>
      </c>
      <c r="AN8" s="0" t="s">
        <v>128</v>
      </c>
      <c r="AO8" s="0" t="s">
        <v>129</v>
      </c>
      <c r="AP8" s="0" t="s">
        <v>129</v>
      </c>
      <c r="AR8" s="0" t="s">
        <v>130</v>
      </c>
    </row>
    <row r="9" customFormat="false" ht="15" hidden="false" customHeight="false" outlineLevel="0" collapsed="false">
      <c r="A9" s="0" t="n">
        <v>8</v>
      </c>
      <c r="B9" s="0" t="s">
        <v>131</v>
      </c>
      <c r="C9" s="0" t="s">
        <v>88</v>
      </c>
      <c r="E9" s="0" t="s">
        <v>132</v>
      </c>
      <c r="H9" s="0" t="s">
        <v>114</v>
      </c>
      <c r="I9" s="0" t="s">
        <v>94</v>
      </c>
      <c r="J9" s="3" t="s">
        <v>116</v>
      </c>
      <c r="K9" s="0" t="s">
        <v>117</v>
      </c>
      <c r="M9" s="0" t="n">
        <v>1977</v>
      </c>
      <c r="N9" s="0" t="s">
        <v>118</v>
      </c>
      <c r="O9" s="3" t="s">
        <v>119</v>
      </c>
      <c r="P9" s="0" t="s">
        <v>96</v>
      </c>
      <c r="R9" s="0" t="n">
        <v>2438</v>
      </c>
      <c r="S9" s="0" t="n">
        <v>2025</v>
      </c>
      <c r="T9" s="0" t="s">
        <v>72</v>
      </c>
      <c r="U9" s="0" t="s">
        <v>115</v>
      </c>
      <c r="V9" s="0" t="n">
        <v>464.5</v>
      </c>
      <c r="W9" s="0" t="s">
        <v>120</v>
      </c>
      <c r="X9" s="0" t="s">
        <v>121</v>
      </c>
      <c r="Y9" s="0" t="s">
        <v>72</v>
      </c>
      <c r="Z9" s="0" t="s">
        <v>115</v>
      </c>
      <c r="AA9" s="0" t="s">
        <v>75</v>
      </c>
      <c r="AB9" s="0" t="s">
        <v>122</v>
      </c>
      <c r="AC9" s="0" t="s">
        <v>123</v>
      </c>
      <c r="AD9" s="0" t="s">
        <v>124</v>
      </c>
      <c r="AE9" s="0" t="s">
        <v>115</v>
      </c>
      <c r="AF9" s="3" t="s">
        <v>125</v>
      </c>
      <c r="AG9" s="3" t="s">
        <v>81</v>
      </c>
      <c r="AK9" s="3" t="s">
        <v>126</v>
      </c>
      <c r="AL9" s="0" t="s">
        <v>127</v>
      </c>
      <c r="AN9" s="0" t="s">
        <v>128</v>
      </c>
      <c r="AO9" s="0" t="s">
        <v>129</v>
      </c>
      <c r="AP9" s="0" t="s">
        <v>129</v>
      </c>
      <c r="AR9" s="0" t="s">
        <v>133</v>
      </c>
    </row>
    <row r="10" customFormat="false" ht="15" hidden="false" customHeight="false" outlineLevel="0" collapsed="false">
      <c r="A10" s="0" t="n">
        <v>9</v>
      </c>
      <c r="B10" s="0" t="s">
        <v>134</v>
      </c>
      <c r="C10" s="0" t="s">
        <v>52</v>
      </c>
      <c r="D10" s="0" t="s">
        <v>135</v>
      </c>
      <c r="H10" s="0" t="s">
        <v>114</v>
      </c>
      <c r="I10" s="0" t="s">
        <v>115</v>
      </c>
      <c r="J10" s="3" t="s">
        <v>116</v>
      </c>
      <c r="K10" s="0" t="s">
        <v>117</v>
      </c>
      <c r="M10" s="0" t="n">
        <v>1977</v>
      </c>
      <c r="N10" s="0" t="s">
        <v>118</v>
      </c>
      <c r="O10" s="3" t="s">
        <v>136</v>
      </c>
      <c r="P10" s="0" t="s">
        <v>55</v>
      </c>
      <c r="R10" s="0" t="n">
        <v>2438</v>
      </c>
      <c r="S10" s="0" t="n">
        <v>2025</v>
      </c>
      <c r="T10" s="0" t="s">
        <v>72</v>
      </c>
      <c r="U10" s="0" t="s">
        <v>115</v>
      </c>
      <c r="V10" s="0" t="n">
        <v>464.5</v>
      </c>
      <c r="W10" s="0" t="s">
        <v>120</v>
      </c>
      <c r="X10" s="0" t="s">
        <v>121</v>
      </c>
      <c r="Y10" s="0" t="s">
        <v>72</v>
      </c>
      <c r="Z10" s="0" t="s">
        <v>115</v>
      </c>
      <c r="AA10" s="0" t="s">
        <v>75</v>
      </c>
      <c r="AB10" s="0" t="s">
        <v>122</v>
      </c>
      <c r="AC10" s="0" t="s">
        <v>123</v>
      </c>
      <c r="AD10" s="0" t="s">
        <v>124</v>
      </c>
      <c r="AE10" s="0" t="s">
        <v>115</v>
      </c>
      <c r="AF10" s="3" t="s">
        <v>125</v>
      </c>
      <c r="AG10" s="3" t="s">
        <v>81</v>
      </c>
      <c r="AK10" s="3" t="s">
        <v>126</v>
      </c>
      <c r="AL10" s="0" t="s">
        <v>127</v>
      </c>
      <c r="AN10" s="0" t="s">
        <v>128</v>
      </c>
      <c r="AO10" s="0" t="s">
        <v>129</v>
      </c>
      <c r="AP10" s="0" t="s">
        <v>129</v>
      </c>
      <c r="AR10" s="0" t="s">
        <v>137</v>
      </c>
    </row>
    <row r="11" customFormat="false" ht="15" hidden="false" customHeight="false" outlineLevel="0" collapsed="false">
      <c r="A11" s="0" t="n">
        <v>10</v>
      </c>
      <c r="B11" s="0" t="s">
        <v>138</v>
      </c>
      <c r="C11" s="0" t="s">
        <v>88</v>
      </c>
      <c r="E11" s="0" t="s">
        <v>139</v>
      </c>
      <c r="H11" s="0" t="s">
        <v>114</v>
      </c>
      <c r="I11" s="0" t="s">
        <v>115</v>
      </c>
      <c r="J11" s="3" t="s">
        <v>116</v>
      </c>
      <c r="K11" s="0" t="s">
        <v>117</v>
      </c>
      <c r="M11" s="0" t="n">
        <v>1977</v>
      </c>
      <c r="N11" s="0" t="s">
        <v>118</v>
      </c>
      <c r="O11" s="3" t="s">
        <v>119</v>
      </c>
      <c r="P11" s="0" t="s">
        <v>96</v>
      </c>
      <c r="R11" s="0" t="n">
        <v>2438</v>
      </c>
      <c r="S11" s="0" t="n">
        <v>2025</v>
      </c>
      <c r="T11" s="0" t="s">
        <v>72</v>
      </c>
      <c r="U11" s="0" t="s">
        <v>115</v>
      </c>
      <c r="V11" s="0" t="n">
        <v>464.5</v>
      </c>
      <c r="W11" s="0" t="s">
        <v>120</v>
      </c>
      <c r="X11" s="0" t="s">
        <v>121</v>
      </c>
      <c r="Y11" s="0" t="s">
        <v>72</v>
      </c>
      <c r="Z11" s="0" t="s">
        <v>115</v>
      </c>
      <c r="AA11" s="0" t="s">
        <v>75</v>
      </c>
      <c r="AB11" s="0" t="s">
        <v>122</v>
      </c>
      <c r="AC11" s="0" t="s">
        <v>123</v>
      </c>
      <c r="AD11" s="0" t="s">
        <v>124</v>
      </c>
      <c r="AE11" s="0" t="s">
        <v>115</v>
      </c>
      <c r="AF11" s="3" t="s">
        <v>125</v>
      </c>
      <c r="AG11" s="3" t="s">
        <v>81</v>
      </c>
      <c r="AK11" s="3" t="s">
        <v>126</v>
      </c>
      <c r="AL11" s="0" t="s">
        <v>127</v>
      </c>
      <c r="AN11" s="0" t="s">
        <v>128</v>
      </c>
      <c r="AO11" s="0" t="s">
        <v>129</v>
      </c>
      <c r="AP11" s="0" t="s">
        <v>129</v>
      </c>
      <c r="AR11" s="0" t="s">
        <v>140</v>
      </c>
    </row>
    <row r="12" customFormat="false" ht="15" hidden="false" customHeight="false" outlineLevel="0" collapsed="false">
      <c r="A12" s="0" t="n">
        <v>11</v>
      </c>
      <c r="B12" s="0" t="s">
        <v>141</v>
      </c>
      <c r="C12" s="0" t="s">
        <v>43</v>
      </c>
      <c r="F12" s="0" t="s">
        <v>44</v>
      </c>
      <c r="AA12" s="0" t="s">
        <v>47</v>
      </c>
      <c r="AF12" s="3" t="s">
        <v>48</v>
      </c>
      <c r="AG12" s="3" t="s">
        <v>49</v>
      </c>
      <c r="AR12" s="0" t="s">
        <v>50</v>
      </c>
    </row>
    <row r="13" customFormat="false" ht="15" hidden="false" customHeight="false" outlineLevel="0" collapsed="false">
      <c r="A13" s="0" t="n">
        <v>12</v>
      </c>
      <c r="B13" s="0" t="s">
        <v>142</v>
      </c>
      <c r="C13" s="0" t="s">
        <v>43</v>
      </c>
      <c r="F13" s="0" t="s">
        <v>44</v>
      </c>
      <c r="H13" s="0" t="s">
        <v>143</v>
      </c>
      <c r="I13" s="0" t="s">
        <v>46</v>
      </c>
      <c r="AA13" s="0" t="s">
        <v>47</v>
      </c>
      <c r="AF13" s="3" t="s">
        <v>48</v>
      </c>
      <c r="AG13" s="3" t="s">
        <v>49</v>
      </c>
      <c r="AR13" s="0" t="s">
        <v>50</v>
      </c>
    </row>
    <row r="14" customFormat="false" ht="15" hidden="false" customHeight="false" outlineLevel="0" collapsed="false">
      <c r="A14" s="0" t="n">
        <v>13</v>
      </c>
      <c r="B14" s="0" t="s">
        <v>144</v>
      </c>
      <c r="C14" s="0" t="s">
        <v>145</v>
      </c>
      <c r="F14" s="0" t="s">
        <v>146</v>
      </c>
      <c r="N14" s="3" t="s">
        <v>147</v>
      </c>
      <c r="O14" s="3" t="s">
        <v>147</v>
      </c>
      <c r="P14" s="0" t="s">
        <v>96</v>
      </c>
      <c r="Q14" s="0" t="s">
        <v>148</v>
      </c>
      <c r="AA14" s="0" t="s">
        <v>47</v>
      </c>
      <c r="AF14" s="3" t="s">
        <v>149</v>
      </c>
      <c r="AG14" s="3" t="s">
        <v>81</v>
      </c>
      <c r="AK14" s="0" t="s">
        <v>150</v>
      </c>
      <c r="AR14" s="0" t="s">
        <v>151</v>
      </c>
    </row>
    <row r="15" customFormat="false" ht="15" hidden="false" customHeight="false" outlineLevel="0" collapsed="false">
      <c r="A15" s="0" t="n">
        <v>14</v>
      </c>
      <c r="B15" s="0" t="s">
        <v>152</v>
      </c>
      <c r="C15" s="0" t="s">
        <v>43</v>
      </c>
      <c r="F15" s="0" t="s">
        <v>44</v>
      </c>
      <c r="H15" s="0" t="s">
        <v>153</v>
      </c>
      <c r="I15" s="0" t="s">
        <v>154</v>
      </c>
      <c r="AA15" s="0" t="s">
        <v>47</v>
      </c>
      <c r="AF15" s="3" t="s">
        <v>108</v>
      </c>
      <c r="AG15" s="3" t="s">
        <v>49</v>
      </c>
      <c r="AH15" s="0" t="n">
        <v>2026</v>
      </c>
      <c r="AI15" s="0" t="s">
        <v>155</v>
      </c>
      <c r="AJ15" s="0" t="s">
        <v>156</v>
      </c>
      <c r="AL15" s="0" t="s">
        <v>157</v>
      </c>
      <c r="AO15" s="0" t="s">
        <v>158</v>
      </c>
      <c r="AP15" s="0" t="s">
        <v>158</v>
      </c>
      <c r="AR15" s="0" t="s">
        <v>159</v>
      </c>
    </row>
    <row r="16" customFormat="false" ht="15" hidden="false" customHeight="false" outlineLevel="0" collapsed="false">
      <c r="A16" s="0" t="n">
        <v>15</v>
      </c>
      <c r="B16" s="0" t="s">
        <v>160</v>
      </c>
      <c r="C16" s="0" t="s">
        <v>43</v>
      </c>
      <c r="F16" s="0" t="s">
        <v>44</v>
      </c>
      <c r="H16" s="0" t="s">
        <v>161</v>
      </c>
      <c r="I16" s="0" t="s">
        <v>65</v>
      </c>
      <c r="J16" s="3" t="s">
        <v>162</v>
      </c>
      <c r="K16" s="0" t="s">
        <v>163</v>
      </c>
      <c r="M16" s="0" t="s">
        <v>164</v>
      </c>
      <c r="N16" s="0" t="s">
        <v>165</v>
      </c>
      <c r="Q16" s="0" t="s">
        <v>166</v>
      </c>
      <c r="AA16" s="0" t="s">
        <v>47</v>
      </c>
      <c r="AF16" s="3" t="s">
        <v>108</v>
      </c>
      <c r="AG16" s="3" t="s">
        <v>49</v>
      </c>
      <c r="AH16" s="0" t="n">
        <v>2026</v>
      </c>
      <c r="AI16" s="0" t="s">
        <v>167</v>
      </c>
      <c r="AJ16" s="0" t="s">
        <v>168</v>
      </c>
      <c r="AN16" s="0" t="s">
        <v>163</v>
      </c>
      <c r="AQ16" s="0" t="s">
        <v>169</v>
      </c>
      <c r="AR16" s="0" t="s">
        <v>170</v>
      </c>
    </row>
    <row r="17" customFormat="false" ht="15" hidden="false" customHeight="false" outlineLevel="0" collapsed="false">
      <c r="A17" s="0" t="n">
        <v>16</v>
      </c>
      <c r="B17" s="0" t="s">
        <v>171</v>
      </c>
      <c r="C17" s="0" t="s">
        <v>43</v>
      </c>
      <c r="F17" s="0" t="s">
        <v>44</v>
      </c>
      <c r="AA17" s="0" t="s">
        <v>47</v>
      </c>
      <c r="AF17" s="3" t="s">
        <v>108</v>
      </c>
      <c r="AG17" s="3" t="s">
        <v>49</v>
      </c>
      <c r="AH17" s="0" t="n">
        <v>2026</v>
      </c>
      <c r="AI17" s="0" t="s">
        <v>172</v>
      </c>
      <c r="AJ17" s="0" t="s">
        <v>173</v>
      </c>
      <c r="AR17" s="0" t="s">
        <v>174</v>
      </c>
    </row>
    <row r="18" customFormat="false" ht="15" hidden="false" customHeight="false" outlineLevel="0" collapsed="false">
      <c r="A18" s="0" t="n">
        <v>17</v>
      </c>
      <c r="B18" s="0" t="s">
        <v>175</v>
      </c>
      <c r="C18" s="0" t="s">
        <v>52</v>
      </c>
      <c r="D18" s="0" t="s">
        <v>176</v>
      </c>
      <c r="H18" s="0" t="s">
        <v>177</v>
      </c>
      <c r="I18" s="0" t="s">
        <v>154</v>
      </c>
      <c r="N18" s="3" t="s">
        <v>104</v>
      </c>
      <c r="O18" s="3" t="s">
        <v>104</v>
      </c>
      <c r="P18" s="0" t="s">
        <v>55</v>
      </c>
      <c r="AA18" s="0" t="s">
        <v>47</v>
      </c>
      <c r="AB18" s="0" t="s">
        <v>178</v>
      </c>
      <c r="AC18" s="0" t="s">
        <v>179</v>
      </c>
      <c r="AD18" s="0" t="s">
        <v>180</v>
      </c>
      <c r="AE18" s="0" t="s">
        <v>59</v>
      </c>
      <c r="AF18" s="3" t="s">
        <v>48</v>
      </c>
      <c r="AG18" s="3" t="s">
        <v>49</v>
      </c>
      <c r="AL18" s="0" t="s">
        <v>181</v>
      </c>
      <c r="AO18" s="0" t="s">
        <v>182</v>
      </c>
      <c r="AP18" s="0" t="s">
        <v>182</v>
      </c>
      <c r="AR18" s="0" t="s">
        <v>183</v>
      </c>
    </row>
    <row r="19" customFormat="false" ht="15" hidden="false" customHeight="false" outlineLevel="0" collapsed="false">
      <c r="A19" s="0" t="n">
        <v>18</v>
      </c>
      <c r="B19" s="0" t="s">
        <v>184</v>
      </c>
      <c r="C19" s="0" t="s">
        <v>88</v>
      </c>
      <c r="E19" s="0" t="s">
        <v>185</v>
      </c>
      <c r="N19" s="3" t="s">
        <v>186</v>
      </c>
      <c r="O19" s="3" t="s">
        <v>186</v>
      </c>
      <c r="P19" s="0" t="s">
        <v>96</v>
      </c>
      <c r="AA19" s="0" t="s">
        <v>47</v>
      </c>
      <c r="AB19" s="0" t="s">
        <v>187</v>
      </c>
      <c r="AC19" s="0" t="s">
        <v>188</v>
      </c>
      <c r="AD19" s="0" t="s">
        <v>189</v>
      </c>
      <c r="AE19" s="0" t="s">
        <v>79</v>
      </c>
      <c r="AF19" s="3" t="s">
        <v>48</v>
      </c>
      <c r="AG19" s="3" t="s">
        <v>49</v>
      </c>
      <c r="AR19" s="0" t="s">
        <v>185</v>
      </c>
    </row>
    <row r="20" customFormat="false" ht="15" hidden="false" customHeight="false" outlineLevel="0" collapsed="false">
      <c r="A20" s="0" t="n">
        <v>19</v>
      </c>
      <c r="B20" s="0" t="s">
        <v>190</v>
      </c>
      <c r="C20" s="0" t="s">
        <v>43</v>
      </c>
      <c r="F20" s="0" t="s">
        <v>44</v>
      </c>
      <c r="AA20" s="0" t="s">
        <v>47</v>
      </c>
      <c r="AF20" s="3" t="s">
        <v>48</v>
      </c>
      <c r="AG20" s="3" t="s">
        <v>49</v>
      </c>
      <c r="AR20" s="0" t="s">
        <v>50</v>
      </c>
    </row>
    <row r="21" customFormat="false" ht="15" hidden="false" customHeight="false" outlineLevel="0" collapsed="false">
      <c r="A21" s="0" t="n">
        <v>20</v>
      </c>
      <c r="B21" s="0" t="s">
        <v>191</v>
      </c>
      <c r="C21" s="0" t="s">
        <v>88</v>
      </c>
      <c r="E21" s="0" t="s">
        <v>192</v>
      </c>
      <c r="H21" s="0" t="s">
        <v>193</v>
      </c>
      <c r="I21" s="0" t="s">
        <v>46</v>
      </c>
      <c r="AA21" s="0" t="s">
        <v>47</v>
      </c>
      <c r="AF21" s="3" t="s">
        <v>48</v>
      </c>
      <c r="AG21" s="3" t="s">
        <v>49</v>
      </c>
      <c r="AR21" s="0" t="s">
        <v>192</v>
      </c>
    </row>
    <row r="22" customFormat="false" ht="15" hidden="false" customHeight="false" outlineLevel="0" collapsed="false">
      <c r="A22" s="0" t="n">
        <v>21</v>
      </c>
      <c r="B22" s="0" t="s">
        <v>194</v>
      </c>
      <c r="C22" s="0" t="s">
        <v>43</v>
      </c>
      <c r="F22" s="0" t="s">
        <v>44</v>
      </c>
      <c r="H22" s="0" t="s">
        <v>195</v>
      </c>
      <c r="I22" s="0" t="s">
        <v>94</v>
      </c>
      <c r="AA22" s="0" t="s">
        <v>47</v>
      </c>
      <c r="AF22" s="3" t="s">
        <v>48</v>
      </c>
      <c r="AG22" s="3" t="s">
        <v>49</v>
      </c>
      <c r="AL22" s="0" t="s">
        <v>196</v>
      </c>
      <c r="AO22" s="0" t="s">
        <v>197</v>
      </c>
      <c r="AP22" s="0" t="s">
        <v>197</v>
      </c>
      <c r="AR22" s="0" t="s">
        <v>198</v>
      </c>
    </row>
    <row r="23" customFormat="false" ht="15" hidden="false" customHeight="false" outlineLevel="0" collapsed="false">
      <c r="A23" s="0" t="n">
        <v>22</v>
      </c>
      <c r="B23" s="0" t="s">
        <v>199</v>
      </c>
      <c r="C23" s="0" t="s">
        <v>88</v>
      </c>
      <c r="E23" s="0" t="s">
        <v>200</v>
      </c>
      <c r="H23" s="0" t="s">
        <v>201</v>
      </c>
      <c r="I23" s="0" t="s">
        <v>154</v>
      </c>
      <c r="N23" s="3" t="s">
        <v>202</v>
      </c>
      <c r="O23" s="3" t="s">
        <v>202</v>
      </c>
      <c r="P23" s="0" t="s">
        <v>96</v>
      </c>
      <c r="AA23" s="0" t="s">
        <v>47</v>
      </c>
      <c r="AB23" s="0" t="s">
        <v>203</v>
      </c>
      <c r="AC23" s="0" t="s">
        <v>204</v>
      </c>
      <c r="AD23" s="0" t="s">
        <v>205</v>
      </c>
      <c r="AE23" s="0" t="s">
        <v>79</v>
      </c>
      <c r="AF23" s="3" t="s">
        <v>48</v>
      </c>
      <c r="AG23" s="3" t="s">
        <v>49</v>
      </c>
      <c r="AL23" s="0" t="s">
        <v>206</v>
      </c>
      <c r="AM23" s="0" t="s">
        <v>207</v>
      </c>
      <c r="AO23" s="0" t="s">
        <v>208</v>
      </c>
      <c r="AP23" s="0" t="s">
        <v>208</v>
      </c>
      <c r="AR23" s="0" t="s">
        <v>209</v>
      </c>
    </row>
    <row r="24" customFormat="false" ht="15" hidden="false" customHeight="false" outlineLevel="0" collapsed="false">
      <c r="A24" s="0" t="n">
        <v>23</v>
      </c>
      <c r="B24" s="0" t="s">
        <v>210</v>
      </c>
      <c r="C24" s="0" t="s">
        <v>88</v>
      </c>
      <c r="E24" s="0" t="s">
        <v>211</v>
      </c>
      <c r="H24" s="0" t="s">
        <v>212</v>
      </c>
      <c r="I24" s="0" t="s">
        <v>154</v>
      </c>
      <c r="N24" s="3" t="s">
        <v>213</v>
      </c>
      <c r="O24" s="3" t="s">
        <v>213</v>
      </c>
      <c r="P24" s="0" t="s">
        <v>96</v>
      </c>
      <c r="AA24" s="0" t="s">
        <v>47</v>
      </c>
      <c r="AB24" s="0" t="s">
        <v>214</v>
      </c>
      <c r="AC24" s="0" t="s">
        <v>215</v>
      </c>
      <c r="AD24" s="0" t="s">
        <v>216</v>
      </c>
      <c r="AE24" s="0" t="s">
        <v>79</v>
      </c>
      <c r="AF24" s="3" t="s">
        <v>48</v>
      </c>
      <c r="AG24" s="3" t="s">
        <v>49</v>
      </c>
      <c r="AL24" s="0" t="s">
        <v>217</v>
      </c>
      <c r="AM24" s="0" t="s">
        <v>218</v>
      </c>
      <c r="AO24" s="0" t="s">
        <v>219</v>
      </c>
      <c r="AP24" s="0" t="s">
        <v>219</v>
      </c>
      <c r="AR24" s="0" t="s">
        <v>220</v>
      </c>
    </row>
    <row r="25" customFormat="false" ht="15" hidden="false" customHeight="false" outlineLevel="0" collapsed="false">
      <c r="A25" s="0" t="n">
        <v>24</v>
      </c>
      <c r="B25" s="0" t="s">
        <v>221</v>
      </c>
      <c r="C25" s="0" t="s">
        <v>88</v>
      </c>
      <c r="E25" s="0" t="s">
        <v>222</v>
      </c>
      <c r="AA25" s="0" t="s">
        <v>47</v>
      </c>
      <c r="AF25" s="3" t="s">
        <v>48</v>
      </c>
      <c r="AG25" s="3" t="s">
        <v>49</v>
      </c>
      <c r="AR25" s="0" t="s">
        <v>222</v>
      </c>
    </row>
    <row r="26" customFormat="false" ht="15" hidden="false" customHeight="false" outlineLevel="0" collapsed="false">
      <c r="A26" s="0" t="n">
        <v>25</v>
      </c>
      <c r="B26" s="0" t="s">
        <v>223</v>
      </c>
      <c r="C26" s="0" t="s">
        <v>88</v>
      </c>
      <c r="E26" s="0" t="s">
        <v>224</v>
      </c>
      <c r="H26" s="0" t="s">
        <v>225</v>
      </c>
      <c r="I26" s="0" t="s">
        <v>46</v>
      </c>
      <c r="N26" s="3" t="s">
        <v>226</v>
      </c>
      <c r="O26" s="3" t="s">
        <v>226</v>
      </c>
      <c r="P26" s="0" t="s">
        <v>96</v>
      </c>
      <c r="AA26" s="0" t="s">
        <v>47</v>
      </c>
      <c r="AB26" s="0" t="s">
        <v>227</v>
      </c>
      <c r="AC26" s="0" t="s">
        <v>228</v>
      </c>
      <c r="AD26" s="0" t="s">
        <v>229</v>
      </c>
      <c r="AE26" s="0" t="s">
        <v>79</v>
      </c>
      <c r="AF26" s="3" t="s">
        <v>48</v>
      </c>
      <c r="AG26" s="3" t="s">
        <v>49</v>
      </c>
      <c r="AR26" s="0" t="s">
        <v>224</v>
      </c>
    </row>
    <row r="27" customFormat="false" ht="15" hidden="false" customHeight="false" outlineLevel="0" collapsed="false">
      <c r="A27" s="0" t="n">
        <v>26</v>
      </c>
      <c r="B27" s="0" t="s">
        <v>230</v>
      </c>
      <c r="C27" s="0" t="s">
        <v>88</v>
      </c>
      <c r="E27" s="0" t="s">
        <v>231</v>
      </c>
      <c r="AA27" s="0" t="s">
        <v>47</v>
      </c>
      <c r="AF27" s="3" t="s">
        <v>48</v>
      </c>
      <c r="AG27" s="3" t="s">
        <v>49</v>
      </c>
      <c r="AR27" s="0" t="s">
        <v>231</v>
      </c>
    </row>
    <row r="28" customFormat="false" ht="15" hidden="false" customHeight="false" outlineLevel="0" collapsed="false">
      <c r="A28" s="0" t="n">
        <v>27</v>
      </c>
      <c r="B28" s="0" t="s">
        <v>232</v>
      </c>
      <c r="C28" s="0" t="s">
        <v>88</v>
      </c>
      <c r="E28" s="0" t="s">
        <v>233</v>
      </c>
      <c r="N28" s="3" t="s">
        <v>119</v>
      </c>
      <c r="O28" s="3" t="s">
        <v>119</v>
      </c>
      <c r="P28" s="0" t="s">
        <v>96</v>
      </c>
      <c r="AA28" s="0" t="s">
        <v>47</v>
      </c>
      <c r="AB28" s="0" t="s">
        <v>234</v>
      </c>
      <c r="AC28" s="0" t="s">
        <v>235</v>
      </c>
      <c r="AD28" s="0" t="s">
        <v>236</v>
      </c>
      <c r="AE28" s="0" t="s">
        <v>79</v>
      </c>
      <c r="AF28" s="3" t="s">
        <v>48</v>
      </c>
      <c r="AG28" s="3" t="s">
        <v>49</v>
      </c>
      <c r="AR28" s="0" t="s">
        <v>233</v>
      </c>
    </row>
    <row r="29" customFormat="false" ht="15" hidden="false" customHeight="false" outlineLevel="0" collapsed="false">
      <c r="A29" s="0" t="n">
        <v>28</v>
      </c>
      <c r="B29" s="0" t="s">
        <v>237</v>
      </c>
      <c r="C29" s="0" t="s">
        <v>88</v>
      </c>
      <c r="E29" s="0" t="s">
        <v>238</v>
      </c>
      <c r="N29" s="3" t="s">
        <v>239</v>
      </c>
      <c r="O29" s="3" t="s">
        <v>239</v>
      </c>
      <c r="P29" s="0" t="s">
        <v>96</v>
      </c>
      <c r="AA29" s="0" t="s">
        <v>47</v>
      </c>
      <c r="AB29" s="0" t="s">
        <v>240</v>
      </c>
      <c r="AC29" s="0" t="s">
        <v>241</v>
      </c>
      <c r="AD29" s="0" t="s">
        <v>242</v>
      </c>
      <c r="AE29" s="0" t="s">
        <v>79</v>
      </c>
      <c r="AF29" s="3" t="s">
        <v>48</v>
      </c>
      <c r="AG29" s="3" t="s">
        <v>49</v>
      </c>
      <c r="AR29" s="0" t="s">
        <v>238</v>
      </c>
    </row>
    <row r="30" customFormat="false" ht="15" hidden="false" customHeight="false" outlineLevel="0" collapsed="false">
      <c r="A30" s="0" t="n">
        <v>29</v>
      </c>
      <c r="B30" s="0" t="s">
        <v>243</v>
      </c>
      <c r="C30" s="0" t="s">
        <v>244</v>
      </c>
      <c r="E30" s="0" t="s">
        <v>245</v>
      </c>
      <c r="F30" s="0" t="s">
        <v>44</v>
      </c>
      <c r="H30" s="0" t="s">
        <v>246</v>
      </c>
      <c r="I30" s="0" t="s">
        <v>154</v>
      </c>
      <c r="N30" s="3" t="s">
        <v>239</v>
      </c>
      <c r="O30" s="3" t="s">
        <v>239</v>
      </c>
      <c r="P30" s="0" t="s">
        <v>96</v>
      </c>
      <c r="AA30" s="0" t="s">
        <v>47</v>
      </c>
      <c r="AB30" s="0" t="s">
        <v>247</v>
      </c>
      <c r="AC30" s="0" t="s">
        <v>248</v>
      </c>
      <c r="AD30" s="0" t="s">
        <v>249</v>
      </c>
      <c r="AE30" s="0" t="s">
        <v>79</v>
      </c>
      <c r="AF30" s="3" t="s">
        <v>149</v>
      </c>
      <c r="AG30" s="3" t="s">
        <v>81</v>
      </c>
      <c r="AK30" s="0" t="s">
        <v>250</v>
      </c>
      <c r="AL30" s="0" t="s">
        <v>251</v>
      </c>
      <c r="AO30" s="0" t="s">
        <v>252</v>
      </c>
      <c r="AP30" s="0" t="s">
        <v>252</v>
      </c>
      <c r="AR30" s="0" t="s">
        <v>253</v>
      </c>
    </row>
    <row r="31" customFormat="false" ht="15" hidden="false" customHeight="false" outlineLevel="0" collapsed="false">
      <c r="A31" s="0" t="n">
        <v>30</v>
      </c>
      <c r="B31" s="0" t="s">
        <v>254</v>
      </c>
      <c r="C31" s="0" t="s">
        <v>88</v>
      </c>
      <c r="E31" s="0" t="s">
        <v>255</v>
      </c>
      <c r="H31" s="0" t="s">
        <v>256</v>
      </c>
      <c r="I31" s="0" t="s">
        <v>154</v>
      </c>
      <c r="N31" s="3" t="s">
        <v>95</v>
      </c>
      <c r="O31" s="3" t="s">
        <v>95</v>
      </c>
      <c r="P31" s="0" t="s">
        <v>96</v>
      </c>
      <c r="AA31" s="0" t="s">
        <v>47</v>
      </c>
      <c r="AB31" s="0" t="s">
        <v>257</v>
      </c>
      <c r="AC31" s="0" t="s">
        <v>258</v>
      </c>
      <c r="AD31" s="0" t="s">
        <v>259</v>
      </c>
      <c r="AE31" s="0" t="s">
        <v>79</v>
      </c>
      <c r="AF31" s="3" t="s">
        <v>48</v>
      </c>
      <c r="AG31" s="3" t="s">
        <v>49</v>
      </c>
      <c r="AL31" s="0" t="s">
        <v>260</v>
      </c>
      <c r="AM31" s="0" t="s">
        <v>261</v>
      </c>
      <c r="AO31" s="0" t="s">
        <v>262</v>
      </c>
      <c r="AP31" s="0" t="s">
        <v>262</v>
      </c>
      <c r="AR31" s="0" t="s">
        <v>263</v>
      </c>
    </row>
    <row r="32" customFormat="false" ht="15" hidden="false" customHeight="false" outlineLevel="0" collapsed="false">
      <c r="A32" s="0" t="n">
        <v>31</v>
      </c>
      <c r="B32" s="0" t="s">
        <v>264</v>
      </c>
      <c r="C32" s="0" t="s">
        <v>43</v>
      </c>
      <c r="F32" s="0" t="s">
        <v>44</v>
      </c>
      <c r="H32" s="0" t="s">
        <v>265</v>
      </c>
      <c r="I32" s="0" t="s">
        <v>94</v>
      </c>
      <c r="AA32" s="0" t="s">
        <v>47</v>
      </c>
      <c r="AF32" s="3" t="s">
        <v>108</v>
      </c>
      <c r="AG32" s="3" t="s">
        <v>49</v>
      </c>
      <c r="AH32" s="0" t="n">
        <v>2026</v>
      </c>
      <c r="AI32" s="0" t="s">
        <v>155</v>
      </c>
      <c r="AJ32" s="0" t="s">
        <v>156</v>
      </c>
      <c r="AP32" s="0" t="s">
        <v>266</v>
      </c>
      <c r="AR32" s="0" t="s">
        <v>267</v>
      </c>
    </row>
    <row r="33" customFormat="false" ht="15" hidden="false" customHeight="false" outlineLevel="0" collapsed="false">
      <c r="A33" s="0" t="n">
        <v>32</v>
      </c>
      <c r="B33" s="0" t="s">
        <v>268</v>
      </c>
      <c r="C33" s="0" t="s">
        <v>244</v>
      </c>
      <c r="E33" s="0" t="s">
        <v>269</v>
      </c>
      <c r="F33" s="0" t="s">
        <v>44</v>
      </c>
      <c r="H33" s="0" t="s">
        <v>270</v>
      </c>
      <c r="I33" s="0" t="s">
        <v>154</v>
      </c>
      <c r="N33" s="3" t="s">
        <v>213</v>
      </c>
      <c r="O33" s="3" t="s">
        <v>213</v>
      </c>
      <c r="P33" s="0" t="s">
        <v>96</v>
      </c>
      <c r="AA33" s="0" t="s">
        <v>47</v>
      </c>
      <c r="AB33" s="0" t="s">
        <v>271</v>
      </c>
      <c r="AC33" s="0" t="s">
        <v>272</v>
      </c>
      <c r="AD33" s="0" t="s">
        <v>273</v>
      </c>
      <c r="AE33" s="0" t="s">
        <v>79</v>
      </c>
      <c r="AF33" s="3" t="s">
        <v>149</v>
      </c>
      <c r="AG33" s="3" t="s">
        <v>81</v>
      </c>
      <c r="AK33" s="0" t="s">
        <v>274</v>
      </c>
      <c r="AL33" s="0" t="s">
        <v>275</v>
      </c>
      <c r="AP33" s="0" t="s">
        <v>276</v>
      </c>
      <c r="AR33" s="0" t="s">
        <v>277</v>
      </c>
    </row>
    <row r="34" customFormat="false" ht="15" hidden="false" customHeight="false" outlineLevel="0" collapsed="false">
      <c r="A34" s="0" t="n">
        <v>33</v>
      </c>
      <c r="B34" s="0" t="s">
        <v>278</v>
      </c>
      <c r="C34" s="0" t="s">
        <v>43</v>
      </c>
      <c r="F34" s="0" t="s">
        <v>44</v>
      </c>
      <c r="AA34" s="0" t="s">
        <v>47</v>
      </c>
      <c r="AF34" s="3" t="s">
        <v>48</v>
      </c>
      <c r="AG34" s="3" t="s">
        <v>49</v>
      </c>
      <c r="AR34" s="0" t="s">
        <v>50</v>
      </c>
    </row>
    <row r="35" customFormat="false" ht="15" hidden="false" customHeight="false" outlineLevel="0" collapsed="false">
      <c r="A35" s="0" t="n">
        <v>34</v>
      </c>
      <c r="B35" s="0" t="s">
        <v>279</v>
      </c>
      <c r="C35" s="0" t="s">
        <v>88</v>
      </c>
      <c r="E35" s="0" t="s">
        <v>280</v>
      </c>
      <c r="N35" s="3" t="s">
        <v>202</v>
      </c>
      <c r="O35" s="3" t="s">
        <v>202</v>
      </c>
      <c r="P35" s="0" t="s">
        <v>96</v>
      </c>
      <c r="AA35" s="0" t="s">
        <v>47</v>
      </c>
      <c r="AB35" s="0" t="s">
        <v>281</v>
      </c>
      <c r="AC35" s="0" t="s">
        <v>282</v>
      </c>
      <c r="AD35" s="0" t="s">
        <v>283</v>
      </c>
      <c r="AE35" s="0" t="s">
        <v>79</v>
      </c>
      <c r="AF35" s="3" t="s">
        <v>108</v>
      </c>
      <c r="AG35" s="3" t="s">
        <v>49</v>
      </c>
      <c r="AH35" s="0" t="n">
        <v>2026</v>
      </c>
      <c r="AI35" s="0" t="s">
        <v>284</v>
      </c>
      <c r="AJ35" s="0" t="s">
        <v>285</v>
      </c>
      <c r="AR35" s="0" t="s">
        <v>286</v>
      </c>
    </row>
    <row r="36" customFormat="false" ht="15" hidden="false" customHeight="false" outlineLevel="0" collapsed="false">
      <c r="A36" s="0" t="n">
        <v>35</v>
      </c>
      <c r="B36" s="0" t="s">
        <v>287</v>
      </c>
      <c r="C36" s="0" t="s">
        <v>244</v>
      </c>
      <c r="E36" s="0" t="s">
        <v>288</v>
      </c>
      <c r="F36" s="0" t="s">
        <v>44</v>
      </c>
      <c r="H36" s="0" t="s">
        <v>289</v>
      </c>
      <c r="I36" s="0" t="s">
        <v>154</v>
      </c>
      <c r="AA36" s="0" t="s">
        <v>47</v>
      </c>
      <c r="AF36" s="3" t="s">
        <v>149</v>
      </c>
      <c r="AG36" s="3" t="s">
        <v>81</v>
      </c>
      <c r="AK36" s="0" t="s">
        <v>290</v>
      </c>
      <c r="AL36" s="0" t="s">
        <v>291</v>
      </c>
      <c r="AO36" s="0" t="s">
        <v>292</v>
      </c>
      <c r="AP36" s="0" t="s">
        <v>292</v>
      </c>
      <c r="AR36" s="0" t="s">
        <v>293</v>
      </c>
    </row>
    <row r="37" customFormat="false" ht="15" hidden="false" customHeight="false" outlineLevel="0" collapsed="false">
      <c r="A37" s="0" t="n">
        <v>36</v>
      </c>
      <c r="B37" s="0" t="s">
        <v>294</v>
      </c>
      <c r="C37" s="0" t="s">
        <v>88</v>
      </c>
      <c r="E37" s="0" t="s">
        <v>295</v>
      </c>
      <c r="AA37" s="0" t="s">
        <v>47</v>
      </c>
      <c r="AF37" s="3" t="s">
        <v>48</v>
      </c>
      <c r="AG37" s="3" t="s">
        <v>49</v>
      </c>
      <c r="AR37" s="0" t="s">
        <v>295</v>
      </c>
    </row>
    <row r="38" customFormat="false" ht="15" hidden="false" customHeight="false" outlineLevel="0" collapsed="false">
      <c r="A38" s="0" t="n">
        <v>37</v>
      </c>
      <c r="B38" s="0" t="s">
        <v>296</v>
      </c>
      <c r="C38" s="0" t="s">
        <v>43</v>
      </c>
      <c r="F38" s="0" t="s">
        <v>44</v>
      </c>
      <c r="H38" s="0" t="s">
        <v>297</v>
      </c>
      <c r="I38" s="0" t="s">
        <v>154</v>
      </c>
      <c r="AA38" s="0" t="s">
        <v>47</v>
      </c>
      <c r="AF38" s="3" t="s">
        <v>48</v>
      </c>
      <c r="AG38" s="3" t="s">
        <v>49</v>
      </c>
      <c r="AL38" s="0" t="s">
        <v>298</v>
      </c>
      <c r="AO38" s="0" t="s">
        <v>299</v>
      </c>
      <c r="AP38" s="0" t="s">
        <v>299</v>
      </c>
      <c r="AR38" s="0" t="s">
        <v>300</v>
      </c>
    </row>
    <row r="39" customFormat="false" ht="15" hidden="false" customHeight="false" outlineLevel="0" collapsed="false">
      <c r="A39" s="0" t="n">
        <v>38</v>
      </c>
      <c r="B39" s="0" t="s">
        <v>301</v>
      </c>
      <c r="C39" s="0" t="s">
        <v>88</v>
      </c>
      <c r="E39" s="0" t="s">
        <v>302</v>
      </c>
      <c r="N39" s="3" t="s">
        <v>202</v>
      </c>
      <c r="O39" s="3" t="s">
        <v>202</v>
      </c>
      <c r="P39" s="0" t="s">
        <v>96</v>
      </c>
      <c r="AA39" s="0" t="s">
        <v>47</v>
      </c>
      <c r="AB39" s="0" t="s">
        <v>303</v>
      </c>
      <c r="AC39" s="0" t="s">
        <v>304</v>
      </c>
      <c r="AD39" s="0" t="s">
        <v>305</v>
      </c>
      <c r="AE39" s="0" t="s">
        <v>79</v>
      </c>
      <c r="AF39" s="3" t="s">
        <v>48</v>
      </c>
      <c r="AG39" s="3" t="s">
        <v>49</v>
      </c>
      <c r="AR39" s="0" t="s">
        <v>302</v>
      </c>
    </row>
    <row r="40" customFormat="false" ht="15" hidden="false" customHeight="false" outlineLevel="0" collapsed="false">
      <c r="A40" s="0" t="n">
        <v>39</v>
      </c>
      <c r="B40" s="0" t="s">
        <v>306</v>
      </c>
      <c r="C40" s="0" t="s">
        <v>88</v>
      </c>
      <c r="E40" s="0" t="s">
        <v>307</v>
      </c>
      <c r="N40" s="3" t="s">
        <v>202</v>
      </c>
      <c r="O40" s="3" t="s">
        <v>202</v>
      </c>
      <c r="P40" s="0" t="s">
        <v>96</v>
      </c>
      <c r="AA40" s="0" t="s">
        <v>47</v>
      </c>
      <c r="AB40" s="0" t="s">
        <v>308</v>
      </c>
      <c r="AC40" s="0" t="s">
        <v>309</v>
      </c>
      <c r="AD40" s="0" t="s">
        <v>310</v>
      </c>
      <c r="AE40" s="0" t="s">
        <v>79</v>
      </c>
      <c r="AF40" s="3" t="s">
        <v>48</v>
      </c>
      <c r="AG40" s="3" t="s">
        <v>49</v>
      </c>
      <c r="AR40" s="0" t="s">
        <v>307</v>
      </c>
    </row>
    <row r="41" customFormat="false" ht="15" hidden="false" customHeight="false" outlineLevel="0" collapsed="false">
      <c r="A41" s="0" t="n">
        <v>40</v>
      </c>
      <c r="B41" s="0" t="s">
        <v>311</v>
      </c>
      <c r="C41" s="0" t="s">
        <v>312</v>
      </c>
      <c r="D41" s="0" t="s">
        <v>313</v>
      </c>
      <c r="E41" s="0" t="s">
        <v>314</v>
      </c>
      <c r="F41" s="0" t="s">
        <v>44</v>
      </c>
      <c r="H41" s="0" t="s">
        <v>315</v>
      </c>
      <c r="I41" s="0" t="s">
        <v>154</v>
      </c>
      <c r="N41" s="0" t="s">
        <v>316</v>
      </c>
      <c r="O41" s="0" t="s">
        <v>316</v>
      </c>
      <c r="P41" s="0" t="s">
        <v>55</v>
      </c>
      <c r="AA41" s="0" t="s">
        <v>47</v>
      </c>
      <c r="AB41" s="0" t="s">
        <v>317</v>
      </c>
      <c r="AC41" s="0" t="s">
        <v>318</v>
      </c>
      <c r="AD41" s="0" t="s">
        <v>319</v>
      </c>
      <c r="AE41" s="0" t="s">
        <v>79</v>
      </c>
      <c r="AF41" s="3" t="s">
        <v>149</v>
      </c>
      <c r="AG41" s="3" t="s">
        <v>81</v>
      </c>
      <c r="AK41" s="0" t="s">
        <v>320</v>
      </c>
      <c r="AL41" s="0" t="s">
        <v>321</v>
      </c>
      <c r="AM41" s="0" t="s">
        <v>322</v>
      </c>
      <c r="AO41" s="0" t="s">
        <v>323</v>
      </c>
      <c r="AP41" s="0" t="s">
        <v>323</v>
      </c>
      <c r="AR41" s="0" t="s">
        <v>324</v>
      </c>
    </row>
    <row r="42" customFormat="false" ht="15" hidden="false" customHeight="false" outlineLevel="0" collapsed="false">
      <c r="A42" s="0" t="n">
        <v>41</v>
      </c>
      <c r="B42" s="0" t="s">
        <v>325</v>
      </c>
      <c r="C42" s="0" t="s">
        <v>43</v>
      </c>
      <c r="F42" s="0" t="s">
        <v>44</v>
      </c>
      <c r="AA42" s="0" t="s">
        <v>47</v>
      </c>
      <c r="AF42" s="3" t="s">
        <v>108</v>
      </c>
      <c r="AG42" s="3" t="s">
        <v>49</v>
      </c>
      <c r="AH42" s="0" t="n">
        <v>2026</v>
      </c>
      <c r="AI42" s="0" t="s">
        <v>109</v>
      </c>
      <c r="AJ42" s="0" t="s">
        <v>110</v>
      </c>
      <c r="AR42" s="0" t="s">
        <v>326</v>
      </c>
    </row>
    <row r="43" customFormat="false" ht="15" hidden="false" customHeight="false" outlineLevel="0" collapsed="false">
      <c r="A43" s="0" t="n">
        <v>42</v>
      </c>
      <c r="B43" s="0" t="s">
        <v>327</v>
      </c>
      <c r="C43" s="0" t="s">
        <v>43</v>
      </c>
      <c r="F43" s="0" t="s">
        <v>44</v>
      </c>
      <c r="AA43" s="0" t="s">
        <v>47</v>
      </c>
      <c r="AF43" s="3" t="s">
        <v>48</v>
      </c>
      <c r="AG43" s="3" t="s">
        <v>49</v>
      </c>
      <c r="AR43" s="0" t="s">
        <v>50</v>
      </c>
    </row>
    <row r="44" customFormat="false" ht="15" hidden="false" customHeight="false" outlineLevel="0" collapsed="false">
      <c r="A44" s="0" t="n">
        <v>43</v>
      </c>
      <c r="B44" s="0" t="s">
        <v>328</v>
      </c>
      <c r="C44" s="0" t="s">
        <v>88</v>
      </c>
      <c r="E44" s="0" t="s">
        <v>329</v>
      </c>
      <c r="H44" s="0" t="s">
        <v>330</v>
      </c>
      <c r="I44" s="0" t="s">
        <v>154</v>
      </c>
      <c r="N44" s="3" t="s">
        <v>147</v>
      </c>
      <c r="O44" s="3" t="s">
        <v>147</v>
      </c>
      <c r="P44" s="0" t="s">
        <v>96</v>
      </c>
      <c r="AA44" s="0" t="s">
        <v>47</v>
      </c>
      <c r="AB44" s="0" t="s">
        <v>331</v>
      </c>
      <c r="AC44" s="0" t="s">
        <v>332</v>
      </c>
      <c r="AD44" s="0" t="s">
        <v>333</v>
      </c>
      <c r="AE44" s="0" t="s">
        <v>79</v>
      </c>
      <c r="AF44" s="3" t="s">
        <v>48</v>
      </c>
      <c r="AG44" s="3" t="s">
        <v>49</v>
      </c>
      <c r="AL44" s="0" t="s">
        <v>334</v>
      </c>
      <c r="AO44" s="0" t="s">
        <v>335</v>
      </c>
      <c r="AP44" s="0" t="s">
        <v>335</v>
      </c>
      <c r="AR44" s="0" t="s">
        <v>336</v>
      </c>
    </row>
    <row r="45" customFormat="false" ht="15" hidden="false" customHeight="false" outlineLevel="0" collapsed="false">
      <c r="A45" s="0" t="n">
        <v>44</v>
      </c>
      <c r="B45" s="0" t="s">
        <v>337</v>
      </c>
      <c r="C45" s="0" t="s">
        <v>43</v>
      </c>
      <c r="F45" s="0" t="s">
        <v>44</v>
      </c>
      <c r="H45" s="0" t="s">
        <v>338</v>
      </c>
      <c r="I45" s="0" t="s">
        <v>46</v>
      </c>
      <c r="AA45" s="0" t="s">
        <v>47</v>
      </c>
      <c r="AF45" s="3" t="s">
        <v>48</v>
      </c>
      <c r="AG45" s="3" t="s">
        <v>49</v>
      </c>
      <c r="AR45" s="0" t="s">
        <v>50</v>
      </c>
    </row>
    <row r="46" customFormat="false" ht="15" hidden="false" customHeight="false" outlineLevel="0" collapsed="false">
      <c r="A46" s="0" t="n">
        <v>45</v>
      </c>
      <c r="B46" s="0" t="s">
        <v>339</v>
      </c>
      <c r="C46" s="0" t="s">
        <v>43</v>
      </c>
      <c r="F46" s="0" t="s">
        <v>44</v>
      </c>
      <c r="AA46" s="0" t="s">
        <v>47</v>
      </c>
      <c r="AF46" s="3" t="s">
        <v>48</v>
      </c>
      <c r="AG46" s="3" t="s">
        <v>49</v>
      </c>
      <c r="AR46" s="0" t="s">
        <v>50</v>
      </c>
    </row>
    <row r="47" customFormat="false" ht="15" hidden="false" customHeight="false" outlineLevel="0" collapsed="false">
      <c r="A47" s="0" t="n">
        <v>46</v>
      </c>
      <c r="B47" s="0" t="s">
        <v>340</v>
      </c>
      <c r="C47" s="0" t="s">
        <v>244</v>
      </c>
      <c r="E47" s="0" t="s">
        <v>341</v>
      </c>
      <c r="F47" s="0" t="s">
        <v>44</v>
      </c>
      <c r="H47" s="0" t="s">
        <v>342</v>
      </c>
      <c r="I47" s="0" t="s">
        <v>154</v>
      </c>
      <c r="N47" s="3" t="s">
        <v>186</v>
      </c>
      <c r="O47" s="3" t="s">
        <v>186</v>
      </c>
      <c r="P47" s="0" t="s">
        <v>96</v>
      </c>
      <c r="AA47" s="0" t="s">
        <v>47</v>
      </c>
      <c r="AB47" s="0" t="s">
        <v>343</v>
      </c>
      <c r="AC47" s="0" t="s">
        <v>344</v>
      </c>
      <c r="AD47" s="0" t="s">
        <v>345</v>
      </c>
      <c r="AE47" s="0" t="s">
        <v>79</v>
      </c>
      <c r="AF47" s="3" t="s">
        <v>149</v>
      </c>
      <c r="AG47" s="3" t="s">
        <v>81</v>
      </c>
      <c r="AK47" s="0" t="s">
        <v>346</v>
      </c>
      <c r="AL47" s="0" t="s">
        <v>347</v>
      </c>
      <c r="AO47" s="0" t="s">
        <v>348</v>
      </c>
      <c r="AP47" s="0" t="s">
        <v>348</v>
      </c>
      <c r="AR47" s="0" t="s">
        <v>349</v>
      </c>
    </row>
    <row r="48" customFormat="false" ht="15" hidden="false" customHeight="false" outlineLevel="0" collapsed="false">
      <c r="A48" s="0" t="n">
        <v>47</v>
      </c>
      <c r="B48" s="0" t="s">
        <v>350</v>
      </c>
      <c r="C48" s="0" t="s">
        <v>52</v>
      </c>
      <c r="D48" s="0" t="s">
        <v>351</v>
      </c>
      <c r="H48" s="0" t="s">
        <v>352</v>
      </c>
      <c r="I48" s="0" t="s">
        <v>94</v>
      </c>
      <c r="N48" s="0" t="s">
        <v>353</v>
      </c>
      <c r="O48" s="0" t="s">
        <v>353</v>
      </c>
      <c r="P48" s="0" t="s">
        <v>55</v>
      </c>
      <c r="AA48" s="0" t="s">
        <v>47</v>
      </c>
      <c r="AB48" s="0" t="s">
        <v>354</v>
      </c>
      <c r="AC48" s="0" t="s">
        <v>355</v>
      </c>
      <c r="AD48" s="0" t="s">
        <v>356</v>
      </c>
      <c r="AE48" s="0" t="s">
        <v>59</v>
      </c>
      <c r="AF48" s="3" t="s">
        <v>48</v>
      </c>
      <c r="AG48" s="3" t="s">
        <v>49</v>
      </c>
      <c r="AL48" s="0" t="s">
        <v>357</v>
      </c>
      <c r="AM48" s="0" t="s">
        <v>358</v>
      </c>
      <c r="AO48" s="0" t="s">
        <v>359</v>
      </c>
      <c r="AP48" s="0" t="s">
        <v>359</v>
      </c>
      <c r="AR48" s="0" t="s">
        <v>360</v>
      </c>
    </row>
    <row r="49" customFormat="false" ht="15" hidden="false" customHeight="false" outlineLevel="0" collapsed="false">
      <c r="A49" s="0" t="n">
        <v>48</v>
      </c>
      <c r="B49" s="0" t="s">
        <v>361</v>
      </c>
      <c r="C49" s="0" t="s">
        <v>88</v>
      </c>
      <c r="E49" s="0" t="s">
        <v>362</v>
      </c>
      <c r="H49" s="0" t="s">
        <v>363</v>
      </c>
      <c r="I49" s="0" t="s">
        <v>154</v>
      </c>
      <c r="N49" s="3" t="s">
        <v>202</v>
      </c>
      <c r="O49" s="3" t="s">
        <v>202</v>
      </c>
      <c r="P49" s="0" t="s">
        <v>96</v>
      </c>
      <c r="AA49" s="0" t="s">
        <v>47</v>
      </c>
      <c r="AB49" s="0" t="s">
        <v>364</v>
      </c>
      <c r="AC49" s="0" t="s">
        <v>365</v>
      </c>
      <c r="AD49" s="0" t="s">
        <v>366</v>
      </c>
      <c r="AE49" s="0" t="s">
        <v>79</v>
      </c>
      <c r="AF49" s="3" t="s">
        <v>48</v>
      </c>
      <c r="AG49" s="3" t="s">
        <v>49</v>
      </c>
      <c r="AL49" s="0" t="s">
        <v>367</v>
      </c>
      <c r="AM49" s="0" t="s">
        <v>368</v>
      </c>
      <c r="AO49" s="0" t="s">
        <v>369</v>
      </c>
      <c r="AP49" s="0" t="s">
        <v>369</v>
      </c>
      <c r="AR49" s="0" t="s">
        <v>370</v>
      </c>
    </row>
    <row r="50" customFormat="false" ht="15" hidden="false" customHeight="false" outlineLevel="0" collapsed="false">
      <c r="A50" s="0" t="n">
        <v>49</v>
      </c>
      <c r="B50" s="0" t="s">
        <v>371</v>
      </c>
      <c r="C50" s="0" t="s">
        <v>88</v>
      </c>
      <c r="E50" s="0" t="s">
        <v>372</v>
      </c>
      <c r="H50" s="0" t="s">
        <v>373</v>
      </c>
      <c r="I50" s="0" t="s">
        <v>154</v>
      </c>
      <c r="N50" s="3" t="s">
        <v>119</v>
      </c>
      <c r="O50" s="3" t="s">
        <v>119</v>
      </c>
      <c r="P50" s="0" t="s">
        <v>96</v>
      </c>
      <c r="AA50" s="0" t="s">
        <v>47</v>
      </c>
      <c r="AB50" s="0" t="s">
        <v>374</v>
      </c>
      <c r="AC50" s="0" t="s">
        <v>375</v>
      </c>
      <c r="AD50" s="0" t="s">
        <v>376</v>
      </c>
      <c r="AE50" s="0" t="s">
        <v>79</v>
      </c>
      <c r="AF50" s="3" t="s">
        <v>48</v>
      </c>
      <c r="AG50" s="3" t="s">
        <v>49</v>
      </c>
      <c r="AL50" s="0" t="s">
        <v>377</v>
      </c>
      <c r="AO50" s="0" t="s">
        <v>378</v>
      </c>
      <c r="AP50" s="0" t="s">
        <v>378</v>
      </c>
      <c r="AR50" s="0" t="s">
        <v>379</v>
      </c>
    </row>
    <row r="51" customFormat="false" ht="15" hidden="false" customHeight="false" outlineLevel="0" collapsed="false">
      <c r="A51" s="0" t="n">
        <v>50</v>
      </c>
      <c r="B51" s="0" t="s">
        <v>380</v>
      </c>
      <c r="C51" s="0" t="s">
        <v>43</v>
      </c>
      <c r="F51" s="0" t="s">
        <v>44</v>
      </c>
      <c r="H51" s="0" t="s">
        <v>381</v>
      </c>
      <c r="I51" s="0" t="s">
        <v>154</v>
      </c>
      <c r="AA51" s="0" t="s">
        <v>47</v>
      </c>
      <c r="AF51" s="3" t="s">
        <v>48</v>
      </c>
      <c r="AG51" s="3" t="s">
        <v>49</v>
      </c>
      <c r="AL51" s="0" t="s">
        <v>382</v>
      </c>
      <c r="AM51" s="0" t="s">
        <v>383</v>
      </c>
      <c r="AO51" s="0" t="s">
        <v>384</v>
      </c>
      <c r="AP51" s="0" t="s">
        <v>384</v>
      </c>
      <c r="AR51" s="0" t="s">
        <v>385</v>
      </c>
    </row>
    <row r="52" customFormat="false" ht="15" hidden="false" customHeight="false" outlineLevel="0" collapsed="false">
      <c r="A52" s="0" t="n">
        <v>51</v>
      </c>
      <c r="B52" s="0" t="s">
        <v>386</v>
      </c>
      <c r="C52" s="0" t="s">
        <v>88</v>
      </c>
      <c r="E52" s="0" t="s">
        <v>387</v>
      </c>
      <c r="N52" s="3" t="s">
        <v>186</v>
      </c>
      <c r="O52" s="3" t="s">
        <v>186</v>
      </c>
      <c r="P52" s="0" t="s">
        <v>96</v>
      </c>
      <c r="AA52" s="0" t="s">
        <v>47</v>
      </c>
      <c r="AB52" s="0" t="s">
        <v>388</v>
      </c>
      <c r="AC52" s="0" t="s">
        <v>389</v>
      </c>
      <c r="AD52" s="0" t="s">
        <v>390</v>
      </c>
      <c r="AE52" s="0" t="s">
        <v>79</v>
      </c>
      <c r="AF52" s="3" t="s">
        <v>48</v>
      </c>
      <c r="AG52" s="3" t="s">
        <v>49</v>
      </c>
      <c r="AR52" s="0" t="s">
        <v>387</v>
      </c>
    </row>
    <row r="53" customFormat="false" ht="15" hidden="false" customHeight="false" outlineLevel="0" collapsed="false">
      <c r="A53" s="0" t="n">
        <v>52</v>
      </c>
      <c r="B53" s="0" t="s">
        <v>391</v>
      </c>
      <c r="C53" s="0" t="s">
        <v>43</v>
      </c>
      <c r="F53" s="0" t="s">
        <v>44</v>
      </c>
      <c r="H53" s="0" t="s">
        <v>392</v>
      </c>
      <c r="I53" s="0" t="s">
        <v>46</v>
      </c>
      <c r="AA53" s="0" t="s">
        <v>47</v>
      </c>
      <c r="AF53" s="3" t="s">
        <v>48</v>
      </c>
      <c r="AG53" s="3" t="s">
        <v>49</v>
      </c>
      <c r="AR53" s="0" t="s">
        <v>50</v>
      </c>
    </row>
    <row r="54" customFormat="false" ht="15" hidden="false" customHeight="false" outlineLevel="0" collapsed="false">
      <c r="A54" s="0" t="n">
        <v>53</v>
      </c>
      <c r="B54" s="0" t="s">
        <v>393</v>
      </c>
      <c r="C54" s="0" t="s">
        <v>394</v>
      </c>
      <c r="D54" s="0" t="s">
        <v>395</v>
      </c>
      <c r="F54" s="0" t="s">
        <v>44</v>
      </c>
      <c r="H54" s="0" t="s">
        <v>396</v>
      </c>
      <c r="I54" s="0" t="s">
        <v>115</v>
      </c>
      <c r="J54" s="3" t="s">
        <v>66</v>
      </c>
      <c r="K54" s="0" t="s">
        <v>397</v>
      </c>
      <c r="M54" s="0" t="n">
        <v>1999</v>
      </c>
      <c r="N54" s="0" t="s">
        <v>398</v>
      </c>
      <c r="O54" s="3" t="s">
        <v>104</v>
      </c>
      <c r="P54" s="0" t="s">
        <v>55</v>
      </c>
      <c r="R54" s="0" t="n">
        <v>18100</v>
      </c>
      <c r="S54" s="0" t="n">
        <v>2025</v>
      </c>
      <c r="T54" s="0" t="s">
        <v>72</v>
      </c>
      <c r="U54" s="0" t="s">
        <v>115</v>
      </c>
      <c r="V54" s="0" t="n">
        <v>6950</v>
      </c>
      <c r="W54" s="0" t="s">
        <v>399</v>
      </c>
      <c r="X54" s="0" t="s">
        <v>400</v>
      </c>
      <c r="Y54" s="0" t="s">
        <v>72</v>
      </c>
      <c r="Z54" s="0" t="s">
        <v>115</v>
      </c>
      <c r="AA54" s="0" t="s">
        <v>75</v>
      </c>
      <c r="AB54" s="0" t="s">
        <v>401</v>
      </c>
      <c r="AC54" s="0" t="s">
        <v>402</v>
      </c>
      <c r="AD54" s="0" t="s">
        <v>403</v>
      </c>
      <c r="AE54" s="0" t="s">
        <v>115</v>
      </c>
      <c r="AF54" s="3" t="s">
        <v>108</v>
      </c>
      <c r="AG54" s="3" t="s">
        <v>404</v>
      </c>
      <c r="AH54" s="0" t="n">
        <v>2026</v>
      </c>
      <c r="AI54" s="0" t="s">
        <v>405</v>
      </c>
      <c r="AJ54" s="0" t="s">
        <v>406</v>
      </c>
      <c r="AK54" s="0" t="s">
        <v>407</v>
      </c>
      <c r="AL54" s="0" t="s">
        <v>408</v>
      </c>
      <c r="AM54" s="0" t="s">
        <v>409</v>
      </c>
      <c r="AN54" s="0" t="s">
        <v>410</v>
      </c>
      <c r="AP54" s="0" t="s">
        <v>411</v>
      </c>
      <c r="AR54" s="0" t="s">
        <v>412</v>
      </c>
    </row>
    <row r="55" customFormat="false" ht="15" hidden="false" customHeight="false" outlineLevel="0" collapsed="false">
      <c r="A55" s="0" t="n">
        <v>54</v>
      </c>
      <c r="B55" s="0" t="s">
        <v>413</v>
      </c>
      <c r="C55" s="0" t="s">
        <v>88</v>
      </c>
      <c r="E55" s="0" t="s">
        <v>414</v>
      </c>
      <c r="N55" s="3" t="s">
        <v>186</v>
      </c>
      <c r="O55" s="3" t="s">
        <v>186</v>
      </c>
      <c r="P55" s="0" t="s">
        <v>96</v>
      </c>
      <c r="AA55" s="0" t="s">
        <v>47</v>
      </c>
      <c r="AB55" s="0" t="s">
        <v>415</v>
      </c>
      <c r="AC55" s="0" t="s">
        <v>416</v>
      </c>
      <c r="AD55" s="0" t="s">
        <v>417</v>
      </c>
      <c r="AE55" s="0" t="s">
        <v>79</v>
      </c>
      <c r="AF55" s="3" t="s">
        <v>48</v>
      </c>
      <c r="AG55" s="3" t="s">
        <v>49</v>
      </c>
      <c r="AR55" s="0" t="s">
        <v>414</v>
      </c>
    </row>
    <row r="56" customFormat="false" ht="15" hidden="false" customHeight="false" outlineLevel="0" collapsed="false">
      <c r="A56" s="0" t="n">
        <v>55</v>
      </c>
      <c r="B56" s="0" t="s">
        <v>418</v>
      </c>
      <c r="C56" s="0" t="s">
        <v>88</v>
      </c>
      <c r="E56" s="0" t="s">
        <v>419</v>
      </c>
      <c r="N56" s="3" t="s">
        <v>202</v>
      </c>
      <c r="O56" s="3" t="s">
        <v>202</v>
      </c>
      <c r="P56" s="0" t="s">
        <v>96</v>
      </c>
      <c r="AA56" s="0" t="s">
        <v>47</v>
      </c>
      <c r="AB56" s="0" t="s">
        <v>420</v>
      </c>
      <c r="AC56" s="0" t="s">
        <v>421</v>
      </c>
      <c r="AD56" s="0" t="s">
        <v>422</v>
      </c>
      <c r="AE56" s="0" t="s">
        <v>79</v>
      </c>
      <c r="AF56" s="3" t="s">
        <v>48</v>
      </c>
      <c r="AG56" s="3" t="s">
        <v>49</v>
      </c>
      <c r="AR56" s="0" t="s">
        <v>419</v>
      </c>
    </row>
    <row r="57" customFormat="false" ht="15" hidden="false" customHeight="false" outlineLevel="0" collapsed="false">
      <c r="A57" s="0" t="n">
        <v>56</v>
      </c>
      <c r="B57" s="0" t="s">
        <v>423</v>
      </c>
      <c r="C57" s="0" t="s">
        <v>88</v>
      </c>
      <c r="E57" s="0" t="s">
        <v>424</v>
      </c>
      <c r="H57" s="0" t="s">
        <v>396</v>
      </c>
      <c r="I57" s="0" t="s">
        <v>115</v>
      </c>
      <c r="J57" s="3" t="s">
        <v>66</v>
      </c>
      <c r="K57" s="0" t="s">
        <v>397</v>
      </c>
      <c r="M57" s="0" t="n">
        <v>1999</v>
      </c>
      <c r="N57" s="0" t="s">
        <v>398</v>
      </c>
      <c r="O57" s="3" t="s">
        <v>119</v>
      </c>
      <c r="P57" s="0" t="s">
        <v>96</v>
      </c>
      <c r="R57" s="0" t="n">
        <v>18100</v>
      </c>
      <c r="S57" s="0" t="n">
        <v>2025</v>
      </c>
      <c r="T57" s="0" t="s">
        <v>72</v>
      </c>
      <c r="U57" s="0" t="s">
        <v>115</v>
      </c>
      <c r="V57" s="0" t="n">
        <v>6950</v>
      </c>
      <c r="W57" s="0" t="s">
        <v>399</v>
      </c>
      <c r="X57" s="0" t="s">
        <v>400</v>
      </c>
      <c r="Y57" s="0" t="s">
        <v>72</v>
      </c>
      <c r="Z57" s="0" t="s">
        <v>115</v>
      </c>
      <c r="AA57" s="0" t="s">
        <v>75</v>
      </c>
      <c r="AB57" s="0" t="s">
        <v>401</v>
      </c>
      <c r="AC57" s="0" t="s">
        <v>402</v>
      </c>
      <c r="AD57" s="0" t="s">
        <v>403</v>
      </c>
      <c r="AE57" s="0" t="s">
        <v>115</v>
      </c>
      <c r="AF57" s="3" t="s">
        <v>108</v>
      </c>
      <c r="AG57" s="3" t="s">
        <v>404</v>
      </c>
      <c r="AH57" s="0" t="n">
        <v>2026</v>
      </c>
      <c r="AI57" s="0" t="s">
        <v>425</v>
      </c>
      <c r="AJ57" s="0" t="s">
        <v>426</v>
      </c>
      <c r="AK57" s="0" t="s">
        <v>407</v>
      </c>
      <c r="AL57" s="0" t="s">
        <v>408</v>
      </c>
      <c r="AM57" s="0" t="s">
        <v>409</v>
      </c>
      <c r="AN57" s="0" t="s">
        <v>410</v>
      </c>
      <c r="AP57" s="0" t="s">
        <v>411</v>
      </c>
      <c r="AR57" s="0" t="s">
        <v>427</v>
      </c>
    </row>
    <row r="58" customFormat="false" ht="15" hidden="false" customHeight="false" outlineLevel="0" collapsed="false">
      <c r="A58" s="0" t="n">
        <v>57</v>
      </c>
      <c r="B58" s="0" t="s">
        <v>428</v>
      </c>
      <c r="C58" s="0" t="s">
        <v>52</v>
      </c>
      <c r="D58" s="0" t="s">
        <v>429</v>
      </c>
      <c r="H58" s="0" t="s">
        <v>430</v>
      </c>
      <c r="I58" s="0" t="s">
        <v>154</v>
      </c>
      <c r="N58" s="3" t="s">
        <v>104</v>
      </c>
      <c r="O58" s="3" t="s">
        <v>104</v>
      </c>
      <c r="P58" s="0" t="s">
        <v>55</v>
      </c>
      <c r="AA58" s="0" t="s">
        <v>47</v>
      </c>
      <c r="AB58" s="0" t="s">
        <v>431</v>
      </c>
      <c r="AC58" s="0" t="s">
        <v>432</v>
      </c>
      <c r="AD58" s="0" t="s">
        <v>433</v>
      </c>
      <c r="AE58" s="0" t="s">
        <v>59</v>
      </c>
      <c r="AF58" s="3" t="s">
        <v>48</v>
      </c>
      <c r="AG58" s="3" t="s">
        <v>49</v>
      </c>
      <c r="AO58" s="0" t="s">
        <v>434</v>
      </c>
      <c r="AP58" s="0" t="s">
        <v>434</v>
      </c>
      <c r="AR58" s="0" t="s">
        <v>435</v>
      </c>
    </row>
    <row r="59" customFormat="false" ht="15" hidden="false" customHeight="false" outlineLevel="0" collapsed="false">
      <c r="A59" s="0" t="n">
        <v>58</v>
      </c>
      <c r="B59" s="0" t="s">
        <v>436</v>
      </c>
      <c r="C59" s="0" t="s">
        <v>88</v>
      </c>
      <c r="E59" s="0" t="s">
        <v>437</v>
      </c>
      <c r="AA59" s="0" t="s">
        <v>47</v>
      </c>
      <c r="AF59" s="3" t="s">
        <v>48</v>
      </c>
      <c r="AG59" s="3" t="s">
        <v>49</v>
      </c>
      <c r="AR59" s="0" t="s">
        <v>437</v>
      </c>
    </row>
    <row r="60" customFormat="false" ht="15" hidden="false" customHeight="false" outlineLevel="0" collapsed="false">
      <c r="A60" s="0" t="n">
        <v>59</v>
      </c>
      <c r="B60" s="0" t="s">
        <v>438</v>
      </c>
      <c r="C60" s="0" t="s">
        <v>43</v>
      </c>
      <c r="F60" s="0" t="s">
        <v>44</v>
      </c>
      <c r="AA60" s="0" t="s">
        <v>47</v>
      </c>
      <c r="AF60" s="3" t="s">
        <v>48</v>
      </c>
      <c r="AG60" s="3" t="s">
        <v>49</v>
      </c>
      <c r="AR60" s="0" t="s">
        <v>50</v>
      </c>
    </row>
    <row r="61" customFormat="false" ht="15" hidden="false" customHeight="false" outlineLevel="0" collapsed="false">
      <c r="A61" s="0" t="n">
        <v>60</v>
      </c>
      <c r="B61" s="0" t="s">
        <v>439</v>
      </c>
      <c r="C61" s="0" t="s">
        <v>88</v>
      </c>
      <c r="E61" s="0" t="s">
        <v>440</v>
      </c>
      <c r="N61" s="3" t="s">
        <v>213</v>
      </c>
      <c r="O61" s="3" t="s">
        <v>213</v>
      </c>
      <c r="P61" s="0" t="s">
        <v>96</v>
      </c>
      <c r="AA61" s="0" t="s">
        <v>47</v>
      </c>
      <c r="AB61" s="0" t="s">
        <v>441</v>
      </c>
      <c r="AC61" s="0" t="s">
        <v>442</v>
      </c>
      <c r="AD61" s="0" t="s">
        <v>443</v>
      </c>
      <c r="AE61" s="0" t="s">
        <v>79</v>
      </c>
      <c r="AF61" s="3" t="s">
        <v>48</v>
      </c>
      <c r="AG61" s="3" t="s">
        <v>49</v>
      </c>
      <c r="AR61" s="0" t="s">
        <v>440</v>
      </c>
    </row>
    <row r="62" customFormat="false" ht="15" hidden="false" customHeight="false" outlineLevel="0" collapsed="false">
      <c r="A62" s="0" t="n">
        <v>61</v>
      </c>
      <c r="B62" s="0" t="s">
        <v>444</v>
      </c>
      <c r="C62" s="0" t="s">
        <v>244</v>
      </c>
      <c r="E62" s="0" t="s">
        <v>445</v>
      </c>
      <c r="F62" s="0" t="s">
        <v>44</v>
      </c>
      <c r="N62" s="3" t="s">
        <v>202</v>
      </c>
      <c r="O62" s="3" t="s">
        <v>202</v>
      </c>
      <c r="P62" s="0" t="s">
        <v>96</v>
      </c>
      <c r="AA62" s="0" t="s">
        <v>47</v>
      </c>
      <c r="AB62" s="0" t="s">
        <v>446</v>
      </c>
      <c r="AC62" s="0" t="s">
        <v>447</v>
      </c>
      <c r="AD62" s="0" t="s">
        <v>448</v>
      </c>
      <c r="AE62" s="0" t="s">
        <v>79</v>
      </c>
      <c r="AF62" s="3" t="s">
        <v>149</v>
      </c>
      <c r="AG62" s="3" t="s">
        <v>81</v>
      </c>
      <c r="AK62" s="0" t="s">
        <v>449</v>
      </c>
      <c r="AR62" s="0" t="s">
        <v>450</v>
      </c>
    </row>
    <row r="63" customFormat="false" ht="15" hidden="false" customHeight="false" outlineLevel="0" collapsed="false">
      <c r="A63" s="0" t="n">
        <v>62</v>
      </c>
      <c r="B63" s="0" t="s">
        <v>451</v>
      </c>
      <c r="C63" s="0" t="s">
        <v>88</v>
      </c>
      <c r="E63" s="0" t="s">
        <v>452</v>
      </c>
      <c r="H63" s="0" t="s">
        <v>453</v>
      </c>
      <c r="I63" s="0" t="s">
        <v>154</v>
      </c>
      <c r="N63" s="3" t="s">
        <v>186</v>
      </c>
      <c r="O63" s="3" t="s">
        <v>186</v>
      </c>
      <c r="P63" s="0" t="s">
        <v>96</v>
      </c>
      <c r="AA63" s="0" t="s">
        <v>47</v>
      </c>
      <c r="AB63" s="0" t="s">
        <v>454</v>
      </c>
      <c r="AC63" s="0" t="s">
        <v>455</v>
      </c>
      <c r="AD63" s="0" t="s">
        <v>456</v>
      </c>
      <c r="AE63" s="0" t="s">
        <v>79</v>
      </c>
      <c r="AF63" s="3" t="s">
        <v>48</v>
      </c>
      <c r="AG63" s="3" t="s">
        <v>49</v>
      </c>
      <c r="AL63" s="0" t="s">
        <v>457</v>
      </c>
      <c r="AM63" s="0" t="s">
        <v>458</v>
      </c>
      <c r="AO63" s="0" t="s">
        <v>459</v>
      </c>
      <c r="AP63" s="0" t="s">
        <v>459</v>
      </c>
      <c r="AR63" s="0" t="s">
        <v>460</v>
      </c>
    </row>
    <row r="64" customFormat="false" ht="15" hidden="false" customHeight="false" outlineLevel="0" collapsed="false">
      <c r="A64" s="0" t="n">
        <v>63</v>
      </c>
      <c r="B64" s="0" t="s">
        <v>461</v>
      </c>
      <c r="C64" s="0" t="s">
        <v>88</v>
      </c>
      <c r="E64" s="0" t="s">
        <v>462</v>
      </c>
      <c r="N64" s="3" t="s">
        <v>202</v>
      </c>
      <c r="O64" s="3" t="s">
        <v>202</v>
      </c>
      <c r="P64" s="0" t="s">
        <v>96</v>
      </c>
      <c r="AA64" s="0" t="s">
        <v>47</v>
      </c>
      <c r="AB64" s="0" t="s">
        <v>463</v>
      </c>
      <c r="AC64" s="0" t="s">
        <v>464</v>
      </c>
      <c r="AD64" s="0" t="s">
        <v>465</v>
      </c>
      <c r="AE64" s="0" t="s">
        <v>79</v>
      </c>
      <c r="AF64" s="3" t="s">
        <v>48</v>
      </c>
      <c r="AG64" s="3" t="s">
        <v>49</v>
      </c>
      <c r="AR64" s="0" t="s">
        <v>462</v>
      </c>
    </row>
    <row r="65" customFormat="false" ht="15" hidden="false" customHeight="false" outlineLevel="0" collapsed="false">
      <c r="A65" s="0" t="n">
        <v>64</v>
      </c>
      <c r="B65" s="0" t="s">
        <v>466</v>
      </c>
      <c r="C65" s="0" t="s">
        <v>88</v>
      </c>
      <c r="E65" s="0" t="s">
        <v>467</v>
      </c>
      <c r="N65" s="3" t="s">
        <v>213</v>
      </c>
      <c r="O65" s="3" t="s">
        <v>213</v>
      </c>
      <c r="P65" s="0" t="s">
        <v>96</v>
      </c>
      <c r="AA65" s="0" t="s">
        <v>47</v>
      </c>
      <c r="AB65" s="0" t="s">
        <v>468</v>
      </c>
      <c r="AC65" s="0" t="s">
        <v>469</v>
      </c>
      <c r="AD65" s="0" t="s">
        <v>470</v>
      </c>
      <c r="AE65" s="0" t="s">
        <v>79</v>
      </c>
      <c r="AF65" s="3" t="s">
        <v>48</v>
      </c>
      <c r="AG65" s="3" t="s">
        <v>49</v>
      </c>
      <c r="AR65" s="0" t="s">
        <v>467</v>
      </c>
    </row>
    <row r="66" customFormat="false" ht="15" hidden="false" customHeight="false" outlineLevel="0" collapsed="false">
      <c r="A66" s="0" t="n">
        <v>65</v>
      </c>
      <c r="B66" s="0" t="s">
        <v>471</v>
      </c>
      <c r="C66" s="0" t="s">
        <v>145</v>
      </c>
      <c r="F66" s="0" t="s">
        <v>146</v>
      </c>
      <c r="H66" s="0" t="s">
        <v>472</v>
      </c>
      <c r="I66" s="0" t="s">
        <v>46</v>
      </c>
      <c r="N66" s="3" t="s">
        <v>147</v>
      </c>
      <c r="O66" s="3" t="s">
        <v>147</v>
      </c>
      <c r="P66" s="0" t="s">
        <v>96</v>
      </c>
      <c r="Q66" s="0" t="s">
        <v>473</v>
      </c>
      <c r="AA66" s="0" t="s">
        <v>47</v>
      </c>
      <c r="AF66" s="3" t="s">
        <v>149</v>
      </c>
      <c r="AG66" s="3" t="s">
        <v>81</v>
      </c>
      <c r="AK66" s="0" t="s">
        <v>474</v>
      </c>
      <c r="AR66" s="0" t="s">
        <v>151</v>
      </c>
    </row>
    <row r="67" customFormat="false" ht="15" hidden="false" customHeight="false" outlineLevel="0" collapsed="false">
      <c r="A67" s="0" t="n">
        <v>66</v>
      </c>
      <c r="B67" s="0" t="s">
        <v>475</v>
      </c>
      <c r="C67" s="0" t="s">
        <v>88</v>
      </c>
      <c r="E67" s="0" t="s">
        <v>476</v>
      </c>
      <c r="H67" s="0" t="s">
        <v>477</v>
      </c>
      <c r="I67" s="0" t="s">
        <v>154</v>
      </c>
      <c r="N67" s="3" t="s">
        <v>213</v>
      </c>
      <c r="O67" s="3" t="s">
        <v>213</v>
      </c>
      <c r="P67" s="0" t="s">
        <v>96</v>
      </c>
      <c r="AA67" s="0" t="s">
        <v>47</v>
      </c>
      <c r="AB67" s="0" t="s">
        <v>478</v>
      </c>
      <c r="AC67" s="0" t="s">
        <v>479</v>
      </c>
      <c r="AE67" s="0" t="s">
        <v>79</v>
      </c>
      <c r="AF67" s="3" t="s">
        <v>48</v>
      </c>
      <c r="AG67" s="3" t="s">
        <v>49</v>
      </c>
      <c r="AL67" s="0" t="s">
        <v>480</v>
      </c>
      <c r="AM67" s="0" t="s">
        <v>481</v>
      </c>
      <c r="AO67" s="0" t="s">
        <v>482</v>
      </c>
      <c r="AP67" s="0" t="s">
        <v>482</v>
      </c>
      <c r="AR67" s="0" t="s">
        <v>483</v>
      </c>
    </row>
    <row r="68" customFormat="false" ht="15" hidden="false" customHeight="false" outlineLevel="0" collapsed="false">
      <c r="A68" s="0" t="n">
        <v>67</v>
      </c>
      <c r="B68" s="0" t="s">
        <v>484</v>
      </c>
      <c r="C68" s="0" t="s">
        <v>145</v>
      </c>
      <c r="F68" s="0" t="s">
        <v>146</v>
      </c>
      <c r="N68" s="3" t="s">
        <v>186</v>
      </c>
      <c r="O68" s="3" t="s">
        <v>186</v>
      </c>
      <c r="P68" s="0" t="s">
        <v>96</v>
      </c>
      <c r="Q68" s="0" t="s">
        <v>485</v>
      </c>
      <c r="AA68" s="0" t="s">
        <v>47</v>
      </c>
      <c r="AF68" s="3" t="s">
        <v>149</v>
      </c>
      <c r="AG68" s="3" t="s">
        <v>81</v>
      </c>
      <c r="AK68" s="0" t="s">
        <v>486</v>
      </c>
      <c r="AR68" s="0" t="s">
        <v>151</v>
      </c>
    </row>
    <row r="69" customFormat="false" ht="15" hidden="false" customHeight="false" outlineLevel="0" collapsed="false">
      <c r="A69" s="0" t="n">
        <v>68</v>
      </c>
      <c r="B69" s="0" t="s">
        <v>487</v>
      </c>
      <c r="C69" s="0" t="s">
        <v>244</v>
      </c>
      <c r="E69" s="0" t="s">
        <v>488</v>
      </c>
      <c r="F69" s="0" t="s">
        <v>44</v>
      </c>
      <c r="H69" s="0" t="s">
        <v>489</v>
      </c>
      <c r="I69" s="0" t="s">
        <v>154</v>
      </c>
      <c r="AA69" s="0" t="s">
        <v>47</v>
      </c>
      <c r="AB69" s="0" t="s">
        <v>490</v>
      </c>
      <c r="AC69" s="0" t="s">
        <v>491</v>
      </c>
      <c r="AD69" s="0" t="s">
        <v>492</v>
      </c>
      <c r="AE69" s="0" t="s">
        <v>79</v>
      </c>
      <c r="AF69" s="3" t="s">
        <v>149</v>
      </c>
      <c r="AG69" s="3" t="s">
        <v>81</v>
      </c>
      <c r="AK69" s="0" t="s">
        <v>493</v>
      </c>
      <c r="AL69" s="0" t="s">
        <v>494</v>
      </c>
      <c r="AO69" s="0" t="s">
        <v>495</v>
      </c>
      <c r="AP69" s="0" t="s">
        <v>495</v>
      </c>
      <c r="AR69" s="0" t="s">
        <v>496</v>
      </c>
    </row>
    <row r="70" customFormat="false" ht="15" hidden="false" customHeight="false" outlineLevel="0" collapsed="false">
      <c r="A70" s="0" t="n">
        <v>69</v>
      </c>
      <c r="B70" s="0" t="s">
        <v>497</v>
      </c>
      <c r="C70" s="0" t="s">
        <v>43</v>
      </c>
      <c r="F70" s="0" t="s">
        <v>44</v>
      </c>
      <c r="AA70" s="0" t="s">
        <v>47</v>
      </c>
      <c r="AF70" s="3" t="s">
        <v>48</v>
      </c>
      <c r="AG70" s="3" t="s">
        <v>49</v>
      </c>
      <c r="AR70" s="0" t="s">
        <v>50</v>
      </c>
    </row>
    <row r="71" customFormat="false" ht="15" hidden="false" customHeight="false" outlineLevel="0" collapsed="false">
      <c r="A71" s="0" t="n">
        <v>70</v>
      </c>
      <c r="B71" s="0" t="s">
        <v>498</v>
      </c>
      <c r="C71" s="0" t="s">
        <v>88</v>
      </c>
      <c r="E71" s="0" t="s">
        <v>499</v>
      </c>
      <c r="H71" s="0" t="s">
        <v>500</v>
      </c>
      <c r="I71" s="0" t="s">
        <v>94</v>
      </c>
      <c r="AA71" s="0" t="s">
        <v>47</v>
      </c>
      <c r="AB71" s="0" t="s">
        <v>501</v>
      </c>
      <c r="AC71" s="0" t="s">
        <v>502</v>
      </c>
      <c r="AD71" s="0" t="s">
        <v>503</v>
      </c>
      <c r="AE71" s="0" t="s">
        <v>79</v>
      </c>
      <c r="AF71" s="3" t="s">
        <v>48</v>
      </c>
      <c r="AG71" s="3" t="s">
        <v>49</v>
      </c>
      <c r="AO71" s="0" t="s">
        <v>504</v>
      </c>
      <c r="AP71" s="0" t="s">
        <v>504</v>
      </c>
      <c r="AR71" s="0" t="s">
        <v>505</v>
      </c>
    </row>
    <row r="72" customFormat="false" ht="15" hidden="false" customHeight="false" outlineLevel="0" collapsed="false">
      <c r="A72" s="0" t="n">
        <v>71</v>
      </c>
      <c r="B72" s="0" t="s">
        <v>506</v>
      </c>
      <c r="C72" s="0" t="s">
        <v>88</v>
      </c>
      <c r="E72" s="0" t="s">
        <v>507</v>
      </c>
      <c r="AA72" s="0" t="s">
        <v>47</v>
      </c>
      <c r="AF72" s="3" t="s">
        <v>48</v>
      </c>
      <c r="AG72" s="3" t="s">
        <v>49</v>
      </c>
      <c r="AR72" s="0" t="s">
        <v>507</v>
      </c>
    </row>
    <row r="73" customFormat="false" ht="15" hidden="false" customHeight="false" outlineLevel="0" collapsed="false">
      <c r="A73" s="0" t="n">
        <v>72</v>
      </c>
      <c r="B73" s="0" t="s">
        <v>508</v>
      </c>
      <c r="C73" s="0" t="s">
        <v>88</v>
      </c>
      <c r="E73" s="0" t="s">
        <v>509</v>
      </c>
      <c r="N73" s="3" t="s">
        <v>202</v>
      </c>
      <c r="O73" s="3" t="s">
        <v>202</v>
      </c>
      <c r="P73" s="0" t="s">
        <v>96</v>
      </c>
      <c r="AA73" s="0" t="s">
        <v>47</v>
      </c>
      <c r="AB73" s="0" t="s">
        <v>510</v>
      </c>
      <c r="AC73" s="0" t="s">
        <v>511</v>
      </c>
      <c r="AD73" s="0" t="s">
        <v>512</v>
      </c>
      <c r="AE73" s="0" t="s">
        <v>79</v>
      </c>
      <c r="AF73" s="3" t="s">
        <v>48</v>
      </c>
      <c r="AG73" s="3" t="s">
        <v>49</v>
      </c>
      <c r="AR73" s="0" t="s">
        <v>509</v>
      </c>
    </row>
    <row r="74" customFormat="false" ht="15" hidden="false" customHeight="false" outlineLevel="0" collapsed="false">
      <c r="A74" s="0" t="n">
        <v>73</v>
      </c>
      <c r="B74" s="0" t="s">
        <v>513</v>
      </c>
      <c r="C74" s="0" t="s">
        <v>43</v>
      </c>
      <c r="F74" s="0" t="s">
        <v>44</v>
      </c>
      <c r="H74" s="0" t="s">
        <v>514</v>
      </c>
      <c r="I74" s="0" t="s">
        <v>154</v>
      </c>
      <c r="AA74" s="0" t="s">
        <v>47</v>
      </c>
      <c r="AF74" s="3" t="s">
        <v>48</v>
      </c>
      <c r="AG74" s="3" t="s">
        <v>49</v>
      </c>
      <c r="AL74" s="0" t="s">
        <v>515</v>
      </c>
      <c r="AM74" s="0" t="s">
        <v>516</v>
      </c>
      <c r="AO74" s="0" t="s">
        <v>517</v>
      </c>
      <c r="AP74" s="0" t="s">
        <v>517</v>
      </c>
      <c r="AR74" s="0" t="s">
        <v>518</v>
      </c>
    </row>
    <row r="75" customFormat="false" ht="15" hidden="false" customHeight="false" outlineLevel="0" collapsed="false">
      <c r="A75" s="0" t="n">
        <v>74</v>
      </c>
      <c r="B75" s="0" t="s">
        <v>519</v>
      </c>
      <c r="C75" s="0" t="s">
        <v>88</v>
      </c>
      <c r="E75" s="0" t="s">
        <v>520</v>
      </c>
      <c r="H75" s="0" t="s">
        <v>521</v>
      </c>
      <c r="I75" s="0" t="s">
        <v>154</v>
      </c>
      <c r="AA75" s="0" t="s">
        <v>47</v>
      </c>
      <c r="AB75" s="0" t="s">
        <v>522</v>
      </c>
      <c r="AC75" s="0" t="s">
        <v>523</v>
      </c>
      <c r="AE75" s="0" t="s">
        <v>79</v>
      </c>
      <c r="AF75" s="3" t="s">
        <v>48</v>
      </c>
      <c r="AG75" s="3" t="s">
        <v>49</v>
      </c>
      <c r="AL75" s="0" t="s">
        <v>524</v>
      </c>
      <c r="AM75" s="0" t="s">
        <v>525</v>
      </c>
      <c r="AO75" s="0" t="s">
        <v>526</v>
      </c>
      <c r="AP75" s="0" t="s">
        <v>526</v>
      </c>
      <c r="AR75" s="0" t="s">
        <v>527</v>
      </c>
    </row>
    <row r="76" customFormat="false" ht="15" hidden="false" customHeight="false" outlineLevel="0" collapsed="false">
      <c r="A76" s="0" t="n">
        <v>75</v>
      </c>
      <c r="B76" s="0" t="s">
        <v>528</v>
      </c>
      <c r="C76" s="0" t="s">
        <v>88</v>
      </c>
      <c r="E76" s="0" t="s">
        <v>529</v>
      </c>
      <c r="H76" s="0" t="s">
        <v>530</v>
      </c>
      <c r="I76" s="0" t="s">
        <v>94</v>
      </c>
      <c r="N76" s="3" t="s">
        <v>119</v>
      </c>
      <c r="O76" s="3" t="s">
        <v>119</v>
      </c>
      <c r="P76" s="0" t="s">
        <v>96</v>
      </c>
      <c r="AA76" s="0" t="s">
        <v>47</v>
      </c>
      <c r="AB76" s="0" t="s">
        <v>531</v>
      </c>
      <c r="AC76" s="0" t="s">
        <v>532</v>
      </c>
      <c r="AD76" s="0" t="s">
        <v>533</v>
      </c>
      <c r="AE76" s="0" t="s">
        <v>79</v>
      </c>
      <c r="AF76" s="3" t="s">
        <v>48</v>
      </c>
      <c r="AG76" s="3" t="s">
        <v>49</v>
      </c>
      <c r="AP76" s="0" t="s">
        <v>534</v>
      </c>
      <c r="AR76" s="0" t="s">
        <v>535</v>
      </c>
    </row>
    <row r="77" customFormat="false" ht="15" hidden="false" customHeight="false" outlineLevel="0" collapsed="false">
      <c r="A77" s="0" t="n">
        <v>76</v>
      </c>
      <c r="B77" s="0" t="s">
        <v>536</v>
      </c>
      <c r="C77" s="0" t="s">
        <v>88</v>
      </c>
      <c r="E77" s="0" t="s">
        <v>537</v>
      </c>
      <c r="H77" s="0" t="s">
        <v>538</v>
      </c>
      <c r="I77" s="0" t="s">
        <v>154</v>
      </c>
      <c r="N77" s="3" t="s">
        <v>95</v>
      </c>
      <c r="O77" s="3" t="s">
        <v>95</v>
      </c>
      <c r="P77" s="0" t="s">
        <v>96</v>
      </c>
      <c r="AA77" s="0" t="s">
        <v>47</v>
      </c>
      <c r="AB77" s="0" t="s">
        <v>539</v>
      </c>
      <c r="AC77" s="0" t="s">
        <v>540</v>
      </c>
      <c r="AD77" s="0" t="s">
        <v>541</v>
      </c>
      <c r="AE77" s="0" t="s">
        <v>79</v>
      </c>
      <c r="AF77" s="3" t="s">
        <v>48</v>
      </c>
      <c r="AG77" s="3" t="s">
        <v>49</v>
      </c>
      <c r="AL77" s="0" t="s">
        <v>542</v>
      </c>
      <c r="AM77" s="0" t="s">
        <v>543</v>
      </c>
      <c r="AO77" s="0" t="s">
        <v>544</v>
      </c>
      <c r="AP77" s="0" t="s">
        <v>544</v>
      </c>
      <c r="AR77" s="0" t="s">
        <v>545</v>
      </c>
    </row>
    <row r="78" customFormat="false" ht="15" hidden="false" customHeight="false" outlineLevel="0" collapsed="false">
      <c r="A78" s="0" t="n">
        <v>77</v>
      </c>
      <c r="B78" s="0" t="s">
        <v>546</v>
      </c>
      <c r="C78" s="0" t="s">
        <v>88</v>
      </c>
      <c r="E78" s="0" t="s">
        <v>547</v>
      </c>
      <c r="N78" s="3" t="s">
        <v>95</v>
      </c>
      <c r="O78" s="3" t="s">
        <v>95</v>
      </c>
      <c r="P78" s="0" t="s">
        <v>96</v>
      </c>
      <c r="AA78" s="0" t="s">
        <v>47</v>
      </c>
      <c r="AB78" s="0" t="s">
        <v>548</v>
      </c>
      <c r="AC78" s="0" t="s">
        <v>549</v>
      </c>
      <c r="AD78" s="0" t="s">
        <v>550</v>
      </c>
      <c r="AE78" s="0" t="s">
        <v>79</v>
      </c>
      <c r="AF78" s="3" t="s">
        <v>48</v>
      </c>
      <c r="AG78" s="3" t="s">
        <v>49</v>
      </c>
      <c r="AR78" s="0" t="s">
        <v>547</v>
      </c>
    </row>
    <row r="79" customFormat="false" ht="15" hidden="false" customHeight="false" outlineLevel="0" collapsed="false">
      <c r="A79" s="0" t="n">
        <v>78</v>
      </c>
      <c r="B79" s="0" t="s">
        <v>551</v>
      </c>
      <c r="C79" s="0" t="s">
        <v>88</v>
      </c>
      <c r="E79" s="0" t="s">
        <v>552</v>
      </c>
      <c r="H79" s="0" t="s">
        <v>553</v>
      </c>
      <c r="I79" s="0" t="s">
        <v>154</v>
      </c>
      <c r="N79" s="3" t="s">
        <v>202</v>
      </c>
      <c r="O79" s="3" t="s">
        <v>202</v>
      </c>
      <c r="P79" s="0" t="s">
        <v>96</v>
      </c>
      <c r="AA79" s="0" t="s">
        <v>47</v>
      </c>
      <c r="AB79" s="0" t="s">
        <v>554</v>
      </c>
      <c r="AC79" s="0" t="s">
        <v>555</v>
      </c>
      <c r="AD79" s="0" t="s">
        <v>556</v>
      </c>
      <c r="AE79" s="0" t="s">
        <v>79</v>
      </c>
      <c r="AF79" s="3" t="s">
        <v>48</v>
      </c>
      <c r="AG79" s="3" t="s">
        <v>49</v>
      </c>
      <c r="AL79" s="0" t="s">
        <v>557</v>
      </c>
      <c r="AM79" s="0" t="s">
        <v>558</v>
      </c>
      <c r="AO79" s="0" t="s">
        <v>559</v>
      </c>
      <c r="AP79" s="0" t="s">
        <v>559</v>
      </c>
      <c r="AR79" s="0" t="s">
        <v>560</v>
      </c>
    </row>
    <row r="80" customFormat="false" ht="15" hidden="false" customHeight="false" outlineLevel="0" collapsed="false">
      <c r="A80" s="0" t="n">
        <v>79</v>
      </c>
      <c r="B80" s="0" t="s">
        <v>561</v>
      </c>
      <c r="C80" s="0" t="s">
        <v>88</v>
      </c>
      <c r="E80" s="0" t="s">
        <v>562</v>
      </c>
      <c r="H80" s="0" t="s">
        <v>563</v>
      </c>
      <c r="I80" s="0" t="s">
        <v>46</v>
      </c>
      <c r="AA80" s="0" t="s">
        <v>47</v>
      </c>
      <c r="AF80" s="3" t="s">
        <v>48</v>
      </c>
      <c r="AG80" s="3" t="s">
        <v>49</v>
      </c>
      <c r="AR80" s="0" t="s">
        <v>562</v>
      </c>
    </row>
    <row r="81" customFormat="false" ht="15" hidden="false" customHeight="false" outlineLevel="0" collapsed="false">
      <c r="A81" s="0" t="n">
        <v>80</v>
      </c>
      <c r="B81" s="0" t="s">
        <v>564</v>
      </c>
      <c r="C81" s="0" t="s">
        <v>43</v>
      </c>
      <c r="F81" s="0" t="s">
        <v>44</v>
      </c>
      <c r="H81" s="0" t="s">
        <v>565</v>
      </c>
      <c r="I81" s="0" t="s">
        <v>154</v>
      </c>
      <c r="AA81" s="0" t="s">
        <v>47</v>
      </c>
      <c r="AF81" s="3" t="s">
        <v>48</v>
      </c>
      <c r="AG81" s="3" t="s">
        <v>49</v>
      </c>
      <c r="AL81" s="0" t="s">
        <v>566</v>
      </c>
      <c r="AM81" s="0" t="s">
        <v>567</v>
      </c>
      <c r="AO81" s="0" t="s">
        <v>568</v>
      </c>
      <c r="AP81" s="0" t="s">
        <v>568</v>
      </c>
      <c r="AR81" s="0" t="s">
        <v>569</v>
      </c>
    </row>
    <row r="82" customFormat="false" ht="15" hidden="false" customHeight="false" outlineLevel="0" collapsed="false">
      <c r="A82" s="0" t="n">
        <v>81</v>
      </c>
      <c r="B82" s="0" t="s">
        <v>570</v>
      </c>
      <c r="C82" s="0" t="s">
        <v>88</v>
      </c>
      <c r="E82" s="0" t="s">
        <v>571</v>
      </c>
      <c r="H82" s="0" t="s">
        <v>572</v>
      </c>
      <c r="I82" s="0" t="s">
        <v>154</v>
      </c>
      <c r="N82" s="3" t="s">
        <v>202</v>
      </c>
      <c r="O82" s="3" t="s">
        <v>202</v>
      </c>
      <c r="P82" s="0" t="s">
        <v>96</v>
      </c>
      <c r="AA82" s="0" t="s">
        <v>47</v>
      </c>
      <c r="AB82" s="0" t="s">
        <v>573</v>
      </c>
      <c r="AC82" s="0" t="s">
        <v>574</v>
      </c>
      <c r="AD82" s="0" t="s">
        <v>575</v>
      </c>
      <c r="AE82" s="0" t="s">
        <v>79</v>
      </c>
      <c r="AF82" s="3" t="s">
        <v>48</v>
      </c>
      <c r="AG82" s="3" t="s">
        <v>49</v>
      </c>
      <c r="AL82" s="0" t="s">
        <v>576</v>
      </c>
      <c r="AM82" s="0" t="s">
        <v>577</v>
      </c>
      <c r="AO82" s="0" t="s">
        <v>578</v>
      </c>
      <c r="AP82" s="0" t="s">
        <v>578</v>
      </c>
      <c r="AR82" s="0" t="s">
        <v>579</v>
      </c>
    </row>
    <row r="83" customFormat="false" ht="15" hidden="false" customHeight="false" outlineLevel="0" collapsed="false">
      <c r="A83" s="0" t="n">
        <v>82</v>
      </c>
      <c r="B83" s="0" t="s">
        <v>580</v>
      </c>
      <c r="C83" s="0" t="s">
        <v>88</v>
      </c>
      <c r="E83" s="0" t="s">
        <v>581</v>
      </c>
      <c r="H83" s="0" t="s">
        <v>582</v>
      </c>
      <c r="I83" s="0" t="s">
        <v>154</v>
      </c>
      <c r="AA83" s="0" t="s">
        <v>47</v>
      </c>
      <c r="AF83" s="3" t="s">
        <v>48</v>
      </c>
      <c r="AG83" s="3" t="s">
        <v>49</v>
      </c>
      <c r="AL83" s="0" t="s">
        <v>583</v>
      </c>
      <c r="AO83" s="0" t="s">
        <v>584</v>
      </c>
      <c r="AP83" s="0" t="s">
        <v>584</v>
      </c>
      <c r="AR83" s="0" t="s">
        <v>585</v>
      </c>
    </row>
    <row r="84" customFormat="false" ht="15" hidden="false" customHeight="false" outlineLevel="0" collapsed="false">
      <c r="A84" s="0" t="n">
        <v>83</v>
      </c>
      <c r="B84" s="0" t="s">
        <v>586</v>
      </c>
      <c r="C84" s="0" t="s">
        <v>88</v>
      </c>
      <c r="E84" s="0" t="s">
        <v>587</v>
      </c>
      <c r="N84" s="3" t="s">
        <v>186</v>
      </c>
      <c r="O84" s="3" t="s">
        <v>186</v>
      </c>
      <c r="P84" s="0" t="s">
        <v>96</v>
      </c>
      <c r="AA84" s="0" t="s">
        <v>47</v>
      </c>
      <c r="AB84" s="0" t="s">
        <v>588</v>
      </c>
      <c r="AC84" s="0" t="s">
        <v>589</v>
      </c>
      <c r="AD84" s="0" t="s">
        <v>590</v>
      </c>
      <c r="AE84" s="0" t="s">
        <v>79</v>
      </c>
      <c r="AF84" s="3" t="s">
        <v>48</v>
      </c>
      <c r="AG84" s="3" t="s">
        <v>49</v>
      </c>
      <c r="AR84" s="0" t="s">
        <v>587</v>
      </c>
    </row>
    <row r="85" customFormat="false" ht="15" hidden="false" customHeight="false" outlineLevel="0" collapsed="false">
      <c r="A85" s="0" t="n">
        <v>84</v>
      </c>
      <c r="B85" s="0" t="s">
        <v>591</v>
      </c>
      <c r="C85" s="0" t="s">
        <v>88</v>
      </c>
      <c r="E85" s="0" t="s">
        <v>592</v>
      </c>
      <c r="H85" s="0" t="s">
        <v>593</v>
      </c>
      <c r="I85" s="0" t="s">
        <v>46</v>
      </c>
      <c r="N85" s="3" t="s">
        <v>95</v>
      </c>
      <c r="O85" s="3" t="s">
        <v>95</v>
      </c>
      <c r="P85" s="0" t="s">
        <v>96</v>
      </c>
      <c r="AA85" s="0" t="s">
        <v>47</v>
      </c>
      <c r="AB85" s="0" t="s">
        <v>594</v>
      </c>
      <c r="AC85" s="0" t="s">
        <v>595</v>
      </c>
      <c r="AD85" s="0" t="s">
        <v>596</v>
      </c>
      <c r="AE85" s="0" t="s">
        <v>79</v>
      </c>
      <c r="AF85" s="3" t="s">
        <v>48</v>
      </c>
      <c r="AG85" s="3" t="s">
        <v>49</v>
      </c>
      <c r="AR85" s="0" t="s">
        <v>592</v>
      </c>
    </row>
    <row r="86" customFormat="false" ht="15" hidden="false" customHeight="false" outlineLevel="0" collapsed="false">
      <c r="A86" s="0" t="n">
        <v>85</v>
      </c>
      <c r="B86" s="0" t="s">
        <v>597</v>
      </c>
      <c r="C86" s="0" t="s">
        <v>52</v>
      </c>
      <c r="D86" s="0" t="s">
        <v>598</v>
      </c>
      <c r="H86" s="0" t="s">
        <v>599</v>
      </c>
      <c r="I86" s="0" t="s">
        <v>46</v>
      </c>
      <c r="N86" s="3" t="s">
        <v>600</v>
      </c>
      <c r="O86" s="3" t="s">
        <v>600</v>
      </c>
      <c r="P86" s="0" t="s">
        <v>55</v>
      </c>
      <c r="AA86" s="0" t="s">
        <v>47</v>
      </c>
      <c r="AB86" s="0" t="s">
        <v>601</v>
      </c>
      <c r="AC86" s="0" t="s">
        <v>602</v>
      </c>
      <c r="AD86" s="0" t="s">
        <v>603</v>
      </c>
      <c r="AE86" s="0" t="s">
        <v>59</v>
      </c>
      <c r="AF86" s="3" t="s">
        <v>48</v>
      </c>
      <c r="AG86" s="3" t="s">
        <v>49</v>
      </c>
      <c r="AR86" s="0" t="s">
        <v>598</v>
      </c>
    </row>
    <row r="87" customFormat="false" ht="15" hidden="false" customHeight="false" outlineLevel="0" collapsed="false">
      <c r="A87" s="0" t="n">
        <v>86</v>
      </c>
      <c r="B87" s="0" t="s">
        <v>604</v>
      </c>
      <c r="C87" s="0" t="s">
        <v>88</v>
      </c>
      <c r="E87" s="0" t="s">
        <v>605</v>
      </c>
      <c r="H87" s="0" t="s">
        <v>606</v>
      </c>
      <c r="I87" s="0" t="s">
        <v>154</v>
      </c>
      <c r="N87" s="3" t="s">
        <v>202</v>
      </c>
      <c r="O87" s="3" t="s">
        <v>202</v>
      </c>
      <c r="P87" s="0" t="s">
        <v>96</v>
      </c>
      <c r="AA87" s="0" t="s">
        <v>47</v>
      </c>
      <c r="AB87" s="0" t="s">
        <v>607</v>
      </c>
      <c r="AC87" s="0" t="s">
        <v>608</v>
      </c>
      <c r="AD87" s="0" t="s">
        <v>609</v>
      </c>
      <c r="AE87" s="0" t="s">
        <v>79</v>
      </c>
      <c r="AF87" s="3" t="s">
        <v>48</v>
      </c>
      <c r="AG87" s="3" t="s">
        <v>49</v>
      </c>
      <c r="AL87" s="0" t="s">
        <v>610</v>
      </c>
      <c r="AM87" s="0" t="s">
        <v>611</v>
      </c>
      <c r="AO87" s="0" t="s">
        <v>612</v>
      </c>
      <c r="AP87" s="0" t="s">
        <v>612</v>
      </c>
      <c r="AR87" s="0" t="s">
        <v>613</v>
      </c>
    </row>
    <row r="88" customFormat="false" ht="15" hidden="false" customHeight="false" outlineLevel="0" collapsed="false">
      <c r="A88" s="0" t="n">
        <v>87</v>
      </c>
      <c r="B88" s="0" t="s">
        <v>614</v>
      </c>
      <c r="C88" s="0" t="s">
        <v>88</v>
      </c>
      <c r="E88" s="0" t="s">
        <v>615</v>
      </c>
      <c r="H88" s="0" t="s">
        <v>616</v>
      </c>
      <c r="I88" s="0" t="s">
        <v>154</v>
      </c>
      <c r="N88" s="3" t="s">
        <v>226</v>
      </c>
      <c r="O88" s="3" t="s">
        <v>226</v>
      </c>
      <c r="P88" s="0" t="s">
        <v>96</v>
      </c>
      <c r="AA88" s="0" t="s">
        <v>47</v>
      </c>
      <c r="AB88" s="0" t="s">
        <v>617</v>
      </c>
      <c r="AC88" s="0" t="s">
        <v>618</v>
      </c>
      <c r="AD88" s="0" t="s">
        <v>619</v>
      </c>
      <c r="AE88" s="0" t="s">
        <v>79</v>
      </c>
      <c r="AF88" s="3" t="s">
        <v>48</v>
      </c>
      <c r="AG88" s="3" t="s">
        <v>49</v>
      </c>
      <c r="AO88" s="0" t="s">
        <v>620</v>
      </c>
      <c r="AP88" s="0" t="s">
        <v>620</v>
      </c>
      <c r="AR88" s="0" t="s">
        <v>621</v>
      </c>
    </row>
    <row r="89" customFormat="false" ht="15" hidden="false" customHeight="false" outlineLevel="0" collapsed="false">
      <c r="A89" s="0" t="n">
        <v>88</v>
      </c>
      <c r="B89" s="0" t="s">
        <v>622</v>
      </c>
      <c r="C89" s="0" t="s">
        <v>43</v>
      </c>
      <c r="F89" s="0" t="s">
        <v>44</v>
      </c>
      <c r="H89" s="0" t="s">
        <v>623</v>
      </c>
      <c r="I89" s="0" t="s">
        <v>154</v>
      </c>
      <c r="AA89" s="0" t="s">
        <v>47</v>
      </c>
      <c r="AF89" s="3" t="s">
        <v>108</v>
      </c>
      <c r="AG89" s="3" t="s">
        <v>49</v>
      </c>
      <c r="AH89" s="0" t="n">
        <v>2026</v>
      </c>
      <c r="AI89" s="0" t="s">
        <v>155</v>
      </c>
      <c r="AJ89" s="0" t="s">
        <v>156</v>
      </c>
      <c r="AL89" s="0" t="s">
        <v>624</v>
      </c>
      <c r="AM89" s="0" t="s">
        <v>625</v>
      </c>
      <c r="AO89" s="0" t="s">
        <v>626</v>
      </c>
      <c r="AP89" s="0" t="s">
        <v>626</v>
      </c>
      <c r="AR89" s="0" t="s">
        <v>627</v>
      </c>
    </row>
    <row r="90" customFormat="false" ht="15" hidden="false" customHeight="false" outlineLevel="0" collapsed="false">
      <c r="A90" s="0" t="n">
        <v>89</v>
      </c>
      <c r="B90" s="0" t="s">
        <v>628</v>
      </c>
      <c r="C90" s="0" t="s">
        <v>88</v>
      </c>
      <c r="E90" s="0" t="s">
        <v>629</v>
      </c>
      <c r="AA90" s="0" t="s">
        <v>47</v>
      </c>
      <c r="AF90" s="3" t="s">
        <v>48</v>
      </c>
      <c r="AG90" s="3" t="s">
        <v>49</v>
      </c>
      <c r="AR90" s="0" t="s">
        <v>629</v>
      </c>
    </row>
    <row r="91" customFormat="false" ht="15" hidden="false" customHeight="false" outlineLevel="0" collapsed="false">
      <c r="A91" s="0" t="n">
        <v>90</v>
      </c>
      <c r="B91" s="0" t="s">
        <v>630</v>
      </c>
      <c r="C91" s="0" t="s">
        <v>88</v>
      </c>
      <c r="E91" s="0" t="s">
        <v>631</v>
      </c>
      <c r="N91" s="3" t="s">
        <v>95</v>
      </c>
      <c r="O91" s="3" t="s">
        <v>95</v>
      </c>
      <c r="P91" s="0" t="s">
        <v>96</v>
      </c>
      <c r="AA91" s="0" t="s">
        <v>47</v>
      </c>
      <c r="AB91" s="0" t="s">
        <v>632</v>
      </c>
      <c r="AC91" s="0" t="s">
        <v>633</v>
      </c>
      <c r="AD91" s="0" t="s">
        <v>634</v>
      </c>
      <c r="AE91" s="0" t="s">
        <v>79</v>
      </c>
      <c r="AF91" s="3" t="s">
        <v>48</v>
      </c>
      <c r="AG91" s="3" t="s">
        <v>49</v>
      </c>
      <c r="AR91" s="0" t="s">
        <v>631</v>
      </c>
    </row>
    <row r="92" customFormat="false" ht="15" hidden="false" customHeight="false" outlineLevel="0" collapsed="false">
      <c r="A92" s="0" t="n">
        <v>91</v>
      </c>
      <c r="B92" s="0" t="s">
        <v>635</v>
      </c>
      <c r="C92" s="0" t="s">
        <v>88</v>
      </c>
      <c r="E92" s="0" t="s">
        <v>636</v>
      </c>
      <c r="N92" s="3" t="s">
        <v>213</v>
      </c>
      <c r="O92" s="3" t="s">
        <v>213</v>
      </c>
      <c r="P92" s="0" t="s">
        <v>96</v>
      </c>
      <c r="AA92" s="0" t="s">
        <v>47</v>
      </c>
      <c r="AB92" s="0" t="s">
        <v>637</v>
      </c>
      <c r="AC92" s="0" t="s">
        <v>638</v>
      </c>
      <c r="AD92" s="0" t="s">
        <v>639</v>
      </c>
      <c r="AE92" s="0" t="s">
        <v>79</v>
      </c>
      <c r="AF92" s="3" t="s">
        <v>48</v>
      </c>
      <c r="AG92" s="3" t="s">
        <v>49</v>
      </c>
      <c r="AR92" s="0" t="s">
        <v>636</v>
      </c>
    </row>
    <row r="93" customFormat="false" ht="15" hidden="false" customHeight="false" outlineLevel="0" collapsed="false">
      <c r="A93" s="0" t="n">
        <v>92</v>
      </c>
      <c r="B93" s="0" t="s">
        <v>640</v>
      </c>
      <c r="C93" s="0" t="s">
        <v>88</v>
      </c>
      <c r="E93" s="0" t="s">
        <v>641</v>
      </c>
      <c r="N93" s="3" t="s">
        <v>119</v>
      </c>
      <c r="O93" s="3" t="s">
        <v>119</v>
      </c>
      <c r="P93" s="0" t="s">
        <v>96</v>
      </c>
      <c r="AA93" s="0" t="s">
        <v>47</v>
      </c>
      <c r="AB93" s="0" t="s">
        <v>642</v>
      </c>
      <c r="AC93" s="0" t="s">
        <v>643</v>
      </c>
      <c r="AD93" s="0" t="s">
        <v>644</v>
      </c>
      <c r="AE93" s="0" t="s">
        <v>79</v>
      </c>
      <c r="AF93" s="3" t="s">
        <v>48</v>
      </c>
      <c r="AG93" s="3" t="s">
        <v>49</v>
      </c>
      <c r="AR93" s="0" t="s">
        <v>641</v>
      </c>
    </row>
    <row r="94" customFormat="false" ht="15" hidden="false" customHeight="false" outlineLevel="0" collapsed="false">
      <c r="A94" s="0" t="n">
        <v>93</v>
      </c>
      <c r="B94" s="0" t="s">
        <v>645</v>
      </c>
      <c r="C94" s="0" t="s">
        <v>88</v>
      </c>
      <c r="E94" s="0" t="s">
        <v>646</v>
      </c>
      <c r="H94" s="0" t="s">
        <v>647</v>
      </c>
      <c r="I94" s="0" t="s">
        <v>154</v>
      </c>
      <c r="N94" s="3" t="s">
        <v>202</v>
      </c>
      <c r="O94" s="3" t="s">
        <v>202</v>
      </c>
      <c r="P94" s="0" t="s">
        <v>96</v>
      </c>
      <c r="AA94" s="0" t="s">
        <v>47</v>
      </c>
      <c r="AB94" s="0" t="s">
        <v>648</v>
      </c>
      <c r="AC94" s="0" t="s">
        <v>649</v>
      </c>
      <c r="AD94" s="0" t="s">
        <v>650</v>
      </c>
      <c r="AE94" s="0" t="s">
        <v>79</v>
      </c>
      <c r="AF94" s="3" t="s">
        <v>48</v>
      </c>
      <c r="AG94" s="3" t="s">
        <v>49</v>
      </c>
      <c r="AL94" s="0" t="s">
        <v>651</v>
      </c>
      <c r="AO94" s="0" t="s">
        <v>652</v>
      </c>
      <c r="AP94" s="0" t="s">
        <v>652</v>
      </c>
      <c r="AR94" s="0" t="s">
        <v>653</v>
      </c>
    </row>
    <row r="95" customFormat="false" ht="15" hidden="false" customHeight="false" outlineLevel="0" collapsed="false">
      <c r="A95" s="0" t="n">
        <v>94</v>
      </c>
      <c r="B95" s="0" t="s">
        <v>654</v>
      </c>
      <c r="C95" s="0" t="s">
        <v>88</v>
      </c>
      <c r="E95" s="0" t="s">
        <v>655</v>
      </c>
      <c r="H95" s="0" t="s">
        <v>656</v>
      </c>
      <c r="I95" s="0" t="s">
        <v>94</v>
      </c>
      <c r="N95" s="3" t="s">
        <v>95</v>
      </c>
      <c r="O95" s="3" t="s">
        <v>95</v>
      </c>
      <c r="P95" s="0" t="s">
        <v>96</v>
      </c>
      <c r="AA95" s="0" t="s">
        <v>47</v>
      </c>
      <c r="AB95" s="0" t="s">
        <v>657</v>
      </c>
      <c r="AC95" s="0" t="s">
        <v>658</v>
      </c>
      <c r="AD95" s="0" t="s">
        <v>659</v>
      </c>
      <c r="AE95" s="0" t="s">
        <v>79</v>
      </c>
      <c r="AF95" s="3" t="s">
        <v>48</v>
      </c>
      <c r="AG95" s="3" t="s">
        <v>49</v>
      </c>
      <c r="AP95" s="0" t="s">
        <v>660</v>
      </c>
      <c r="AR95" s="0" t="s">
        <v>661</v>
      </c>
    </row>
    <row r="96" customFormat="false" ht="15" hidden="false" customHeight="false" outlineLevel="0" collapsed="false">
      <c r="A96" s="0" t="n">
        <v>95</v>
      </c>
      <c r="B96" s="0" t="s">
        <v>662</v>
      </c>
      <c r="C96" s="0" t="s">
        <v>88</v>
      </c>
      <c r="E96" s="0" t="s">
        <v>663</v>
      </c>
      <c r="J96" s="3" t="s">
        <v>664</v>
      </c>
      <c r="M96" s="0" t="s">
        <v>665</v>
      </c>
      <c r="N96" s="0" t="s">
        <v>666</v>
      </c>
      <c r="AA96" s="0" t="s">
        <v>47</v>
      </c>
      <c r="AB96" s="0" t="s">
        <v>667</v>
      </c>
      <c r="AC96" s="0" t="s">
        <v>668</v>
      </c>
      <c r="AD96" s="0" t="s">
        <v>669</v>
      </c>
      <c r="AE96" s="0" t="s">
        <v>79</v>
      </c>
      <c r="AF96" s="3" t="s">
        <v>48</v>
      </c>
      <c r="AG96" s="3" t="s">
        <v>49</v>
      </c>
      <c r="AQ96" s="0" t="s">
        <v>670</v>
      </c>
      <c r="AR96" s="0" t="s">
        <v>671</v>
      </c>
    </row>
    <row r="97" customFormat="false" ht="15" hidden="false" customHeight="false" outlineLevel="0" collapsed="false">
      <c r="A97" s="0" t="n">
        <v>96</v>
      </c>
      <c r="B97" s="0" t="s">
        <v>672</v>
      </c>
      <c r="C97" s="0" t="s">
        <v>43</v>
      </c>
      <c r="F97" s="0" t="s">
        <v>44</v>
      </c>
      <c r="H97" s="0" t="s">
        <v>673</v>
      </c>
      <c r="I97" s="0" t="s">
        <v>154</v>
      </c>
      <c r="AA97" s="0" t="s">
        <v>47</v>
      </c>
      <c r="AF97" s="3" t="s">
        <v>108</v>
      </c>
      <c r="AG97" s="3" t="s">
        <v>49</v>
      </c>
      <c r="AH97" s="0" t="n">
        <v>2026</v>
      </c>
      <c r="AI97" s="0" t="s">
        <v>284</v>
      </c>
      <c r="AJ97" s="0" t="s">
        <v>285</v>
      </c>
      <c r="AL97" s="0" t="s">
        <v>674</v>
      </c>
      <c r="AO97" s="0" t="s">
        <v>675</v>
      </c>
      <c r="AP97" s="0" t="s">
        <v>675</v>
      </c>
      <c r="AR97" s="0" t="s">
        <v>676</v>
      </c>
    </row>
    <row r="98" customFormat="false" ht="15" hidden="false" customHeight="false" outlineLevel="0" collapsed="false">
      <c r="A98" s="0" t="n">
        <v>97</v>
      </c>
      <c r="B98" s="0" t="s">
        <v>677</v>
      </c>
      <c r="C98" s="0" t="s">
        <v>88</v>
      </c>
      <c r="E98" s="0" t="s">
        <v>678</v>
      </c>
      <c r="AA98" s="0" t="s">
        <v>47</v>
      </c>
      <c r="AF98" s="3" t="s">
        <v>48</v>
      </c>
      <c r="AG98" s="3" t="s">
        <v>49</v>
      </c>
      <c r="AR98" s="0" t="s">
        <v>678</v>
      </c>
    </row>
    <row r="99" customFormat="false" ht="15" hidden="false" customHeight="false" outlineLevel="0" collapsed="false">
      <c r="A99" s="0" t="n">
        <v>98</v>
      </c>
      <c r="B99" s="0" t="s">
        <v>679</v>
      </c>
      <c r="C99" s="0" t="s">
        <v>88</v>
      </c>
      <c r="E99" s="0" t="s">
        <v>680</v>
      </c>
      <c r="H99" s="0" t="s">
        <v>681</v>
      </c>
      <c r="I99" s="0" t="s">
        <v>154</v>
      </c>
      <c r="J99" s="3" t="s">
        <v>664</v>
      </c>
      <c r="K99" s="0" t="s">
        <v>682</v>
      </c>
      <c r="M99" s="0" t="s">
        <v>683</v>
      </c>
      <c r="N99" s="3" t="s">
        <v>202</v>
      </c>
      <c r="O99" s="3" t="s">
        <v>202</v>
      </c>
      <c r="P99" s="0" t="s">
        <v>96</v>
      </c>
      <c r="AA99" s="0" t="s">
        <v>47</v>
      </c>
      <c r="AB99" s="0" t="s">
        <v>684</v>
      </c>
      <c r="AC99" s="0" t="s">
        <v>685</v>
      </c>
      <c r="AD99" s="0" t="s">
        <v>686</v>
      </c>
      <c r="AE99" s="0" t="s">
        <v>79</v>
      </c>
      <c r="AF99" s="3" t="s">
        <v>48</v>
      </c>
      <c r="AG99" s="3" t="s">
        <v>49</v>
      </c>
      <c r="AM99" s="0" t="s">
        <v>687</v>
      </c>
      <c r="AN99" s="0" t="s">
        <v>682</v>
      </c>
      <c r="AO99" s="0" t="s">
        <v>688</v>
      </c>
      <c r="AP99" s="0" t="s">
        <v>688</v>
      </c>
      <c r="AQ99" s="0" t="s">
        <v>689</v>
      </c>
      <c r="AR99" s="0" t="s">
        <v>690</v>
      </c>
    </row>
    <row r="100" customFormat="false" ht="15" hidden="false" customHeight="false" outlineLevel="0" collapsed="false">
      <c r="A100" s="0" t="n">
        <v>99</v>
      </c>
      <c r="B100" s="0" t="s">
        <v>691</v>
      </c>
      <c r="C100" s="0" t="s">
        <v>88</v>
      </c>
      <c r="E100" s="0" t="s">
        <v>692</v>
      </c>
      <c r="H100" s="0" t="s">
        <v>693</v>
      </c>
      <c r="I100" s="0" t="s">
        <v>115</v>
      </c>
      <c r="J100" s="3" t="s">
        <v>694</v>
      </c>
      <c r="K100" s="0" t="s">
        <v>695</v>
      </c>
      <c r="L100" s="0" t="s">
        <v>696</v>
      </c>
      <c r="M100" s="0" t="n">
        <v>1990</v>
      </c>
      <c r="N100" s="0" t="s">
        <v>697</v>
      </c>
      <c r="O100" s="3" t="s">
        <v>119</v>
      </c>
      <c r="P100" s="0" t="s">
        <v>96</v>
      </c>
      <c r="Q100" s="0" t="s">
        <v>72</v>
      </c>
      <c r="R100" s="0" t="n">
        <v>1000</v>
      </c>
      <c r="S100" s="0" t="n">
        <v>2024</v>
      </c>
      <c r="T100" s="0" t="s">
        <v>698</v>
      </c>
      <c r="U100" s="0" t="s">
        <v>115</v>
      </c>
      <c r="V100" s="0" t="n">
        <v>200</v>
      </c>
      <c r="W100" s="0" t="s">
        <v>699</v>
      </c>
      <c r="X100" s="0" t="s">
        <v>700</v>
      </c>
      <c r="Y100" s="0" t="s">
        <v>698</v>
      </c>
      <c r="Z100" s="0" t="s">
        <v>115</v>
      </c>
      <c r="AA100" s="0" t="s">
        <v>698</v>
      </c>
      <c r="AB100" s="0" t="s">
        <v>701</v>
      </c>
      <c r="AC100" s="0" t="s">
        <v>702</v>
      </c>
      <c r="AD100" s="0" t="s">
        <v>703</v>
      </c>
      <c r="AE100" s="0" t="s">
        <v>115</v>
      </c>
      <c r="AF100" s="3" t="s">
        <v>108</v>
      </c>
      <c r="AG100" s="3" t="s">
        <v>404</v>
      </c>
      <c r="AH100" s="0" t="n">
        <v>2026</v>
      </c>
      <c r="AI100" s="0" t="s">
        <v>704</v>
      </c>
      <c r="AJ100" s="0" t="s">
        <v>705</v>
      </c>
      <c r="AK100" s="0" t="s">
        <v>706</v>
      </c>
      <c r="AL100" s="0" t="s">
        <v>707</v>
      </c>
      <c r="AM100" s="0" t="s">
        <v>708</v>
      </c>
      <c r="AN100" s="0" t="s">
        <v>709</v>
      </c>
      <c r="AO100" s="0" t="s">
        <v>710</v>
      </c>
      <c r="AP100" s="0" t="s">
        <v>711</v>
      </c>
      <c r="AQ100" s="0" t="s">
        <v>712</v>
      </c>
      <c r="AR100" s="0" t="s">
        <v>713</v>
      </c>
    </row>
    <row r="101" customFormat="false" ht="15" hidden="false" customHeight="false" outlineLevel="0" collapsed="false">
      <c r="A101" s="0" t="n">
        <v>100</v>
      </c>
      <c r="B101" s="0" t="s">
        <v>714</v>
      </c>
      <c r="C101" s="0" t="s">
        <v>43</v>
      </c>
      <c r="F101" s="0" t="s">
        <v>44</v>
      </c>
      <c r="H101" s="0" t="s">
        <v>715</v>
      </c>
      <c r="I101" s="0" t="s">
        <v>154</v>
      </c>
      <c r="AA101" s="0" t="s">
        <v>47</v>
      </c>
      <c r="AF101" s="3" t="s">
        <v>48</v>
      </c>
      <c r="AG101" s="3" t="s">
        <v>49</v>
      </c>
      <c r="AL101" s="0" t="s">
        <v>716</v>
      </c>
      <c r="AM101" s="0" t="s">
        <v>717</v>
      </c>
      <c r="AO101" s="0" t="s">
        <v>718</v>
      </c>
      <c r="AP101" s="0" t="s">
        <v>718</v>
      </c>
      <c r="AR101" s="0" t="s">
        <v>719</v>
      </c>
    </row>
    <row r="102" customFormat="false" ht="15" hidden="false" customHeight="false" outlineLevel="0" collapsed="false">
      <c r="A102" s="0" t="n">
        <v>101</v>
      </c>
      <c r="B102" s="0" t="s">
        <v>720</v>
      </c>
      <c r="C102" s="0" t="s">
        <v>43</v>
      </c>
      <c r="F102" s="0" t="s">
        <v>44</v>
      </c>
      <c r="H102" s="0" t="s">
        <v>721</v>
      </c>
      <c r="I102" s="0" t="s">
        <v>94</v>
      </c>
      <c r="AA102" s="0" t="s">
        <v>47</v>
      </c>
      <c r="AF102" s="3" t="s">
        <v>48</v>
      </c>
      <c r="AG102" s="3" t="s">
        <v>49</v>
      </c>
      <c r="AM102" s="0" t="s">
        <v>722</v>
      </c>
      <c r="AP102" s="0" t="s">
        <v>723</v>
      </c>
      <c r="AR102" s="0" t="s">
        <v>724</v>
      </c>
    </row>
    <row r="103" customFormat="false" ht="15" hidden="false" customHeight="false" outlineLevel="0" collapsed="false">
      <c r="A103" s="0" t="n">
        <v>102</v>
      </c>
      <c r="B103" s="0" t="s">
        <v>725</v>
      </c>
      <c r="C103" s="0" t="s">
        <v>88</v>
      </c>
      <c r="E103" s="0" t="s">
        <v>726</v>
      </c>
      <c r="AA103" s="0" t="s">
        <v>47</v>
      </c>
      <c r="AF103" s="3" t="s">
        <v>48</v>
      </c>
      <c r="AG103" s="3" t="s">
        <v>49</v>
      </c>
      <c r="AR103" s="0" t="s">
        <v>726</v>
      </c>
    </row>
    <row r="104" customFormat="false" ht="15" hidden="false" customHeight="false" outlineLevel="0" collapsed="false">
      <c r="A104" s="0" t="n">
        <v>103</v>
      </c>
      <c r="B104" s="0" t="s">
        <v>727</v>
      </c>
      <c r="C104" s="0" t="s">
        <v>43</v>
      </c>
      <c r="F104" s="0" t="s">
        <v>44</v>
      </c>
      <c r="H104" s="0" t="s">
        <v>728</v>
      </c>
      <c r="I104" s="0" t="s">
        <v>46</v>
      </c>
      <c r="AA104" s="0" t="s">
        <v>47</v>
      </c>
      <c r="AF104" s="3" t="s">
        <v>48</v>
      </c>
      <c r="AG104" s="3" t="s">
        <v>49</v>
      </c>
      <c r="AR104" s="0" t="s">
        <v>50</v>
      </c>
    </row>
    <row r="105" customFormat="false" ht="15" hidden="false" customHeight="false" outlineLevel="0" collapsed="false">
      <c r="A105" s="0" t="n">
        <v>104</v>
      </c>
      <c r="B105" s="0" t="s">
        <v>729</v>
      </c>
      <c r="C105" s="0" t="s">
        <v>52</v>
      </c>
      <c r="D105" s="0" t="s">
        <v>730</v>
      </c>
      <c r="N105" s="3" t="s">
        <v>69</v>
      </c>
      <c r="O105" s="3" t="s">
        <v>69</v>
      </c>
      <c r="P105" s="0" t="s">
        <v>55</v>
      </c>
      <c r="AA105" s="0" t="s">
        <v>47</v>
      </c>
      <c r="AB105" s="0" t="s">
        <v>731</v>
      </c>
      <c r="AC105" s="0" t="s">
        <v>732</v>
      </c>
      <c r="AD105" s="0" t="s">
        <v>733</v>
      </c>
      <c r="AE105" s="0" t="s">
        <v>59</v>
      </c>
      <c r="AF105" s="3" t="s">
        <v>48</v>
      </c>
      <c r="AG105" s="3" t="s">
        <v>49</v>
      </c>
      <c r="AR105" s="0" t="s">
        <v>730</v>
      </c>
    </row>
    <row r="106" customFormat="false" ht="15" hidden="false" customHeight="false" outlineLevel="0" collapsed="false">
      <c r="A106" s="0" t="n">
        <v>105</v>
      </c>
      <c r="B106" s="0" t="s">
        <v>734</v>
      </c>
      <c r="C106" s="0" t="s">
        <v>61</v>
      </c>
      <c r="D106" s="0" t="s">
        <v>735</v>
      </c>
      <c r="E106" s="0" t="s">
        <v>736</v>
      </c>
      <c r="H106" s="0" t="s">
        <v>737</v>
      </c>
      <c r="I106" s="0" t="s">
        <v>154</v>
      </c>
      <c r="N106" s="0" t="s">
        <v>738</v>
      </c>
      <c r="O106" s="0" t="s">
        <v>738</v>
      </c>
      <c r="P106" s="0" t="s">
        <v>55</v>
      </c>
      <c r="AA106" s="0" t="s">
        <v>47</v>
      </c>
      <c r="AB106" s="0" t="s">
        <v>739</v>
      </c>
      <c r="AC106" s="0" t="s">
        <v>740</v>
      </c>
      <c r="AD106" s="0" t="s">
        <v>741</v>
      </c>
      <c r="AE106" s="0" t="s">
        <v>79</v>
      </c>
      <c r="AF106" s="3" t="s">
        <v>149</v>
      </c>
      <c r="AG106" s="3" t="s">
        <v>81</v>
      </c>
      <c r="AK106" s="0" t="s">
        <v>742</v>
      </c>
      <c r="AL106" s="0" t="s">
        <v>743</v>
      </c>
      <c r="AO106" s="0" t="s">
        <v>744</v>
      </c>
      <c r="AP106" s="0" t="s">
        <v>744</v>
      </c>
      <c r="AR106" s="0" t="s">
        <v>745</v>
      </c>
    </row>
    <row r="107" customFormat="false" ht="15" hidden="false" customHeight="false" outlineLevel="0" collapsed="false">
      <c r="A107" s="0" t="n">
        <v>106</v>
      </c>
      <c r="B107" s="0" t="s">
        <v>746</v>
      </c>
      <c r="C107" s="0" t="s">
        <v>145</v>
      </c>
      <c r="F107" s="0" t="s">
        <v>146</v>
      </c>
      <c r="N107" s="3" t="s">
        <v>186</v>
      </c>
      <c r="O107" s="3" t="s">
        <v>186</v>
      </c>
      <c r="P107" s="0" t="s">
        <v>96</v>
      </c>
      <c r="Q107" s="0" t="s">
        <v>747</v>
      </c>
      <c r="AA107" s="0" t="s">
        <v>47</v>
      </c>
      <c r="AF107" s="3" t="s">
        <v>149</v>
      </c>
      <c r="AG107" s="3" t="s">
        <v>81</v>
      </c>
      <c r="AK107" s="0" t="s">
        <v>748</v>
      </c>
      <c r="AR107" s="0" t="s">
        <v>151</v>
      </c>
    </row>
    <row r="108" customFormat="false" ht="15" hidden="false" customHeight="false" outlineLevel="0" collapsed="false">
      <c r="A108" s="0" t="n">
        <v>107</v>
      </c>
      <c r="B108" s="0" t="s">
        <v>749</v>
      </c>
      <c r="C108" s="0" t="s">
        <v>43</v>
      </c>
      <c r="F108" s="0" t="s">
        <v>44</v>
      </c>
      <c r="H108" s="0" t="s">
        <v>750</v>
      </c>
      <c r="I108" s="0" t="s">
        <v>154</v>
      </c>
      <c r="AA108" s="0" t="s">
        <v>47</v>
      </c>
      <c r="AF108" s="3" t="s">
        <v>108</v>
      </c>
      <c r="AG108" s="3" t="s">
        <v>49</v>
      </c>
      <c r="AH108" s="0" t="n">
        <v>2026</v>
      </c>
      <c r="AI108" s="0" t="s">
        <v>167</v>
      </c>
      <c r="AJ108" s="0" t="s">
        <v>168</v>
      </c>
      <c r="AL108" s="0" t="s">
        <v>751</v>
      </c>
      <c r="AM108" s="0" t="s">
        <v>752</v>
      </c>
      <c r="AO108" s="0" t="s">
        <v>753</v>
      </c>
      <c r="AP108" s="0" t="s">
        <v>753</v>
      </c>
      <c r="AR108" s="0" t="s">
        <v>754</v>
      </c>
    </row>
    <row r="109" customFormat="false" ht="15" hidden="false" customHeight="false" outlineLevel="0" collapsed="false">
      <c r="A109" s="0" t="n">
        <v>108</v>
      </c>
      <c r="B109" s="0" t="s">
        <v>755</v>
      </c>
      <c r="C109" s="0" t="s">
        <v>61</v>
      </c>
      <c r="D109" s="0" t="s">
        <v>756</v>
      </c>
      <c r="E109" s="0" t="s">
        <v>757</v>
      </c>
      <c r="H109" s="0" t="s">
        <v>758</v>
      </c>
      <c r="I109" s="0" t="s">
        <v>115</v>
      </c>
      <c r="J109" s="3" t="s">
        <v>759</v>
      </c>
      <c r="K109" s="0" t="s">
        <v>760</v>
      </c>
      <c r="L109" s="0" t="s">
        <v>761</v>
      </c>
      <c r="M109" s="0" t="n">
        <v>1922</v>
      </c>
      <c r="N109" s="0" t="s">
        <v>398</v>
      </c>
      <c r="O109" s="3" t="s">
        <v>762</v>
      </c>
      <c r="P109" s="0" t="s">
        <v>55</v>
      </c>
      <c r="R109" s="0" t="n">
        <v>4500</v>
      </c>
      <c r="S109" s="0" t="n">
        <v>2025</v>
      </c>
      <c r="T109" s="0" t="s">
        <v>72</v>
      </c>
      <c r="U109" s="0" t="s">
        <v>115</v>
      </c>
      <c r="V109" s="0" t="n">
        <v>692</v>
      </c>
      <c r="W109" s="0" t="s">
        <v>763</v>
      </c>
      <c r="X109" s="0" t="s">
        <v>764</v>
      </c>
      <c r="Y109" s="0" t="s">
        <v>72</v>
      </c>
      <c r="Z109" s="0" t="s">
        <v>115</v>
      </c>
      <c r="AA109" s="0" t="s">
        <v>75</v>
      </c>
      <c r="AB109" s="0" t="s">
        <v>765</v>
      </c>
      <c r="AC109" s="0" t="s">
        <v>766</v>
      </c>
      <c r="AD109" s="0" t="s">
        <v>767</v>
      </c>
      <c r="AE109" s="0" t="s">
        <v>115</v>
      </c>
      <c r="AF109" s="3" t="s">
        <v>108</v>
      </c>
      <c r="AG109" s="3" t="s">
        <v>404</v>
      </c>
      <c r="AH109" s="0" t="n">
        <v>2026</v>
      </c>
      <c r="AI109" s="0" t="s">
        <v>768</v>
      </c>
      <c r="AJ109" s="0" t="s">
        <v>769</v>
      </c>
      <c r="AK109" s="0" t="s">
        <v>770</v>
      </c>
      <c r="AL109" s="0" t="s">
        <v>771</v>
      </c>
      <c r="AN109" s="0" t="s">
        <v>772</v>
      </c>
      <c r="AP109" s="0" t="s">
        <v>773</v>
      </c>
      <c r="AR109" s="0" t="s">
        <v>774</v>
      </c>
    </row>
    <row r="110" customFormat="false" ht="15" hidden="false" customHeight="false" outlineLevel="0" collapsed="false">
      <c r="A110" s="0" t="n">
        <v>109</v>
      </c>
      <c r="B110" s="0" t="s">
        <v>775</v>
      </c>
      <c r="C110" s="0" t="s">
        <v>145</v>
      </c>
      <c r="F110" s="0" t="s">
        <v>146</v>
      </c>
      <c r="N110" s="3" t="s">
        <v>147</v>
      </c>
      <c r="O110" s="3" t="s">
        <v>147</v>
      </c>
      <c r="P110" s="0" t="s">
        <v>96</v>
      </c>
      <c r="Q110" s="0" t="s">
        <v>776</v>
      </c>
      <c r="AA110" s="0" t="s">
        <v>47</v>
      </c>
      <c r="AF110" s="3" t="s">
        <v>149</v>
      </c>
      <c r="AG110" s="3" t="s">
        <v>81</v>
      </c>
      <c r="AK110" s="0" t="s">
        <v>777</v>
      </c>
      <c r="AR110" s="0" t="s">
        <v>151</v>
      </c>
    </row>
    <row r="111" customFormat="false" ht="15" hidden="false" customHeight="false" outlineLevel="0" collapsed="false">
      <c r="A111" s="0" t="n">
        <v>110</v>
      </c>
      <c r="B111" s="0" t="s">
        <v>778</v>
      </c>
      <c r="C111" s="0" t="s">
        <v>52</v>
      </c>
      <c r="D111" s="0" t="s">
        <v>779</v>
      </c>
      <c r="N111" s="0" t="s">
        <v>780</v>
      </c>
      <c r="O111" s="0" t="s">
        <v>780</v>
      </c>
      <c r="P111" s="0" t="s">
        <v>55</v>
      </c>
      <c r="AA111" s="0" t="s">
        <v>47</v>
      </c>
      <c r="AB111" s="0" t="s">
        <v>781</v>
      </c>
      <c r="AC111" s="0" t="s">
        <v>782</v>
      </c>
      <c r="AD111" s="0" t="s">
        <v>783</v>
      </c>
      <c r="AE111" s="0" t="s">
        <v>59</v>
      </c>
      <c r="AF111" s="3" t="s">
        <v>48</v>
      </c>
      <c r="AG111" s="3" t="s">
        <v>49</v>
      </c>
      <c r="AR111" s="0" t="s">
        <v>779</v>
      </c>
    </row>
    <row r="112" customFormat="false" ht="15" hidden="false" customHeight="false" outlineLevel="0" collapsed="false">
      <c r="A112" s="0" t="n">
        <v>111</v>
      </c>
      <c r="B112" s="0" t="s">
        <v>784</v>
      </c>
      <c r="C112" s="0" t="s">
        <v>43</v>
      </c>
      <c r="F112" s="0" t="s">
        <v>44</v>
      </c>
      <c r="AA112" s="0" t="s">
        <v>47</v>
      </c>
      <c r="AF112" s="3" t="s">
        <v>48</v>
      </c>
      <c r="AG112" s="3" t="s">
        <v>49</v>
      </c>
      <c r="AR112" s="0" t="s">
        <v>50</v>
      </c>
    </row>
    <row r="113" customFormat="false" ht="15" hidden="false" customHeight="false" outlineLevel="0" collapsed="false">
      <c r="A113" s="0" t="n">
        <v>112</v>
      </c>
      <c r="B113" s="0" t="s">
        <v>785</v>
      </c>
      <c r="C113" s="0" t="s">
        <v>88</v>
      </c>
      <c r="E113" s="0" t="s">
        <v>786</v>
      </c>
      <c r="H113" s="0" t="s">
        <v>787</v>
      </c>
      <c r="I113" s="0" t="s">
        <v>154</v>
      </c>
      <c r="N113" s="3" t="s">
        <v>213</v>
      </c>
      <c r="O113" s="3" t="s">
        <v>213</v>
      </c>
      <c r="P113" s="0" t="s">
        <v>96</v>
      </c>
      <c r="AA113" s="0" t="s">
        <v>47</v>
      </c>
      <c r="AB113" s="0" t="s">
        <v>788</v>
      </c>
      <c r="AC113" s="0" t="s">
        <v>789</v>
      </c>
      <c r="AD113" s="0" t="s">
        <v>790</v>
      </c>
      <c r="AE113" s="0" t="s">
        <v>79</v>
      </c>
      <c r="AF113" s="3" t="s">
        <v>48</v>
      </c>
      <c r="AG113" s="3" t="s">
        <v>49</v>
      </c>
      <c r="AL113" s="0" t="s">
        <v>791</v>
      </c>
      <c r="AO113" s="0" t="s">
        <v>792</v>
      </c>
      <c r="AP113" s="0" t="s">
        <v>792</v>
      </c>
      <c r="AR113" s="0" t="s">
        <v>793</v>
      </c>
    </row>
    <row r="114" customFormat="false" ht="15" hidden="false" customHeight="false" outlineLevel="0" collapsed="false">
      <c r="A114" s="0" t="n">
        <v>113</v>
      </c>
      <c r="B114" s="0" t="s">
        <v>794</v>
      </c>
      <c r="C114" s="0" t="s">
        <v>88</v>
      </c>
      <c r="E114" s="0" t="s">
        <v>795</v>
      </c>
      <c r="H114" s="0" t="s">
        <v>796</v>
      </c>
      <c r="I114" s="0" t="s">
        <v>154</v>
      </c>
      <c r="N114" s="3" t="s">
        <v>186</v>
      </c>
      <c r="O114" s="3" t="s">
        <v>186</v>
      </c>
      <c r="P114" s="0" t="s">
        <v>96</v>
      </c>
      <c r="AA114" s="0" t="s">
        <v>47</v>
      </c>
      <c r="AB114" s="0" t="s">
        <v>797</v>
      </c>
      <c r="AC114" s="0" t="s">
        <v>798</v>
      </c>
      <c r="AD114" s="0" t="s">
        <v>799</v>
      </c>
      <c r="AE114" s="0" t="s">
        <v>79</v>
      </c>
      <c r="AF114" s="3" t="s">
        <v>48</v>
      </c>
      <c r="AG114" s="3" t="s">
        <v>49</v>
      </c>
      <c r="AL114" s="0" t="s">
        <v>800</v>
      </c>
      <c r="AM114" s="0" t="s">
        <v>801</v>
      </c>
      <c r="AO114" s="0" t="s">
        <v>802</v>
      </c>
      <c r="AP114" s="0" t="s">
        <v>802</v>
      </c>
      <c r="AR114" s="0" t="s">
        <v>803</v>
      </c>
    </row>
    <row r="115" customFormat="false" ht="15" hidden="false" customHeight="false" outlineLevel="0" collapsed="false">
      <c r="A115" s="0" t="n">
        <v>114</v>
      </c>
      <c r="B115" s="0" t="s">
        <v>804</v>
      </c>
      <c r="C115" s="0" t="s">
        <v>43</v>
      </c>
      <c r="F115" s="0" t="s">
        <v>44</v>
      </c>
      <c r="AA115" s="0" t="s">
        <v>47</v>
      </c>
      <c r="AF115" s="3" t="s">
        <v>48</v>
      </c>
      <c r="AG115" s="3" t="s">
        <v>49</v>
      </c>
      <c r="AR115" s="0" t="s">
        <v>50</v>
      </c>
    </row>
    <row r="116" customFormat="false" ht="15" hidden="false" customHeight="false" outlineLevel="0" collapsed="false">
      <c r="A116" s="0" t="n">
        <v>115</v>
      </c>
      <c r="B116" s="0" t="s">
        <v>805</v>
      </c>
      <c r="C116" s="0" t="s">
        <v>88</v>
      </c>
      <c r="E116" s="0" t="s">
        <v>806</v>
      </c>
      <c r="H116" s="0" t="s">
        <v>807</v>
      </c>
      <c r="I116" s="0" t="s">
        <v>154</v>
      </c>
      <c r="AA116" s="0" t="s">
        <v>47</v>
      </c>
      <c r="AF116" s="3" t="s">
        <v>48</v>
      </c>
      <c r="AG116" s="3" t="s">
        <v>49</v>
      </c>
      <c r="AL116" s="0" t="s">
        <v>808</v>
      </c>
      <c r="AO116" s="0" t="s">
        <v>809</v>
      </c>
      <c r="AP116" s="0" t="s">
        <v>809</v>
      </c>
      <c r="AR116" s="0" t="s">
        <v>810</v>
      </c>
    </row>
    <row r="117" customFormat="false" ht="15" hidden="false" customHeight="false" outlineLevel="0" collapsed="false">
      <c r="A117" s="0" t="n">
        <v>116</v>
      </c>
      <c r="B117" s="0" t="s">
        <v>811</v>
      </c>
      <c r="C117" s="0" t="s">
        <v>88</v>
      </c>
      <c r="E117" s="0" t="s">
        <v>812</v>
      </c>
      <c r="N117" s="3" t="s">
        <v>202</v>
      </c>
      <c r="O117" s="3" t="s">
        <v>202</v>
      </c>
      <c r="P117" s="0" t="s">
        <v>96</v>
      </c>
      <c r="AA117" s="0" t="s">
        <v>47</v>
      </c>
      <c r="AB117" s="0" t="s">
        <v>813</v>
      </c>
      <c r="AC117" s="0" t="s">
        <v>814</v>
      </c>
      <c r="AD117" s="0" t="s">
        <v>815</v>
      </c>
      <c r="AE117" s="0" t="s">
        <v>79</v>
      </c>
      <c r="AF117" s="3" t="s">
        <v>48</v>
      </c>
      <c r="AG117" s="3" t="s">
        <v>49</v>
      </c>
      <c r="AR117" s="0" t="s">
        <v>812</v>
      </c>
    </row>
    <row r="118" customFormat="false" ht="15" hidden="false" customHeight="false" outlineLevel="0" collapsed="false">
      <c r="A118" s="0" t="n">
        <v>117</v>
      </c>
      <c r="B118" s="0" t="s">
        <v>816</v>
      </c>
      <c r="C118" s="0" t="s">
        <v>43</v>
      </c>
      <c r="F118" s="0" t="s">
        <v>44</v>
      </c>
      <c r="H118" s="0" t="s">
        <v>817</v>
      </c>
      <c r="I118" s="0" t="s">
        <v>154</v>
      </c>
      <c r="AA118" s="0" t="s">
        <v>47</v>
      </c>
      <c r="AF118" s="3" t="s">
        <v>48</v>
      </c>
      <c r="AG118" s="3" t="s">
        <v>49</v>
      </c>
      <c r="AL118" s="0" t="s">
        <v>818</v>
      </c>
      <c r="AM118" s="0" t="s">
        <v>819</v>
      </c>
      <c r="AO118" s="0" t="s">
        <v>820</v>
      </c>
      <c r="AP118" s="0" t="s">
        <v>820</v>
      </c>
      <c r="AR118" s="0" t="s">
        <v>821</v>
      </c>
    </row>
    <row r="119" customFormat="false" ht="15" hidden="false" customHeight="false" outlineLevel="0" collapsed="false">
      <c r="A119" s="0" t="n">
        <v>118</v>
      </c>
      <c r="B119" s="0" t="s">
        <v>822</v>
      </c>
      <c r="C119" s="0" t="s">
        <v>88</v>
      </c>
      <c r="E119" s="0" t="s">
        <v>823</v>
      </c>
      <c r="N119" s="3" t="s">
        <v>147</v>
      </c>
      <c r="O119" s="3" t="s">
        <v>147</v>
      </c>
      <c r="P119" s="0" t="s">
        <v>96</v>
      </c>
      <c r="AA119" s="0" t="s">
        <v>47</v>
      </c>
      <c r="AB119" s="0" t="s">
        <v>824</v>
      </c>
      <c r="AC119" s="0" t="s">
        <v>825</v>
      </c>
      <c r="AD119" s="0" t="s">
        <v>826</v>
      </c>
      <c r="AE119" s="0" t="s">
        <v>79</v>
      </c>
      <c r="AF119" s="3" t="s">
        <v>48</v>
      </c>
      <c r="AG119" s="3" t="s">
        <v>49</v>
      </c>
      <c r="AR119" s="0" t="s">
        <v>823</v>
      </c>
    </row>
    <row r="120" customFormat="false" ht="15" hidden="false" customHeight="false" outlineLevel="0" collapsed="false">
      <c r="A120" s="0" t="n">
        <v>119</v>
      </c>
      <c r="B120" s="0" t="s">
        <v>827</v>
      </c>
      <c r="C120" s="0" t="s">
        <v>43</v>
      </c>
      <c r="F120" s="0" t="s">
        <v>44</v>
      </c>
      <c r="H120" s="0" t="s">
        <v>828</v>
      </c>
      <c r="I120" s="0" t="s">
        <v>154</v>
      </c>
      <c r="AA120" s="0" t="s">
        <v>47</v>
      </c>
      <c r="AF120" s="3" t="s">
        <v>108</v>
      </c>
      <c r="AG120" s="3" t="s">
        <v>49</v>
      </c>
      <c r="AH120" s="0" t="n">
        <v>2026</v>
      </c>
      <c r="AI120" s="0" t="s">
        <v>829</v>
      </c>
      <c r="AJ120" s="0" t="s">
        <v>830</v>
      </c>
      <c r="AL120" s="0" t="s">
        <v>831</v>
      </c>
      <c r="AM120" s="0" t="s">
        <v>832</v>
      </c>
      <c r="AO120" s="0" t="s">
        <v>833</v>
      </c>
      <c r="AP120" s="0" t="s">
        <v>833</v>
      </c>
      <c r="AR120" s="0" t="s">
        <v>834</v>
      </c>
    </row>
    <row r="121" customFormat="false" ht="15" hidden="false" customHeight="false" outlineLevel="0" collapsed="false">
      <c r="A121" s="0" t="n">
        <v>120</v>
      </c>
      <c r="B121" s="0" t="s">
        <v>835</v>
      </c>
      <c r="C121" s="0" t="s">
        <v>88</v>
      </c>
      <c r="E121" s="0" t="s">
        <v>836</v>
      </c>
      <c r="H121" s="0" t="s">
        <v>837</v>
      </c>
      <c r="I121" s="0" t="s">
        <v>154</v>
      </c>
      <c r="N121" s="3" t="s">
        <v>95</v>
      </c>
      <c r="O121" s="3" t="s">
        <v>95</v>
      </c>
      <c r="P121" s="0" t="s">
        <v>96</v>
      </c>
      <c r="AA121" s="0" t="s">
        <v>47</v>
      </c>
      <c r="AB121" s="0" t="s">
        <v>838</v>
      </c>
      <c r="AC121" s="0" t="s">
        <v>839</v>
      </c>
      <c r="AE121" s="0" t="s">
        <v>79</v>
      </c>
      <c r="AF121" s="3" t="s">
        <v>48</v>
      </c>
      <c r="AG121" s="3" t="s">
        <v>49</v>
      </c>
      <c r="AL121" s="0" t="s">
        <v>840</v>
      </c>
      <c r="AM121" s="0" t="s">
        <v>841</v>
      </c>
      <c r="AO121" s="0" t="s">
        <v>842</v>
      </c>
      <c r="AP121" s="0" t="s">
        <v>842</v>
      </c>
      <c r="AR121" s="0" t="s">
        <v>843</v>
      </c>
    </row>
    <row r="122" customFormat="false" ht="15" hidden="false" customHeight="false" outlineLevel="0" collapsed="false">
      <c r="A122" s="0" t="n">
        <v>121</v>
      </c>
      <c r="B122" s="0" t="s">
        <v>844</v>
      </c>
      <c r="C122" s="0" t="s">
        <v>88</v>
      </c>
      <c r="E122" s="0" t="s">
        <v>845</v>
      </c>
      <c r="H122" s="0" t="s">
        <v>846</v>
      </c>
      <c r="I122" s="0" t="s">
        <v>46</v>
      </c>
      <c r="N122" s="3" t="s">
        <v>202</v>
      </c>
      <c r="O122" s="3" t="s">
        <v>202</v>
      </c>
      <c r="P122" s="0" t="s">
        <v>96</v>
      </c>
      <c r="AA122" s="0" t="s">
        <v>47</v>
      </c>
      <c r="AB122" s="0" t="s">
        <v>847</v>
      </c>
      <c r="AC122" s="0" t="s">
        <v>848</v>
      </c>
      <c r="AD122" s="0" t="s">
        <v>849</v>
      </c>
      <c r="AE122" s="0" t="s">
        <v>79</v>
      </c>
      <c r="AF122" s="3" t="s">
        <v>48</v>
      </c>
      <c r="AG122" s="3" t="s">
        <v>49</v>
      </c>
      <c r="AR122" s="0" t="s">
        <v>845</v>
      </c>
    </row>
    <row r="123" customFormat="false" ht="15" hidden="false" customHeight="false" outlineLevel="0" collapsed="false">
      <c r="A123" s="0" t="n">
        <v>122</v>
      </c>
      <c r="B123" s="0" t="s">
        <v>850</v>
      </c>
      <c r="C123" s="0" t="s">
        <v>88</v>
      </c>
      <c r="E123" s="0" t="s">
        <v>851</v>
      </c>
      <c r="AA123" s="0" t="s">
        <v>47</v>
      </c>
      <c r="AB123" s="0" t="s">
        <v>852</v>
      </c>
      <c r="AC123" s="0" t="s">
        <v>853</v>
      </c>
      <c r="AD123" s="0" t="s">
        <v>854</v>
      </c>
      <c r="AE123" s="0" t="s">
        <v>79</v>
      </c>
      <c r="AF123" s="3" t="s">
        <v>48</v>
      </c>
      <c r="AG123" s="3" t="s">
        <v>49</v>
      </c>
      <c r="AR123" s="0" t="s">
        <v>851</v>
      </c>
    </row>
    <row r="124" customFormat="false" ht="15" hidden="false" customHeight="false" outlineLevel="0" collapsed="false">
      <c r="A124" s="0" t="n">
        <v>123</v>
      </c>
      <c r="B124" s="0" t="s">
        <v>855</v>
      </c>
      <c r="C124" s="0" t="s">
        <v>43</v>
      </c>
      <c r="F124" s="0" t="s">
        <v>44</v>
      </c>
      <c r="AA124" s="0" t="s">
        <v>47</v>
      </c>
      <c r="AF124" s="3" t="s">
        <v>48</v>
      </c>
      <c r="AG124" s="3" t="s">
        <v>49</v>
      </c>
      <c r="AR124" s="0" t="s">
        <v>50</v>
      </c>
    </row>
    <row r="125" customFormat="false" ht="15" hidden="false" customHeight="false" outlineLevel="0" collapsed="false">
      <c r="A125" s="0" t="n">
        <v>124</v>
      </c>
      <c r="B125" s="0" t="s">
        <v>856</v>
      </c>
      <c r="C125" s="0" t="s">
        <v>43</v>
      </c>
      <c r="F125" s="0" t="s">
        <v>44</v>
      </c>
      <c r="AA125" s="0" t="s">
        <v>47</v>
      </c>
      <c r="AF125" s="3" t="s">
        <v>48</v>
      </c>
      <c r="AG125" s="3" t="s">
        <v>49</v>
      </c>
      <c r="AR125" s="0" t="s">
        <v>50</v>
      </c>
    </row>
    <row r="126" customFormat="false" ht="15" hidden="false" customHeight="false" outlineLevel="0" collapsed="false">
      <c r="A126" s="0" t="n">
        <v>125</v>
      </c>
      <c r="B126" s="0" t="s">
        <v>857</v>
      </c>
      <c r="C126" s="0" t="s">
        <v>88</v>
      </c>
      <c r="E126" s="0" t="s">
        <v>858</v>
      </c>
      <c r="N126" s="3" t="s">
        <v>95</v>
      </c>
      <c r="O126" s="3" t="s">
        <v>95</v>
      </c>
      <c r="P126" s="0" t="s">
        <v>96</v>
      </c>
      <c r="AA126" s="0" t="s">
        <v>47</v>
      </c>
      <c r="AB126" s="0" t="s">
        <v>859</v>
      </c>
      <c r="AC126" s="0" t="s">
        <v>860</v>
      </c>
      <c r="AD126" s="0" t="s">
        <v>861</v>
      </c>
      <c r="AE126" s="0" t="s">
        <v>79</v>
      </c>
      <c r="AF126" s="3" t="s">
        <v>48</v>
      </c>
      <c r="AG126" s="3" t="s">
        <v>49</v>
      </c>
      <c r="AR126" s="0" t="s">
        <v>858</v>
      </c>
    </row>
    <row r="127" customFormat="false" ht="15" hidden="false" customHeight="false" outlineLevel="0" collapsed="false">
      <c r="A127" s="0" t="n">
        <v>126</v>
      </c>
      <c r="B127" s="0" t="s">
        <v>862</v>
      </c>
      <c r="C127" s="0" t="s">
        <v>88</v>
      </c>
      <c r="E127" s="0" t="s">
        <v>863</v>
      </c>
      <c r="H127" s="0" t="s">
        <v>864</v>
      </c>
      <c r="I127" s="0" t="s">
        <v>154</v>
      </c>
      <c r="N127" s="3" t="s">
        <v>213</v>
      </c>
      <c r="O127" s="3" t="s">
        <v>213</v>
      </c>
      <c r="P127" s="0" t="s">
        <v>96</v>
      </c>
      <c r="AA127" s="0" t="s">
        <v>47</v>
      </c>
      <c r="AB127" s="0" t="s">
        <v>865</v>
      </c>
      <c r="AC127" s="0" t="s">
        <v>866</v>
      </c>
      <c r="AD127" s="0" t="s">
        <v>867</v>
      </c>
      <c r="AE127" s="0" t="s">
        <v>79</v>
      </c>
      <c r="AF127" s="3" t="s">
        <v>48</v>
      </c>
      <c r="AG127" s="3" t="s">
        <v>49</v>
      </c>
      <c r="AL127" s="0" t="s">
        <v>868</v>
      </c>
      <c r="AO127" s="0" t="s">
        <v>869</v>
      </c>
      <c r="AP127" s="0" t="s">
        <v>869</v>
      </c>
      <c r="AR127" s="0" t="s">
        <v>870</v>
      </c>
    </row>
    <row r="128" customFormat="false" ht="15" hidden="false" customHeight="false" outlineLevel="0" collapsed="false">
      <c r="A128" s="0" t="n">
        <v>127</v>
      </c>
      <c r="B128" s="0" t="s">
        <v>871</v>
      </c>
      <c r="C128" s="0" t="s">
        <v>88</v>
      </c>
      <c r="E128" s="0" t="s">
        <v>872</v>
      </c>
      <c r="H128" s="0" t="s">
        <v>873</v>
      </c>
      <c r="I128" s="0" t="s">
        <v>154</v>
      </c>
      <c r="N128" s="3" t="s">
        <v>202</v>
      </c>
      <c r="O128" s="3" t="s">
        <v>202</v>
      </c>
      <c r="P128" s="0" t="s">
        <v>96</v>
      </c>
      <c r="AA128" s="0" t="s">
        <v>47</v>
      </c>
      <c r="AB128" s="0" t="s">
        <v>874</v>
      </c>
      <c r="AC128" s="0" t="s">
        <v>875</v>
      </c>
      <c r="AD128" s="0" t="s">
        <v>876</v>
      </c>
      <c r="AE128" s="0" t="s">
        <v>79</v>
      </c>
      <c r="AF128" s="3" t="s">
        <v>48</v>
      </c>
      <c r="AG128" s="3" t="s">
        <v>49</v>
      </c>
      <c r="AL128" s="0" t="s">
        <v>877</v>
      </c>
      <c r="AM128" s="0" t="s">
        <v>878</v>
      </c>
      <c r="AO128" s="0" t="s">
        <v>879</v>
      </c>
      <c r="AP128" s="0" t="s">
        <v>879</v>
      </c>
      <c r="AR128" s="0" t="s">
        <v>880</v>
      </c>
    </row>
    <row r="129" customFormat="false" ht="15" hidden="false" customHeight="false" outlineLevel="0" collapsed="false">
      <c r="A129" s="0" t="n">
        <v>128</v>
      </c>
      <c r="B129" s="0" t="s">
        <v>881</v>
      </c>
      <c r="C129" s="0" t="s">
        <v>61</v>
      </c>
      <c r="D129" s="0" t="s">
        <v>882</v>
      </c>
      <c r="E129" s="0" t="s">
        <v>883</v>
      </c>
      <c r="N129" s="0" t="s">
        <v>884</v>
      </c>
      <c r="O129" s="0" t="s">
        <v>884</v>
      </c>
      <c r="P129" s="0" t="s">
        <v>55</v>
      </c>
      <c r="AA129" s="0" t="s">
        <v>47</v>
      </c>
      <c r="AB129" s="0" t="s">
        <v>885</v>
      </c>
      <c r="AC129" s="0" t="s">
        <v>886</v>
      </c>
      <c r="AD129" s="0" t="s">
        <v>887</v>
      </c>
      <c r="AE129" s="0" t="s">
        <v>79</v>
      </c>
      <c r="AF129" s="3" t="s">
        <v>149</v>
      </c>
      <c r="AG129" s="3" t="s">
        <v>81</v>
      </c>
      <c r="AK129" s="0" t="s">
        <v>888</v>
      </c>
      <c r="AR129" s="0" t="s">
        <v>889</v>
      </c>
    </row>
    <row r="130" customFormat="false" ht="15" hidden="false" customHeight="false" outlineLevel="0" collapsed="false">
      <c r="A130" s="0" t="n">
        <v>129</v>
      </c>
      <c r="B130" s="0" t="s">
        <v>890</v>
      </c>
      <c r="C130" s="0" t="s">
        <v>88</v>
      </c>
      <c r="E130" s="0" t="s">
        <v>891</v>
      </c>
      <c r="H130" s="0" t="s">
        <v>892</v>
      </c>
      <c r="I130" s="0" t="s">
        <v>94</v>
      </c>
      <c r="AA130" s="0" t="s">
        <v>47</v>
      </c>
      <c r="AF130" s="3" t="s">
        <v>48</v>
      </c>
      <c r="AG130" s="3" t="s">
        <v>49</v>
      </c>
      <c r="AL130" s="0" t="s">
        <v>893</v>
      </c>
      <c r="AO130" s="0" t="s">
        <v>894</v>
      </c>
      <c r="AP130" s="0" t="s">
        <v>894</v>
      </c>
      <c r="AR130" s="0" t="s">
        <v>895</v>
      </c>
    </row>
    <row r="131" customFormat="false" ht="15" hidden="false" customHeight="false" outlineLevel="0" collapsed="false">
      <c r="A131" s="0" t="n">
        <v>130</v>
      </c>
      <c r="B131" s="0" t="s">
        <v>896</v>
      </c>
      <c r="C131" s="0" t="s">
        <v>88</v>
      </c>
      <c r="E131" s="0" t="s">
        <v>897</v>
      </c>
      <c r="AA131" s="0" t="s">
        <v>47</v>
      </c>
      <c r="AF131" s="3" t="s">
        <v>48</v>
      </c>
      <c r="AG131" s="3" t="s">
        <v>49</v>
      </c>
      <c r="AR131" s="0" t="s">
        <v>897</v>
      </c>
    </row>
    <row r="132" customFormat="false" ht="15" hidden="false" customHeight="false" outlineLevel="0" collapsed="false">
      <c r="A132" s="0" t="n">
        <v>131</v>
      </c>
      <c r="B132" s="0" t="s">
        <v>898</v>
      </c>
      <c r="C132" s="0" t="s">
        <v>52</v>
      </c>
      <c r="D132" s="0" t="s">
        <v>899</v>
      </c>
      <c r="H132" s="0" t="s">
        <v>900</v>
      </c>
      <c r="I132" s="0" t="s">
        <v>154</v>
      </c>
      <c r="N132" s="3" t="s">
        <v>69</v>
      </c>
      <c r="O132" s="3" t="s">
        <v>69</v>
      </c>
      <c r="P132" s="0" t="s">
        <v>55</v>
      </c>
      <c r="AA132" s="0" t="s">
        <v>47</v>
      </c>
      <c r="AB132" s="0" t="s">
        <v>901</v>
      </c>
      <c r="AC132" s="0" t="s">
        <v>902</v>
      </c>
      <c r="AD132" s="0" t="s">
        <v>903</v>
      </c>
      <c r="AE132" s="0" t="s">
        <v>59</v>
      </c>
      <c r="AF132" s="3" t="s">
        <v>48</v>
      </c>
      <c r="AG132" s="3" t="s">
        <v>49</v>
      </c>
      <c r="AL132" s="0" t="s">
        <v>904</v>
      </c>
      <c r="AM132" s="0" t="s">
        <v>905</v>
      </c>
      <c r="AO132" s="0" t="s">
        <v>906</v>
      </c>
      <c r="AP132" s="0" t="s">
        <v>906</v>
      </c>
      <c r="AR132" s="0" t="s">
        <v>907</v>
      </c>
    </row>
    <row r="133" customFormat="false" ht="15" hidden="false" customHeight="false" outlineLevel="0" collapsed="false">
      <c r="A133" s="0" t="n">
        <v>132</v>
      </c>
      <c r="B133" s="0" t="s">
        <v>908</v>
      </c>
      <c r="C133" s="0" t="s">
        <v>88</v>
      </c>
      <c r="E133" s="0" t="s">
        <v>909</v>
      </c>
      <c r="N133" s="3" t="s">
        <v>95</v>
      </c>
      <c r="O133" s="3" t="s">
        <v>95</v>
      </c>
      <c r="P133" s="0" t="s">
        <v>96</v>
      </c>
      <c r="AA133" s="0" t="s">
        <v>47</v>
      </c>
      <c r="AB133" s="0" t="s">
        <v>910</v>
      </c>
      <c r="AC133" s="0" t="s">
        <v>911</v>
      </c>
      <c r="AD133" s="0" t="s">
        <v>912</v>
      </c>
      <c r="AE133" s="0" t="s">
        <v>79</v>
      </c>
      <c r="AF133" s="3" t="s">
        <v>48</v>
      </c>
      <c r="AG133" s="3" t="s">
        <v>49</v>
      </c>
      <c r="AR133" s="0" t="s">
        <v>909</v>
      </c>
    </row>
    <row r="134" customFormat="false" ht="15" hidden="false" customHeight="false" outlineLevel="0" collapsed="false">
      <c r="A134" s="0" t="n">
        <v>133</v>
      </c>
      <c r="B134" s="0" t="s">
        <v>913</v>
      </c>
      <c r="C134" s="0" t="s">
        <v>914</v>
      </c>
      <c r="E134" s="0" t="s">
        <v>915</v>
      </c>
      <c r="F134" s="0" t="s">
        <v>146</v>
      </c>
      <c r="H134" s="0" t="s">
        <v>916</v>
      </c>
      <c r="I134" s="0" t="s">
        <v>46</v>
      </c>
      <c r="N134" s="3" t="s">
        <v>186</v>
      </c>
      <c r="O134" s="3" t="s">
        <v>186</v>
      </c>
      <c r="P134" s="0" t="s">
        <v>96</v>
      </c>
      <c r="Q134" s="0" t="s">
        <v>917</v>
      </c>
      <c r="AA134" s="0" t="s">
        <v>47</v>
      </c>
      <c r="AB134" s="0" t="s">
        <v>918</v>
      </c>
      <c r="AC134" s="0" t="s">
        <v>919</v>
      </c>
      <c r="AD134" s="0" t="s">
        <v>920</v>
      </c>
      <c r="AE134" s="0" t="s">
        <v>79</v>
      </c>
      <c r="AF134" s="3" t="s">
        <v>108</v>
      </c>
      <c r="AG134" s="3" t="s">
        <v>49</v>
      </c>
      <c r="AH134" s="0" t="n">
        <v>2026</v>
      </c>
      <c r="AI134" s="0" t="s">
        <v>921</v>
      </c>
      <c r="AJ134" s="0" t="s">
        <v>922</v>
      </c>
      <c r="AK134" s="0" t="s">
        <v>923</v>
      </c>
      <c r="AR134" s="0" t="s">
        <v>924</v>
      </c>
    </row>
    <row r="135" customFormat="false" ht="15" hidden="false" customHeight="false" outlineLevel="0" collapsed="false">
      <c r="A135" s="0" t="n">
        <v>134</v>
      </c>
      <c r="B135" s="0" t="s">
        <v>925</v>
      </c>
      <c r="C135" s="0" t="s">
        <v>43</v>
      </c>
      <c r="F135" s="0" t="s">
        <v>44</v>
      </c>
      <c r="H135" s="0" t="s">
        <v>926</v>
      </c>
      <c r="I135" s="0" t="s">
        <v>154</v>
      </c>
      <c r="AA135" s="0" t="s">
        <v>47</v>
      </c>
      <c r="AF135" s="3" t="s">
        <v>108</v>
      </c>
      <c r="AG135" s="3" t="s">
        <v>49</v>
      </c>
      <c r="AH135" s="0" t="n">
        <v>2026</v>
      </c>
      <c r="AI135" s="0" t="s">
        <v>829</v>
      </c>
      <c r="AJ135" s="0" t="s">
        <v>830</v>
      </c>
      <c r="AL135" s="0" t="s">
        <v>927</v>
      </c>
      <c r="AM135" s="0" t="s">
        <v>928</v>
      </c>
      <c r="AO135" s="0" t="s">
        <v>929</v>
      </c>
      <c r="AP135" s="0" t="s">
        <v>929</v>
      </c>
      <c r="AR135" s="0" t="s">
        <v>930</v>
      </c>
    </row>
    <row r="136" customFormat="false" ht="15" hidden="false" customHeight="false" outlineLevel="0" collapsed="false">
      <c r="A136" s="0" t="n">
        <v>135</v>
      </c>
      <c r="B136" s="0" t="s">
        <v>931</v>
      </c>
      <c r="C136" s="0" t="s">
        <v>88</v>
      </c>
      <c r="E136" s="0" t="s">
        <v>932</v>
      </c>
      <c r="H136" s="0" t="s">
        <v>933</v>
      </c>
      <c r="I136" s="0" t="s">
        <v>154</v>
      </c>
      <c r="AA136" s="0" t="s">
        <v>47</v>
      </c>
      <c r="AF136" s="3" t="s">
        <v>48</v>
      </c>
      <c r="AG136" s="3" t="s">
        <v>49</v>
      </c>
      <c r="AL136" s="0" t="s">
        <v>934</v>
      </c>
      <c r="AO136" s="0" t="s">
        <v>935</v>
      </c>
      <c r="AP136" s="0" t="s">
        <v>935</v>
      </c>
      <c r="AR136" s="0" t="s">
        <v>936</v>
      </c>
    </row>
    <row r="137" customFormat="false" ht="15" hidden="false" customHeight="false" outlineLevel="0" collapsed="false">
      <c r="A137" s="0" t="n">
        <v>136</v>
      </c>
      <c r="B137" s="0" t="s">
        <v>937</v>
      </c>
      <c r="C137" s="0" t="s">
        <v>88</v>
      </c>
      <c r="E137" s="0" t="s">
        <v>938</v>
      </c>
      <c r="N137" s="3" t="s">
        <v>239</v>
      </c>
      <c r="O137" s="3" t="s">
        <v>239</v>
      </c>
      <c r="P137" s="0" t="s">
        <v>96</v>
      </c>
      <c r="AA137" s="0" t="s">
        <v>47</v>
      </c>
      <c r="AB137" s="0" t="s">
        <v>939</v>
      </c>
      <c r="AC137" s="0" t="s">
        <v>940</v>
      </c>
      <c r="AD137" s="0" t="s">
        <v>941</v>
      </c>
      <c r="AE137" s="0" t="s">
        <v>79</v>
      </c>
      <c r="AF137" s="3" t="s">
        <v>48</v>
      </c>
      <c r="AG137" s="3" t="s">
        <v>49</v>
      </c>
      <c r="AR137" s="0" t="s">
        <v>938</v>
      </c>
    </row>
    <row r="138" customFormat="false" ht="15" hidden="false" customHeight="false" outlineLevel="0" collapsed="false">
      <c r="A138" s="0" t="n">
        <v>137</v>
      </c>
      <c r="B138" s="0" t="s">
        <v>942</v>
      </c>
      <c r="C138" s="0" t="s">
        <v>43</v>
      </c>
      <c r="F138" s="0" t="s">
        <v>44</v>
      </c>
      <c r="H138" s="0" t="s">
        <v>943</v>
      </c>
      <c r="I138" s="0" t="s">
        <v>46</v>
      </c>
      <c r="AA138" s="0" t="s">
        <v>47</v>
      </c>
      <c r="AF138" s="3" t="s">
        <v>48</v>
      </c>
      <c r="AG138" s="3" t="s">
        <v>49</v>
      </c>
      <c r="AR138" s="0" t="s">
        <v>50</v>
      </c>
    </row>
    <row r="139" customFormat="false" ht="15" hidden="false" customHeight="false" outlineLevel="0" collapsed="false">
      <c r="A139" s="0" t="n">
        <v>138</v>
      </c>
      <c r="B139" s="0" t="s">
        <v>944</v>
      </c>
      <c r="C139" s="0" t="s">
        <v>43</v>
      </c>
      <c r="F139" s="0" t="s">
        <v>44</v>
      </c>
      <c r="AA139" s="0" t="s">
        <v>47</v>
      </c>
      <c r="AF139" s="3" t="s">
        <v>48</v>
      </c>
      <c r="AG139" s="3" t="s">
        <v>49</v>
      </c>
      <c r="AR139" s="0" t="s">
        <v>50</v>
      </c>
    </row>
    <row r="140" customFormat="false" ht="15" hidden="false" customHeight="false" outlineLevel="0" collapsed="false">
      <c r="A140" s="0" t="n">
        <v>139</v>
      </c>
      <c r="B140" s="0" t="s">
        <v>945</v>
      </c>
      <c r="C140" s="0" t="s">
        <v>61</v>
      </c>
      <c r="D140" s="0" t="s">
        <v>946</v>
      </c>
      <c r="E140" s="0" t="s">
        <v>947</v>
      </c>
      <c r="H140" s="0" t="s">
        <v>948</v>
      </c>
      <c r="I140" s="0" t="s">
        <v>94</v>
      </c>
      <c r="N140" s="3" t="s">
        <v>136</v>
      </c>
      <c r="O140" s="3" t="s">
        <v>136</v>
      </c>
      <c r="P140" s="0" t="s">
        <v>55</v>
      </c>
      <c r="AA140" s="0" t="s">
        <v>47</v>
      </c>
      <c r="AB140" s="0" t="s">
        <v>949</v>
      </c>
      <c r="AC140" s="0" t="s">
        <v>950</v>
      </c>
      <c r="AD140" s="0" t="s">
        <v>951</v>
      </c>
      <c r="AE140" s="0" t="s">
        <v>79</v>
      </c>
      <c r="AF140" s="3" t="s">
        <v>149</v>
      </c>
      <c r="AG140" s="3" t="s">
        <v>81</v>
      </c>
      <c r="AK140" s="0" t="s">
        <v>952</v>
      </c>
      <c r="AP140" s="0" t="s">
        <v>953</v>
      </c>
      <c r="AR140" s="0" t="s">
        <v>954</v>
      </c>
    </row>
    <row r="141" customFormat="false" ht="15" hidden="false" customHeight="false" outlineLevel="0" collapsed="false">
      <c r="A141" s="0" t="n">
        <v>140</v>
      </c>
      <c r="B141" s="0" t="s">
        <v>955</v>
      </c>
      <c r="C141" s="0" t="s">
        <v>88</v>
      </c>
      <c r="E141" s="0" t="s">
        <v>956</v>
      </c>
      <c r="N141" s="3" t="s">
        <v>95</v>
      </c>
      <c r="O141" s="3" t="s">
        <v>95</v>
      </c>
      <c r="P141" s="0" t="s">
        <v>96</v>
      </c>
      <c r="AA141" s="0" t="s">
        <v>47</v>
      </c>
      <c r="AB141" s="0" t="s">
        <v>957</v>
      </c>
      <c r="AC141" s="0" t="s">
        <v>958</v>
      </c>
      <c r="AD141" s="0" t="s">
        <v>959</v>
      </c>
      <c r="AE141" s="0" t="s">
        <v>79</v>
      </c>
      <c r="AF141" s="3" t="s">
        <v>48</v>
      </c>
      <c r="AG141" s="3" t="s">
        <v>49</v>
      </c>
      <c r="AR141" s="0" t="s">
        <v>956</v>
      </c>
    </row>
    <row r="142" customFormat="false" ht="15" hidden="false" customHeight="false" outlineLevel="0" collapsed="false">
      <c r="A142" s="0" t="n">
        <v>141</v>
      </c>
      <c r="B142" s="0" t="s">
        <v>960</v>
      </c>
      <c r="C142" s="0" t="s">
        <v>43</v>
      </c>
      <c r="F142" s="0" t="s">
        <v>44</v>
      </c>
      <c r="AA142" s="0" t="s">
        <v>47</v>
      </c>
      <c r="AF142" s="3" t="s">
        <v>48</v>
      </c>
      <c r="AG142" s="3" t="s">
        <v>49</v>
      </c>
      <c r="AR142" s="0" t="s">
        <v>50</v>
      </c>
    </row>
    <row r="143" customFormat="false" ht="15" hidden="false" customHeight="false" outlineLevel="0" collapsed="false">
      <c r="A143" s="0" t="n">
        <v>142</v>
      </c>
      <c r="B143" s="0" t="s">
        <v>961</v>
      </c>
      <c r="C143" s="0" t="s">
        <v>914</v>
      </c>
      <c r="E143" s="0" t="s">
        <v>962</v>
      </c>
      <c r="F143" s="0" t="s">
        <v>146</v>
      </c>
      <c r="H143" s="0" t="s">
        <v>963</v>
      </c>
      <c r="I143" s="0" t="s">
        <v>154</v>
      </c>
      <c r="N143" s="3" t="s">
        <v>186</v>
      </c>
      <c r="O143" s="3" t="s">
        <v>186</v>
      </c>
      <c r="P143" s="0" t="s">
        <v>96</v>
      </c>
      <c r="Q143" s="0" t="s">
        <v>964</v>
      </c>
      <c r="AA143" s="0" t="s">
        <v>47</v>
      </c>
      <c r="AB143" s="0" t="s">
        <v>965</v>
      </c>
      <c r="AC143" s="0" t="s">
        <v>966</v>
      </c>
      <c r="AD143" s="0" t="s">
        <v>967</v>
      </c>
      <c r="AE143" s="0" t="s">
        <v>79</v>
      </c>
      <c r="AF143" s="3" t="s">
        <v>108</v>
      </c>
      <c r="AG143" s="3" t="s">
        <v>49</v>
      </c>
      <c r="AH143" s="0" t="n">
        <v>2026</v>
      </c>
      <c r="AI143" s="0" t="s">
        <v>968</v>
      </c>
      <c r="AJ143" s="0" t="s">
        <v>969</v>
      </c>
      <c r="AK143" s="0" t="s">
        <v>970</v>
      </c>
      <c r="AL143" s="0" t="s">
        <v>971</v>
      </c>
      <c r="AM143" s="0" t="s">
        <v>972</v>
      </c>
      <c r="AO143" s="0" t="s">
        <v>973</v>
      </c>
      <c r="AP143" s="0" t="s">
        <v>973</v>
      </c>
      <c r="AR143" s="0" t="s">
        <v>974</v>
      </c>
    </row>
    <row r="144" customFormat="false" ht="15" hidden="false" customHeight="false" outlineLevel="0" collapsed="false">
      <c r="A144" s="0" t="n">
        <v>143</v>
      </c>
      <c r="B144" s="0" t="s">
        <v>975</v>
      </c>
      <c r="C144" s="0" t="s">
        <v>43</v>
      </c>
      <c r="F144" s="0" t="s">
        <v>44</v>
      </c>
      <c r="H144" s="0" t="s">
        <v>976</v>
      </c>
      <c r="I144" s="0" t="s">
        <v>46</v>
      </c>
      <c r="AA144" s="0" t="s">
        <v>47</v>
      </c>
      <c r="AF144" s="3" t="s">
        <v>48</v>
      </c>
      <c r="AG144" s="3" t="s">
        <v>49</v>
      </c>
      <c r="AR144" s="0" t="s">
        <v>50</v>
      </c>
    </row>
    <row r="145" customFormat="false" ht="15" hidden="false" customHeight="false" outlineLevel="0" collapsed="false">
      <c r="A145" s="0" t="n">
        <v>144</v>
      </c>
      <c r="B145" s="0" t="s">
        <v>977</v>
      </c>
      <c r="C145" s="0" t="s">
        <v>43</v>
      </c>
      <c r="F145" s="0" t="s">
        <v>44</v>
      </c>
      <c r="H145" s="0" t="s">
        <v>978</v>
      </c>
      <c r="I145" s="0" t="s">
        <v>154</v>
      </c>
      <c r="AA145" s="0" t="s">
        <v>47</v>
      </c>
      <c r="AF145" s="3" t="s">
        <v>48</v>
      </c>
      <c r="AG145" s="3" t="s">
        <v>49</v>
      </c>
      <c r="AL145" s="0" t="s">
        <v>979</v>
      </c>
      <c r="AO145" s="0" t="s">
        <v>980</v>
      </c>
      <c r="AP145" s="0" t="s">
        <v>980</v>
      </c>
      <c r="AR145" s="0" t="s">
        <v>981</v>
      </c>
    </row>
    <row r="146" customFormat="false" ht="15" hidden="false" customHeight="false" outlineLevel="0" collapsed="false">
      <c r="A146" s="0" t="n">
        <v>145</v>
      </c>
      <c r="B146" s="0" t="s">
        <v>982</v>
      </c>
      <c r="C146" s="0" t="s">
        <v>88</v>
      </c>
      <c r="E146" s="0" t="s">
        <v>983</v>
      </c>
      <c r="H146" s="0" t="s">
        <v>984</v>
      </c>
      <c r="I146" s="0" t="s">
        <v>94</v>
      </c>
      <c r="J146" s="3" t="s">
        <v>66</v>
      </c>
      <c r="K146" s="0" t="s">
        <v>985</v>
      </c>
      <c r="M146" s="0" t="n">
        <v>1904</v>
      </c>
      <c r="N146" s="0" t="s">
        <v>986</v>
      </c>
      <c r="O146" s="3" t="s">
        <v>147</v>
      </c>
      <c r="P146" s="0" t="s">
        <v>96</v>
      </c>
      <c r="R146" s="0" t="n">
        <v>13500</v>
      </c>
      <c r="S146" s="0" t="n">
        <v>2025</v>
      </c>
      <c r="T146" s="0" t="s">
        <v>72</v>
      </c>
      <c r="U146" s="0" t="s">
        <v>115</v>
      </c>
      <c r="V146" s="0" t="n">
        <v>6552</v>
      </c>
      <c r="W146" s="0" t="s">
        <v>987</v>
      </c>
      <c r="X146" s="0" t="s">
        <v>764</v>
      </c>
      <c r="Y146" s="0" t="s">
        <v>72</v>
      </c>
      <c r="Z146" s="0" t="s">
        <v>115</v>
      </c>
      <c r="AA146" s="0" t="s">
        <v>75</v>
      </c>
      <c r="AB146" s="0" t="s">
        <v>988</v>
      </c>
      <c r="AC146" s="0" t="s">
        <v>989</v>
      </c>
      <c r="AD146" s="0" t="s">
        <v>990</v>
      </c>
      <c r="AE146" s="0" t="s">
        <v>115</v>
      </c>
      <c r="AF146" s="3" t="s">
        <v>125</v>
      </c>
      <c r="AG146" s="3" t="s">
        <v>81</v>
      </c>
      <c r="AK146" s="3" t="s">
        <v>991</v>
      </c>
      <c r="AL146" s="0" t="s">
        <v>992</v>
      </c>
      <c r="AN146" s="0" t="s">
        <v>993</v>
      </c>
      <c r="AO146" s="0" t="s">
        <v>994</v>
      </c>
      <c r="AP146" s="0" t="s">
        <v>994</v>
      </c>
      <c r="AR146" s="0" t="s">
        <v>995</v>
      </c>
    </row>
    <row r="147" customFormat="false" ht="15" hidden="false" customHeight="false" outlineLevel="0" collapsed="false">
      <c r="A147" s="0" t="n">
        <v>146</v>
      </c>
      <c r="B147" s="0" t="s">
        <v>996</v>
      </c>
      <c r="C147" s="0" t="s">
        <v>88</v>
      </c>
      <c r="E147" s="0" t="s">
        <v>997</v>
      </c>
      <c r="H147" s="0" t="s">
        <v>984</v>
      </c>
      <c r="I147" s="0" t="s">
        <v>94</v>
      </c>
      <c r="J147" s="3" t="s">
        <v>66</v>
      </c>
      <c r="K147" s="0" t="s">
        <v>985</v>
      </c>
      <c r="M147" s="0" t="n">
        <v>1904</v>
      </c>
      <c r="N147" s="0" t="s">
        <v>986</v>
      </c>
      <c r="O147" s="3" t="s">
        <v>147</v>
      </c>
      <c r="P147" s="0" t="s">
        <v>96</v>
      </c>
      <c r="R147" s="0" t="n">
        <v>13500</v>
      </c>
      <c r="S147" s="0" t="n">
        <v>2025</v>
      </c>
      <c r="T147" s="0" t="s">
        <v>72</v>
      </c>
      <c r="U147" s="0" t="s">
        <v>115</v>
      </c>
      <c r="V147" s="0" t="n">
        <v>6552</v>
      </c>
      <c r="W147" s="0" t="s">
        <v>987</v>
      </c>
      <c r="X147" s="0" t="s">
        <v>764</v>
      </c>
      <c r="Y147" s="0" t="s">
        <v>72</v>
      </c>
      <c r="Z147" s="0" t="s">
        <v>115</v>
      </c>
      <c r="AA147" s="0" t="s">
        <v>75</v>
      </c>
      <c r="AB147" s="0" t="s">
        <v>988</v>
      </c>
      <c r="AC147" s="0" t="s">
        <v>989</v>
      </c>
      <c r="AD147" s="0" t="s">
        <v>990</v>
      </c>
      <c r="AE147" s="0" t="s">
        <v>115</v>
      </c>
      <c r="AF147" s="3" t="s">
        <v>125</v>
      </c>
      <c r="AG147" s="3" t="s">
        <v>81</v>
      </c>
      <c r="AK147" s="3" t="s">
        <v>991</v>
      </c>
      <c r="AL147" s="0" t="s">
        <v>992</v>
      </c>
      <c r="AN147" s="0" t="s">
        <v>993</v>
      </c>
      <c r="AO147" s="0" t="s">
        <v>994</v>
      </c>
      <c r="AP147" s="0" t="s">
        <v>994</v>
      </c>
      <c r="AR147" s="0" t="s">
        <v>998</v>
      </c>
    </row>
    <row r="148" customFormat="false" ht="15" hidden="false" customHeight="false" outlineLevel="0" collapsed="false">
      <c r="A148" s="0" t="n">
        <v>147</v>
      </c>
      <c r="B148" s="0" t="s">
        <v>999</v>
      </c>
      <c r="C148" s="0" t="s">
        <v>61</v>
      </c>
      <c r="D148" s="0" t="s">
        <v>1000</v>
      </c>
      <c r="E148" s="0" t="s">
        <v>1001</v>
      </c>
      <c r="H148" s="0" t="s">
        <v>1002</v>
      </c>
      <c r="I148" s="0" t="s">
        <v>154</v>
      </c>
      <c r="N148" s="3" t="s">
        <v>54</v>
      </c>
      <c r="O148" s="3" t="s">
        <v>54</v>
      </c>
      <c r="P148" s="0" t="s">
        <v>55</v>
      </c>
      <c r="AA148" s="0" t="s">
        <v>47</v>
      </c>
      <c r="AB148" s="0" t="s">
        <v>1003</v>
      </c>
      <c r="AC148" s="0" t="s">
        <v>1004</v>
      </c>
      <c r="AD148" s="0" t="s">
        <v>1005</v>
      </c>
      <c r="AE148" s="0" t="s">
        <v>79</v>
      </c>
      <c r="AF148" s="3" t="s">
        <v>149</v>
      </c>
      <c r="AG148" s="3" t="s">
        <v>81</v>
      </c>
      <c r="AK148" s="0" t="s">
        <v>1006</v>
      </c>
      <c r="AL148" s="0" t="s">
        <v>1007</v>
      </c>
      <c r="AO148" s="0" t="s">
        <v>1008</v>
      </c>
      <c r="AP148" s="0" t="s">
        <v>1008</v>
      </c>
      <c r="AR148" s="0" t="s">
        <v>1009</v>
      </c>
    </row>
    <row r="149" customFormat="false" ht="15" hidden="false" customHeight="false" outlineLevel="0" collapsed="false">
      <c r="A149" s="0" t="n">
        <v>148</v>
      </c>
      <c r="B149" s="0" t="s">
        <v>1010</v>
      </c>
      <c r="C149" s="0" t="s">
        <v>43</v>
      </c>
      <c r="F149" s="0" t="s">
        <v>44</v>
      </c>
      <c r="H149" s="0" t="s">
        <v>1011</v>
      </c>
      <c r="I149" s="0" t="s">
        <v>154</v>
      </c>
      <c r="AA149" s="0" t="s">
        <v>47</v>
      </c>
      <c r="AF149" s="3" t="s">
        <v>48</v>
      </c>
      <c r="AG149" s="3" t="s">
        <v>49</v>
      </c>
      <c r="AL149" s="0" t="s">
        <v>1012</v>
      </c>
      <c r="AM149" s="0" t="s">
        <v>1013</v>
      </c>
      <c r="AO149" s="0" t="s">
        <v>1014</v>
      </c>
      <c r="AP149" s="0" t="s">
        <v>1014</v>
      </c>
      <c r="AR149" s="0" t="s">
        <v>1015</v>
      </c>
    </row>
    <row r="150" customFormat="false" ht="15" hidden="false" customHeight="false" outlineLevel="0" collapsed="false">
      <c r="A150" s="0" t="n">
        <v>149</v>
      </c>
      <c r="B150" s="0" t="s">
        <v>1016</v>
      </c>
      <c r="C150" s="0" t="s">
        <v>52</v>
      </c>
      <c r="D150" s="0" t="s">
        <v>1017</v>
      </c>
      <c r="H150" s="0" t="s">
        <v>103</v>
      </c>
      <c r="I150" s="0" t="s">
        <v>115</v>
      </c>
      <c r="J150" s="3" t="s">
        <v>66</v>
      </c>
      <c r="K150" s="0" t="s">
        <v>1018</v>
      </c>
      <c r="M150" s="0" t="n">
        <v>1978</v>
      </c>
      <c r="N150" s="0" t="s">
        <v>1019</v>
      </c>
      <c r="O150" s="3" t="s">
        <v>104</v>
      </c>
      <c r="P150" s="0" t="s">
        <v>55</v>
      </c>
      <c r="R150" s="0" t="n">
        <v>2700</v>
      </c>
      <c r="S150" s="0" t="n">
        <v>2025</v>
      </c>
      <c r="T150" s="0" t="s">
        <v>698</v>
      </c>
      <c r="U150" s="0" t="s">
        <v>115</v>
      </c>
      <c r="V150" s="0" t="n">
        <v>594</v>
      </c>
      <c r="W150" s="0" t="s">
        <v>1020</v>
      </c>
      <c r="X150" s="0" t="s">
        <v>1021</v>
      </c>
      <c r="Y150" s="0" t="s">
        <v>72</v>
      </c>
      <c r="Z150" s="0" t="s">
        <v>115</v>
      </c>
      <c r="AA150" s="0" t="s">
        <v>1022</v>
      </c>
      <c r="AB150" s="0" t="s">
        <v>1023</v>
      </c>
      <c r="AC150" s="0" t="s">
        <v>1024</v>
      </c>
      <c r="AD150" s="0" t="s">
        <v>1025</v>
      </c>
      <c r="AE150" s="0" t="s">
        <v>115</v>
      </c>
      <c r="AF150" s="3" t="s">
        <v>108</v>
      </c>
      <c r="AG150" s="3" t="s">
        <v>404</v>
      </c>
      <c r="AH150" s="0" t="n">
        <v>2026</v>
      </c>
      <c r="AI150" s="0" t="s">
        <v>1026</v>
      </c>
      <c r="AJ150" s="0" t="s">
        <v>1027</v>
      </c>
      <c r="AK150" s="0" t="s">
        <v>1028</v>
      </c>
      <c r="AL150" s="0" t="s">
        <v>1029</v>
      </c>
      <c r="AN150" s="0" t="s">
        <v>1030</v>
      </c>
      <c r="AP150" s="0" t="s">
        <v>1031</v>
      </c>
      <c r="AR150" s="0" t="s">
        <v>1032</v>
      </c>
    </row>
    <row r="151" customFormat="false" ht="15" hidden="false" customHeight="false" outlineLevel="0" collapsed="false">
      <c r="A151" s="0" t="n">
        <v>150</v>
      </c>
      <c r="B151" s="0" t="s">
        <v>1033</v>
      </c>
      <c r="C151" s="0" t="s">
        <v>88</v>
      </c>
      <c r="E151" s="0" t="s">
        <v>1034</v>
      </c>
      <c r="H151" s="0" t="s">
        <v>103</v>
      </c>
      <c r="I151" s="0" t="s">
        <v>115</v>
      </c>
      <c r="J151" s="3" t="s">
        <v>66</v>
      </c>
      <c r="K151" s="0" t="s">
        <v>1018</v>
      </c>
      <c r="M151" s="0" t="n">
        <v>1978</v>
      </c>
      <c r="N151" s="0" t="s">
        <v>1019</v>
      </c>
      <c r="O151" s="3" t="s">
        <v>202</v>
      </c>
      <c r="P151" s="0" t="s">
        <v>96</v>
      </c>
      <c r="R151" s="0" t="n">
        <v>2700</v>
      </c>
      <c r="S151" s="0" t="n">
        <v>2025</v>
      </c>
      <c r="T151" s="0" t="s">
        <v>698</v>
      </c>
      <c r="U151" s="0" t="s">
        <v>115</v>
      </c>
      <c r="V151" s="0" t="n">
        <v>594</v>
      </c>
      <c r="W151" s="0" t="s">
        <v>1020</v>
      </c>
      <c r="X151" s="0" t="s">
        <v>1021</v>
      </c>
      <c r="Y151" s="0" t="s">
        <v>72</v>
      </c>
      <c r="Z151" s="0" t="s">
        <v>115</v>
      </c>
      <c r="AA151" s="0" t="s">
        <v>1022</v>
      </c>
      <c r="AB151" s="0" t="s">
        <v>1023</v>
      </c>
      <c r="AC151" s="0" t="s">
        <v>1024</v>
      </c>
      <c r="AD151" s="0" t="s">
        <v>1025</v>
      </c>
      <c r="AE151" s="0" t="s">
        <v>115</v>
      </c>
      <c r="AF151" s="3" t="s">
        <v>108</v>
      </c>
      <c r="AG151" s="3" t="s">
        <v>404</v>
      </c>
      <c r="AH151" s="0" t="n">
        <v>2026</v>
      </c>
      <c r="AI151" s="0" t="s">
        <v>1026</v>
      </c>
      <c r="AJ151" s="0" t="s">
        <v>1027</v>
      </c>
      <c r="AK151" s="0" t="s">
        <v>1028</v>
      </c>
      <c r="AL151" s="0" t="s">
        <v>1029</v>
      </c>
      <c r="AN151" s="0" t="s">
        <v>1030</v>
      </c>
      <c r="AP151" s="0" t="s">
        <v>1031</v>
      </c>
      <c r="AR151" s="0" t="s">
        <v>1035</v>
      </c>
    </row>
    <row r="152" customFormat="false" ht="15" hidden="false" customHeight="false" outlineLevel="0" collapsed="false">
      <c r="A152" s="0" t="n">
        <v>151</v>
      </c>
      <c r="B152" s="0" t="s">
        <v>1036</v>
      </c>
      <c r="C152" s="0" t="s">
        <v>88</v>
      </c>
      <c r="E152" s="0" t="s">
        <v>1037</v>
      </c>
      <c r="H152" s="0" t="s">
        <v>1038</v>
      </c>
      <c r="I152" s="0" t="s">
        <v>46</v>
      </c>
      <c r="N152" s="3" t="s">
        <v>186</v>
      </c>
      <c r="O152" s="3" t="s">
        <v>186</v>
      </c>
      <c r="P152" s="0" t="s">
        <v>96</v>
      </c>
      <c r="AA152" s="0" t="s">
        <v>47</v>
      </c>
      <c r="AB152" s="0" t="s">
        <v>1039</v>
      </c>
      <c r="AC152" s="0" t="s">
        <v>1040</v>
      </c>
      <c r="AD152" s="0" t="s">
        <v>1041</v>
      </c>
      <c r="AE152" s="0" t="s">
        <v>79</v>
      </c>
      <c r="AF152" s="3" t="s">
        <v>48</v>
      </c>
      <c r="AG152" s="3" t="s">
        <v>49</v>
      </c>
      <c r="AR152" s="0" t="s">
        <v>1037</v>
      </c>
    </row>
    <row r="153" customFormat="false" ht="15" hidden="false" customHeight="false" outlineLevel="0" collapsed="false">
      <c r="A153" s="0" t="n">
        <v>152</v>
      </c>
      <c r="B153" s="0" t="s">
        <v>1042</v>
      </c>
      <c r="C153" s="0" t="s">
        <v>52</v>
      </c>
      <c r="D153" s="0" t="s">
        <v>1043</v>
      </c>
      <c r="N153" s="3" t="s">
        <v>104</v>
      </c>
      <c r="O153" s="3" t="s">
        <v>104</v>
      </c>
      <c r="P153" s="0" t="s">
        <v>55</v>
      </c>
      <c r="AA153" s="0" t="s">
        <v>47</v>
      </c>
      <c r="AB153" s="0" t="s">
        <v>1044</v>
      </c>
      <c r="AC153" s="0" t="s">
        <v>1045</v>
      </c>
      <c r="AD153" s="0" t="s">
        <v>1046</v>
      </c>
      <c r="AE153" s="0" t="s">
        <v>59</v>
      </c>
      <c r="AF153" s="3" t="s">
        <v>48</v>
      </c>
      <c r="AG153" s="3" t="s">
        <v>49</v>
      </c>
      <c r="AR153" s="0" t="s">
        <v>1043</v>
      </c>
    </row>
    <row r="154" customFormat="false" ht="15" hidden="false" customHeight="false" outlineLevel="0" collapsed="false">
      <c r="A154" s="0" t="n">
        <v>153</v>
      </c>
      <c r="B154" s="0" t="s">
        <v>1047</v>
      </c>
      <c r="C154" s="0" t="s">
        <v>244</v>
      </c>
      <c r="E154" s="0" t="s">
        <v>1048</v>
      </c>
      <c r="F154" s="0" t="s">
        <v>44</v>
      </c>
      <c r="H154" s="0" t="s">
        <v>1049</v>
      </c>
      <c r="I154" s="0" t="s">
        <v>154</v>
      </c>
      <c r="N154" s="3" t="s">
        <v>186</v>
      </c>
      <c r="O154" s="3" t="s">
        <v>186</v>
      </c>
      <c r="P154" s="0" t="s">
        <v>96</v>
      </c>
      <c r="AA154" s="0" t="s">
        <v>47</v>
      </c>
      <c r="AB154" s="0" t="s">
        <v>1050</v>
      </c>
      <c r="AC154" s="0" t="s">
        <v>1051</v>
      </c>
      <c r="AD154" s="0" t="s">
        <v>1052</v>
      </c>
      <c r="AE154" s="0" t="s">
        <v>79</v>
      </c>
      <c r="AF154" s="3" t="s">
        <v>108</v>
      </c>
      <c r="AG154" s="3" t="s">
        <v>49</v>
      </c>
      <c r="AH154" s="0" t="n">
        <v>2026</v>
      </c>
      <c r="AI154" s="0" t="s">
        <v>968</v>
      </c>
      <c r="AJ154" s="0" t="s">
        <v>969</v>
      </c>
      <c r="AK154" s="0" t="s">
        <v>1053</v>
      </c>
      <c r="AL154" s="0" t="s">
        <v>1054</v>
      </c>
      <c r="AM154" s="0" t="s">
        <v>1055</v>
      </c>
      <c r="AO154" s="0" t="s">
        <v>1056</v>
      </c>
      <c r="AP154" s="0" t="s">
        <v>1056</v>
      </c>
      <c r="AR154" s="0" t="s">
        <v>1057</v>
      </c>
    </row>
    <row r="155" customFormat="false" ht="15" hidden="false" customHeight="false" outlineLevel="0" collapsed="false">
      <c r="A155" s="0" t="n">
        <v>154</v>
      </c>
      <c r="B155" s="0" t="s">
        <v>1058</v>
      </c>
      <c r="C155" s="0" t="s">
        <v>88</v>
      </c>
      <c r="E155" s="0" t="s">
        <v>1059</v>
      </c>
      <c r="H155" s="0" t="s">
        <v>1060</v>
      </c>
      <c r="I155" s="0" t="s">
        <v>154</v>
      </c>
      <c r="N155" s="3" t="s">
        <v>202</v>
      </c>
      <c r="O155" s="3" t="s">
        <v>202</v>
      </c>
      <c r="P155" s="0" t="s">
        <v>96</v>
      </c>
      <c r="AA155" s="0" t="s">
        <v>47</v>
      </c>
      <c r="AB155" s="0" t="s">
        <v>1061</v>
      </c>
      <c r="AC155" s="0" t="s">
        <v>1062</v>
      </c>
      <c r="AD155" s="0" t="s">
        <v>1063</v>
      </c>
      <c r="AE155" s="0" t="s">
        <v>79</v>
      </c>
      <c r="AF155" s="3" t="s">
        <v>48</v>
      </c>
      <c r="AG155" s="3" t="s">
        <v>49</v>
      </c>
      <c r="AL155" s="0" t="s">
        <v>1064</v>
      </c>
      <c r="AM155" s="0" t="s">
        <v>1065</v>
      </c>
      <c r="AO155" s="0" t="s">
        <v>1066</v>
      </c>
      <c r="AP155" s="0" t="s">
        <v>1066</v>
      </c>
      <c r="AR155" s="0" t="s">
        <v>1067</v>
      </c>
    </row>
    <row r="156" customFormat="false" ht="15" hidden="false" customHeight="false" outlineLevel="0" collapsed="false">
      <c r="A156" s="0" t="n">
        <v>155</v>
      </c>
      <c r="B156" s="0" t="s">
        <v>1068</v>
      </c>
      <c r="C156" s="0" t="s">
        <v>88</v>
      </c>
      <c r="E156" s="0" t="s">
        <v>1069</v>
      </c>
      <c r="H156" s="0" t="s">
        <v>1070</v>
      </c>
      <c r="I156" s="0" t="s">
        <v>154</v>
      </c>
      <c r="N156" s="3" t="s">
        <v>119</v>
      </c>
      <c r="O156" s="3" t="s">
        <v>119</v>
      </c>
      <c r="P156" s="0" t="s">
        <v>96</v>
      </c>
      <c r="AA156" s="0" t="s">
        <v>47</v>
      </c>
      <c r="AB156" s="0" t="s">
        <v>1071</v>
      </c>
      <c r="AC156" s="0" t="s">
        <v>1072</v>
      </c>
      <c r="AD156" s="0" t="s">
        <v>1073</v>
      </c>
      <c r="AE156" s="0" t="s">
        <v>79</v>
      </c>
      <c r="AF156" s="3" t="s">
        <v>48</v>
      </c>
      <c r="AG156" s="3" t="s">
        <v>49</v>
      </c>
      <c r="AL156" s="0" t="s">
        <v>1074</v>
      </c>
      <c r="AM156" s="0" t="s">
        <v>1075</v>
      </c>
      <c r="AO156" s="0" t="s">
        <v>1076</v>
      </c>
      <c r="AP156" s="0" t="s">
        <v>1076</v>
      </c>
      <c r="AR156" s="0" t="s">
        <v>1077</v>
      </c>
    </row>
    <row r="157" customFormat="false" ht="15" hidden="false" customHeight="false" outlineLevel="0" collapsed="false">
      <c r="A157" s="0" t="n">
        <v>156</v>
      </c>
      <c r="B157" s="0" t="s">
        <v>1078</v>
      </c>
      <c r="C157" s="0" t="s">
        <v>88</v>
      </c>
      <c r="E157" s="0" t="s">
        <v>1079</v>
      </c>
      <c r="H157" s="0" t="s">
        <v>1080</v>
      </c>
      <c r="I157" s="0" t="s">
        <v>46</v>
      </c>
      <c r="AA157" s="0" t="s">
        <v>47</v>
      </c>
      <c r="AF157" s="3" t="s">
        <v>48</v>
      </c>
      <c r="AG157" s="3" t="s">
        <v>49</v>
      </c>
      <c r="AR157" s="0" t="s">
        <v>1079</v>
      </c>
    </row>
    <row r="158" customFormat="false" ht="15" hidden="false" customHeight="false" outlineLevel="0" collapsed="false">
      <c r="A158" s="0" t="n">
        <v>157</v>
      </c>
      <c r="B158" s="0" t="s">
        <v>1081</v>
      </c>
      <c r="C158" s="0" t="s">
        <v>43</v>
      </c>
      <c r="F158" s="0" t="s">
        <v>44</v>
      </c>
      <c r="H158" s="0" t="s">
        <v>1082</v>
      </c>
      <c r="I158" s="0" t="s">
        <v>154</v>
      </c>
      <c r="AA158" s="0" t="s">
        <v>47</v>
      </c>
      <c r="AF158" s="3" t="s">
        <v>108</v>
      </c>
      <c r="AG158" s="3" t="s">
        <v>49</v>
      </c>
      <c r="AH158" s="0" t="n">
        <v>2026</v>
      </c>
      <c r="AI158" s="0" t="s">
        <v>829</v>
      </c>
      <c r="AJ158" s="0" t="s">
        <v>830</v>
      </c>
      <c r="AL158" s="0" t="s">
        <v>1083</v>
      </c>
      <c r="AO158" s="0" t="s">
        <v>1084</v>
      </c>
      <c r="AP158" s="0" t="s">
        <v>1084</v>
      </c>
      <c r="AR158" s="0" t="s">
        <v>1085</v>
      </c>
    </row>
    <row r="159" customFormat="false" ht="15" hidden="false" customHeight="false" outlineLevel="0" collapsed="false">
      <c r="A159" s="0" t="n">
        <v>158</v>
      </c>
      <c r="B159" s="0" t="s">
        <v>1086</v>
      </c>
      <c r="C159" s="0" t="s">
        <v>88</v>
      </c>
      <c r="E159" s="0" t="s">
        <v>1087</v>
      </c>
      <c r="H159" s="0" t="s">
        <v>1088</v>
      </c>
      <c r="I159" s="0" t="s">
        <v>154</v>
      </c>
      <c r="AA159" s="0" t="s">
        <v>47</v>
      </c>
      <c r="AF159" s="3" t="s">
        <v>48</v>
      </c>
      <c r="AG159" s="3" t="s">
        <v>49</v>
      </c>
      <c r="AL159" s="0" t="s">
        <v>1089</v>
      </c>
      <c r="AM159" s="0" t="s">
        <v>1090</v>
      </c>
      <c r="AO159" s="0" t="s">
        <v>1091</v>
      </c>
      <c r="AP159" s="0" t="s">
        <v>1091</v>
      </c>
      <c r="AR159" s="0" t="s">
        <v>1092</v>
      </c>
    </row>
    <row r="160" customFormat="false" ht="15" hidden="false" customHeight="false" outlineLevel="0" collapsed="false">
      <c r="A160" s="0" t="n">
        <v>159</v>
      </c>
      <c r="B160" s="0" t="s">
        <v>1093</v>
      </c>
      <c r="C160" s="0" t="s">
        <v>244</v>
      </c>
      <c r="E160" s="0" t="s">
        <v>1094</v>
      </c>
      <c r="F160" s="0" t="s">
        <v>44</v>
      </c>
      <c r="N160" s="3" t="s">
        <v>202</v>
      </c>
      <c r="O160" s="3" t="s">
        <v>202</v>
      </c>
      <c r="P160" s="0" t="s">
        <v>96</v>
      </c>
      <c r="AA160" s="0" t="s">
        <v>47</v>
      </c>
      <c r="AB160" s="0" t="s">
        <v>1095</v>
      </c>
      <c r="AC160" s="0" t="s">
        <v>1096</v>
      </c>
      <c r="AD160" s="0" t="s">
        <v>1097</v>
      </c>
      <c r="AE160" s="0" t="s">
        <v>79</v>
      </c>
      <c r="AF160" s="3" t="s">
        <v>149</v>
      </c>
      <c r="AG160" s="3" t="s">
        <v>81</v>
      </c>
      <c r="AK160" s="0" t="s">
        <v>1098</v>
      </c>
      <c r="AR160" s="0" t="s">
        <v>1099</v>
      </c>
    </row>
    <row r="161" customFormat="false" ht="15" hidden="false" customHeight="false" outlineLevel="0" collapsed="false">
      <c r="A161" s="0" t="n">
        <v>160</v>
      </c>
      <c r="B161" s="0" t="s">
        <v>1100</v>
      </c>
      <c r="C161" s="0" t="s">
        <v>88</v>
      </c>
      <c r="E161" s="0" t="s">
        <v>1101</v>
      </c>
      <c r="N161" s="3" t="s">
        <v>186</v>
      </c>
      <c r="O161" s="3" t="s">
        <v>186</v>
      </c>
      <c r="P161" s="0" t="s">
        <v>96</v>
      </c>
      <c r="AA161" s="0" t="s">
        <v>47</v>
      </c>
      <c r="AB161" s="0" t="s">
        <v>1102</v>
      </c>
      <c r="AC161" s="0" t="s">
        <v>1103</v>
      </c>
      <c r="AD161" s="0" t="s">
        <v>1104</v>
      </c>
      <c r="AE161" s="0" t="s">
        <v>79</v>
      </c>
      <c r="AF161" s="3" t="s">
        <v>48</v>
      </c>
      <c r="AG161" s="3" t="s">
        <v>49</v>
      </c>
      <c r="AR161" s="0" t="s">
        <v>1101</v>
      </c>
    </row>
    <row r="162" customFormat="false" ht="15" hidden="false" customHeight="false" outlineLevel="0" collapsed="false">
      <c r="A162" s="0" t="n">
        <v>161</v>
      </c>
      <c r="B162" s="0" t="s">
        <v>1105</v>
      </c>
      <c r="C162" s="0" t="s">
        <v>88</v>
      </c>
      <c r="E162" s="0" t="s">
        <v>1106</v>
      </c>
      <c r="H162" s="0" t="s">
        <v>1107</v>
      </c>
      <c r="I162" s="0" t="s">
        <v>154</v>
      </c>
      <c r="AA162" s="0" t="s">
        <v>47</v>
      </c>
      <c r="AF162" s="3" t="s">
        <v>48</v>
      </c>
      <c r="AG162" s="3" t="s">
        <v>49</v>
      </c>
      <c r="AL162" s="0" t="s">
        <v>1108</v>
      </c>
      <c r="AO162" s="0" t="s">
        <v>1109</v>
      </c>
      <c r="AP162" s="0" t="s">
        <v>1109</v>
      </c>
      <c r="AR162" s="0" t="s">
        <v>1110</v>
      </c>
    </row>
    <row r="163" customFormat="false" ht="15" hidden="false" customHeight="false" outlineLevel="0" collapsed="false">
      <c r="A163" s="0" t="n">
        <v>162</v>
      </c>
      <c r="B163" s="0" t="s">
        <v>1111</v>
      </c>
      <c r="C163" s="0" t="s">
        <v>88</v>
      </c>
      <c r="E163" s="0" t="s">
        <v>1112</v>
      </c>
      <c r="H163" s="0" t="s">
        <v>1113</v>
      </c>
      <c r="I163" s="0" t="s">
        <v>94</v>
      </c>
      <c r="AA163" s="0" t="s">
        <v>47</v>
      </c>
      <c r="AB163" s="0" t="s">
        <v>1114</v>
      </c>
      <c r="AC163" s="0" t="s">
        <v>1115</v>
      </c>
      <c r="AD163" s="0" t="s">
        <v>1116</v>
      </c>
      <c r="AE163" s="0" t="s">
        <v>79</v>
      </c>
      <c r="AF163" s="3" t="s">
        <v>48</v>
      </c>
      <c r="AG163" s="3" t="s">
        <v>49</v>
      </c>
      <c r="AL163" s="0" t="s">
        <v>1117</v>
      </c>
      <c r="AO163" s="0" t="s">
        <v>1118</v>
      </c>
      <c r="AP163" s="0" t="s">
        <v>1118</v>
      </c>
      <c r="AR163" s="0" t="s">
        <v>1119</v>
      </c>
    </row>
    <row r="164" customFormat="false" ht="15" hidden="false" customHeight="false" outlineLevel="0" collapsed="false">
      <c r="A164" s="0" t="n">
        <v>163</v>
      </c>
      <c r="B164" s="0" t="s">
        <v>1120</v>
      </c>
      <c r="C164" s="0" t="s">
        <v>52</v>
      </c>
      <c r="D164" s="0" t="s">
        <v>1121</v>
      </c>
      <c r="H164" s="0" t="s">
        <v>1122</v>
      </c>
      <c r="I164" s="0" t="s">
        <v>154</v>
      </c>
      <c r="N164" s="3" t="s">
        <v>104</v>
      </c>
      <c r="O164" s="3" t="s">
        <v>104</v>
      </c>
      <c r="P164" s="0" t="s">
        <v>55</v>
      </c>
      <c r="AA164" s="0" t="s">
        <v>47</v>
      </c>
      <c r="AB164" s="0" t="s">
        <v>1123</v>
      </c>
      <c r="AC164" s="0" t="s">
        <v>1124</v>
      </c>
      <c r="AD164" s="0" t="s">
        <v>1125</v>
      </c>
      <c r="AE164" s="0" t="s">
        <v>59</v>
      </c>
      <c r="AF164" s="3" t="s">
        <v>48</v>
      </c>
      <c r="AG164" s="3" t="s">
        <v>49</v>
      </c>
      <c r="AL164" s="0" t="s">
        <v>1126</v>
      </c>
      <c r="AO164" s="0" t="s">
        <v>1127</v>
      </c>
      <c r="AP164" s="0" t="s">
        <v>1127</v>
      </c>
      <c r="AR164" s="0" t="s">
        <v>1128</v>
      </c>
    </row>
    <row r="165" customFormat="false" ht="15" hidden="false" customHeight="false" outlineLevel="0" collapsed="false">
      <c r="A165" s="0" t="n">
        <v>164</v>
      </c>
      <c r="B165" s="0" t="s">
        <v>1129</v>
      </c>
      <c r="C165" s="0" t="s">
        <v>88</v>
      </c>
      <c r="E165" s="0" t="s">
        <v>1130</v>
      </c>
      <c r="H165" s="0" t="s">
        <v>1131</v>
      </c>
      <c r="I165" s="0" t="s">
        <v>46</v>
      </c>
      <c r="N165" s="3" t="s">
        <v>202</v>
      </c>
      <c r="O165" s="3" t="s">
        <v>202</v>
      </c>
      <c r="P165" s="0" t="s">
        <v>96</v>
      </c>
      <c r="AA165" s="0" t="s">
        <v>47</v>
      </c>
      <c r="AB165" s="0" t="s">
        <v>1132</v>
      </c>
      <c r="AC165" s="0" t="s">
        <v>1133</v>
      </c>
      <c r="AD165" s="0" t="s">
        <v>1134</v>
      </c>
      <c r="AE165" s="0" t="s">
        <v>79</v>
      </c>
      <c r="AF165" s="3" t="s">
        <v>48</v>
      </c>
      <c r="AG165" s="3" t="s">
        <v>49</v>
      </c>
      <c r="AR165" s="0" t="s">
        <v>1130</v>
      </c>
    </row>
    <row r="166" customFormat="false" ht="15" hidden="false" customHeight="false" outlineLevel="0" collapsed="false">
      <c r="A166" s="0" t="n">
        <v>165</v>
      </c>
      <c r="B166" s="0" t="s">
        <v>1135</v>
      </c>
      <c r="C166" s="0" t="s">
        <v>43</v>
      </c>
      <c r="F166" s="0" t="s">
        <v>44</v>
      </c>
      <c r="H166" s="0" t="s">
        <v>1136</v>
      </c>
      <c r="I166" s="0" t="s">
        <v>115</v>
      </c>
      <c r="J166" s="3" t="s">
        <v>66</v>
      </c>
      <c r="K166" s="0" t="s">
        <v>1137</v>
      </c>
      <c r="L166" s="0" t="s">
        <v>1138</v>
      </c>
      <c r="M166" s="0" t="n">
        <v>1897</v>
      </c>
      <c r="N166" s="0" t="s">
        <v>1139</v>
      </c>
      <c r="R166" s="0" t="n">
        <v>8000</v>
      </c>
      <c r="S166" s="0" t="n">
        <v>2025</v>
      </c>
      <c r="T166" s="0" t="s">
        <v>698</v>
      </c>
      <c r="U166" s="0" t="s">
        <v>115</v>
      </c>
      <c r="V166" s="0" t="n">
        <v>3400</v>
      </c>
      <c r="W166" s="0" t="s">
        <v>1140</v>
      </c>
      <c r="X166" s="0" t="s">
        <v>1141</v>
      </c>
      <c r="Y166" s="0" t="s">
        <v>1142</v>
      </c>
      <c r="Z166" s="0" t="s">
        <v>115</v>
      </c>
      <c r="AA166" s="0" t="s">
        <v>75</v>
      </c>
      <c r="AB166" s="0" t="s">
        <v>1143</v>
      </c>
      <c r="AC166" s="0" t="s">
        <v>1144</v>
      </c>
      <c r="AD166" s="0" t="s">
        <v>1145</v>
      </c>
      <c r="AE166" s="0" t="s">
        <v>115</v>
      </c>
      <c r="AF166" s="3" t="s">
        <v>80</v>
      </c>
      <c r="AG166" s="3" t="s">
        <v>404</v>
      </c>
      <c r="AH166" s="0" t="n">
        <v>2026</v>
      </c>
      <c r="AI166" s="0" t="s">
        <v>1146</v>
      </c>
      <c r="AJ166" s="0" t="s">
        <v>1147</v>
      </c>
      <c r="AK166" s="0" t="s">
        <v>1148</v>
      </c>
      <c r="AM166" s="0" t="s">
        <v>1149</v>
      </c>
      <c r="AN166" s="0" t="s">
        <v>1150</v>
      </c>
      <c r="AP166" s="0" t="s">
        <v>1151</v>
      </c>
      <c r="AR166" s="0" t="s">
        <v>1152</v>
      </c>
    </row>
    <row r="167" customFormat="false" ht="15" hidden="false" customHeight="false" outlineLevel="0" collapsed="false">
      <c r="A167" s="0" t="n">
        <v>166</v>
      </c>
      <c r="B167" s="0" t="s">
        <v>1153</v>
      </c>
      <c r="C167" s="0" t="s">
        <v>52</v>
      </c>
      <c r="D167" s="0" t="s">
        <v>1154</v>
      </c>
      <c r="N167" s="3" t="s">
        <v>104</v>
      </c>
      <c r="O167" s="3" t="s">
        <v>104</v>
      </c>
      <c r="P167" s="0" t="s">
        <v>55</v>
      </c>
      <c r="AA167" s="0" t="s">
        <v>47</v>
      </c>
      <c r="AB167" s="0" t="s">
        <v>1155</v>
      </c>
      <c r="AC167" s="0" t="s">
        <v>1156</v>
      </c>
      <c r="AD167" s="0" t="s">
        <v>1157</v>
      </c>
      <c r="AE167" s="0" t="s">
        <v>59</v>
      </c>
      <c r="AF167" s="3" t="s">
        <v>48</v>
      </c>
      <c r="AG167" s="3" t="s">
        <v>49</v>
      </c>
      <c r="AR167" s="0" t="s">
        <v>1154</v>
      </c>
    </row>
    <row r="168" customFormat="false" ht="15" hidden="false" customHeight="false" outlineLevel="0" collapsed="false">
      <c r="A168" s="0" t="n">
        <v>167</v>
      </c>
      <c r="B168" s="0" t="s">
        <v>1158</v>
      </c>
      <c r="C168" s="0" t="s">
        <v>88</v>
      </c>
      <c r="E168" s="0" t="s">
        <v>1159</v>
      </c>
      <c r="H168" s="0" t="s">
        <v>1160</v>
      </c>
      <c r="I168" s="0" t="s">
        <v>46</v>
      </c>
      <c r="N168" s="3" t="s">
        <v>147</v>
      </c>
      <c r="O168" s="3" t="s">
        <v>147</v>
      </c>
      <c r="P168" s="0" t="s">
        <v>96</v>
      </c>
      <c r="AA168" s="0" t="s">
        <v>47</v>
      </c>
      <c r="AB168" s="0" t="s">
        <v>1161</v>
      </c>
      <c r="AC168" s="0" t="s">
        <v>1162</v>
      </c>
      <c r="AD168" s="0" t="s">
        <v>1163</v>
      </c>
      <c r="AE168" s="0" t="s">
        <v>79</v>
      </c>
      <c r="AF168" s="3" t="s">
        <v>48</v>
      </c>
      <c r="AG168" s="3" t="s">
        <v>49</v>
      </c>
      <c r="AR168" s="0" t="s">
        <v>1159</v>
      </c>
    </row>
    <row r="169" customFormat="false" ht="15" hidden="false" customHeight="false" outlineLevel="0" collapsed="false">
      <c r="A169" s="0" t="n">
        <v>168</v>
      </c>
      <c r="B169" s="0" t="s">
        <v>1164</v>
      </c>
      <c r="C169" s="0" t="s">
        <v>244</v>
      </c>
      <c r="E169" s="0" t="s">
        <v>1165</v>
      </c>
      <c r="F169" s="0" t="s">
        <v>44</v>
      </c>
      <c r="H169" s="0" t="s">
        <v>1166</v>
      </c>
      <c r="I169" s="0" t="s">
        <v>115</v>
      </c>
      <c r="J169" s="3" t="s">
        <v>66</v>
      </c>
      <c r="K169" s="0" t="s">
        <v>1167</v>
      </c>
      <c r="L169" s="0" t="s">
        <v>1168</v>
      </c>
      <c r="M169" s="0" t="n">
        <v>1935</v>
      </c>
      <c r="N169" s="0" t="s">
        <v>1169</v>
      </c>
      <c r="O169" s="3" t="s">
        <v>119</v>
      </c>
      <c r="P169" s="0" t="s">
        <v>96</v>
      </c>
      <c r="R169" s="0" t="n">
        <v>12000</v>
      </c>
      <c r="S169" s="0" t="n">
        <v>2025</v>
      </c>
      <c r="T169" s="0" t="s">
        <v>698</v>
      </c>
      <c r="U169" s="0" t="s">
        <v>115</v>
      </c>
      <c r="V169" s="0" t="n">
        <v>9900</v>
      </c>
      <c r="W169" s="0" t="s">
        <v>1170</v>
      </c>
      <c r="X169" s="0" t="s">
        <v>764</v>
      </c>
      <c r="Y169" s="0" t="s">
        <v>1142</v>
      </c>
      <c r="Z169" s="0" t="s">
        <v>115</v>
      </c>
      <c r="AA169" s="0" t="s">
        <v>1022</v>
      </c>
      <c r="AB169" s="0" t="s">
        <v>1171</v>
      </c>
      <c r="AC169" s="0" t="s">
        <v>1172</v>
      </c>
      <c r="AD169" s="0" t="s">
        <v>1173</v>
      </c>
      <c r="AE169" s="0" t="s">
        <v>115</v>
      </c>
      <c r="AF169" s="3" t="s">
        <v>108</v>
      </c>
      <c r="AG169" s="3" t="s">
        <v>404</v>
      </c>
      <c r="AH169" s="0" t="n">
        <v>2026</v>
      </c>
      <c r="AI169" s="0" t="s">
        <v>1174</v>
      </c>
      <c r="AJ169" s="0" t="s">
        <v>1175</v>
      </c>
      <c r="AK169" s="0" t="s">
        <v>1176</v>
      </c>
      <c r="AL169" s="0" t="s">
        <v>1177</v>
      </c>
      <c r="AN169" s="0" t="s">
        <v>1178</v>
      </c>
      <c r="AO169" s="0" t="s">
        <v>1179</v>
      </c>
      <c r="AP169" s="0" t="s">
        <v>1180</v>
      </c>
      <c r="AR169" s="0" t="s">
        <v>1181</v>
      </c>
    </row>
    <row r="170" customFormat="false" ht="15" hidden="false" customHeight="false" outlineLevel="0" collapsed="false">
      <c r="A170" s="0" t="n">
        <v>169</v>
      </c>
      <c r="B170" s="0" t="s">
        <v>1182</v>
      </c>
      <c r="C170" s="0" t="s">
        <v>145</v>
      </c>
      <c r="F170" s="0" t="s">
        <v>146</v>
      </c>
      <c r="H170" s="0" t="s">
        <v>1183</v>
      </c>
      <c r="I170" s="0" t="s">
        <v>154</v>
      </c>
      <c r="N170" s="3" t="s">
        <v>213</v>
      </c>
      <c r="O170" s="3" t="s">
        <v>213</v>
      </c>
      <c r="P170" s="0" t="s">
        <v>96</v>
      </c>
      <c r="Q170" s="0" t="s">
        <v>1184</v>
      </c>
      <c r="AA170" s="0" t="s">
        <v>47</v>
      </c>
      <c r="AF170" s="3" t="s">
        <v>149</v>
      </c>
      <c r="AG170" s="3" t="s">
        <v>81</v>
      </c>
      <c r="AK170" s="0" t="s">
        <v>1185</v>
      </c>
      <c r="AL170" s="0" t="s">
        <v>1186</v>
      </c>
      <c r="AO170" s="0" t="s">
        <v>1187</v>
      </c>
      <c r="AP170" s="0" t="s">
        <v>1187</v>
      </c>
      <c r="AR170" s="0" t="s">
        <v>1188</v>
      </c>
    </row>
    <row r="171" customFormat="false" ht="15" hidden="false" customHeight="false" outlineLevel="0" collapsed="false">
      <c r="A171" s="0" t="n">
        <v>170</v>
      </c>
      <c r="B171" s="0" t="s">
        <v>1189</v>
      </c>
      <c r="C171" s="0" t="s">
        <v>88</v>
      </c>
      <c r="E171" s="0" t="s">
        <v>1190</v>
      </c>
      <c r="N171" s="3" t="s">
        <v>202</v>
      </c>
      <c r="O171" s="3" t="s">
        <v>202</v>
      </c>
      <c r="P171" s="0" t="s">
        <v>96</v>
      </c>
      <c r="AA171" s="0" t="s">
        <v>47</v>
      </c>
      <c r="AB171" s="0" t="s">
        <v>1191</v>
      </c>
      <c r="AC171" s="0" t="s">
        <v>1192</v>
      </c>
      <c r="AD171" s="0" t="s">
        <v>1193</v>
      </c>
      <c r="AE171" s="0" t="s">
        <v>79</v>
      </c>
      <c r="AF171" s="3" t="s">
        <v>48</v>
      </c>
      <c r="AG171" s="3" t="s">
        <v>49</v>
      </c>
      <c r="AR171" s="0" t="s">
        <v>1190</v>
      </c>
    </row>
    <row r="172" customFormat="false" ht="15" hidden="false" customHeight="false" outlineLevel="0" collapsed="false">
      <c r="A172" s="0" t="n">
        <v>171</v>
      </c>
      <c r="B172" s="0" t="s">
        <v>1194</v>
      </c>
      <c r="C172" s="0" t="s">
        <v>43</v>
      </c>
      <c r="F172" s="0" t="s">
        <v>44</v>
      </c>
      <c r="H172" s="0" t="s">
        <v>1195</v>
      </c>
      <c r="I172" s="0" t="s">
        <v>46</v>
      </c>
      <c r="AA172" s="0" t="s">
        <v>47</v>
      </c>
      <c r="AF172" s="3" t="s">
        <v>48</v>
      </c>
      <c r="AG172" s="3" t="s">
        <v>49</v>
      </c>
      <c r="AR172" s="0" t="s">
        <v>50</v>
      </c>
    </row>
    <row r="173" customFormat="false" ht="15" hidden="false" customHeight="false" outlineLevel="0" collapsed="false">
      <c r="A173" s="0" t="n">
        <v>172</v>
      </c>
      <c r="B173" s="0" t="s">
        <v>1196</v>
      </c>
      <c r="C173" s="0" t="s">
        <v>52</v>
      </c>
      <c r="D173" s="0" t="s">
        <v>1197</v>
      </c>
      <c r="N173" s="3" t="s">
        <v>104</v>
      </c>
      <c r="O173" s="3" t="s">
        <v>104</v>
      </c>
      <c r="P173" s="0" t="s">
        <v>55</v>
      </c>
      <c r="AA173" s="0" t="s">
        <v>47</v>
      </c>
      <c r="AB173" s="0" t="s">
        <v>1198</v>
      </c>
      <c r="AC173" s="0" t="s">
        <v>1199</v>
      </c>
      <c r="AD173" s="0" t="s">
        <v>1200</v>
      </c>
      <c r="AE173" s="0" t="s">
        <v>59</v>
      </c>
      <c r="AF173" s="3" t="s">
        <v>108</v>
      </c>
      <c r="AG173" s="3" t="s">
        <v>49</v>
      </c>
      <c r="AH173" s="0" t="n">
        <v>2026</v>
      </c>
      <c r="AI173" s="0" t="s">
        <v>1201</v>
      </c>
      <c r="AJ173" s="0" t="s">
        <v>1202</v>
      </c>
      <c r="AR173" s="0" t="s">
        <v>1203</v>
      </c>
    </row>
    <row r="174" customFormat="false" ht="15" hidden="false" customHeight="false" outlineLevel="0" collapsed="false">
      <c r="A174" s="0" t="n">
        <v>173</v>
      </c>
      <c r="B174" s="0" t="s">
        <v>1204</v>
      </c>
      <c r="C174" s="0" t="s">
        <v>244</v>
      </c>
      <c r="E174" s="0" t="s">
        <v>1205</v>
      </c>
      <c r="F174" s="0" t="s">
        <v>44</v>
      </c>
      <c r="H174" s="0" t="s">
        <v>1206</v>
      </c>
      <c r="I174" s="0" t="s">
        <v>154</v>
      </c>
      <c r="N174" s="3" t="s">
        <v>213</v>
      </c>
      <c r="O174" s="3" t="s">
        <v>213</v>
      </c>
      <c r="P174" s="0" t="s">
        <v>96</v>
      </c>
      <c r="AA174" s="0" t="s">
        <v>47</v>
      </c>
      <c r="AB174" s="0" t="s">
        <v>1207</v>
      </c>
      <c r="AC174" s="0" t="s">
        <v>1208</v>
      </c>
      <c r="AD174" s="0" t="s">
        <v>1209</v>
      </c>
      <c r="AE174" s="0" t="s">
        <v>79</v>
      </c>
      <c r="AF174" s="3" t="s">
        <v>1210</v>
      </c>
      <c r="AG174" s="3" t="s">
        <v>81</v>
      </c>
      <c r="AK174" s="0" t="s">
        <v>1211</v>
      </c>
      <c r="AL174" s="0" t="s">
        <v>1212</v>
      </c>
      <c r="AO174" s="0" t="s">
        <v>1213</v>
      </c>
      <c r="AP174" s="0" t="s">
        <v>1213</v>
      </c>
      <c r="AR174" s="0" t="s">
        <v>1214</v>
      </c>
    </row>
    <row r="175" customFormat="false" ht="15" hidden="false" customHeight="false" outlineLevel="0" collapsed="false">
      <c r="A175" s="0" t="n">
        <v>174</v>
      </c>
      <c r="B175" s="0" t="s">
        <v>1215</v>
      </c>
      <c r="C175" s="0" t="s">
        <v>88</v>
      </c>
      <c r="E175" s="0" t="s">
        <v>1216</v>
      </c>
      <c r="H175" s="0" t="s">
        <v>1217</v>
      </c>
      <c r="I175" s="0" t="s">
        <v>154</v>
      </c>
      <c r="N175" s="3" t="s">
        <v>119</v>
      </c>
      <c r="O175" s="3" t="s">
        <v>119</v>
      </c>
      <c r="P175" s="0" t="s">
        <v>96</v>
      </c>
      <c r="AA175" s="0" t="s">
        <v>47</v>
      </c>
      <c r="AB175" s="0" t="s">
        <v>1218</v>
      </c>
      <c r="AC175" s="0" t="s">
        <v>1219</v>
      </c>
      <c r="AD175" s="0" t="s">
        <v>1220</v>
      </c>
      <c r="AE175" s="0" t="s">
        <v>79</v>
      </c>
      <c r="AF175" s="3" t="s">
        <v>48</v>
      </c>
      <c r="AG175" s="3" t="s">
        <v>49</v>
      </c>
      <c r="AL175" s="0" t="s">
        <v>1221</v>
      </c>
      <c r="AO175" s="0" t="s">
        <v>1222</v>
      </c>
      <c r="AP175" s="0" t="s">
        <v>1222</v>
      </c>
      <c r="AR175" s="0" t="s">
        <v>1223</v>
      </c>
    </row>
    <row r="176" customFormat="false" ht="15" hidden="false" customHeight="false" outlineLevel="0" collapsed="false">
      <c r="A176" s="0" t="n">
        <v>175</v>
      </c>
      <c r="B176" s="0" t="s">
        <v>1224</v>
      </c>
      <c r="C176" s="0" t="s">
        <v>43</v>
      </c>
      <c r="F176" s="0" t="s">
        <v>44</v>
      </c>
      <c r="AA176" s="0" t="s">
        <v>47</v>
      </c>
      <c r="AF176" s="3" t="s">
        <v>48</v>
      </c>
      <c r="AG176" s="3" t="s">
        <v>49</v>
      </c>
      <c r="AR176" s="0" t="s">
        <v>50</v>
      </c>
    </row>
    <row r="177" customFormat="false" ht="15" hidden="false" customHeight="false" outlineLevel="0" collapsed="false">
      <c r="A177" s="0" t="n">
        <v>176</v>
      </c>
      <c r="B177" s="0" t="s">
        <v>1225</v>
      </c>
      <c r="C177" s="0" t="s">
        <v>52</v>
      </c>
      <c r="D177" s="0" t="s">
        <v>1226</v>
      </c>
      <c r="H177" s="0" t="s">
        <v>1227</v>
      </c>
      <c r="I177" s="0" t="s">
        <v>94</v>
      </c>
      <c r="N177" s="3" t="s">
        <v>54</v>
      </c>
      <c r="O177" s="3" t="s">
        <v>54</v>
      </c>
      <c r="P177" s="0" t="s">
        <v>55</v>
      </c>
      <c r="AA177" s="0" t="s">
        <v>47</v>
      </c>
      <c r="AB177" s="0" t="s">
        <v>1228</v>
      </c>
      <c r="AC177" s="0" t="s">
        <v>1229</v>
      </c>
      <c r="AD177" s="0" t="s">
        <v>1230</v>
      </c>
      <c r="AE177" s="0" t="s">
        <v>59</v>
      </c>
      <c r="AF177" s="3" t="s">
        <v>108</v>
      </c>
      <c r="AG177" s="3" t="s">
        <v>49</v>
      </c>
      <c r="AH177" s="0" t="n">
        <v>2026</v>
      </c>
      <c r="AI177" s="0" t="s">
        <v>1231</v>
      </c>
      <c r="AJ177" s="0" t="s">
        <v>1232</v>
      </c>
      <c r="AR177" s="0" t="s">
        <v>1233</v>
      </c>
    </row>
    <row r="178" customFormat="false" ht="15" hidden="false" customHeight="false" outlineLevel="0" collapsed="false">
      <c r="A178" s="0" t="n">
        <v>177</v>
      </c>
      <c r="B178" s="0" t="s">
        <v>1234</v>
      </c>
      <c r="C178" s="0" t="s">
        <v>88</v>
      </c>
      <c r="E178" s="0" t="s">
        <v>1235</v>
      </c>
      <c r="H178" s="0" t="s">
        <v>1227</v>
      </c>
      <c r="I178" s="0" t="s">
        <v>65</v>
      </c>
      <c r="J178" s="3" t="s">
        <v>66</v>
      </c>
      <c r="K178" s="0" t="s">
        <v>1236</v>
      </c>
      <c r="M178" s="0" t="s">
        <v>1237</v>
      </c>
      <c r="N178" s="0" t="s">
        <v>165</v>
      </c>
      <c r="O178" s="3" t="s">
        <v>213</v>
      </c>
      <c r="P178" s="0" t="s">
        <v>96</v>
      </c>
      <c r="Q178" s="0" t="s">
        <v>1238</v>
      </c>
      <c r="R178" s="0" t="n">
        <v>11</v>
      </c>
      <c r="S178" s="0" t="s">
        <v>1239</v>
      </c>
      <c r="T178" s="0" t="s">
        <v>72</v>
      </c>
      <c r="U178" s="0" t="s">
        <v>65</v>
      </c>
      <c r="AA178" s="0" t="s">
        <v>75</v>
      </c>
      <c r="AB178" s="0" t="s">
        <v>1240</v>
      </c>
      <c r="AC178" s="0" t="s">
        <v>1241</v>
      </c>
      <c r="AD178" s="0" t="s">
        <v>1242</v>
      </c>
      <c r="AE178" s="0" t="s">
        <v>79</v>
      </c>
      <c r="AF178" s="3" t="s">
        <v>108</v>
      </c>
      <c r="AG178" s="3" t="s">
        <v>49</v>
      </c>
      <c r="AH178" s="0" t="n">
        <v>2026</v>
      </c>
      <c r="AI178" s="0" t="s">
        <v>1231</v>
      </c>
      <c r="AJ178" s="0" t="s">
        <v>1232</v>
      </c>
      <c r="AN178" s="0" t="s">
        <v>1236</v>
      </c>
      <c r="AQ178" s="0" t="s">
        <v>1243</v>
      </c>
      <c r="AR178" s="0" t="s">
        <v>1244</v>
      </c>
    </row>
    <row r="179" customFormat="false" ht="15" hidden="false" customHeight="false" outlineLevel="0" collapsed="false">
      <c r="A179" s="0" t="n">
        <v>178</v>
      </c>
      <c r="B179" s="0" t="s">
        <v>1245</v>
      </c>
      <c r="C179" s="0" t="s">
        <v>244</v>
      </c>
      <c r="E179" s="0" t="s">
        <v>1246</v>
      </c>
      <c r="F179" s="0" t="s">
        <v>44</v>
      </c>
      <c r="H179" s="0" t="s">
        <v>1247</v>
      </c>
      <c r="I179" s="0" t="s">
        <v>94</v>
      </c>
      <c r="N179" s="3" t="s">
        <v>1248</v>
      </c>
      <c r="O179" s="3" t="s">
        <v>1248</v>
      </c>
      <c r="P179" s="0" t="s">
        <v>96</v>
      </c>
      <c r="AA179" s="0" t="s">
        <v>47</v>
      </c>
      <c r="AB179" s="0" t="s">
        <v>1249</v>
      </c>
      <c r="AC179" s="0" t="s">
        <v>1250</v>
      </c>
      <c r="AD179" s="0" t="s">
        <v>1251</v>
      </c>
      <c r="AE179" s="0" t="s">
        <v>79</v>
      </c>
      <c r="AF179" s="3" t="s">
        <v>149</v>
      </c>
      <c r="AG179" s="3" t="s">
        <v>81</v>
      </c>
      <c r="AK179" s="0" t="s">
        <v>1252</v>
      </c>
      <c r="AL179" s="0" t="s">
        <v>1253</v>
      </c>
      <c r="AM179" s="0" t="s">
        <v>1254</v>
      </c>
      <c r="AO179" s="0" t="s">
        <v>1255</v>
      </c>
      <c r="AP179" s="0" t="s">
        <v>1255</v>
      </c>
      <c r="AR179" s="0" t="s">
        <v>1256</v>
      </c>
    </row>
    <row r="180" customFormat="false" ht="15" hidden="false" customHeight="false" outlineLevel="0" collapsed="false">
      <c r="A180" s="0" t="n">
        <v>179</v>
      </c>
      <c r="B180" s="0" t="s">
        <v>1257</v>
      </c>
      <c r="C180" s="0" t="s">
        <v>88</v>
      </c>
      <c r="E180" s="0" t="s">
        <v>1258</v>
      </c>
      <c r="H180" s="0" t="s">
        <v>1259</v>
      </c>
      <c r="I180" s="0" t="s">
        <v>46</v>
      </c>
      <c r="N180" s="3" t="s">
        <v>202</v>
      </c>
      <c r="O180" s="3" t="s">
        <v>202</v>
      </c>
      <c r="P180" s="0" t="s">
        <v>96</v>
      </c>
      <c r="AA180" s="0" t="s">
        <v>47</v>
      </c>
      <c r="AB180" s="0" t="s">
        <v>1260</v>
      </c>
      <c r="AC180" s="0" t="s">
        <v>1261</v>
      </c>
      <c r="AE180" s="0" t="s">
        <v>79</v>
      </c>
      <c r="AF180" s="3" t="s">
        <v>48</v>
      </c>
      <c r="AG180" s="3" t="s">
        <v>49</v>
      </c>
      <c r="AR180" s="0" t="s">
        <v>1258</v>
      </c>
    </row>
    <row r="181" customFormat="false" ht="15" hidden="false" customHeight="false" outlineLevel="0" collapsed="false">
      <c r="A181" s="0" t="n">
        <v>180</v>
      </c>
      <c r="B181" s="0" t="s">
        <v>1262</v>
      </c>
      <c r="C181" s="0" t="s">
        <v>88</v>
      </c>
      <c r="E181" s="0" t="s">
        <v>1263</v>
      </c>
      <c r="N181" s="3" t="s">
        <v>202</v>
      </c>
      <c r="O181" s="3" t="s">
        <v>202</v>
      </c>
      <c r="P181" s="0" t="s">
        <v>96</v>
      </c>
      <c r="AA181" s="0" t="s">
        <v>47</v>
      </c>
      <c r="AB181" s="0" t="s">
        <v>1264</v>
      </c>
      <c r="AC181" s="0" t="s">
        <v>1265</v>
      </c>
      <c r="AD181" s="0" t="s">
        <v>1266</v>
      </c>
      <c r="AE181" s="0" t="s">
        <v>79</v>
      </c>
      <c r="AF181" s="3" t="s">
        <v>48</v>
      </c>
      <c r="AG181" s="3" t="s">
        <v>49</v>
      </c>
      <c r="AR181" s="0" t="s">
        <v>1263</v>
      </c>
    </row>
    <row r="182" customFormat="false" ht="15" hidden="false" customHeight="false" outlineLevel="0" collapsed="false">
      <c r="A182" s="0" t="n">
        <v>181</v>
      </c>
      <c r="B182" s="0" t="s">
        <v>1267</v>
      </c>
      <c r="C182" s="0" t="s">
        <v>88</v>
      </c>
      <c r="E182" s="0" t="s">
        <v>1268</v>
      </c>
      <c r="H182" s="0" t="s">
        <v>1269</v>
      </c>
      <c r="I182" s="0" t="s">
        <v>154</v>
      </c>
      <c r="J182" s="3" t="s">
        <v>66</v>
      </c>
      <c r="N182" s="0" t="s">
        <v>1270</v>
      </c>
      <c r="O182" s="3" t="s">
        <v>202</v>
      </c>
      <c r="P182" s="0" t="s">
        <v>96</v>
      </c>
      <c r="Q182" s="0" t="s">
        <v>1271</v>
      </c>
      <c r="AA182" s="0" t="s">
        <v>47</v>
      </c>
      <c r="AB182" s="0" t="s">
        <v>1272</v>
      </c>
      <c r="AC182" s="0" t="s">
        <v>1273</v>
      </c>
      <c r="AD182" s="0" t="s">
        <v>1274</v>
      </c>
      <c r="AE182" s="0" t="s">
        <v>79</v>
      </c>
      <c r="AF182" s="3" t="s">
        <v>48</v>
      </c>
      <c r="AG182" s="3" t="s">
        <v>49</v>
      </c>
      <c r="AL182" s="0" t="s">
        <v>1275</v>
      </c>
      <c r="AO182" s="0" t="s">
        <v>1276</v>
      </c>
      <c r="AP182" s="0" t="s">
        <v>1276</v>
      </c>
      <c r="AQ182" s="0" t="s">
        <v>1277</v>
      </c>
      <c r="AR182" s="0" t="s">
        <v>1278</v>
      </c>
    </row>
    <row r="183" customFormat="false" ht="15" hidden="false" customHeight="false" outlineLevel="0" collapsed="false">
      <c r="A183" s="0" t="n">
        <v>182</v>
      </c>
      <c r="B183" s="0" t="s">
        <v>1279</v>
      </c>
      <c r="C183" s="0" t="s">
        <v>244</v>
      </c>
      <c r="E183" s="0" t="s">
        <v>1280</v>
      </c>
      <c r="F183" s="0" t="s">
        <v>44</v>
      </c>
      <c r="N183" s="3" t="s">
        <v>202</v>
      </c>
      <c r="O183" s="3" t="s">
        <v>202</v>
      </c>
      <c r="P183" s="0" t="s">
        <v>96</v>
      </c>
      <c r="AA183" s="0" t="s">
        <v>47</v>
      </c>
      <c r="AB183" s="0" t="s">
        <v>1281</v>
      </c>
      <c r="AC183" s="0" t="s">
        <v>1282</v>
      </c>
      <c r="AD183" s="0" t="s">
        <v>1283</v>
      </c>
      <c r="AE183" s="0" t="s">
        <v>79</v>
      </c>
      <c r="AF183" s="3" t="s">
        <v>108</v>
      </c>
      <c r="AG183" s="3" t="s">
        <v>49</v>
      </c>
      <c r="AH183" s="0" t="n">
        <v>2026</v>
      </c>
      <c r="AI183" s="0" t="s">
        <v>109</v>
      </c>
      <c r="AJ183" s="0" t="s">
        <v>110</v>
      </c>
      <c r="AK183" s="0" t="s">
        <v>1284</v>
      </c>
      <c r="AR183" s="0" t="s">
        <v>1285</v>
      </c>
    </row>
    <row r="184" customFormat="false" ht="15" hidden="false" customHeight="false" outlineLevel="0" collapsed="false">
      <c r="A184" s="0" t="n">
        <v>183</v>
      </c>
      <c r="B184" s="0" t="s">
        <v>1286</v>
      </c>
      <c r="C184" s="0" t="s">
        <v>88</v>
      </c>
      <c r="E184" s="0" t="s">
        <v>1287</v>
      </c>
      <c r="H184" s="0" t="s">
        <v>1288</v>
      </c>
      <c r="I184" s="0" t="s">
        <v>154</v>
      </c>
      <c r="N184" s="3" t="s">
        <v>95</v>
      </c>
      <c r="O184" s="3" t="s">
        <v>95</v>
      </c>
      <c r="P184" s="0" t="s">
        <v>96</v>
      </c>
      <c r="AA184" s="0" t="s">
        <v>47</v>
      </c>
      <c r="AB184" s="0" t="s">
        <v>1289</v>
      </c>
      <c r="AC184" s="0" t="s">
        <v>1290</v>
      </c>
      <c r="AD184" s="0" t="s">
        <v>1291</v>
      </c>
      <c r="AE184" s="0" t="s">
        <v>79</v>
      </c>
      <c r="AF184" s="3" t="s">
        <v>48</v>
      </c>
      <c r="AG184" s="3" t="s">
        <v>49</v>
      </c>
      <c r="AL184" s="0" t="s">
        <v>1292</v>
      </c>
      <c r="AM184" s="0" t="s">
        <v>1293</v>
      </c>
      <c r="AO184" s="0" t="s">
        <v>1294</v>
      </c>
      <c r="AP184" s="0" t="s">
        <v>1294</v>
      </c>
      <c r="AR184" s="0" t="s">
        <v>1295</v>
      </c>
    </row>
    <row r="185" customFormat="false" ht="15" hidden="false" customHeight="false" outlineLevel="0" collapsed="false">
      <c r="A185" s="0" t="n">
        <v>184</v>
      </c>
      <c r="B185" s="0" t="s">
        <v>1296</v>
      </c>
      <c r="C185" s="0" t="s">
        <v>88</v>
      </c>
      <c r="E185" s="0" t="s">
        <v>1297</v>
      </c>
      <c r="N185" s="3" t="s">
        <v>1298</v>
      </c>
      <c r="O185" s="3" t="s">
        <v>1298</v>
      </c>
      <c r="P185" s="0" t="s">
        <v>96</v>
      </c>
      <c r="AA185" s="0" t="s">
        <v>47</v>
      </c>
      <c r="AB185" s="0" t="s">
        <v>1299</v>
      </c>
      <c r="AC185" s="0" t="s">
        <v>1300</v>
      </c>
      <c r="AD185" s="0" t="s">
        <v>1301</v>
      </c>
      <c r="AE185" s="0" t="s">
        <v>79</v>
      </c>
      <c r="AF185" s="3" t="s">
        <v>48</v>
      </c>
      <c r="AG185" s="3" t="s">
        <v>49</v>
      </c>
      <c r="AR185" s="0" t="s">
        <v>1297</v>
      </c>
    </row>
    <row r="186" customFormat="false" ht="15" hidden="false" customHeight="false" outlineLevel="0" collapsed="false">
      <c r="A186" s="0" t="n">
        <v>185</v>
      </c>
      <c r="B186" s="0" t="s">
        <v>1302</v>
      </c>
      <c r="C186" s="0" t="s">
        <v>43</v>
      </c>
      <c r="F186" s="0" t="s">
        <v>44</v>
      </c>
      <c r="AA186" s="0" t="s">
        <v>47</v>
      </c>
      <c r="AF186" s="3" t="s">
        <v>48</v>
      </c>
      <c r="AG186" s="3" t="s">
        <v>49</v>
      </c>
      <c r="AR186" s="0" t="s">
        <v>50</v>
      </c>
    </row>
    <row r="187" customFormat="false" ht="15" hidden="false" customHeight="false" outlineLevel="0" collapsed="false">
      <c r="A187" s="0" t="n">
        <v>186</v>
      </c>
      <c r="B187" s="0" t="s">
        <v>1303</v>
      </c>
      <c r="C187" s="0" t="s">
        <v>88</v>
      </c>
      <c r="E187" s="0" t="s">
        <v>1304</v>
      </c>
      <c r="N187" s="3" t="s">
        <v>1248</v>
      </c>
      <c r="O187" s="3" t="s">
        <v>1248</v>
      </c>
      <c r="P187" s="0" t="s">
        <v>96</v>
      </c>
      <c r="AA187" s="0" t="s">
        <v>47</v>
      </c>
      <c r="AB187" s="0" t="s">
        <v>1305</v>
      </c>
      <c r="AC187" s="0" t="s">
        <v>1306</v>
      </c>
      <c r="AD187" s="0" t="s">
        <v>1307</v>
      </c>
      <c r="AE187" s="0" t="s">
        <v>79</v>
      </c>
      <c r="AF187" s="3" t="s">
        <v>48</v>
      </c>
      <c r="AG187" s="3" t="s">
        <v>49</v>
      </c>
      <c r="AR187" s="0" t="s">
        <v>1304</v>
      </c>
    </row>
    <row r="188" customFormat="false" ht="15" hidden="false" customHeight="false" outlineLevel="0" collapsed="false">
      <c r="A188" s="0" t="n">
        <v>187</v>
      </c>
      <c r="B188" s="0" t="s">
        <v>1308</v>
      </c>
      <c r="C188" s="0" t="s">
        <v>43</v>
      </c>
      <c r="F188" s="0" t="s">
        <v>44</v>
      </c>
      <c r="AA188" s="0" t="s">
        <v>47</v>
      </c>
      <c r="AF188" s="3" t="s">
        <v>48</v>
      </c>
      <c r="AG188" s="3" t="s">
        <v>49</v>
      </c>
      <c r="AR188" s="0" t="s">
        <v>50</v>
      </c>
    </row>
    <row r="189" customFormat="false" ht="15" hidden="false" customHeight="false" outlineLevel="0" collapsed="false">
      <c r="A189" s="0" t="n">
        <v>188</v>
      </c>
      <c r="B189" s="0" t="s">
        <v>1309</v>
      </c>
      <c r="C189" s="0" t="s">
        <v>52</v>
      </c>
      <c r="D189" s="0" t="s">
        <v>1310</v>
      </c>
      <c r="H189" s="0" t="s">
        <v>1311</v>
      </c>
      <c r="I189" s="0" t="s">
        <v>154</v>
      </c>
      <c r="N189" s="0" t="s">
        <v>1312</v>
      </c>
      <c r="O189" s="0" t="s">
        <v>1312</v>
      </c>
      <c r="P189" s="0" t="s">
        <v>55</v>
      </c>
      <c r="AA189" s="0" t="s">
        <v>47</v>
      </c>
      <c r="AB189" s="0" t="s">
        <v>1313</v>
      </c>
      <c r="AC189" s="0" t="s">
        <v>1314</v>
      </c>
      <c r="AD189" s="0" t="s">
        <v>1315</v>
      </c>
      <c r="AE189" s="0" t="s">
        <v>59</v>
      </c>
      <c r="AF189" s="3" t="s">
        <v>48</v>
      </c>
      <c r="AG189" s="3" t="s">
        <v>49</v>
      </c>
      <c r="AL189" s="0" t="s">
        <v>1316</v>
      </c>
      <c r="AM189" s="0" t="s">
        <v>1317</v>
      </c>
      <c r="AO189" s="0" t="s">
        <v>1318</v>
      </c>
      <c r="AP189" s="0" t="s">
        <v>1318</v>
      </c>
      <c r="AR189" s="0" t="s">
        <v>1319</v>
      </c>
    </row>
    <row r="190" customFormat="false" ht="15" hidden="false" customHeight="false" outlineLevel="0" collapsed="false">
      <c r="A190" s="0" t="n">
        <v>189</v>
      </c>
      <c r="B190" s="0" t="s">
        <v>1320</v>
      </c>
      <c r="C190" s="0" t="s">
        <v>61</v>
      </c>
      <c r="D190" s="0" t="s">
        <v>1321</v>
      </c>
      <c r="E190" s="0" t="s">
        <v>1322</v>
      </c>
      <c r="H190" s="0" t="s">
        <v>1323</v>
      </c>
      <c r="I190" s="0" t="s">
        <v>115</v>
      </c>
      <c r="J190" s="3" t="s">
        <v>694</v>
      </c>
      <c r="K190" s="0" t="s">
        <v>1324</v>
      </c>
      <c r="M190" s="0" t="n">
        <v>1983</v>
      </c>
      <c r="N190" s="0" t="s">
        <v>1325</v>
      </c>
      <c r="O190" s="3" t="s">
        <v>54</v>
      </c>
      <c r="P190" s="0" t="s">
        <v>55</v>
      </c>
      <c r="R190" s="0" t="n">
        <v>400</v>
      </c>
      <c r="S190" s="0" t="n">
        <v>2022</v>
      </c>
      <c r="T190" s="0" t="s">
        <v>72</v>
      </c>
      <c r="U190" s="0" t="s">
        <v>115</v>
      </c>
      <c r="V190" s="0" t="n">
        <v>120</v>
      </c>
      <c r="W190" s="0" t="s">
        <v>1326</v>
      </c>
      <c r="X190" s="0" t="s">
        <v>1327</v>
      </c>
      <c r="Y190" s="0" t="s">
        <v>698</v>
      </c>
      <c r="Z190" s="0" t="s">
        <v>115</v>
      </c>
      <c r="AA190" s="0" t="s">
        <v>1022</v>
      </c>
      <c r="AB190" s="0" t="s">
        <v>1328</v>
      </c>
      <c r="AC190" s="0" t="s">
        <v>1329</v>
      </c>
      <c r="AD190" s="0" t="s">
        <v>1330</v>
      </c>
      <c r="AE190" s="0" t="s">
        <v>115</v>
      </c>
      <c r="AF190" s="3" t="s">
        <v>108</v>
      </c>
      <c r="AG190" s="3" t="s">
        <v>404</v>
      </c>
      <c r="AH190" s="0" t="n">
        <v>2026</v>
      </c>
      <c r="AI190" s="0" t="s">
        <v>1331</v>
      </c>
      <c r="AJ190" s="0" t="s">
        <v>1332</v>
      </c>
      <c r="AK190" s="0" t="s">
        <v>1333</v>
      </c>
      <c r="AL190" s="0" t="s">
        <v>1334</v>
      </c>
      <c r="AM190" s="0" t="s">
        <v>1335</v>
      </c>
      <c r="AN190" s="0" t="s">
        <v>1336</v>
      </c>
      <c r="AO190" s="0" t="s">
        <v>1337</v>
      </c>
      <c r="AP190" s="0" t="s">
        <v>1337</v>
      </c>
      <c r="AR190" s="0" t="s">
        <v>1338</v>
      </c>
    </row>
    <row r="191" customFormat="false" ht="15" hidden="false" customHeight="false" outlineLevel="0" collapsed="false">
      <c r="A191" s="0" t="n">
        <v>190</v>
      </c>
      <c r="B191" s="0" t="s">
        <v>1339</v>
      </c>
      <c r="C191" s="0" t="s">
        <v>244</v>
      </c>
      <c r="E191" s="0" t="s">
        <v>1340</v>
      </c>
      <c r="F191" s="0" t="s">
        <v>44</v>
      </c>
      <c r="N191" s="3" t="s">
        <v>186</v>
      </c>
      <c r="O191" s="3" t="s">
        <v>186</v>
      </c>
      <c r="P191" s="0" t="s">
        <v>96</v>
      </c>
      <c r="AA191" s="0" t="s">
        <v>47</v>
      </c>
      <c r="AB191" s="0" t="s">
        <v>1341</v>
      </c>
      <c r="AC191" s="0" t="s">
        <v>1342</v>
      </c>
      <c r="AD191" s="0" t="s">
        <v>1343</v>
      </c>
      <c r="AE191" s="0" t="s">
        <v>79</v>
      </c>
      <c r="AF191" s="3" t="s">
        <v>108</v>
      </c>
      <c r="AG191" s="3" t="s">
        <v>81</v>
      </c>
      <c r="AH191" s="0" t="n">
        <v>2026</v>
      </c>
      <c r="AI191" s="0" t="s">
        <v>1344</v>
      </c>
      <c r="AJ191" s="0" t="s">
        <v>1345</v>
      </c>
      <c r="AK191" s="0" t="s">
        <v>1346</v>
      </c>
      <c r="AR191" s="0" t="s">
        <v>1347</v>
      </c>
    </row>
    <row r="192" customFormat="false" ht="15" hidden="false" customHeight="false" outlineLevel="0" collapsed="false">
      <c r="A192" s="0" t="n">
        <v>191</v>
      </c>
      <c r="B192" s="0" t="s">
        <v>1348</v>
      </c>
      <c r="C192" s="0" t="s">
        <v>244</v>
      </c>
      <c r="E192" s="0" t="s">
        <v>1349</v>
      </c>
      <c r="F192" s="0" t="s">
        <v>44</v>
      </c>
      <c r="H192" s="0" t="s">
        <v>1350</v>
      </c>
      <c r="I192" s="0" t="s">
        <v>154</v>
      </c>
      <c r="N192" s="3" t="s">
        <v>202</v>
      </c>
      <c r="O192" s="3" t="s">
        <v>202</v>
      </c>
      <c r="P192" s="0" t="s">
        <v>96</v>
      </c>
      <c r="AA192" s="0" t="s">
        <v>47</v>
      </c>
      <c r="AB192" s="0" t="s">
        <v>1351</v>
      </c>
      <c r="AC192" s="0" t="s">
        <v>1352</v>
      </c>
      <c r="AD192" s="0" t="s">
        <v>1353</v>
      </c>
      <c r="AE192" s="0" t="s">
        <v>79</v>
      </c>
      <c r="AF192" s="3" t="s">
        <v>149</v>
      </c>
      <c r="AG192" s="3" t="s">
        <v>81</v>
      </c>
      <c r="AK192" s="0" t="s">
        <v>1354</v>
      </c>
      <c r="AL192" s="0" t="s">
        <v>1355</v>
      </c>
      <c r="AM192" s="0" t="s">
        <v>1356</v>
      </c>
      <c r="AO192" s="0" t="s">
        <v>1357</v>
      </c>
      <c r="AP192" s="0" t="s">
        <v>1357</v>
      </c>
      <c r="AR192" s="0" t="s">
        <v>1358</v>
      </c>
    </row>
    <row r="193" customFormat="false" ht="15" hidden="false" customHeight="false" outlineLevel="0" collapsed="false">
      <c r="A193" s="0" t="n">
        <v>192</v>
      </c>
      <c r="B193" s="0" t="s">
        <v>1359</v>
      </c>
      <c r="C193" s="0" t="s">
        <v>43</v>
      </c>
      <c r="F193" s="0" t="s">
        <v>44</v>
      </c>
      <c r="H193" s="0" t="s">
        <v>1360</v>
      </c>
      <c r="I193" s="0" t="s">
        <v>115</v>
      </c>
      <c r="J193" s="3" t="s">
        <v>66</v>
      </c>
      <c r="K193" s="0" t="s">
        <v>1361</v>
      </c>
      <c r="M193" s="0" t="n">
        <v>1952</v>
      </c>
      <c r="N193" s="0" t="s">
        <v>1362</v>
      </c>
      <c r="O193" s="3" t="s">
        <v>186</v>
      </c>
      <c r="P193" s="0" t="s">
        <v>96</v>
      </c>
      <c r="R193" s="0" t="n">
        <v>7450</v>
      </c>
      <c r="S193" s="0" t="n">
        <v>2025</v>
      </c>
      <c r="T193" s="0" t="s">
        <v>72</v>
      </c>
      <c r="U193" s="0" t="s">
        <v>115</v>
      </c>
      <c r="V193" s="0" t="n">
        <v>2580</v>
      </c>
      <c r="W193" s="0" t="s">
        <v>1363</v>
      </c>
      <c r="X193" s="0" t="s">
        <v>764</v>
      </c>
      <c r="Y193" s="0" t="s">
        <v>72</v>
      </c>
      <c r="Z193" s="0" t="s">
        <v>115</v>
      </c>
      <c r="AA193" s="0" t="s">
        <v>1022</v>
      </c>
      <c r="AB193" s="0" t="s">
        <v>1364</v>
      </c>
      <c r="AC193" s="0" t="s">
        <v>1365</v>
      </c>
      <c r="AD193" s="0" t="s">
        <v>1366</v>
      </c>
      <c r="AE193" s="0" t="s">
        <v>115</v>
      </c>
      <c r="AF193" s="3" t="s">
        <v>80</v>
      </c>
      <c r="AG193" s="3" t="s">
        <v>404</v>
      </c>
      <c r="AH193" s="0" t="n">
        <v>2026</v>
      </c>
      <c r="AI193" s="0" t="s">
        <v>1367</v>
      </c>
      <c r="AJ193" s="0" t="s">
        <v>1368</v>
      </c>
      <c r="AK193" s="0" t="s">
        <v>1369</v>
      </c>
      <c r="AN193" s="0" t="s">
        <v>1370</v>
      </c>
      <c r="AO193" s="0" t="s">
        <v>1371</v>
      </c>
      <c r="AP193" s="0" t="s">
        <v>1372</v>
      </c>
      <c r="AR193" s="0" t="s">
        <v>1373</v>
      </c>
    </row>
    <row r="194" customFormat="false" ht="15" hidden="false" customHeight="false" outlineLevel="0" collapsed="false">
      <c r="A194" s="0" t="n">
        <v>193</v>
      </c>
      <c r="B194" s="0" t="s">
        <v>1374</v>
      </c>
      <c r="C194" s="0" t="s">
        <v>43</v>
      </c>
      <c r="F194" s="0" t="s">
        <v>44</v>
      </c>
      <c r="H194" s="0" t="s">
        <v>1375</v>
      </c>
      <c r="I194" s="0" t="s">
        <v>46</v>
      </c>
      <c r="AA194" s="0" t="s">
        <v>47</v>
      </c>
      <c r="AF194" s="3" t="s">
        <v>108</v>
      </c>
      <c r="AG194" s="3" t="s">
        <v>49</v>
      </c>
      <c r="AH194" s="0" t="n">
        <v>2026</v>
      </c>
      <c r="AI194" s="0" t="s">
        <v>829</v>
      </c>
      <c r="AJ194" s="0" t="s">
        <v>830</v>
      </c>
      <c r="AR194" s="0" t="s">
        <v>1376</v>
      </c>
    </row>
    <row r="195" customFormat="false" ht="15" hidden="false" customHeight="false" outlineLevel="0" collapsed="false">
      <c r="A195" s="0" t="n">
        <v>194</v>
      </c>
      <c r="B195" s="0" t="s">
        <v>1377</v>
      </c>
      <c r="C195" s="0" t="s">
        <v>88</v>
      </c>
      <c r="E195" s="0" t="s">
        <v>1378</v>
      </c>
      <c r="H195" s="0" t="s">
        <v>1379</v>
      </c>
      <c r="I195" s="0" t="s">
        <v>154</v>
      </c>
      <c r="N195" s="3" t="s">
        <v>186</v>
      </c>
      <c r="O195" s="3" t="s">
        <v>186</v>
      </c>
      <c r="P195" s="0" t="s">
        <v>96</v>
      </c>
      <c r="AA195" s="0" t="s">
        <v>47</v>
      </c>
      <c r="AB195" s="0" t="s">
        <v>1380</v>
      </c>
      <c r="AC195" s="0" t="s">
        <v>1381</v>
      </c>
      <c r="AD195" s="0" t="s">
        <v>1382</v>
      </c>
      <c r="AE195" s="0" t="s">
        <v>79</v>
      </c>
      <c r="AF195" s="3" t="s">
        <v>48</v>
      </c>
      <c r="AG195" s="3" t="s">
        <v>49</v>
      </c>
      <c r="AL195" s="0" t="s">
        <v>1383</v>
      </c>
      <c r="AO195" s="0" t="s">
        <v>1384</v>
      </c>
      <c r="AP195" s="0" t="s">
        <v>1384</v>
      </c>
      <c r="AR195" s="0" t="s">
        <v>1385</v>
      </c>
    </row>
    <row r="196" customFormat="false" ht="15" hidden="false" customHeight="false" outlineLevel="0" collapsed="false">
      <c r="A196" s="0" t="n">
        <v>195</v>
      </c>
      <c r="B196" s="0" t="s">
        <v>1386</v>
      </c>
      <c r="C196" s="0" t="s">
        <v>43</v>
      </c>
      <c r="F196" s="0" t="s">
        <v>44</v>
      </c>
      <c r="H196" s="0" t="s">
        <v>1387</v>
      </c>
      <c r="I196" s="0" t="s">
        <v>154</v>
      </c>
      <c r="AA196" s="0" t="s">
        <v>47</v>
      </c>
      <c r="AF196" s="3" t="s">
        <v>48</v>
      </c>
      <c r="AG196" s="3" t="s">
        <v>49</v>
      </c>
      <c r="AL196" s="0" t="s">
        <v>1388</v>
      </c>
      <c r="AM196" s="0" t="s">
        <v>1389</v>
      </c>
      <c r="AO196" s="0" t="s">
        <v>1390</v>
      </c>
      <c r="AP196" s="0" t="s">
        <v>1390</v>
      </c>
      <c r="AR196" s="0" t="s">
        <v>1391</v>
      </c>
    </row>
    <row r="197" customFormat="false" ht="15" hidden="false" customHeight="false" outlineLevel="0" collapsed="false">
      <c r="A197" s="0" t="n">
        <v>196</v>
      </c>
      <c r="B197" s="0" t="s">
        <v>1392</v>
      </c>
      <c r="C197" s="0" t="s">
        <v>312</v>
      </c>
      <c r="D197" s="0" t="s">
        <v>1393</v>
      </c>
      <c r="E197" s="0" t="s">
        <v>1394</v>
      </c>
      <c r="F197" s="0" t="s">
        <v>44</v>
      </c>
      <c r="H197" s="0" t="s">
        <v>1395</v>
      </c>
      <c r="I197" s="0" t="s">
        <v>154</v>
      </c>
      <c r="N197" s="3" t="s">
        <v>136</v>
      </c>
      <c r="O197" s="3" t="s">
        <v>136</v>
      </c>
      <c r="P197" s="0" t="s">
        <v>55</v>
      </c>
      <c r="AA197" s="0" t="s">
        <v>47</v>
      </c>
      <c r="AB197" s="0" t="s">
        <v>1396</v>
      </c>
      <c r="AC197" s="0" t="s">
        <v>1397</v>
      </c>
      <c r="AD197" s="0" t="s">
        <v>1398</v>
      </c>
      <c r="AE197" s="0" t="s">
        <v>79</v>
      </c>
      <c r="AF197" s="3" t="s">
        <v>108</v>
      </c>
      <c r="AG197" s="3" t="s">
        <v>49</v>
      </c>
      <c r="AH197" s="0" t="n">
        <v>2026</v>
      </c>
      <c r="AI197" s="0" t="s">
        <v>1231</v>
      </c>
      <c r="AJ197" s="0" t="s">
        <v>1232</v>
      </c>
      <c r="AK197" s="0" t="s">
        <v>1399</v>
      </c>
      <c r="AO197" s="0" t="s">
        <v>1400</v>
      </c>
      <c r="AP197" s="0" t="s">
        <v>1400</v>
      </c>
      <c r="AR197" s="0" t="s">
        <v>1401</v>
      </c>
    </row>
    <row r="198" customFormat="false" ht="15" hidden="false" customHeight="false" outlineLevel="0" collapsed="false">
      <c r="A198" s="0" t="n">
        <v>197</v>
      </c>
      <c r="B198" s="0" t="s">
        <v>1402</v>
      </c>
      <c r="C198" s="0" t="s">
        <v>88</v>
      </c>
      <c r="E198" s="0" t="s">
        <v>1403</v>
      </c>
      <c r="N198" s="3" t="s">
        <v>202</v>
      </c>
      <c r="O198" s="3" t="s">
        <v>202</v>
      </c>
      <c r="P198" s="0" t="s">
        <v>96</v>
      </c>
      <c r="AA198" s="0" t="s">
        <v>47</v>
      </c>
      <c r="AB198" s="0" t="s">
        <v>1404</v>
      </c>
      <c r="AC198" s="0" t="s">
        <v>1405</v>
      </c>
      <c r="AD198" s="0" t="s">
        <v>1406</v>
      </c>
      <c r="AE198" s="0" t="s">
        <v>79</v>
      </c>
      <c r="AF198" s="3" t="s">
        <v>48</v>
      </c>
      <c r="AG198" s="3" t="s">
        <v>49</v>
      </c>
      <c r="AR198" s="0" t="s">
        <v>1403</v>
      </c>
    </row>
    <row r="199" customFormat="false" ht="15" hidden="false" customHeight="false" outlineLevel="0" collapsed="false">
      <c r="A199" s="0" t="n">
        <v>198</v>
      </c>
      <c r="B199" s="0" t="s">
        <v>1407</v>
      </c>
      <c r="C199" s="0" t="s">
        <v>43</v>
      </c>
      <c r="F199" s="0" t="s">
        <v>44</v>
      </c>
      <c r="AA199" s="0" t="s">
        <v>47</v>
      </c>
      <c r="AF199" s="3" t="s">
        <v>48</v>
      </c>
      <c r="AG199" s="3" t="s">
        <v>49</v>
      </c>
      <c r="AR199" s="0" t="s">
        <v>50</v>
      </c>
    </row>
    <row r="200" customFormat="false" ht="15" hidden="false" customHeight="false" outlineLevel="0" collapsed="false">
      <c r="A200" s="0" t="n">
        <v>199</v>
      </c>
      <c r="B200" s="0" t="s">
        <v>1408</v>
      </c>
      <c r="C200" s="0" t="s">
        <v>52</v>
      </c>
      <c r="D200" s="0" t="s">
        <v>1409</v>
      </c>
      <c r="H200" s="0" t="s">
        <v>1410</v>
      </c>
      <c r="I200" s="0" t="s">
        <v>46</v>
      </c>
      <c r="N200" s="3" t="s">
        <v>54</v>
      </c>
      <c r="O200" s="3" t="s">
        <v>54</v>
      </c>
      <c r="P200" s="0" t="s">
        <v>55</v>
      </c>
      <c r="AA200" s="0" t="s">
        <v>47</v>
      </c>
      <c r="AB200" s="0" t="s">
        <v>1411</v>
      </c>
      <c r="AC200" s="0" t="s">
        <v>1412</v>
      </c>
      <c r="AD200" s="0" t="s">
        <v>1413</v>
      </c>
      <c r="AE200" s="0" t="s">
        <v>59</v>
      </c>
      <c r="AF200" s="3" t="s">
        <v>108</v>
      </c>
      <c r="AG200" s="3" t="s">
        <v>49</v>
      </c>
      <c r="AH200" s="0" t="n">
        <v>2026</v>
      </c>
      <c r="AI200" s="0" t="s">
        <v>109</v>
      </c>
      <c r="AJ200" s="0" t="s">
        <v>110</v>
      </c>
      <c r="AR200" s="0" t="s">
        <v>1414</v>
      </c>
    </row>
    <row r="201" customFormat="false" ht="15" hidden="false" customHeight="false" outlineLevel="0" collapsed="false">
      <c r="A201" s="0" t="n">
        <v>200</v>
      </c>
      <c r="B201" s="0" t="s">
        <v>1415</v>
      </c>
      <c r="C201" s="0" t="s">
        <v>88</v>
      </c>
      <c r="E201" s="0" t="s">
        <v>1416</v>
      </c>
      <c r="N201" s="3" t="s">
        <v>1248</v>
      </c>
      <c r="O201" s="3" t="s">
        <v>1248</v>
      </c>
      <c r="P201" s="0" t="s">
        <v>96</v>
      </c>
      <c r="AA201" s="0" t="s">
        <v>47</v>
      </c>
      <c r="AB201" s="0" t="s">
        <v>1417</v>
      </c>
      <c r="AC201" s="0" t="s">
        <v>1418</v>
      </c>
      <c r="AD201" s="0" t="s">
        <v>1419</v>
      </c>
      <c r="AE201" s="0" t="s">
        <v>79</v>
      </c>
      <c r="AF201" s="3" t="s">
        <v>48</v>
      </c>
      <c r="AG201" s="3" t="s">
        <v>49</v>
      </c>
      <c r="AR201" s="0" t="s">
        <v>1416</v>
      </c>
    </row>
    <row r="202" customFormat="false" ht="15" hidden="false" customHeight="false" outlineLevel="0" collapsed="false">
      <c r="A202" s="0" t="n">
        <v>201</v>
      </c>
      <c r="B202" s="0" t="s">
        <v>1420</v>
      </c>
      <c r="C202" s="0" t="s">
        <v>43</v>
      </c>
      <c r="F202" s="0" t="s">
        <v>44</v>
      </c>
      <c r="AA202" s="0" t="s">
        <v>47</v>
      </c>
      <c r="AF202" s="3" t="s">
        <v>48</v>
      </c>
      <c r="AG202" s="3" t="s">
        <v>49</v>
      </c>
      <c r="AR202" s="0" t="s">
        <v>50</v>
      </c>
    </row>
    <row r="203" customFormat="false" ht="15" hidden="false" customHeight="false" outlineLevel="0" collapsed="false">
      <c r="A203" s="0" t="n">
        <v>202</v>
      </c>
      <c r="B203" s="0" t="s">
        <v>1421</v>
      </c>
      <c r="C203" s="0" t="s">
        <v>43</v>
      </c>
      <c r="F203" s="0" t="s">
        <v>44</v>
      </c>
      <c r="H203" s="0" t="s">
        <v>1422</v>
      </c>
      <c r="I203" s="0" t="s">
        <v>154</v>
      </c>
      <c r="AA203" s="0" t="s">
        <v>47</v>
      </c>
      <c r="AF203" s="3" t="s">
        <v>108</v>
      </c>
      <c r="AG203" s="3" t="s">
        <v>49</v>
      </c>
      <c r="AH203" s="0" t="n">
        <v>2026</v>
      </c>
      <c r="AI203" s="0" t="s">
        <v>1423</v>
      </c>
      <c r="AJ203" s="0" t="s">
        <v>1424</v>
      </c>
      <c r="AL203" s="0" t="s">
        <v>1425</v>
      </c>
      <c r="AM203" s="0" t="s">
        <v>1426</v>
      </c>
      <c r="AO203" s="0" t="s">
        <v>1427</v>
      </c>
      <c r="AP203" s="0" t="s">
        <v>1427</v>
      </c>
      <c r="AR203" s="0" t="s">
        <v>1428</v>
      </c>
    </row>
    <row r="204" customFormat="false" ht="15" hidden="false" customHeight="false" outlineLevel="0" collapsed="false">
      <c r="A204" s="0" t="n">
        <v>203</v>
      </c>
      <c r="B204" s="0" t="s">
        <v>1429</v>
      </c>
      <c r="C204" s="0" t="s">
        <v>312</v>
      </c>
      <c r="D204" s="0" t="s">
        <v>1430</v>
      </c>
      <c r="E204" s="0" t="s">
        <v>1431</v>
      </c>
      <c r="F204" s="0" t="s">
        <v>44</v>
      </c>
      <c r="H204" s="0" t="s">
        <v>1432</v>
      </c>
      <c r="I204" s="0" t="s">
        <v>94</v>
      </c>
      <c r="N204" s="3" t="s">
        <v>104</v>
      </c>
      <c r="O204" s="3" t="s">
        <v>104</v>
      </c>
      <c r="P204" s="0" t="s">
        <v>55</v>
      </c>
      <c r="AA204" s="0" t="s">
        <v>47</v>
      </c>
      <c r="AB204" s="0" t="s">
        <v>1433</v>
      </c>
      <c r="AC204" s="0" t="s">
        <v>1434</v>
      </c>
      <c r="AD204" s="0" t="s">
        <v>1435</v>
      </c>
      <c r="AE204" s="0" t="s">
        <v>79</v>
      </c>
      <c r="AF204" s="3" t="s">
        <v>149</v>
      </c>
      <c r="AG204" s="3" t="s">
        <v>81</v>
      </c>
      <c r="AK204" s="0" t="s">
        <v>1436</v>
      </c>
      <c r="AM204" s="0" t="s">
        <v>1437</v>
      </c>
      <c r="AP204" s="0" t="s">
        <v>1438</v>
      </c>
      <c r="AR204" s="0" t="s">
        <v>1439</v>
      </c>
    </row>
    <row r="205" customFormat="false" ht="15" hidden="false" customHeight="false" outlineLevel="0" collapsed="false">
      <c r="A205" s="0" t="n">
        <v>204</v>
      </c>
      <c r="B205" s="0" t="s">
        <v>1440</v>
      </c>
      <c r="C205" s="0" t="s">
        <v>43</v>
      </c>
      <c r="F205" s="0" t="s">
        <v>44</v>
      </c>
      <c r="H205" s="0" t="s">
        <v>1441</v>
      </c>
      <c r="I205" s="0" t="s">
        <v>154</v>
      </c>
      <c r="AA205" s="0" t="s">
        <v>47</v>
      </c>
      <c r="AF205" s="3" t="s">
        <v>48</v>
      </c>
      <c r="AG205" s="3" t="s">
        <v>49</v>
      </c>
      <c r="AL205" s="0" t="s">
        <v>1442</v>
      </c>
      <c r="AO205" s="0" t="s">
        <v>1443</v>
      </c>
      <c r="AP205" s="0" t="s">
        <v>1443</v>
      </c>
      <c r="AR205" s="0" t="s">
        <v>1444</v>
      </c>
    </row>
    <row r="206" customFormat="false" ht="15" hidden="false" customHeight="false" outlineLevel="0" collapsed="false">
      <c r="A206" s="0" t="n">
        <v>205</v>
      </c>
      <c r="B206" s="0" t="s">
        <v>1445</v>
      </c>
      <c r="C206" s="0" t="s">
        <v>244</v>
      </c>
      <c r="E206" s="0" t="s">
        <v>1446</v>
      </c>
      <c r="F206" s="0" t="s">
        <v>44</v>
      </c>
      <c r="N206" s="3" t="s">
        <v>202</v>
      </c>
      <c r="O206" s="3" t="s">
        <v>202</v>
      </c>
      <c r="P206" s="0" t="s">
        <v>96</v>
      </c>
      <c r="AA206" s="0" t="s">
        <v>47</v>
      </c>
      <c r="AB206" s="0" t="s">
        <v>1447</v>
      </c>
      <c r="AC206" s="0" t="s">
        <v>1448</v>
      </c>
      <c r="AD206" s="0" t="s">
        <v>1449</v>
      </c>
      <c r="AE206" s="0" t="s">
        <v>79</v>
      </c>
      <c r="AF206" s="3" t="s">
        <v>149</v>
      </c>
      <c r="AG206" s="3" t="s">
        <v>81</v>
      </c>
      <c r="AK206" s="0" t="s">
        <v>1450</v>
      </c>
      <c r="AR206" s="0" t="s">
        <v>1451</v>
      </c>
    </row>
    <row r="207" customFormat="false" ht="15" hidden="false" customHeight="false" outlineLevel="0" collapsed="false">
      <c r="A207" s="0" t="n">
        <v>206</v>
      </c>
      <c r="B207" s="0" t="s">
        <v>1452</v>
      </c>
      <c r="C207" s="0" t="s">
        <v>914</v>
      </c>
      <c r="E207" s="0" t="s">
        <v>1453</v>
      </c>
      <c r="F207" s="0" t="s">
        <v>146</v>
      </c>
      <c r="H207" s="0" t="s">
        <v>1454</v>
      </c>
      <c r="I207" s="0" t="s">
        <v>154</v>
      </c>
      <c r="N207" s="3" t="s">
        <v>186</v>
      </c>
      <c r="O207" s="3" t="s">
        <v>186</v>
      </c>
      <c r="P207" s="0" t="s">
        <v>96</v>
      </c>
      <c r="Q207" s="0" t="s">
        <v>1455</v>
      </c>
      <c r="AA207" s="0" t="s">
        <v>47</v>
      </c>
      <c r="AB207" s="0" t="s">
        <v>1456</v>
      </c>
      <c r="AC207" s="0" t="s">
        <v>1457</v>
      </c>
      <c r="AD207" s="0" t="s">
        <v>1458</v>
      </c>
      <c r="AE207" s="0" t="s">
        <v>79</v>
      </c>
      <c r="AF207" s="3" t="s">
        <v>149</v>
      </c>
      <c r="AG207" s="3" t="s">
        <v>81</v>
      </c>
      <c r="AK207" s="0" t="s">
        <v>1459</v>
      </c>
      <c r="AL207" s="0" t="s">
        <v>1460</v>
      </c>
      <c r="AM207" s="0" t="s">
        <v>1461</v>
      </c>
      <c r="AO207" s="0" t="s">
        <v>1462</v>
      </c>
      <c r="AP207" s="0" t="s">
        <v>1462</v>
      </c>
      <c r="AR207" s="0" t="s">
        <v>1463</v>
      </c>
    </row>
    <row r="208" customFormat="false" ht="15" hidden="false" customHeight="false" outlineLevel="0" collapsed="false">
      <c r="A208" s="0" t="n">
        <v>207</v>
      </c>
      <c r="B208" s="0" t="s">
        <v>1464</v>
      </c>
      <c r="C208" s="0" t="s">
        <v>88</v>
      </c>
      <c r="E208" s="0" t="s">
        <v>1465</v>
      </c>
      <c r="N208" s="3" t="s">
        <v>186</v>
      </c>
      <c r="O208" s="3" t="s">
        <v>186</v>
      </c>
      <c r="P208" s="0" t="s">
        <v>96</v>
      </c>
      <c r="AA208" s="0" t="s">
        <v>47</v>
      </c>
      <c r="AB208" s="0" t="s">
        <v>1466</v>
      </c>
      <c r="AC208" s="0" t="s">
        <v>1467</v>
      </c>
      <c r="AD208" s="0" t="s">
        <v>1468</v>
      </c>
      <c r="AE208" s="0" t="s">
        <v>79</v>
      </c>
      <c r="AF208" s="3" t="s">
        <v>48</v>
      </c>
      <c r="AG208" s="3" t="s">
        <v>49</v>
      </c>
      <c r="AR208" s="0" t="s">
        <v>1465</v>
      </c>
    </row>
    <row r="209" customFormat="false" ht="15" hidden="false" customHeight="false" outlineLevel="0" collapsed="false">
      <c r="A209" s="0" t="n">
        <v>208</v>
      </c>
      <c r="B209" s="0" t="s">
        <v>1469</v>
      </c>
      <c r="C209" s="0" t="s">
        <v>88</v>
      </c>
      <c r="E209" s="0" t="s">
        <v>1470</v>
      </c>
      <c r="AA209" s="0" t="s">
        <v>47</v>
      </c>
      <c r="AF209" s="3" t="s">
        <v>48</v>
      </c>
      <c r="AG209" s="3" t="s">
        <v>49</v>
      </c>
      <c r="AR209" s="0" t="s">
        <v>1470</v>
      </c>
    </row>
    <row r="210" customFormat="false" ht="15" hidden="false" customHeight="false" outlineLevel="0" collapsed="false">
      <c r="A210" s="0" t="n">
        <v>209</v>
      </c>
      <c r="B210" s="0" t="s">
        <v>1471</v>
      </c>
      <c r="C210" s="0" t="s">
        <v>43</v>
      </c>
      <c r="F210" s="0" t="s">
        <v>44</v>
      </c>
      <c r="H210" s="0" t="s">
        <v>1472</v>
      </c>
      <c r="I210" s="0" t="s">
        <v>154</v>
      </c>
      <c r="AA210" s="0" t="s">
        <v>47</v>
      </c>
      <c r="AF210" s="3" t="s">
        <v>48</v>
      </c>
      <c r="AG210" s="3" t="s">
        <v>49</v>
      </c>
      <c r="AL210" s="0" t="s">
        <v>1473</v>
      </c>
      <c r="AO210" s="0" t="s">
        <v>1474</v>
      </c>
      <c r="AP210" s="0" t="s">
        <v>1474</v>
      </c>
      <c r="AR210" s="0" t="s">
        <v>1475</v>
      </c>
    </row>
    <row r="211" customFormat="false" ht="15" hidden="false" customHeight="false" outlineLevel="0" collapsed="false">
      <c r="A211" s="0" t="n">
        <v>210</v>
      </c>
      <c r="B211" s="0" t="s">
        <v>1476</v>
      </c>
      <c r="C211" s="0" t="s">
        <v>52</v>
      </c>
      <c r="D211" s="0" t="s">
        <v>1477</v>
      </c>
      <c r="H211" s="0" t="s">
        <v>1478</v>
      </c>
      <c r="I211" s="0" t="s">
        <v>154</v>
      </c>
      <c r="N211" s="3" t="s">
        <v>104</v>
      </c>
      <c r="O211" s="3" t="s">
        <v>104</v>
      </c>
      <c r="P211" s="0" t="s">
        <v>55</v>
      </c>
      <c r="AA211" s="0" t="s">
        <v>47</v>
      </c>
      <c r="AB211" s="0" t="s">
        <v>1479</v>
      </c>
      <c r="AC211" s="0" t="s">
        <v>1480</v>
      </c>
      <c r="AD211" s="0" t="s">
        <v>1481</v>
      </c>
      <c r="AE211" s="0" t="s">
        <v>59</v>
      </c>
      <c r="AF211" s="3" t="s">
        <v>108</v>
      </c>
      <c r="AG211" s="3" t="s">
        <v>49</v>
      </c>
      <c r="AH211" s="0" t="n">
        <v>2026</v>
      </c>
      <c r="AI211" s="0" t="s">
        <v>1231</v>
      </c>
      <c r="AJ211" s="0" t="s">
        <v>1232</v>
      </c>
      <c r="AO211" s="0" t="s">
        <v>1482</v>
      </c>
      <c r="AP211" s="0" t="s">
        <v>1482</v>
      </c>
      <c r="AR211" s="0" t="s">
        <v>1483</v>
      </c>
    </row>
    <row r="212" customFormat="false" ht="15" hidden="false" customHeight="false" outlineLevel="0" collapsed="false">
      <c r="A212" s="0" t="n">
        <v>211</v>
      </c>
      <c r="B212" s="0" t="s">
        <v>1484</v>
      </c>
      <c r="C212" s="0" t="s">
        <v>88</v>
      </c>
      <c r="E212" s="0" t="s">
        <v>1485</v>
      </c>
      <c r="H212" s="0" t="s">
        <v>1486</v>
      </c>
      <c r="I212" s="0" t="s">
        <v>154</v>
      </c>
      <c r="N212" s="3" t="s">
        <v>213</v>
      </c>
      <c r="O212" s="3" t="s">
        <v>213</v>
      </c>
      <c r="P212" s="0" t="s">
        <v>96</v>
      </c>
      <c r="AA212" s="0" t="s">
        <v>47</v>
      </c>
      <c r="AB212" s="0" t="s">
        <v>1487</v>
      </c>
      <c r="AC212" s="0" t="s">
        <v>1488</v>
      </c>
      <c r="AD212" s="0" t="s">
        <v>1489</v>
      </c>
      <c r="AE212" s="0" t="s">
        <v>79</v>
      </c>
      <c r="AF212" s="3" t="s">
        <v>48</v>
      </c>
      <c r="AG212" s="3" t="s">
        <v>49</v>
      </c>
      <c r="AL212" s="0" t="s">
        <v>1490</v>
      </c>
      <c r="AM212" s="0" t="s">
        <v>1491</v>
      </c>
      <c r="AO212" s="0" t="s">
        <v>1492</v>
      </c>
      <c r="AP212" s="0" t="s">
        <v>1492</v>
      </c>
      <c r="AR212" s="0" t="s">
        <v>1493</v>
      </c>
    </row>
    <row r="213" customFormat="false" ht="15" hidden="false" customHeight="false" outlineLevel="0" collapsed="false">
      <c r="A213" s="0" t="n">
        <v>212</v>
      </c>
      <c r="B213" s="0" t="s">
        <v>1494</v>
      </c>
      <c r="C213" s="0" t="s">
        <v>43</v>
      </c>
      <c r="F213" s="0" t="s">
        <v>44</v>
      </c>
      <c r="H213" s="0" t="s">
        <v>1495</v>
      </c>
      <c r="I213" s="0" t="s">
        <v>154</v>
      </c>
      <c r="AA213" s="0" t="s">
        <v>47</v>
      </c>
      <c r="AF213" s="3" t="s">
        <v>108</v>
      </c>
      <c r="AG213" s="3" t="s">
        <v>49</v>
      </c>
      <c r="AH213" s="0" t="n">
        <v>2026</v>
      </c>
      <c r="AI213" s="0" t="s">
        <v>155</v>
      </c>
      <c r="AJ213" s="0" t="s">
        <v>156</v>
      </c>
      <c r="AL213" s="0" t="s">
        <v>1496</v>
      </c>
      <c r="AM213" s="0" t="s">
        <v>1497</v>
      </c>
      <c r="AO213" s="0" t="s">
        <v>1498</v>
      </c>
      <c r="AP213" s="0" t="s">
        <v>1498</v>
      </c>
      <c r="AR213" s="0" t="s">
        <v>1499</v>
      </c>
    </row>
    <row r="214" customFormat="false" ht="15" hidden="false" customHeight="false" outlineLevel="0" collapsed="false">
      <c r="A214" s="0" t="n">
        <v>213</v>
      </c>
      <c r="B214" s="0" t="s">
        <v>1500</v>
      </c>
      <c r="C214" s="0" t="s">
        <v>88</v>
      </c>
      <c r="E214" s="0" t="s">
        <v>1501</v>
      </c>
      <c r="H214" s="0" t="s">
        <v>1502</v>
      </c>
      <c r="I214" s="0" t="s">
        <v>154</v>
      </c>
      <c r="AA214" s="0" t="s">
        <v>47</v>
      </c>
      <c r="AB214" s="0" t="s">
        <v>1503</v>
      </c>
      <c r="AC214" s="0" t="s">
        <v>1504</v>
      </c>
      <c r="AD214" s="0" t="s">
        <v>1505</v>
      </c>
      <c r="AE214" s="0" t="s">
        <v>79</v>
      </c>
      <c r="AF214" s="3" t="s">
        <v>48</v>
      </c>
      <c r="AG214" s="3" t="s">
        <v>49</v>
      </c>
      <c r="AL214" s="0" t="s">
        <v>1506</v>
      </c>
      <c r="AM214" s="0" t="s">
        <v>1507</v>
      </c>
      <c r="AO214" s="0" t="s">
        <v>1508</v>
      </c>
      <c r="AP214" s="0" t="s">
        <v>1508</v>
      </c>
      <c r="AR214" s="0" t="s">
        <v>1509</v>
      </c>
    </row>
    <row r="215" customFormat="false" ht="15" hidden="false" customHeight="false" outlineLevel="0" collapsed="false">
      <c r="A215" s="0" t="n">
        <v>214</v>
      </c>
      <c r="B215" s="0" t="s">
        <v>1510</v>
      </c>
      <c r="C215" s="0" t="s">
        <v>52</v>
      </c>
      <c r="D215" s="0" t="s">
        <v>1511</v>
      </c>
      <c r="H215" s="0" t="s">
        <v>1512</v>
      </c>
      <c r="I215" s="0" t="s">
        <v>46</v>
      </c>
      <c r="N215" s="3" t="s">
        <v>104</v>
      </c>
      <c r="O215" s="3" t="s">
        <v>104</v>
      </c>
      <c r="P215" s="0" t="s">
        <v>55</v>
      </c>
      <c r="AA215" s="0" t="s">
        <v>47</v>
      </c>
      <c r="AB215" s="0" t="s">
        <v>1513</v>
      </c>
      <c r="AC215" s="0" t="s">
        <v>1514</v>
      </c>
      <c r="AD215" s="0" t="s">
        <v>1515</v>
      </c>
      <c r="AE215" s="0" t="s">
        <v>59</v>
      </c>
      <c r="AF215" s="3" t="s">
        <v>48</v>
      </c>
      <c r="AG215" s="3" t="s">
        <v>49</v>
      </c>
      <c r="AR215" s="0" t="s">
        <v>1511</v>
      </c>
    </row>
    <row r="216" customFormat="false" ht="15" hidden="false" customHeight="false" outlineLevel="0" collapsed="false">
      <c r="A216" s="0" t="n">
        <v>215</v>
      </c>
      <c r="B216" s="0" t="s">
        <v>1516</v>
      </c>
      <c r="C216" s="0" t="s">
        <v>52</v>
      </c>
      <c r="D216" s="0" t="s">
        <v>1517</v>
      </c>
      <c r="H216" s="0" t="s">
        <v>1518</v>
      </c>
      <c r="I216" s="0" t="s">
        <v>94</v>
      </c>
      <c r="N216" s="3" t="s">
        <v>147</v>
      </c>
      <c r="O216" s="3" t="s">
        <v>147</v>
      </c>
      <c r="P216" s="0" t="s">
        <v>96</v>
      </c>
      <c r="AA216" s="0" t="s">
        <v>47</v>
      </c>
      <c r="AB216" s="0" t="s">
        <v>1519</v>
      </c>
      <c r="AE216" s="0" t="s">
        <v>59</v>
      </c>
      <c r="AF216" s="3" t="s">
        <v>48</v>
      </c>
      <c r="AG216" s="3" t="s">
        <v>49</v>
      </c>
      <c r="AM216" s="0" t="s">
        <v>1520</v>
      </c>
      <c r="AO216" s="0" t="s">
        <v>1521</v>
      </c>
      <c r="AP216" s="0" t="s">
        <v>1521</v>
      </c>
      <c r="AR216" s="0" t="s">
        <v>1522</v>
      </c>
    </row>
    <row r="217" customFormat="false" ht="15" hidden="false" customHeight="false" outlineLevel="0" collapsed="false">
      <c r="A217" s="0" t="n">
        <v>216</v>
      </c>
      <c r="B217" s="0" t="s">
        <v>1523</v>
      </c>
      <c r="C217" s="0" t="s">
        <v>312</v>
      </c>
      <c r="D217" s="0" t="s">
        <v>1524</v>
      </c>
      <c r="E217" s="0" t="s">
        <v>1525</v>
      </c>
      <c r="F217" s="0" t="s">
        <v>44</v>
      </c>
      <c r="H217" s="0" t="s">
        <v>1526</v>
      </c>
      <c r="I217" s="0" t="s">
        <v>46</v>
      </c>
      <c r="N217" s="3" t="s">
        <v>54</v>
      </c>
      <c r="O217" s="3" t="s">
        <v>54</v>
      </c>
      <c r="P217" s="0" t="s">
        <v>55</v>
      </c>
      <c r="AA217" s="0" t="s">
        <v>47</v>
      </c>
      <c r="AB217" s="0" t="s">
        <v>1527</v>
      </c>
      <c r="AC217" s="0" t="s">
        <v>1528</v>
      </c>
      <c r="AD217" s="0" t="s">
        <v>1529</v>
      </c>
      <c r="AE217" s="0" t="s">
        <v>79</v>
      </c>
      <c r="AF217" s="3" t="s">
        <v>108</v>
      </c>
      <c r="AG217" s="3" t="s">
        <v>49</v>
      </c>
      <c r="AH217" s="0" t="n">
        <v>2026</v>
      </c>
      <c r="AI217" s="0" t="s">
        <v>1530</v>
      </c>
      <c r="AJ217" s="0" t="s">
        <v>1531</v>
      </c>
      <c r="AK217" s="0" t="s">
        <v>1532</v>
      </c>
      <c r="AR217" s="0" t="s">
        <v>1533</v>
      </c>
    </row>
    <row r="218" customFormat="false" ht="15" hidden="false" customHeight="false" outlineLevel="0" collapsed="false">
      <c r="A218" s="0" t="n">
        <v>217</v>
      </c>
      <c r="B218" s="0" t="s">
        <v>1534</v>
      </c>
      <c r="C218" s="0" t="s">
        <v>88</v>
      </c>
      <c r="E218" s="0" t="s">
        <v>1535</v>
      </c>
      <c r="H218" s="0" t="s">
        <v>1536</v>
      </c>
      <c r="I218" s="0" t="s">
        <v>115</v>
      </c>
      <c r="J218" s="3" t="s">
        <v>1537</v>
      </c>
      <c r="K218" s="0" t="s">
        <v>1538</v>
      </c>
      <c r="L218" s="0" t="s">
        <v>1539</v>
      </c>
      <c r="M218" s="0" t="n">
        <v>1997</v>
      </c>
      <c r="N218" s="0" t="s">
        <v>697</v>
      </c>
      <c r="O218" s="3" t="s">
        <v>119</v>
      </c>
      <c r="P218" s="0" t="s">
        <v>96</v>
      </c>
      <c r="R218" s="0" t="n">
        <v>700</v>
      </c>
      <c r="S218" s="0" t="n">
        <v>2025</v>
      </c>
      <c r="T218" s="0" t="s">
        <v>72</v>
      </c>
      <c r="U218" s="0" t="s">
        <v>115</v>
      </c>
      <c r="V218" s="0" t="n">
        <v>201</v>
      </c>
      <c r="W218" s="0" t="s">
        <v>1540</v>
      </c>
      <c r="X218" s="0" t="s">
        <v>1541</v>
      </c>
      <c r="Y218" s="0" t="s">
        <v>72</v>
      </c>
      <c r="Z218" s="0" t="s">
        <v>115</v>
      </c>
      <c r="AA218" s="0" t="s">
        <v>75</v>
      </c>
      <c r="AB218" s="0" t="s">
        <v>1542</v>
      </c>
      <c r="AC218" s="0" t="s">
        <v>1543</v>
      </c>
      <c r="AD218" s="0" t="s">
        <v>1544</v>
      </c>
      <c r="AE218" s="0" t="s">
        <v>115</v>
      </c>
      <c r="AF218" s="3" t="s">
        <v>108</v>
      </c>
      <c r="AG218" s="3" t="s">
        <v>404</v>
      </c>
      <c r="AH218" s="0" t="n">
        <v>2026</v>
      </c>
      <c r="AI218" s="0" t="s">
        <v>1545</v>
      </c>
      <c r="AJ218" s="0" t="s">
        <v>1546</v>
      </c>
      <c r="AK218" s="0" t="s">
        <v>1547</v>
      </c>
      <c r="AL218" s="0" t="s">
        <v>1548</v>
      </c>
      <c r="AM218" s="0" t="s">
        <v>1549</v>
      </c>
      <c r="AN218" s="0" t="s">
        <v>1550</v>
      </c>
      <c r="AO218" s="0" t="s">
        <v>1551</v>
      </c>
      <c r="AP218" s="0" t="s">
        <v>1551</v>
      </c>
      <c r="AR218" s="0" t="s">
        <v>1552</v>
      </c>
    </row>
    <row r="219" customFormat="false" ht="15" hidden="false" customHeight="false" outlineLevel="0" collapsed="false">
      <c r="A219" s="0" t="n">
        <v>218</v>
      </c>
      <c r="B219" s="0" t="s">
        <v>1553</v>
      </c>
      <c r="C219" s="0" t="s">
        <v>52</v>
      </c>
      <c r="D219" s="0" t="s">
        <v>1554</v>
      </c>
      <c r="H219" s="0" t="s">
        <v>1555</v>
      </c>
      <c r="I219" s="0" t="s">
        <v>154</v>
      </c>
      <c r="N219" s="0" t="s">
        <v>1556</v>
      </c>
      <c r="O219" s="0" t="s">
        <v>1556</v>
      </c>
      <c r="P219" s="0" t="s">
        <v>55</v>
      </c>
      <c r="AA219" s="0" t="s">
        <v>47</v>
      </c>
      <c r="AB219" s="0" t="s">
        <v>1557</v>
      </c>
      <c r="AC219" s="0" t="s">
        <v>1558</v>
      </c>
      <c r="AD219" s="0" t="s">
        <v>1559</v>
      </c>
      <c r="AE219" s="0" t="s">
        <v>59</v>
      </c>
      <c r="AF219" s="3" t="s">
        <v>48</v>
      </c>
      <c r="AG219" s="3" t="s">
        <v>49</v>
      </c>
      <c r="AL219" s="0" t="s">
        <v>1560</v>
      </c>
      <c r="AM219" s="0" t="s">
        <v>1561</v>
      </c>
      <c r="AO219" s="0" t="s">
        <v>1562</v>
      </c>
      <c r="AP219" s="0" t="s">
        <v>1562</v>
      </c>
      <c r="AR219" s="0" t="s">
        <v>1563</v>
      </c>
    </row>
    <row r="220" customFormat="false" ht="15" hidden="false" customHeight="false" outlineLevel="0" collapsed="false">
      <c r="A220" s="0" t="n">
        <v>219</v>
      </c>
      <c r="B220" s="0" t="s">
        <v>1564</v>
      </c>
      <c r="C220" s="0" t="s">
        <v>312</v>
      </c>
      <c r="D220" s="0" t="s">
        <v>1565</v>
      </c>
      <c r="E220" s="0" t="s">
        <v>1566</v>
      </c>
      <c r="F220" s="0" t="s">
        <v>44</v>
      </c>
      <c r="H220" s="0" t="s">
        <v>1567</v>
      </c>
      <c r="I220" s="0" t="s">
        <v>46</v>
      </c>
      <c r="N220" s="3" t="s">
        <v>1568</v>
      </c>
      <c r="O220" s="3" t="s">
        <v>1568</v>
      </c>
      <c r="P220" s="0" t="s">
        <v>55</v>
      </c>
      <c r="AA220" s="0" t="s">
        <v>47</v>
      </c>
      <c r="AB220" s="0" t="s">
        <v>1569</v>
      </c>
      <c r="AC220" s="0" t="s">
        <v>1570</v>
      </c>
      <c r="AD220" s="0" t="s">
        <v>1571</v>
      </c>
      <c r="AE220" s="0" t="s">
        <v>79</v>
      </c>
      <c r="AF220" s="3" t="s">
        <v>108</v>
      </c>
      <c r="AG220" s="3" t="s">
        <v>81</v>
      </c>
      <c r="AH220" s="0" t="n">
        <v>2026</v>
      </c>
      <c r="AI220" s="0" t="s">
        <v>1572</v>
      </c>
      <c r="AJ220" s="0" t="s">
        <v>1573</v>
      </c>
      <c r="AK220" s="0" t="s">
        <v>1574</v>
      </c>
      <c r="AR220" s="0" t="s">
        <v>1575</v>
      </c>
    </row>
    <row r="221" customFormat="false" ht="15" hidden="false" customHeight="false" outlineLevel="0" collapsed="false">
      <c r="A221" s="0" t="n">
        <v>220</v>
      </c>
      <c r="B221" s="0" t="s">
        <v>1576</v>
      </c>
      <c r="C221" s="0" t="s">
        <v>88</v>
      </c>
      <c r="E221" s="0" t="s">
        <v>1577</v>
      </c>
      <c r="H221" s="0" t="s">
        <v>1578</v>
      </c>
      <c r="I221" s="0" t="s">
        <v>154</v>
      </c>
      <c r="N221" s="3" t="s">
        <v>202</v>
      </c>
      <c r="O221" s="3" t="s">
        <v>202</v>
      </c>
      <c r="P221" s="0" t="s">
        <v>96</v>
      </c>
      <c r="AA221" s="0" t="s">
        <v>47</v>
      </c>
      <c r="AB221" s="0" t="s">
        <v>1579</v>
      </c>
      <c r="AC221" s="0" t="s">
        <v>1580</v>
      </c>
      <c r="AD221" s="0" t="s">
        <v>1581</v>
      </c>
      <c r="AE221" s="0" t="s">
        <v>79</v>
      </c>
      <c r="AF221" s="3" t="s">
        <v>108</v>
      </c>
      <c r="AG221" s="3" t="s">
        <v>49</v>
      </c>
      <c r="AH221" s="0" t="n">
        <v>2026</v>
      </c>
      <c r="AI221" s="0" t="s">
        <v>1423</v>
      </c>
      <c r="AJ221" s="0" t="s">
        <v>1424</v>
      </c>
      <c r="AL221" s="0" t="s">
        <v>1582</v>
      </c>
      <c r="AO221" s="0" t="s">
        <v>1583</v>
      </c>
      <c r="AP221" s="0" t="s">
        <v>1583</v>
      </c>
      <c r="AR221" s="0" t="s">
        <v>1584</v>
      </c>
    </row>
    <row r="222" customFormat="false" ht="15" hidden="false" customHeight="false" outlineLevel="0" collapsed="false">
      <c r="A222" s="0" t="n">
        <v>221</v>
      </c>
      <c r="B222" s="0" t="s">
        <v>1585</v>
      </c>
      <c r="C222" s="0" t="s">
        <v>43</v>
      </c>
      <c r="F222" s="0" t="s">
        <v>44</v>
      </c>
      <c r="H222" s="0" t="s">
        <v>1586</v>
      </c>
      <c r="I222" s="0" t="s">
        <v>46</v>
      </c>
      <c r="AA222" s="0" t="s">
        <v>47</v>
      </c>
      <c r="AF222" s="3" t="s">
        <v>48</v>
      </c>
      <c r="AG222" s="3" t="s">
        <v>49</v>
      </c>
      <c r="AR222" s="0" t="s">
        <v>50</v>
      </c>
    </row>
    <row r="223" customFormat="false" ht="15" hidden="false" customHeight="false" outlineLevel="0" collapsed="false">
      <c r="A223" s="0" t="n">
        <v>222</v>
      </c>
      <c r="B223" s="0" t="s">
        <v>1587</v>
      </c>
      <c r="C223" s="0" t="s">
        <v>244</v>
      </c>
      <c r="E223" s="0" t="s">
        <v>1588</v>
      </c>
      <c r="F223" s="0" t="s">
        <v>44</v>
      </c>
      <c r="H223" s="0" t="s">
        <v>1589</v>
      </c>
      <c r="I223" s="0" t="s">
        <v>154</v>
      </c>
      <c r="N223" s="3" t="s">
        <v>186</v>
      </c>
      <c r="O223" s="3" t="s">
        <v>186</v>
      </c>
      <c r="P223" s="0" t="s">
        <v>96</v>
      </c>
      <c r="AA223" s="0" t="s">
        <v>47</v>
      </c>
      <c r="AB223" s="0" t="s">
        <v>1590</v>
      </c>
      <c r="AC223" s="0" t="s">
        <v>1591</v>
      </c>
      <c r="AD223" s="0" t="s">
        <v>1592</v>
      </c>
      <c r="AE223" s="0" t="s">
        <v>79</v>
      </c>
      <c r="AF223" s="3" t="s">
        <v>108</v>
      </c>
      <c r="AG223" s="3" t="s">
        <v>49</v>
      </c>
      <c r="AH223" s="0" t="n">
        <v>2026</v>
      </c>
      <c r="AI223" s="0" t="s">
        <v>1593</v>
      </c>
      <c r="AJ223" s="0" t="s">
        <v>1594</v>
      </c>
      <c r="AK223" s="0" t="s">
        <v>1595</v>
      </c>
      <c r="AP223" s="0" t="s">
        <v>1596</v>
      </c>
      <c r="AR223" s="0" t="s">
        <v>1597</v>
      </c>
    </row>
    <row r="224" customFormat="false" ht="15" hidden="false" customHeight="false" outlineLevel="0" collapsed="false">
      <c r="A224" s="0" t="n">
        <v>223</v>
      </c>
      <c r="B224" s="0" t="s">
        <v>1598</v>
      </c>
      <c r="C224" s="0" t="s">
        <v>88</v>
      </c>
      <c r="E224" s="0" t="s">
        <v>1599</v>
      </c>
      <c r="H224" s="0" t="s">
        <v>1600</v>
      </c>
      <c r="I224" s="0" t="s">
        <v>154</v>
      </c>
      <c r="N224" s="3" t="s">
        <v>147</v>
      </c>
      <c r="O224" s="3" t="s">
        <v>147</v>
      </c>
      <c r="P224" s="0" t="s">
        <v>96</v>
      </c>
      <c r="AA224" s="0" t="s">
        <v>47</v>
      </c>
      <c r="AB224" s="0" t="s">
        <v>1601</v>
      </c>
      <c r="AC224" s="0" t="s">
        <v>1602</v>
      </c>
      <c r="AD224" s="0" t="s">
        <v>1603</v>
      </c>
      <c r="AE224" s="0" t="s">
        <v>79</v>
      </c>
      <c r="AF224" s="3" t="s">
        <v>48</v>
      </c>
      <c r="AG224" s="3" t="s">
        <v>49</v>
      </c>
      <c r="AM224" s="0" t="s">
        <v>1604</v>
      </c>
      <c r="AO224" s="0" t="s">
        <v>1605</v>
      </c>
      <c r="AP224" s="0" t="s">
        <v>1605</v>
      </c>
      <c r="AR224" s="0" t="s">
        <v>1606</v>
      </c>
    </row>
    <row r="225" customFormat="false" ht="15" hidden="false" customHeight="false" outlineLevel="0" collapsed="false">
      <c r="A225" s="0" t="n">
        <v>224</v>
      </c>
      <c r="B225" s="0" t="s">
        <v>1607</v>
      </c>
      <c r="C225" s="0" t="s">
        <v>88</v>
      </c>
      <c r="E225" s="0" t="s">
        <v>1608</v>
      </c>
      <c r="AA225" s="0" t="s">
        <v>47</v>
      </c>
      <c r="AF225" s="3" t="s">
        <v>48</v>
      </c>
      <c r="AG225" s="3" t="s">
        <v>49</v>
      </c>
      <c r="AR225" s="0" t="s">
        <v>1608</v>
      </c>
    </row>
    <row r="226" customFormat="false" ht="15" hidden="false" customHeight="false" outlineLevel="0" collapsed="false">
      <c r="A226" s="0" t="n">
        <v>225</v>
      </c>
      <c r="B226" s="0" t="s">
        <v>1609</v>
      </c>
      <c r="C226" s="0" t="s">
        <v>88</v>
      </c>
      <c r="E226" s="0" t="s">
        <v>1610</v>
      </c>
      <c r="AA226" s="0" t="s">
        <v>47</v>
      </c>
      <c r="AF226" s="3" t="s">
        <v>48</v>
      </c>
      <c r="AG226" s="3" t="s">
        <v>49</v>
      </c>
      <c r="AR226" s="0" t="s">
        <v>1610</v>
      </c>
    </row>
    <row r="227" customFormat="false" ht="15" hidden="false" customHeight="false" outlineLevel="0" collapsed="false">
      <c r="A227" s="0" t="n">
        <v>226</v>
      </c>
      <c r="B227" s="0" t="s">
        <v>1611</v>
      </c>
      <c r="C227" s="0" t="s">
        <v>43</v>
      </c>
      <c r="F227" s="0" t="s">
        <v>44</v>
      </c>
      <c r="AA227" s="0" t="s">
        <v>47</v>
      </c>
      <c r="AF227" s="3" t="s">
        <v>48</v>
      </c>
      <c r="AG227" s="3" t="s">
        <v>49</v>
      </c>
      <c r="AR227" s="0" t="s">
        <v>50</v>
      </c>
    </row>
    <row r="228" customFormat="false" ht="15" hidden="false" customHeight="false" outlineLevel="0" collapsed="false">
      <c r="A228" s="0" t="n">
        <v>227</v>
      </c>
      <c r="B228" s="0" t="s">
        <v>1612</v>
      </c>
      <c r="C228" s="0" t="s">
        <v>88</v>
      </c>
      <c r="E228" s="0" t="s">
        <v>1613</v>
      </c>
      <c r="H228" s="0" t="s">
        <v>1614</v>
      </c>
      <c r="I228" s="0" t="s">
        <v>154</v>
      </c>
      <c r="N228" s="3" t="s">
        <v>213</v>
      </c>
      <c r="O228" s="3" t="s">
        <v>213</v>
      </c>
      <c r="P228" s="0" t="s">
        <v>96</v>
      </c>
      <c r="AA228" s="0" t="s">
        <v>47</v>
      </c>
      <c r="AB228" s="0" t="s">
        <v>1615</v>
      </c>
      <c r="AC228" s="0" t="s">
        <v>1616</v>
      </c>
      <c r="AD228" s="0" t="s">
        <v>1617</v>
      </c>
      <c r="AE228" s="0" t="s">
        <v>79</v>
      </c>
      <c r="AF228" s="3" t="s">
        <v>48</v>
      </c>
      <c r="AG228" s="3" t="s">
        <v>49</v>
      </c>
      <c r="AL228" s="0" t="s">
        <v>1618</v>
      </c>
      <c r="AO228" s="0" t="s">
        <v>1619</v>
      </c>
      <c r="AP228" s="0" t="s">
        <v>1619</v>
      </c>
      <c r="AR228" s="0" t="s">
        <v>1620</v>
      </c>
    </row>
    <row r="229" customFormat="false" ht="15" hidden="false" customHeight="false" outlineLevel="0" collapsed="false">
      <c r="A229" s="0" t="n">
        <v>228</v>
      </c>
      <c r="B229" s="0" t="s">
        <v>1621</v>
      </c>
      <c r="C229" s="0" t="s">
        <v>61</v>
      </c>
      <c r="D229" s="0" t="s">
        <v>1622</v>
      </c>
      <c r="E229" s="0" t="s">
        <v>1623</v>
      </c>
      <c r="N229" s="3" t="s">
        <v>1624</v>
      </c>
      <c r="O229" s="3" t="s">
        <v>1624</v>
      </c>
      <c r="P229" s="0" t="s">
        <v>55</v>
      </c>
      <c r="AA229" s="0" t="s">
        <v>47</v>
      </c>
      <c r="AB229" s="0" t="s">
        <v>1625</v>
      </c>
      <c r="AC229" s="0" t="s">
        <v>1626</v>
      </c>
      <c r="AD229" s="0" t="s">
        <v>1627</v>
      </c>
      <c r="AE229" s="0" t="s">
        <v>79</v>
      </c>
      <c r="AF229" s="3" t="s">
        <v>108</v>
      </c>
      <c r="AG229" s="3" t="s">
        <v>49</v>
      </c>
      <c r="AH229" s="0" t="n">
        <v>2026</v>
      </c>
      <c r="AI229" s="0" t="s">
        <v>921</v>
      </c>
      <c r="AJ229" s="0" t="s">
        <v>922</v>
      </c>
      <c r="AK229" s="0" t="s">
        <v>1628</v>
      </c>
      <c r="AR229" s="0" t="s">
        <v>1629</v>
      </c>
    </row>
    <row r="230" customFormat="false" ht="15" hidden="false" customHeight="false" outlineLevel="0" collapsed="false">
      <c r="A230" s="0" t="n">
        <v>229</v>
      </c>
      <c r="B230" s="0" t="s">
        <v>1630</v>
      </c>
      <c r="C230" s="0" t="s">
        <v>52</v>
      </c>
      <c r="D230" s="0" t="s">
        <v>1631</v>
      </c>
      <c r="N230" s="3" t="s">
        <v>1624</v>
      </c>
      <c r="O230" s="3" t="s">
        <v>1624</v>
      </c>
      <c r="P230" s="0" t="s">
        <v>55</v>
      </c>
      <c r="AA230" s="0" t="s">
        <v>47</v>
      </c>
      <c r="AB230" s="0" t="s">
        <v>1632</v>
      </c>
      <c r="AC230" s="0" t="s">
        <v>1633</v>
      </c>
      <c r="AD230" s="0" t="s">
        <v>1634</v>
      </c>
      <c r="AE230" s="0" t="s">
        <v>59</v>
      </c>
      <c r="AF230" s="3" t="s">
        <v>108</v>
      </c>
      <c r="AG230" s="3" t="s">
        <v>49</v>
      </c>
      <c r="AH230" s="0" t="n">
        <v>2026</v>
      </c>
      <c r="AI230" s="0" t="s">
        <v>109</v>
      </c>
      <c r="AJ230" s="0" t="s">
        <v>110</v>
      </c>
      <c r="AR230" s="0" t="s">
        <v>1635</v>
      </c>
    </row>
    <row r="231" customFormat="false" ht="15" hidden="false" customHeight="false" outlineLevel="0" collapsed="false">
      <c r="A231" s="0" t="n">
        <v>230</v>
      </c>
      <c r="B231" s="0" t="s">
        <v>1636</v>
      </c>
      <c r="C231" s="0" t="s">
        <v>244</v>
      </c>
      <c r="E231" s="0" t="s">
        <v>1637</v>
      </c>
      <c r="F231" s="0" t="s">
        <v>44</v>
      </c>
      <c r="N231" s="3" t="s">
        <v>213</v>
      </c>
      <c r="O231" s="3" t="s">
        <v>213</v>
      </c>
      <c r="P231" s="0" t="s">
        <v>96</v>
      </c>
      <c r="AA231" s="0" t="s">
        <v>47</v>
      </c>
      <c r="AB231" s="0" t="s">
        <v>1638</v>
      </c>
      <c r="AC231" s="0" t="s">
        <v>1639</v>
      </c>
      <c r="AD231" s="0" t="s">
        <v>1640</v>
      </c>
      <c r="AE231" s="0" t="s">
        <v>79</v>
      </c>
      <c r="AF231" s="3" t="s">
        <v>149</v>
      </c>
      <c r="AG231" s="3" t="s">
        <v>81</v>
      </c>
      <c r="AK231" s="0" t="s">
        <v>1641</v>
      </c>
      <c r="AR231" s="0" t="s">
        <v>1642</v>
      </c>
    </row>
    <row r="232" customFormat="false" ht="15" hidden="false" customHeight="false" outlineLevel="0" collapsed="false">
      <c r="A232" s="0" t="n">
        <v>231</v>
      </c>
      <c r="B232" s="0" t="s">
        <v>1643</v>
      </c>
      <c r="C232" s="0" t="s">
        <v>88</v>
      </c>
      <c r="E232" s="0" t="s">
        <v>1644</v>
      </c>
      <c r="N232" s="3" t="s">
        <v>226</v>
      </c>
      <c r="O232" s="3" t="s">
        <v>226</v>
      </c>
      <c r="P232" s="0" t="s">
        <v>96</v>
      </c>
      <c r="AA232" s="0" t="s">
        <v>47</v>
      </c>
      <c r="AB232" s="0" t="s">
        <v>1645</v>
      </c>
      <c r="AC232" s="0" t="s">
        <v>1646</v>
      </c>
      <c r="AE232" s="0" t="s">
        <v>79</v>
      </c>
      <c r="AF232" s="3" t="s">
        <v>48</v>
      </c>
      <c r="AG232" s="3" t="s">
        <v>49</v>
      </c>
      <c r="AR232" s="0" t="s">
        <v>1644</v>
      </c>
    </row>
    <row r="233" customFormat="false" ht="15" hidden="false" customHeight="false" outlineLevel="0" collapsed="false">
      <c r="A233" s="0" t="n">
        <v>232</v>
      </c>
      <c r="B233" s="0" t="s">
        <v>1647</v>
      </c>
      <c r="C233" s="0" t="s">
        <v>88</v>
      </c>
      <c r="E233" s="0" t="s">
        <v>1648</v>
      </c>
      <c r="H233" s="0" t="s">
        <v>1649</v>
      </c>
      <c r="I233" s="0" t="s">
        <v>46</v>
      </c>
      <c r="N233" s="3" t="s">
        <v>95</v>
      </c>
      <c r="O233" s="3" t="s">
        <v>95</v>
      </c>
      <c r="P233" s="0" t="s">
        <v>96</v>
      </c>
      <c r="AA233" s="0" t="s">
        <v>47</v>
      </c>
      <c r="AB233" s="0" t="s">
        <v>1650</v>
      </c>
      <c r="AC233" s="0" t="s">
        <v>1651</v>
      </c>
      <c r="AD233" s="0" t="s">
        <v>1652</v>
      </c>
      <c r="AE233" s="0" t="s">
        <v>79</v>
      </c>
      <c r="AF233" s="3" t="s">
        <v>48</v>
      </c>
      <c r="AG233" s="3" t="s">
        <v>49</v>
      </c>
      <c r="AR233" s="0" t="s">
        <v>1648</v>
      </c>
    </row>
    <row r="234" customFormat="false" ht="15" hidden="false" customHeight="false" outlineLevel="0" collapsed="false">
      <c r="A234" s="0" t="n">
        <v>233</v>
      </c>
      <c r="B234" s="0" t="s">
        <v>1653</v>
      </c>
      <c r="C234" s="0" t="s">
        <v>88</v>
      </c>
      <c r="E234" s="0" t="s">
        <v>1654</v>
      </c>
      <c r="N234" s="3" t="s">
        <v>213</v>
      </c>
      <c r="O234" s="3" t="s">
        <v>213</v>
      </c>
      <c r="P234" s="0" t="s">
        <v>96</v>
      </c>
      <c r="AA234" s="0" t="s">
        <v>47</v>
      </c>
      <c r="AB234" s="0" t="s">
        <v>1655</v>
      </c>
      <c r="AC234" s="0" t="s">
        <v>1656</v>
      </c>
      <c r="AD234" s="0" t="s">
        <v>1657</v>
      </c>
      <c r="AE234" s="0" t="s">
        <v>79</v>
      </c>
      <c r="AF234" s="3" t="s">
        <v>48</v>
      </c>
      <c r="AG234" s="3" t="s">
        <v>49</v>
      </c>
      <c r="AR234" s="0" t="s">
        <v>1654</v>
      </c>
    </row>
    <row r="235" customFormat="false" ht="15" hidden="false" customHeight="false" outlineLevel="0" collapsed="false">
      <c r="A235" s="0" t="n">
        <v>234</v>
      </c>
      <c r="B235" s="0" t="s">
        <v>1658</v>
      </c>
      <c r="C235" s="0" t="s">
        <v>88</v>
      </c>
      <c r="E235" s="0" t="s">
        <v>1659</v>
      </c>
      <c r="H235" s="0" t="s">
        <v>1660</v>
      </c>
      <c r="I235" s="0" t="s">
        <v>154</v>
      </c>
      <c r="N235" s="3" t="s">
        <v>202</v>
      </c>
      <c r="O235" s="3" t="s">
        <v>202</v>
      </c>
      <c r="P235" s="0" t="s">
        <v>96</v>
      </c>
      <c r="AA235" s="0" t="s">
        <v>47</v>
      </c>
      <c r="AB235" s="0" t="s">
        <v>1661</v>
      </c>
      <c r="AC235" s="0" t="s">
        <v>1662</v>
      </c>
      <c r="AD235" s="0" t="s">
        <v>1663</v>
      </c>
      <c r="AE235" s="0" t="s">
        <v>79</v>
      </c>
      <c r="AF235" s="3" t="s">
        <v>48</v>
      </c>
      <c r="AG235" s="3" t="s">
        <v>49</v>
      </c>
      <c r="AL235" s="0" t="s">
        <v>1664</v>
      </c>
      <c r="AM235" s="0" t="s">
        <v>1665</v>
      </c>
      <c r="AO235" s="0" t="s">
        <v>1666</v>
      </c>
      <c r="AP235" s="0" t="s">
        <v>1666</v>
      </c>
      <c r="AR235" s="0" t="s">
        <v>1667</v>
      </c>
    </row>
    <row r="236" customFormat="false" ht="15" hidden="false" customHeight="false" outlineLevel="0" collapsed="false">
      <c r="A236" s="0" t="n">
        <v>235</v>
      </c>
      <c r="B236" s="0" t="s">
        <v>1668</v>
      </c>
      <c r="C236" s="0" t="s">
        <v>88</v>
      </c>
      <c r="E236" s="0" t="s">
        <v>1669</v>
      </c>
      <c r="N236" s="3" t="s">
        <v>95</v>
      </c>
      <c r="O236" s="3" t="s">
        <v>95</v>
      </c>
      <c r="P236" s="0" t="s">
        <v>96</v>
      </c>
      <c r="AA236" s="0" t="s">
        <v>47</v>
      </c>
      <c r="AB236" s="0" t="s">
        <v>1670</v>
      </c>
      <c r="AC236" s="0" t="s">
        <v>1671</v>
      </c>
      <c r="AD236" s="0" t="s">
        <v>1672</v>
      </c>
      <c r="AE236" s="0" t="s">
        <v>79</v>
      </c>
      <c r="AF236" s="3" t="s">
        <v>48</v>
      </c>
      <c r="AG236" s="3" t="s">
        <v>49</v>
      </c>
      <c r="AR236" s="0" t="s">
        <v>1669</v>
      </c>
    </row>
    <row r="237" customFormat="false" ht="15" hidden="false" customHeight="false" outlineLevel="0" collapsed="false">
      <c r="A237" s="0" t="n">
        <v>236</v>
      </c>
      <c r="B237" s="0" t="s">
        <v>1673</v>
      </c>
      <c r="C237" s="0" t="s">
        <v>43</v>
      </c>
      <c r="F237" s="0" t="s">
        <v>44</v>
      </c>
      <c r="H237" s="0" t="s">
        <v>1674</v>
      </c>
      <c r="I237" s="0" t="s">
        <v>154</v>
      </c>
      <c r="AA237" s="0" t="s">
        <v>47</v>
      </c>
      <c r="AF237" s="3" t="s">
        <v>108</v>
      </c>
      <c r="AG237" s="3" t="s">
        <v>49</v>
      </c>
      <c r="AH237" s="0" t="n">
        <v>2026</v>
      </c>
      <c r="AI237" s="0" t="s">
        <v>155</v>
      </c>
      <c r="AJ237" s="0" t="s">
        <v>156</v>
      </c>
      <c r="AL237" s="0" t="s">
        <v>1675</v>
      </c>
      <c r="AM237" s="0" t="s">
        <v>1676</v>
      </c>
      <c r="AO237" s="0" t="s">
        <v>1677</v>
      </c>
      <c r="AP237" s="0" t="s">
        <v>1677</v>
      </c>
      <c r="AR237" s="0" t="s">
        <v>1678</v>
      </c>
    </row>
    <row r="238" customFormat="false" ht="15" hidden="false" customHeight="false" outlineLevel="0" collapsed="false">
      <c r="A238" s="0" t="n">
        <v>237</v>
      </c>
      <c r="B238" s="0" t="s">
        <v>1679</v>
      </c>
      <c r="C238" s="0" t="s">
        <v>43</v>
      </c>
      <c r="F238" s="0" t="s">
        <v>44</v>
      </c>
      <c r="AA238" s="0" t="s">
        <v>47</v>
      </c>
      <c r="AF238" s="3" t="s">
        <v>48</v>
      </c>
      <c r="AG238" s="3" t="s">
        <v>49</v>
      </c>
      <c r="AR238" s="0" t="s">
        <v>50</v>
      </c>
    </row>
    <row r="239" customFormat="false" ht="15" hidden="false" customHeight="false" outlineLevel="0" collapsed="false">
      <c r="A239" s="0" t="n">
        <v>238</v>
      </c>
      <c r="B239" s="0" t="s">
        <v>1680</v>
      </c>
      <c r="C239" s="0" t="s">
        <v>244</v>
      </c>
      <c r="E239" s="0" t="s">
        <v>1681</v>
      </c>
      <c r="F239" s="0" t="s">
        <v>44</v>
      </c>
      <c r="H239" s="0" t="s">
        <v>1682</v>
      </c>
      <c r="I239" s="0" t="s">
        <v>154</v>
      </c>
      <c r="N239" s="3" t="s">
        <v>147</v>
      </c>
      <c r="O239" s="3" t="s">
        <v>147</v>
      </c>
      <c r="P239" s="0" t="s">
        <v>96</v>
      </c>
      <c r="AA239" s="0" t="s">
        <v>47</v>
      </c>
      <c r="AB239" s="0" t="s">
        <v>1683</v>
      </c>
      <c r="AC239" s="0" t="s">
        <v>1684</v>
      </c>
      <c r="AD239" s="0" t="s">
        <v>1685</v>
      </c>
      <c r="AE239" s="0" t="s">
        <v>79</v>
      </c>
      <c r="AF239" s="3" t="s">
        <v>149</v>
      </c>
      <c r="AG239" s="3" t="s">
        <v>81</v>
      </c>
      <c r="AK239" s="0" t="s">
        <v>1686</v>
      </c>
      <c r="AL239" s="0" t="s">
        <v>1687</v>
      </c>
      <c r="AO239" s="0" t="s">
        <v>1688</v>
      </c>
      <c r="AP239" s="0" t="s">
        <v>1688</v>
      </c>
      <c r="AR239" s="0" t="s">
        <v>1689</v>
      </c>
    </row>
    <row r="240" customFormat="false" ht="15" hidden="false" customHeight="false" outlineLevel="0" collapsed="false">
      <c r="A240" s="0" t="n">
        <v>239</v>
      </c>
      <c r="B240" s="0" t="s">
        <v>1690</v>
      </c>
      <c r="C240" s="0" t="s">
        <v>88</v>
      </c>
      <c r="E240" s="0" t="s">
        <v>1691</v>
      </c>
      <c r="H240" s="0" t="s">
        <v>1692</v>
      </c>
      <c r="I240" s="0" t="s">
        <v>154</v>
      </c>
      <c r="N240" s="3" t="s">
        <v>202</v>
      </c>
      <c r="O240" s="3" t="s">
        <v>202</v>
      </c>
      <c r="P240" s="0" t="s">
        <v>96</v>
      </c>
      <c r="AA240" s="0" t="s">
        <v>47</v>
      </c>
      <c r="AB240" s="0" t="s">
        <v>1693</v>
      </c>
      <c r="AC240" s="0" t="s">
        <v>1694</v>
      </c>
      <c r="AE240" s="0" t="s">
        <v>79</v>
      </c>
      <c r="AF240" s="3" t="s">
        <v>48</v>
      </c>
      <c r="AG240" s="3" t="s">
        <v>49</v>
      </c>
      <c r="AL240" s="0" t="s">
        <v>1695</v>
      </c>
      <c r="AO240" s="0" t="s">
        <v>1696</v>
      </c>
      <c r="AP240" s="0" t="s">
        <v>1696</v>
      </c>
      <c r="AR240" s="0" t="s">
        <v>1697</v>
      </c>
    </row>
    <row r="241" customFormat="false" ht="15" hidden="false" customHeight="false" outlineLevel="0" collapsed="false">
      <c r="A241" s="0" t="n">
        <v>240</v>
      </c>
      <c r="B241" s="0" t="s">
        <v>1698</v>
      </c>
      <c r="C241" s="0" t="s">
        <v>88</v>
      </c>
      <c r="E241" s="0" t="s">
        <v>1699</v>
      </c>
      <c r="N241" s="3" t="s">
        <v>95</v>
      </c>
      <c r="O241" s="3" t="s">
        <v>95</v>
      </c>
      <c r="P241" s="0" t="s">
        <v>96</v>
      </c>
      <c r="AA241" s="0" t="s">
        <v>47</v>
      </c>
      <c r="AB241" s="0" t="s">
        <v>1700</v>
      </c>
      <c r="AC241" s="0" t="s">
        <v>1701</v>
      </c>
      <c r="AD241" s="0" t="s">
        <v>1702</v>
      </c>
      <c r="AE241" s="0" t="s">
        <v>79</v>
      </c>
      <c r="AF241" s="3" t="s">
        <v>48</v>
      </c>
      <c r="AG241" s="3" t="s">
        <v>49</v>
      </c>
      <c r="AR241" s="0" t="s">
        <v>1699</v>
      </c>
    </row>
    <row r="242" customFormat="false" ht="15" hidden="false" customHeight="false" outlineLevel="0" collapsed="false">
      <c r="A242" s="0" t="n">
        <v>241</v>
      </c>
      <c r="B242" s="0" t="s">
        <v>1703</v>
      </c>
      <c r="C242" s="0" t="s">
        <v>88</v>
      </c>
      <c r="E242" s="0" t="s">
        <v>1704</v>
      </c>
      <c r="H242" s="0" t="s">
        <v>1705</v>
      </c>
      <c r="I242" s="0" t="s">
        <v>46</v>
      </c>
      <c r="N242" s="3" t="s">
        <v>95</v>
      </c>
      <c r="O242" s="3" t="s">
        <v>95</v>
      </c>
      <c r="P242" s="0" t="s">
        <v>96</v>
      </c>
      <c r="AA242" s="0" t="s">
        <v>47</v>
      </c>
      <c r="AB242" s="0" t="s">
        <v>1706</v>
      </c>
      <c r="AC242" s="0" t="s">
        <v>1707</v>
      </c>
      <c r="AE242" s="0" t="s">
        <v>79</v>
      </c>
      <c r="AF242" s="3" t="s">
        <v>48</v>
      </c>
      <c r="AG242" s="3" t="s">
        <v>49</v>
      </c>
      <c r="AR242" s="0" t="s">
        <v>1704</v>
      </c>
    </row>
    <row r="243" customFormat="false" ht="15" hidden="false" customHeight="false" outlineLevel="0" collapsed="false">
      <c r="A243" s="0" t="n">
        <v>242</v>
      </c>
      <c r="B243" s="0" t="s">
        <v>1708</v>
      </c>
      <c r="C243" s="0" t="s">
        <v>88</v>
      </c>
      <c r="E243" s="0" t="s">
        <v>1709</v>
      </c>
      <c r="N243" s="3" t="s">
        <v>202</v>
      </c>
      <c r="O243" s="3" t="s">
        <v>202</v>
      </c>
      <c r="P243" s="0" t="s">
        <v>96</v>
      </c>
      <c r="AA243" s="0" t="s">
        <v>47</v>
      </c>
      <c r="AB243" s="0" t="s">
        <v>1710</v>
      </c>
      <c r="AC243" s="0" t="s">
        <v>1711</v>
      </c>
      <c r="AD243" s="0" t="s">
        <v>1712</v>
      </c>
      <c r="AE243" s="0" t="s">
        <v>79</v>
      </c>
      <c r="AF243" s="3" t="s">
        <v>48</v>
      </c>
      <c r="AG243" s="3" t="s">
        <v>49</v>
      </c>
      <c r="AR243" s="0" t="s">
        <v>1709</v>
      </c>
    </row>
    <row r="244" customFormat="false" ht="15" hidden="false" customHeight="false" outlineLevel="0" collapsed="false">
      <c r="A244" s="0" t="n">
        <v>243</v>
      </c>
      <c r="B244" s="0" t="s">
        <v>1713</v>
      </c>
      <c r="C244" s="0" t="s">
        <v>88</v>
      </c>
      <c r="E244" s="0" t="s">
        <v>1714</v>
      </c>
      <c r="H244" s="0" t="s">
        <v>1715</v>
      </c>
      <c r="I244" s="0" t="s">
        <v>154</v>
      </c>
      <c r="AA244" s="0" t="s">
        <v>47</v>
      </c>
      <c r="AB244" s="0" t="s">
        <v>1716</v>
      </c>
      <c r="AC244" s="0" t="s">
        <v>1717</v>
      </c>
      <c r="AD244" s="0" t="s">
        <v>1718</v>
      </c>
      <c r="AE244" s="0" t="s">
        <v>79</v>
      </c>
      <c r="AF244" s="3" t="s">
        <v>48</v>
      </c>
      <c r="AG244" s="3" t="s">
        <v>49</v>
      </c>
      <c r="AL244" s="0" t="s">
        <v>1719</v>
      </c>
      <c r="AM244" s="0" t="s">
        <v>1720</v>
      </c>
      <c r="AO244" s="0" t="s">
        <v>1721</v>
      </c>
      <c r="AP244" s="0" t="s">
        <v>1721</v>
      </c>
      <c r="AR244" s="0" t="s">
        <v>1722</v>
      </c>
    </row>
    <row r="245" customFormat="false" ht="15" hidden="false" customHeight="false" outlineLevel="0" collapsed="false">
      <c r="A245" s="0" t="n">
        <v>244</v>
      </c>
      <c r="B245" s="0" t="s">
        <v>1723</v>
      </c>
      <c r="C245" s="0" t="s">
        <v>394</v>
      </c>
      <c r="D245" s="0" t="s">
        <v>1724</v>
      </c>
      <c r="F245" s="0" t="s">
        <v>44</v>
      </c>
      <c r="H245" s="0" t="s">
        <v>1725</v>
      </c>
      <c r="I245" s="0" t="s">
        <v>94</v>
      </c>
      <c r="N245" s="3" t="s">
        <v>69</v>
      </c>
      <c r="O245" s="3" t="s">
        <v>69</v>
      </c>
      <c r="P245" s="0" t="s">
        <v>55</v>
      </c>
      <c r="AA245" s="0" t="s">
        <v>47</v>
      </c>
      <c r="AB245" s="0" t="s">
        <v>1726</v>
      </c>
      <c r="AC245" s="0" t="s">
        <v>1727</v>
      </c>
      <c r="AD245" s="0" t="s">
        <v>1728</v>
      </c>
      <c r="AE245" s="0" t="s">
        <v>59</v>
      </c>
      <c r="AF245" s="3" t="s">
        <v>149</v>
      </c>
      <c r="AG245" s="3" t="s">
        <v>81</v>
      </c>
      <c r="AK245" s="0" t="s">
        <v>1729</v>
      </c>
      <c r="AR245" s="0" t="s">
        <v>1730</v>
      </c>
    </row>
    <row r="246" customFormat="false" ht="15" hidden="false" customHeight="false" outlineLevel="0" collapsed="false">
      <c r="A246" s="0" t="n">
        <v>245</v>
      </c>
      <c r="B246" s="0" t="s">
        <v>1731</v>
      </c>
      <c r="C246" s="0" t="s">
        <v>88</v>
      </c>
      <c r="E246" s="0" t="s">
        <v>1732</v>
      </c>
      <c r="N246" s="3" t="s">
        <v>226</v>
      </c>
      <c r="O246" s="3" t="s">
        <v>226</v>
      </c>
      <c r="P246" s="0" t="s">
        <v>96</v>
      </c>
      <c r="AA246" s="0" t="s">
        <v>47</v>
      </c>
      <c r="AB246" s="0" t="s">
        <v>1733</v>
      </c>
      <c r="AC246" s="0" t="s">
        <v>1734</v>
      </c>
      <c r="AD246" s="0" t="s">
        <v>1735</v>
      </c>
      <c r="AE246" s="0" t="s">
        <v>79</v>
      </c>
      <c r="AF246" s="3" t="s">
        <v>48</v>
      </c>
      <c r="AG246" s="3" t="s">
        <v>49</v>
      </c>
      <c r="AR246" s="0" t="s">
        <v>1732</v>
      </c>
    </row>
    <row r="247" customFormat="false" ht="15" hidden="false" customHeight="false" outlineLevel="0" collapsed="false">
      <c r="A247" s="0" t="n">
        <v>246</v>
      </c>
      <c r="B247" s="0" t="s">
        <v>1736</v>
      </c>
      <c r="C247" s="0" t="s">
        <v>52</v>
      </c>
      <c r="D247" s="0" t="s">
        <v>1737</v>
      </c>
      <c r="H247" s="0" t="s">
        <v>1738</v>
      </c>
      <c r="I247" s="0" t="s">
        <v>115</v>
      </c>
      <c r="J247" s="3" t="s">
        <v>694</v>
      </c>
      <c r="K247" s="0" t="s">
        <v>1739</v>
      </c>
      <c r="M247" s="0" t="n">
        <v>1949</v>
      </c>
      <c r="N247" s="0" t="s">
        <v>1740</v>
      </c>
      <c r="O247" s="3" t="s">
        <v>202</v>
      </c>
      <c r="P247" s="0" t="s">
        <v>96</v>
      </c>
      <c r="R247" s="0" t="n">
        <v>1000</v>
      </c>
      <c r="S247" s="0" t="n">
        <v>2025</v>
      </c>
      <c r="T247" s="0" t="s">
        <v>1741</v>
      </c>
      <c r="U247" s="0" t="s">
        <v>115</v>
      </c>
      <c r="V247" s="0" t="n">
        <v>176</v>
      </c>
      <c r="W247" s="0" t="s">
        <v>1742</v>
      </c>
      <c r="X247" s="0" t="s">
        <v>1743</v>
      </c>
      <c r="Y247" s="0" t="s">
        <v>1741</v>
      </c>
      <c r="Z247" s="0" t="s">
        <v>115</v>
      </c>
      <c r="AA247" s="0" t="s">
        <v>75</v>
      </c>
      <c r="AB247" s="0" t="s">
        <v>1744</v>
      </c>
      <c r="AC247" s="0" t="s">
        <v>1745</v>
      </c>
      <c r="AD247" s="0" t="s">
        <v>1746</v>
      </c>
      <c r="AE247" s="0" t="s">
        <v>115</v>
      </c>
      <c r="AF247" s="3" t="s">
        <v>108</v>
      </c>
      <c r="AG247" s="3" t="s">
        <v>404</v>
      </c>
      <c r="AH247" s="0" t="n">
        <v>2026</v>
      </c>
      <c r="AI247" s="0" t="s">
        <v>1747</v>
      </c>
      <c r="AJ247" s="0" t="s">
        <v>1748</v>
      </c>
      <c r="AK247" s="0" t="s">
        <v>1749</v>
      </c>
      <c r="AL247" s="0" t="s">
        <v>1750</v>
      </c>
      <c r="AM247" s="0" t="s">
        <v>1751</v>
      </c>
      <c r="AN247" s="0" t="s">
        <v>1752</v>
      </c>
      <c r="AO247" s="0" t="s">
        <v>1753</v>
      </c>
      <c r="AP247" s="0" t="s">
        <v>1754</v>
      </c>
      <c r="AR247" s="0" t="s">
        <v>1755</v>
      </c>
    </row>
    <row r="248" customFormat="false" ht="15" hidden="false" customHeight="false" outlineLevel="0" collapsed="false">
      <c r="A248" s="0" t="n">
        <v>247</v>
      </c>
      <c r="B248" s="0" t="s">
        <v>1756</v>
      </c>
      <c r="C248" s="0" t="s">
        <v>244</v>
      </c>
      <c r="E248" s="0" t="s">
        <v>1757</v>
      </c>
      <c r="F248" s="0" t="s">
        <v>44</v>
      </c>
      <c r="H248" s="0" t="s">
        <v>1758</v>
      </c>
      <c r="I248" s="0" t="s">
        <v>94</v>
      </c>
      <c r="J248" s="3" t="s">
        <v>694</v>
      </c>
      <c r="K248" s="0" t="s">
        <v>1739</v>
      </c>
      <c r="M248" s="0" t="n">
        <v>1949</v>
      </c>
      <c r="N248" s="0" t="s">
        <v>1740</v>
      </c>
      <c r="O248" s="3" t="s">
        <v>202</v>
      </c>
      <c r="P248" s="0" t="s">
        <v>96</v>
      </c>
      <c r="R248" s="0" t="n">
        <v>1000</v>
      </c>
      <c r="S248" s="0" t="n">
        <v>2025</v>
      </c>
      <c r="T248" s="0" t="s">
        <v>1741</v>
      </c>
      <c r="U248" s="0" t="s">
        <v>115</v>
      </c>
      <c r="V248" s="0" t="n">
        <v>176</v>
      </c>
      <c r="W248" s="0" t="s">
        <v>1742</v>
      </c>
      <c r="X248" s="0" t="s">
        <v>1743</v>
      </c>
      <c r="Y248" s="0" t="s">
        <v>1741</v>
      </c>
      <c r="Z248" s="0" t="s">
        <v>115</v>
      </c>
      <c r="AA248" s="0" t="s">
        <v>75</v>
      </c>
      <c r="AB248" s="0" t="s">
        <v>1744</v>
      </c>
      <c r="AC248" s="0" t="s">
        <v>1745</v>
      </c>
      <c r="AD248" s="0" t="s">
        <v>1746</v>
      </c>
      <c r="AE248" s="0" t="s">
        <v>115</v>
      </c>
      <c r="AF248" s="3" t="s">
        <v>108</v>
      </c>
      <c r="AG248" s="3" t="s">
        <v>404</v>
      </c>
      <c r="AH248" s="0" t="n">
        <v>2026</v>
      </c>
      <c r="AI248" s="0" t="s">
        <v>1747</v>
      </c>
      <c r="AJ248" s="0" t="s">
        <v>1748</v>
      </c>
      <c r="AK248" s="0" t="s">
        <v>1749</v>
      </c>
      <c r="AL248" s="0" t="s">
        <v>1750</v>
      </c>
      <c r="AM248" s="0" t="s">
        <v>1751</v>
      </c>
      <c r="AN248" s="0" t="s">
        <v>1752</v>
      </c>
      <c r="AO248" s="0" t="s">
        <v>1753</v>
      </c>
      <c r="AP248" s="0" t="s">
        <v>1754</v>
      </c>
      <c r="AR248" s="0" t="s">
        <v>1759</v>
      </c>
    </row>
    <row r="249" customFormat="false" ht="15" hidden="false" customHeight="false" outlineLevel="0" collapsed="false">
      <c r="A249" s="0" t="n">
        <v>248</v>
      </c>
      <c r="B249" s="0" t="s">
        <v>1760</v>
      </c>
      <c r="C249" s="0" t="s">
        <v>88</v>
      </c>
      <c r="E249" s="0" t="s">
        <v>1761</v>
      </c>
      <c r="N249" s="3" t="s">
        <v>213</v>
      </c>
      <c r="O249" s="3" t="s">
        <v>213</v>
      </c>
      <c r="P249" s="0" t="s">
        <v>96</v>
      </c>
      <c r="AA249" s="0" t="s">
        <v>47</v>
      </c>
      <c r="AB249" s="0" t="s">
        <v>1762</v>
      </c>
      <c r="AC249" s="0" t="s">
        <v>1763</v>
      </c>
      <c r="AD249" s="0" t="s">
        <v>1764</v>
      </c>
      <c r="AE249" s="0" t="s">
        <v>79</v>
      </c>
      <c r="AF249" s="3" t="s">
        <v>108</v>
      </c>
      <c r="AG249" s="3" t="s">
        <v>49</v>
      </c>
      <c r="AH249" s="0" t="n">
        <v>2026</v>
      </c>
      <c r="AI249" s="0" t="s">
        <v>1765</v>
      </c>
      <c r="AJ249" s="0" t="s">
        <v>1766</v>
      </c>
      <c r="AR249" s="0" t="s">
        <v>1767</v>
      </c>
    </row>
    <row r="250" customFormat="false" ht="15" hidden="false" customHeight="false" outlineLevel="0" collapsed="false">
      <c r="A250" s="0" t="n">
        <v>249</v>
      </c>
      <c r="B250" s="0" t="s">
        <v>1768</v>
      </c>
      <c r="C250" s="0" t="s">
        <v>88</v>
      </c>
      <c r="E250" s="0" t="s">
        <v>1769</v>
      </c>
      <c r="N250" s="3" t="s">
        <v>226</v>
      </c>
      <c r="O250" s="3" t="s">
        <v>226</v>
      </c>
      <c r="P250" s="0" t="s">
        <v>96</v>
      </c>
      <c r="AA250" s="0" t="s">
        <v>47</v>
      </c>
      <c r="AB250" s="0" t="s">
        <v>1770</v>
      </c>
      <c r="AC250" s="0" t="s">
        <v>1771</v>
      </c>
      <c r="AE250" s="0" t="s">
        <v>79</v>
      </c>
      <c r="AF250" s="3" t="s">
        <v>48</v>
      </c>
      <c r="AG250" s="3" t="s">
        <v>49</v>
      </c>
      <c r="AR250" s="0" t="s">
        <v>1769</v>
      </c>
    </row>
    <row r="251" customFormat="false" ht="15" hidden="false" customHeight="false" outlineLevel="0" collapsed="false">
      <c r="A251" s="0" t="n">
        <v>250</v>
      </c>
      <c r="B251" s="0" t="s">
        <v>1772</v>
      </c>
      <c r="C251" s="0" t="s">
        <v>88</v>
      </c>
      <c r="E251" s="0" t="s">
        <v>1773</v>
      </c>
      <c r="AA251" s="0" t="s">
        <v>47</v>
      </c>
      <c r="AF251" s="3" t="s">
        <v>48</v>
      </c>
      <c r="AG251" s="3" t="s">
        <v>49</v>
      </c>
      <c r="AR251" s="0" t="s">
        <v>1773</v>
      </c>
    </row>
    <row r="252" customFormat="false" ht="15" hidden="false" customHeight="false" outlineLevel="0" collapsed="false">
      <c r="A252" s="0" t="n">
        <v>251</v>
      </c>
      <c r="B252" s="0" t="s">
        <v>1774</v>
      </c>
      <c r="C252" s="0" t="s">
        <v>88</v>
      </c>
      <c r="E252" s="0" t="s">
        <v>1775</v>
      </c>
      <c r="AA252" s="0" t="s">
        <v>47</v>
      </c>
      <c r="AF252" s="3" t="s">
        <v>48</v>
      </c>
      <c r="AG252" s="3" t="s">
        <v>49</v>
      </c>
      <c r="AR252" s="0" t="s">
        <v>1775</v>
      </c>
    </row>
    <row r="253" customFormat="false" ht="15" hidden="false" customHeight="false" outlineLevel="0" collapsed="false">
      <c r="A253" s="0" t="n">
        <v>252</v>
      </c>
      <c r="B253" s="0" t="s">
        <v>1776</v>
      </c>
      <c r="C253" s="0" t="s">
        <v>88</v>
      </c>
      <c r="E253" s="0" t="s">
        <v>1777</v>
      </c>
      <c r="H253" s="0" t="s">
        <v>1778</v>
      </c>
      <c r="I253" s="0" t="s">
        <v>154</v>
      </c>
      <c r="N253" s="3" t="s">
        <v>213</v>
      </c>
      <c r="O253" s="3" t="s">
        <v>213</v>
      </c>
      <c r="P253" s="0" t="s">
        <v>96</v>
      </c>
      <c r="AA253" s="0" t="s">
        <v>47</v>
      </c>
      <c r="AB253" s="0" t="s">
        <v>1779</v>
      </c>
      <c r="AC253" s="0" t="s">
        <v>1780</v>
      </c>
      <c r="AD253" s="0" t="s">
        <v>1781</v>
      </c>
      <c r="AE253" s="0" t="s">
        <v>79</v>
      </c>
      <c r="AF253" s="3" t="s">
        <v>48</v>
      </c>
      <c r="AG253" s="3" t="s">
        <v>49</v>
      </c>
      <c r="AL253" s="0" t="s">
        <v>1782</v>
      </c>
      <c r="AO253" s="0" t="s">
        <v>1783</v>
      </c>
      <c r="AP253" s="0" t="s">
        <v>1783</v>
      </c>
      <c r="AR253" s="0" t="s">
        <v>1784</v>
      </c>
    </row>
    <row r="254" customFormat="false" ht="15" hidden="false" customHeight="false" outlineLevel="0" collapsed="false">
      <c r="A254" s="0" t="n">
        <v>253</v>
      </c>
      <c r="B254" s="0" t="s">
        <v>1785</v>
      </c>
      <c r="C254" s="0" t="s">
        <v>43</v>
      </c>
      <c r="F254" s="0" t="s">
        <v>44</v>
      </c>
      <c r="H254" s="0" t="s">
        <v>1786</v>
      </c>
      <c r="I254" s="0" t="s">
        <v>154</v>
      </c>
      <c r="AA254" s="0" t="s">
        <v>47</v>
      </c>
      <c r="AF254" s="3" t="s">
        <v>48</v>
      </c>
      <c r="AG254" s="3" t="s">
        <v>49</v>
      </c>
      <c r="AL254" s="0" t="s">
        <v>1787</v>
      </c>
      <c r="AM254" s="0" t="s">
        <v>1788</v>
      </c>
      <c r="AO254" s="0" t="s">
        <v>1789</v>
      </c>
      <c r="AP254" s="0" t="s">
        <v>1789</v>
      </c>
      <c r="AR254" s="0" t="s">
        <v>1790</v>
      </c>
    </row>
    <row r="255" customFormat="false" ht="15" hidden="false" customHeight="false" outlineLevel="0" collapsed="false">
      <c r="A255" s="0" t="n">
        <v>254</v>
      </c>
      <c r="B255" s="0" t="s">
        <v>1791</v>
      </c>
      <c r="C255" s="0" t="s">
        <v>88</v>
      </c>
      <c r="E255" s="0" t="s">
        <v>1792</v>
      </c>
      <c r="AA255" s="0" t="s">
        <v>47</v>
      </c>
      <c r="AB255" s="0" t="s">
        <v>1793</v>
      </c>
      <c r="AC255" s="0" t="s">
        <v>1794</v>
      </c>
      <c r="AE255" s="0" t="s">
        <v>79</v>
      </c>
      <c r="AF255" s="3" t="s">
        <v>48</v>
      </c>
      <c r="AG255" s="3" t="s">
        <v>49</v>
      </c>
      <c r="AR255" s="0" t="s">
        <v>1792</v>
      </c>
    </row>
    <row r="256" customFormat="false" ht="15" hidden="false" customHeight="false" outlineLevel="0" collapsed="false">
      <c r="A256" s="0" t="n">
        <v>255</v>
      </c>
      <c r="B256" s="0" t="s">
        <v>1795</v>
      </c>
      <c r="C256" s="0" t="s">
        <v>88</v>
      </c>
      <c r="E256" s="0" t="s">
        <v>1796</v>
      </c>
      <c r="N256" s="3" t="s">
        <v>202</v>
      </c>
      <c r="O256" s="3" t="s">
        <v>202</v>
      </c>
      <c r="P256" s="0" t="s">
        <v>96</v>
      </c>
      <c r="AA256" s="0" t="s">
        <v>47</v>
      </c>
      <c r="AB256" s="0" t="s">
        <v>1797</v>
      </c>
      <c r="AC256" s="0" t="s">
        <v>1798</v>
      </c>
      <c r="AD256" s="0" t="s">
        <v>1799</v>
      </c>
      <c r="AE256" s="0" t="s">
        <v>79</v>
      </c>
      <c r="AF256" s="3" t="s">
        <v>48</v>
      </c>
      <c r="AG256" s="3" t="s">
        <v>49</v>
      </c>
      <c r="AR256" s="0" t="s">
        <v>1796</v>
      </c>
    </row>
    <row r="257" customFormat="false" ht="15" hidden="false" customHeight="false" outlineLevel="0" collapsed="false">
      <c r="A257" s="0" t="n">
        <v>256</v>
      </c>
      <c r="B257" s="0" t="s">
        <v>1800</v>
      </c>
      <c r="C257" s="0" t="s">
        <v>88</v>
      </c>
      <c r="E257" s="0" t="s">
        <v>1801</v>
      </c>
      <c r="N257" s="3" t="s">
        <v>95</v>
      </c>
      <c r="O257" s="3" t="s">
        <v>95</v>
      </c>
      <c r="P257" s="0" t="s">
        <v>96</v>
      </c>
      <c r="AA257" s="0" t="s">
        <v>47</v>
      </c>
      <c r="AB257" s="0" t="s">
        <v>1802</v>
      </c>
      <c r="AC257" s="0" t="s">
        <v>1803</v>
      </c>
      <c r="AE257" s="0" t="s">
        <v>79</v>
      </c>
      <c r="AF257" s="3" t="s">
        <v>48</v>
      </c>
      <c r="AG257" s="3" t="s">
        <v>49</v>
      </c>
      <c r="AR257" s="0" t="s">
        <v>1801</v>
      </c>
    </row>
    <row r="258" customFormat="false" ht="15" hidden="false" customHeight="false" outlineLevel="0" collapsed="false">
      <c r="A258" s="0" t="n">
        <v>257</v>
      </c>
      <c r="B258" s="0" t="s">
        <v>1804</v>
      </c>
      <c r="C258" s="0" t="s">
        <v>61</v>
      </c>
      <c r="D258" s="0" t="s">
        <v>1805</v>
      </c>
      <c r="E258" s="0" t="s">
        <v>1806</v>
      </c>
      <c r="H258" s="0" t="s">
        <v>1807</v>
      </c>
      <c r="I258" s="0" t="s">
        <v>115</v>
      </c>
      <c r="J258" s="3" t="s">
        <v>1808</v>
      </c>
      <c r="K258" s="0" t="s">
        <v>1809</v>
      </c>
      <c r="M258" s="0" t="n">
        <v>1939</v>
      </c>
      <c r="N258" s="0" t="s">
        <v>1325</v>
      </c>
      <c r="O258" s="3" t="s">
        <v>54</v>
      </c>
      <c r="P258" s="0" t="s">
        <v>55</v>
      </c>
      <c r="R258" s="0" t="n">
        <v>800</v>
      </c>
      <c r="S258" s="0" t="n">
        <v>2025</v>
      </c>
      <c r="T258" s="0" t="s">
        <v>72</v>
      </c>
      <c r="U258" s="0" t="s">
        <v>115</v>
      </c>
      <c r="V258" s="0" t="n">
        <v>204</v>
      </c>
      <c r="W258" s="0" t="s">
        <v>1810</v>
      </c>
      <c r="X258" s="0" t="s">
        <v>1811</v>
      </c>
      <c r="Y258" s="0" t="s">
        <v>698</v>
      </c>
      <c r="Z258" s="0" t="s">
        <v>115</v>
      </c>
      <c r="AA258" s="0" t="s">
        <v>1022</v>
      </c>
      <c r="AB258" s="0" t="s">
        <v>1812</v>
      </c>
      <c r="AC258" s="0" t="s">
        <v>1813</v>
      </c>
      <c r="AD258" s="0" t="s">
        <v>1814</v>
      </c>
      <c r="AE258" s="0" t="s">
        <v>115</v>
      </c>
      <c r="AF258" s="3" t="s">
        <v>108</v>
      </c>
      <c r="AG258" s="3" t="s">
        <v>404</v>
      </c>
      <c r="AH258" s="0" t="n">
        <v>2026</v>
      </c>
      <c r="AI258" s="0" t="s">
        <v>1815</v>
      </c>
      <c r="AJ258" s="0" t="s">
        <v>1816</v>
      </c>
      <c r="AK258" s="0" t="s">
        <v>1817</v>
      </c>
      <c r="AL258" s="0" t="s">
        <v>1818</v>
      </c>
      <c r="AN258" s="0" t="s">
        <v>1819</v>
      </c>
      <c r="AO258" s="0" t="s">
        <v>1820</v>
      </c>
      <c r="AP258" s="0" t="s">
        <v>1821</v>
      </c>
      <c r="AR258" s="0" t="s">
        <v>1822</v>
      </c>
    </row>
    <row r="259" customFormat="false" ht="15" hidden="false" customHeight="false" outlineLevel="0" collapsed="false">
      <c r="A259" s="0" t="n">
        <v>258</v>
      </c>
      <c r="B259" s="0" t="s">
        <v>1823</v>
      </c>
      <c r="C259" s="0" t="s">
        <v>244</v>
      </c>
      <c r="E259" s="0" t="s">
        <v>1824</v>
      </c>
      <c r="F259" s="0" t="s">
        <v>44</v>
      </c>
      <c r="N259" s="3" t="s">
        <v>239</v>
      </c>
      <c r="O259" s="3" t="s">
        <v>239</v>
      </c>
      <c r="P259" s="0" t="s">
        <v>96</v>
      </c>
      <c r="AA259" s="0" t="s">
        <v>47</v>
      </c>
      <c r="AB259" s="0" t="s">
        <v>1825</v>
      </c>
      <c r="AC259" s="0" t="s">
        <v>1826</v>
      </c>
      <c r="AD259" s="0" t="s">
        <v>1827</v>
      </c>
      <c r="AE259" s="0" t="s">
        <v>79</v>
      </c>
      <c r="AF259" s="3" t="s">
        <v>48</v>
      </c>
      <c r="AG259" s="3" t="s">
        <v>49</v>
      </c>
      <c r="AR259" s="0" t="s">
        <v>1828</v>
      </c>
    </row>
    <row r="260" customFormat="false" ht="15" hidden="false" customHeight="false" outlineLevel="0" collapsed="false">
      <c r="A260" s="0" t="n">
        <v>259</v>
      </c>
      <c r="B260" s="0" t="s">
        <v>1829</v>
      </c>
      <c r="C260" s="0" t="s">
        <v>88</v>
      </c>
      <c r="E260" s="0" t="s">
        <v>1830</v>
      </c>
      <c r="H260" s="0" t="s">
        <v>1831</v>
      </c>
      <c r="I260" s="0" t="s">
        <v>154</v>
      </c>
      <c r="N260" s="3" t="s">
        <v>202</v>
      </c>
      <c r="O260" s="3" t="s">
        <v>202</v>
      </c>
      <c r="P260" s="0" t="s">
        <v>96</v>
      </c>
      <c r="AA260" s="0" t="s">
        <v>47</v>
      </c>
      <c r="AB260" s="0" t="s">
        <v>1832</v>
      </c>
      <c r="AC260" s="0" t="s">
        <v>1833</v>
      </c>
      <c r="AD260" s="0" t="s">
        <v>1834</v>
      </c>
      <c r="AE260" s="0" t="s">
        <v>79</v>
      </c>
      <c r="AF260" s="3" t="s">
        <v>48</v>
      </c>
      <c r="AG260" s="3" t="s">
        <v>49</v>
      </c>
      <c r="AL260" s="0" t="s">
        <v>1835</v>
      </c>
      <c r="AO260" s="0" t="s">
        <v>1836</v>
      </c>
      <c r="AP260" s="0" t="s">
        <v>1836</v>
      </c>
      <c r="AR260" s="0" t="s">
        <v>1837</v>
      </c>
    </row>
    <row r="261" customFormat="false" ht="15" hidden="false" customHeight="false" outlineLevel="0" collapsed="false">
      <c r="A261" s="0" t="n">
        <v>260</v>
      </c>
      <c r="B261" s="0" t="s">
        <v>1838</v>
      </c>
      <c r="C261" s="0" t="s">
        <v>43</v>
      </c>
      <c r="F261" s="0" t="s">
        <v>44</v>
      </c>
      <c r="H261" s="0" t="s">
        <v>1839</v>
      </c>
      <c r="I261" s="0" t="s">
        <v>46</v>
      </c>
      <c r="AA261" s="0" t="s">
        <v>47</v>
      </c>
      <c r="AF261" s="3" t="s">
        <v>48</v>
      </c>
      <c r="AG261" s="3" t="s">
        <v>49</v>
      </c>
      <c r="AR261" s="0" t="s">
        <v>50</v>
      </c>
    </row>
    <row r="262" customFormat="false" ht="15" hidden="false" customHeight="false" outlineLevel="0" collapsed="false">
      <c r="A262" s="0" t="n">
        <v>261</v>
      </c>
      <c r="B262" s="0" t="s">
        <v>1840</v>
      </c>
      <c r="C262" s="0" t="s">
        <v>88</v>
      </c>
      <c r="E262" s="0" t="s">
        <v>1841</v>
      </c>
      <c r="N262" s="3" t="s">
        <v>147</v>
      </c>
      <c r="O262" s="3" t="s">
        <v>147</v>
      </c>
      <c r="P262" s="0" t="s">
        <v>96</v>
      </c>
      <c r="AA262" s="0" t="s">
        <v>47</v>
      </c>
      <c r="AB262" s="0" t="s">
        <v>1842</v>
      </c>
      <c r="AC262" s="0" t="s">
        <v>1843</v>
      </c>
      <c r="AE262" s="0" t="s">
        <v>79</v>
      </c>
      <c r="AF262" s="3" t="s">
        <v>48</v>
      </c>
      <c r="AG262" s="3" t="s">
        <v>49</v>
      </c>
      <c r="AR262" s="0" t="s">
        <v>1841</v>
      </c>
    </row>
    <row r="263" customFormat="false" ht="15" hidden="false" customHeight="false" outlineLevel="0" collapsed="false">
      <c r="A263" s="0" t="n">
        <v>262</v>
      </c>
      <c r="B263" s="0" t="s">
        <v>1844</v>
      </c>
      <c r="C263" s="0" t="s">
        <v>1845</v>
      </c>
      <c r="D263" s="0" t="s">
        <v>1846</v>
      </c>
      <c r="F263" s="0" t="s">
        <v>146</v>
      </c>
      <c r="N263" s="3" t="s">
        <v>104</v>
      </c>
      <c r="O263" s="3" t="s">
        <v>104</v>
      </c>
      <c r="P263" s="0" t="s">
        <v>55</v>
      </c>
      <c r="Q263" s="0" t="s">
        <v>1847</v>
      </c>
      <c r="AA263" s="0" t="s">
        <v>47</v>
      </c>
      <c r="AB263" s="0" t="s">
        <v>1848</v>
      </c>
      <c r="AC263" s="0" t="s">
        <v>1849</v>
      </c>
      <c r="AD263" s="0" t="s">
        <v>1850</v>
      </c>
      <c r="AE263" s="0" t="s">
        <v>59</v>
      </c>
      <c r="AF263" s="3" t="s">
        <v>149</v>
      </c>
      <c r="AG263" s="3" t="s">
        <v>81</v>
      </c>
      <c r="AK263" s="0" t="s">
        <v>1851</v>
      </c>
      <c r="AR263" s="0" t="s">
        <v>1852</v>
      </c>
    </row>
    <row r="264" customFormat="false" ht="15" hidden="false" customHeight="false" outlineLevel="0" collapsed="false">
      <c r="A264" s="0" t="n">
        <v>263</v>
      </c>
      <c r="B264" s="0" t="s">
        <v>1853</v>
      </c>
      <c r="C264" s="0" t="s">
        <v>88</v>
      </c>
      <c r="E264" s="0" t="s">
        <v>1854</v>
      </c>
      <c r="H264" s="0" t="s">
        <v>1855</v>
      </c>
      <c r="I264" s="0" t="s">
        <v>46</v>
      </c>
      <c r="N264" s="3" t="s">
        <v>213</v>
      </c>
      <c r="O264" s="3" t="s">
        <v>213</v>
      </c>
      <c r="P264" s="0" t="s">
        <v>96</v>
      </c>
      <c r="AA264" s="0" t="s">
        <v>47</v>
      </c>
      <c r="AB264" s="0" t="s">
        <v>1856</v>
      </c>
      <c r="AC264" s="0" t="s">
        <v>1857</v>
      </c>
      <c r="AD264" s="0" t="s">
        <v>1858</v>
      </c>
      <c r="AE264" s="0" t="s">
        <v>79</v>
      </c>
      <c r="AF264" s="3" t="s">
        <v>48</v>
      </c>
      <c r="AG264" s="3" t="s">
        <v>49</v>
      </c>
      <c r="AR264" s="0" t="s">
        <v>1854</v>
      </c>
    </row>
    <row r="265" customFormat="false" ht="15" hidden="false" customHeight="false" outlineLevel="0" collapsed="false">
      <c r="A265" s="0" t="n">
        <v>264</v>
      </c>
      <c r="B265" s="0" t="s">
        <v>1859</v>
      </c>
      <c r="C265" s="0" t="s">
        <v>88</v>
      </c>
      <c r="E265" s="0" t="s">
        <v>1860</v>
      </c>
      <c r="N265" s="3" t="s">
        <v>119</v>
      </c>
      <c r="O265" s="3" t="s">
        <v>119</v>
      </c>
      <c r="P265" s="0" t="s">
        <v>96</v>
      </c>
      <c r="AA265" s="0" t="s">
        <v>47</v>
      </c>
      <c r="AB265" s="0" t="s">
        <v>1861</v>
      </c>
      <c r="AC265" s="0" t="s">
        <v>1862</v>
      </c>
      <c r="AD265" s="0" t="s">
        <v>1863</v>
      </c>
      <c r="AE265" s="0" t="s">
        <v>79</v>
      </c>
      <c r="AF265" s="3" t="s">
        <v>48</v>
      </c>
      <c r="AG265" s="3" t="s">
        <v>49</v>
      </c>
      <c r="AR265" s="0" t="s">
        <v>1860</v>
      </c>
    </row>
    <row r="266" customFormat="false" ht="15" hidden="false" customHeight="false" outlineLevel="0" collapsed="false">
      <c r="A266" s="0" t="n">
        <v>265</v>
      </c>
      <c r="B266" s="0" t="s">
        <v>1864</v>
      </c>
      <c r="C266" s="0" t="s">
        <v>88</v>
      </c>
      <c r="E266" s="0" t="s">
        <v>1865</v>
      </c>
      <c r="N266" s="3" t="s">
        <v>202</v>
      </c>
      <c r="O266" s="3" t="s">
        <v>202</v>
      </c>
      <c r="P266" s="0" t="s">
        <v>96</v>
      </c>
      <c r="AA266" s="0" t="s">
        <v>47</v>
      </c>
      <c r="AB266" s="0" t="s">
        <v>1866</v>
      </c>
      <c r="AC266" s="0" t="s">
        <v>1867</v>
      </c>
      <c r="AD266" s="0" t="s">
        <v>1868</v>
      </c>
      <c r="AE266" s="0" t="s">
        <v>79</v>
      </c>
      <c r="AF266" s="3" t="s">
        <v>48</v>
      </c>
      <c r="AG266" s="3" t="s">
        <v>49</v>
      </c>
      <c r="AR266" s="0" t="s">
        <v>1865</v>
      </c>
    </row>
    <row r="267" customFormat="false" ht="15" hidden="false" customHeight="false" outlineLevel="0" collapsed="false">
      <c r="A267" s="0" t="n">
        <v>266</v>
      </c>
      <c r="B267" s="0" t="s">
        <v>1869</v>
      </c>
      <c r="C267" s="0" t="s">
        <v>88</v>
      </c>
      <c r="E267" s="0" t="s">
        <v>1870</v>
      </c>
      <c r="N267" s="3" t="s">
        <v>186</v>
      </c>
      <c r="O267" s="3" t="s">
        <v>186</v>
      </c>
      <c r="P267" s="0" t="s">
        <v>96</v>
      </c>
      <c r="AA267" s="0" t="s">
        <v>47</v>
      </c>
      <c r="AB267" s="0" t="s">
        <v>1871</v>
      </c>
      <c r="AC267" s="0" t="s">
        <v>1872</v>
      </c>
      <c r="AD267" s="0" t="s">
        <v>1873</v>
      </c>
      <c r="AE267" s="0" t="s">
        <v>79</v>
      </c>
      <c r="AF267" s="3" t="s">
        <v>48</v>
      </c>
      <c r="AG267" s="3" t="s">
        <v>49</v>
      </c>
      <c r="AR267" s="0" t="s">
        <v>1870</v>
      </c>
    </row>
    <row r="268" customFormat="false" ht="15" hidden="false" customHeight="false" outlineLevel="0" collapsed="false">
      <c r="A268" s="0" t="n">
        <v>267</v>
      </c>
      <c r="B268" s="0" t="s">
        <v>1874</v>
      </c>
      <c r="C268" s="0" t="s">
        <v>244</v>
      </c>
      <c r="E268" s="0" t="s">
        <v>1875</v>
      </c>
      <c r="F268" s="0" t="s">
        <v>44</v>
      </c>
      <c r="N268" s="3" t="s">
        <v>239</v>
      </c>
      <c r="O268" s="3" t="s">
        <v>239</v>
      </c>
      <c r="P268" s="0" t="s">
        <v>96</v>
      </c>
      <c r="AA268" s="0" t="s">
        <v>47</v>
      </c>
      <c r="AB268" s="0" t="s">
        <v>1876</v>
      </c>
      <c r="AC268" s="0" t="s">
        <v>1877</v>
      </c>
      <c r="AD268" s="0" t="s">
        <v>1878</v>
      </c>
      <c r="AE268" s="0" t="s">
        <v>79</v>
      </c>
      <c r="AF268" s="3" t="s">
        <v>149</v>
      </c>
      <c r="AG268" s="3" t="s">
        <v>81</v>
      </c>
      <c r="AK268" s="0" t="s">
        <v>1879</v>
      </c>
      <c r="AR268" s="0" t="s">
        <v>1880</v>
      </c>
    </row>
    <row r="269" customFormat="false" ht="15" hidden="false" customHeight="false" outlineLevel="0" collapsed="false">
      <c r="A269" s="0" t="n">
        <v>268</v>
      </c>
      <c r="B269" s="0" t="s">
        <v>1881</v>
      </c>
      <c r="C269" s="0" t="s">
        <v>88</v>
      </c>
      <c r="E269" s="0" t="s">
        <v>1882</v>
      </c>
      <c r="H269" s="0" t="s">
        <v>1883</v>
      </c>
      <c r="I269" s="0" t="s">
        <v>154</v>
      </c>
      <c r="N269" s="3" t="s">
        <v>213</v>
      </c>
      <c r="O269" s="3" t="s">
        <v>213</v>
      </c>
      <c r="P269" s="0" t="s">
        <v>96</v>
      </c>
      <c r="AA269" s="0" t="s">
        <v>47</v>
      </c>
      <c r="AB269" s="0" t="s">
        <v>1884</v>
      </c>
      <c r="AC269" s="0" t="s">
        <v>1885</v>
      </c>
      <c r="AD269" s="0" t="s">
        <v>1886</v>
      </c>
      <c r="AE269" s="0" t="s">
        <v>79</v>
      </c>
      <c r="AF269" s="3" t="s">
        <v>48</v>
      </c>
      <c r="AG269" s="3" t="s">
        <v>49</v>
      </c>
      <c r="AL269" s="0" t="s">
        <v>1887</v>
      </c>
      <c r="AO269" s="0" t="s">
        <v>1888</v>
      </c>
      <c r="AP269" s="0" t="s">
        <v>1888</v>
      </c>
      <c r="AR269" s="0" t="s">
        <v>1889</v>
      </c>
    </row>
    <row r="270" customFormat="false" ht="15" hidden="false" customHeight="false" outlineLevel="0" collapsed="false">
      <c r="A270" s="0" t="n">
        <v>269</v>
      </c>
      <c r="B270" s="0" t="s">
        <v>1890</v>
      </c>
      <c r="C270" s="0" t="s">
        <v>88</v>
      </c>
      <c r="E270" s="0" t="s">
        <v>1891</v>
      </c>
      <c r="AA270" s="0" t="s">
        <v>47</v>
      </c>
      <c r="AF270" s="3" t="s">
        <v>48</v>
      </c>
      <c r="AG270" s="3" t="s">
        <v>49</v>
      </c>
      <c r="AR270" s="0" t="s">
        <v>1891</v>
      </c>
    </row>
    <row r="271" customFormat="false" ht="15" hidden="false" customHeight="false" outlineLevel="0" collapsed="false">
      <c r="A271" s="0" t="n">
        <v>270</v>
      </c>
      <c r="B271" s="0" t="s">
        <v>1892</v>
      </c>
      <c r="C271" s="0" t="s">
        <v>43</v>
      </c>
      <c r="F271" s="0" t="s">
        <v>44</v>
      </c>
      <c r="H271" s="0" t="s">
        <v>1893</v>
      </c>
      <c r="I271" s="0" t="s">
        <v>46</v>
      </c>
      <c r="AA271" s="0" t="s">
        <v>47</v>
      </c>
      <c r="AF271" s="3" t="s">
        <v>108</v>
      </c>
      <c r="AG271" s="3" t="s">
        <v>49</v>
      </c>
      <c r="AH271" s="0" t="n">
        <v>2026</v>
      </c>
      <c r="AI271" s="0" t="s">
        <v>284</v>
      </c>
      <c r="AJ271" s="0" t="s">
        <v>285</v>
      </c>
      <c r="AR271" s="0" t="s">
        <v>1894</v>
      </c>
    </row>
    <row r="272" customFormat="false" ht="15" hidden="false" customHeight="false" outlineLevel="0" collapsed="false">
      <c r="A272" s="0" t="n">
        <v>271</v>
      </c>
      <c r="B272" s="0" t="s">
        <v>1895</v>
      </c>
      <c r="C272" s="0" t="s">
        <v>88</v>
      </c>
      <c r="E272" s="0" t="s">
        <v>1896</v>
      </c>
      <c r="N272" s="3" t="s">
        <v>186</v>
      </c>
      <c r="O272" s="3" t="s">
        <v>186</v>
      </c>
      <c r="P272" s="0" t="s">
        <v>96</v>
      </c>
      <c r="AA272" s="0" t="s">
        <v>47</v>
      </c>
      <c r="AB272" s="0" t="s">
        <v>1897</v>
      </c>
      <c r="AC272" s="0" t="s">
        <v>1898</v>
      </c>
      <c r="AD272" s="0" t="s">
        <v>1899</v>
      </c>
      <c r="AE272" s="0" t="s">
        <v>79</v>
      </c>
      <c r="AF272" s="3" t="s">
        <v>48</v>
      </c>
      <c r="AG272" s="3" t="s">
        <v>49</v>
      </c>
      <c r="AR272" s="0" t="s">
        <v>1896</v>
      </c>
    </row>
    <row r="273" customFormat="false" ht="15" hidden="false" customHeight="false" outlineLevel="0" collapsed="false">
      <c r="A273" s="0" t="n">
        <v>272</v>
      </c>
      <c r="B273" s="0" t="s">
        <v>1900</v>
      </c>
      <c r="C273" s="0" t="s">
        <v>88</v>
      </c>
      <c r="E273" s="0" t="s">
        <v>1901</v>
      </c>
      <c r="H273" s="0" t="s">
        <v>1902</v>
      </c>
      <c r="I273" s="0" t="s">
        <v>46</v>
      </c>
      <c r="AA273" s="0" t="s">
        <v>47</v>
      </c>
      <c r="AB273" s="0" t="s">
        <v>1903</v>
      </c>
      <c r="AC273" s="0" t="s">
        <v>1904</v>
      </c>
      <c r="AD273" s="0" t="s">
        <v>1905</v>
      </c>
      <c r="AE273" s="0" t="s">
        <v>79</v>
      </c>
      <c r="AF273" s="3" t="s">
        <v>48</v>
      </c>
      <c r="AG273" s="3" t="s">
        <v>49</v>
      </c>
      <c r="AR273" s="0" t="s">
        <v>1901</v>
      </c>
    </row>
    <row r="274" customFormat="false" ht="15" hidden="false" customHeight="false" outlineLevel="0" collapsed="false">
      <c r="A274" s="0" t="n">
        <v>273</v>
      </c>
      <c r="B274" s="0" t="s">
        <v>1906</v>
      </c>
      <c r="C274" s="0" t="s">
        <v>88</v>
      </c>
      <c r="E274" s="0" t="s">
        <v>1907</v>
      </c>
      <c r="H274" s="0" t="s">
        <v>1908</v>
      </c>
      <c r="I274" s="0" t="s">
        <v>154</v>
      </c>
      <c r="N274" s="3" t="s">
        <v>119</v>
      </c>
      <c r="O274" s="3" t="s">
        <v>119</v>
      </c>
      <c r="P274" s="0" t="s">
        <v>96</v>
      </c>
      <c r="AA274" s="0" t="s">
        <v>47</v>
      </c>
      <c r="AB274" s="0" t="s">
        <v>1909</v>
      </c>
      <c r="AC274" s="0" t="s">
        <v>1910</v>
      </c>
      <c r="AD274" s="0" t="s">
        <v>1911</v>
      </c>
      <c r="AE274" s="0" t="s">
        <v>79</v>
      </c>
      <c r="AF274" s="3" t="s">
        <v>48</v>
      </c>
      <c r="AG274" s="3" t="s">
        <v>49</v>
      </c>
      <c r="AL274" s="0" t="s">
        <v>1912</v>
      </c>
      <c r="AO274" s="0" t="s">
        <v>1913</v>
      </c>
      <c r="AP274" s="0" t="s">
        <v>1913</v>
      </c>
      <c r="AR274" s="0" t="s">
        <v>1914</v>
      </c>
    </row>
    <row r="275" customFormat="false" ht="15" hidden="false" customHeight="false" outlineLevel="0" collapsed="false">
      <c r="A275" s="0" t="n">
        <v>274</v>
      </c>
      <c r="B275" s="0" t="s">
        <v>1915</v>
      </c>
      <c r="C275" s="0" t="s">
        <v>43</v>
      </c>
      <c r="F275" s="0" t="s">
        <v>44</v>
      </c>
      <c r="H275" s="0" t="s">
        <v>1916</v>
      </c>
      <c r="I275" s="0" t="s">
        <v>154</v>
      </c>
      <c r="AA275" s="0" t="s">
        <v>47</v>
      </c>
      <c r="AF275" s="3" t="s">
        <v>48</v>
      </c>
      <c r="AG275" s="3" t="s">
        <v>49</v>
      </c>
      <c r="AL275" s="0" t="s">
        <v>1917</v>
      </c>
      <c r="AM275" s="0" t="s">
        <v>1918</v>
      </c>
      <c r="AO275" s="0" t="s">
        <v>1919</v>
      </c>
      <c r="AP275" s="0" t="s">
        <v>1919</v>
      </c>
      <c r="AR275" s="0" t="s">
        <v>1920</v>
      </c>
    </row>
    <row r="276" customFormat="false" ht="15" hidden="false" customHeight="false" outlineLevel="0" collapsed="false">
      <c r="A276" s="0" t="n">
        <v>275</v>
      </c>
      <c r="B276" s="0" t="s">
        <v>1921</v>
      </c>
      <c r="C276" s="0" t="s">
        <v>88</v>
      </c>
      <c r="E276" s="0" t="s">
        <v>1922</v>
      </c>
      <c r="N276" s="3" t="s">
        <v>202</v>
      </c>
      <c r="O276" s="3" t="s">
        <v>202</v>
      </c>
      <c r="P276" s="0" t="s">
        <v>96</v>
      </c>
      <c r="AA276" s="0" t="s">
        <v>47</v>
      </c>
      <c r="AB276" s="0" t="s">
        <v>1923</v>
      </c>
      <c r="AC276" s="0" t="s">
        <v>1924</v>
      </c>
      <c r="AD276" s="0" t="s">
        <v>1925</v>
      </c>
      <c r="AE276" s="0" t="s">
        <v>79</v>
      </c>
      <c r="AF276" s="3" t="s">
        <v>48</v>
      </c>
      <c r="AG276" s="3" t="s">
        <v>49</v>
      </c>
      <c r="AR276" s="0" t="s">
        <v>1922</v>
      </c>
    </row>
    <row r="277" customFormat="false" ht="15" hidden="false" customHeight="false" outlineLevel="0" collapsed="false">
      <c r="A277" s="0" t="n">
        <v>276</v>
      </c>
      <c r="B277" s="0" t="s">
        <v>1926</v>
      </c>
      <c r="C277" s="0" t="s">
        <v>52</v>
      </c>
      <c r="D277" s="0" t="s">
        <v>1927</v>
      </c>
      <c r="N277" s="3" t="s">
        <v>1624</v>
      </c>
      <c r="O277" s="3" t="s">
        <v>1624</v>
      </c>
      <c r="P277" s="0" t="s">
        <v>55</v>
      </c>
      <c r="AA277" s="0" t="s">
        <v>47</v>
      </c>
      <c r="AB277" s="0" t="s">
        <v>1928</v>
      </c>
      <c r="AC277" s="0" t="s">
        <v>1929</v>
      </c>
      <c r="AD277" s="0" t="s">
        <v>1930</v>
      </c>
      <c r="AE277" s="0" t="s">
        <v>59</v>
      </c>
      <c r="AF277" s="3" t="s">
        <v>48</v>
      </c>
      <c r="AG277" s="3" t="s">
        <v>49</v>
      </c>
      <c r="AR277" s="0" t="s">
        <v>1927</v>
      </c>
    </row>
    <row r="278" customFormat="false" ht="15" hidden="false" customHeight="false" outlineLevel="0" collapsed="false">
      <c r="A278" s="0" t="n">
        <v>277</v>
      </c>
      <c r="B278" s="0" t="s">
        <v>1931</v>
      </c>
      <c r="C278" s="0" t="s">
        <v>43</v>
      </c>
      <c r="F278" s="0" t="s">
        <v>44</v>
      </c>
      <c r="H278" s="0" t="s">
        <v>1932</v>
      </c>
      <c r="I278" s="0" t="s">
        <v>154</v>
      </c>
      <c r="AA278" s="0" t="s">
        <v>47</v>
      </c>
      <c r="AF278" s="3" t="s">
        <v>48</v>
      </c>
      <c r="AG278" s="3" t="s">
        <v>49</v>
      </c>
      <c r="AL278" s="0" t="s">
        <v>1933</v>
      </c>
      <c r="AM278" s="0" t="s">
        <v>1934</v>
      </c>
      <c r="AO278" s="0" t="s">
        <v>1935</v>
      </c>
      <c r="AP278" s="0" t="s">
        <v>1935</v>
      </c>
      <c r="AR278" s="0" t="s">
        <v>1936</v>
      </c>
    </row>
    <row r="279" customFormat="false" ht="15" hidden="false" customHeight="false" outlineLevel="0" collapsed="false">
      <c r="A279" s="0" t="n">
        <v>278</v>
      </c>
      <c r="B279" s="0" t="s">
        <v>1937</v>
      </c>
      <c r="C279" s="0" t="s">
        <v>88</v>
      </c>
      <c r="E279" s="0" t="s">
        <v>1938</v>
      </c>
      <c r="H279" s="0" t="s">
        <v>1939</v>
      </c>
      <c r="I279" s="0" t="s">
        <v>46</v>
      </c>
      <c r="N279" s="3" t="s">
        <v>95</v>
      </c>
      <c r="O279" s="3" t="s">
        <v>95</v>
      </c>
      <c r="P279" s="0" t="s">
        <v>96</v>
      </c>
      <c r="AA279" s="0" t="s">
        <v>47</v>
      </c>
      <c r="AB279" s="0" t="s">
        <v>1940</v>
      </c>
      <c r="AC279" s="0" t="s">
        <v>1941</v>
      </c>
      <c r="AD279" s="0" t="s">
        <v>1942</v>
      </c>
      <c r="AE279" s="0" t="s">
        <v>79</v>
      </c>
      <c r="AF279" s="3" t="s">
        <v>48</v>
      </c>
      <c r="AG279" s="3" t="s">
        <v>49</v>
      </c>
      <c r="AR279" s="0" t="s">
        <v>1938</v>
      </c>
    </row>
    <row r="280" customFormat="false" ht="15" hidden="false" customHeight="false" outlineLevel="0" collapsed="false">
      <c r="A280" s="0" t="n">
        <v>279</v>
      </c>
      <c r="B280" s="0" t="s">
        <v>1943</v>
      </c>
      <c r="C280" s="0" t="s">
        <v>88</v>
      </c>
      <c r="E280" s="0" t="s">
        <v>1944</v>
      </c>
      <c r="H280" s="0" t="s">
        <v>1945</v>
      </c>
      <c r="I280" s="0" t="s">
        <v>154</v>
      </c>
      <c r="N280" s="3" t="s">
        <v>119</v>
      </c>
      <c r="O280" s="3" t="s">
        <v>119</v>
      </c>
      <c r="P280" s="0" t="s">
        <v>96</v>
      </c>
      <c r="AA280" s="0" t="s">
        <v>47</v>
      </c>
      <c r="AB280" s="0" t="s">
        <v>1946</v>
      </c>
      <c r="AC280" s="0" t="s">
        <v>1947</v>
      </c>
      <c r="AD280" s="0" t="s">
        <v>1948</v>
      </c>
      <c r="AE280" s="0" t="s">
        <v>79</v>
      </c>
      <c r="AF280" s="3" t="s">
        <v>48</v>
      </c>
      <c r="AG280" s="3" t="s">
        <v>49</v>
      </c>
      <c r="AL280" s="0" t="s">
        <v>1949</v>
      </c>
      <c r="AO280" s="0" t="s">
        <v>1950</v>
      </c>
      <c r="AP280" s="0" t="s">
        <v>1950</v>
      </c>
      <c r="AR280" s="0" t="s">
        <v>1951</v>
      </c>
    </row>
    <row r="281" customFormat="false" ht="15" hidden="false" customHeight="false" outlineLevel="0" collapsed="false">
      <c r="A281" s="0" t="n">
        <v>280</v>
      </c>
      <c r="B281" s="0" t="s">
        <v>1952</v>
      </c>
      <c r="C281" s="0" t="s">
        <v>52</v>
      </c>
      <c r="D281" s="0" t="s">
        <v>1953</v>
      </c>
      <c r="N281" s="3" t="s">
        <v>762</v>
      </c>
      <c r="O281" s="3" t="s">
        <v>762</v>
      </c>
      <c r="P281" s="0" t="s">
        <v>55</v>
      </c>
      <c r="AA281" s="0" t="s">
        <v>47</v>
      </c>
      <c r="AB281" s="0" t="s">
        <v>1954</v>
      </c>
      <c r="AC281" s="0" t="s">
        <v>1955</v>
      </c>
      <c r="AD281" s="0" t="s">
        <v>1956</v>
      </c>
      <c r="AE281" s="0" t="s">
        <v>59</v>
      </c>
      <c r="AF281" s="3" t="s">
        <v>48</v>
      </c>
      <c r="AG281" s="3" t="s">
        <v>49</v>
      </c>
      <c r="AR281" s="0" t="s">
        <v>1953</v>
      </c>
    </row>
    <row r="282" customFormat="false" ht="15" hidden="false" customHeight="false" outlineLevel="0" collapsed="false">
      <c r="A282" s="0" t="n">
        <v>281</v>
      </c>
      <c r="B282" s="0" t="s">
        <v>1957</v>
      </c>
      <c r="C282" s="0" t="s">
        <v>88</v>
      </c>
      <c r="E282" s="0" t="s">
        <v>1958</v>
      </c>
      <c r="H282" s="0" t="s">
        <v>1959</v>
      </c>
      <c r="I282" s="0" t="s">
        <v>154</v>
      </c>
      <c r="N282" s="3" t="s">
        <v>202</v>
      </c>
      <c r="O282" s="3" t="s">
        <v>202</v>
      </c>
      <c r="P282" s="0" t="s">
        <v>96</v>
      </c>
      <c r="AA282" s="0" t="s">
        <v>47</v>
      </c>
      <c r="AB282" s="0" t="s">
        <v>1960</v>
      </c>
      <c r="AC282" s="0" t="s">
        <v>1961</v>
      </c>
      <c r="AD282" s="0" t="s">
        <v>1962</v>
      </c>
      <c r="AE282" s="0" t="s">
        <v>79</v>
      </c>
      <c r="AF282" s="3" t="s">
        <v>48</v>
      </c>
      <c r="AG282" s="3" t="s">
        <v>49</v>
      </c>
      <c r="AL282" s="0" t="s">
        <v>1963</v>
      </c>
      <c r="AM282" s="0" t="s">
        <v>1964</v>
      </c>
      <c r="AO282" s="0" t="s">
        <v>1965</v>
      </c>
      <c r="AP282" s="0" t="s">
        <v>1965</v>
      </c>
      <c r="AR282" s="0" t="s">
        <v>1966</v>
      </c>
    </row>
    <row r="283" customFormat="false" ht="15" hidden="false" customHeight="false" outlineLevel="0" collapsed="false">
      <c r="A283" s="0" t="n">
        <v>282</v>
      </c>
      <c r="B283" s="0" t="s">
        <v>1967</v>
      </c>
      <c r="C283" s="0" t="s">
        <v>88</v>
      </c>
      <c r="E283" s="0" t="s">
        <v>1968</v>
      </c>
      <c r="N283" s="3" t="s">
        <v>213</v>
      </c>
      <c r="O283" s="3" t="s">
        <v>213</v>
      </c>
      <c r="P283" s="0" t="s">
        <v>96</v>
      </c>
      <c r="AA283" s="0" t="s">
        <v>47</v>
      </c>
      <c r="AB283" s="0" t="s">
        <v>1969</v>
      </c>
      <c r="AC283" s="0" t="s">
        <v>1970</v>
      </c>
      <c r="AD283" s="0" t="s">
        <v>1971</v>
      </c>
      <c r="AE283" s="0" t="s">
        <v>79</v>
      </c>
      <c r="AF283" s="3" t="s">
        <v>48</v>
      </c>
      <c r="AG283" s="3" t="s">
        <v>49</v>
      </c>
      <c r="AR283" s="0" t="s">
        <v>1968</v>
      </c>
    </row>
    <row r="284" customFormat="false" ht="15" hidden="false" customHeight="false" outlineLevel="0" collapsed="false">
      <c r="A284" s="0" t="n">
        <v>283</v>
      </c>
      <c r="B284" s="0" t="s">
        <v>1972</v>
      </c>
      <c r="C284" s="0" t="s">
        <v>244</v>
      </c>
      <c r="E284" s="0" t="s">
        <v>1973</v>
      </c>
      <c r="F284" s="0" t="s">
        <v>44</v>
      </c>
      <c r="N284" s="3" t="s">
        <v>202</v>
      </c>
      <c r="O284" s="3" t="s">
        <v>202</v>
      </c>
      <c r="P284" s="0" t="s">
        <v>96</v>
      </c>
      <c r="AA284" s="0" t="s">
        <v>47</v>
      </c>
      <c r="AB284" s="0" t="s">
        <v>1974</v>
      </c>
      <c r="AC284" s="0" t="s">
        <v>1975</v>
      </c>
      <c r="AD284" s="0" t="s">
        <v>1976</v>
      </c>
      <c r="AE284" s="0" t="s">
        <v>79</v>
      </c>
      <c r="AF284" s="3" t="s">
        <v>149</v>
      </c>
      <c r="AG284" s="3" t="s">
        <v>81</v>
      </c>
      <c r="AK284" s="0" t="s">
        <v>1977</v>
      </c>
      <c r="AR284" s="0" t="s">
        <v>1978</v>
      </c>
    </row>
    <row r="285" customFormat="false" ht="15" hidden="false" customHeight="false" outlineLevel="0" collapsed="false">
      <c r="A285" s="0" t="n">
        <v>284</v>
      </c>
      <c r="B285" s="0" t="s">
        <v>1979</v>
      </c>
      <c r="C285" s="0" t="s">
        <v>88</v>
      </c>
      <c r="E285" s="0" t="s">
        <v>1980</v>
      </c>
      <c r="AA285" s="0" t="s">
        <v>47</v>
      </c>
      <c r="AF285" s="3" t="s">
        <v>48</v>
      </c>
      <c r="AG285" s="3" t="s">
        <v>49</v>
      </c>
      <c r="AR285" s="0" t="s">
        <v>1980</v>
      </c>
    </row>
    <row r="286" customFormat="false" ht="15" hidden="false" customHeight="false" outlineLevel="0" collapsed="false">
      <c r="A286" s="0" t="n">
        <v>285</v>
      </c>
      <c r="B286" s="0" t="s">
        <v>1981</v>
      </c>
      <c r="C286" s="0" t="s">
        <v>244</v>
      </c>
      <c r="E286" s="0" t="s">
        <v>1982</v>
      </c>
      <c r="F286" s="0" t="s">
        <v>44</v>
      </c>
      <c r="N286" s="3" t="s">
        <v>147</v>
      </c>
      <c r="O286" s="3" t="s">
        <v>147</v>
      </c>
      <c r="P286" s="0" t="s">
        <v>96</v>
      </c>
      <c r="AA286" s="0" t="s">
        <v>47</v>
      </c>
      <c r="AB286" s="0" t="s">
        <v>1983</v>
      </c>
      <c r="AC286" s="0" t="s">
        <v>1984</v>
      </c>
      <c r="AD286" s="0" t="s">
        <v>1985</v>
      </c>
      <c r="AE286" s="0" t="s">
        <v>79</v>
      </c>
      <c r="AF286" s="3" t="s">
        <v>108</v>
      </c>
      <c r="AG286" s="3" t="s">
        <v>49</v>
      </c>
      <c r="AH286" s="0" t="n">
        <v>2026</v>
      </c>
      <c r="AI286" s="0" t="s">
        <v>829</v>
      </c>
      <c r="AJ286" s="0" t="s">
        <v>830</v>
      </c>
      <c r="AK286" s="0" t="s">
        <v>1986</v>
      </c>
      <c r="AR286" s="0" t="s">
        <v>1987</v>
      </c>
    </row>
    <row r="287" customFormat="false" ht="15" hidden="false" customHeight="false" outlineLevel="0" collapsed="false">
      <c r="A287" s="0" t="n">
        <v>286</v>
      </c>
      <c r="B287" s="0" t="s">
        <v>1988</v>
      </c>
      <c r="C287" s="0" t="s">
        <v>88</v>
      </c>
      <c r="E287" s="0" t="s">
        <v>1989</v>
      </c>
      <c r="AA287" s="0" t="s">
        <v>47</v>
      </c>
      <c r="AF287" s="3" t="s">
        <v>48</v>
      </c>
      <c r="AG287" s="3" t="s">
        <v>49</v>
      </c>
      <c r="AR287" s="0" t="s">
        <v>1989</v>
      </c>
    </row>
    <row r="288" customFormat="false" ht="15" hidden="false" customHeight="false" outlineLevel="0" collapsed="false">
      <c r="A288" s="0" t="n">
        <v>287</v>
      </c>
      <c r="B288" s="0" t="s">
        <v>1990</v>
      </c>
      <c r="C288" s="0" t="s">
        <v>88</v>
      </c>
      <c r="E288" s="0" t="s">
        <v>1991</v>
      </c>
      <c r="N288" s="3" t="s">
        <v>202</v>
      </c>
      <c r="O288" s="3" t="s">
        <v>202</v>
      </c>
      <c r="P288" s="0" t="s">
        <v>96</v>
      </c>
      <c r="AA288" s="0" t="s">
        <v>47</v>
      </c>
      <c r="AB288" s="0" t="s">
        <v>1992</v>
      </c>
      <c r="AC288" s="0" t="s">
        <v>1993</v>
      </c>
      <c r="AD288" s="0" t="s">
        <v>1994</v>
      </c>
      <c r="AE288" s="0" t="s">
        <v>79</v>
      </c>
      <c r="AF288" s="3" t="s">
        <v>48</v>
      </c>
      <c r="AG288" s="3" t="s">
        <v>49</v>
      </c>
      <c r="AR288" s="0" t="s">
        <v>1991</v>
      </c>
    </row>
    <row r="289" customFormat="false" ht="15" hidden="false" customHeight="false" outlineLevel="0" collapsed="false">
      <c r="A289" s="0" t="n">
        <v>288</v>
      </c>
      <c r="B289" s="0" t="s">
        <v>1995</v>
      </c>
      <c r="C289" s="0" t="s">
        <v>43</v>
      </c>
      <c r="F289" s="0" t="s">
        <v>44</v>
      </c>
      <c r="H289" s="0" t="s">
        <v>1996</v>
      </c>
      <c r="I289" s="0" t="s">
        <v>46</v>
      </c>
      <c r="AA289" s="0" t="s">
        <v>47</v>
      </c>
      <c r="AF289" s="3" t="s">
        <v>48</v>
      </c>
      <c r="AG289" s="3" t="s">
        <v>49</v>
      </c>
      <c r="AR289" s="0" t="s">
        <v>50</v>
      </c>
    </row>
    <row r="290" customFormat="false" ht="15" hidden="false" customHeight="false" outlineLevel="0" collapsed="false">
      <c r="A290" s="0" t="n">
        <v>289</v>
      </c>
      <c r="B290" s="0" t="s">
        <v>1997</v>
      </c>
      <c r="C290" s="0" t="s">
        <v>88</v>
      </c>
      <c r="E290" s="0" t="s">
        <v>1998</v>
      </c>
      <c r="G290" s="0" t="s">
        <v>1999</v>
      </c>
      <c r="N290" s="3" t="s">
        <v>202</v>
      </c>
      <c r="O290" s="3" t="s">
        <v>202</v>
      </c>
      <c r="P290" s="0" t="s">
        <v>96</v>
      </c>
      <c r="AA290" s="0" t="s">
        <v>47</v>
      </c>
      <c r="AB290" s="0" t="s">
        <v>2000</v>
      </c>
      <c r="AC290" s="0" t="s">
        <v>2001</v>
      </c>
      <c r="AD290" s="0" t="s">
        <v>2002</v>
      </c>
      <c r="AE290" s="0" t="s">
        <v>79</v>
      </c>
      <c r="AF290" s="3" t="s">
        <v>48</v>
      </c>
      <c r="AG290" s="3" t="s">
        <v>49</v>
      </c>
      <c r="AR290" s="0" t="s">
        <v>1998</v>
      </c>
    </row>
    <row r="291" customFormat="false" ht="15" hidden="false" customHeight="false" outlineLevel="0" collapsed="false">
      <c r="A291" s="0" t="n">
        <v>290</v>
      </c>
      <c r="B291" s="0" t="s">
        <v>2003</v>
      </c>
      <c r="C291" s="0" t="s">
        <v>88</v>
      </c>
      <c r="E291" s="0" t="s">
        <v>2004</v>
      </c>
      <c r="H291" s="0" t="s">
        <v>2005</v>
      </c>
      <c r="I291" s="0" t="s">
        <v>46</v>
      </c>
      <c r="N291" s="3" t="s">
        <v>186</v>
      </c>
      <c r="O291" s="3" t="s">
        <v>186</v>
      </c>
      <c r="P291" s="0" t="s">
        <v>96</v>
      </c>
      <c r="AA291" s="0" t="s">
        <v>47</v>
      </c>
      <c r="AB291" s="0" t="s">
        <v>2006</v>
      </c>
      <c r="AC291" s="0" t="s">
        <v>2007</v>
      </c>
      <c r="AD291" s="0" t="s">
        <v>2008</v>
      </c>
      <c r="AE291" s="0" t="s">
        <v>79</v>
      </c>
      <c r="AF291" s="3" t="s">
        <v>48</v>
      </c>
      <c r="AG291" s="3" t="s">
        <v>49</v>
      </c>
      <c r="AR291" s="0" t="s">
        <v>2004</v>
      </c>
    </row>
    <row r="292" customFormat="false" ht="15" hidden="false" customHeight="false" outlineLevel="0" collapsed="false">
      <c r="A292" s="0" t="n">
        <v>291</v>
      </c>
      <c r="B292" s="0" t="s">
        <v>2009</v>
      </c>
      <c r="C292" s="0" t="s">
        <v>88</v>
      </c>
      <c r="E292" s="0" t="s">
        <v>2010</v>
      </c>
      <c r="AA292" s="0" t="s">
        <v>47</v>
      </c>
      <c r="AF292" s="3" t="s">
        <v>48</v>
      </c>
      <c r="AG292" s="3" t="s">
        <v>49</v>
      </c>
      <c r="AR292" s="0" t="s">
        <v>2010</v>
      </c>
    </row>
    <row r="293" customFormat="false" ht="15" hidden="false" customHeight="false" outlineLevel="0" collapsed="false">
      <c r="A293" s="0" t="n">
        <v>292</v>
      </c>
      <c r="B293" s="0" t="s">
        <v>2011</v>
      </c>
      <c r="C293" s="0" t="s">
        <v>43</v>
      </c>
      <c r="F293" s="0" t="s">
        <v>44</v>
      </c>
      <c r="H293" s="0" t="s">
        <v>2012</v>
      </c>
      <c r="I293" s="0" t="s">
        <v>154</v>
      </c>
      <c r="AA293" s="0" t="s">
        <v>47</v>
      </c>
      <c r="AF293" s="3" t="s">
        <v>48</v>
      </c>
      <c r="AG293" s="3" t="s">
        <v>49</v>
      </c>
      <c r="AL293" s="0" t="s">
        <v>2013</v>
      </c>
      <c r="AM293" s="0" t="s">
        <v>2014</v>
      </c>
      <c r="AO293" s="0" t="s">
        <v>2015</v>
      </c>
      <c r="AP293" s="0" t="s">
        <v>2015</v>
      </c>
      <c r="AR293" s="0" t="s">
        <v>2016</v>
      </c>
    </row>
    <row r="294" customFormat="false" ht="15" hidden="false" customHeight="false" outlineLevel="0" collapsed="false">
      <c r="A294" s="0" t="n">
        <v>293</v>
      </c>
      <c r="B294" s="0" t="s">
        <v>2017</v>
      </c>
      <c r="C294" s="0" t="s">
        <v>88</v>
      </c>
      <c r="E294" s="0" t="s">
        <v>2018</v>
      </c>
      <c r="AA294" s="0" t="s">
        <v>47</v>
      </c>
      <c r="AF294" s="3" t="s">
        <v>48</v>
      </c>
      <c r="AG294" s="3" t="s">
        <v>49</v>
      </c>
      <c r="AR294" s="0" t="s">
        <v>2018</v>
      </c>
    </row>
    <row r="295" customFormat="false" ht="15" hidden="false" customHeight="false" outlineLevel="0" collapsed="false">
      <c r="A295" s="0" t="n">
        <v>294</v>
      </c>
      <c r="B295" s="0" t="s">
        <v>2019</v>
      </c>
      <c r="C295" s="0" t="s">
        <v>43</v>
      </c>
      <c r="F295" s="0" t="s">
        <v>44</v>
      </c>
      <c r="H295" s="0" t="s">
        <v>2020</v>
      </c>
      <c r="I295" s="0" t="s">
        <v>154</v>
      </c>
      <c r="AA295" s="0" t="s">
        <v>47</v>
      </c>
      <c r="AF295" s="3" t="s">
        <v>108</v>
      </c>
      <c r="AG295" s="3" t="s">
        <v>81</v>
      </c>
      <c r="AI295" s="0" t="s">
        <v>921</v>
      </c>
      <c r="AJ295" s="0" t="s">
        <v>2021</v>
      </c>
      <c r="AL295" s="0" t="s">
        <v>2022</v>
      </c>
      <c r="AO295" s="0" t="s">
        <v>2023</v>
      </c>
      <c r="AP295" s="0" t="s">
        <v>2023</v>
      </c>
      <c r="AR295" s="0" t="s">
        <v>2024</v>
      </c>
    </row>
    <row r="296" customFormat="false" ht="15" hidden="false" customHeight="false" outlineLevel="0" collapsed="false">
      <c r="A296" s="0" t="n">
        <v>295</v>
      </c>
      <c r="B296" s="0" t="s">
        <v>2025</v>
      </c>
      <c r="C296" s="0" t="s">
        <v>43</v>
      </c>
      <c r="F296" s="0" t="s">
        <v>44</v>
      </c>
      <c r="H296" s="0" t="s">
        <v>2026</v>
      </c>
      <c r="I296" s="0" t="s">
        <v>154</v>
      </c>
      <c r="AA296" s="0" t="s">
        <v>47</v>
      </c>
      <c r="AF296" s="3" t="s">
        <v>108</v>
      </c>
      <c r="AG296" s="3" t="s">
        <v>49</v>
      </c>
      <c r="AH296" s="0" t="n">
        <v>2026</v>
      </c>
      <c r="AI296" s="0" t="s">
        <v>155</v>
      </c>
      <c r="AJ296" s="0" t="s">
        <v>156</v>
      </c>
      <c r="AL296" s="0" t="s">
        <v>2027</v>
      </c>
      <c r="AM296" s="0" t="s">
        <v>2028</v>
      </c>
      <c r="AO296" s="0" t="s">
        <v>2029</v>
      </c>
      <c r="AP296" s="0" t="s">
        <v>2029</v>
      </c>
      <c r="AR296" s="0" t="s">
        <v>2030</v>
      </c>
    </row>
    <row r="297" customFormat="false" ht="15" hidden="false" customHeight="false" outlineLevel="0" collapsed="false">
      <c r="A297" s="0" t="n">
        <v>296</v>
      </c>
      <c r="B297" s="0" t="s">
        <v>2031</v>
      </c>
      <c r="C297" s="0" t="s">
        <v>52</v>
      </c>
      <c r="D297" s="0" t="s">
        <v>2032</v>
      </c>
      <c r="H297" s="0" t="s">
        <v>2033</v>
      </c>
      <c r="I297" s="0" t="s">
        <v>154</v>
      </c>
      <c r="N297" s="3" t="s">
        <v>104</v>
      </c>
      <c r="O297" s="3" t="s">
        <v>104</v>
      </c>
      <c r="P297" s="0" t="s">
        <v>55</v>
      </c>
      <c r="AA297" s="0" t="s">
        <v>47</v>
      </c>
      <c r="AB297" s="0" t="s">
        <v>2034</v>
      </c>
      <c r="AC297" s="0" t="s">
        <v>2035</v>
      </c>
      <c r="AD297" s="0" t="s">
        <v>2036</v>
      </c>
      <c r="AE297" s="0" t="s">
        <v>59</v>
      </c>
      <c r="AF297" s="3" t="s">
        <v>48</v>
      </c>
      <c r="AG297" s="3" t="s">
        <v>49</v>
      </c>
      <c r="AM297" s="0" t="s">
        <v>2037</v>
      </c>
      <c r="AO297" s="0" t="s">
        <v>2038</v>
      </c>
      <c r="AP297" s="0" t="s">
        <v>2038</v>
      </c>
      <c r="AR297" s="0" t="s">
        <v>2039</v>
      </c>
    </row>
    <row r="298" customFormat="false" ht="15" hidden="false" customHeight="false" outlineLevel="0" collapsed="false">
      <c r="A298" s="0" t="n">
        <v>297</v>
      </c>
      <c r="B298" s="0" t="s">
        <v>2040</v>
      </c>
      <c r="C298" s="0" t="s">
        <v>43</v>
      </c>
      <c r="F298" s="0" t="s">
        <v>44</v>
      </c>
      <c r="H298" s="0" t="s">
        <v>2041</v>
      </c>
      <c r="I298" s="0" t="s">
        <v>154</v>
      </c>
      <c r="AA298" s="0" t="s">
        <v>47</v>
      </c>
      <c r="AF298" s="3" t="s">
        <v>48</v>
      </c>
      <c r="AG298" s="3" t="s">
        <v>49</v>
      </c>
      <c r="AL298" s="0" t="s">
        <v>2042</v>
      </c>
      <c r="AM298" s="0" t="s">
        <v>2043</v>
      </c>
      <c r="AO298" s="0" t="s">
        <v>2044</v>
      </c>
      <c r="AP298" s="0" t="s">
        <v>2044</v>
      </c>
      <c r="AR298" s="0" t="s">
        <v>2045</v>
      </c>
    </row>
    <row r="299" customFormat="false" ht="15" hidden="false" customHeight="false" outlineLevel="0" collapsed="false">
      <c r="A299" s="0" t="n">
        <v>298</v>
      </c>
      <c r="B299" s="0" t="s">
        <v>2046</v>
      </c>
      <c r="C299" s="0" t="s">
        <v>43</v>
      </c>
      <c r="F299" s="0" t="s">
        <v>44</v>
      </c>
      <c r="AA299" s="0" t="s">
        <v>47</v>
      </c>
      <c r="AF299" s="3" t="s">
        <v>48</v>
      </c>
      <c r="AG299" s="3" t="s">
        <v>49</v>
      </c>
      <c r="AR299" s="0" t="s">
        <v>50</v>
      </c>
    </row>
    <row r="300" customFormat="false" ht="15" hidden="false" customHeight="false" outlineLevel="0" collapsed="false">
      <c r="A300" s="0" t="n">
        <v>299</v>
      </c>
      <c r="B300" s="0" t="s">
        <v>2047</v>
      </c>
      <c r="C300" s="0" t="s">
        <v>88</v>
      </c>
      <c r="E300" s="0" t="s">
        <v>2048</v>
      </c>
      <c r="H300" s="0" t="s">
        <v>2049</v>
      </c>
      <c r="I300" s="0" t="s">
        <v>154</v>
      </c>
      <c r="AA300" s="0" t="s">
        <v>47</v>
      </c>
      <c r="AB300" s="0" t="s">
        <v>2050</v>
      </c>
      <c r="AC300" s="0" t="s">
        <v>2051</v>
      </c>
      <c r="AD300" s="0" t="s">
        <v>2052</v>
      </c>
      <c r="AE300" s="0" t="s">
        <v>79</v>
      </c>
      <c r="AF300" s="3" t="s">
        <v>48</v>
      </c>
      <c r="AG300" s="3" t="s">
        <v>49</v>
      </c>
      <c r="AL300" s="0" t="s">
        <v>2053</v>
      </c>
      <c r="AM300" s="0" t="s">
        <v>2054</v>
      </c>
      <c r="AO300" s="0" t="s">
        <v>2055</v>
      </c>
      <c r="AP300" s="0" t="s">
        <v>2055</v>
      </c>
      <c r="AR300" s="0" t="s">
        <v>2056</v>
      </c>
    </row>
    <row r="301" customFormat="false" ht="15" hidden="false" customHeight="false" outlineLevel="0" collapsed="false">
      <c r="A301" s="0" t="n">
        <v>300</v>
      </c>
      <c r="B301" s="0" t="s">
        <v>2057</v>
      </c>
      <c r="C301" s="0" t="s">
        <v>43</v>
      </c>
      <c r="F301" s="0" t="s">
        <v>44</v>
      </c>
      <c r="H301" s="0" t="s">
        <v>2058</v>
      </c>
      <c r="I301" s="0" t="s">
        <v>154</v>
      </c>
      <c r="AA301" s="0" t="s">
        <v>47</v>
      </c>
      <c r="AF301" s="3" t="s">
        <v>48</v>
      </c>
      <c r="AG301" s="3" t="s">
        <v>49</v>
      </c>
      <c r="AL301" s="0" t="s">
        <v>2059</v>
      </c>
      <c r="AM301" s="0" t="s">
        <v>2060</v>
      </c>
      <c r="AO301" s="0" t="s">
        <v>2061</v>
      </c>
      <c r="AP301" s="0" t="s">
        <v>2061</v>
      </c>
      <c r="AR301" s="0" t="s">
        <v>2062</v>
      </c>
    </row>
    <row r="302" customFormat="false" ht="15" hidden="false" customHeight="false" outlineLevel="0" collapsed="false">
      <c r="A302" s="0" t="n">
        <v>301</v>
      </c>
      <c r="B302" s="0" t="s">
        <v>2063</v>
      </c>
      <c r="C302" s="0" t="s">
        <v>394</v>
      </c>
      <c r="D302" s="0" t="s">
        <v>2064</v>
      </c>
      <c r="F302" s="0" t="s">
        <v>44</v>
      </c>
      <c r="N302" s="3" t="s">
        <v>104</v>
      </c>
      <c r="O302" s="3" t="s">
        <v>104</v>
      </c>
      <c r="P302" s="0" t="s">
        <v>55</v>
      </c>
      <c r="AA302" s="0" t="s">
        <v>47</v>
      </c>
      <c r="AB302" s="0" t="s">
        <v>2065</v>
      </c>
      <c r="AC302" s="0" t="s">
        <v>2066</v>
      </c>
      <c r="AD302" s="0" t="s">
        <v>2067</v>
      </c>
      <c r="AE302" s="0" t="s">
        <v>59</v>
      </c>
      <c r="AF302" s="3" t="s">
        <v>149</v>
      </c>
      <c r="AG302" s="3" t="s">
        <v>81</v>
      </c>
      <c r="AK302" s="0" t="s">
        <v>2068</v>
      </c>
      <c r="AR302" s="0" t="s">
        <v>2069</v>
      </c>
    </row>
    <row r="303" customFormat="false" ht="15" hidden="false" customHeight="false" outlineLevel="0" collapsed="false">
      <c r="A303" s="0" t="n">
        <v>302</v>
      </c>
      <c r="B303" s="0" t="s">
        <v>2070</v>
      </c>
      <c r="C303" s="0" t="s">
        <v>88</v>
      </c>
      <c r="E303" s="0" t="s">
        <v>2071</v>
      </c>
      <c r="N303" s="3" t="s">
        <v>202</v>
      </c>
      <c r="O303" s="3" t="s">
        <v>202</v>
      </c>
      <c r="P303" s="0" t="s">
        <v>96</v>
      </c>
      <c r="AA303" s="0" t="s">
        <v>47</v>
      </c>
      <c r="AB303" s="0" t="s">
        <v>2072</v>
      </c>
      <c r="AC303" s="0" t="s">
        <v>2073</v>
      </c>
      <c r="AD303" s="0" t="s">
        <v>2074</v>
      </c>
      <c r="AE303" s="0" t="s">
        <v>79</v>
      </c>
      <c r="AF303" s="3" t="s">
        <v>48</v>
      </c>
      <c r="AG303" s="3" t="s">
        <v>49</v>
      </c>
      <c r="AR303" s="0" t="s">
        <v>2071</v>
      </c>
    </row>
    <row r="304" customFormat="false" ht="15" hidden="false" customHeight="false" outlineLevel="0" collapsed="false">
      <c r="A304" s="0" t="n">
        <v>303</v>
      </c>
      <c r="B304" s="0" t="s">
        <v>2075</v>
      </c>
      <c r="C304" s="0" t="s">
        <v>88</v>
      </c>
      <c r="E304" s="0" t="s">
        <v>2076</v>
      </c>
      <c r="N304" s="3" t="s">
        <v>202</v>
      </c>
      <c r="O304" s="3" t="s">
        <v>202</v>
      </c>
      <c r="P304" s="0" t="s">
        <v>96</v>
      </c>
      <c r="AA304" s="0" t="s">
        <v>47</v>
      </c>
      <c r="AB304" s="0" t="s">
        <v>2077</v>
      </c>
      <c r="AC304" s="0" t="s">
        <v>2078</v>
      </c>
      <c r="AE304" s="0" t="s">
        <v>79</v>
      </c>
      <c r="AF304" s="3" t="s">
        <v>48</v>
      </c>
      <c r="AG304" s="3" t="s">
        <v>49</v>
      </c>
      <c r="AR304" s="0" t="s">
        <v>2076</v>
      </c>
    </row>
    <row r="305" customFormat="false" ht="15" hidden="false" customHeight="false" outlineLevel="0" collapsed="false">
      <c r="A305" s="0" t="n">
        <v>304</v>
      </c>
      <c r="B305" s="0" t="s">
        <v>2079</v>
      </c>
      <c r="C305" s="0" t="s">
        <v>88</v>
      </c>
      <c r="E305" s="0" t="s">
        <v>2080</v>
      </c>
      <c r="AA305" s="0" t="s">
        <v>47</v>
      </c>
      <c r="AF305" s="3" t="s">
        <v>48</v>
      </c>
      <c r="AG305" s="3" t="s">
        <v>49</v>
      </c>
      <c r="AR305" s="0" t="s">
        <v>2080</v>
      </c>
    </row>
    <row r="306" customFormat="false" ht="15" hidden="false" customHeight="false" outlineLevel="0" collapsed="false">
      <c r="A306" s="0" t="n">
        <v>305</v>
      </c>
      <c r="B306" s="0" t="s">
        <v>2081</v>
      </c>
      <c r="C306" s="0" t="s">
        <v>43</v>
      </c>
      <c r="F306" s="0" t="s">
        <v>44</v>
      </c>
      <c r="AA306" s="0" t="s">
        <v>47</v>
      </c>
      <c r="AF306" s="3" t="s">
        <v>48</v>
      </c>
      <c r="AG306" s="3" t="s">
        <v>49</v>
      </c>
      <c r="AR306" s="0" t="s">
        <v>50</v>
      </c>
    </row>
    <row r="307" customFormat="false" ht="15" hidden="false" customHeight="false" outlineLevel="0" collapsed="false">
      <c r="A307" s="0" t="n">
        <v>306</v>
      </c>
      <c r="B307" s="0" t="s">
        <v>2082</v>
      </c>
      <c r="C307" s="0" t="s">
        <v>52</v>
      </c>
      <c r="D307" s="0" t="s">
        <v>2083</v>
      </c>
      <c r="N307" s="3" t="s">
        <v>104</v>
      </c>
      <c r="O307" s="3" t="s">
        <v>104</v>
      </c>
      <c r="P307" s="0" t="s">
        <v>55</v>
      </c>
      <c r="AA307" s="0" t="s">
        <v>47</v>
      </c>
      <c r="AB307" s="0" t="s">
        <v>2084</v>
      </c>
      <c r="AC307" s="0" t="s">
        <v>2085</v>
      </c>
      <c r="AD307" s="0" t="s">
        <v>2086</v>
      </c>
      <c r="AE307" s="0" t="s">
        <v>59</v>
      </c>
      <c r="AF307" s="3" t="s">
        <v>48</v>
      </c>
      <c r="AG307" s="3" t="s">
        <v>49</v>
      </c>
      <c r="AR307" s="0" t="s">
        <v>2083</v>
      </c>
    </row>
    <row r="308" customFormat="false" ht="15" hidden="false" customHeight="false" outlineLevel="0" collapsed="false">
      <c r="A308" s="0" t="n">
        <v>307</v>
      </c>
      <c r="B308" s="0" t="s">
        <v>2087</v>
      </c>
      <c r="C308" s="0" t="s">
        <v>43</v>
      </c>
      <c r="F308" s="0" t="s">
        <v>44</v>
      </c>
      <c r="AA308" s="0" t="s">
        <v>47</v>
      </c>
      <c r="AF308" s="3" t="s">
        <v>48</v>
      </c>
      <c r="AG308" s="3" t="s">
        <v>49</v>
      </c>
      <c r="AR308" s="0" t="s">
        <v>50</v>
      </c>
    </row>
    <row r="309" customFormat="false" ht="15" hidden="false" customHeight="false" outlineLevel="0" collapsed="false">
      <c r="A309" s="0" t="n">
        <v>308</v>
      </c>
      <c r="B309" s="0" t="s">
        <v>2088</v>
      </c>
      <c r="C309" s="0" t="s">
        <v>52</v>
      </c>
      <c r="D309" s="0" t="s">
        <v>2089</v>
      </c>
      <c r="H309" s="0" t="s">
        <v>2090</v>
      </c>
      <c r="I309" s="0" t="s">
        <v>154</v>
      </c>
      <c r="N309" s="0" t="s">
        <v>2091</v>
      </c>
      <c r="O309" s="0" t="s">
        <v>2091</v>
      </c>
      <c r="P309" s="0" t="s">
        <v>55</v>
      </c>
      <c r="AA309" s="0" t="s">
        <v>47</v>
      </c>
      <c r="AB309" s="0" t="s">
        <v>2092</v>
      </c>
      <c r="AC309" s="0" t="s">
        <v>2093</v>
      </c>
      <c r="AD309" s="0" t="s">
        <v>2094</v>
      </c>
      <c r="AE309" s="0" t="s">
        <v>59</v>
      </c>
      <c r="AF309" s="3" t="s">
        <v>48</v>
      </c>
      <c r="AG309" s="3" t="s">
        <v>49</v>
      </c>
      <c r="AL309" s="0" t="s">
        <v>2095</v>
      </c>
      <c r="AM309" s="0" t="s">
        <v>2096</v>
      </c>
      <c r="AO309" s="0" t="s">
        <v>2097</v>
      </c>
      <c r="AP309" s="0" t="s">
        <v>2097</v>
      </c>
      <c r="AR309" s="0" t="s">
        <v>2098</v>
      </c>
    </row>
    <row r="310" customFormat="false" ht="15" hidden="false" customHeight="false" outlineLevel="0" collapsed="false">
      <c r="A310" s="0" t="n">
        <v>309</v>
      </c>
      <c r="B310" s="0" t="s">
        <v>2099</v>
      </c>
      <c r="C310" s="0" t="s">
        <v>43</v>
      </c>
      <c r="F310" s="0" t="s">
        <v>44</v>
      </c>
      <c r="H310" s="0" t="s">
        <v>2100</v>
      </c>
      <c r="I310" s="0" t="s">
        <v>46</v>
      </c>
      <c r="AA310" s="0" t="s">
        <v>47</v>
      </c>
      <c r="AF310" s="3" t="s">
        <v>48</v>
      </c>
      <c r="AG310" s="3" t="s">
        <v>49</v>
      </c>
      <c r="AR310" s="0" t="s">
        <v>50</v>
      </c>
    </row>
    <row r="311" customFormat="false" ht="15" hidden="false" customHeight="false" outlineLevel="0" collapsed="false">
      <c r="A311" s="0" t="n">
        <v>310</v>
      </c>
      <c r="B311" s="0" t="s">
        <v>2101</v>
      </c>
      <c r="C311" s="0" t="s">
        <v>88</v>
      </c>
      <c r="E311" s="0" t="s">
        <v>2102</v>
      </c>
      <c r="N311" s="3" t="s">
        <v>202</v>
      </c>
      <c r="O311" s="3" t="s">
        <v>202</v>
      </c>
      <c r="P311" s="0" t="s">
        <v>96</v>
      </c>
      <c r="AA311" s="0" t="s">
        <v>47</v>
      </c>
      <c r="AB311" s="0" t="s">
        <v>2103</v>
      </c>
      <c r="AC311" s="0" t="s">
        <v>2104</v>
      </c>
      <c r="AD311" s="0" t="s">
        <v>2105</v>
      </c>
      <c r="AE311" s="0" t="s">
        <v>79</v>
      </c>
      <c r="AF311" s="3" t="s">
        <v>48</v>
      </c>
      <c r="AG311" s="3" t="s">
        <v>49</v>
      </c>
      <c r="AR311" s="0" t="s">
        <v>2102</v>
      </c>
    </row>
    <row r="312" customFormat="false" ht="15" hidden="false" customHeight="false" outlineLevel="0" collapsed="false">
      <c r="A312" s="0" t="n">
        <v>311</v>
      </c>
      <c r="B312" s="0" t="s">
        <v>2106</v>
      </c>
      <c r="C312" s="0" t="s">
        <v>88</v>
      </c>
      <c r="E312" s="0" t="s">
        <v>2107</v>
      </c>
      <c r="N312" s="3" t="s">
        <v>119</v>
      </c>
      <c r="O312" s="3" t="s">
        <v>119</v>
      </c>
      <c r="P312" s="0" t="s">
        <v>96</v>
      </c>
      <c r="AA312" s="0" t="s">
        <v>47</v>
      </c>
      <c r="AB312" s="0" t="s">
        <v>2108</v>
      </c>
      <c r="AC312" s="0" t="s">
        <v>2109</v>
      </c>
      <c r="AD312" s="0" t="s">
        <v>2110</v>
      </c>
      <c r="AE312" s="0" t="s">
        <v>79</v>
      </c>
      <c r="AF312" s="3" t="s">
        <v>48</v>
      </c>
      <c r="AG312" s="3" t="s">
        <v>49</v>
      </c>
      <c r="AR312" s="0" t="s">
        <v>2107</v>
      </c>
    </row>
    <row r="313" customFormat="false" ht="15" hidden="false" customHeight="false" outlineLevel="0" collapsed="false">
      <c r="A313" s="0" t="n">
        <v>312</v>
      </c>
      <c r="B313" s="0" t="s">
        <v>2111</v>
      </c>
      <c r="C313" s="0" t="s">
        <v>88</v>
      </c>
      <c r="E313" s="0" t="s">
        <v>2112</v>
      </c>
      <c r="H313" s="0" t="s">
        <v>2113</v>
      </c>
      <c r="I313" s="0" t="s">
        <v>154</v>
      </c>
      <c r="AA313" s="0" t="s">
        <v>47</v>
      </c>
      <c r="AF313" s="3" t="s">
        <v>48</v>
      </c>
      <c r="AG313" s="3" t="s">
        <v>49</v>
      </c>
      <c r="AO313" s="0" t="s">
        <v>2114</v>
      </c>
      <c r="AP313" s="0" t="s">
        <v>2114</v>
      </c>
      <c r="AR313" s="0" t="s">
        <v>2115</v>
      </c>
    </row>
    <row r="314" customFormat="false" ht="15" hidden="false" customHeight="false" outlineLevel="0" collapsed="false">
      <c r="A314" s="0" t="n">
        <v>313</v>
      </c>
      <c r="B314" s="0" t="s">
        <v>2116</v>
      </c>
      <c r="C314" s="0" t="s">
        <v>88</v>
      </c>
      <c r="E314" s="0" t="s">
        <v>2117</v>
      </c>
      <c r="H314" s="0" t="s">
        <v>2118</v>
      </c>
      <c r="I314" s="0" t="s">
        <v>154</v>
      </c>
      <c r="AA314" s="0" t="s">
        <v>47</v>
      </c>
      <c r="AF314" s="3" t="s">
        <v>48</v>
      </c>
      <c r="AG314" s="3" t="s">
        <v>49</v>
      </c>
      <c r="AO314" s="0" t="s">
        <v>2119</v>
      </c>
      <c r="AP314" s="0" t="s">
        <v>2119</v>
      </c>
      <c r="AR314" s="0" t="s">
        <v>2120</v>
      </c>
    </row>
    <row r="315" customFormat="false" ht="15" hidden="false" customHeight="false" outlineLevel="0" collapsed="false">
      <c r="A315" s="0" t="n">
        <v>314</v>
      </c>
      <c r="B315" s="0" t="s">
        <v>2121</v>
      </c>
      <c r="C315" s="0" t="s">
        <v>43</v>
      </c>
      <c r="F315" s="0" t="s">
        <v>44</v>
      </c>
      <c r="H315" s="0" t="s">
        <v>2122</v>
      </c>
      <c r="I315" s="0" t="s">
        <v>154</v>
      </c>
      <c r="AA315" s="0" t="s">
        <v>47</v>
      </c>
      <c r="AF315" s="3" t="s">
        <v>48</v>
      </c>
      <c r="AG315" s="3" t="s">
        <v>49</v>
      </c>
      <c r="AL315" s="0" t="s">
        <v>2123</v>
      </c>
      <c r="AO315" s="0" t="s">
        <v>2124</v>
      </c>
      <c r="AP315" s="0" t="s">
        <v>2124</v>
      </c>
      <c r="AR315" s="0" t="s">
        <v>2125</v>
      </c>
    </row>
    <row r="316" customFormat="false" ht="15" hidden="false" customHeight="false" outlineLevel="0" collapsed="false">
      <c r="A316" s="0" t="n">
        <v>315</v>
      </c>
      <c r="B316" s="0" t="s">
        <v>2126</v>
      </c>
      <c r="C316" s="0" t="s">
        <v>88</v>
      </c>
      <c r="E316" s="0" t="s">
        <v>2127</v>
      </c>
      <c r="H316" s="0" t="s">
        <v>2128</v>
      </c>
      <c r="I316" s="0" t="s">
        <v>154</v>
      </c>
      <c r="N316" s="3" t="s">
        <v>186</v>
      </c>
      <c r="O316" s="3" t="s">
        <v>186</v>
      </c>
      <c r="P316" s="0" t="s">
        <v>96</v>
      </c>
      <c r="AA316" s="0" t="s">
        <v>47</v>
      </c>
      <c r="AB316" s="0" t="s">
        <v>2129</v>
      </c>
      <c r="AC316" s="0" t="s">
        <v>2130</v>
      </c>
      <c r="AD316" s="0" t="s">
        <v>2131</v>
      </c>
      <c r="AE316" s="0" t="s">
        <v>79</v>
      </c>
      <c r="AF316" s="3" t="s">
        <v>108</v>
      </c>
      <c r="AG316" s="3" t="s">
        <v>49</v>
      </c>
      <c r="AH316" s="0" t="n">
        <v>2026</v>
      </c>
      <c r="AI316" s="0" t="s">
        <v>1765</v>
      </c>
      <c r="AJ316" s="0" t="s">
        <v>1766</v>
      </c>
      <c r="AL316" s="0" t="s">
        <v>818</v>
      </c>
      <c r="AO316" s="0" t="s">
        <v>820</v>
      </c>
      <c r="AP316" s="0" t="s">
        <v>820</v>
      </c>
      <c r="AR316" s="0" t="s">
        <v>2132</v>
      </c>
    </row>
    <row r="317" customFormat="false" ht="15" hidden="false" customHeight="false" outlineLevel="0" collapsed="false">
      <c r="A317" s="0" t="n">
        <v>316</v>
      </c>
      <c r="B317" s="0" t="s">
        <v>2133</v>
      </c>
      <c r="C317" s="0" t="s">
        <v>88</v>
      </c>
      <c r="E317" s="0" t="s">
        <v>2134</v>
      </c>
      <c r="G317" s="0" t="s">
        <v>1999</v>
      </c>
      <c r="N317" s="3" t="s">
        <v>147</v>
      </c>
      <c r="O317" s="3" t="s">
        <v>147</v>
      </c>
      <c r="P317" s="0" t="s">
        <v>96</v>
      </c>
      <c r="AA317" s="0" t="s">
        <v>47</v>
      </c>
      <c r="AB317" s="0" t="s">
        <v>2135</v>
      </c>
      <c r="AC317" s="0" t="s">
        <v>2136</v>
      </c>
      <c r="AD317" s="0" t="s">
        <v>2137</v>
      </c>
      <c r="AE317" s="0" t="s">
        <v>79</v>
      </c>
      <c r="AF317" s="3" t="s">
        <v>48</v>
      </c>
      <c r="AG317" s="3" t="s">
        <v>49</v>
      </c>
      <c r="AR317" s="0" t="s">
        <v>2134</v>
      </c>
    </row>
    <row r="318" customFormat="false" ht="15" hidden="false" customHeight="false" outlineLevel="0" collapsed="false">
      <c r="A318" s="0" t="n">
        <v>317</v>
      </c>
      <c r="B318" s="0" t="s">
        <v>2138</v>
      </c>
      <c r="C318" s="0" t="s">
        <v>244</v>
      </c>
      <c r="E318" s="0" t="s">
        <v>2139</v>
      </c>
      <c r="F318" s="0" t="s">
        <v>44</v>
      </c>
      <c r="H318" s="0" t="s">
        <v>2140</v>
      </c>
      <c r="I318" s="0" t="s">
        <v>94</v>
      </c>
      <c r="N318" s="3" t="s">
        <v>202</v>
      </c>
      <c r="O318" s="3" t="s">
        <v>202</v>
      </c>
      <c r="P318" s="0" t="s">
        <v>96</v>
      </c>
      <c r="AA318" s="0" t="s">
        <v>47</v>
      </c>
      <c r="AB318" s="0" t="s">
        <v>2141</v>
      </c>
      <c r="AC318" s="0" t="s">
        <v>2142</v>
      </c>
      <c r="AD318" s="0" t="s">
        <v>2143</v>
      </c>
      <c r="AE318" s="0" t="s">
        <v>79</v>
      </c>
      <c r="AF318" s="3" t="s">
        <v>108</v>
      </c>
      <c r="AG318" s="3" t="s">
        <v>49</v>
      </c>
      <c r="AH318" s="0" t="n">
        <v>2026</v>
      </c>
      <c r="AI318" s="0" t="s">
        <v>1765</v>
      </c>
      <c r="AJ318" s="0" t="s">
        <v>1766</v>
      </c>
      <c r="AK318" s="0" t="s">
        <v>2144</v>
      </c>
      <c r="AL318" s="0" t="s">
        <v>2145</v>
      </c>
      <c r="AO318" s="0" t="s">
        <v>2146</v>
      </c>
      <c r="AP318" s="0" t="s">
        <v>2146</v>
      </c>
      <c r="AR318" s="0" t="s">
        <v>2147</v>
      </c>
    </row>
    <row r="319" customFormat="false" ht="15" hidden="false" customHeight="false" outlineLevel="0" collapsed="false">
      <c r="A319" s="0" t="n">
        <v>318</v>
      </c>
      <c r="B319" s="0" t="s">
        <v>2148</v>
      </c>
      <c r="C319" s="0" t="s">
        <v>88</v>
      </c>
      <c r="E319" s="0" t="s">
        <v>2149</v>
      </c>
      <c r="AA319" s="0" t="s">
        <v>47</v>
      </c>
      <c r="AF319" s="3" t="s">
        <v>48</v>
      </c>
      <c r="AG319" s="3" t="s">
        <v>49</v>
      </c>
      <c r="AR319" s="0" t="s">
        <v>2149</v>
      </c>
    </row>
    <row r="320" customFormat="false" ht="15" hidden="false" customHeight="false" outlineLevel="0" collapsed="false">
      <c r="A320" s="0" t="n">
        <v>319</v>
      </c>
      <c r="B320" s="0" t="s">
        <v>2150</v>
      </c>
      <c r="C320" s="0" t="s">
        <v>43</v>
      </c>
      <c r="F320" s="0" t="s">
        <v>44</v>
      </c>
      <c r="H320" s="0" t="s">
        <v>2151</v>
      </c>
      <c r="I320" s="0" t="s">
        <v>46</v>
      </c>
      <c r="AA320" s="0" t="s">
        <v>47</v>
      </c>
      <c r="AF320" s="3" t="s">
        <v>48</v>
      </c>
      <c r="AG320" s="3" t="s">
        <v>49</v>
      </c>
      <c r="AR320" s="0" t="s">
        <v>50</v>
      </c>
    </row>
    <row r="321" customFormat="false" ht="15" hidden="false" customHeight="false" outlineLevel="0" collapsed="false">
      <c r="A321" s="0" t="n">
        <v>320</v>
      </c>
      <c r="B321" s="0" t="s">
        <v>2152</v>
      </c>
      <c r="C321" s="0" t="s">
        <v>52</v>
      </c>
      <c r="D321" s="0" t="s">
        <v>2153</v>
      </c>
      <c r="N321" s="3" t="s">
        <v>762</v>
      </c>
      <c r="O321" s="3" t="s">
        <v>762</v>
      </c>
      <c r="P321" s="0" t="s">
        <v>55</v>
      </c>
      <c r="AA321" s="0" t="s">
        <v>47</v>
      </c>
      <c r="AB321" s="0" t="s">
        <v>2154</v>
      </c>
      <c r="AC321" s="0" t="s">
        <v>2155</v>
      </c>
      <c r="AD321" s="0" t="s">
        <v>2156</v>
      </c>
      <c r="AE321" s="0" t="s">
        <v>59</v>
      </c>
      <c r="AF321" s="3" t="s">
        <v>48</v>
      </c>
      <c r="AG321" s="3" t="s">
        <v>49</v>
      </c>
      <c r="AR321" s="0" t="s">
        <v>2153</v>
      </c>
    </row>
    <row r="322" customFormat="false" ht="15" hidden="false" customHeight="false" outlineLevel="0" collapsed="false">
      <c r="A322" s="0" t="n">
        <v>321</v>
      </c>
      <c r="B322" s="0" t="s">
        <v>2157</v>
      </c>
      <c r="C322" s="0" t="s">
        <v>88</v>
      </c>
      <c r="E322" s="0" t="s">
        <v>2158</v>
      </c>
      <c r="H322" s="0" t="s">
        <v>2159</v>
      </c>
      <c r="I322" s="0" t="s">
        <v>46</v>
      </c>
      <c r="N322" s="3" t="s">
        <v>202</v>
      </c>
      <c r="O322" s="3" t="s">
        <v>202</v>
      </c>
      <c r="P322" s="0" t="s">
        <v>96</v>
      </c>
      <c r="AA322" s="0" t="s">
        <v>47</v>
      </c>
      <c r="AB322" s="0" t="s">
        <v>2160</v>
      </c>
      <c r="AC322" s="0" t="s">
        <v>2161</v>
      </c>
      <c r="AD322" s="0" t="s">
        <v>2162</v>
      </c>
      <c r="AE322" s="0" t="s">
        <v>79</v>
      </c>
      <c r="AF322" s="3" t="s">
        <v>48</v>
      </c>
      <c r="AG322" s="3" t="s">
        <v>49</v>
      </c>
      <c r="AR322" s="0" t="s">
        <v>2158</v>
      </c>
    </row>
    <row r="323" customFormat="false" ht="15" hidden="false" customHeight="false" outlineLevel="0" collapsed="false">
      <c r="A323" s="0" t="n">
        <v>322</v>
      </c>
      <c r="B323" s="0" t="s">
        <v>2163</v>
      </c>
      <c r="C323" s="0" t="s">
        <v>88</v>
      </c>
      <c r="E323" s="0" t="s">
        <v>2164</v>
      </c>
      <c r="H323" s="0" t="s">
        <v>2165</v>
      </c>
      <c r="I323" s="0" t="s">
        <v>154</v>
      </c>
      <c r="N323" s="3" t="s">
        <v>202</v>
      </c>
      <c r="O323" s="3" t="s">
        <v>202</v>
      </c>
      <c r="P323" s="0" t="s">
        <v>96</v>
      </c>
      <c r="AA323" s="0" t="s">
        <v>47</v>
      </c>
      <c r="AB323" s="0" t="s">
        <v>2166</v>
      </c>
      <c r="AC323" s="0" t="s">
        <v>2167</v>
      </c>
      <c r="AD323" s="0" t="s">
        <v>2168</v>
      </c>
      <c r="AE323" s="0" t="s">
        <v>79</v>
      </c>
      <c r="AF323" s="3" t="s">
        <v>48</v>
      </c>
      <c r="AG323" s="3" t="s">
        <v>49</v>
      </c>
      <c r="AL323" s="0" t="s">
        <v>2169</v>
      </c>
      <c r="AO323" s="0" t="s">
        <v>2170</v>
      </c>
      <c r="AP323" s="0" t="s">
        <v>2170</v>
      </c>
      <c r="AR323" s="0" t="s">
        <v>2171</v>
      </c>
    </row>
    <row r="324" customFormat="false" ht="15" hidden="false" customHeight="false" outlineLevel="0" collapsed="false">
      <c r="A324" s="0" t="n">
        <v>323</v>
      </c>
      <c r="B324" s="0" t="s">
        <v>2172</v>
      </c>
      <c r="C324" s="0" t="s">
        <v>88</v>
      </c>
      <c r="E324" s="0" t="s">
        <v>2173</v>
      </c>
      <c r="AA324" s="0" t="s">
        <v>47</v>
      </c>
      <c r="AF324" s="3" t="s">
        <v>48</v>
      </c>
      <c r="AG324" s="3" t="s">
        <v>49</v>
      </c>
      <c r="AR324" s="0" t="s">
        <v>2173</v>
      </c>
    </row>
    <row r="325" customFormat="false" ht="15" hidden="false" customHeight="false" outlineLevel="0" collapsed="false">
      <c r="A325" s="0" t="n">
        <v>324</v>
      </c>
      <c r="B325" s="0" t="s">
        <v>2174</v>
      </c>
      <c r="C325" s="0" t="s">
        <v>43</v>
      </c>
      <c r="F325" s="0" t="s">
        <v>44</v>
      </c>
      <c r="H325" s="0" t="s">
        <v>2175</v>
      </c>
      <c r="I325" s="0" t="s">
        <v>154</v>
      </c>
      <c r="AA325" s="0" t="s">
        <v>47</v>
      </c>
      <c r="AF325" s="3" t="s">
        <v>48</v>
      </c>
      <c r="AG325" s="3" t="s">
        <v>49</v>
      </c>
      <c r="AL325" s="0" t="s">
        <v>2176</v>
      </c>
      <c r="AM325" s="0" t="s">
        <v>2177</v>
      </c>
      <c r="AO325" s="0" t="s">
        <v>2178</v>
      </c>
      <c r="AP325" s="0" t="s">
        <v>2178</v>
      </c>
      <c r="AR325" s="0" t="s">
        <v>2179</v>
      </c>
    </row>
    <row r="326" customFormat="false" ht="15" hidden="false" customHeight="false" outlineLevel="0" collapsed="false">
      <c r="A326" s="0" t="n">
        <v>325</v>
      </c>
      <c r="B326" s="0" t="s">
        <v>2180</v>
      </c>
      <c r="C326" s="0" t="s">
        <v>43</v>
      </c>
      <c r="F326" s="0" t="s">
        <v>44</v>
      </c>
      <c r="AA326" s="0" t="s">
        <v>47</v>
      </c>
      <c r="AF326" s="3" t="s">
        <v>48</v>
      </c>
      <c r="AG326" s="3" t="s">
        <v>49</v>
      </c>
      <c r="AR326" s="0" t="s">
        <v>50</v>
      </c>
    </row>
    <row r="327" customFormat="false" ht="15" hidden="false" customHeight="false" outlineLevel="0" collapsed="false">
      <c r="A327" s="0" t="n">
        <v>326</v>
      </c>
      <c r="B327" s="0" t="s">
        <v>2181</v>
      </c>
      <c r="C327" s="0" t="s">
        <v>88</v>
      </c>
      <c r="E327" s="0" t="s">
        <v>2182</v>
      </c>
      <c r="H327" s="0" t="s">
        <v>2183</v>
      </c>
      <c r="I327" s="0" t="s">
        <v>94</v>
      </c>
      <c r="N327" s="3" t="s">
        <v>95</v>
      </c>
      <c r="O327" s="3" t="s">
        <v>95</v>
      </c>
      <c r="P327" s="0" t="s">
        <v>96</v>
      </c>
      <c r="AA327" s="0" t="s">
        <v>47</v>
      </c>
      <c r="AB327" s="0" t="s">
        <v>2184</v>
      </c>
      <c r="AC327" s="0" t="s">
        <v>2185</v>
      </c>
      <c r="AE327" s="0" t="s">
        <v>79</v>
      </c>
      <c r="AF327" s="3" t="s">
        <v>48</v>
      </c>
      <c r="AG327" s="3" t="s">
        <v>49</v>
      </c>
      <c r="AO327" s="0" t="s">
        <v>2186</v>
      </c>
      <c r="AP327" s="0" t="s">
        <v>2186</v>
      </c>
      <c r="AR327" s="0" t="s">
        <v>2187</v>
      </c>
    </row>
    <row r="328" customFormat="false" ht="15" hidden="false" customHeight="false" outlineLevel="0" collapsed="false">
      <c r="A328" s="0" t="n">
        <v>327</v>
      </c>
      <c r="B328" s="0" t="s">
        <v>2188</v>
      </c>
      <c r="C328" s="0" t="s">
        <v>88</v>
      </c>
      <c r="E328" s="0" t="s">
        <v>2189</v>
      </c>
      <c r="N328" s="3" t="s">
        <v>239</v>
      </c>
      <c r="O328" s="3" t="s">
        <v>239</v>
      </c>
      <c r="P328" s="0" t="s">
        <v>96</v>
      </c>
      <c r="AA328" s="0" t="s">
        <v>47</v>
      </c>
      <c r="AB328" s="0" t="s">
        <v>2190</v>
      </c>
      <c r="AC328" s="0" t="s">
        <v>2191</v>
      </c>
      <c r="AD328" s="0" t="s">
        <v>2192</v>
      </c>
      <c r="AE328" s="0" t="s">
        <v>79</v>
      </c>
      <c r="AF328" s="3" t="s">
        <v>48</v>
      </c>
      <c r="AG328" s="3" t="s">
        <v>49</v>
      </c>
      <c r="AR328" s="0" t="s">
        <v>2189</v>
      </c>
    </row>
    <row r="329" customFormat="false" ht="15" hidden="false" customHeight="false" outlineLevel="0" collapsed="false">
      <c r="A329" s="0" t="n">
        <v>328</v>
      </c>
      <c r="B329" s="0" t="s">
        <v>2193</v>
      </c>
      <c r="C329" s="0" t="s">
        <v>88</v>
      </c>
      <c r="E329" s="0" t="s">
        <v>2194</v>
      </c>
      <c r="AA329" s="0" t="s">
        <v>47</v>
      </c>
      <c r="AB329" s="0" t="s">
        <v>2195</v>
      </c>
      <c r="AC329" s="0" t="s">
        <v>2196</v>
      </c>
      <c r="AE329" s="0" t="s">
        <v>79</v>
      </c>
      <c r="AF329" s="3" t="s">
        <v>48</v>
      </c>
      <c r="AG329" s="3" t="s">
        <v>49</v>
      </c>
      <c r="AR329" s="0" t="s">
        <v>2194</v>
      </c>
    </row>
    <row r="330" customFormat="false" ht="15" hidden="false" customHeight="false" outlineLevel="0" collapsed="false">
      <c r="A330" s="0" t="n">
        <v>329</v>
      </c>
      <c r="B330" s="0" t="s">
        <v>2197</v>
      </c>
      <c r="C330" s="0" t="s">
        <v>88</v>
      </c>
      <c r="E330" s="0" t="s">
        <v>2198</v>
      </c>
      <c r="AA330" s="0" t="s">
        <v>47</v>
      </c>
      <c r="AF330" s="3" t="s">
        <v>48</v>
      </c>
      <c r="AG330" s="3" t="s">
        <v>49</v>
      </c>
      <c r="AR330" s="0" t="s">
        <v>2198</v>
      </c>
    </row>
    <row r="331" customFormat="false" ht="15" hidden="false" customHeight="false" outlineLevel="0" collapsed="false">
      <c r="A331" s="0" t="n">
        <v>330</v>
      </c>
      <c r="B331" s="0" t="s">
        <v>2199</v>
      </c>
      <c r="C331" s="0" t="s">
        <v>88</v>
      </c>
      <c r="E331" s="0" t="s">
        <v>2200</v>
      </c>
      <c r="AA331" s="0" t="s">
        <v>47</v>
      </c>
      <c r="AB331" s="0" t="s">
        <v>2201</v>
      </c>
      <c r="AC331" s="0" t="s">
        <v>2202</v>
      </c>
      <c r="AD331" s="0" t="s">
        <v>2203</v>
      </c>
      <c r="AE331" s="0" t="s">
        <v>79</v>
      </c>
      <c r="AF331" s="3" t="s">
        <v>48</v>
      </c>
      <c r="AG331" s="3" t="s">
        <v>49</v>
      </c>
      <c r="AR331" s="0" t="s">
        <v>2200</v>
      </c>
    </row>
    <row r="332" customFormat="false" ht="15" hidden="false" customHeight="false" outlineLevel="0" collapsed="false">
      <c r="A332" s="0" t="n">
        <v>331</v>
      </c>
      <c r="B332" s="0" t="s">
        <v>2204</v>
      </c>
      <c r="C332" s="0" t="s">
        <v>88</v>
      </c>
      <c r="E332" s="0" t="s">
        <v>2205</v>
      </c>
      <c r="H332" s="0" t="s">
        <v>2206</v>
      </c>
      <c r="I332" s="0" t="s">
        <v>154</v>
      </c>
      <c r="N332" s="3" t="s">
        <v>202</v>
      </c>
      <c r="O332" s="3" t="s">
        <v>202</v>
      </c>
      <c r="P332" s="0" t="s">
        <v>96</v>
      </c>
      <c r="AA332" s="0" t="s">
        <v>47</v>
      </c>
      <c r="AB332" s="0" t="s">
        <v>2207</v>
      </c>
      <c r="AC332" s="0" t="s">
        <v>2208</v>
      </c>
      <c r="AE332" s="0" t="s">
        <v>79</v>
      </c>
      <c r="AF332" s="3" t="s">
        <v>48</v>
      </c>
      <c r="AG332" s="3" t="s">
        <v>49</v>
      </c>
      <c r="AO332" s="0" t="s">
        <v>2209</v>
      </c>
      <c r="AP332" s="0" t="s">
        <v>2209</v>
      </c>
      <c r="AR332" s="0" t="s">
        <v>2210</v>
      </c>
    </row>
    <row r="333" customFormat="false" ht="15" hidden="false" customHeight="false" outlineLevel="0" collapsed="false">
      <c r="A333" s="0" t="n">
        <v>332</v>
      </c>
      <c r="B333" s="0" t="s">
        <v>2211</v>
      </c>
      <c r="C333" s="0" t="s">
        <v>88</v>
      </c>
      <c r="E333" s="0" t="s">
        <v>2212</v>
      </c>
      <c r="N333" s="3" t="s">
        <v>239</v>
      </c>
      <c r="O333" s="3" t="s">
        <v>239</v>
      </c>
      <c r="P333" s="0" t="s">
        <v>96</v>
      </c>
      <c r="AA333" s="0" t="s">
        <v>47</v>
      </c>
      <c r="AB333" s="0" t="s">
        <v>2213</v>
      </c>
      <c r="AC333" s="0" t="s">
        <v>2214</v>
      </c>
      <c r="AD333" s="0" t="s">
        <v>2215</v>
      </c>
      <c r="AE333" s="0" t="s">
        <v>79</v>
      </c>
      <c r="AF333" s="3" t="s">
        <v>48</v>
      </c>
      <c r="AG333" s="3" t="s">
        <v>49</v>
      </c>
      <c r="AR333" s="0" t="s">
        <v>2212</v>
      </c>
    </row>
    <row r="334" customFormat="false" ht="15" hidden="false" customHeight="false" outlineLevel="0" collapsed="false">
      <c r="A334" s="0" t="n">
        <v>333</v>
      </c>
      <c r="B334" s="0" t="s">
        <v>2216</v>
      </c>
      <c r="C334" s="0" t="s">
        <v>88</v>
      </c>
      <c r="E334" s="0" t="s">
        <v>2217</v>
      </c>
      <c r="AA334" s="0" t="s">
        <v>47</v>
      </c>
      <c r="AF334" s="3" t="s">
        <v>108</v>
      </c>
      <c r="AG334" s="3" t="s">
        <v>49</v>
      </c>
      <c r="AH334" s="0" t="n">
        <v>2026</v>
      </c>
      <c r="AI334" s="0" t="s">
        <v>2218</v>
      </c>
      <c r="AJ334" s="0" t="s">
        <v>2219</v>
      </c>
      <c r="AR334" s="0" t="s">
        <v>2220</v>
      </c>
    </row>
    <row r="335" customFormat="false" ht="15" hidden="false" customHeight="false" outlineLevel="0" collapsed="false">
      <c r="A335" s="0" t="n">
        <v>334</v>
      </c>
      <c r="B335" s="0" t="s">
        <v>2221</v>
      </c>
      <c r="C335" s="0" t="s">
        <v>88</v>
      </c>
      <c r="E335" s="0" t="s">
        <v>2222</v>
      </c>
      <c r="H335" s="0" t="s">
        <v>2223</v>
      </c>
      <c r="I335" s="0" t="s">
        <v>154</v>
      </c>
      <c r="N335" s="3" t="s">
        <v>226</v>
      </c>
      <c r="O335" s="3" t="s">
        <v>226</v>
      </c>
      <c r="P335" s="0" t="s">
        <v>96</v>
      </c>
      <c r="AA335" s="0" t="s">
        <v>47</v>
      </c>
      <c r="AB335" s="0" t="s">
        <v>2224</v>
      </c>
      <c r="AC335" s="0" t="s">
        <v>2225</v>
      </c>
      <c r="AD335" s="0" t="s">
        <v>2226</v>
      </c>
      <c r="AE335" s="0" t="s">
        <v>79</v>
      </c>
      <c r="AF335" s="3" t="s">
        <v>48</v>
      </c>
      <c r="AG335" s="3" t="s">
        <v>49</v>
      </c>
      <c r="AL335" s="0" t="s">
        <v>2227</v>
      </c>
      <c r="AM335" s="0" t="s">
        <v>2228</v>
      </c>
      <c r="AO335" s="0" t="s">
        <v>2229</v>
      </c>
      <c r="AP335" s="0" t="s">
        <v>2229</v>
      </c>
      <c r="AR335" s="0" t="s">
        <v>2230</v>
      </c>
    </row>
    <row r="336" customFormat="false" ht="15" hidden="false" customHeight="false" outlineLevel="0" collapsed="false">
      <c r="A336" s="0" t="n">
        <v>335</v>
      </c>
      <c r="B336" s="0" t="s">
        <v>2231</v>
      </c>
      <c r="C336" s="0" t="s">
        <v>88</v>
      </c>
      <c r="E336" s="0" t="s">
        <v>2232</v>
      </c>
      <c r="AA336" s="0" t="s">
        <v>47</v>
      </c>
      <c r="AF336" s="3" t="s">
        <v>48</v>
      </c>
      <c r="AG336" s="3" t="s">
        <v>49</v>
      </c>
      <c r="AR336" s="0" t="s">
        <v>2232</v>
      </c>
    </row>
    <row r="337" customFormat="false" ht="15" hidden="false" customHeight="false" outlineLevel="0" collapsed="false">
      <c r="A337" s="0" t="n">
        <v>336</v>
      </c>
      <c r="B337" s="0" t="s">
        <v>2233</v>
      </c>
      <c r="C337" s="0" t="s">
        <v>88</v>
      </c>
      <c r="E337" s="0" t="s">
        <v>2234</v>
      </c>
      <c r="H337" s="0" t="s">
        <v>2235</v>
      </c>
      <c r="I337" s="0" t="s">
        <v>154</v>
      </c>
      <c r="N337" s="3" t="s">
        <v>202</v>
      </c>
      <c r="O337" s="3" t="s">
        <v>202</v>
      </c>
      <c r="P337" s="0" t="s">
        <v>96</v>
      </c>
      <c r="AA337" s="0" t="s">
        <v>47</v>
      </c>
      <c r="AB337" s="0" t="s">
        <v>2236</v>
      </c>
      <c r="AC337" s="0" t="s">
        <v>2237</v>
      </c>
      <c r="AD337" s="0" t="s">
        <v>2238</v>
      </c>
      <c r="AE337" s="0" t="s">
        <v>79</v>
      </c>
      <c r="AF337" s="3" t="s">
        <v>48</v>
      </c>
      <c r="AG337" s="3" t="s">
        <v>49</v>
      </c>
      <c r="AL337" s="0" t="s">
        <v>2239</v>
      </c>
      <c r="AM337" s="0" t="s">
        <v>2240</v>
      </c>
      <c r="AO337" s="0" t="s">
        <v>2241</v>
      </c>
      <c r="AP337" s="0" t="s">
        <v>2241</v>
      </c>
      <c r="AR337" s="0" t="s">
        <v>2242</v>
      </c>
    </row>
    <row r="338" customFormat="false" ht="15" hidden="false" customHeight="false" outlineLevel="0" collapsed="false">
      <c r="A338" s="0" t="n">
        <v>337</v>
      </c>
      <c r="B338" s="0" t="s">
        <v>2243</v>
      </c>
      <c r="C338" s="0" t="s">
        <v>88</v>
      </c>
      <c r="E338" s="0" t="s">
        <v>2244</v>
      </c>
      <c r="N338" s="3" t="s">
        <v>95</v>
      </c>
      <c r="O338" s="3" t="s">
        <v>95</v>
      </c>
      <c r="P338" s="0" t="s">
        <v>96</v>
      </c>
      <c r="AA338" s="0" t="s">
        <v>47</v>
      </c>
      <c r="AB338" s="0" t="s">
        <v>2245</v>
      </c>
      <c r="AC338" s="0" t="s">
        <v>2246</v>
      </c>
      <c r="AD338" s="0" t="s">
        <v>2247</v>
      </c>
      <c r="AE338" s="0" t="s">
        <v>79</v>
      </c>
      <c r="AF338" s="3" t="s">
        <v>48</v>
      </c>
      <c r="AG338" s="3" t="s">
        <v>49</v>
      </c>
      <c r="AR338" s="0" t="s">
        <v>2244</v>
      </c>
    </row>
    <row r="339" customFormat="false" ht="15" hidden="false" customHeight="false" outlineLevel="0" collapsed="false">
      <c r="A339" s="0" t="n">
        <v>338</v>
      </c>
      <c r="B339" s="0" t="s">
        <v>2248</v>
      </c>
      <c r="C339" s="0" t="s">
        <v>88</v>
      </c>
      <c r="E339" s="0" t="s">
        <v>2249</v>
      </c>
      <c r="H339" s="0" t="s">
        <v>2250</v>
      </c>
      <c r="I339" s="0" t="s">
        <v>46</v>
      </c>
      <c r="AA339" s="0" t="s">
        <v>47</v>
      </c>
      <c r="AF339" s="3" t="s">
        <v>48</v>
      </c>
      <c r="AG339" s="3" t="s">
        <v>49</v>
      </c>
      <c r="AR339" s="0" t="s">
        <v>2249</v>
      </c>
    </row>
    <row r="340" customFormat="false" ht="15" hidden="false" customHeight="false" outlineLevel="0" collapsed="false">
      <c r="A340" s="0" t="n">
        <v>339</v>
      </c>
      <c r="B340" s="0" t="s">
        <v>2251</v>
      </c>
      <c r="C340" s="0" t="s">
        <v>52</v>
      </c>
      <c r="D340" s="0" t="s">
        <v>2252</v>
      </c>
      <c r="H340" s="0" t="s">
        <v>2253</v>
      </c>
      <c r="I340" s="0" t="s">
        <v>154</v>
      </c>
      <c r="N340" s="3" t="s">
        <v>104</v>
      </c>
      <c r="O340" s="3" t="s">
        <v>104</v>
      </c>
      <c r="P340" s="0" t="s">
        <v>55</v>
      </c>
      <c r="AA340" s="0" t="s">
        <v>47</v>
      </c>
      <c r="AB340" s="0" t="s">
        <v>2254</v>
      </c>
      <c r="AC340" s="0" t="s">
        <v>2255</v>
      </c>
      <c r="AD340" s="0" t="s">
        <v>2256</v>
      </c>
      <c r="AE340" s="0" t="s">
        <v>59</v>
      </c>
      <c r="AF340" s="3" t="s">
        <v>48</v>
      </c>
      <c r="AG340" s="3" t="s">
        <v>49</v>
      </c>
      <c r="AL340" s="0" t="s">
        <v>2257</v>
      </c>
      <c r="AO340" s="0" t="s">
        <v>2258</v>
      </c>
      <c r="AP340" s="0" t="s">
        <v>2258</v>
      </c>
      <c r="AR340" s="0" t="s">
        <v>2259</v>
      </c>
    </row>
    <row r="341" customFormat="false" ht="15" hidden="false" customHeight="false" outlineLevel="0" collapsed="false">
      <c r="A341" s="0" t="n">
        <v>340</v>
      </c>
      <c r="B341" s="0" t="s">
        <v>2260</v>
      </c>
      <c r="C341" s="0" t="s">
        <v>52</v>
      </c>
      <c r="D341" s="0" t="s">
        <v>2261</v>
      </c>
      <c r="H341" s="0" t="s">
        <v>2262</v>
      </c>
      <c r="I341" s="0" t="s">
        <v>46</v>
      </c>
      <c r="N341" s="3" t="s">
        <v>54</v>
      </c>
      <c r="O341" s="3" t="s">
        <v>54</v>
      </c>
      <c r="P341" s="0" t="s">
        <v>55</v>
      </c>
      <c r="AA341" s="0" t="s">
        <v>47</v>
      </c>
      <c r="AB341" s="0" t="s">
        <v>2263</v>
      </c>
      <c r="AC341" s="0" t="s">
        <v>2264</v>
      </c>
      <c r="AD341" s="0" t="s">
        <v>2265</v>
      </c>
      <c r="AE341" s="0" t="s">
        <v>59</v>
      </c>
      <c r="AF341" s="3" t="s">
        <v>108</v>
      </c>
      <c r="AG341" s="3" t="s">
        <v>49</v>
      </c>
      <c r="AH341" s="0" t="n">
        <v>2026</v>
      </c>
      <c r="AI341" s="0" t="s">
        <v>2266</v>
      </c>
      <c r="AJ341" s="0" t="s">
        <v>2267</v>
      </c>
      <c r="AR341" s="0" t="s">
        <v>2268</v>
      </c>
    </row>
    <row r="342" customFormat="false" ht="15" hidden="false" customHeight="false" outlineLevel="0" collapsed="false">
      <c r="A342" s="0" t="n">
        <v>341</v>
      </c>
      <c r="B342" s="0" t="s">
        <v>2269</v>
      </c>
      <c r="C342" s="0" t="s">
        <v>88</v>
      </c>
      <c r="E342" s="0" t="s">
        <v>2270</v>
      </c>
      <c r="H342" s="0" t="s">
        <v>2271</v>
      </c>
      <c r="I342" s="0" t="s">
        <v>154</v>
      </c>
      <c r="N342" s="3" t="s">
        <v>202</v>
      </c>
      <c r="O342" s="3" t="s">
        <v>202</v>
      </c>
      <c r="P342" s="0" t="s">
        <v>96</v>
      </c>
      <c r="AA342" s="0" t="s">
        <v>47</v>
      </c>
      <c r="AB342" s="0" t="s">
        <v>2272</v>
      </c>
      <c r="AC342" s="0" t="s">
        <v>2273</v>
      </c>
      <c r="AD342" s="0" t="s">
        <v>2274</v>
      </c>
      <c r="AE342" s="0" t="s">
        <v>79</v>
      </c>
      <c r="AF342" s="3" t="s">
        <v>48</v>
      </c>
      <c r="AG342" s="3" t="s">
        <v>49</v>
      </c>
      <c r="AL342" s="0" t="s">
        <v>2275</v>
      </c>
      <c r="AM342" s="0" t="s">
        <v>2276</v>
      </c>
      <c r="AO342" s="0" t="s">
        <v>2277</v>
      </c>
      <c r="AP342" s="0" t="s">
        <v>2277</v>
      </c>
      <c r="AR342" s="0" t="s">
        <v>2278</v>
      </c>
    </row>
    <row r="343" customFormat="false" ht="15" hidden="false" customHeight="false" outlineLevel="0" collapsed="false">
      <c r="A343" s="0" t="n">
        <v>342</v>
      </c>
      <c r="B343" s="0" t="s">
        <v>2279</v>
      </c>
      <c r="C343" s="0" t="s">
        <v>88</v>
      </c>
      <c r="E343" s="0" t="s">
        <v>2280</v>
      </c>
      <c r="H343" s="0" t="s">
        <v>2281</v>
      </c>
      <c r="I343" s="0" t="s">
        <v>94</v>
      </c>
      <c r="N343" s="3" t="s">
        <v>95</v>
      </c>
      <c r="O343" s="3" t="s">
        <v>95</v>
      </c>
      <c r="P343" s="0" t="s">
        <v>96</v>
      </c>
      <c r="AA343" s="0" t="s">
        <v>47</v>
      </c>
      <c r="AB343" s="0" t="s">
        <v>2282</v>
      </c>
      <c r="AC343" s="0" t="s">
        <v>2283</v>
      </c>
      <c r="AE343" s="0" t="s">
        <v>79</v>
      </c>
      <c r="AF343" s="3" t="s">
        <v>48</v>
      </c>
      <c r="AG343" s="3" t="s">
        <v>49</v>
      </c>
      <c r="AL343" s="0" t="s">
        <v>2284</v>
      </c>
      <c r="AO343" s="0" t="s">
        <v>2285</v>
      </c>
      <c r="AP343" s="0" t="s">
        <v>2285</v>
      </c>
      <c r="AR343" s="0" t="s">
        <v>2286</v>
      </c>
    </row>
    <row r="344" customFormat="false" ht="15" hidden="false" customHeight="false" outlineLevel="0" collapsed="false">
      <c r="A344" s="0" t="n">
        <v>343</v>
      </c>
      <c r="B344" s="0" t="s">
        <v>2287</v>
      </c>
      <c r="C344" s="0" t="s">
        <v>52</v>
      </c>
      <c r="D344" s="0" t="s">
        <v>2288</v>
      </c>
      <c r="H344" s="0" t="s">
        <v>2289</v>
      </c>
      <c r="I344" s="0" t="s">
        <v>154</v>
      </c>
      <c r="N344" s="3" t="s">
        <v>600</v>
      </c>
      <c r="O344" s="3" t="s">
        <v>600</v>
      </c>
      <c r="P344" s="0" t="s">
        <v>55</v>
      </c>
      <c r="AA344" s="0" t="s">
        <v>47</v>
      </c>
      <c r="AB344" s="0" t="s">
        <v>2290</v>
      </c>
      <c r="AC344" s="0" t="s">
        <v>2291</v>
      </c>
      <c r="AD344" s="0" t="s">
        <v>2292</v>
      </c>
      <c r="AE344" s="0" t="s">
        <v>59</v>
      </c>
      <c r="AF344" s="3" t="s">
        <v>48</v>
      </c>
      <c r="AG344" s="3" t="s">
        <v>49</v>
      </c>
      <c r="AL344" s="0" t="s">
        <v>2293</v>
      </c>
      <c r="AO344" s="0" t="s">
        <v>2294</v>
      </c>
      <c r="AP344" s="0" t="s">
        <v>2294</v>
      </c>
      <c r="AR344" s="0" t="s">
        <v>2295</v>
      </c>
    </row>
    <row r="345" customFormat="false" ht="15" hidden="false" customHeight="false" outlineLevel="0" collapsed="false">
      <c r="A345" s="0" t="n">
        <v>344</v>
      </c>
      <c r="B345" s="0" t="s">
        <v>2296</v>
      </c>
      <c r="C345" s="0" t="s">
        <v>88</v>
      </c>
      <c r="E345" s="0" t="s">
        <v>2297</v>
      </c>
      <c r="H345" s="0" t="s">
        <v>2298</v>
      </c>
      <c r="I345" s="0" t="s">
        <v>154</v>
      </c>
      <c r="K345" s="0" t="s">
        <v>2299</v>
      </c>
      <c r="N345" s="3" t="s">
        <v>226</v>
      </c>
      <c r="O345" s="3" t="s">
        <v>226</v>
      </c>
      <c r="P345" s="0" t="s">
        <v>96</v>
      </c>
      <c r="AA345" s="0" t="s">
        <v>47</v>
      </c>
      <c r="AB345" s="0" t="s">
        <v>2300</v>
      </c>
      <c r="AC345" s="0" t="s">
        <v>2301</v>
      </c>
      <c r="AD345" s="0" t="s">
        <v>2302</v>
      </c>
      <c r="AE345" s="0" t="s">
        <v>79</v>
      </c>
      <c r="AF345" s="3" t="s">
        <v>48</v>
      </c>
      <c r="AG345" s="3" t="s">
        <v>49</v>
      </c>
      <c r="AL345" s="0" t="s">
        <v>2303</v>
      </c>
      <c r="AM345" s="0" t="s">
        <v>2304</v>
      </c>
      <c r="AN345" s="0" t="s">
        <v>2299</v>
      </c>
      <c r="AO345" s="0" t="s">
        <v>2305</v>
      </c>
      <c r="AP345" s="0" t="s">
        <v>2305</v>
      </c>
      <c r="AQ345" s="0" t="s">
        <v>2306</v>
      </c>
      <c r="AR345" s="0" t="s">
        <v>2307</v>
      </c>
    </row>
    <row r="346" customFormat="false" ht="15" hidden="false" customHeight="false" outlineLevel="0" collapsed="false">
      <c r="A346" s="0" t="n">
        <v>345</v>
      </c>
      <c r="B346" s="0" t="s">
        <v>2308</v>
      </c>
      <c r="C346" s="0" t="s">
        <v>312</v>
      </c>
      <c r="D346" s="0" t="s">
        <v>2309</v>
      </c>
      <c r="E346" s="0" t="s">
        <v>2310</v>
      </c>
      <c r="F346" s="0" t="s">
        <v>44</v>
      </c>
      <c r="H346" s="0" t="s">
        <v>2311</v>
      </c>
      <c r="I346" s="0" t="s">
        <v>115</v>
      </c>
      <c r="J346" s="3" t="s">
        <v>66</v>
      </c>
      <c r="K346" s="0" t="s">
        <v>2312</v>
      </c>
      <c r="L346" s="0" t="s">
        <v>2313</v>
      </c>
      <c r="M346" s="0" t="n">
        <v>1955</v>
      </c>
      <c r="N346" s="0" t="s">
        <v>986</v>
      </c>
      <c r="O346" s="3" t="s">
        <v>54</v>
      </c>
      <c r="P346" s="0" t="s">
        <v>55</v>
      </c>
      <c r="Q346" s="0" t="s">
        <v>2314</v>
      </c>
      <c r="R346" s="0" t="n">
        <v>2000</v>
      </c>
      <c r="S346" s="0" t="n">
        <v>2024</v>
      </c>
      <c r="T346" s="0" t="s">
        <v>698</v>
      </c>
      <c r="U346" s="0" t="s">
        <v>115</v>
      </c>
      <c r="V346" s="0" t="n">
        <v>400</v>
      </c>
      <c r="W346" s="0" t="s">
        <v>2315</v>
      </c>
      <c r="X346" s="0" t="s">
        <v>2316</v>
      </c>
      <c r="Y346" s="0" t="s">
        <v>698</v>
      </c>
      <c r="Z346" s="0" t="s">
        <v>115</v>
      </c>
      <c r="AA346" s="0" t="s">
        <v>698</v>
      </c>
      <c r="AB346" s="0" t="s">
        <v>2317</v>
      </c>
      <c r="AC346" s="0" t="s">
        <v>2318</v>
      </c>
      <c r="AD346" s="0" t="s">
        <v>2319</v>
      </c>
      <c r="AE346" s="0" t="s">
        <v>115</v>
      </c>
      <c r="AF346" s="3" t="s">
        <v>108</v>
      </c>
      <c r="AG346" s="3" t="s">
        <v>404</v>
      </c>
      <c r="AH346" s="0" t="n">
        <v>2026</v>
      </c>
      <c r="AI346" s="0" t="s">
        <v>2320</v>
      </c>
      <c r="AJ346" s="0" t="s">
        <v>2321</v>
      </c>
      <c r="AK346" s="0" t="s">
        <v>2322</v>
      </c>
      <c r="AL346" s="0" t="s">
        <v>2323</v>
      </c>
      <c r="AM346" s="0" t="s">
        <v>2324</v>
      </c>
      <c r="AN346" s="0" t="s">
        <v>2325</v>
      </c>
      <c r="AP346" s="0" t="s">
        <v>2326</v>
      </c>
      <c r="AQ346" s="0" t="s">
        <v>2327</v>
      </c>
      <c r="AR346" s="0" t="s">
        <v>2328</v>
      </c>
    </row>
    <row r="347" customFormat="false" ht="15" hidden="false" customHeight="false" outlineLevel="0" collapsed="false">
      <c r="A347" s="0" t="n">
        <v>346</v>
      </c>
      <c r="B347" s="0" t="s">
        <v>2329</v>
      </c>
      <c r="C347" s="0" t="s">
        <v>88</v>
      </c>
      <c r="E347" s="0" t="s">
        <v>2330</v>
      </c>
      <c r="N347" s="3" t="s">
        <v>226</v>
      </c>
      <c r="O347" s="3" t="s">
        <v>226</v>
      </c>
      <c r="P347" s="0" t="s">
        <v>96</v>
      </c>
      <c r="AA347" s="0" t="s">
        <v>47</v>
      </c>
      <c r="AB347" s="0" t="s">
        <v>2331</v>
      </c>
      <c r="AC347" s="0" t="s">
        <v>2332</v>
      </c>
      <c r="AD347" s="0" t="s">
        <v>2333</v>
      </c>
      <c r="AE347" s="0" t="s">
        <v>79</v>
      </c>
      <c r="AF347" s="3" t="s">
        <v>48</v>
      </c>
      <c r="AG347" s="3" t="s">
        <v>49</v>
      </c>
      <c r="AR347" s="0" t="s">
        <v>2330</v>
      </c>
    </row>
    <row r="348" customFormat="false" ht="15" hidden="false" customHeight="false" outlineLevel="0" collapsed="false">
      <c r="A348" s="0" t="n">
        <v>347</v>
      </c>
      <c r="B348" s="0" t="s">
        <v>2334</v>
      </c>
      <c r="C348" s="0" t="s">
        <v>88</v>
      </c>
      <c r="E348" s="0" t="s">
        <v>2335</v>
      </c>
      <c r="H348" s="0" t="s">
        <v>2336</v>
      </c>
      <c r="I348" s="0" t="s">
        <v>154</v>
      </c>
      <c r="N348" s="3" t="s">
        <v>147</v>
      </c>
      <c r="O348" s="3" t="s">
        <v>147</v>
      </c>
      <c r="P348" s="0" t="s">
        <v>96</v>
      </c>
      <c r="AA348" s="0" t="s">
        <v>47</v>
      </c>
      <c r="AB348" s="0" t="s">
        <v>2337</v>
      </c>
      <c r="AC348" s="0" t="s">
        <v>2338</v>
      </c>
      <c r="AD348" s="0" t="s">
        <v>2339</v>
      </c>
      <c r="AE348" s="0" t="s">
        <v>79</v>
      </c>
      <c r="AF348" s="3" t="s">
        <v>48</v>
      </c>
      <c r="AG348" s="3" t="s">
        <v>49</v>
      </c>
      <c r="AL348" s="0" t="s">
        <v>2340</v>
      </c>
      <c r="AM348" s="0" t="s">
        <v>2341</v>
      </c>
      <c r="AO348" s="0" t="s">
        <v>2342</v>
      </c>
      <c r="AP348" s="0" t="s">
        <v>2342</v>
      </c>
      <c r="AR348" s="0" t="s">
        <v>2343</v>
      </c>
    </row>
    <row r="349" customFormat="false" ht="15" hidden="false" customHeight="false" outlineLevel="0" collapsed="false">
      <c r="A349" s="0" t="n">
        <v>348</v>
      </c>
      <c r="B349" s="0" t="s">
        <v>2344</v>
      </c>
      <c r="C349" s="0" t="s">
        <v>43</v>
      </c>
      <c r="F349" s="0" t="s">
        <v>44</v>
      </c>
      <c r="H349" s="0" t="s">
        <v>2345</v>
      </c>
      <c r="I349" s="0" t="s">
        <v>154</v>
      </c>
      <c r="AA349" s="0" t="s">
        <v>47</v>
      </c>
      <c r="AF349" s="3" t="s">
        <v>48</v>
      </c>
      <c r="AG349" s="3" t="s">
        <v>49</v>
      </c>
      <c r="AL349" s="0" t="s">
        <v>2346</v>
      </c>
      <c r="AO349" s="0" t="s">
        <v>2347</v>
      </c>
      <c r="AP349" s="0" t="s">
        <v>2347</v>
      </c>
      <c r="AR349" s="0" t="s">
        <v>2348</v>
      </c>
    </row>
    <row r="350" customFormat="false" ht="15" hidden="false" customHeight="false" outlineLevel="0" collapsed="false">
      <c r="A350" s="0" t="n">
        <v>349</v>
      </c>
      <c r="B350" s="0" t="s">
        <v>2349</v>
      </c>
      <c r="C350" s="0" t="s">
        <v>88</v>
      </c>
      <c r="E350" s="0" t="s">
        <v>2350</v>
      </c>
      <c r="H350" s="0" t="s">
        <v>2351</v>
      </c>
      <c r="I350" s="0" t="s">
        <v>154</v>
      </c>
      <c r="AA350" s="0" t="s">
        <v>47</v>
      </c>
      <c r="AF350" s="3" t="s">
        <v>48</v>
      </c>
      <c r="AG350" s="3" t="s">
        <v>49</v>
      </c>
      <c r="AL350" s="0" t="s">
        <v>2352</v>
      </c>
      <c r="AM350" s="0" t="s">
        <v>2353</v>
      </c>
      <c r="AO350" s="0" t="s">
        <v>2354</v>
      </c>
      <c r="AP350" s="0" t="s">
        <v>2354</v>
      </c>
      <c r="AR350" s="0" t="s">
        <v>2355</v>
      </c>
    </row>
    <row r="351" customFormat="false" ht="15" hidden="false" customHeight="false" outlineLevel="0" collapsed="false">
      <c r="A351" s="0" t="n">
        <v>350</v>
      </c>
      <c r="B351" s="0" t="s">
        <v>2356</v>
      </c>
      <c r="C351" s="0" t="s">
        <v>88</v>
      </c>
      <c r="E351" s="0" t="s">
        <v>2357</v>
      </c>
      <c r="N351" s="3" t="s">
        <v>202</v>
      </c>
      <c r="O351" s="3" t="s">
        <v>202</v>
      </c>
      <c r="P351" s="0" t="s">
        <v>96</v>
      </c>
      <c r="AA351" s="0" t="s">
        <v>47</v>
      </c>
      <c r="AB351" s="0" t="s">
        <v>2358</v>
      </c>
      <c r="AC351" s="0" t="s">
        <v>2359</v>
      </c>
      <c r="AD351" s="0" t="s">
        <v>2360</v>
      </c>
      <c r="AE351" s="0" t="s">
        <v>79</v>
      </c>
      <c r="AF351" s="3" t="s">
        <v>48</v>
      </c>
      <c r="AG351" s="3" t="s">
        <v>49</v>
      </c>
      <c r="AR351" s="0" t="s">
        <v>2357</v>
      </c>
    </row>
    <row r="352" customFormat="false" ht="15" hidden="false" customHeight="false" outlineLevel="0" collapsed="false">
      <c r="A352" s="0" t="n">
        <v>351</v>
      </c>
      <c r="B352" s="0" t="s">
        <v>2361</v>
      </c>
      <c r="C352" s="0" t="s">
        <v>52</v>
      </c>
      <c r="D352" s="0" t="s">
        <v>2362</v>
      </c>
      <c r="H352" s="0" t="s">
        <v>2363</v>
      </c>
      <c r="I352" s="0" t="s">
        <v>46</v>
      </c>
      <c r="N352" s="3" t="s">
        <v>1568</v>
      </c>
      <c r="O352" s="3" t="s">
        <v>1568</v>
      </c>
      <c r="P352" s="0" t="s">
        <v>55</v>
      </c>
      <c r="AA352" s="0" t="s">
        <v>47</v>
      </c>
      <c r="AB352" s="0" t="s">
        <v>2364</v>
      </c>
      <c r="AC352" s="0" t="s">
        <v>2365</v>
      </c>
      <c r="AD352" s="0" t="s">
        <v>2366</v>
      </c>
      <c r="AE352" s="0" t="s">
        <v>59</v>
      </c>
      <c r="AF352" s="3" t="s">
        <v>108</v>
      </c>
      <c r="AG352" s="3" t="s">
        <v>49</v>
      </c>
      <c r="AH352" s="0" t="n">
        <v>2026</v>
      </c>
      <c r="AI352" s="0" t="s">
        <v>1423</v>
      </c>
      <c r="AJ352" s="0" t="s">
        <v>1424</v>
      </c>
      <c r="AR352" s="0" t="s">
        <v>2367</v>
      </c>
    </row>
    <row r="353" customFormat="false" ht="15" hidden="false" customHeight="false" outlineLevel="0" collapsed="false">
      <c r="A353" s="0" t="n">
        <v>352</v>
      </c>
      <c r="B353" s="0" t="s">
        <v>2368</v>
      </c>
      <c r="C353" s="0" t="s">
        <v>88</v>
      </c>
      <c r="E353" s="0" t="s">
        <v>2369</v>
      </c>
      <c r="H353" s="0" t="s">
        <v>2370</v>
      </c>
      <c r="I353" s="0" t="s">
        <v>154</v>
      </c>
      <c r="AA353" s="0" t="s">
        <v>47</v>
      </c>
      <c r="AF353" s="3" t="s">
        <v>48</v>
      </c>
      <c r="AG353" s="3" t="s">
        <v>49</v>
      </c>
      <c r="AL353" s="0" t="s">
        <v>2371</v>
      </c>
      <c r="AP353" s="0" t="s">
        <v>2372</v>
      </c>
      <c r="AR353" s="0" t="s">
        <v>2373</v>
      </c>
    </row>
    <row r="354" customFormat="false" ht="15" hidden="false" customHeight="false" outlineLevel="0" collapsed="false">
      <c r="A354" s="0" t="n">
        <v>353</v>
      </c>
      <c r="B354" s="0" t="s">
        <v>2374</v>
      </c>
      <c r="C354" s="0" t="s">
        <v>88</v>
      </c>
      <c r="E354" s="0" t="s">
        <v>2375</v>
      </c>
      <c r="AA354" s="0" t="s">
        <v>47</v>
      </c>
      <c r="AB354" s="0" t="s">
        <v>2376</v>
      </c>
      <c r="AC354" s="0" t="s">
        <v>2377</v>
      </c>
      <c r="AD354" s="0" t="s">
        <v>2378</v>
      </c>
      <c r="AE354" s="0" t="s">
        <v>79</v>
      </c>
      <c r="AF354" s="3" t="s">
        <v>48</v>
      </c>
      <c r="AG354" s="3" t="s">
        <v>49</v>
      </c>
      <c r="AR354" s="0" t="s">
        <v>2375</v>
      </c>
    </row>
    <row r="355" customFormat="false" ht="15" hidden="false" customHeight="false" outlineLevel="0" collapsed="false">
      <c r="A355" s="0" t="n">
        <v>354</v>
      </c>
      <c r="B355" s="0" t="s">
        <v>2379</v>
      </c>
      <c r="C355" s="0" t="s">
        <v>88</v>
      </c>
      <c r="E355" s="0" t="s">
        <v>2380</v>
      </c>
      <c r="H355" s="0" t="s">
        <v>2381</v>
      </c>
      <c r="I355" s="0" t="s">
        <v>154</v>
      </c>
      <c r="AA355" s="0" t="s">
        <v>47</v>
      </c>
      <c r="AF355" s="3" t="s">
        <v>48</v>
      </c>
      <c r="AG355" s="3" t="s">
        <v>49</v>
      </c>
      <c r="AL355" s="0" t="s">
        <v>2382</v>
      </c>
      <c r="AO355" s="0" t="s">
        <v>2383</v>
      </c>
      <c r="AP355" s="0" t="s">
        <v>2383</v>
      </c>
      <c r="AR355" s="0" t="s">
        <v>2384</v>
      </c>
    </row>
    <row r="356" customFormat="false" ht="15" hidden="false" customHeight="false" outlineLevel="0" collapsed="false">
      <c r="A356" s="0" t="n">
        <v>355</v>
      </c>
      <c r="B356" s="0" t="s">
        <v>2385</v>
      </c>
      <c r="C356" s="0" t="s">
        <v>52</v>
      </c>
      <c r="D356" s="0" t="s">
        <v>2386</v>
      </c>
      <c r="N356" s="3" t="s">
        <v>136</v>
      </c>
      <c r="O356" s="3" t="s">
        <v>136</v>
      </c>
      <c r="P356" s="0" t="s">
        <v>55</v>
      </c>
      <c r="AA356" s="0" t="s">
        <v>47</v>
      </c>
      <c r="AB356" s="0" t="s">
        <v>2387</v>
      </c>
      <c r="AC356" s="0" t="s">
        <v>2388</v>
      </c>
      <c r="AD356" s="0" t="s">
        <v>2389</v>
      </c>
      <c r="AE356" s="0" t="s">
        <v>59</v>
      </c>
      <c r="AF356" s="3" t="s">
        <v>48</v>
      </c>
      <c r="AG356" s="3" t="s">
        <v>49</v>
      </c>
      <c r="AR356" s="0" t="s">
        <v>2386</v>
      </c>
    </row>
    <row r="357" customFormat="false" ht="15" hidden="false" customHeight="false" outlineLevel="0" collapsed="false">
      <c r="A357" s="0" t="n">
        <v>356</v>
      </c>
      <c r="B357" s="0" t="s">
        <v>2390</v>
      </c>
      <c r="C357" s="0" t="s">
        <v>88</v>
      </c>
      <c r="E357" s="0" t="s">
        <v>2391</v>
      </c>
      <c r="H357" s="0" t="s">
        <v>2392</v>
      </c>
      <c r="I357" s="0" t="s">
        <v>46</v>
      </c>
      <c r="N357" s="3" t="s">
        <v>202</v>
      </c>
      <c r="O357" s="3" t="s">
        <v>202</v>
      </c>
      <c r="P357" s="0" t="s">
        <v>96</v>
      </c>
      <c r="AA357" s="0" t="s">
        <v>47</v>
      </c>
      <c r="AB357" s="0" t="s">
        <v>2393</v>
      </c>
      <c r="AC357" s="0" t="s">
        <v>2394</v>
      </c>
      <c r="AD357" s="0" t="s">
        <v>2395</v>
      </c>
      <c r="AE357" s="0" t="s">
        <v>79</v>
      </c>
      <c r="AF357" s="3" t="s">
        <v>48</v>
      </c>
      <c r="AG357" s="3" t="s">
        <v>49</v>
      </c>
      <c r="AR357" s="0" t="s">
        <v>2391</v>
      </c>
    </row>
    <row r="358" customFormat="false" ht="15" hidden="false" customHeight="false" outlineLevel="0" collapsed="false">
      <c r="A358" s="0" t="n">
        <v>357</v>
      </c>
      <c r="B358" s="0" t="s">
        <v>2396</v>
      </c>
      <c r="C358" s="0" t="s">
        <v>88</v>
      </c>
      <c r="E358" s="0" t="s">
        <v>2397</v>
      </c>
      <c r="H358" s="0" t="s">
        <v>2398</v>
      </c>
      <c r="I358" s="0" t="s">
        <v>46</v>
      </c>
      <c r="N358" s="3" t="s">
        <v>202</v>
      </c>
      <c r="O358" s="3" t="s">
        <v>202</v>
      </c>
      <c r="P358" s="0" t="s">
        <v>96</v>
      </c>
      <c r="AA358" s="0" t="s">
        <v>47</v>
      </c>
      <c r="AB358" s="0" t="s">
        <v>2399</v>
      </c>
      <c r="AC358" s="0" t="s">
        <v>2400</v>
      </c>
      <c r="AD358" s="0" t="s">
        <v>2401</v>
      </c>
      <c r="AE358" s="0" t="s">
        <v>79</v>
      </c>
      <c r="AF358" s="3" t="s">
        <v>48</v>
      </c>
      <c r="AG358" s="3" t="s">
        <v>49</v>
      </c>
      <c r="AR358" s="0" t="s">
        <v>2397</v>
      </c>
    </row>
    <row r="359" customFormat="false" ht="15" hidden="false" customHeight="false" outlineLevel="0" collapsed="false">
      <c r="A359" s="0" t="n">
        <v>358</v>
      </c>
      <c r="B359" s="0" t="s">
        <v>2402</v>
      </c>
      <c r="C359" s="0" t="s">
        <v>61</v>
      </c>
      <c r="D359" s="0" t="s">
        <v>2403</v>
      </c>
      <c r="E359" s="0" t="s">
        <v>2404</v>
      </c>
      <c r="H359" s="0" t="s">
        <v>2405</v>
      </c>
      <c r="I359" s="0" t="s">
        <v>154</v>
      </c>
      <c r="N359" s="3" t="s">
        <v>104</v>
      </c>
      <c r="O359" s="3" t="s">
        <v>104</v>
      </c>
      <c r="P359" s="0" t="s">
        <v>55</v>
      </c>
      <c r="AA359" s="0" t="s">
        <v>47</v>
      </c>
      <c r="AB359" s="0" t="s">
        <v>2406</v>
      </c>
      <c r="AC359" s="0" t="s">
        <v>2407</v>
      </c>
      <c r="AD359" s="0" t="s">
        <v>2408</v>
      </c>
      <c r="AE359" s="0" t="s">
        <v>79</v>
      </c>
      <c r="AF359" s="3" t="s">
        <v>149</v>
      </c>
      <c r="AG359" s="3" t="s">
        <v>81</v>
      </c>
      <c r="AK359" s="0" t="s">
        <v>2409</v>
      </c>
      <c r="AL359" s="0" t="s">
        <v>2410</v>
      </c>
      <c r="AO359" s="0" t="s">
        <v>2411</v>
      </c>
      <c r="AP359" s="0" t="s">
        <v>2411</v>
      </c>
      <c r="AR359" s="0" t="s">
        <v>2412</v>
      </c>
    </row>
    <row r="360" customFormat="false" ht="15" hidden="false" customHeight="false" outlineLevel="0" collapsed="false">
      <c r="A360" s="0" t="n">
        <v>359</v>
      </c>
      <c r="B360" s="0" t="s">
        <v>2413</v>
      </c>
      <c r="C360" s="0" t="s">
        <v>88</v>
      </c>
      <c r="E360" s="0" t="s">
        <v>2414</v>
      </c>
      <c r="N360" s="3" t="s">
        <v>119</v>
      </c>
      <c r="O360" s="3" t="s">
        <v>119</v>
      </c>
      <c r="P360" s="0" t="s">
        <v>96</v>
      </c>
      <c r="AA360" s="0" t="s">
        <v>47</v>
      </c>
      <c r="AB360" s="0" t="s">
        <v>2415</v>
      </c>
      <c r="AC360" s="0" t="s">
        <v>2416</v>
      </c>
      <c r="AD360" s="0" t="s">
        <v>2417</v>
      </c>
      <c r="AE360" s="0" t="s">
        <v>79</v>
      </c>
      <c r="AF360" s="3" t="s">
        <v>48</v>
      </c>
      <c r="AG360" s="3" t="s">
        <v>49</v>
      </c>
      <c r="AR360" s="0" t="s">
        <v>2414</v>
      </c>
    </row>
    <row r="361" customFormat="false" ht="15" hidden="false" customHeight="false" outlineLevel="0" collapsed="false">
      <c r="A361" s="0" t="n">
        <v>360</v>
      </c>
      <c r="B361" s="0" t="s">
        <v>2418</v>
      </c>
      <c r="C361" s="0" t="s">
        <v>88</v>
      </c>
      <c r="E361" s="0" t="s">
        <v>2419</v>
      </c>
      <c r="H361" s="0" t="s">
        <v>2420</v>
      </c>
      <c r="I361" s="0" t="s">
        <v>46</v>
      </c>
      <c r="N361" s="3" t="s">
        <v>95</v>
      </c>
      <c r="O361" s="3" t="s">
        <v>95</v>
      </c>
      <c r="P361" s="0" t="s">
        <v>96</v>
      </c>
      <c r="AA361" s="0" t="s">
        <v>47</v>
      </c>
      <c r="AB361" s="0" t="s">
        <v>2421</v>
      </c>
      <c r="AC361" s="0" t="s">
        <v>2422</v>
      </c>
      <c r="AD361" s="0" t="s">
        <v>2423</v>
      </c>
      <c r="AE361" s="0" t="s">
        <v>79</v>
      </c>
      <c r="AF361" s="3" t="s">
        <v>48</v>
      </c>
      <c r="AG361" s="3" t="s">
        <v>49</v>
      </c>
      <c r="AR361" s="0" t="s">
        <v>2419</v>
      </c>
    </row>
    <row r="362" customFormat="false" ht="15" hidden="false" customHeight="false" outlineLevel="0" collapsed="false">
      <c r="A362" s="0" t="n">
        <v>361</v>
      </c>
      <c r="B362" s="0" t="s">
        <v>2424</v>
      </c>
      <c r="C362" s="0" t="s">
        <v>88</v>
      </c>
      <c r="E362" s="0" t="s">
        <v>2425</v>
      </c>
      <c r="N362" s="3" t="s">
        <v>213</v>
      </c>
      <c r="O362" s="3" t="s">
        <v>213</v>
      </c>
      <c r="P362" s="0" t="s">
        <v>96</v>
      </c>
      <c r="AA362" s="0" t="s">
        <v>47</v>
      </c>
      <c r="AB362" s="0" t="s">
        <v>2426</v>
      </c>
      <c r="AC362" s="0" t="s">
        <v>2427</v>
      </c>
      <c r="AD362" s="0" t="s">
        <v>2428</v>
      </c>
      <c r="AE362" s="0" t="s">
        <v>79</v>
      </c>
      <c r="AF362" s="3" t="s">
        <v>48</v>
      </c>
      <c r="AG362" s="3" t="s">
        <v>49</v>
      </c>
      <c r="AR362" s="0" t="s">
        <v>2425</v>
      </c>
    </row>
    <row r="363" customFormat="false" ht="15" hidden="false" customHeight="false" outlineLevel="0" collapsed="false">
      <c r="A363" s="0" t="n">
        <v>362</v>
      </c>
      <c r="B363" s="0" t="s">
        <v>2429</v>
      </c>
      <c r="C363" s="0" t="s">
        <v>312</v>
      </c>
      <c r="D363" s="0" t="s">
        <v>2430</v>
      </c>
      <c r="E363" s="0" t="s">
        <v>2431</v>
      </c>
      <c r="F363" s="0" t="s">
        <v>44</v>
      </c>
      <c r="H363" s="0" t="s">
        <v>2432</v>
      </c>
      <c r="I363" s="0" t="s">
        <v>115</v>
      </c>
      <c r="J363" s="3" t="s">
        <v>66</v>
      </c>
      <c r="K363" s="0" t="s">
        <v>2433</v>
      </c>
      <c r="L363" s="0" t="s">
        <v>2434</v>
      </c>
      <c r="M363" s="0" t="n">
        <v>1851</v>
      </c>
      <c r="N363" s="0" t="s">
        <v>2435</v>
      </c>
      <c r="O363" s="3" t="s">
        <v>104</v>
      </c>
      <c r="P363" s="0" t="s">
        <v>55</v>
      </c>
      <c r="R363" s="0" t="n">
        <v>67200</v>
      </c>
      <c r="S363" s="0" t="n">
        <v>2025</v>
      </c>
      <c r="T363" s="0" t="s">
        <v>1741</v>
      </c>
      <c r="U363" s="0" t="s">
        <v>115</v>
      </c>
      <c r="V363" s="0" t="n">
        <v>972</v>
      </c>
      <c r="W363" s="0" t="s">
        <v>2436</v>
      </c>
      <c r="X363" s="0" t="s">
        <v>764</v>
      </c>
      <c r="Y363" s="0" t="s">
        <v>1142</v>
      </c>
      <c r="Z363" s="0" t="s">
        <v>115</v>
      </c>
      <c r="AA363" s="0" t="s">
        <v>75</v>
      </c>
      <c r="AB363" s="0" t="s">
        <v>2437</v>
      </c>
      <c r="AC363" s="0" t="s">
        <v>2438</v>
      </c>
      <c r="AD363" s="0" t="s">
        <v>2439</v>
      </c>
      <c r="AE363" s="0" t="s">
        <v>115</v>
      </c>
      <c r="AF363" s="3" t="s">
        <v>108</v>
      </c>
      <c r="AG363" s="3" t="s">
        <v>404</v>
      </c>
      <c r="AH363" s="0" t="n">
        <v>2026</v>
      </c>
      <c r="AI363" s="0" t="s">
        <v>2440</v>
      </c>
      <c r="AJ363" s="0" t="s">
        <v>2441</v>
      </c>
      <c r="AK363" s="0" t="s">
        <v>2442</v>
      </c>
      <c r="AL363" s="0" t="s">
        <v>2443</v>
      </c>
      <c r="AM363" s="0" t="s">
        <v>2444</v>
      </c>
      <c r="AN363" s="0" t="s">
        <v>2445</v>
      </c>
      <c r="AO363" s="0" t="s">
        <v>2446</v>
      </c>
      <c r="AP363" s="0" t="s">
        <v>2446</v>
      </c>
      <c r="AR363" s="0" t="s">
        <v>2447</v>
      </c>
    </row>
    <row r="364" customFormat="false" ht="15" hidden="false" customHeight="false" outlineLevel="0" collapsed="false">
      <c r="A364" s="0" t="n">
        <v>363</v>
      </c>
      <c r="B364" s="0" t="s">
        <v>2448</v>
      </c>
      <c r="C364" s="0" t="s">
        <v>88</v>
      </c>
      <c r="E364" s="0" t="s">
        <v>2449</v>
      </c>
      <c r="N364" s="3" t="s">
        <v>202</v>
      </c>
      <c r="O364" s="3" t="s">
        <v>202</v>
      </c>
      <c r="P364" s="0" t="s">
        <v>96</v>
      </c>
      <c r="AA364" s="0" t="s">
        <v>47</v>
      </c>
      <c r="AB364" s="0" t="s">
        <v>2450</v>
      </c>
      <c r="AC364" s="0" t="s">
        <v>2451</v>
      </c>
      <c r="AD364" s="0" t="s">
        <v>2452</v>
      </c>
      <c r="AE364" s="0" t="s">
        <v>79</v>
      </c>
      <c r="AF364" s="3" t="s">
        <v>48</v>
      </c>
      <c r="AG364" s="3" t="s">
        <v>49</v>
      </c>
      <c r="AR364" s="0" t="s">
        <v>2449</v>
      </c>
    </row>
    <row r="365" customFormat="false" ht="15" hidden="false" customHeight="false" outlineLevel="0" collapsed="false">
      <c r="A365" s="0" t="n">
        <v>364</v>
      </c>
      <c r="B365" s="0" t="s">
        <v>2453</v>
      </c>
      <c r="C365" s="0" t="s">
        <v>52</v>
      </c>
      <c r="D365" s="0" t="s">
        <v>2454</v>
      </c>
      <c r="N365" s="3" t="s">
        <v>104</v>
      </c>
      <c r="O365" s="3" t="s">
        <v>104</v>
      </c>
      <c r="P365" s="0" t="s">
        <v>55</v>
      </c>
      <c r="AA365" s="0" t="s">
        <v>47</v>
      </c>
      <c r="AB365" s="0" t="s">
        <v>2455</v>
      </c>
      <c r="AC365" s="0" t="s">
        <v>2456</v>
      </c>
      <c r="AD365" s="0" t="s">
        <v>2457</v>
      </c>
      <c r="AE365" s="0" t="s">
        <v>59</v>
      </c>
      <c r="AF365" s="3" t="s">
        <v>48</v>
      </c>
      <c r="AG365" s="3" t="s">
        <v>49</v>
      </c>
      <c r="AR365" s="0" t="s">
        <v>2454</v>
      </c>
    </row>
    <row r="366" customFormat="false" ht="15" hidden="false" customHeight="false" outlineLevel="0" collapsed="false">
      <c r="A366" s="0" t="n">
        <v>365</v>
      </c>
      <c r="B366" s="0" t="s">
        <v>2458</v>
      </c>
      <c r="C366" s="0" t="s">
        <v>43</v>
      </c>
      <c r="F366" s="0" t="s">
        <v>44</v>
      </c>
      <c r="AA366" s="0" t="s">
        <v>47</v>
      </c>
      <c r="AF366" s="3" t="s">
        <v>48</v>
      </c>
      <c r="AG366" s="3" t="s">
        <v>49</v>
      </c>
      <c r="AR366" s="0" t="s">
        <v>50</v>
      </c>
    </row>
    <row r="367" customFormat="false" ht="15" hidden="false" customHeight="false" outlineLevel="0" collapsed="false">
      <c r="A367" s="0" t="n">
        <v>366</v>
      </c>
      <c r="B367" s="0" t="s">
        <v>2459</v>
      </c>
      <c r="C367" s="0" t="s">
        <v>43</v>
      </c>
      <c r="F367" s="0" t="s">
        <v>44</v>
      </c>
      <c r="H367" s="0" t="s">
        <v>2460</v>
      </c>
      <c r="I367" s="0" t="s">
        <v>154</v>
      </c>
      <c r="AA367" s="0" t="s">
        <v>47</v>
      </c>
      <c r="AF367" s="3" t="s">
        <v>48</v>
      </c>
      <c r="AG367" s="3" t="s">
        <v>49</v>
      </c>
      <c r="AL367" s="0" t="s">
        <v>2461</v>
      </c>
      <c r="AO367" s="0" t="s">
        <v>2462</v>
      </c>
      <c r="AP367" s="0" t="s">
        <v>2462</v>
      </c>
      <c r="AR367" s="0" t="s">
        <v>2463</v>
      </c>
    </row>
    <row r="368" customFormat="false" ht="15" hidden="false" customHeight="false" outlineLevel="0" collapsed="false">
      <c r="A368" s="0" t="n">
        <v>367</v>
      </c>
      <c r="B368" s="0" t="s">
        <v>2464</v>
      </c>
      <c r="C368" s="0" t="s">
        <v>43</v>
      </c>
      <c r="F368" s="0" t="s">
        <v>44</v>
      </c>
      <c r="H368" s="0" t="s">
        <v>2465</v>
      </c>
      <c r="I368" s="0" t="s">
        <v>154</v>
      </c>
      <c r="AA368" s="0" t="s">
        <v>47</v>
      </c>
      <c r="AF368" s="3" t="s">
        <v>48</v>
      </c>
      <c r="AG368" s="3" t="s">
        <v>49</v>
      </c>
      <c r="AL368" s="0" t="s">
        <v>2466</v>
      </c>
      <c r="AM368" s="0" t="s">
        <v>2467</v>
      </c>
      <c r="AO368" s="0" t="s">
        <v>2468</v>
      </c>
      <c r="AP368" s="0" t="s">
        <v>2468</v>
      </c>
      <c r="AR368" s="0" t="s">
        <v>2469</v>
      </c>
    </row>
    <row r="369" customFormat="false" ht="15" hidden="false" customHeight="false" outlineLevel="0" collapsed="false">
      <c r="A369" s="0" t="n">
        <v>368</v>
      </c>
      <c r="B369" s="0" t="s">
        <v>2470</v>
      </c>
      <c r="C369" s="0" t="s">
        <v>88</v>
      </c>
      <c r="E369" s="0" t="s">
        <v>2471</v>
      </c>
      <c r="N369" s="3" t="s">
        <v>226</v>
      </c>
      <c r="O369" s="3" t="s">
        <v>226</v>
      </c>
      <c r="P369" s="0" t="s">
        <v>96</v>
      </c>
      <c r="AA369" s="0" t="s">
        <v>47</v>
      </c>
      <c r="AB369" s="0" t="s">
        <v>2472</v>
      </c>
      <c r="AC369" s="0" t="s">
        <v>2473</v>
      </c>
      <c r="AD369" s="0" t="s">
        <v>2474</v>
      </c>
      <c r="AE369" s="0" t="s">
        <v>79</v>
      </c>
      <c r="AF369" s="3" t="s">
        <v>48</v>
      </c>
      <c r="AG369" s="3" t="s">
        <v>49</v>
      </c>
      <c r="AR369" s="0" t="s">
        <v>2471</v>
      </c>
    </row>
    <row r="370" customFormat="false" ht="15" hidden="false" customHeight="false" outlineLevel="0" collapsed="false">
      <c r="A370" s="0" t="n">
        <v>369</v>
      </c>
      <c r="B370" s="0" t="s">
        <v>2475</v>
      </c>
      <c r="C370" s="0" t="s">
        <v>88</v>
      </c>
      <c r="E370" s="0" t="s">
        <v>2476</v>
      </c>
      <c r="N370" s="3" t="s">
        <v>95</v>
      </c>
      <c r="O370" s="3" t="s">
        <v>95</v>
      </c>
      <c r="P370" s="0" t="s">
        <v>96</v>
      </c>
      <c r="AA370" s="0" t="s">
        <v>47</v>
      </c>
      <c r="AB370" s="0" t="s">
        <v>2477</v>
      </c>
      <c r="AC370" s="0" t="s">
        <v>2478</v>
      </c>
      <c r="AD370" s="0" t="s">
        <v>2479</v>
      </c>
      <c r="AE370" s="0" t="s">
        <v>79</v>
      </c>
      <c r="AF370" s="3" t="s">
        <v>48</v>
      </c>
      <c r="AG370" s="3" t="s">
        <v>49</v>
      </c>
      <c r="AR370" s="0" t="s">
        <v>2476</v>
      </c>
    </row>
    <row r="371" customFormat="false" ht="15" hidden="false" customHeight="false" outlineLevel="0" collapsed="false">
      <c r="A371" s="0" t="n">
        <v>370</v>
      </c>
      <c r="B371" s="0" t="s">
        <v>2480</v>
      </c>
      <c r="C371" s="0" t="s">
        <v>88</v>
      </c>
      <c r="E371" s="0" t="s">
        <v>2481</v>
      </c>
      <c r="N371" s="3" t="s">
        <v>95</v>
      </c>
      <c r="O371" s="3" t="s">
        <v>95</v>
      </c>
      <c r="P371" s="0" t="s">
        <v>96</v>
      </c>
      <c r="AA371" s="0" t="s">
        <v>47</v>
      </c>
      <c r="AB371" s="0" t="s">
        <v>2482</v>
      </c>
      <c r="AC371" s="0" t="s">
        <v>2483</v>
      </c>
      <c r="AD371" s="0" t="s">
        <v>2484</v>
      </c>
      <c r="AE371" s="0" t="s">
        <v>79</v>
      </c>
      <c r="AF371" s="3" t="s">
        <v>48</v>
      </c>
      <c r="AG371" s="3" t="s">
        <v>49</v>
      </c>
      <c r="AR371" s="0" t="s">
        <v>2481</v>
      </c>
    </row>
    <row r="372" customFormat="false" ht="15" hidden="false" customHeight="false" outlineLevel="0" collapsed="false">
      <c r="A372" s="0" t="n">
        <v>371</v>
      </c>
      <c r="B372" s="0" t="s">
        <v>2485</v>
      </c>
      <c r="C372" s="0" t="s">
        <v>88</v>
      </c>
      <c r="E372" s="0" t="s">
        <v>2486</v>
      </c>
      <c r="H372" s="0" t="s">
        <v>2487</v>
      </c>
      <c r="I372" s="0" t="s">
        <v>154</v>
      </c>
      <c r="N372" s="3" t="s">
        <v>147</v>
      </c>
      <c r="O372" s="3" t="s">
        <v>147</v>
      </c>
      <c r="P372" s="0" t="s">
        <v>96</v>
      </c>
      <c r="AA372" s="0" t="s">
        <v>47</v>
      </c>
      <c r="AB372" s="0" t="s">
        <v>2488</v>
      </c>
      <c r="AC372" s="0" t="s">
        <v>2489</v>
      </c>
      <c r="AD372" s="0" t="s">
        <v>2490</v>
      </c>
      <c r="AE372" s="0" t="s">
        <v>79</v>
      </c>
      <c r="AF372" s="3" t="s">
        <v>48</v>
      </c>
      <c r="AG372" s="3" t="s">
        <v>49</v>
      </c>
      <c r="AL372" s="0" t="s">
        <v>2491</v>
      </c>
      <c r="AM372" s="0" t="s">
        <v>2492</v>
      </c>
      <c r="AO372" s="0" t="s">
        <v>2493</v>
      </c>
      <c r="AP372" s="0" t="s">
        <v>2493</v>
      </c>
      <c r="AR372" s="0" t="s">
        <v>2494</v>
      </c>
    </row>
    <row r="373" customFormat="false" ht="15" hidden="false" customHeight="false" outlineLevel="0" collapsed="false">
      <c r="A373" s="0" t="n">
        <v>372</v>
      </c>
      <c r="B373" s="0" t="s">
        <v>2495</v>
      </c>
      <c r="C373" s="0" t="s">
        <v>88</v>
      </c>
      <c r="E373" s="0" t="s">
        <v>2496</v>
      </c>
      <c r="AA373" s="0" t="s">
        <v>47</v>
      </c>
      <c r="AB373" s="0" t="s">
        <v>2497</v>
      </c>
      <c r="AC373" s="0" t="s">
        <v>2498</v>
      </c>
      <c r="AD373" s="0" t="s">
        <v>2499</v>
      </c>
      <c r="AE373" s="0" t="s">
        <v>79</v>
      </c>
      <c r="AF373" s="3" t="s">
        <v>48</v>
      </c>
      <c r="AG373" s="3" t="s">
        <v>49</v>
      </c>
      <c r="AR373" s="0" t="s">
        <v>2496</v>
      </c>
    </row>
    <row r="374" customFormat="false" ht="15" hidden="false" customHeight="false" outlineLevel="0" collapsed="false">
      <c r="A374" s="0" t="n">
        <v>373</v>
      </c>
      <c r="B374" s="0" t="s">
        <v>2500</v>
      </c>
      <c r="C374" s="0" t="s">
        <v>52</v>
      </c>
      <c r="D374" s="0" t="s">
        <v>2501</v>
      </c>
      <c r="N374" s="0" t="s">
        <v>738</v>
      </c>
      <c r="O374" s="0" t="s">
        <v>738</v>
      </c>
      <c r="P374" s="0" t="s">
        <v>55</v>
      </c>
      <c r="AA374" s="0" t="s">
        <v>47</v>
      </c>
      <c r="AB374" s="0" t="s">
        <v>2502</v>
      </c>
      <c r="AC374" s="0" t="s">
        <v>2503</v>
      </c>
      <c r="AD374" s="0" t="s">
        <v>2504</v>
      </c>
      <c r="AE374" s="0" t="s">
        <v>59</v>
      </c>
      <c r="AF374" s="3" t="s">
        <v>48</v>
      </c>
      <c r="AG374" s="3" t="s">
        <v>49</v>
      </c>
      <c r="AR374" s="0" t="s">
        <v>2501</v>
      </c>
    </row>
    <row r="375" customFormat="false" ht="15" hidden="false" customHeight="false" outlineLevel="0" collapsed="false">
      <c r="A375" s="0" t="n">
        <v>374</v>
      </c>
      <c r="B375" s="0" t="s">
        <v>2505</v>
      </c>
      <c r="C375" s="0" t="s">
        <v>52</v>
      </c>
      <c r="D375" s="0" t="s">
        <v>2506</v>
      </c>
      <c r="H375" s="0" t="s">
        <v>2507</v>
      </c>
      <c r="I375" s="0" t="s">
        <v>94</v>
      </c>
      <c r="N375" s="3" t="s">
        <v>54</v>
      </c>
      <c r="O375" s="3" t="s">
        <v>54</v>
      </c>
      <c r="P375" s="0" t="s">
        <v>55</v>
      </c>
      <c r="AA375" s="0" t="s">
        <v>47</v>
      </c>
      <c r="AB375" s="0" t="s">
        <v>2508</v>
      </c>
      <c r="AC375" s="0" t="s">
        <v>2509</v>
      </c>
      <c r="AD375" s="0" t="s">
        <v>2510</v>
      </c>
      <c r="AE375" s="0" t="s">
        <v>59</v>
      </c>
      <c r="AF375" s="3" t="s">
        <v>48</v>
      </c>
      <c r="AG375" s="3" t="s">
        <v>49</v>
      </c>
      <c r="AP375" s="0" t="s">
        <v>2511</v>
      </c>
      <c r="AR375" s="0" t="s">
        <v>2512</v>
      </c>
    </row>
    <row r="376" customFormat="false" ht="15" hidden="false" customHeight="false" outlineLevel="0" collapsed="false">
      <c r="A376" s="0" t="n">
        <v>375</v>
      </c>
      <c r="B376" s="0" t="s">
        <v>2513</v>
      </c>
      <c r="C376" s="0" t="s">
        <v>88</v>
      </c>
      <c r="E376" s="0" t="s">
        <v>2514</v>
      </c>
      <c r="AA376" s="0" t="s">
        <v>47</v>
      </c>
      <c r="AF376" s="3" t="s">
        <v>48</v>
      </c>
      <c r="AG376" s="3" t="s">
        <v>49</v>
      </c>
      <c r="AR376" s="0" t="s">
        <v>2514</v>
      </c>
    </row>
    <row r="377" customFormat="false" ht="15" hidden="false" customHeight="false" outlineLevel="0" collapsed="false">
      <c r="A377" s="0" t="n">
        <v>376</v>
      </c>
      <c r="B377" s="0" t="s">
        <v>2515</v>
      </c>
      <c r="C377" s="0" t="s">
        <v>43</v>
      </c>
      <c r="F377" s="0" t="s">
        <v>44</v>
      </c>
      <c r="H377" s="0" t="s">
        <v>2516</v>
      </c>
      <c r="I377" s="0" t="s">
        <v>154</v>
      </c>
      <c r="AA377" s="0" t="s">
        <v>47</v>
      </c>
      <c r="AF377" s="3" t="s">
        <v>48</v>
      </c>
      <c r="AG377" s="3" t="s">
        <v>49</v>
      </c>
      <c r="AM377" s="0" t="s">
        <v>2517</v>
      </c>
      <c r="AO377" s="0" t="s">
        <v>2518</v>
      </c>
      <c r="AP377" s="0" t="s">
        <v>2518</v>
      </c>
      <c r="AR377" s="0" t="s">
        <v>2519</v>
      </c>
    </row>
    <row r="378" customFormat="false" ht="15" hidden="false" customHeight="false" outlineLevel="0" collapsed="false">
      <c r="A378" s="0" t="n">
        <v>377</v>
      </c>
      <c r="B378" s="0" t="s">
        <v>2520</v>
      </c>
      <c r="C378" s="0" t="s">
        <v>244</v>
      </c>
      <c r="E378" s="0" t="s">
        <v>2521</v>
      </c>
      <c r="F378" s="0" t="s">
        <v>44</v>
      </c>
      <c r="H378" s="0" t="s">
        <v>2522</v>
      </c>
      <c r="I378" s="0" t="s">
        <v>94</v>
      </c>
      <c r="N378" s="3" t="s">
        <v>213</v>
      </c>
      <c r="O378" s="3" t="s">
        <v>213</v>
      </c>
      <c r="P378" s="0" t="s">
        <v>96</v>
      </c>
      <c r="AA378" s="0" t="s">
        <v>47</v>
      </c>
      <c r="AB378" s="0" t="s">
        <v>2523</v>
      </c>
      <c r="AC378" s="0" t="s">
        <v>849</v>
      </c>
      <c r="AD378" s="0" t="s">
        <v>2524</v>
      </c>
      <c r="AE378" s="0" t="s">
        <v>79</v>
      </c>
      <c r="AF378" s="3" t="s">
        <v>149</v>
      </c>
      <c r="AG378" s="3" t="s">
        <v>81</v>
      </c>
      <c r="AK378" s="0" t="s">
        <v>2525</v>
      </c>
      <c r="AP378" s="0" t="s">
        <v>2526</v>
      </c>
      <c r="AR378" s="0" t="s">
        <v>2527</v>
      </c>
    </row>
    <row r="379" customFormat="false" ht="15" hidden="false" customHeight="false" outlineLevel="0" collapsed="false">
      <c r="A379" s="0" t="n">
        <v>378</v>
      </c>
      <c r="B379" s="0" t="s">
        <v>2528</v>
      </c>
      <c r="C379" s="0" t="s">
        <v>244</v>
      </c>
      <c r="E379" s="0" t="s">
        <v>2529</v>
      </c>
      <c r="F379" s="0" t="s">
        <v>44</v>
      </c>
      <c r="H379" s="0" t="s">
        <v>2530</v>
      </c>
      <c r="I379" s="0" t="s">
        <v>154</v>
      </c>
      <c r="N379" s="3" t="s">
        <v>213</v>
      </c>
      <c r="O379" s="3" t="s">
        <v>213</v>
      </c>
      <c r="P379" s="0" t="s">
        <v>96</v>
      </c>
      <c r="AA379" s="0" t="s">
        <v>47</v>
      </c>
      <c r="AB379" s="0" t="s">
        <v>2531</v>
      </c>
      <c r="AC379" s="0" t="s">
        <v>2532</v>
      </c>
      <c r="AD379" s="0" t="s">
        <v>2533</v>
      </c>
      <c r="AE379" s="0" t="s">
        <v>79</v>
      </c>
      <c r="AF379" s="3" t="s">
        <v>149</v>
      </c>
      <c r="AG379" s="3" t="s">
        <v>81</v>
      </c>
      <c r="AK379" s="0" t="s">
        <v>2534</v>
      </c>
      <c r="AL379" s="0" t="s">
        <v>2535</v>
      </c>
      <c r="AM379" s="0" t="s">
        <v>2536</v>
      </c>
      <c r="AO379" s="0" t="s">
        <v>2537</v>
      </c>
      <c r="AP379" s="0" t="s">
        <v>2537</v>
      </c>
      <c r="AR379" s="0" t="s">
        <v>2538</v>
      </c>
    </row>
    <row r="380" customFormat="false" ht="15" hidden="false" customHeight="false" outlineLevel="0" collapsed="false">
      <c r="A380" s="0" t="n">
        <v>379</v>
      </c>
      <c r="B380" s="0" t="s">
        <v>2539</v>
      </c>
      <c r="C380" s="0" t="s">
        <v>88</v>
      </c>
      <c r="E380" s="0" t="s">
        <v>2540</v>
      </c>
      <c r="H380" s="0" t="s">
        <v>2541</v>
      </c>
      <c r="I380" s="0" t="s">
        <v>46</v>
      </c>
      <c r="N380" s="3" t="s">
        <v>119</v>
      </c>
      <c r="O380" s="3" t="s">
        <v>119</v>
      </c>
      <c r="P380" s="0" t="s">
        <v>96</v>
      </c>
      <c r="AA380" s="0" t="s">
        <v>47</v>
      </c>
      <c r="AB380" s="0" t="s">
        <v>2542</v>
      </c>
      <c r="AC380" s="0" t="s">
        <v>2543</v>
      </c>
      <c r="AD380" s="0" t="s">
        <v>2544</v>
      </c>
      <c r="AE380" s="0" t="s">
        <v>79</v>
      </c>
      <c r="AF380" s="3" t="s">
        <v>48</v>
      </c>
      <c r="AG380" s="3" t="s">
        <v>49</v>
      </c>
      <c r="AR380" s="0" t="s">
        <v>2540</v>
      </c>
    </row>
    <row r="381" customFormat="false" ht="15" hidden="false" customHeight="false" outlineLevel="0" collapsed="false">
      <c r="A381" s="0" t="n">
        <v>380</v>
      </c>
      <c r="B381" s="0" t="s">
        <v>2545</v>
      </c>
      <c r="C381" s="0" t="s">
        <v>88</v>
      </c>
      <c r="E381" s="0" t="s">
        <v>2546</v>
      </c>
      <c r="H381" s="0" t="s">
        <v>2547</v>
      </c>
      <c r="I381" s="0" t="s">
        <v>154</v>
      </c>
      <c r="N381" s="3" t="s">
        <v>95</v>
      </c>
      <c r="O381" s="3" t="s">
        <v>95</v>
      </c>
      <c r="P381" s="0" t="s">
        <v>96</v>
      </c>
      <c r="AA381" s="0" t="s">
        <v>47</v>
      </c>
      <c r="AB381" s="0" t="s">
        <v>2548</v>
      </c>
      <c r="AC381" s="0" t="s">
        <v>2549</v>
      </c>
      <c r="AD381" s="0" t="s">
        <v>2550</v>
      </c>
      <c r="AE381" s="0" t="s">
        <v>79</v>
      </c>
      <c r="AF381" s="3" t="s">
        <v>48</v>
      </c>
      <c r="AG381" s="3" t="s">
        <v>49</v>
      </c>
      <c r="AL381" s="0" t="s">
        <v>2551</v>
      </c>
      <c r="AM381" s="0" t="s">
        <v>2552</v>
      </c>
      <c r="AO381" s="0" t="s">
        <v>2553</v>
      </c>
      <c r="AP381" s="0" t="s">
        <v>2553</v>
      </c>
      <c r="AR381" s="0" t="s">
        <v>2554</v>
      </c>
    </row>
    <row r="382" customFormat="false" ht="15" hidden="false" customHeight="false" outlineLevel="0" collapsed="false">
      <c r="A382" s="0" t="n">
        <v>381</v>
      </c>
      <c r="B382" s="0" t="s">
        <v>2555</v>
      </c>
      <c r="C382" s="0" t="s">
        <v>52</v>
      </c>
      <c r="D382" s="0" t="s">
        <v>2556</v>
      </c>
      <c r="H382" s="0" t="s">
        <v>2557</v>
      </c>
      <c r="I382" s="0" t="s">
        <v>154</v>
      </c>
      <c r="N382" s="0" t="s">
        <v>2558</v>
      </c>
      <c r="O382" s="0" t="s">
        <v>2558</v>
      </c>
      <c r="P382" s="0" t="s">
        <v>55</v>
      </c>
      <c r="AA382" s="0" t="s">
        <v>47</v>
      </c>
      <c r="AB382" s="0" t="s">
        <v>2559</v>
      </c>
      <c r="AC382" s="0" t="s">
        <v>2560</v>
      </c>
      <c r="AD382" s="0" t="s">
        <v>2561</v>
      </c>
      <c r="AE382" s="0" t="s">
        <v>59</v>
      </c>
      <c r="AF382" s="3" t="s">
        <v>48</v>
      </c>
      <c r="AG382" s="3" t="s">
        <v>49</v>
      </c>
      <c r="AL382" s="0" t="s">
        <v>2562</v>
      </c>
      <c r="AM382" s="0" t="s">
        <v>2563</v>
      </c>
      <c r="AO382" s="0" t="s">
        <v>2564</v>
      </c>
      <c r="AP382" s="0" t="s">
        <v>2564</v>
      </c>
      <c r="AR382" s="0" t="s">
        <v>2565</v>
      </c>
    </row>
    <row r="383" customFormat="false" ht="15" hidden="false" customHeight="false" outlineLevel="0" collapsed="false">
      <c r="A383" s="0" t="n">
        <v>382</v>
      </c>
      <c r="B383" s="0" t="s">
        <v>2566</v>
      </c>
      <c r="C383" s="0" t="s">
        <v>88</v>
      </c>
      <c r="E383" s="0" t="s">
        <v>2567</v>
      </c>
      <c r="N383" s="3" t="s">
        <v>226</v>
      </c>
      <c r="O383" s="3" t="s">
        <v>226</v>
      </c>
      <c r="P383" s="0" t="s">
        <v>96</v>
      </c>
      <c r="AA383" s="0" t="s">
        <v>47</v>
      </c>
      <c r="AB383" s="0" t="s">
        <v>2568</v>
      </c>
      <c r="AC383" s="0" t="s">
        <v>2569</v>
      </c>
      <c r="AE383" s="0" t="s">
        <v>79</v>
      </c>
      <c r="AF383" s="3" t="s">
        <v>48</v>
      </c>
      <c r="AG383" s="3" t="s">
        <v>49</v>
      </c>
      <c r="AR383" s="0" t="s">
        <v>2567</v>
      </c>
    </row>
    <row r="384" customFormat="false" ht="15" hidden="false" customHeight="false" outlineLevel="0" collapsed="false">
      <c r="A384" s="0" t="n">
        <v>383</v>
      </c>
      <c r="B384" s="0" t="s">
        <v>2570</v>
      </c>
      <c r="C384" s="0" t="s">
        <v>43</v>
      </c>
      <c r="F384" s="0" t="s">
        <v>44</v>
      </c>
      <c r="H384" s="0" t="s">
        <v>2571</v>
      </c>
      <c r="I384" s="0" t="s">
        <v>154</v>
      </c>
      <c r="AA384" s="0" t="s">
        <v>47</v>
      </c>
      <c r="AF384" s="3" t="s">
        <v>108</v>
      </c>
      <c r="AG384" s="3" t="s">
        <v>49</v>
      </c>
      <c r="AH384" s="0" t="n">
        <v>2026</v>
      </c>
      <c r="AI384" s="0" t="s">
        <v>284</v>
      </c>
      <c r="AJ384" s="0" t="s">
        <v>285</v>
      </c>
      <c r="AL384" s="0" t="s">
        <v>2572</v>
      </c>
      <c r="AM384" s="0" t="s">
        <v>2573</v>
      </c>
      <c r="AO384" s="0" t="s">
        <v>2574</v>
      </c>
      <c r="AP384" s="0" t="s">
        <v>2574</v>
      </c>
      <c r="AR384" s="0" t="s">
        <v>2575</v>
      </c>
    </row>
    <row r="385" customFormat="false" ht="15" hidden="false" customHeight="false" outlineLevel="0" collapsed="false">
      <c r="A385" s="0" t="n">
        <v>384</v>
      </c>
      <c r="B385" s="0" t="s">
        <v>2576</v>
      </c>
      <c r="C385" s="0" t="s">
        <v>88</v>
      </c>
      <c r="E385" s="0" t="s">
        <v>2577</v>
      </c>
      <c r="AA385" s="0" t="s">
        <v>47</v>
      </c>
      <c r="AB385" s="0" t="s">
        <v>2578</v>
      </c>
      <c r="AC385" s="0" t="s">
        <v>2579</v>
      </c>
      <c r="AD385" s="0" t="s">
        <v>2580</v>
      </c>
      <c r="AE385" s="0" t="s">
        <v>79</v>
      </c>
      <c r="AF385" s="3" t="s">
        <v>48</v>
      </c>
      <c r="AG385" s="3" t="s">
        <v>49</v>
      </c>
      <c r="AR385" s="0" t="s">
        <v>2577</v>
      </c>
    </row>
    <row r="386" customFormat="false" ht="15" hidden="false" customHeight="false" outlineLevel="0" collapsed="false">
      <c r="A386" s="0" t="n">
        <v>385</v>
      </c>
      <c r="B386" s="0" t="s">
        <v>2581</v>
      </c>
      <c r="C386" s="0" t="s">
        <v>88</v>
      </c>
      <c r="E386" s="0" t="s">
        <v>2582</v>
      </c>
      <c r="H386" s="0" t="s">
        <v>2583</v>
      </c>
      <c r="I386" s="0" t="s">
        <v>46</v>
      </c>
      <c r="N386" s="3" t="s">
        <v>202</v>
      </c>
      <c r="O386" s="3" t="s">
        <v>202</v>
      </c>
      <c r="P386" s="0" t="s">
        <v>96</v>
      </c>
      <c r="AA386" s="0" t="s">
        <v>47</v>
      </c>
      <c r="AB386" s="0" t="s">
        <v>2584</v>
      </c>
      <c r="AC386" s="0" t="s">
        <v>2585</v>
      </c>
      <c r="AD386" s="0" t="s">
        <v>2586</v>
      </c>
      <c r="AE386" s="0" t="s">
        <v>79</v>
      </c>
      <c r="AF386" s="3" t="s">
        <v>48</v>
      </c>
      <c r="AG386" s="3" t="s">
        <v>49</v>
      </c>
      <c r="AR386" s="0" t="s">
        <v>2582</v>
      </c>
    </row>
    <row r="387" customFormat="false" ht="15" hidden="false" customHeight="false" outlineLevel="0" collapsed="false">
      <c r="A387" s="0" t="n">
        <v>386</v>
      </c>
      <c r="B387" s="0" t="s">
        <v>2587</v>
      </c>
      <c r="C387" s="0" t="s">
        <v>52</v>
      </c>
      <c r="D387" s="0" t="s">
        <v>2588</v>
      </c>
      <c r="H387" s="0" t="s">
        <v>2589</v>
      </c>
      <c r="I387" s="0" t="s">
        <v>154</v>
      </c>
      <c r="N387" s="0" t="s">
        <v>2590</v>
      </c>
      <c r="O387" s="0" t="s">
        <v>2590</v>
      </c>
      <c r="P387" s="0" t="s">
        <v>55</v>
      </c>
      <c r="AA387" s="0" t="s">
        <v>47</v>
      </c>
      <c r="AB387" s="0" t="s">
        <v>2591</v>
      </c>
      <c r="AC387" s="0" t="s">
        <v>2592</v>
      </c>
      <c r="AD387" s="0" t="s">
        <v>2593</v>
      </c>
      <c r="AE387" s="0" t="s">
        <v>59</v>
      </c>
      <c r="AF387" s="3" t="s">
        <v>48</v>
      </c>
      <c r="AG387" s="3" t="s">
        <v>49</v>
      </c>
      <c r="AL387" s="0" t="s">
        <v>2594</v>
      </c>
      <c r="AP387" s="0" t="s">
        <v>2595</v>
      </c>
      <c r="AR387" s="0" t="s">
        <v>2596</v>
      </c>
    </row>
    <row r="388" customFormat="false" ht="15" hidden="false" customHeight="false" outlineLevel="0" collapsed="false">
      <c r="A388" s="0" t="n">
        <v>387</v>
      </c>
      <c r="B388" s="0" t="s">
        <v>2597</v>
      </c>
      <c r="C388" s="0" t="s">
        <v>88</v>
      </c>
      <c r="E388" s="0" t="s">
        <v>2598</v>
      </c>
      <c r="H388" s="0" t="s">
        <v>2599</v>
      </c>
      <c r="I388" s="0" t="s">
        <v>154</v>
      </c>
      <c r="N388" s="3" t="s">
        <v>226</v>
      </c>
      <c r="O388" s="3" t="s">
        <v>226</v>
      </c>
      <c r="P388" s="0" t="s">
        <v>96</v>
      </c>
      <c r="AA388" s="0" t="s">
        <v>47</v>
      </c>
      <c r="AB388" s="0" t="s">
        <v>2600</v>
      </c>
      <c r="AC388" s="0" t="s">
        <v>2601</v>
      </c>
      <c r="AE388" s="0" t="s">
        <v>79</v>
      </c>
      <c r="AF388" s="3" t="s">
        <v>48</v>
      </c>
      <c r="AG388" s="3" t="s">
        <v>49</v>
      </c>
      <c r="AL388" s="0" t="s">
        <v>2602</v>
      </c>
      <c r="AO388" s="0" t="s">
        <v>2603</v>
      </c>
      <c r="AP388" s="0" t="s">
        <v>2603</v>
      </c>
      <c r="AR388" s="0" t="s">
        <v>2604</v>
      </c>
    </row>
    <row r="389" customFormat="false" ht="15" hidden="false" customHeight="false" outlineLevel="0" collapsed="false">
      <c r="A389" s="0" t="n">
        <v>388</v>
      </c>
      <c r="B389" s="0" t="s">
        <v>2605</v>
      </c>
      <c r="C389" s="0" t="s">
        <v>394</v>
      </c>
      <c r="D389" s="0" t="s">
        <v>2606</v>
      </c>
      <c r="F389" s="0" t="s">
        <v>44</v>
      </c>
      <c r="H389" s="0" t="s">
        <v>2607</v>
      </c>
      <c r="I389" s="0" t="s">
        <v>94</v>
      </c>
      <c r="J389" s="3" t="s">
        <v>66</v>
      </c>
      <c r="K389" s="0" t="s">
        <v>2608</v>
      </c>
      <c r="L389" s="0" t="s">
        <v>1168</v>
      </c>
      <c r="M389" s="0" t="n">
        <v>2020</v>
      </c>
      <c r="N389" s="0" t="s">
        <v>2609</v>
      </c>
      <c r="O389" s="3" t="s">
        <v>1568</v>
      </c>
      <c r="P389" s="0" t="s">
        <v>55</v>
      </c>
      <c r="R389" s="0" t="n">
        <v>16000</v>
      </c>
      <c r="S389" s="0" t="n">
        <v>2025</v>
      </c>
      <c r="T389" s="0" t="s">
        <v>698</v>
      </c>
      <c r="U389" s="0" t="s">
        <v>115</v>
      </c>
      <c r="V389" s="0" t="n">
        <v>7300</v>
      </c>
      <c r="W389" s="0" t="s">
        <v>2610</v>
      </c>
      <c r="X389" s="0" t="s">
        <v>764</v>
      </c>
      <c r="Y389" s="0" t="s">
        <v>1142</v>
      </c>
      <c r="Z389" s="0" t="s">
        <v>115</v>
      </c>
      <c r="AA389" s="0" t="s">
        <v>1022</v>
      </c>
      <c r="AB389" s="0" t="s">
        <v>2611</v>
      </c>
      <c r="AC389" s="0" t="s">
        <v>2612</v>
      </c>
      <c r="AD389" s="0" t="s">
        <v>2613</v>
      </c>
      <c r="AE389" s="0" t="s">
        <v>115</v>
      </c>
      <c r="AF389" s="3" t="s">
        <v>108</v>
      </c>
      <c r="AG389" s="3" t="s">
        <v>404</v>
      </c>
      <c r="AH389" s="0" t="n">
        <v>2026</v>
      </c>
      <c r="AI389" s="0" t="s">
        <v>2614</v>
      </c>
      <c r="AJ389" s="0" t="s">
        <v>2615</v>
      </c>
      <c r="AK389" s="0" t="s">
        <v>2616</v>
      </c>
      <c r="AL389" s="0" t="s">
        <v>2617</v>
      </c>
      <c r="AN389" s="0" t="s">
        <v>2618</v>
      </c>
      <c r="AP389" s="0" t="s">
        <v>2619</v>
      </c>
      <c r="AR389" s="0" t="s">
        <v>2620</v>
      </c>
    </row>
    <row r="390" customFormat="false" ht="15" hidden="false" customHeight="false" outlineLevel="0" collapsed="false">
      <c r="A390" s="0" t="n">
        <v>389</v>
      </c>
      <c r="B390" s="0" t="s">
        <v>2621</v>
      </c>
      <c r="C390" s="0" t="s">
        <v>52</v>
      </c>
      <c r="D390" s="0" t="s">
        <v>2622</v>
      </c>
      <c r="N390" s="3" t="s">
        <v>104</v>
      </c>
      <c r="O390" s="3" t="s">
        <v>104</v>
      </c>
      <c r="P390" s="0" t="s">
        <v>55</v>
      </c>
      <c r="AA390" s="0" t="s">
        <v>47</v>
      </c>
      <c r="AB390" s="0" t="s">
        <v>2623</v>
      </c>
      <c r="AC390" s="0" t="s">
        <v>2624</v>
      </c>
      <c r="AD390" s="0" t="s">
        <v>2625</v>
      </c>
      <c r="AE390" s="0" t="s">
        <v>59</v>
      </c>
      <c r="AF390" s="3" t="s">
        <v>48</v>
      </c>
      <c r="AG390" s="3" t="s">
        <v>49</v>
      </c>
      <c r="AR390" s="0" t="s">
        <v>2622</v>
      </c>
    </row>
    <row r="391" customFormat="false" ht="15" hidden="false" customHeight="false" outlineLevel="0" collapsed="false">
      <c r="A391" s="0" t="n">
        <v>390</v>
      </c>
      <c r="B391" s="0" t="s">
        <v>2626</v>
      </c>
      <c r="C391" s="0" t="s">
        <v>43</v>
      </c>
      <c r="F391" s="0" t="s">
        <v>44</v>
      </c>
      <c r="AA391" s="0" t="s">
        <v>47</v>
      </c>
      <c r="AF391" s="3" t="s">
        <v>48</v>
      </c>
      <c r="AG391" s="3" t="s">
        <v>49</v>
      </c>
      <c r="AR391" s="0" t="s">
        <v>50</v>
      </c>
    </row>
    <row r="392" customFormat="false" ht="15" hidden="false" customHeight="false" outlineLevel="0" collapsed="false">
      <c r="A392" s="0" t="n">
        <v>391</v>
      </c>
      <c r="B392" s="0" t="s">
        <v>2627</v>
      </c>
      <c r="C392" s="0" t="s">
        <v>88</v>
      </c>
      <c r="E392" s="0" t="s">
        <v>2628</v>
      </c>
      <c r="H392" s="0" t="s">
        <v>2629</v>
      </c>
      <c r="I392" s="0" t="s">
        <v>46</v>
      </c>
      <c r="AA392" s="0" t="s">
        <v>47</v>
      </c>
      <c r="AF392" s="3" t="s">
        <v>48</v>
      </c>
      <c r="AG392" s="3" t="s">
        <v>49</v>
      </c>
      <c r="AR392" s="0" t="s">
        <v>2628</v>
      </c>
    </row>
    <row r="393" customFormat="false" ht="15" hidden="false" customHeight="false" outlineLevel="0" collapsed="false">
      <c r="A393" s="0" t="n">
        <v>392</v>
      </c>
      <c r="B393" s="0" t="s">
        <v>2630</v>
      </c>
      <c r="C393" s="0" t="s">
        <v>244</v>
      </c>
      <c r="E393" s="0" t="s">
        <v>2631</v>
      </c>
      <c r="F393" s="0" t="s">
        <v>44</v>
      </c>
      <c r="H393" s="0" t="s">
        <v>2632</v>
      </c>
      <c r="I393" s="0" t="s">
        <v>154</v>
      </c>
      <c r="N393" s="3" t="s">
        <v>147</v>
      </c>
      <c r="O393" s="3" t="s">
        <v>147</v>
      </c>
      <c r="P393" s="0" t="s">
        <v>96</v>
      </c>
      <c r="AA393" s="0" t="s">
        <v>47</v>
      </c>
      <c r="AB393" s="0" t="s">
        <v>2633</v>
      </c>
      <c r="AC393" s="0" t="s">
        <v>2634</v>
      </c>
      <c r="AD393" s="0" t="s">
        <v>2635</v>
      </c>
      <c r="AE393" s="0" t="s">
        <v>79</v>
      </c>
      <c r="AF393" s="3" t="s">
        <v>149</v>
      </c>
      <c r="AG393" s="3" t="s">
        <v>81</v>
      </c>
      <c r="AK393" s="0" t="s">
        <v>2636</v>
      </c>
      <c r="AL393" s="0" t="s">
        <v>2637</v>
      </c>
      <c r="AO393" s="0" t="s">
        <v>2638</v>
      </c>
      <c r="AP393" s="0" t="s">
        <v>2638</v>
      </c>
      <c r="AR393" s="0" t="s">
        <v>2639</v>
      </c>
    </row>
    <row r="394" customFormat="false" ht="15" hidden="false" customHeight="false" outlineLevel="0" collapsed="false">
      <c r="A394" s="0" t="n">
        <v>393</v>
      </c>
      <c r="B394" s="0" t="s">
        <v>2640</v>
      </c>
      <c r="C394" s="0" t="s">
        <v>88</v>
      </c>
      <c r="E394" s="0" t="s">
        <v>2641</v>
      </c>
      <c r="H394" s="0" t="s">
        <v>2642</v>
      </c>
      <c r="I394" s="0" t="s">
        <v>94</v>
      </c>
      <c r="AA394" s="0" t="s">
        <v>47</v>
      </c>
      <c r="AF394" s="3" t="s">
        <v>48</v>
      </c>
      <c r="AG394" s="3" t="s">
        <v>49</v>
      </c>
      <c r="AP394" s="0" t="s">
        <v>2643</v>
      </c>
      <c r="AR394" s="0" t="s">
        <v>2644</v>
      </c>
    </row>
    <row r="395" customFormat="false" ht="15" hidden="false" customHeight="false" outlineLevel="0" collapsed="false">
      <c r="A395" s="0" t="n">
        <v>394</v>
      </c>
      <c r="B395" s="0" t="s">
        <v>2645</v>
      </c>
      <c r="C395" s="0" t="s">
        <v>88</v>
      </c>
      <c r="E395" s="0" t="s">
        <v>2646</v>
      </c>
      <c r="H395" s="0" t="s">
        <v>2647</v>
      </c>
      <c r="I395" s="0" t="s">
        <v>154</v>
      </c>
      <c r="AA395" s="0" t="s">
        <v>47</v>
      </c>
      <c r="AB395" s="0" t="s">
        <v>2648</v>
      </c>
      <c r="AC395" s="0" t="s">
        <v>2649</v>
      </c>
      <c r="AD395" s="0" t="s">
        <v>2650</v>
      </c>
      <c r="AE395" s="0" t="s">
        <v>79</v>
      </c>
      <c r="AF395" s="3" t="s">
        <v>48</v>
      </c>
      <c r="AG395" s="3" t="s">
        <v>49</v>
      </c>
      <c r="AL395" s="0" t="s">
        <v>2651</v>
      </c>
      <c r="AP395" s="0" t="s">
        <v>2652</v>
      </c>
      <c r="AR395" s="0" t="s">
        <v>2653</v>
      </c>
    </row>
    <row r="396" customFormat="false" ht="15" hidden="false" customHeight="false" outlineLevel="0" collapsed="false">
      <c r="A396" s="0" t="n">
        <v>395</v>
      </c>
      <c r="B396" s="0" t="s">
        <v>2654</v>
      </c>
      <c r="C396" s="0" t="s">
        <v>43</v>
      </c>
      <c r="F396" s="0" t="s">
        <v>44</v>
      </c>
      <c r="H396" s="0" t="s">
        <v>2655</v>
      </c>
      <c r="I396" s="0" t="s">
        <v>154</v>
      </c>
      <c r="AA396" s="0" t="s">
        <v>47</v>
      </c>
      <c r="AF396" s="3" t="s">
        <v>48</v>
      </c>
      <c r="AG396" s="3" t="s">
        <v>49</v>
      </c>
      <c r="AL396" s="0" t="s">
        <v>2656</v>
      </c>
      <c r="AM396" s="0" t="s">
        <v>2657</v>
      </c>
      <c r="AO396" s="0" t="s">
        <v>2658</v>
      </c>
      <c r="AP396" s="0" t="s">
        <v>2658</v>
      </c>
      <c r="AR396" s="0" t="s">
        <v>2659</v>
      </c>
    </row>
    <row r="397" customFormat="false" ht="15" hidden="false" customHeight="false" outlineLevel="0" collapsed="false">
      <c r="A397" s="0" t="n">
        <v>396</v>
      </c>
      <c r="B397" s="0" t="s">
        <v>2660</v>
      </c>
      <c r="C397" s="0" t="s">
        <v>88</v>
      </c>
      <c r="E397" s="0" t="s">
        <v>2661</v>
      </c>
      <c r="H397" s="0" t="s">
        <v>2662</v>
      </c>
      <c r="I397" s="0" t="s">
        <v>154</v>
      </c>
      <c r="AA397" s="0" t="s">
        <v>47</v>
      </c>
      <c r="AB397" s="0" t="s">
        <v>2663</v>
      </c>
      <c r="AC397" s="0" t="s">
        <v>2664</v>
      </c>
      <c r="AD397" s="0" t="s">
        <v>2665</v>
      </c>
      <c r="AE397" s="0" t="s">
        <v>79</v>
      </c>
      <c r="AF397" s="3" t="s">
        <v>48</v>
      </c>
      <c r="AG397" s="3" t="s">
        <v>49</v>
      </c>
      <c r="AM397" s="0" t="s">
        <v>2666</v>
      </c>
      <c r="AO397" s="0" t="s">
        <v>2667</v>
      </c>
      <c r="AP397" s="0" t="s">
        <v>2667</v>
      </c>
      <c r="AR397" s="0" t="s">
        <v>2668</v>
      </c>
    </row>
    <row r="398" customFormat="false" ht="15" hidden="false" customHeight="false" outlineLevel="0" collapsed="false">
      <c r="A398" s="0" t="n">
        <v>397</v>
      </c>
      <c r="B398" s="0" t="s">
        <v>2669</v>
      </c>
      <c r="C398" s="0" t="s">
        <v>88</v>
      </c>
      <c r="E398" s="0" t="s">
        <v>2670</v>
      </c>
      <c r="H398" s="0" t="s">
        <v>2671</v>
      </c>
      <c r="I398" s="0" t="s">
        <v>94</v>
      </c>
      <c r="N398" s="3" t="s">
        <v>202</v>
      </c>
      <c r="O398" s="3" t="s">
        <v>202</v>
      </c>
      <c r="P398" s="0" t="s">
        <v>96</v>
      </c>
      <c r="AA398" s="0" t="s">
        <v>47</v>
      </c>
      <c r="AB398" s="0" t="s">
        <v>2672</v>
      </c>
      <c r="AC398" s="0" t="s">
        <v>2673</v>
      </c>
      <c r="AD398" s="0" t="s">
        <v>2674</v>
      </c>
      <c r="AE398" s="0" t="s">
        <v>79</v>
      </c>
      <c r="AF398" s="3" t="s">
        <v>48</v>
      </c>
      <c r="AG398" s="3" t="s">
        <v>49</v>
      </c>
      <c r="AR398" s="0" t="s">
        <v>2670</v>
      </c>
    </row>
    <row r="399" customFormat="false" ht="15" hidden="false" customHeight="false" outlineLevel="0" collapsed="false">
      <c r="A399" s="0" t="n">
        <v>398</v>
      </c>
      <c r="B399" s="0" t="s">
        <v>2675</v>
      </c>
      <c r="C399" s="0" t="s">
        <v>88</v>
      </c>
      <c r="E399" s="0" t="s">
        <v>2676</v>
      </c>
      <c r="H399" s="0" t="s">
        <v>2677</v>
      </c>
      <c r="I399" s="0" t="s">
        <v>94</v>
      </c>
      <c r="N399" s="3" t="s">
        <v>202</v>
      </c>
      <c r="O399" s="3" t="s">
        <v>202</v>
      </c>
      <c r="P399" s="0" t="s">
        <v>96</v>
      </c>
      <c r="AA399" s="0" t="s">
        <v>47</v>
      </c>
      <c r="AB399" s="0" t="s">
        <v>2678</v>
      </c>
      <c r="AC399" s="0" t="s">
        <v>2679</v>
      </c>
      <c r="AD399" s="0" t="s">
        <v>2680</v>
      </c>
      <c r="AE399" s="0" t="s">
        <v>79</v>
      </c>
      <c r="AF399" s="3" t="s">
        <v>48</v>
      </c>
      <c r="AG399" s="3" t="s">
        <v>49</v>
      </c>
      <c r="AR399" s="0" t="s">
        <v>2676</v>
      </c>
    </row>
    <row r="400" customFormat="false" ht="15" hidden="false" customHeight="false" outlineLevel="0" collapsed="false">
      <c r="A400" s="0" t="n">
        <v>399</v>
      </c>
      <c r="B400" s="0" t="s">
        <v>2681</v>
      </c>
      <c r="C400" s="0" t="s">
        <v>88</v>
      </c>
      <c r="E400" s="0" t="s">
        <v>2682</v>
      </c>
      <c r="N400" s="3" t="s">
        <v>202</v>
      </c>
      <c r="O400" s="3" t="s">
        <v>202</v>
      </c>
      <c r="P400" s="0" t="s">
        <v>96</v>
      </c>
      <c r="AA400" s="0" t="s">
        <v>47</v>
      </c>
      <c r="AB400" s="0" t="s">
        <v>2683</v>
      </c>
      <c r="AC400" s="0" t="s">
        <v>2684</v>
      </c>
      <c r="AD400" s="0" t="s">
        <v>2685</v>
      </c>
      <c r="AE400" s="0" t="s">
        <v>79</v>
      </c>
      <c r="AF400" s="3" t="s">
        <v>48</v>
      </c>
      <c r="AG400" s="3" t="s">
        <v>49</v>
      </c>
      <c r="AR400" s="0" t="s">
        <v>2682</v>
      </c>
    </row>
    <row r="401" customFormat="false" ht="15" hidden="false" customHeight="false" outlineLevel="0" collapsed="false">
      <c r="A401" s="0" t="n">
        <v>400</v>
      </c>
      <c r="B401" s="0" t="s">
        <v>2686</v>
      </c>
      <c r="C401" s="0" t="s">
        <v>88</v>
      </c>
      <c r="E401" s="0" t="s">
        <v>2687</v>
      </c>
      <c r="H401" s="0" t="s">
        <v>2688</v>
      </c>
      <c r="I401" s="0" t="s">
        <v>46</v>
      </c>
      <c r="N401" s="3" t="s">
        <v>186</v>
      </c>
      <c r="O401" s="3" t="s">
        <v>186</v>
      </c>
      <c r="P401" s="0" t="s">
        <v>96</v>
      </c>
      <c r="AA401" s="0" t="s">
        <v>47</v>
      </c>
      <c r="AB401" s="0" t="s">
        <v>2689</v>
      </c>
      <c r="AC401" s="0" t="s">
        <v>2690</v>
      </c>
      <c r="AD401" s="0" t="s">
        <v>2691</v>
      </c>
      <c r="AE401" s="0" t="s">
        <v>79</v>
      </c>
      <c r="AF401" s="3" t="s">
        <v>48</v>
      </c>
      <c r="AG401" s="3" t="s">
        <v>49</v>
      </c>
      <c r="AR401" s="0" t="s">
        <v>2687</v>
      </c>
    </row>
    <row r="402" customFormat="false" ht="15" hidden="false" customHeight="false" outlineLevel="0" collapsed="false">
      <c r="A402" s="0" t="n">
        <v>401</v>
      </c>
      <c r="B402" s="0" t="s">
        <v>2692</v>
      </c>
      <c r="C402" s="0" t="s">
        <v>88</v>
      </c>
      <c r="E402" s="0" t="s">
        <v>2693</v>
      </c>
      <c r="H402" s="0" t="s">
        <v>2694</v>
      </c>
      <c r="I402" s="0" t="s">
        <v>46</v>
      </c>
      <c r="N402" s="3" t="s">
        <v>119</v>
      </c>
      <c r="O402" s="3" t="s">
        <v>119</v>
      </c>
      <c r="P402" s="0" t="s">
        <v>96</v>
      </c>
      <c r="AA402" s="0" t="s">
        <v>47</v>
      </c>
      <c r="AB402" s="0" t="s">
        <v>2695</v>
      </c>
      <c r="AC402" s="0" t="s">
        <v>2696</v>
      </c>
      <c r="AD402" s="0" t="s">
        <v>2697</v>
      </c>
      <c r="AE402" s="0" t="s">
        <v>79</v>
      </c>
      <c r="AF402" s="3" t="s">
        <v>48</v>
      </c>
      <c r="AG402" s="3" t="s">
        <v>49</v>
      </c>
      <c r="AR402" s="0" t="s">
        <v>2693</v>
      </c>
    </row>
    <row r="403" customFormat="false" ht="15" hidden="false" customHeight="false" outlineLevel="0" collapsed="false">
      <c r="A403" s="0" t="n">
        <v>402</v>
      </c>
      <c r="B403" s="0" t="s">
        <v>2698</v>
      </c>
      <c r="C403" s="0" t="s">
        <v>88</v>
      </c>
      <c r="E403" s="0" t="s">
        <v>2699</v>
      </c>
      <c r="H403" s="0" t="s">
        <v>2700</v>
      </c>
      <c r="I403" s="0" t="s">
        <v>46</v>
      </c>
      <c r="AA403" s="0" t="s">
        <v>47</v>
      </c>
      <c r="AF403" s="3" t="s">
        <v>48</v>
      </c>
      <c r="AG403" s="3" t="s">
        <v>49</v>
      </c>
      <c r="AR403" s="0" t="s">
        <v>2699</v>
      </c>
    </row>
    <row r="404" customFormat="false" ht="15" hidden="false" customHeight="false" outlineLevel="0" collapsed="false">
      <c r="A404" s="0" t="n">
        <v>403</v>
      </c>
      <c r="B404" s="0" t="s">
        <v>2701</v>
      </c>
      <c r="C404" s="0" t="s">
        <v>88</v>
      </c>
      <c r="E404" s="0" t="s">
        <v>2702</v>
      </c>
      <c r="N404" s="3" t="s">
        <v>186</v>
      </c>
      <c r="O404" s="3" t="s">
        <v>186</v>
      </c>
      <c r="P404" s="0" t="s">
        <v>96</v>
      </c>
      <c r="AA404" s="0" t="s">
        <v>47</v>
      </c>
      <c r="AB404" s="0" t="s">
        <v>2703</v>
      </c>
      <c r="AC404" s="0" t="s">
        <v>2704</v>
      </c>
      <c r="AD404" s="0" t="s">
        <v>2705</v>
      </c>
      <c r="AE404" s="0" t="s">
        <v>79</v>
      </c>
      <c r="AF404" s="3" t="s">
        <v>48</v>
      </c>
      <c r="AG404" s="3" t="s">
        <v>49</v>
      </c>
      <c r="AR404" s="0" t="s">
        <v>2702</v>
      </c>
    </row>
    <row r="405" customFormat="false" ht="15" hidden="false" customHeight="false" outlineLevel="0" collapsed="false">
      <c r="A405" s="0" t="n">
        <v>404</v>
      </c>
      <c r="B405" s="0" t="s">
        <v>2706</v>
      </c>
      <c r="C405" s="0" t="s">
        <v>145</v>
      </c>
      <c r="F405" s="0" t="s">
        <v>146</v>
      </c>
      <c r="H405" s="0" t="s">
        <v>2707</v>
      </c>
      <c r="I405" s="0" t="s">
        <v>154</v>
      </c>
      <c r="N405" s="3" t="s">
        <v>119</v>
      </c>
      <c r="O405" s="3" t="s">
        <v>119</v>
      </c>
      <c r="P405" s="0" t="s">
        <v>96</v>
      </c>
      <c r="Q405" s="0" t="s">
        <v>2708</v>
      </c>
      <c r="AA405" s="0" t="s">
        <v>47</v>
      </c>
      <c r="AF405" s="3" t="s">
        <v>149</v>
      </c>
      <c r="AG405" s="3" t="s">
        <v>81</v>
      </c>
      <c r="AK405" s="0" t="s">
        <v>2709</v>
      </c>
      <c r="AL405" s="0" t="s">
        <v>2710</v>
      </c>
      <c r="AM405" s="0" t="s">
        <v>2711</v>
      </c>
      <c r="AO405" s="0" t="s">
        <v>2712</v>
      </c>
      <c r="AP405" s="0" t="s">
        <v>2712</v>
      </c>
      <c r="AR405" s="0" t="s">
        <v>2713</v>
      </c>
    </row>
    <row r="406" customFormat="false" ht="15" hidden="false" customHeight="false" outlineLevel="0" collapsed="false">
      <c r="A406" s="0" t="n">
        <v>405</v>
      </c>
      <c r="B406" s="0" t="s">
        <v>2714</v>
      </c>
      <c r="C406" s="0" t="s">
        <v>88</v>
      </c>
      <c r="E406" s="0" t="s">
        <v>2715</v>
      </c>
      <c r="H406" s="0" t="s">
        <v>2716</v>
      </c>
      <c r="I406" s="0" t="s">
        <v>154</v>
      </c>
      <c r="N406" s="3" t="s">
        <v>202</v>
      </c>
      <c r="O406" s="3" t="s">
        <v>202</v>
      </c>
      <c r="P406" s="0" t="s">
        <v>96</v>
      </c>
      <c r="AA406" s="0" t="s">
        <v>47</v>
      </c>
      <c r="AB406" s="0" t="s">
        <v>2717</v>
      </c>
      <c r="AC406" s="0" t="s">
        <v>2718</v>
      </c>
      <c r="AD406" s="0" t="s">
        <v>2719</v>
      </c>
      <c r="AE406" s="0" t="s">
        <v>79</v>
      </c>
      <c r="AF406" s="3" t="s">
        <v>108</v>
      </c>
      <c r="AG406" s="3" t="s">
        <v>49</v>
      </c>
      <c r="AH406" s="0" t="n">
        <v>2026</v>
      </c>
      <c r="AI406" s="0" t="s">
        <v>2720</v>
      </c>
      <c r="AJ406" s="0" t="s">
        <v>2721</v>
      </c>
      <c r="AM406" s="0" t="s">
        <v>2722</v>
      </c>
      <c r="AO406" s="0" t="s">
        <v>2723</v>
      </c>
      <c r="AP406" s="0" t="s">
        <v>2723</v>
      </c>
      <c r="AR406" s="0" t="s">
        <v>2724</v>
      </c>
    </row>
    <row r="407" customFormat="false" ht="15" hidden="false" customHeight="false" outlineLevel="0" collapsed="false">
      <c r="A407" s="0" t="n">
        <v>406</v>
      </c>
      <c r="B407" s="0" t="s">
        <v>2725</v>
      </c>
      <c r="C407" s="0" t="s">
        <v>88</v>
      </c>
      <c r="E407" s="0" t="s">
        <v>2726</v>
      </c>
      <c r="H407" s="0" t="s">
        <v>2727</v>
      </c>
      <c r="I407" s="0" t="s">
        <v>94</v>
      </c>
      <c r="N407" s="3" t="s">
        <v>202</v>
      </c>
      <c r="O407" s="3" t="s">
        <v>202</v>
      </c>
      <c r="P407" s="0" t="s">
        <v>96</v>
      </c>
      <c r="AA407" s="0" t="s">
        <v>47</v>
      </c>
      <c r="AB407" s="0" t="s">
        <v>2728</v>
      </c>
      <c r="AC407" s="0" t="s">
        <v>2729</v>
      </c>
      <c r="AD407" s="0" t="s">
        <v>2730</v>
      </c>
      <c r="AE407" s="0" t="s">
        <v>79</v>
      </c>
      <c r="AF407" s="3" t="s">
        <v>108</v>
      </c>
      <c r="AG407" s="3" t="s">
        <v>49</v>
      </c>
      <c r="AH407" s="0" t="n">
        <v>2026</v>
      </c>
      <c r="AI407" s="0" t="s">
        <v>1530</v>
      </c>
      <c r="AJ407" s="0" t="s">
        <v>1531</v>
      </c>
      <c r="AP407" s="0" t="s">
        <v>2731</v>
      </c>
      <c r="AR407" s="0" t="s">
        <v>2732</v>
      </c>
    </row>
    <row r="408" customFormat="false" ht="15" hidden="false" customHeight="false" outlineLevel="0" collapsed="false">
      <c r="A408" s="0" t="n">
        <v>407</v>
      </c>
      <c r="B408" s="0" t="s">
        <v>2733</v>
      </c>
      <c r="C408" s="0" t="s">
        <v>43</v>
      </c>
      <c r="F408" s="0" t="s">
        <v>44</v>
      </c>
      <c r="H408" s="0" t="s">
        <v>2734</v>
      </c>
      <c r="I408" s="0" t="s">
        <v>154</v>
      </c>
      <c r="AA408" s="0" t="s">
        <v>47</v>
      </c>
      <c r="AF408" s="3" t="s">
        <v>48</v>
      </c>
      <c r="AG408" s="3" t="s">
        <v>49</v>
      </c>
      <c r="AL408" s="0" t="s">
        <v>2735</v>
      </c>
      <c r="AM408" s="0" t="s">
        <v>2736</v>
      </c>
      <c r="AO408" s="0" t="s">
        <v>2737</v>
      </c>
      <c r="AP408" s="0" t="s">
        <v>2737</v>
      </c>
      <c r="AR408" s="0" t="s">
        <v>2738</v>
      </c>
    </row>
    <row r="409" customFormat="false" ht="15" hidden="false" customHeight="false" outlineLevel="0" collapsed="false">
      <c r="A409" s="0" t="n">
        <v>408</v>
      </c>
      <c r="B409" s="0" t="s">
        <v>2739</v>
      </c>
      <c r="C409" s="0" t="s">
        <v>88</v>
      </c>
      <c r="E409" s="0" t="s">
        <v>2740</v>
      </c>
      <c r="H409" s="0" t="s">
        <v>2741</v>
      </c>
      <c r="I409" s="0" t="s">
        <v>154</v>
      </c>
      <c r="AA409" s="0" t="s">
        <v>47</v>
      </c>
      <c r="AB409" s="0" t="s">
        <v>2742</v>
      </c>
      <c r="AC409" s="0" t="s">
        <v>2743</v>
      </c>
      <c r="AD409" s="0" t="s">
        <v>2744</v>
      </c>
      <c r="AE409" s="0" t="s">
        <v>79</v>
      </c>
      <c r="AF409" s="3" t="s">
        <v>48</v>
      </c>
      <c r="AG409" s="3" t="s">
        <v>49</v>
      </c>
      <c r="AL409" s="0" t="s">
        <v>2745</v>
      </c>
      <c r="AO409" s="0" t="s">
        <v>2746</v>
      </c>
      <c r="AP409" s="0" t="s">
        <v>2746</v>
      </c>
      <c r="AR409" s="0" t="s">
        <v>2747</v>
      </c>
    </row>
    <row r="410" customFormat="false" ht="15" hidden="false" customHeight="false" outlineLevel="0" collapsed="false">
      <c r="A410" s="0" t="n">
        <v>409</v>
      </c>
      <c r="B410" s="0" t="s">
        <v>2748</v>
      </c>
      <c r="C410" s="0" t="s">
        <v>88</v>
      </c>
      <c r="E410" s="0" t="s">
        <v>2749</v>
      </c>
      <c r="H410" s="0" t="s">
        <v>2750</v>
      </c>
      <c r="I410" s="0" t="s">
        <v>154</v>
      </c>
      <c r="AA410" s="0" t="s">
        <v>47</v>
      </c>
      <c r="AF410" s="3" t="s">
        <v>108</v>
      </c>
      <c r="AG410" s="3" t="s">
        <v>49</v>
      </c>
      <c r="AH410" s="0" t="n">
        <v>2026</v>
      </c>
      <c r="AI410" s="0" t="s">
        <v>2751</v>
      </c>
      <c r="AJ410" s="0" t="s">
        <v>2752</v>
      </c>
      <c r="AL410" s="0" t="s">
        <v>2753</v>
      </c>
      <c r="AO410" s="0" t="s">
        <v>2754</v>
      </c>
      <c r="AP410" s="0" t="s">
        <v>2754</v>
      </c>
      <c r="AR410" s="0" t="s">
        <v>2755</v>
      </c>
    </row>
    <row r="411" customFormat="false" ht="15" hidden="false" customHeight="false" outlineLevel="0" collapsed="false">
      <c r="A411" s="0" t="n">
        <v>410</v>
      </c>
      <c r="B411" s="0" t="s">
        <v>2756</v>
      </c>
      <c r="C411" s="0" t="s">
        <v>88</v>
      </c>
      <c r="E411" s="0" t="s">
        <v>2757</v>
      </c>
      <c r="N411" s="3" t="s">
        <v>202</v>
      </c>
      <c r="O411" s="3" t="s">
        <v>202</v>
      </c>
      <c r="P411" s="0" t="s">
        <v>96</v>
      </c>
      <c r="AA411" s="0" t="s">
        <v>47</v>
      </c>
      <c r="AB411" s="0" t="s">
        <v>2758</v>
      </c>
      <c r="AC411" s="0" t="s">
        <v>2759</v>
      </c>
      <c r="AD411" s="0" t="s">
        <v>2760</v>
      </c>
      <c r="AE411" s="0" t="s">
        <v>79</v>
      </c>
      <c r="AF411" s="3" t="s">
        <v>48</v>
      </c>
      <c r="AG411" s="3" t="s">
        <v>49</v>
      </c>
      <c r="AR411" s="0" t="s">
        <v>2757</v>
      </c>
    </row>
    <row r="412" customFormat="false" ht="15" hidden="false" customHeight="false" outlineLevel="0" collapsed="false">
      <c r="A412" s="0" t="n">
        <v>411</v>
      </c>
      <c r="B412" s="0" t="s">
        <v>2761</v>
      </c>
      <c r="C412" s="0" t="s">
        <v>88</v>
      </c>
      <c r="E412" s="0" t="s">
        <v>2762</v>
      </c>
      <c r="H412" s="0" t="s">
        <v>2763</v>
      </c>
      <c r="I412" s="0" t="s">
        <v>46</v>
      </c>
      <c r="N412" s="3" t="s">
        <v>213</v>
      </c>
      <c r="O412" s="3" t="s">
        <v>213</v>
      </c>
      <c r="P412" s="0" t="s">
        <v>96</v>
      </c>
      <c r="AA412" s="0" t="s">
        <v>47</v>
      </c>
      <c r="AB412" s="0" t="s">
        <v>2764</v>
      </c>
      <c r="AC412" s="0" t="s">
        <v>2765</v>
      </c>
      <c r="AD412" s="0" t="s">
        <v>2766</v>
      </c>
      <c r="AE412" s="0" t="s">
        <v>79</v>
      </c>
      <c r="AF412" s="3" t="s">
        <v>108</v>
      </c>
      <c r="AG412" s="3" t="s">
        <v>49</v>
      </c>
      <c r="AH412" s="0" t="n">
        <v>2026</v>
      </c>
      <c r="AI412" s="0" t="s">
        <v>2767</v>
      </c>
      <c r="AJ412" s="0" t="s">
        <v>2768</v>
      </c>
      <c r="AR412" s="0" t="s">
        <v>2769</v>
      </c>
    </row>
    <row r="413" customFormat="false" ht="15" hidden="false" customHeight="false" outlineLevel="0" collapsed="false">
      <c r="A413" s="0" t="n">
        <v>412</v>
      </c>
      <c r="B413" s="0" t="s">
        <v>2770</v>
      </c>
      <c r="C413" s="0" t="s">
        <v>61</v>
      </c>
      <c r="D413" s="0" t="s">
        <v>2771</v>
      </c>
      <c r="E413" s="0" t="s">
        <v>2772</v>
      </c>
      <c r="H413" s="0" t="s">
        <v>2773</v>
      </c>
      <c r="I413" s="0" t="s">
        <v>94</v>
      </c>
      <c r="N413" s="3" t="s">
        <v>1624</v>
      </c>
      <c r="O413" s="3" t="s">
        <v>1624</v>
      </c>
      <c r="P413" s="0" t="s">
        <v>55</v>
      </c>
      <c r="AA413" s="0" t="s">
        <v>47</v>
      </c>
      <c r="AB413" s="0" t="s">
        <v>2774</v>
      </c>
      <c r="AC413" s="0" t="s">
        <v>2775</v>
      </c>
      <c r="AD413" s="0" t="s">
        <v>2776</v>
      </c>
      <c r="AE413" s="0" t="s">
        <v>79</v>
      </c>
      <c r="AF413" s="3" t="s">
        <v>149</v>
      </c>
      <c r="AG413" s="3" t="s">
        <v>81</v>
      </c>
      <c r="AK413" s="0" t="s">
        <v>2777</v>
      </c>
      <c r="AL413" s="0" t="s">
        <v>2778</v>
      </c>
      <c r="AM413" s="0" t="s">
        <v>2779</v>
      </c>
      <c r="AO413" s="0" t="s">
        <v>2780</v>
      </c>
      <c r="AP413" s="0" t="s">
        <v>2780</v>
      </c>
      <c r="AR413" s="0" t="s">
        <v>2781</v>
      </c>
    </row>
    <row r="414" customFormat="false" ht="15" hidden="false" customHeight="false" outlineLevel="0" collapsed="false">
      <c r="A414" s="0" t="n">
        <v>413</v>
      </c>
      <c r="B414" s="0" t="s">
        <v>2782</v>
      </c>
      <c r="C414" s="0" t="s">
        <v>43</v>
      </c>
      <c r="F414" s="0" t="s">
        <v>44</v>
      </c>
      <c r="H414" s="0" t="s">
        <v>2783</v>
      </c>
      <c r="I414" s="0" t="s">
        <v>154</v>
      </c>
      <c r="AA414" s="0" t="s">
        <v>47</v>
      </c>
      <c r="AF414" s="3" t="s">
        <v>48</v>
      </c>
      <c r="AG414" s="3" t="s">
        <v>49</v>
      </c>
      <c r="AL414" s="0" t="s">
        <v>2778</v>
      </c>
      <c r="AM414" s="0" t="s">
        <v>2779</v>
      </c>
      <c r="AO414" s="0" t="s">
        <v>2780</v>
      </c>
      <c r="AP414" s="0" t="s">
        <v>2780</v>
      </c>
      <c r="AR414" s="0" t="s">
        <v>2784</v>
      </c>
    </row>
    <row r="415" customFormat="false" ht="15" hidden="false" customHeight="false" outlineLevel="0" collapsed="false">
      <c r="A415" s="0" t="n">
        <v>414</v>
      </c>
      <c r="B415" s="0" t="s">
        <v>2785</v>
      </c>
      <c r="C415" s="0" t="s">
        <v>88</v>
      </c>
      <c r="E415" s="0" t="s">
        <v>2786</v>
      </c>
      <c r="H415" s="0" t="s">
        <v>2787</v>
      </c>
      <c r="I415" s="0" t="s">
        <v>154</v>
      </c>
      <c r="N415" s="3" t="s">
        <v>202</v>
      </c>
      <c r="O415" s="3" t="s">
        <v>202</v>
      </c>
      <c r="P415" s="0" t="s">
        <v>96</v>
      </c>
      <c r="AA415" s="0" t="s">
        <v>47</v>
      </c>
      <c r="AB415" s="0" t="s">
        <v>2788</v>
      </c>
      <c r="AC415" s="0" t="s">
        <v>2789</v>
      </c>
      <c r="AD415" s="0" t="s">
        <v>2790</v>
      </c>
      <c r="AE415" s="0" t="s">
        <v>79</v>
      </c>
      <c r="AF415" s="3" t="s">
        <v>48</v>
      </c>
      <c r="AG415" s="3" t="s">
        <v>49</v>
      </c>
      <c r="AL415" s="0" t="s">
        <v>2791</v>
      </c>
      <c r="AM415" s="0" t="s">
        <v>2792</v>
      </c>
      <c r="AO415" s="0" t="s">
        <v>2793</v>
      </c>
      <c r="AP415" s="0" t="s">
        <v>2793</v>
      </c>
      <c r="AR415" s="0" t="s">
        <v>2794</v>
      </c>
    </row>
    <row r="416" customFormat="false" ht="15" hidden="false" customHeight="false" outlineLevel="0" collapsed="false">
      <c r="A416" s="0" t="n">
        <v>415</v>
      </c>
      <c r="B416" s="0" t="s">
        <v>2795</v>
      </c>
      <c r="C416" s="0" t="s">
        <v>88</v>
      </c>
      <c r="E416" s="0" t="s">
        <v>2796</v>
      </c>
      <c r="N416" s="3" t="s">
        <v>213</v>
      </c>
      <c r="O416" s="3" t="s">
        <v>213</v>
      </c>
      <c r="P416" s="0" t="s">
        <v>96</v>
      </c>
      <c r="AA416" s="0" t="s">
        <v>47</v>
      </c>
      <c r="AB416" s="0" t="s">
        <v>2797</v>
      </c>
      <c r="AC416" s="0" t="s">
        <v>2798</v>
      </c>
      <c r="AD416" s="0" t="s">
        <v>2799</v>
      </c>
      <c r="AE416" s="0" t="s">
        <v>79</v>
      </c>
      <c r="AF416" s="3" t="s">
        <v>48</v>
      </c>
      <c r="AG416" s="3" t="s">
        <v>49</v>
      </c>
      <c r="AR416" s="0" t="s">
        <v>2796</v>
      </c>
    </row>
    <row r="417" customFormat="false" ht="15" hidden="false" customHeight="false" outlineLevel="0" collapsed="false">
      <c r="A417" s="0" t="n">
        <v>416</v>
      </c>
      <c r="B417" s="0" t="s">
        <v>2800</v>
      </c>
      <c r="C417" s="0" t="s">
        <v>61</v>
      </c>
      <c r="D417" s="0" t="s">
        <v>2801</v>
      </c>
      <c r="E417" s="0" t="s">
        <v>2802</v>
      </c>
      <c r="H417" s="0" t="s">
        <v>2803</v>
      </c>
      <c r="I417" s="0" t="s">
        <v>46</v>
      </c>
      <c r="N417" s="0" t="s">
        <v>2804</v>
      </c>
      <c r="O417" s="0" t="s">
        <v>2804</v>
      </c>
      <c r="P417" s="0" t="s">
        <v>55</v>
      </c>
      <c r="AA417" s="0" t="s">
        <v>47</v>
      </c>
      <c r="AB417" s="0" t="s">
        <v>2805</v>
      </c>
      <c r="AC417" s="0" t="s">
        <v>2806</v>
      </c>
      <c r="AD417" s="0" t="s">
        <v>2807</v>
      </c>
      <c r="AE417" s="0" t="s">
        <v>79</v>
      </c>
      <c r="AF417" s="3" t="s">
        <v>149</v>
      </c>
      <c r="AG417" s="3" t="s">
        <v>81</v>
      </c>
      <c r="AK417" s="0" t="s">
        <v>2808</v>
      </c>
      <c r="AR417" s="0" t="s">
        <v>2809</v>
      </c>
    </row>
    <row r="418" customFormat="false" ht="15" hidden="false" customHeight="false" outlineLevel="0" collapsed="false">
      <c r="A418" s="0" t="n">
        <v>417</v>
      </c>
      <c r="B418" s="0" t="s">
        <v>2810</v>
      </c>
      <c r="C418" s="0" t="s">
        <v>88</v>
      </c>
      <c r="E418" s="0" t="s">
        <v>2811</v>
      </c>
      <c r="H418" s="0" t="s">
        <v>2812</v>
      </c>
      <c r="I418" s="0" t="s">
        <v>154</v>
      </c>
      <c r="N418" s="3" t="s">
        <v>239</v>
      </c>
      <c r="O418" s="3" t="s">
        <v>239</v>
      </c>
      <c r="P418" s="0" t="s">
        <v>96</v>
      </c>
      <c r="AA418" s="0" t="s">
        <v>47</v>
      </c>
      <c r="AB418" s="0" t="s">
        <v>2813</v>
      </c>
      <c r="AC418" s="0" t="s">
        <v>2814</v>
      </c>
      <c r="AD418" s="0" t="s">
        <v>2815</v>
      </c>
      <c r="AE418" s="0" t="s">
        <v>79</v>
      </c>
      <c r="AF418" s="3" t="s">
        <v>48</v>
      </c>
      <c r="AG418" s="3" t="s">
        <v>49</v>
      </c>
      <c r="AL418" s="0" t="s">
        <v>2816</v>
      </c>
      <c r="AO418" s="0" t="s">
        <v>2817</v>
      </c>
      <c r="AP418" s="0" t="s">
        <v>2817</v>
      </c>
      <c r="AR418" s="0" t="s">
        <v>2818</v>
      </c>
    </row>
    <row r="419" customFormat="false" ht="15" hidden="false" customHeight="false" outlineLevel="0" collapsed="false">
      <c r="A419" s="0" t="n">
        <v>418</v>
      </c>
      <c r="B419" s="0" t="s">
        <v>2819</v>
      </c>
      <c r="C419" s="0" t="s">
        <v>52</v>
      </c>
      <c r="D419" s="0" t="s">
        <v>2820</v>
      </c>
      <c r="H419" s="0" t="s">
        <v>2821</v>
      </c>
      <c r="I419" s="0" t="s">
        <v>115</v>
      </c>
      <c r="J419" s="3" t="s">
        <v>694</v>
      </c>
      <c r="K419" s="0" t="s">
        <v>2822</v>
      </c>
      <c r="L419" s="0" t="s">
        <v>2823</v>
      </c>
      <c r="M419" s="0" t="n">
        <v>2017</v>
      </c>
      <c r="N419" s="0" t="s">
        <v>2435</v>
      </c>
      <c r="O419" s="3" t="s">
        <v>104</v>
      </c>
      <c r="P419" s="0" t="s">
        <v>55</v>
      </c>
      <c r="R419" s="0" t="n">
        <v>1800</v>
      </c>
      <c r="S419" s="0" t="n">
        <v>2025</v>
      </c>
      <c r="T419" s="0" t="s">
        <v>72</v>
      </c>
      <c r="U419" s="0" t="s">
        <v>115</v>
      </c>
      <c r="V419" s="0" t="n">
        <v>106</v>
      </c>
      <c r="W419" s="0" t="s">
        <v>2824</v>
      </c>
      <c r="X419" s="0" t="s">
        <v>2825</v>
      </c>
      <c r="Y419" s="0" t="s">
        <v>698</v>
      </c>
      <c r="Z419" s="0" t="s">
        <v>115</v>
      </c>
      <c r="AA419" s="0" t="s">
        <v>1022</v>
      </c>
      <c r="AB419" s="0" t="s">
        <v>2826</v>
      </c>
      <c r="AC419" s="0" t="s">
        <v>2827</v>
      </c>
      <c r="AD419" s="0" t="s">
        <v>2828</v>
      </c>
      <c r="AE419" s="0" t="s">
        <v>115</v>
      </c>
      <c r="AF419" s="3" t="s">
        <v>108</v>
      </c>
      <c r="AG419" s="3" t="s">
        <v>81</v>
      </c>
      <c r="AH419" s="0" t="n">
        <v>2026</v>
      </c>
      <c r="AI419" s="0" t="s">
        <v>2829</v>
      </c>
      <c r="AJ419" s="0" t="s">
        <v>2830</v>
      </c>
      <c r="AK419" s="3" t="s">
        <v>2831</v>
      </c>
      <c r="AL419" s="0" t="s">
        <v>2832</v>
      </c>
      <c r="AN419" s="0" t="s">
        <v>2833</v>
      </c>
      <c r="AO419" s="0" t="s">
        <v>2834</v>
      </c>
      <c r="AP419" s="0" t="s">
        <v>2835</v>
      </c>
      <c r="AR419" s="0" t="s">
        <v>2836</v>
      </c>
    </row>
    <row r="420" customFormat="false" ht="15" hidden="false" customHeight="false" outlineLevel="0" collapsed="false">
      <c r="A420" s="0" t="n">
        <v>419</v>
      </c>
      <c r="B420" s="0" t="s">
        <v>2837</v>
      </c>
      <c r="C420" s="0" t="s">
        <v>88</v>
      </c>
      <c r="E420" s="0" t="s">
        <v>2838</v>
      </c>
      <c r="H420" s="0" t="s">
        <v>2839</v>
      </c>
      <c r="I420" s="0" t="s">
        <v>154</v>
      </c>
      <c r="AA420" s="0" t="s">
        <v>47</v>
      </c>
      <c r="AF420" s="3" t="s">
        <v>48</v>
      </c>
      <c r="AG420" s="3" t="s">
        <v>49</v>
      </c>
      <c r="AL420" s="0" t="s">
        <v>2840</v>
      </c>
      <c r="AO420" s="0" t="s">
        <v>2841</v>
      </c>
      <c r="AP420" s="0" t="s">
        <v>2841</v>
      </c>
      <c r="AR420" s="0" t="s">
        <v>2842</v>
      </c>
    </row>
    <row r="421" customFormat="false" ht="15" hidden="false" customHeight="false" outlineLevel="0" collapsed="false">
      <c r="A421" s="0" t="n">
        <v>420</v>
      </c>
      <c r="B421" s="0" t="s">
        <v>2843</v>
      </c>
      <c r="C421" s="0" t="s">
        <v>88</v>
      </c>
      <c r="E421" s="0" t="s">
        <v>2844</v>
      </c>
      <c r="H421" s="0" t="s">
        <v>2845</v>
      </c>
      <c r="I421" s="0" t="s">
        <v>154</v>
      </c>
      <c r="N421" s="3" t="s">
        <v>226</v>
      </c>
      <c r="O421" s="3" t="s">
        <v>226</v>
      </c>
      <c r="P421" s="0" t="s">
        <v>96</v>
      </c>
      <c r="AA421" s="0" t="s">
        <v>47</v>
      </c>
      <c r="AB421" s="0" t="s">
        <v>2846</v>
      </c>
      <c r="AC421" s="0" t="s">
        <v>2847</v>
      </c>
      <c r="AD421" s="0" t="s">
        <v>2848</v>
      </c>
      <c r="AE421" s="0" t="s">
        <v>79</v>
      </c>
      <c r="AF421" s="3" t="s">
        <v>48</v>
      </c>
      <c r="AG421" s="3" t="s">
        <v>49</v>
      </c>
      <c r="AL421" s="0" t="s">
        <v>2849</v>
      </c>
      <c r="AM421" s="0" t="s">
        <v>2850</v>
      </c>
      <c r="AO421" s="0" t="s">
        <v>2851</v>
      </c>
      <c r="AP421" s="0" t="s">
        <v>2851</v>
      </c>
      <c r="AR421" s="0" t="s">
        <v>2852</v>
      </c>
    </row>
    <row r="422" customFormat="false" ht="15" hidden="false" customHeight="false" outlineLevel="0" collapsed="false">
      <c r="A422" s="0" t="n">
        <v>421</v>
      </c>
      <c r="B422" s="0" t="s">
        <v>2853</v>
      </c>
      <c r="C422" s="0" t="s">
        <v>52</v>
      </c>
      <c r="D422" s="0" t="s">
        <v>2854</v>
      </c>
      <c r="G422" s="0" t="s">
        <v>3</v>
      </c>
      <c r="AA422" s="0" t="s">
        <v>47</v>
      </c>
      <c r="AF422" s="3" t="s">
        <v>48</v>
      </c>
      <c r="AG422" s="3" t="s">
        <v>49</v>
      </c>
      <c r="AR422" s="0" t="s">
        <v>2854</v>
      </c>
    </row>
    <row r="423" customFormat="false" ht="15" hidden="false" customHeight="false" outlineLevel="0" collapsed="false">
      <c r="A423" s="0" t="n">
        <v>422</v>
      </c>
      <c r="B423" s="0" t="s">
        <v>2855</v>
      </c>
      <c r="C423" s="0" t="s">
        <v>244</v>
      </c>
      <c r="E423" s="0" t="s">
        <v>2856</v>
      </c>
      <c r="F423" s="0" t="s">
        <v>44</v>
      </c>
      <c r="H423" s="0" t="s">
        <v>2821</v>
      </c>
      <c r="I423" s="0" t="s">
        <v>115</v>
      </c>
      <c r="J423" s="3" t="s">
        <v>694</v>
      </c>
      <c r="K423" s="0" t="s">
        <v>2822</v>
      </c>
      <c r="L423" s="0" t="s">
        <v>2823</v>
      </c>
      <c r="M423" s="0" t="n">
        <v>2017</v>
      </c>
      <c r="N423" s="0" t="s">
        <v>2435</v>
      </c>
      <c r="O423" s="3" t="s">
        <v>202</v>
      </c>
      <c r="P423" s="0" t="s">
        <v>96</v>
      </c>
      <c r="R423" s="0" t="n">
        <v>1800</v>
      </c>
      <c r="S423" s="0" t="n">
        <v>2025</v>
      </c>
      <c r="T423" s="0" t="s">
        <v>72</v>
      </c>
      <c r="U423" s="0" t="s">
        <v>115</v>
      </c>
      <c r="V423" s="0" t="n">
        <v>106</v>
      </c>
      <c r="W423" s="0" t="s">
        <v>2824</v>
      </c>
      <c r="X423" s="0" t="s">
        <v>2825</v>
      </c>
      <c r="Y423" s="0" t="s">
        <v>698</v>
      </c>
      <c r="Z423" s="0" t="s">
        <v>115</v>
      </c>
      <c r="AA423" s="0" t="s">
        <v>1022</v>
      </c>
      <c r="AB423" s="0" t="s">
        <v>2826</v>
      </c>
      <c r="AC423" s="0" t="s">
        <v>2827</v>
      </c>
      <c r="AD423" s="0" t="s">
        <v>2828</v>
      </c>
      <c r="AE423" s="0" t="s">
        <v>115</v>
      </c>
      <c r="AF423" s="3" t="s">
        <v>108</v>
      </c>
      <c r="AG423" s="3" t="s">
        <v>81</v>
      </c>
      <c r="AH423" s="0" t="n">
        <v>2026</v>
      </c>
      <c r="AI423" s="0" t="s">
        <v>2829</v>
      </c>
      <c r="AJ423" s="0" t="s">
        <v>2830</v>
      </c>
      <c r="AK423" s="3" t="s">
        <v>2831</v>
      </c>
      <c r="AL423" s="0" t="s">
        <v>2832</v>
      </c>
      <c r="AN423" s="0" t="s">
        <v>2833</v>
      </c>
      <c r="AO423" s="0" t="s">
        <v>2834</v>
      </c>
      <c r="AP423" s="0" t="s">
        <v>2835</v>
      </c>
      <c r="AR423" s="0" t="s">
        <v>2857</v>
      </c>
    </row>
    <row r="424" customFormat="false" ht="15" hidden="false" customHeight="false" outlineLevel="0" collapsed="false">
      <c r="A424" s="0" t="n">
        <v>423</v>
      </c>
      <c r="B424" s="0" t="s">
        <v>2858</v>
      </c>
      <c r="C424" s="0" t="s">
        <v>88</v>
      </c>
      <c r="E424" s="0" t="s">
        <v>2859</v>
      </c>
      <c r="N424" s="3" t="s">
        <v>202</v>
      </c>
      <c r="O424" s="3" t="s">
        <v>202</v>
      </c>
      <c r="P424" s="0" t="s">
        <v>96</v>
      </c>
      <c r="AA424" s="0" t="s">
        <v>47</v>
      </c>
      <c r="AB424" s="0" t="s">
        <v>2860</v>
      </c>
      <c r="AC424" s="0" t="s">
        <v>2861</v>
      </c>
      <c r="AD424" s="0" t="s">
        <v>2862</v>
      </c>
      <c r="AE424" s="0" t="s">
        <v>79</v>
      </c>
      <c r="AF424" s="3" t="s">
        <v>48</v>
      </c>
      <c r="AG424" s="3" t="s">
        <v>49</v>
      </c>
      <c r="AR424" s="0" t="s">
        <v>2859</v>
      </c>
    </row>
    <row r="425" customFormat="false" ht="15" hidden="false" customHeight="false" outlineLevel="0" collapsed="false">
      <c r="A425" s="0" t="n">
        <v>424</v>
      </c>
      <c r="B425" s="0" t="s">
        <v>2863</v>
      </c>
      <c r="C425" s="0" t="s">
        <v>244</v>
      </c>
      <c r="E425" s="0" t="s">
        <v>2864</v>
      </c>
      <c r="F425" s="0" t="s">
        <v>44</v>
      </c>
      <c r="N425" s="3" t="s">
        <v>202</v>
      </c>
      <c r="O425" s="3" t="s">
        <v>202</v>
      </c>
      <c r="P425" s="0" t="s">
        <v>96</v>
      </c>
      <c r="AA425" s="0" t="s">
        <v>47</v>
      </c>
      <c r="AB425" s="0" t="s">
        <v>2865</v>
      </c>
      <c r="AC425" s="0" t="s">
        <v>2866</v>
      </c>
      <c r="AD425" s="0" t="s">
        <v>2867</v>
      </c>
      <c r="AE425" s="0" t="s">
        <v>79</v>
      </c>
      <c r="AF425" s="3" t="s">
        <v>149</v>
      </c>
      <c r="AG425" s="3" t="s">
        <v>81</v>
      </c>
      <c r="AK425" s="0" t="s">
        <v>2868</v>
      </c>
      <c r="AR425" s="0" t="s">
        <v>2869</v>
      </c>
    </row>
    <row r="426" customFormat="false" ht="15" hidden="false" customHeight="false" outlineLevel="0" collapsed="false">
      <c r="A426" s="0" t="n">
        <v>425</v>
      </c>
      <c r="B426" s="0" t="s">
        <v>2870</v>
      </c>
      <c r="C426" s="0" t="s">
        <v>88</v>
      </c>
      <c r="E426" s="0" t="s">
        <v>2871</v>
      </c>
      <c r="AA426" s="0" t="s">
        <v>47</v>
      </c>
      <c r="AF426" s="3" t="s">
        <v>48</v>
      </c>
      <c r="AG426" s="3" t="s">
        <v>49</v>
      </c>
      <c r="AR426" s="0" t="s">
        <v>2871</v>
      </c>
    </row>
    <row r="427" customFormat="false" ht="15" hidden="false" customHeight="false" outlineLevel="0" collapsed="false">
      <c r="A427" s="0" t="n">
        <v>426</v>
      </c>
      <c r="B427" s="0" t="s">
        <v>2872</v>
      </c>
      <c r="C427" s="0" t="s">
        <v>88</v>
      </c>
      <c r="E427" s="0" t="s">
        <v>2873</v>
      </c>
      <c r="H427" s="0" t="s">
        <v>2874</v>
      </c>
      <c r="I427" s="0" t="s">
        <v>154</v>
      </c>
      <c r="AA427" s="0" t="s">
        <v>47</v>
      </c>
      <c r="AB427" s="0" t="s">
        <v>2875</v>
      </c>
      <c r="AC427" s="0" t="s">
        <v>2876</v>
      </c>
      <c r="AE427" s="0" t="s">
        <v>79</v>
      </c>
      <c r="AF427" s="3" t="s">
        <v>48</v>
      </c>
      <c r="AG427" s="3" t="s">
        <v>49</v>
      </c>
      <c r="AM427" s="0" t="s">
        <v>2877</v>
      </c>
      <c r="AO427" s="0" t="s">
        <v>2878</v>
      </c>
      <c r="AP427" s="0" t="s">
        <v>2878</v>
      </c>
      <c r="AR427" s="0" t="s">
        <v>2879</v>
      </c>
    </row>
    <row r="428" customFormat="false" ht="15" hidden="false" customHeight="false" outlineLevel="0" collapsed="false">
      <c r="A428" s="0" t="n">
        <v>427</v>
      </c>
      <c r="B428" s="0" t="s">
        <v>2880</v>
      </c>
      <c r="C428" s="0" t="s">
        <v>88</v>
      </c>
      <c r="E428" s="0" t="s">
        <v>2881</v>
      </c>
      <c r="H428" s="0" t="s">
        <v>2882</v>
      </c>
      <c r="I428" s="0" t="s">
        <v>94</v>
      </c>
      <c r="AA428" s="0" t="s">
        <v>47</v>
      </c>
      <c r="AB428" s="0" t="s">
        <v>2883</v>
      </c>
      <c r="AC428" s="0" t="s">
        <v>2884</v>
      </c>
      <c r="AD428" s="0" t="s">
        <v>2885</v>
      </c>
      <c r="AE428" s="0" t="s">
        <v>79</v>
      </c>
      <c r="AF428" s="3" t="s">
        <v>48</v>
      </c>
      <c r="AG428" s="3" t="s">
        <v>49</v>
      </c>
      <c r="AP428" s="0" t="s">
        <v>2886</v>
      </c>
      <c r="AR428" s="0" t="s">
        <v>2887</v>
      </c>
    </row>
    <row r="429" customFormat="false" ht="15" hidden="false" customHeight="false" outlineLevel="0" collapsed="false">
      <c r="A429" s="0" t="n">
        <v>428</v>
      </c>
      <c r="B429" s="0" t="s">
        <v>2888</v>
      </c>
      <c r="C429" s="0" t="s">
        <v>43</v>
      </c>
      <c r="F429" s="0" t="s">
        <v>44</v>
      </c>
      <c r="H429" s="0" t="s">
        <v>2889</v>
      </c>
      <c r="I429" s="0" t="s">
        <v>154</v>
      </c>
      <c r="AA429" s="0" t="s">
        <v>47</v>
      </c>
      <c r="AF429" s="3" t="s">
        <v>48</v>
      </c>
      <c r="AG429" s="3" t="s">
        <v>49</v>
      </c>
      <c r="AL429" s="0" t="s">
        <v>2890</v>
      </c>
      <c r="AM429" s="0" t="s">
        <v>2891</v>
      </c>
      <c r="AO429" s="0" t="s">
        <v>2892</v>
      </c>
      <c r="AP429" s="0" t="s">
        <v>2892</v>
      </c>
      <c r="AR429" s="0" t="s">
        <v>2893</v>
      </c>
    </row>
    <row r="430" customFormat="false" ht="15" hidden="false" customHeight="false" outlineLevel="0" collapsed="false">
      <c r="A430" s="0" t="n">
        <v>429</v>
      </c>
      <c r="B430" s="0" t="s">
        <v>2894</v>
      </c>
      <c r="C430" s="0" t="s">
        <v>88</v>
      </c>
      <c r="E430" s="0" t="s">
        <v>2895</v>
      </c>
      <c r="H430" s="0" t="s">
        <v>2896</v>
      </c>
      <c r="I430" s="0" t="s">
        <v>46</v>
      </c>
      <c r="N430" s="3" t="s">
        <v>202</v>
      </c>
      <c r="O430" s="3" t="s">
        <v>202</v>
      </c>
      <c r="P430" s="0" t="s">
        <v>96</v>
      </c>
      <c r="AA430" s="0" t="s">
        <v>47</v>
      </c>
      <c r="AB430" s="0" t="s">
        <v>2897</v>
      </c>
      <c r="AC430" s="0" t="s">
        <v>2898</v>
      </c>
      <c r="AD430" s="0" t="s">
        <v>2899</v>
      </c>
      <c r="AE430" s="0" t="s">
        <v>79</v>
      </c>
      <c r="AF430" s="3" t="s">
        <v>48</v>
      </c>
      <c r="AG430" s="3" t="s">
        <v>49</v>
      </c>
      <c r="AR430" s="0" t="s">
        <v>2895</v>
      </c>
    </row>
    <row r="431" customFormat="false" ht="15" hidden="false" customHeight="false" outlineLevel="0" collapsed="false">
      <c r="A431" s="0" t="n">
        <v>430</v>
      </c>
      <c r="B431" s="0" t="s">
        <v>2900</v>
      </c>
      <c r="C431" s="0" t="s">
        <v>43</v>
      </c>
      <c r="F431" s="0" t="s">
        <v>44</v>
      </c>
      <c r="H431" s="0" t="s">
        <v>2901</v>
      </c>
      <c r="I431" s="0" t="s">
        <v>154</v>
      </c>
      <c r="AA431" s="0" t="s">
        <v>47</v>
      </c>
      <c r="AF431" s="3" t="s">
        <v>48</v>
      </c>
      <c r="AG431" s="3" t="s">
        <v>49</v>
      </c>
      <c r="AL431" s="0" t="s">
        <v>2902</v>
      </c>
      <c r="AM431" s="0" t="s">
        <v>2903</v>
      </c>
      <c r="AO431" s="0" t="s">
        <v>2904</v>
      </c>
      <c r="AP431" s="0" t="s">
        <v>2904</v>
      </c>
      <c r="AR431" s="0" t="s">
        <v>2905</v>
      </c>
    </row>
    <row r="432" customFormat="false" ht="15" hidden="false" customHeight="false" outlineLevel="0" collapsed="false">
      <c r="A432" s="0" t="n">
        <v>431</v>
      </c>
      <c r="B432" s="0" t="s">
        <v>2906</v>
      </c>
      <c r="C432" s="0" t="s">
        <v>88</v>
      </c>
      <c r="E432" s="0" t="s">
        <v>2907</v>
      </c>
      <c r="J432" s="3" t="s">
        <v>66</v>
      </c>
      <c r="N432" s="3" t="s">
        <v>95</v>
      </c>
      <c r="O432" s="3" t="s">
        <v>95</v>
      </c>
      <c r="P432" s="0" t="s">
        <v>96</v>
      </c>
      <c r="Q432" s="0" t="s">
        <v>2908</v>
      </c>
      <c r="AA432" s="0" t="s">
        <v>47</v>
      </c>
      <c r="AB432" s="0" t="s">
        <v>2909</v>
      </c>
      <c r="AC432" s="0" t="s">
        <v>2910</v>
      </c>
      <c r="AD432" s="0" t="s">
        <v>2911</v>
      </c>
      <c r="AE432" s="0" t="s">
        <v>79</v>
      </c>
      <c r="AF432" s="3" t="s">
        <v>48</v>
      </c>
      <c r="AG432" s="3" t="s">
        <v>49</v>
      </c>
      <c r="AQ432" s="0" t="s">
        <v>2912</v>
      </c>
      <c r="AR432" s="0" t="s">
        <v>2913</v>
      </c>
    </row>
    <row r="433" customFormat="false" ht="15" hidden="false" customHeight="false" outlineLevel="0" collapsed="false">
      <c r="A433" s="0" t="n">
        <v>432</v>
      </c>
      <c r="B433" s="0" t="s">
        <v>2914</v>
      </c>
      <c r="C433" s="0" t="s">
        <v>88</v>
      </c>
      <c r="E433" s="0" t="s">
        <v>2915</v>
      </c>
      <c r="H433" s="0" t="s">
        <v>2916</v>
      </c>
      <c r="I433" s="0" t="s">
        <v>46</v>
      </c>
      <c r="N433" s="3" t="s">
        <v>95</v>
      </c>
      <c r="O433" s="3" t="s">
        <v>95</v>
      </c>
      <c r="P433" s="0" t="s">
        <v>96</v>
      </c>
      <c r="AA433" s="0" t="s">
        <v>47</v>
      </c>
      <c r="AB433" s="0" t="s">
        <v>2917</v>
      </c>
      <c r="AC433" s="0" t="s">
        <v>2918</v>
      </c>
      <c r="AD433" s="0" t="s">
        <v>2919</v>
      </c>
      <c r="AE433" s="0" t="s">
        <v>79</v>
      </c>
      <c r="AF433" s="3" t="s">
        <v>48</v>
      </c>
      <c r="AG433" s="3" t="s">
        <v>49</v>
      </c>
      <c r="AR433" s="0" t="s">
        <v>2915</v>
      </c>
    </row>
    <row r="434" customFormat="false" ht="15" hidden="false" customHeight="false" outlineLevel="0" collapsed="false">
      <c r="A434" s="0" t="n">
        <v>433</v>
      </c>
      <c r="B434" s="0" t="s">
        <v>2920</v>
      </c>
      <c r="C434" s="0" t="s">
        <v>244</v>
      </c>
      <c r="E434" s="0" t="s">
        <v>2921</v>
      </c>
      <c r="F434" s="0" t="s">
        <v>44</v>
      </c>
      <c r="N434" s="3" t="s">
        <v>202</v>
      </c>
      <c r="O434" s="3" t="s">
        <v>202</v>
      </c>
      <c r="P434" s="0" t="s">
        <v>96</v>
      </c>
      <c r="AA434" s="0" t="s">
        <v>47</v>
      </c>
      <c r="AB434" s="0" t="s">
        <v>2922</v>
      </c>
      <c r="AC434" s="0" t="s">
        <v>2923</v>
      </c>
      <c r="AD434" s="0" t="s">
        <v>2924</v>
      </c>
      <c r="AE434" s="0" t="s">
        <v>79</v>
      </c>
      <c r="AF434" s="3" t="s">
        <v>149</v>
      </c>
      <c r="AG434" s="3" t="s">
        <v>81</v>
      </c>
      <c r="AK434" s="0" t="s">
        <v>2925</v>
      </c>
      <c r="AR434" s="0" t="s">
        <v>2926</v>
      </c>
    </row>
    <row r="435" customFormat="false" ht="15" hidden="false" customHeight="false" outlineLevel="0" collapsed="false">
      <c r="A435" s="0" t="n">
        <v>434</v>
      </c>
      <c r="B435" s="0" t="s">
        <v>2927</v>
      </c>
      <c r="C435" s="0" t="s">
        <v>88</v>
      </c>
      <c r="E435" s="0" t="s">
        <v>2928</v>
      </c>
      <c r="AA435" s="0" t="s">
        <v>47</v>
      </c>
      <c r="AB435" s="0" t="s">
        <v>2929</v>
      </c>
      <c r="AC435" s="0" t="s">
        <v>2930</v>
      </c>
      <c r="AE435" s="0" t="s">
        <v>79</v>
      </c>
      <c r="AF435" s="3" t="s">
        <v>48</v>
      </c>
      <c r="AG435" s="3" t="s">
        <v>49</v>
      </c>
      <c r="AR435" s="0" t="s">
        <v>2928</v>
      </c>
    </row>
    <row r="436" customFormat="false" ht="15" hidden="false" customHeight="false" outlineLevel="0" collapsed="false">
      <c r="A436" s="0" t="n">
        <v>435</v>
      </c>
      <c r="B436" s="0" t="s">
        <v>2931</v>
      </c>
      <c r="C436" s="0" t="s">
        <v>88</v>
      </c>
      <c r="E436" s="0" t="s">
        <v>2932</v>
      </c>
      <c r="H436" s="0" t="s">
        <v>2933</v>
      </c>
      <c r="I436" s="0" t="s">
        <v>154</v>
      </c>
      <c r="N436" s="3" t="s">
        <v>202</v>
      </c>
      <c r="O436" s="3" t="s">
        <v>202</v>
      </c>
      <c r="P436" s="0" t="s">
        <v>96</v>
      </c>
      <c r="AA436" s="0" t="s">
        <v>47</v>
      </c>
      <c r="AB436" s="0" t="s">
        <v>2934</v>
      </c>
      <c r="AC436" s="0" t="s">
        <v>2935</v>
      </c>
      <c r="AD436" s="0" t="s">
        <v>2936</v>
      </c>
      <c r="AE436" s="0" t="s">
        <v>79</v>
      </c>
      <c r="AF436" s="3" t="s">
        <v>48</v>
      </c>
      <c r="AG436" s="3" t="s">
        <v>49</v>
      </c>
      <c r="AL436" s="0" t="s">
        <v>2937</v>
      </c>
      <c r="AM436" s="0" t="s">
        <v>2938</v>
      </c>
      <c r="AO436" s="0" t="s">
        <v>2939</v>
      </c>
      <c r="AP436" s="0" t="s">
        <v>2939</v>
      </c>
      <c r="AR436" s="0" t="s">
        <v>2940</v>
      </c>
    </row>
    <row r="437" customFormat="false" ht="15" hidden="false" customHeight="false" outlineLevel="0" collapsed="false">
      <c r="A437" s="0" t="n">
        <v>436</v>
      </c>
      <c r="B437" s="0" t="s">
        <v>2941</v>
      </c>
      <c r="C437" s="0" t="s">
        <v>88</v>
      </c>
      <c r="E437" s="0" t="s">
        <v>2942</v>
      </c>
      <c r="H437" s="0" t="s">
        <v>2943</v>
      </c>
      <c r="I437" s="0" t="s">
        <v>154</v>
      </c>
      <c r="N437" s="3" t="s">
        <v>213</v>
      </c>
      <c r="O437" s="3" t="s">
        <v>213</v>
      </c>
      <c r="P437" s="0" t="s">
        <v>96</v>
      </c>
      <c r="AA437" s="0" t="s">
        <v>47</v>
      </c>
      <c r="AB437" s="0" t="s">
        <v>2944</v>
      </c>
      <c r="AC437" s="0" t="s">
        <v>2945</v>
      </c>
      <c r="AD437" s="0" t="s">
        <v>2946</v>
      </c>
      <c r="AE437" s="0" t="s">
        <v>79</v>
      </c>
      <c r="AF437" s="3" t="s">
        <v>48</v>
      </c>
      <c r="AG437" s="3" t="s">
        <v>49</v>
      </c>
      <c r="AL437" s="0" t="s">
        <v>2947</v>
      </c>
      <c r="AM437" s="0" t="s">
        <v>2948</v>
      </c>
      <c r="AO437" s="0" t="s">
        <v>2949</v>
      </c>
      <c r="AP437" s="0" t="s">
        <v>2949</v>
      </c>
      <c r="AR437" s="0" t="s">
        <v>2950</v>
      </c>
    </row>
    <row r="438" customFormat="false" ht="15" hidden="false" customHeight="false" outlineLevel="0" collapsed="false">
      <c r="A438" s="0" t="n">
        <v>437</v>
      </c>
      <c r="B438" s="0" t="s">
        <v>2951</v>
      </c>
      <c r="C438" s="0" t="s">
        <v>43</v>
      </c>
      <c r="F438" s="0" t="s">
        <v>44</v>
      </c>
      <c r="H438" s="0" t="s">
        <v>2952</v>
      </c>
      <c r="I438" s="0" t="s">
        <v>154</v>
      </c>
      <c r="AA438" s="0" t="s">
        <v>47</v>
      </c>
      <c r="AF438" s="3" t="s">
        <v>48</v>
      </c>
      <c r="AG438" s="3" t="s">
        <v>49</v>
      </c>
      <c r="AL438" s="0" t="s">
        <v>2953</v>
      </c>
      <c r="AO438" s="0" t="s">
        <v>2954</v>
      </c>
      <c r="AP438" s="0" t="s">
        <v>2954</v>
      </c>
      <c r="AR438" s="0" t="s">
        <v>2955</v>
      </c>
    </row>
    <row r="439" customFormat="false" ht="15" hidden="false" customHeight="false" outlineLevel="0" collapsed="false">
      <c r="A439" s="0" t="n">
        <v>438</v>
      </c>
      <c r="B439" s="0" t="s">
        <v>2956</v>
      </c>
      <c r="C439" s="0" t="s">
        <v>43</v>
      </c>
      <c r="F439" s="0" t="s">
        <v>44</v>
      </c>
      <c r="AA439" s="0" t="s">
        <v>47</v>
      </c>
      <c r="AF439" s="3" t="s">
        <v>48</v>
      </c>
      <c r="AG439" s="3" t="s">
        <v>49</v>
      </c>
      <c r="AR439" s="0" t="s">
        <v>50</v>
      </c>
    </row>
    <row r="440" customFormat="false" ht="15" hidden="false" customHeight="false" outlineLevel="0" collapsed="false">
      <c r="A440" s="0" t="n">
        <v>439</v>
      </c>
      <c r="B440" s="0" t="s">
        <v>2957</v>
      </c>
      <c r="C440" s="0" t="s">
        <v>88</v>
      </c>
      <c r="E440" s="0" t="s">
        <v>2958</v>
      </c>
      <c r="AA440" s="0" t="s">
        <v>47</v>
      </c>
      <c r="AB440" s="0" t="s">
        <v>2959</v>
      </c>
      <c r="AC440" s="0" t="s">
        <v>2960</v>
      </c>
      <c r="AD440" s="0" t="s">
        <v>2961</v>
      </c>
      <c r="AE440" s="0" t="s">
        <v>79</v>
      </c>
      <c r="AF440" s="3" t="s">
        <v>48</v>
      </c>
      <c r="AG440" s="3" t="s">
        <v>49</v>
      </c>
      <c r="AR440" s="0" t="s">
        <v>2958</v>
      </c>
    </row>
    <row r="441" customFormat="false" ht="15" hidden="false" customHeight="false" outlineLevel="0" collapsed="false">
      <c r="A441" s="0" t="n">
        <v>440</v>
      </c>
      <c r="B441" s="0" t="s">
        <v>2962</v>
      </c>
      <c r="C441" s="0" t="s">
        <v>88</v>
      </c>
      <c r="E441" s="0" t="s">
        <v>2963</v>
      </c>
      <c r="H441" s="0" t="s">
        <v>2964</v>
      </c>
      <c r="I441" s="0" t="s">
        <v>46</v>
      </c>
      <c r="AA441" s="0" t="s">
        <v>47</v>
      </c>
      <c r="AB441" s="0" t="s">
        <v>2965</v>
      </c>
      <c r="AC441" s="0" t="s">
        <v>2966</v>
      </c>
      <c r="AD441" s="0" t="s">
        <v>2967</v>
      </c>
      <c r="AE441" s="0" t="s">
        <v>79</v>
      </c>
      <c r="AF441" s="3" t="s">
        <v>48</v>
      </c>
      <c r="AG441" s="3" t="s">
        <v>49</v>
      </c>
      <c r="AR441" s="0" t="s">
        <v>2963</v>
      </c>
    </row>
    <row r="442" customFormat="false" ht="15" hidden="false" customHeight="false" outlineLevel="0" collapsed="false">
      <c r="A442" s="0" t="n">
        <v>441</v>
      </c>
      <c r="B442" s="0" t="s">
        <v>2968</v>
      </c>
      <c r="C442" s="0" t="s">
        <v>88</v>
      </c>
      <c r="E442" s="0" t="s">
        <v>2969</v>
      </c>
      <c r="N442" s="3" t="s">
        <v>1298</v>
      </c>
      <c r="O442" s="3" t="s">
        <v>1298</v>
      </c>
      <c r="P442" s="0" t="s">
        <v>96</v>
      </c>
      <c r="AA442" s="0" t="s">
        <v>47</v>
      </c>
      <c r="AB442" s="0" t="s">
        <v>2970</v>
      </c>
      <c r="AC442" s="0" t="s">
        <v>2971</v>
      </c>
      <c r="AD442" s="0" t="s">
        <v>2972</v>
      </c>
      <c r="AE442" s="0" t="s">
        <v>79</v>
      </c>
      <c r="AF442" s="3" t="s">
        <v>48</v>
      </c>
      <c r="AG442" s="3" t="s">
        <v>49</v>
      </c>
      <c r="AR442" s="0" t="s">
        <v>2969</v>
      </c>
    </row>
    <row r="443" customFormat="false" ht="15" hidden="false" customHeight="false" outlineLevel="0" collapsed="false">
      <c r="A443" s="0" t="n">
        <v>442</v>
      </c>
      <c r="B443" s="0" t="s">
        <v>2973</v>
      </c>
      <c r="C443" s="0" t="s">
        <v>88</v>
      </c>
      <c r="E443" s="0" t="s">
        <v>2974</v>
      </c>
      <c r="N443" s="3" t="s">
        <v>202</v>
      </c>
      <c r="O443" s="3" t="s">
        <v>202</v>
      </c>
      <c r="P443" s="0" t="s">
        <v>96</v>
      </c>
      <c r="AA443" s="0" t="s">
        <v>47</v>
      </c>
      <c r="AB443" s="0" t="s">
        <v>2975</v>
      </c>
      <c r="AC443" s="0" t="s">
        <v>2976</v>
      </c>
      <c r="AD443" s="0" t="s">
        <v>2977</v>
      </c>
      <c r="AE443" s="0" t="s">
        <v>79</v>
      </c>
      <c r="AF443" s="3" t="s">
        <v>48</v>
      </c>
      <c r="AG443" s="3" t="s">
        <v>49</v>
      </c>
      <c r="AR443" s="0" t="s">
        <v>2974</v>
      </c>
    </row>
    <row r="444" customFormat="false" ht="15" hidden="false" customHeight="false" outlineLevel="0" collapsed="false">
      <c r="A444" s="0" t="n">
        <v>443</v>
      </c>
      <c r="B444" s="0" t="s">
        <v>2978</v>
      </c>
      <c r="C444" s="0" t="s">
        <v>52</v>
      </c>
      <c r="D444" s="0" t="s">
        <v>2979</v>
      </c>
      <c r="N444" s="0" t="s">
        <v>2980</v>
      </c>
      <c r="O444" s="0" t="s">
        <v>2980</v>
      </c>
      <c r="P444" s="0" t="s">
        <v>55</v>
      </c>
      <c r="AA444" s="0" t="s">
        <v>47</v>
      </c>
      <c r="AB444" s="0" t="s">
        <v>2981</v>
      </c>
      <c r="AC444" s="0" t="s">
        <v>2982</v>
      </c>
      <c r="AD444" s="0" t="s">
        <v>2983</v>
      </c>
      <c r="AE444" s="0" t="s">
        <v>59</v>
      </c>
      <c r="AF444" s="3" t="s">
        <v>108</v>
      </c>
      <c r="AG444" s="3" t="s">
        <v>49</v>
      </c>
      <c r="AH444" s="0" t="n">
        <v>2026</v>
      </c>
      <c r="AI444" s="0" t="s">
        <v>2984</v>
      </c>
      <c r="AJ444" s="0" t="s">
        <v>2985</v>
      </c>
      <c r="AR444" s="0" t="s">
        <v>2986</v>
      </c>
    </row>
    <row r="445" customFormat="false" ht="15" hidden="false" customHeight="false" outlineLevel="0" collapsed="false">
      <c r="A445" s="0" t="n">
        <v>444</v>
      </c>
      <c r="B445" s="0" t="s">
        <v>2987</v>
      </c>
      <c r="C445" s="0" t="s">
        <v>88</v>
      </c>
      <c r="E445" s="0" t="s">
        <v>2988</v>
      </c>
      <c r="H445" s="0" t="s">
        <v>2989</v>
      </c>
      <c r="I445" s="0" t="s">
        <v>46</v>
      </c>
      <c r="N445" s="3" t="s">
        <v>186</v>
      </c>
      <c r="O445" s="3" t="s">
        <v>186</v>
      </c>
      <c r="P445" s="0" t="s">
        <v>96</v>
      </c>
      <c r="AA445" s="0" t="s">
        <v>47</v>
      </c>
      <c r="AB445" s="0" t="s">
        <v>2990</v>
      </c>
      <c r="AC445" s="0" t="s">
        <v>2991</v>
      </c>
      <c r="AD445" s="0" t="s">
        <v>2992</v>
      </c>
      <c r="AE445" s="0" t="s">
        <v>79</v>
      </c>
      <c r="AF445" s="3" t="s">
        <v>48</v>
      </c>
      <c r="AG445" s="3" t="s">
        <v>49</v>
      </c>
      <c r="AR445" s="0" t="s">
        <v>2988</v>
      </c>
    </row>
    <row r="446" customFormat="false" ht="15" hidden="false" customHeight="false" outlineLevel="0" collapsed="false">
      <c r="A446" s="0" t="n">
        <v>445</v>
      </c>
      <c r="B446" s="0" t="s">
        <v>2993</v>
      </c>
      <c r="C446" s="0" t="s">
        <v>88</v>
      </c>
      <c r="E446" s="0" t="s">
        <v>2994</v>
      </c>
      <c r="N446" s="3" t="s">
        <v>202</v>
      </c>
      <c r="O446" s="3" t="s">
        <v>202</v>
      </c>
      <c r="P446" s="0" t="s">
        <v>96</v>
      </c>
      <c r="AA446" s="0" t="s">
        <v>47</v>
      </c>
      <c r="AB446" s="0" t="s">
        <v>2995</v>
      </c>
      <c r="AC446" s="0" t="s">
        <v>2996</v>
      </c>
      <c r="AD446" s="0" t="s">
        <v>2997</v>
      </c>
      <c r="AE446" s="0" t="s">
        <v>79</v>
      </c>
      <c r="AF446" s="3" t="s">
        <v>48</v>
      </c>
      <c r="AG446" s="3" t="s">
        <v>49</v>
      </c>
      <c r="AR446" s="0" t="s">
        <v>2994</v>
      </c>
    </row>
    <row r="447" customFormat="false" ht="15" hidden="false" customHeight="false" outlineLevel="0" collapsed="false">
      <c r="A447" s="0" t="n">
        <v>446</v>
      </c>
      <c r="B447" s="0" t="s">
        <v>2998</v>
      </c>
      <c r="C447" s="0" t="s">
        <v>88</v>
      </c>
      <c r="E447" s="0" t="s">
        <v>2999</v>
      </c>
      <c r="H447" s="0" t="s">
        <v>3000</v>
      </c>
      <c r="I447" s="0" t="s">
        <v>46</v>
      </c>
      <c r="AA447" s="0" t="s">
        <v>47</v>
      </c>
      <c r="AF447" s="3" t="s">
        <v>48</v>
      </c>
      <c r="AG447" s="3" t="s">
        <v>49</v>
      </c>
      <c r="AR447" s="0" t="s">
        <v>2999</v>
      </c>
    </row>
    <row r="448" customFormat="false" ht="15" hidden="false" customHeight="false" outlineLevel="0" collapsed="false">
      <c r="A448" s="0" t="n">
        <v>447</v>
      </c>
      <c r="B448" s="0" t="s">
        <v>3001</v>
      </c>
      <c r="C448" s="0" t="s">
        <v>244</v>
      </c>
      <c r="E448" s="0" t="s">
        <v>3002</v>
      </c>
      <c r="F448" s="0" t="s">
        <v>44</v>
      </c>
      <c r="H448" s="0" t="s">
        <v>3003</v>
      </c>
      <c r="I448" s="0" t="s">
        <v>94</v>
      </c>
      <c r="N448" s="3" t="s">
        <v>202</v>
      </c>
      <c r="O448" s="3" t="s">
        <v>202</v>
      </c>
      <c r="P448" s="0" t="s">
        <v>96</v>
      </c>
      <c r="AA448" s="0" t="s">
        <v>47</v>
      </c>
      <c r="AB448" s="0" t="s">
        <v>3004</v>
      </c>
      <c r="AC448" s="0" t="s">
        <v>3005</v>
      </c>
      <c r="AD448" s="0" t="s">
        <v>3006</v>
      </c>
      <c r="AE448" s="0" t="s">
        <v>79</v>
      </c>
      <c r="AF448" s="3" t="s">
        <v>149</v>
      </c>
      <c r="AG448" s="3" t="s">
        <v>81</v>
      </c>
      <c r="AK448" s="0" t="s">
        <v>3007</v>
      </c>
      <c r="AL448" s="0" t="s">
        <v>3008</v>
      </c>
      <c r="AM448" s="0" t="s">
        <v>3009</v>
      </c>
      <c r="AO448" s="0" t="s">
        <v>3010</v>
      </c>
      <c r="AP448" s="0" t="s">
        <v>3010</v>
      </c>
      <c r="AR448" s="0" t="s">
        <v>3011</v>
      </c>
    </row>
    <row r="449" customFormat="false" ht="15" hidden="false" customHeight="false" outlineLevel="0" collapsed="false">
      <c r="A449" s="0" t="n">
        <v>448</v>
      </c>
      <c r="B449" s="0" t="s">
        <v>3012</v>
      </c>
      <c r="C449" s="0" t="s">
        <v>88</v>
      </c>
      <c r="E449" s="0" t="s">
        <v>3013</v>
      </c>
      <c r="H449" s="0" t="s">
        <v>3014</v>
      </c>
      <c r="I449" s="0" t="s">
        <v>154</v>
      </c>
      <c r="N449" s="3" t="s">
        <v>202</v>
      </c>
      <c r="O449" s="3" t="s">
        <v>202</v>
      </c>
      <c r="P449" s="0" t="s">
        <v>96</v>
      </c>
      <c r="AA449" s="0" t="s">
        <v>47</v>
      </c>
      <c r="AB449" s="0" t="s">
        <v>3015</v>
      </c>
      <c r="AC449" s="0" t="s">
        <v>3016</v>
      </c>
      <c r="AD449" s="0" t="s">
        <v>3017</v>
      </c>
      <c r="AE449" s="0" t="s">
        <v>79</v>
      </c>
      <c r="AF449" s="3" t="s">
        <v>48</v>
      </c>
      <c r="AG449" s="3" t="s">
        <v>49</v>
      </c>
      <c r="AL449" s="0" t="s">
        <v>3018</v>
      </c>
      <c r="AM449" s="0" t="s">
        <v>3019</v>
      </c>
      <c r="AO449" s="0" t="s">
        <v>3020</v>
      </c>
      <c r="AP449" s="0" t="s">
        <v>3020</v>
      </c>
      <c r="AR449" s="0" t="s">
        <v>3021</v>
      </c>
    </row>
    <row r="450" customFormat="false" ht="15" hidden="false" customHeight="false" outlineLevel="0" collapsed="false">
      <c r="A450" s="0" t="n">
        <v>449</v>
      </c>
      <c r="B450" s="0" t="s">
        <v>3022</v>
      </c>
      <c r="C450" s="0" t="s">
        <v>43</v>
      </c>
      <c r="F450" s="0" t="s">
        <v>44</v>
      </c>
      <c r="AA450" s="0" t="s">
        <v>47</v>
      </c>
      <c r="AF450" s="3" t="s">
        <v>108</v>
      </c>
      <c r="AG450" s="3" t="s">
        <v>49</v>
      </c>
      <c r="AH450" s="0" t="n">
        <v>2026</v>
      </c>
      <c r="AI450" s="0" t="s">
        <v>3023</v>
      </c>
      <c r="AJ450" s="0" t="s">
        <v>3024</v>
      </c>
      <c r="AR450" s="0" t="s">
        <v>3025</v>
      </c>
    </row>
    <row r="451" customFormat="false" ht="15" hidden="false" customHeight="false" outlineLevel="0" collapsed="false">
      <c r="A451" s="0" t="n">
        <v>450</v>
      </c>
      <c r="B451" s="0" t="s">
        <v>3026</v>
      </c>
      <c r="C451" s="0" t="s">
        <v>88</v>
      </c>
      <c r="E451" s="0" t="s">
        <v>3027</v>
      </c>
      <c r="H451" s="0" t="s">
        <v>3028</v>
      </c>
      <c r="I451" s="0" t="s">
        <v>46</v>
      </c>
      <c r="N451" s="3" t="s">
        <v>186</v>
      </c>
      <c r="O451" s="3" t="s">
        <v>186</v>
      </c>
      <c r="P451" s="0" t="s">
        <v>96</v>
      </c>
      <c r="AA451" s="0" t="s">
        <v>47</v>
      </c>
      <c r="AB451" s="0" t="s">
        <v>3029</v>
      </c>
      <c r="AC451" s="0" t="s">
        <v>3030</v>
      </c>
      <c r="AD451" s="0" t="s">
        <v>3031</v>
      </c>
      <c r="AE451" s="0" t="s">
        <v>79</v>
      </c>
      <c r="AF451" s="3" t="s">
        <v>48</v>
      </c>
      <c r="AG451" s="3" t="s">
        <v>49</v>
      </c>
      <c r="AR451" s="0" t="s">
        <v>3027</v>
      </c>
    </row>
    <row r="452" customFormat="false" ht="15" hidden="false" customHeight="false" outlineLevel="0" collapsed="false">
      <c r="A452" s="0" t="n">
        <v>451</v>
      </c>
      <c r="B452" s="0" t="s">
        <v>3032</v>
      </c>
      <c r="C452" s="0" t="s">
        <v>88</v>
      </c>
      <c r="E452" s="0" t="s">
        <v>3033</v>
      </c>
      <c r="H452" s="0" t="s">
        <v>2311</v>
      </c>
      <c r="I452" s="0" t="s">
        <v>115</v>
      </c>
      <c r="J452" s="3" t="s">
        <v>66</v>
      </c>
      <c r="K452" s="0" t="s">
        <v>2312</v>
      </c>
      <c r="L452" s="0" t="s">
        <v>2313</v>
      </c>
      <c r="M452" s="0" t="n">
        <v>1955</v>
      </c>
      <c r="N452" s="0" t="s">
        <v>986</v>
      </c>
      <c r="O452" s="3" t="s">
        <v>119</v>
      </c>
      <c r="P452" s="0" t="s">
        <v>96</v>
      </c>
      <c r="R452" s="0" t="n">
        <v>2000</v>
      </c>
      <c r="S452" s="0" t="n">
        <v>2024</v>
      </c>
      <c r="T452" s="0" t="s">
        <v>698</v>
      </c>
      <c r="U452" s="0" t="s">
        <v>115</v>
      </c>
      <c r="V452" s="0" t="n">
        <v>400</v>
      </c>
      <c r="W452" s="0" t="s">
        <v>2315</v>
      </c>
      <c r="X452" s="0" t="s">
        <v>2316</v>
      </c>
      <c r="Y452" s="0" t="s">
        <v>698</v>
      </c>
      <c r="Z452" s="0" t="s">
        <v>115</v>
      </c>
      <c r="AA452" s="0" t="s">
        <v>698</v>
      </c>
      <c r="AB452" s="0" t="s">
        <v>2317</v>
      </c>
      <c r="AC452" s="0" t="s">
        <v>2318</v>
      </c>
      <c r="AD452" s="0" t="s">
        <v>2319</v>
      </c>
      <c r="AE452" s="0" t="s">
        <v>115</v>
      </c>
      <c r="AF452" s="3" t="s">
        <v>108</v>
      </c>
      <c r="AG452" s="3" t="s">
        <v>404</v>
      </c>
      <c r="AH452" s="0" t="n">
        <v>2026</v>
      </c>
      <c r="AI452" s="0" t="s">
        <v>2320</v>
      </c>
      <c r="AJ452" s="0" t="s">
        <v>2321</v>
      </c>
      <c r="AK452" s="0" t="s">
        <v>2322</v>
      </c>
      <c r="AL452" s="0" t="s">
        <v>2323</v>
      </c>
      <c r="AM452" s="0" t="s">
        <v>2324</v>
      </c>
      <c r="AN452" s="0" t="s">
        <v>2325</v>
      </c>
      <c r="AP452" s="0" t="s">
        <v>2326</v>
      </c>
      <c r="AR452" s="0" t="s">
        <v>3034</v>
      </c>
    </row>
    <row r="453" customFormat="false" ht="15" hidden="false" customHeight="false" outlineLevel="0" collapsed="false">
      <c r="A453" s="0" t="n">
        <v>452</v>
      </c>
      <c r="B453" s="0" t="s">
        <v>3035</v>
      </c>
      <c r="C453" s="0" t="s">
        <v>88</v>
      </c>
      <c r="E453" s="0" t="s">
        <v>3036</v>
      </c>
      <c r="AA453" s="0" t="s">
        <v>47</v>
      </c>
      <c r="AF453" s="3" t="s">
        <v>48</v>
      </c>
      <c r="AG453" s="3" t="s">
        <v>49</v>
      </c>
      <c r="AR453" s="0" t="s">
        <v>3036</v>
      </c>
    </row>
    <row r="454" customFormat="false" ht="15" hidden="false" customHeight="false" outlineLevel="0" collapsed="false">
      <c r="A454" s="0" t="n">
        <v>453</v>
      </c>
      <c r="B454" s="0" t="s">
        <v>3037</v>
      </c>
      <c r="C454" s="0" t="s">
        <v>43</v>
      </c>
      <c r="F454" s="0" t="s">
        <v>44</v>
      </c>
      <c r="H454" s="0" t="s">
        <v>3038</v>
      </c>
      <c r="I454" s="0" t="s">
        <v>94</v>
      </c>
      <c r="AA454" s="0" t="s">
        <v>47</v>
      </c>
      <c r="AF454" s="3" t="s">
        <v>48</v>
      </c>
      <c r="AG454" s="3" t="s">
        <v>49</v>
      </c>
      <c r="AL454" s="0" t="s">
        <v>3039</v>
      </c>
      <c r="AO454" s="0" t="s">
        <v>3040</v>
      </c>
      <c r="AP454" s="0" t="s">
        <v>3040</v>
      </c>
      <c r="AR454" s="0" t="s">
        <v>3041</v>
      </c>
    </row>
    <row r="455" customFormat="false" ht="15" hidden="false" customHeight="false" outlineLevel="0" collapsed="false">
      <c r="A455" s="0" t="n">
        <v>454</v>
      </c>
      <c r="B455" s="0" t="s">
        <v>3042</v>
      </c>
      <c r="C455" s="0" t="s">
        <v>244</v>
      </c>
      <c r="E455" s="0" t="s">
        <v>3043</v>
      </c>
      <c r="F455" s="0" t="s">
        <v>44</v>
      </c>
      <c r="H455" s="0" t="s">
        <v>3044</v>
      </c>
      <c r="I455" s="0" t="s">
        <v>154</v>
      </c>
      <c r="N455" s="3" t="s">
        <v>186</v>
      </c>
      <c r="O455" s="3" t="s">
        <v>186</v>
      </c>
      <c r="P455" s="0" t="s">
        <v>96</v>
      </c>
      <c r="AA455" s="0" t="s">
        <v>47</v>
      </c>
      <c r="AB455" s="0" t="s">
        <v>3045</v>
      </c>
      <c r="AC455" s="0" t="s">
        <v>3046</v>
      </c>
      <c r="AD455" s="0" t="s">
        <v>3047</v>
      </c>
      <c r="AE455" s="0" t="s">
        <v>79</v>
      </c>
      <c r="AF455" s="3" t="s">
        <v>149</v>
      </c>
      <c r="AG455" s="3" t="s">
        <v>81</v>
      </c>
      <c r="AK455" s="0" t="s">
        <v>3048</v>
      </c>
      <c r="AL455" s="0" t="s">
        <v>3049</v>
      </c>
      <c r="AM455" s="0" t="s">
        <v>3050</v>
      </c>
      <c r="AO455" s="0" t="s">
        <v>3051</v>
      </c>
      <c r="AP455" s="0" t="s">
        <v>3051</v>
      </c>
      <c r="AR455" s="0" t="s">
        <v>3052</v>
      </c>
    </row>
    <row r="456" customFormat="false" ht="15" hidden="false" customHeight="false" outlineLevel="0" collapsed="false">
      <c r="A456" s="0" t="n">
        <v>455</v>
      </c>
      <c r="B456" s="0" t="s">
        <v>3053</v>
      </c>
      <c r="C456" s="0" t="s">
        <v>61</v>
      </c>
      <c r="D456" s="0" t="s">
        <v>3054</v>
      </c>
      <c r="E456" s="0" t="s">
        <v>3055</v>
      </c>
      <c r="H456" s="0" t="s">
        <v>3056</v>
      </c>
      <c r="I456" s="0" t="s">
        <v>94</v>
      </c>
      <c r="N456" s="3" t="s">
        <v>54</v>
      </c>
      <c r="O456" s="3" t="s">
        <v>54</v>
      </c>
      <c r="P456" s="0" t="s">
        <v>55</v>
      </c>
      <c r="AA456" s="0" t="s">
        <v>47</v>
      </c>
      <c r="AB456" s="0" t="s">
        <v>3057</v>
      </c>
      <c r="AC456" s="0" t="s">
        <v>3058</v>
      </c>
      <c r="AD456" s="0" t="s">
        <v>3059</v>
      </c>
      <c r="AE456" s="0" t="s">
        <v>79</v>
      </c>
      <c r="AF456" s="3" t="s">
        <v>108</v>
      </c>
      <c r="AG456" s="3" t="s">
        <v>49</v>
      </c>
      <c r="AH456" s="0" t="n">
        <v>2026</v>
      </c>
      <c r="AI456" s="0" t="s">
        <v>3060</v>
      </c>
      <c r="AJ456" s="0" t="s">
        <v>3061</v>
      </c>
      <c r="AK456" s="0" t="s">
        <v>3062</v>
      </c>
      <c r="AM456" s="0" t="s">
        <v>3063</v>
      </c>
      <c r="AO456" s="0" t="s">
        <v>3064</v>
      </c>
      <c r="AP456" s="0" t="s">
        <v>3064</v>
      </c>
      <c r="AR456" s="0" t="s">
        <v>3065</v>
      </c>
    </row>
    <row r="457" customFormat="false" ht="15" hidden="false" customHeight="false" outlineLevel="0" collapsed="false">
      <c r="A457" s="0" t="n">
        <v>456</v>
      </c>
      <c r="B457" s="0" t="s">
        <v>3066</v>
      </c>
      <c r="C457" s="0" t="s">
        <v>88</v>
      </c>
      <c r="E457" s="0" t="s">
        <v>3067</v>
      </c>
      <c r="N457" s="3" t="s">
        <v>213</v>
      </c>
      <c r="O457" s="3" t="s">
        <v>213</v>
      </c>
      <c r="P457" s="0" t="s">
        <v>96</v>
      </c>
      <c r="AA457" s="0" t="s">
        <v>47</v>
      </c>
      <c r="AB457" s="0" t="s">
        <v>3068</v>
      </c>
      <c r="AC457" s="0" t="s">
        <v>3069</v>
      </c>
      <c r="AD457" s="0" t="s">
        <v>3070</v>
      </c>
      <c r="AE457" s="0" t="s">
        <v>79</v>
      </c>
      <c r="AF457" s="3" t="s">
        <v>48</v>
      </c>
      <c r="AG457" s="3" t="s">
        <v>49</v>
      </c>
      <c r="AR457" s="0" t="s">
        <v>3067</v>
      </c>
    </row>
    <row r="458" customFormat="false" ht="15" hidden="false" customHeight="false" outlineLevel="0" collapsed="false">
      <c r="A458" s="0" t="n">
        <v>457</v>
      </c>
      <c r="B458" s="0" t="s">
        <v>3071</v>
      </c>
      <c r="C458" s="0" t="s">
        <v>88</v>
      </c>
      <c r="E458" s="0" t="s">
        <v>3072</v>
      </c>
      <c r="N458" s="3" t="s">
        <v>186</v>
      </c>
      <c r="O458" s="3" t="s">
        <v>186</v>
      </c>
      <c r="P458" s="0" t="s">
        <v>96</v>
      </c>
      <c r="AA458" s="0" t="s">
        <v>47</v>
      </c>
      <c r="AB458" s="0" t="s">
        <v>3073</v>
      </c>
      <c r="AC458" s="0" t="s">
        <v>3074</v>
      </c>
      <c r="AD458" s="0" t="s">
        <v>3075</v>
      </c>
      <c r="AE458" s="0" t="s">
        <v>79</v>
      </c>
      <c r="AF458" s="3" t="s">
        <v>48</v>
      </c>
      <c r="AG458" s="3" t="s">
        <v>49</v>
      </c>
      <c r="AR458" s="0" t="s">
        <v>3072</v>
      </c>
    </row>
    <row r="459" customFormat="false" ht="15" hidden="false" customHeight="false" outlineLevel="0" collapsed="false">
      <c r="A459" s="0" t="n">
        <v>458</v>
      </c>
      <c r="B459" s="0" t="s">
        <v>3076</v>
      </c>
      <c r="C459" s="0" t="s">
        <v>52</v>
      </c>
      <c r="D459" s="0" t="s">
        <v>3077</v>
      </c>
      <c r="H459" s="0" t="s">
        <v>3078</v>
      </c>
      <c r="I459" s="0" t="s">
        <v>154</v>
      </c>
      <c r="N459" s="3" t="s">
        <v>54</v>
      </c>
      <c r="O459" s="3" t="s">
        <v>54</v>
      </c>
      <c r="P459" s="0" t="s">
        <v>55</v>
      </c>
      <c r="AA459" s="0" t="s">
        <v>47</v>
      </c>
      <c r="AB459" s="0" t="s">
        <v>3079</v>
      </c>
      <c r="AC459" s="0" t="s">
        <v>3080</v>
      </c>
      <c r="AD459" s="0" t="s">
        <v>3081</v>
      </c>
      <c r="AE459" s="0" t="s">
        <v>59</v>
      </c>
      <c r="AF459" s="3" t="s">
        <v>48</v>
      </c>
      <c r="AG459" s="3" t="s">
        <v>49</v>
      </c>
      <c r="AL459" s="0" t="s">
        <v>3082</v>
      </c>
      <c r="AM459" s="0" t="s">
        <v>3083</v>
      </c>
      <c r="AO459" s="0" t="s">
        <v>3084</v>
      </c>
      <c r="AP459" s="0" t="s">
        <v>3084</v>
      </c>
      <c r="AR459" s="0" t="s">
        <v>3085</v>
      </c>
    </row>
    <row r="460" customFormat="false" ht="15" hidden="false" customHeight="false" outlineLevel="0" collapsed="false">
      <c r="A460" s="0" t="n">
        <v>459</v>
      </c>
      <c r="B460" s="0" t="s">
        <v>3086</v>
      </c>
      <c r="C460" s="0" t="s">
        <v>88</v>
      </c>
      <c r="E460" s="0" t="s">
        <v>3087</v>
      </c>
      <c r="H460" s="0" t="s">
        <v>3088</v>
      </c>
      <c r="I460" s="0" t="s">
        <v>46</v>
      </c>
      <c r="AA460" s="0" t="s">
        <v>47</v>
      </c>
      <c r="AF460" s="3" t="s">
        <v>48</v>
      </c>
      <c r="AG460" s="3" t="s">
        <v>49</v>
      </c>
      <c r="AR460" s="0" t="s">
        <v>3087</v>
      </c>
    </row>
    <row r="461" customFormat="false" ht="15" hidden="false" customHeight="false" outlineLevel="0" collapsed="false">
      <c r="A461" s="0" t="n">
        <v>460</v>
      </c>
      <c r="B461" s="0" t="s">
        <v>3089</v>
      </c>
      <c r="C461" s="0" t="s">
        <v>52</v>
      </c>
      <c r="D461" s="0" t="s">
        <v>3090</v>
      </c>
      <c r="H461" s="0" t="s">
        <v>3091</v>
      </c>
      <c r="I461" s="0" t="s">
        <v>46</v>
      </c>
      <c r="AA461" s="0" t="s">
        <v>47</v>
      </c>
      <c r="AB461" s="0" t="s">
        <v>3092</v>
      </c>
      <c r="AC461" s="0" t="s">
        <v>3093</v>
      </c>
      <c r="AD461" s="0" t="s">
        <v>3094</v>
      </c>
      <c r="AE461" s="0" t="s">
        <v>59</v>
      </c>
      <c r="AF461" s="3" t="s">
        <v>48</v>
      </c>
      <c r="AG461" s="3" t="s">
        <v>49</v>
      </c>
      <c r="AR461" s="0" t="s">
        <v>3090</v>
      </c>
    </row>
    <row r="462" customFormat="false" ht="15" hidden="false" customHeight="false" outlineLevel="0" collapsed="false">
      <c r="A462" s="0" t="n">
        <v>461</v>
      </c>
      <c r="B462" s="0" t="s">
        <v>3095</v>
      </c>
      <c r="C462" s="0" t="s">
        <v>43</v>
      </c>
      <c r="F462" s="0" t="s">
        <v>44</v>
      </c>
      <c r="H462" s="0" t="s">
        <v>3096</v>
      </c>
      <c r="I462" s="0" t="s">
        <v>154</v>
      </c>
      <c r="AA462" s="0" t="s">
        <v>47</v>
      </c>
      <c r="AF462" s="3" t="s">
        <v>48</v>
      </c>
      <c r="AG462" s="3" t="s">
        <v>49</v>
      </c>
      <c r="AL462" s="0" t="s">
        <v>3097</v>
      </c>
      <c r="AM462" s="0" t="s">
        <v>3098</v>
      </c>
      <c r="AO462" s="0" t="s">
        <v>3099</v>
      </c>
      <c r="AP462" s="0" t="s">
        <v>3099</v>
      </c>
      <c r="AR462" s="0" t="s">
        <v>3100</v>
      </c>
    </row>
    <row r="463" customFormat="false" ht="15" hidden="false" customHeight="false" outlineLevel="0" collapsed="false">
      <c r="A463" s="0" t="n">
        <v>462</v>
      </c>
      <c r="B463" s="0" t="s">
        <v>3101</v>
      </c>
      <c r="C463" s="0" t="s">
        <v>43</v>
      </c>
      <c r="F463" s="0" t="s">
        <v>44</v>
      </c>
      <c r="AA463" s="0" t="s">
        <v>47</v>
      </c>
      <c r="AF463" s="3" t="s">
        <v>48</v>
      </c>
      <c r="AG463" s="3" t="s">
        <v>49</v>
      </c>
      <c r="AR463" s="0" t="s">
        <v>50</v>
      </c>
    </row>
    <row r="464" customFormat="false" ht="15" hidden="false" customHeight="false" outlineLevel="0" collapsed="false">
      <c r="A464" s="0" t="n">
        <v>463</v>
      </c>
      <c r="B464" s="0" t="s">
        <v>3102</v>
      </c>
      <c r="C464" s="0" t="s">
        <v>88</v>
      </c>
      <c r="E464" s="0" t="s">
        <v>3103</v>
      </c>
      <c r="N464" s="3" t="s">
        <v>213</v>
      </c>
      <c r="O464" s="3" t="s">
        <v>213</v>
      </c>
      <c r="P464" s="0" t="s">
        <v>96</v>
      </c>
      <c r="AA464" s="0" t="s">
        <v>47</v>
      </c>
      <c r="AB464" s="0" t="s">
        <v>3104</v>
      </c>
      <c r="AC464" s="0" t="s">
        <v>3105</v>
      </c>
      <c r="AD464" s="0" t="s">
        <v>3106</v>
      </c>
      <c r="AE464" s="0" t="s">
        <v>79</v>
      </c>
      <c r="AF464" s="3" t="s">
        <v>48</v>
      </c>
      <c r="AG464" s="3" t="s">
        <v>49</v>
      </c>
      <c r="AR464" s="0" t="s">
        <v>3103</v>
      </c>
    </row>
    <row r="465" customFormat="false" ht="15" hidden="false" customHeight="false" outlineLevel="0" collapsed="false">
      <c r="A465" s="0" t="n">
        <v>464</v>
      </c>
      <c r="B465" s="0" t="s">
        <v>3107</v>
      </c>
      <c r="C465" s="0" t="s">
        <v>244</v>
      </c>
      <c r="E465" s="0" t="s">
        <v>3108</v>
      </c>
      <c r="F465" s="0" t="s">
        <v>44</v>
      </c>
      <c r="H465" s="0" t="s">
        <v>3109</v>
      </c>
      <c r="I465" s="0" t="s">
        <v>46</v>
      </c>
      <c r="N465" s="3" t="s">
        <v>202</v>
      </c>
      <c r="O465" s="3" t="s">
        <v>202</v>
      </c>
      <c r="P465" s="0" t="s">
        <v>96</v>
      </c>
      <c r="AA465" s="0" t="s">
        <v>47</v>
      </c>
      <c r="AB465" s="0" t="s">
        <v>3110</v>
      </c>
      <c r="AC465" s="0" t="s">
        <v>3111</v>
      </c>
      <c r="AD465" s="0" t="s">
        <v>3112</v>
      </c>
      <c r="AE465" s="0" t="s">
        <v>79</v>
      </c>
      <c r="AF465" s="3" t="s">
        <v>149</v>
      </c>
      <c r="AG465" s="3" t="s">
        <v>81</v>
      </c>
      <c r="AK465" s="0" t="s">
        <v>3113</v>
      </c>
      <c r="AR465" s="0" t="s">
        <v>3114</v>
      </c>
    </row>
    <row r="466" customFormat="false" ht="15" hidden="false" customHeight="false" outlineLevel="0" collapsed="false">
      <c r="A466" s="0" t="n">
        <v>465</v>
      </c>
      <c r="B466" s="0" t="s">
        <v>3115</v>
      </c>
      <c r="C466" s="0" t="s">
        <v>88</v>
      </c>
      <c r="E466" s="0" t="s">
        <v>3116</v>
      </c>
      <c r="H466" s="0" t="s">
        <v>3117</v>
      </c>
      <c r="I466" s="0" t="s">
        <v>154</v>
      </c>
      <c r="N466" s="3" t="s">
        <v>202</v>
      </c>
      <c r="O466" s="3" t="s">
        <v>202</v>
      </c>
      <c r="P466" s="0" t="s">
        <v>96</v>
      </c>
      <c r="AA466" s="0" t="s">
        <v>47</v>
      </c>
      <c r="AB466" s="0" t="s">
        <v>3118</v>
      </c>
      <c r="AC466" s="0" t="s">
        <v>3119</v>
      </c>
      <c r="AD466" s="0" t="s">
        <v>3120</v>
      </c>
      <c r="AE466" s="0" t="s">
        <v>79</v>
      </c>
      <c r="AF466" s="3" t="s">
        <v>48</v>
      </c>
      <c r="AG466" s="3" t="s">
        <v>49</v>
      </c>
      <c r="AL466" s="0" t="s">
        <v>3121</v>
      </c>
      <c r="AM466" s="0" t="s">
        <v>3122</v>
      </c>
      <c r="AO466" s="0" t="s">
        <v>3123</v>
      </c>
      <c r="AP466" s="0" t="s">
        <v>3123</v>
      </c>
      <c r="AR466" s="0" t="s">
        <v>3124</v>
      </c>
    </row>
    <row r="467" customFormat="false" ht="15" hidden="false" customHeight="false" outlineLevel="0" collapsed="false">
      <c r="A467" s="0" t="n">
        <v>466</v>
      </c>
      <c r="B467" s="0" t="s">
        <v>3125</v>
      </c>
      <c r="C467" s="0" t="s">
        <v>43</v>
      </c>
      <c r="F467" s="0" t="s">
        <v>44</v>
      </c>
      <c r="H467" s="0" t="s">
        <v>3126</v>
      </c>
      <c r="I467" s="0" t="s">
        <v>154</v>
      </c>
      <c r="AA467" s="0" t="s">
        <v>47</v>
      </c>
      <c r="AF467" s="3" t="s">
        <v>48</v>
      </c>
      <c r="AG467" s="3" t="s">
        <v>49</v>
      </c>
      <c r="AP467" s="0" t="s">
        <v>3127</v>
      </c>
      <c r="AR467" s="0" t="s">
        <v>3128</v>
      </c>
    </row>
    <row r="468" customFormat="false" ht="15" hidden="false" customHeight="false" outlineLevel="0" collapsed="false">
      <c r="A468" s="0" t="n">
        <v>467</v>
      </c>
      <c r="B468" s="0" t="s">
        <v>3129</v>
      </c>
      <c r="C468" s="0" t="s">
        <v>88</v>
      </c>
      <c r="E468" s="0" t="s">
        <v>3130</v>
      </c>
      <c r="N468" s="3" t="s">
        <v>202</v>
      </c>
      <c r="O468" s="3" t="s">
        <v>202</v>
      </c>
      <c r="P468" s="0" t="s">
        <v>96</v>
      </c>
      <c r="AA468" s="0" t="s">
        <v>47</v>
      </c>
      <c r="AB468" s="0" t="s">
        <v>3131</v>
      </c>
      <c r="AC468" s="0" t="s">
        <v>3132</v>
      </c>
      <c r="AD468" s="0" t="s">
        <v>3133</v>
      </c>
      <c r="AE468" s="0" t="s">
        <v>79</v>
      </c>
      <c r="AF468" s="3" t="s">
        <v>48</v>
      </c>
      <c r="AG468" s="3" t="s">
        <v>49</v>
      </c>
      <c r="AR468" s="0" t="s">
        <v>3130</v>
      </c>
    </row>
    <row r="469" customFormat="false" ht="15" hidden="false" customHeight="false" outlineLevel="0" collapsed="false">
      <c r="A469" s="0" t="n">
        <v>468</v>
      </c>
      <c r="B469" s="0" t="s">
        <v>3134</v>
      </c>
      <c r="C469" s="0" t="s">
        <v>88</v>
      </c>
      <c r="E469" s="0" t="s">
        <v>3135</v>
      </c>
      <c r="H469" s="0" t="s">
        <v>3136</v>
      </c>
      <c r="I469" s="0" t="s">
        <v>154</v>
      </c>
      <c r="N469" s="3" t="s">
        <v>95</v>
      </c>
      <c r="O469" s="3" t="s">
        <v>95</v>
      </c>
      <c r="P469" s="0" t="s">
        <v>96</v>
      </c>
      <c r="AA469" s="0" t="s">
        <v>47</v>
      </c>
      <c r="AB469" s="0" t="s">
        <v>3137</v>
      </c>
      <c r="AC469" s="0" t="s">
        <v>3138</v>
      </c>
      <c r="AD469" s="0" t="s">
        <v>3139</v>
      </c>
      <c r="AE469" s="0" t="s">
        <v>79</v>
      </c>
      <c r="AF469" s="3" t="s">
        <v>48</v>
      </c>
      <c r="AG469" s="3" t="s">
        <v>49</v>
      </c>
      <c r="AL469" s="0" t="s">
        <v>3140</v>
      </c>
      <c r="AM469" s="0" t="s">
        <v>3141</v>
      </c>
      <c r="AO469" s="0" t="s">
        <v>3142</v>
      </c>
      <c r="AP469" s="0" t="s">
        <v>3142</v>
      </c>
      <c r="AR469" s="0" t="s">
        <v>3143</v>
      </c>
    </row>
    <row r="470" customFormat="false" ht="15" hidden="false" customHeight="false" outlineLevel="0" collapsed="false">
      <c r="A470" s="0" t="n">
        <v>469</v>
      </c>
      <c r="B470" s="0" t="s">
        <v>3144</v>
      </c>
      <c r="C470" s="0" t="s">
        <v>43</v>
      </c>
      <c r="F470" s="0" t="s">
        <v>44</v>
      </c>
      <c r="H470" s="0" t="s">
        <v>3145</v>
      </c>
      <c r="I470" s="0" t="s">
        <v>154</v>
      </c>
      <c r="AA470" s="0" t="s">
        <v>47</v>
      </c>
      <c r="AF470" s="3" t="s">
        <v>48</v>
      </c>
      <c r="AG470" s="3" t="s">
        <v>49</v>
      </c>
      <c r="AL470" s="0" t="s">
        <v>3146</v>
      </c>
      <c r="AM470" s="0" t="s">
        <v>3147</v>
      </c>
      <c r="AO470" s="0" t="s">
        <v>3148</v>
      </c>
      <c r="AP470" s="0" t="s">
        <v>3148</v>
      </c>
      <c r="AR470" s="0" t="s">
        <v>3149</v>
      </c>
    </row>
    <row r="471" customFormat="false" ht="15" hidden="false" customHeight="false" outlineLevel="0" collapsed="false">
      <c r="A471" s="0" t="n">
        <v>470</v>
      </c>
      <c r="B471" s="0" t="s">
        <v>3150</v>
      </c>
      <c r="C471" s="0" t="s">
        <v>61</v>
      </c>
      <c r="D471" s="0" t="s">
        <v>3151</v>
      </c>
      <c r="E471" s="0" t="s">
        <v>3152</v>
      </c>
      <c r="H471" s="0" t="s">
        <v>3153</v>
      </c>
      <c r="I471" s="0" t="s">
        <v>115</v>
      </c>
      <c r="J471" s="3" t="s">
        <v>694</v>
      </c>
      <c r="K471" s="0" t="s">
        <v>3154</v>
      </c>
      <c r="M471" s="0" t="n">
        <v>1945</v>
      </c>
      <c r="N471" s="0" t="s">
        <v>1740</v>
      </c>
      <c r="O471" s="3" t="s">
        <v>54</v>
      </c>
      <c r="P471" s="0" t="s">
        <v>55</v>
      </c>
      <c r="R471" s="0" t="n">
        <v>4125</v>
      </c>
      <c r="S471" s="0" t="n">
        <v>2025</v>
      </c>
      <c r="T471" s="0" t="s">
        <v>72</v>
      </c>
      <c r="U471" s="0" t="s">
        <v>115</v>
      </c>
      <c r="V471" s="0" t="n">
        <v>1016</v>
      </c>
      <c r="W471" s="0" t="s">
        <v>3155</v>
      </c>
      <c r="X471" s="0" t="s">
        <v>764</v>
      </c>
      <c r="Y471" s="0" t="s">
        <v>72</v>
      </c>
      <c r="Z471" s="0" t="s">
        <v>115</v>
      </c>
      <c r="AA471" s="0" t="s">
        <v>75</v>
      </c>
      <c r="AB471" s="0" t="s">
        <v>3156</v>
      </c>
      <c r="AC471" s="0" t="s">
        <v>3157</v>
      </c>
      <c r="AD471" s="0" t="s">
        <v>3158</v>
      </c>
      <c r="AE471" s="0" t="s">
        <v>115</v>
      </c>
      <c r="AF471" s="3" t="s">
        <v>108</v>
      </c>
      <c r="AG471" s="3" t="s">
        <v>404</v>
      </c>
      <c r="AH471" s="0" t="n">
        <v>2026</v>
      </c>
      <c r="AI471" s="0" t="s">
        <v>3159</v>
      </c>
      <c r="AJ471" s="0" t="s">
        <v>3160</v>
      </c>
      <c r="AK471" s="0" t="s">
        <v>3161</v>
      </c>
      <c r="AL471" s="0" t="s">
        <v>3162</v>
      </c>
      <c r="AM471" s="0" t="s">
        <v>3163</v>
      </c>
      <c r="AN471" s="0" t="s">
        <v>3164</v>
      </c>
      <c r="AO471" s="0" t="s">
        <v>3165</v>
      </c>
      <c r="AP471" s="0" t="s">
        <v>3166</v>
      </c>
      <c r="AR471" s="0" t="s">
        <v>3167</v>
      </c>
    </row>
    <row r="472" customFormat="false" ht="15" hidden="false" customHeight="false" outlineLevel="0" collapsed="false">
      <c r="A472" s="0" t="n">
        <v>471</v>
      </c>
      <c r="B472" s="0" t="s">
        <v>3168</v>
      </c>
      <c r="C472" s="0" t="s">
        <v>61</v>
      </c>
      <c r="D472" s="0" t="s">
        <v>3169</v>
      </c>
      <c r="E472" s="0" t="s">
        <v>3170</v>
      </c>
      <c r="H472" s="0" t="s">
        <v>3171</v>
      </c>
      <c r="I472" s="0" t="s">
        <v>46</v>
      </c>
      <c r="N472" s="3" t="s">
        <v>104</v>
      </c>
      <c r="O472" s="3" t="s">
        <v>104</v>
      </c>
      <c r="P472" s="0" t="s">
        <v>55</v>
      </c>
      <c r="AA472" s="0" t="s">
        <v>47</v>
      </c>
      <c r="AB472" s="0" t="s">
        <v>3172</v>
      </c>
      <c r="AC472" s="0" t="s">
        <v>3173</v>
      </c>
      <c r="AD472" s="0" t="s">
        <v>3174</v>
      </c>
      <c r="AE472" s="0" t="s">
        <v>59</v>
      </c>
      <c r="AF472" s="3" t="s">
        <v>108</v>
      </c>
      <c r="AG472" s="3" t="s">
        <v>49</v>
      </c>
      <c r="AH472" s="0" t="n">
        <v>2026</v>
      </c>
      <c r="AI472" s="0" t="s">
        <v>3175</v>
      </c>
      <c r="AJ472" s="0" t="s">
        <v>3176</v>
      </c>
      <c r="AK472" s="0" t="s">
        <v>3177</v>
      </c>
      <c r="AR472" s="0" t="s">
        <v>3178</v>
      </c>
    </row>
    <row r="473" customFormat="false" ht="15" hidden="false" customHeight="false" outlineLevel="0" collapsed="false">
      <c r="A473" s="0" t="n">
        <v>472</v>
      </c>
      <c r="B473" s="0" t="s">
        <v>3179</v>
      </c>
      <c r="C473" s="0" t="s">
        <v>88</v>
      </c>
      <c r="E473" s="0" t="s">
        <v>3180</v>
      </c>
      <c r="AA473" s="0" t="s">
        <v>47</v>
      </c>
      <c r="AF473" s="3" t="s">
        <v>48</v>
      </c>
      <c r="AG473" s="3" t="s">
        <v>49</v>
      </c>
      <c r="AR473" s="0" t="s">
        <v>3180</v>
      </c>
    </row>
    <row r="474" customFormat="false" ht="15" hidden="false" customHeight="false" outlineLevel="0" collapsed="false">
      <c r="A474" s="0" t="n">
        <v>473</v>
      </c>
      <c r="B474" s="0" t="s">
        <v>3181</v>
      </c>
      <c r="C474" s="0" t="s">
        <v>88</v>
      </c>
      <c r="E474" s="0" t="s">
        <v>3182</v>
      </c>
      <c r="AA474" s="0" t="s">
        <v>47</v>
      </c>
      <c r="AF474" s="3" t="s">
        <v>48</v>
      </c>
      <c r="AG474" s="3" t="s">
        <v>49</v>
      </c>
      <c r="AR474" s="0" t="s">
        <v>3182</v>
      </c>
    </row>
    <row r="475" customFormat="false" ht="15" hidden="false" customHeight="false" outlineLevel="0" collapsed="false">
      <c r="A475" s="0" t="n">
        <v>474</v>
      </c>
      <c r="B475" s="0" t="s">
        <v>3183</v>
      </c>
      <c r="C475" s="0" t="s">
        <v>88</v>
      </c>
      <c r="E475" s="0" t="s">
        <v>3184</v>
      </c>
      <c r="AA475" s="0" t="s">
        <v>47</v>
      </c>
      <c r="AF475" s="3" t="s">
        <v>48</v>
      </c>
      <c r="AG475" s="3" t="s">
        <v>49</v>
      </c>
      <c r="AR475" s="0" t="s">
        <v>3184</v>
      </c>
    </row>
    <row r="476" customFormat="false" ht="15" hidden="false" customHeight="false" outlineLevel="0" collapsed="false">
      <c r="A476" s="0" t="n">
        <v>475</v>
      </c>
      <c r="B476" s="0" t="s">
        <v>3185</v>
      </c>
      <c r="C476" s="0" t="s">
        <v>88</v>
      </c>
      <c r="E476" s="0" t="s">
        <v>3186</v>
      </c>
      <c r="H476" s="0" t="s">
        <v>3187</v>
      </c>
      <c r="I476" s="0" t="s">
        <v>154</v>
      </c>
      <c r="AA476" s="0" t="s">
        <v>47</v>
      </c>
      <c r="AF476" s="3" t="s">
        <v>48</v>
      </c>
      <c r="AG476" s="3" t="s">
        <v>49</v>
      </c>
      <c r="AL476" s="0" t="s">
        <v>3188</v>
      </c>
      <c r="AM476" s="0" t="s">
        <v>3189</v>
      </c>
      <c r="AO476" s="0" t="s">
        <v>3190</v>
      </c>
      <c r="AP476" s="0" t="s">
        <v>3190</v>
      </c>
      <c r="AR476" s="0" t="s">
        <v>3191</v>
      </c>
    </row>
    <row r="477" customFormat="false" ht="15" hidden="false" customHeight="false" outlineLevel="0" collapsed="false">
      <c r="A477" s="0" t="n">
        <v>476</v>
      </c>
      <c r="B477" s="0" t="s">
        <v>3192</v>
      </c>
      <c r="C477" s="0" t="s">
        <v>61</v>
      </c>
      <c r="D477" s="0" t="s">
        <v>3193</v>
      </c>
      <c r="E477" s="0" t="s">
        <v>3194</v>
      </c>
      <c r="H477" s="0" t="s">
        <v>3195</v>
      </c>
      <c r="I477" s="0" t="s">
        <v>154</v>
      </c>
      <c r="N477" s="3" t="s">
        <v>54</v>
      </c>
      <c r="O477" s="3" t="s">
        <v>54</v>
      </c>
      <c r="P477" s="0" t="s">
        <v>55</v>
      </c>
      <c r="AA477" s="0" t="s">
        <v>47</v>
      </c>
      <c r="AB477" s="0" t="s">
        <v>3196</v>
      </c>
      <c r="AC477" s="0" t="s">
        <v>3197</v>
      </c>
      <c r="AD477" s="0" t="s">
        <v>3198</v>
      </c>
      <c r="AE477" s="0" t="s">
        <v>79</v>
      </c>
      <c r="AF477" s="3" t="s">
        <v>149</v>
      </c>
      <c r="AG477" s="3" t="s">
        <v>81</v>
      </c>
      <c r="AK477" s="0" t="s">
        <v>3199</v>
      </c>
      <c r="AL477" s="0" t="s">
        <v>3200</v>
      </c>
      <c r="AO477" s="0" t="s">
        <v>3201</v>
      </c>
      <c r="AP477" s="0" t="s">
        <v>3201</v>
      </c>
      <c r="AR477" s="0" t="s">
        <v>3202</v>
      </c>
    </row>
    <row r="478" customFormat="false" ht="15" hidden="false" customHeight="false" outlineLevel="0" collapsed="false">
      <c r="A478" s="0" t="n">
        <v>477</v>
      </c>
      <c r="B478" s="0" t="s">
        <v>3203</v>
      </c>
      <c r="C478" s="0" t="s">
        <v>52</v>
      </c>
      <c r="D478" s="0" t="s">
        <v>3204</v>
      </c>
      <c r="H478" s="0" t="s">
        <v>3205</v>
      </c>
      <c r="I478" s="0" t="s">
        <v>115</v>
      </c>
      <c r="J478" s="3" t="s">
        <v>3206</v>
      </c>
      <c r="K478" s="0" t="s">
        <v>3207</v>
      </c>
      <c r="M478" s="0" t="n">
        <v>1978</v>
      </c>
      <c r="N478" s="0" t="s">
        <v>3208</v>
      </c>
      <c r="O478" s="3" t="s">
        <v>54</v>
      </c>
      <c r="P478" s="0" t="s">
        <v>55</v>
      </c>
      <c r="R478" s="0" t="n">
        <v>1600</v>
      </c>
      <c r="S478" s="0" t="n">
        <v>2025</v>
      </c>
      <c r="T478" s="0" t="s">
        <v>72</v>
      </c>
      <c r="U478" s="0" t="s">
        <v>115</v>
      </c>
      <c r="V478" s="0" t="n">
        <v>115</v>
      </c>
      <c r="W478" s="0" t="s">
        <v>3209</v>
      </c>
      <c r="X478" s="0" t="s">
        <v>1811</v>
      </c>
      <c r="Y478" s="0" t="s">
        <v>698</v>
      </c>
      <c r="Z478" s="0" t="s">
        <v>115</v>
      </c>
      <c r="AA478" s="0" t="s">
        <v>1022</v>
      </c>
      <c r="AB478" s="0" t="s">
        <v>3210</v>
      </c>
      <c r="AC478" s="0" t="s">
        <v>3211</v>
      </c>
      <c r="AD478" s="0" t="s">
        <v>3212</v>
      </c>
      <c r="AE478" s="0" t="s">
        <v>115</v>
      </c>
      <c r="AF478" s="3" t="s">
        <v>108</v>
      </c>
      <c r="AG478" s="3" t="s">
        <v>404</v>
      </c>
      <c r="AH478" s="0" t="n">
        <v>2026</v>
      </c>
      <c r="AI478" s="0" t="s">
        <v>3213</v>
      </c>
      <c r="AJ478" s="0" t="s">
        <v>3214</v>
      </c>
      <c r="AK478" s="0" t="s">
        <v>3215</v>
      </c>
      <c r="AL478" s="0" t="s">
        <v>3216</v>
      </c>
      <c r="AM478" s="0" t="s">
        <v>3217</v>
      </c>
      <c r="AN478" s="0" t="s">
        <v>3218</v>
      </c>
      <c r="AO478" s="0" t="s">
        <v>3219</v>
      </c>
      <c r="AP478" s="0" t="s">
        <v>3220</v>
      </c>
      <c r="AR478" s="0" t="s">
        <v>3221</v>
      </c>
    </row>
    <row r="479" customFormat="false" ht="15" hidden="false" customHeight="false" outlineLevel="0" collapsed="false">
      <c r="A479" s="0" t="n">
        <v>478</v>
      </c>
      <c r="B479" s="0" t="s">
        <v>3222</v>
      </c>
      <c r="C479" s="0" t="s">
        <v>244</v>
      </c>
      <c r="E479" s="0" t="s">
        <v>3223</v>
      </c>
      <c r="F479" s="0" t="s">
        <v>44</v>
      </c>
      <c r="H479" s="0" t="s">
        <v>3224</v>
      </c>
      <c r="I479" s="0" t="s">
        <v>46</v>
      </c>
      <c r="N479" s="3" t="s">
        <v>95</v>
      </c>
      <c r="O479" s="3" t="s">
        <v>95</v>
      </c>
      <c r="P479" s="0" t="s">
        <v>96</v>
      </c>
      <c r="AA479" s="0" t="s">
        <v>47</v>
      </c>
      <c r="AB479" s="0" t="s">
        <v>3225</v>
      </c>
      <c r="AC479" s="0" t="s">
        <v>3226</v>
      </c>
      <c r="AD479" s="0" t="s">
        <v>3227</v>
      </c>
      <c r="AE479" s="0" t="s">
        <v>79</v>
      </c>
      <c r="AF479" s="3" t="s">
        <v>48</v>
      </c>
      <c r="AG479" s="3" t="s">
        <v>49</v>
      </c>
      <c r="AR479" s="0" t="s">
        <v>3228</v>
      </c>
    </row>
    <row r="480" customFormat="false" ht="15" hidden="false" customHeight="false" outlineLevel="0" collapsed="false">
      <c r="A480" s="0" t="n">
        <v>479</v>
      </c>
      <c r="B480" s="0" t="s">
        <v>3229</v>
      </c>
      <c r="C480" s="0" t="s">
        <v>244</v>
      </c>
      <c r="E480" s="0" t="s">
        <v>3230</v>
      </c>
      <c r="F480" s="0" t="s">
        <v>44</v>
      </c>
      <c r="H480" s="0" t="s">
        <v>3231</v>
      </c>
      <c r="I480" s="0" t="s">
        <v>154</v>
      </c>
      <c r="N480" s="3" t="s">
        <v>186</v>
      </c>
      <c r="O480" s="3" t="s">
        <v>186</v>
      </c>
      <c r="P480" s="0" t="s">
        <v>96</v>
      </c>
      <c r="AA480" s="0" t="s">
        <v>47</v>
      </c>
      <c r="AB480" s="0" t="s">
        <v>3232</v>
      </c>
      <c r="AC480" s="0" t="s">
        <v>3233</v>
      </c>
      <c r="AD480" s="0" t="s">
        <v>3234</v>
      </c>
      <c r="AE480" s="0" t="s">
        <v>79</v>
      </c>
      <c r="AF480" s="3" t="s">
        <v>149</v>
      </c>
      <c r="AG480" s="3" t="s">
        <v>81</v>
      </c>
      <c r="AK480" s="0" t="s">
        <v>3235</v>
      </c>
      <c r="AL480" s="0" t="s">
        <v>3236</v>
      </c>
      <c r="AO480" s="0" t="s">
        <v>3237</v>
      </c>
      <c r="AP480" s="0" t="s">
        <v>3237</v>
      </c>
      <c r="AR480" s="0" t="s">
        <v>3238</v>
      </c>
    </row>
    <row r="481" customFormat="false" ht="15" hidden="false" customHeight="false" outlineLevel="0" collapsed="false">
      <c r="A481" s="0" t="n">
        <v>480</v>
      </c>
      <c r="B481" s="0" t="s">
        <v>3239</v>
      </c>
      <c r="C481" s="0" t="s">
        <v>43</v>
      </c>
      <c r="F481" s="0" t="s">
        <v>44</v>
      </c>
      <c r="AA481" s="0" t="s">
        <v>47</v>
      </c>
      <c r="AF481" s="3" t="s">
        <v>48</v>
      </c>
      <c r="AG481" s="3" t="s">
        <v>49</v>
      </c>
      <c r="AR481" s="0" t="s">
        <v>50</v>
      </c>
    </row>
    <row r="482" customFormat="false" ht="15" hidden="false" customHeight="false" outlineLevel="0" collapsed="false">
      <c r="A482" s="0" t="n">
        <v>481</v>
      </c>
      <c r="B482" s="0" t="s">
        <v>3240</v>
      </c>
      <c r="C482" s="0" t="s">
        <v>43</v>
      </c>
      <c r="F482" s="0" t="s">
        <v>44</v>
      </c>
      <c r="H482" s="0" t="s">
        <v>3241</v>
      </c>
      <c r="I482" s="0" t="s">
        <v>154</v>
      </c>
      <c r="AA482" s="0" t="s">
        <v>47</v>
      </c>
      <c r="AF482" s="3" t="s">
        <v>48</v>
      </c>
      <c r="AG482" s="3" t="s">
        <v>49</v>
      </c>
      <c r="AL482" s="0" t="s">
        <v>3242</v>
      </c>
      <c r="AM482" s="0" t="s">
        <v>3243</v>
      </c>
      <c r="AO482" s="0" t="s">
        <v>3244</v>
      </c>
      <c r="AP482" s="0" t="s">
        <v>3244</v>
      </c>
      <c r="AR482" s="0" t="s">
        <v>3245</v>
      </c>
    </row>
    <row r="483" customFormat="false" ht="15" hidden="false" customHeight="false" outlineLevel="0" collapsed="false">
      <c r="A483" s="0" t="n">
        <v>482</v>
      </c>
      <c r="B483" s="0" t="s">
        <v>3246</v>
      </c>
      <c r="C483" s="0" t="s">
        <v>52</v>
      </c>
      <c r="D483" s="0" t="s">
        <v>3247</v>
      </c>
      <c r="H483" s="0" t="s">
        <v>3248</v>
      </c>
      <c r="I483" s="0" t="s">
        <v>154</v>
      </c>
      <c r="N483" s="3" t="s">
        <v>1568</v>
      </c>
      <c r="O483" s="3" t="s">
        <v>1568</v>
      </c>
      <c r="P483" s="0" t="s">
        <v>55</v>
      </c>
      <c r="AA483" s="0" t="s">
        <v>47</v>
      </c>
      <c r="AB483" s="0" t="s">
        <v>3249</v>
      </c>
      <c r="AC483" s="0" t="s">
        <v>3250</v>
      </c>
      <c r="AD483" s="0" t="s">
        <v>3251</v>
      </c>
      <c r="AE483" s="0" t="s">
        <v>59</v>
      </c>
      <c r="AF483" s="3" t="s">
        <v>48</v>
      </c>
      <c r="AG483" s="3" t="s">
        <v>49</v>
      </c>
      <c r="AM483" s="0" t="s">
        <v>3252</v>
      </c>
      <c r="AO483" s="0" t="s">
        <v>3253</v>
      </c>
      <c r="AP483" s="0" t="s">
        <v>3253</v>
      </c>
      <c r="AR483" s="0" t="s">
        <v>3254</v>
      </c>
    </row>
    <row r="484" customFormat="false" ht="15" hidden="false" customHeight="false" outlineLevel="0" collapsed="false">
      <c r="A484" s="0" t="n">
        <v>483</v>
      </c>
      <c r="B484" s="0" t="s">
        <v>3255</v>
      </c>
      <c r="C484" s="0" t="s">
        <v>88</v>
      </c>
      <c r="E484" s="0" t="s">
        <v>3256</v>
      </c>
      <c r="H484" s="0" t="s">
        <v>3257</v>
      </c>
      <c r="I484" s="0" t="s">
        <v>154</v>
      </c>
      <c r="N484" s="3" t="s">
        <v>202</v>
      </c>
      <c r="O484" s="3" t="s">
        <v>202</v>
      </c>
      <c r="P484" s="0" t="s">
        <v>96</v>
      </c>
      <c r="AA484" s="0" t="s">
        <v>47</v>
      </c>
      <c r="AB484" s="0" t="s">
        <v>3258</v>
      </c>
      <c r="AC484" s="0" t="s">
        <v>3259</v>
      </c>
      <c r="AD484" s="0" t="s">
        <v>3260</v>
      </c>
      <c r="AE484" s="0" t="s">
        <v>79</v>
      </c>
      <c r="AF484" s="3" t="s">
        <v>48</v>
      </c>
      <c r="AG484" s="3" t="s">
        <v>49</v>
      </c>
      <c r="AL484" s="0" t="s">
        <v>3261</v>
      </c>
      <c r="AM484" s="0" t="s">
        <v>3262</v>
      </c>
      <c r="AO484" s="0" t="s">
        <v>3263</v>
      </c>
      <c r="AP484" s="0" t="s">
        <v>3263</v>
      </c>
      <c r="AR484" s="0" t="s">
        <v>3264</v>
      </c>
    </row>
    <row r="485" customFormat="false" ht="15" hidden="false" customHeight="false" outlineLevel="0" collapsed="false">
      <c r="A485" s="0" t="n">
        <v>484</v>
      </c>
      <c r="B485" s="0" t="s">
        <v>3265</v>
      </c>
      <c r="C485" s="0" t="s">
        <v>88</v>
      </c>
      <c r="E485" s="0" t="s">
        <v>3266</v>
      </c>
      <c r="H485" s="0" t="s">
        <v>3267</v>
      </c>
      <c r="I485" s="0" t="s">
        <v>154</v>
      </c>
      <c r="N485" s="3" t="s">
        <v>147</v>
      </c>
      <c r="O485" s="3" t="s">
        <v>147</v>
      </c>
      <c r="P485" s="0" t="s">
        <v>96</v>
      </c>
      <c r="AA485" s="0" t="s">
        <v>47</v>
      </c>
      <c r="AB485" s="0" t="s">
        <v>3268</v>
      </c>
      <c r="AC485" s="0" t="s">
        <v>3269</v>
      </c>
      <c r="AD485" s="0" t="s">
        <v>3270</v>
      </c>
      <c r="AE485" s="0" t="s">
        <v>79</v>
      </c>
      <c r="AF485" s="3" t="s">
        <v>48</v>
      </c>
      <c r="AG485" s="3" t="s">
        <v>49</v>
      </c>
      <c r="AL485" s="0" t="s">
        <v>3271</v>
      </c>
      <c r="AM485" s="0" t="s">
        <v>3272</v>
      </c>
      <c r="AO485" s="0" t="s">
        <v>3273</v>
      </c>
      <c r="AP485" s="0" t="s">
        <v>3273</v>
      </c>
      <c r="AR485" s="0" t="s">
        <v>3274</v>
      </c>
    </row>
    <row r="486" customFormat="false" ht="15" hidden="false" customHeight="false" outlineLevel="0" collapsed="false">
      <c r="A486" s="0" t="n">
        <v>485</v>
      </c>
      <c r="B486" s="0" t="s">
        <v>3275</v>
      </c>
      <c r="C486" s="0" t="s">
        <v>244</v>
      </c>
      <c r="E486" s="0" t="s">
        <v>3276</v>
      </c>
      <c r="F486" s="0" t="s">
        <v>44</v>
      </c>
      <c r="H486" s="0" t="s">
        <v>3277</v>
      </c>
      <c r="I486" s="0" t="s">
        <v>154</v>
      </c>
      <c r="N486" s="3" t="s">
        <v>186</v>
      </c>
      <c r="O486" s="3" t="s">
        <v>186</v>
      </c>
      <c r="P486" s="0" t="s">
        <v>96</v>
      </c>
      <c r="AA486" s="0" t="s">
        <v>47</v>
      </c>
      <c r="AB486" s="0" t="s">
        <v>3278</v>
      </c>
      <c r="AC486" s="0" t="s">
        <v>3279</v>
      </c>
      <c r="AD486" s="0" t="s">
        <v>3280</v>
      </c>
      <c r="AE486" s="0" t="s">
        <v>79</v>
      </c>
      <c r="AF486" s="3" t="s">
        <v>108</v>
      </c>
      <c r="AG486" s="3" t="s">
        <v>49</v>
      </c>
      <c r="AH486" s="0" t="n">
        <v>2026</v>
      </c>
      <c r="AI486" s="0" t="s">
        <v>1231</v>
      </c>
      <c r="AJ486" s="0" t="s">
        <v>1232</v>
      </c>
      <c r="AK486" s="0" t="s">
        <v>3281</v>
      </c>
      <c r="AL486" s="0" t="s">
        <v>3282</v>
      </c>
      <c r="AM486" s="0" t="s">
        <v>3283</v>
      </c>
      <c r="AO486" s="0" t="s">
        <v>3284</v>
      </c>
      <c r="AP486" s="0" t="s">
        <v>3284</v>
      </c>
      <c r="AR486" s="0" t="s">
        <v>3285</v>
      </c>
    </row>
    <row r="487" customFormat="false" ht="15" hidden="false" customHeight="false" outlineLevel="0" collapsed="false">
      <c r="A487" s="0" t="n">
        <v>486</v>
      </c>
      <c r="B487" s="0" t="s">
        <v>3286</v>
      </c>
      <c r="C487" s="0" t="s">
        <v>88</v>
      </c>
      <c r="E487" s="0" t="s">
        <v>3287</v>
      </c>
      <c r="N487" s="3" t="s">
        <v>202</v>
      </c>
      <c r="O487" s="3" t="s">
        <v>202</v>
      </c>
      <c r="P487" s="0" t="s">
        <v>96</v>
      </c>
      <c r="AA487" s="0" t="s">
        <v>47</v>
      </c>
      <c r="AB487" s="0" t="s">
        <v>3288</v>
      </c>
      <c r="AC487" s="0" t="s">
        <v>3289</v>
      </c>
      <c r="AD487" s="0" t="s">
        <v>3290</v>
      </c>
      <c r="AE487" s="0" t="s">
        <v>79</v>
      </c>
      <c r="AF487" s="3" t="s">
        <v>48</v>
      </c>
      <c r="AG487" s="3" t="s">
        <v>49</v>
      </c>
      <c r="AR487" s="0" t="s">
        <v>3287</v>
      </c>
    </row>
    <row r="488" customFormat="false" ht="15" hidden="false" customHeight="false" outlineLevel="0" collapsed="false">
      <c r="A488" s="0" t="n">
        <v>487</v>
      </c>
      <c r="B488" s="0" t="s">
        <v>3291</v>
      </c>
      <c r="C488" s="0" t="s">
        <v>88</v>
      </c>
      <c r="E488" s="0" t="s">
        <v>3292</v>
      </c>
      <c r="H488" s="0" t="s">
        <v>3293</v>
      </c>
      <c r="I488" s="0" t="s">
        <v>154</v>
      </c>
      <c r="N488" s="3" t="s">
        <v>202</v>
      </c>
      <c r="O488" s="3" t="s">
        <v>202</v>
      </c>
      <c r="P488" s="0" t="s">
        <v>96</v>
      </c>
      <c r="AA488" s="0" t="s">
        <v>47</v>
      </c>
      <c r="AB488" s="0" t="s">
        <v>3294</v>
      </c>
      <c r="AC488" s="0" t="s">
        <v>3295</v>
      </c>
      <c r="AD488" s="0" t="s">
        <v>3296</v>
      </c>
      <c r="AE488" s="0" t="s">
        <v>79</v>
      </c>
      <c r="AF488" s="3" t="s">
        <v>48</v>
      </c>
      <c r="AG488" s="3" t="s">
        <v>49</v>
      </c>
      <c r="AL488" s="0" t="s">
        <v>3297</v>
      </c>
      <c r="AO488" s="0" t="s">
        <v>3298</v>
      </c>
      <c r="AP488" s="0" t="s">
        <v>3298</v>
      </c>
      <c r="AR488" s="0" t="s">
        <v>3299</v>
      </c>
    </row>
    <row r="489" customFormat="false" ht="15" hidden="false" customHeight="false" outlineLevel="0" collapsed="false">
      <c r="A489" s="0" t="n">
        <v>488</v>
      </c>
      <c r="B489" s="0" t="s">
        <v>3300</v>
      </c>
      <c r="C489" s="0" t="s">
        <v>88</v>
      </c>
      <c r="E489" s="0" t="s">
        <v>3301</v>
      </c>
      <c r="H489" s="0" t="s">
        <v>3302</v>
      </c>
      <c r="I489" s="0" t="s">
        <v>154</v>
      </c>
      <c r="AA489" s="0" t="s">
        <v>47</v>
      </c>
      <c r="AF489" s="3" t="s">
        <v>48</v>
      </c>
      <c r="AG489" s="3" t="s">
        <v>49</v>
      </c>
      <c r="AL489" s="0" t="s">
        <v>3303</v>
      </c>
      <c r="AM489" s="0" t="s">
        <v>3304</v>
      </c>
      <c r="AO489" s="0" t="s">
        <v>3305</v>
      </c>
      <c r="AP489" s="0" t="s">
        <v>3305</v>
      </c>
      <c r="AR489" s="0" t="s">
        <v>3306</v>
      </c>
    </row>
    <row r="490" customFormat="false" ht="15" hidden="false" customHeight="false" outlineLevel="0" collapsed="false">
      <c r="A490" s="0" t="n">
        <v>489</v>
      </c>
      <c r="B490" s="0" t="s">
        <v>3307</v>
      </c>
      <c r="C490" s="0" t="s">
        <v>145</v>
      </c>
      <c r="F490" s="0" t="s">
        <v>146</v>
      </c>
      <c r="N490" s="3" t="s">
        <v>202</v>
      </c>
      <c r="O490" s="3" t="s">
        <v>202</v>
      </c>
      <c r="P490" s="0" t="s">
        <v>96</v>
      </c>
      <c r="Q490" s="0" t="s">
        <v>3308</v>
      </c>
      <c r="AA490" s="0" t="s">
        <v>47</v>
      </c>
      <c r="AF490" s="3" t="s">
        <v>149</v>
      </c>
      <c r="AG490" s="3" t="s">
        <v>81</v>
      </c>
      <c r="AK490" s="0" t="s">
        <v>3309</v>
      </c>
      <c r="AR490" s="0" t="s">
        <v>151</v>
      </c>
    </row>
    <row r="491" customFormat="false" ht="15" hidden="false" customHeight="false" outlineLevel="0" collapsed="false">
      <c r="A491" s="0" t="n">
        <v>490</v>
      </c>
      <c r="B491" s="0" t="s">
        <v>3310</v>
      </c>
      <c r="C491" s="0" t="s">
        <v>43</v>
      </c>
      <c r="F491" s="0" t="s">
        <v>44</v>
      </c>
      <c r="H491" s="0" t="s">
        <v>3311</v>
      </c>
      <c r="I491" s="0" t="s">
        <v>154</v>
      </c>
      <c r="AA491" s="0" t="s">
        <v>47</v>
      </c>
      <c r="AF491" s="3" t="s">
        <v>48</v>
      </c>
      <c r="AG491" s="3" t="s">
        <v>49</v>
      </c>
      <c r="AL491" s="0" t="s">
        <v>3312</v>
      </c>
      <c r="AM491" s="0" t="s">
        <v>3313</v>
      </c>
      <c r="AO491" s="0" t="s">
        <v>3314</v>
      </c>
      <c r="AP491" s="0" t="s">
        <v>3314</v>
      </c>
      <c r="AR491" s="0" t="s">
        <v>3315</v>
      </c>
    </row>
    <row r="492" customFormat="false" ht="15" hidden="false" customHeight="false" outlineLevel="0" collapsed="false">
      <c r="A492" s="0" t="n">
        <v>491</v>
      </c>
      <c r="B492" s="0" t="s">
        <v>3316</v>
      </c>
      <c r="C492" s="0" t="s">
        <v>88</v>
      </c>
      <c r="E492" s="0" t="s">
        <v>3317</v>
      </c>
      <c r="H492" s="0" t="s">
        <v>3318</v>
      </c>
      <c r="I492" s="0" t="s">
        <v>94</v>
      </c>
      <c r="N492" s="3" t="s">
        <v>119</v>
      </c>
      <c r="O492" s="3" t="s">
        <v>119</v>
      </c>
      <c r="P492" s="0" t="s">
        <v>96</v>
      </c>
      <c r="AA492" s="0" t="s">
        <v>47</v>
      </c>
      <c r="AB492" s="0" t="s">
        <v>3319</v>
      </c>
      <c r="AC492" s="0" t="s">
        <v>3320</v>
      </c>
      <c r="AD492" s="0" t="s">
        <v>3321</v>
      </c>
      <c r="AE492" s="0" t="s">
        <v>79</v>
      </c>
      <c r="AF492" s="3" t="s">
        <v>48</v>
      </c>
      <c r="AG492" s="3" t="s">
        <v>49</v>
      </c>
      <c r="AR492" s="0" t="s">
        <v>3317</v>
      </c>
    </row>
    <row r="493" customFormat="false" ht="15" hidden="false" customHeight="false" outlineLevel="0" collapsed="false">
      <c r="A493" s="0" t="n">
        <v>492</v>
      </c>
      <c r="B493" s="0" t="s">
        <v>3322</v>
      </c>
      <c r="C493" s="0" t="s">
        <v>88</v>
      </c>
      <c r="E493" s="0" t="s">
        <v>3323</v>
      </c>
      <c r="AA493" s="0" t="s">
        <v>47</v>
      </c>
      <c r="AF493" s="3" t="s">
        <v>48</v>
      </c>
      <c r="AG493" s="3" t="s">
        <v>49</v>
      </c>
      <c r="AR493" s="0" t="s">
        <v>3323</v>
      </c>
    </row>
    <row r="494" customFormat="false" ht="15" hidden="false" customHeight="false" outlineLevel="0" collapsed="false">
      <c r="A494" s="0" t="n">
        <v>493</v>
      </c>
      <c r="B494" s="0" t="s">
        <v>3324</v>
      </c>
      <c r="C494" s="0" t="s">
        <v>145</v>
      </c>
      <c r="F494" s="0" t="s">
        <v>146</v>
      </c>
      <c r="N494" s="3" t="s">
        <v>186</v>
      </c>
      <c r="O494" s="3" t="s">
        <v>186</v>
      </c>
      <c r="P494" s="0" t="s">
        <v>96</v>
      </c>
      <c r="Q494" s="0" t="s">
        <v>3325</v>
      </c>
      <c r="AA494" s="0" t="s">
        <v>47</v>
      </c>
      <c r="AF494" s="3" t="s">
        <v>108</v>
      </c>
      <c r="AG494" s="3" t="s">
        <v>49</v>
      </c>
      <c r="AH494" s="0" t="n">
        <v>2026</v>
      </c>
      <c r="AI494" s="0" t="s">
        <v>284</v>
      </c>
      <c r="AJ494" s="0" t="s">
        <v>285</v>
      </c>
      <c r="AK494" s="0" t="s">
        <v>3326</v>
      </c>
      <c r="AR494" s="0" t="s">
        <v>3327</v>
      </c>
    </row>
    <row r="495" customFormat="false" ht="15" hidden="false" customHeight="false" outlineLevel="0" collapsed="false">
      <c r="A495" s="0" t="n">
        <v>494</v>
      </c>
      <c r="B495" s="0" t="s">
        <v>3328</v>
      </c>
      <c r="C495" s="0" t="s">
        <v>88</v>
      </c>
      <c r="E495" s="0" t="s">
        <v>3329</v>
      </c>
      <c r="H495" s="0" t="s">
        <v>3330</v>
      </c>
      <c r="I495" s="0" t="s">
        <v>46</v>
      </c>
      <c r="AA495" s="0" t="s">
        <v>47</v>
      </c>
      <c r="AF495" s="3" t="s">
        <v>48</v>
      </c>
      <c r="AG495" s="3" t="s">
        <v>49</v>
      </c>
      <c r="AR495" s="0" t="s">
        <v>3329</v>
      </c>
    </row>
    <row r="496" customFormat="false" ht="15" hidden="false" customHeight="false" outlineLevel="0" collapsed="false">
      <c r="A496" s="0" t="n">
        <v>495</v>
      </c>
      <c r="B496" s="0" t="s">
        <v>3331</v>
      </c>
      <c r="C496" s="0" t="s">
        <v>88</v>
      </c>
      <c r="E496" s="0" t="s">
        <v>3332</v>
      </c>
      <c r="AA496" s="0" t="s">
        <v>47</v>
      </c>
      <c r="AB496" s="0" t="s">
        <v>3333</v>
      </c>
      <c r="AC496" s="0" t="s">
        <v>3334</v>
      </c>
      <c r="AD496" s="0" t="s">
        <v>3335</v>
      </c>
      <c r="AE496" s="0" t="s">
        <v>79</v>
      </c>
      <c r="AF496" s="3" t="s">
        <v>48</v>
      </c>
      <c r="AG496" s="3" t="s">
        <v>49</v>
      </c>
      <c r="AR496" s="0" t="s">
        <v>3332</v>
      </c>
    </row>
    <row r="497" customFormat="false" ht="15" hidden="false" customHeight="false" outlineLevel="0" collapsed="false">
      <c r="A497" s="0" t="n">
        <v>496</v>
      </c>
      <c r="B497" s="0" t="s">
        <v>2437</v>
      </c>
      <c r="C497" s="0" t="s">
        <v>61</v>
      </c>
      <c r="D497" s="0" t="s">
        <v>3336</v>
      </c>
      <c r="E497" s="0" t="s">
        <v>3337</v>
      </c>
      <c r="H497" s="0" t="s">
        <v>3338</v>
      </c>
      <c r="I497" s="0" t="s">
        <v>94</v>
      </c>
      <c r="N497" s="3" t="s">
        <v>104</v>
      </c>
      <c r="O497" s="3" t="s">
        <v>104</v>
      </c>
      <c r="P497" s="0" t="s">
        <v>55</v>
      </c>
      <c r="AA497" s="0" t="s">
        <v>47</v>
      </c>
      <c r="AB497" s="0" t="s">
        <v>3339</v>
      </c>
      <c r="AC497" s="0" t="s">
        <v>3340</v>
      </c>
      <c r="AD497" s="0" t="s">
        <v>3341</v>
      </c>
      <c r="AE497" s="0" t="s">
        <v>79</v>
      </c>
      <c r="AF497" s="3" t="s">
        <v>108</v>
      </c>
      <c r="AG497" s="3" t="s">
        <v>49</v>
      </c>
      <c r="AH497" s="0" t="n">
        <v>2026</v>
      </c>
      <c r="AI497" s="0" t="s">
        <v>2767</v>
      </c>
      <c r="AJ497" s="0" t="s">
        <v>2768</v>
      </c>
      <c r="AK497" s="0" t="s">
        <v>3342</v>
      </c>
      <c r="AR497" s="0" t="s">
        <v>3343</v>
      </c>
    </row>
    <row r="498" customFormat="false" ht="15" hidden="false" customHeight="false" outlineLevel="0" collapsed="false">
      <c r="A498" s="0" t="n">
        <v>497</v>
      </c>
      <c r="B498" s="0" t="s">
        <v>3344</v>
      </c>
      <c r="C498" s="0" t="s">
        <v>88</v>
      </c>
      <c r="E498" s="0" t="s">
        <v>3345</v>
      </c>
      <c r="H498" s="0" t="s">
        <v>3346</v>
      </c>
      <c r="I498" s="0" t="s">
        <v>154</v>
      </c>
      <c r="N498" s="3" t="s">
        <v>95</v>
      </c>
      <c r="O498" s="3" t="s">
        <v>95</v>
      </c>
      <c r="P498" s="0" t="s">
        <v>96</v>
      </c>
      <c r="AA498" s="0" t="s">
        <v>47</v>
      </c>
      <c r="AB498" s="0" t="s">
        <v>3347</v>
      </c>
      <c r="AC498" s="0" t="s">
        <v>3348</v>
      </c>
      <c r="AD498" s="0" t="s">
        <v>3349</v>
      </c>
      <c r="AE498" s="0" t="s">
        <v>79</v>
      </c>
      <c r="AF498" s="3" t="s">
        <v>48</v>
      </c>
      <c r="AG498" s="3" t="s">
        <v>49</v>
      </c>
      <c r="AL498" s="0" t="s">
        <v>3350</v>
      </c>
      <c r="AO498" s="0" t="s">
        <v>3351</v>
      </c>
      <c r="AP498" s="0" t="s">
        <v>3351</v>
      </c>
      <c r="AR498" s="0" t="s">
        <v>3352</v>
      </c>
    </row>
    <row r="499" customFormat="false" ht="15" hidden="false" customHeight="false" outlineLevel="0" collapsed="false">
      <c r="A499" s="0" t="n">
        <v>498</v>
      </c>
      <c r="B499" s="0" t="s">
        <v>3353</v>
      </c>
      <c r="C499" s="0" t="s">
        <v>244</v>
      </c>
      <c r="E499" s="0" t="s">
        <v>3354</v>
      </c>
      <c r="F499" s="0" t="s">
        <v>44</v>
      </c>
      <c r="H499" s="0" t="s">
        <v>3355</v>
      </c>
      <c r="I499" s="0" t="s">
        <v>154</v>
      </c>
      <c r="N499" s="3" t="s">
        <v>202</v>
      </c>
      <c r="O499" s="3" t="s">
        <v>202</v>
      </c>
      <c r="P499" s="0" t="s">
        <v>96</v>
      </c>
      <c r="AA499" s="0" t="s">
        <v>47</v>
      </c>
      <c r="AB499" s="0" t="s">
        <v>3356</v>
      </c>
      <c r="AC499" s="0" t="s">
        <v>3357</v>
      </c>
      <c r="AD499" s="0" t="s">
        <v>3358</v>
      </c>
      <c r="AE499" s="0" t="s">
        <v>79</v>
      </c>
      <c r="AF499" s="3" t="s">
        <v>149</v>
      </c>
      <c r="AG499" s="3" t="s">
        <v>81</v>
      </c>
      <c r="AK499" s="0" t="s">
        <v>3359</v>
      </c>
      <c r="AL499" s="0" t="s">
        <v>3360</v>
      </c>
      <c r="AM499" s="0" t="s">
        <v>3361</v>
      </c>
      <c r="AO499" s="0" t="s">
        <v>3362</v>
      </c>
      <c r="AP499" s="0" t="s">
        <v>3362</v>
      </c>
      <c r="AR499" s="0" t="s">
        <v>3363</v>
      </c>
    </row>
    <row r="500" customFormat="false" ht="15" hidden="false" customHeight="false" outlineLevel="0" collapsed="false">
      <c r="A500" s="0" t="n">
        <v>499</v>
      </c>
      <c r="B500" s="0" t="s">
        <v>3364</v>
      </c>
      <c r="C500" s="0" t="s">
        <v>88</v>
      </c>
      <c r="E500" s="0" t="s">
        <v>3365</v>
      </c>
      <c r="N500" s="3" t="s">
        <v>95</v>
      </c>
      <c r="O500" s="3" t="s">
        <v>95</v>
      </c>
      <c r="P500" s="0" t="s">
        <v>96</v>
      </c>
      <c r="AA500" s="0" t="s">
        <v>47</v>
      </c>
      <c r="AB500" s="0" t="s">
        <v>3366</v>
      </c>
      <c r="AC500" s="0" t="s">
        <v>3367</v>
      </c>
      <c r="AD500" s="0" t="s">
        <v>3368</v>
      </c>
      <c r="AE500" s="0" t="s">
        <v>79</v>
      </c>
      <c r="AF500" s="3" t="s">
        <v>48</v>
      </c>
      <c r="AG500" s="3" t="s">
        <v>49</v>
      </c>
      <c r="AR500" s="0" t="s">
        <v>3365</v>
      </c>
    </row>
    <row r="501" customFormat="false" ht="15" hidden="false" customHeight="false" outlineLevel="0" collapsed="false">
      <c r="A501" s="0" t="n">
        <v>500</v>
      </c>
      <c r="B501" s="0" t="s">
        <v>3369</v>
      </c>
      <c r="C501" s="0" t="s">
        <v>88</v>
      </c>
      <c r="E501" s="0" t="s">
        <v>3370</v>
      </c>
      <c r="H501" s="0" t="s">
        <v>3371</v>
      </c>
      <c r="I501" s="0" t="s">
        <v>154</v>
      </c>
      <c r="N501" s="3" t="s">
        <v>202</v>
      </c>
      <c r="O501" s="3" t="s">
        <v>202</v>
      </c>
      <c r="P501" s="0" t="s">
        <v>96</v>
      </c>
      <c r="AA501" s="0" t="s">
        <v>47</v>
      </c>
      <c r="AB501" s="0" t="s">
        <v>3372</v>
      </c>
      <c r="AC501" s="0" t="s">
        <v>3373</v>
      </c>
      <c r="AD501" s="0" t="s">
        <v>3374</v>
      </c>
      <c r="AE501" s="0" t="s">
        <v>79</v>
      </c>
      <c r="AF501" s="3" t="s">
        <v>48</v>
      </c>
      <c r="AG501" s="3" t="s">
        <v>49</v>
      </c>
      <c r="AL501" s="0" t="s">
        <v>3375</v>
      </c>
      <c r="AO501" s="0" t="s">
        <v>3376</v>
      </c>
      <c r="AP501" s="0" t="s">
        <v>3376</v>
      </c>
      <c r="AR501" s="0" t="s">
        <v>3377</v>
      </c>
    </row>
    <row r="502" customFormat="false" ht="15" hidden="false" customHeight="false" outlineLevel="0" collapsed="false">
      <c r="A502" s="0" t="n">
        <v>501</v>
      </c>
      <c r="B502" s="0" t="s">
        <v>3378</v>
      </c>
      <c r="C502" s="0" t="s">
        <v>914</v>
      </c>
      <c r="E502" s="0" t="s">
        <v>3379</v>
      </c>
      <c r="F502" s="0" t="s">
        <v>146</v>
      </c>
      <c r="N502" s="3" t="s">
        <v>239</v>
      </c>
      <c r="O502" s="3" t="s">
        <v>239</v>
      </c>
      <c r="P502" s="0" t="s">
        <v>96</v>
      </c>
      <c r="Q502" s="0" t="s">
        <v>3380</v>
      </c>
      <c r="AA502" s="0" t="s">
        <v>47</v>
      </c>
      <c r="AF502" s="3" t="s">
        <v>149</v>
      </c>
      <c r="AG502" s="3" t="s">
        <v>81</v>
      </c>
      <c r="AK502" s="0" t="s">
        <v>3381</v>
      </c>
      <c r="AR502" s="0" t="s">
        <v>3382</v>
      </c>
    </row>
    <row r="503" customFormat="false" ht="15" hidden="false" customHeight="false" outlineLevel="0" collapsed="false">
      <c r="A503" s="0" t="n">
        <v>502</v>
      </c>
      <c r="B503" s="0" t="s">
        <v>3383</v>
      </c>
      <c r="C503" s="0" t="s">
        <v>43</v>
      </c>
      <c r="F503" s="0" t="s">
        <v>44</v>
      </c>
      <c r="H503" s="0" t="s">
        <v>3384</v>
      </c>
      <c r="I503" s="0" t="s">
        <v>154</v>
      </c>
      <c r="AA503" s="0" t="s">
        <v>47</v>
      </c>
      <c r="AF503" s="3" t="s">
        <v>108</v>
      </c>
      <c r="AG503" s="3" t="s">
        <v>49</v>
      </c>
      <c r="AH503" s="0" t="n">
        <v>2026</v>
      </c>
      <c r="AI503" s="0" t="s">
        <v>3385</v>
      </c>
      <c r="AJ503" s="0" t="s">
        <v>3386</v>
      </c>
      <c r="AL503" s="0" t="s">
        <v>3387</v>
      </c>
      <c r="AP503" s="0" t="s">
        <v>3388</v>
      </c>
      <c r="AR503" s="0" t="s">
        <v>3389</v>
      </c>
    </row>
    <row r="504" customFormat="false" ht="15" hidden="false" customHeight="false" outlineLevel="0" collapsed="false">
      <c r="A504" s="0" t="n">
        <v>503</v>
      </c>
      <c r="B504" s="0" t="s">
        <v>3390</v>
      </c>
      <c r="C504" s="0" t="s">
        <v>88</v>
      </c>
      <c r="E504" s="0" t="s">
        <v>3391</v>
      </c>
      <c r="N504" s="3" t="s">
        <v>202</v>
      </c>
      <c r="O504" s="3" t="s">
        <v>202</v>
      </c>
      <c r="P504" s="0" t="s">
        <v>96</v>
      </c>
      <c r="AA504" s="0" t="s">
        <v>47</v>
      </c>
      <c r="AB504" s="0" t="s">
        <v>3392</v>
      </c>
      <c r="AC504" s="0" t="s">
        <v>3393</v>
      </c>
      <c r="AD504" s="0" t="s">
        <v>3394</v>
      </c>
      <c r="AE504" s="0" t="s">
        <v>79</v>
      </c>
      <c r="AF504" s="3" t="s">
        <v>48</v>
      </c>
      <c r="AG504" s="3" t="s">
        <v>49</v>
      </c>
      <c r="AR504" s="0" t="s">
        <v>3391</v>
      </c>
    </row>
    <row r="505" customFormat="false" ht="15" hidden="false" customHeight="false" outlineLevel="0" collapsed="false">
      <c r="A505" s="0" t="n">
        <v>504</v>
      </c>
      <c r="B505" s="0" t="s">
        <v>3395</v>
      </c>
      <c r="C505" s="0" t="s">
        <v>88</v>
      </c>
      <c r="E505" s="0" t="s">
        <v>3396</v>
      </c>
      <c r="AA505" s="0" t="s">
        <v>47</v>
      </c>
      <c r="AF505" s="3" t="s">
        <v>48</v>
      </c>
      <c r="AG505" s="3" t="s">
        <v>49</v>
      </c>
      <c r="AR505" s="0" t="s">
        <v>3396</v>
      </c>
    </row>
    <row r="506" customFormat="false" ht="15" hidden="false" customHeight="false" outlineLevel="0" collapsed="false">
      <c r="A506" s="0" t="n">
        <v>505</v>
      </c>
      <c r="B506" s="0" t="s">
        <v>3397</v>
      </c>
      <c r="C506" s="0" t="s">
        <v>914</v>
      </c>
      <c r="E506" s="0" t="s">
        <v>3398</v>
      </c>
      <c r="F506" s="0" t="s">
        <v>146</v>
      </c>
      <c r="H506" s="0" t="s">
        <v>3399</v>
      </c>
      <c r="I506" s="0" t="s">
        <v>154</v>
      </c>
      <c r="N506" s="3" t="s">
        <v>213</v>
      </c>
      <c r="O506" s="3" t="s">
        <v>213</v>
      </c>
      <c r="P506" s="0" t="s">
        <v>96</v>
      </c>
      <c r="Q506" s="0" t="s">
        <v>3400</v>
      </c>
      <c r="AA506" s="0" t="s">
        <v>47</v>
      </c>
      <c r="AB506" s="0" t="s">
        <v>3401</v>
      </c>
      <c r="AC506" s="0" t="s">
        <v>3402</v>
      </c>
      <c r="AD506" s="0" t="s">
        <v>3403</v>
      </c>
      <c r="AE506" s="0" t="s">
        <v>79</v>
      </c>
      <c r="AF506" s="3" t="s">
        <v>149</v>
      </c>
      <c r="AG506" s="3" t="s">
        <v>81</v>
      </c>
      <c r="AK506" s="0" t="s">
        <v>3404</v>
      </c>
      <c r="AL506" s="0" t="s">
        <v>3405</v>
      </c>
      <c r="AO506" s="0" t="s">
        <v>3406</v>
      </c>
      <c r="AP506" s="0" t="s">
        <v>3406</v>
      </c>
      <c r="AR506" s="0" t="s">
        <v>3407</v>
      </c>
    </row>
    <row r="507" customFormat="false" ht="15" hidden="false" customHeight="false" outlineLevel="0" collapsed="false">
      <c r="A507" s="0" t="n">
        <v>506</v>
      </c>
      <c r="B507" s="0" t="s">
        <v>3408</v>
      </c>
      <c r="C507" s="0" t="s">
        <v>88</v>
      </c>
      <c r="E507" s="0" t="s">
        <v>3409</v>
      </c>
      <c r="N507" s="3" t="s">
        <v>186</v>
      </c>
      <c r="O507" s="3" t="s">
        <v>186</v>
      </c>
      <c r="P507" s="0" t="s">
        <v>96</v>
      </c>
      <c r="AA507" s="0" t="s">
        <v>47</v>
      </c>
      <c r="AB507" s="0" t="s">
        <v>3410</v>
      </c>
      <c r="AC507" s="0" t="s">
        <v>3411</v>
      </c>
      <c r="AD507" s="0" t="s">
        <v>3412</v>
      </c>
      <c r="AE507" s="0" t="s">
        <v>79</v>
      </c>
      <c r="AF507" s="3" t="s">
        <v>48</v>
      </c>
      <c r="AG507" s="3" t="s">
        <v>49</v>
      </c>
      <c r="AR507" s="0" t="s">
        <v>3409</v>
      </c>
    </row>
    <row r="508" customFormat="false" ht="15" hidden="false" customHeight="false" outlineLevel="0" collapsed="false">
      <c r="A508" s="0" t="n">
        <v>507</v>
      </c>
      <c r="B508" s="0" t="s">
        <v>3413</v>
      </c>
      <c r="C508" s="0" t="s">
        <v>88</v>
      </c>
      <c r="E508" s="0" t="s">
        <v>3414</v>
      </c>
      <c r="AA508" s="0" t="s">
        <v>47</v>
      </c>
      <c r="AF508" s="3" t="s">
        <v>48</v>
      </c>
      <c r="AG508" s="3" t="s">
        <v>49</v>
      </c>
      <c r="AR508" s="0" t="s">
        <v>3414</v>
      </c>
    </row>
    <row r="509" customFormat="false" ht="15" hidden="false" customHeight="false" outlineLevel="0" collapsed="false">
      <c r="A509" s="0" t="n">
        <v>508</v>
      </c>
      <c r="B509" s="0" t="s">
        <v>3415</v>
      </c>
      <c r="C509" s="0" t="s">
        <v>43</v>
      </c>
      <c r="F509" s="0" t="s">
        <v>44</v>
      </c>
      <c r="H509" s="0" t="s">
        <v>3416</v>
      </c>
      <c r="I509" s="0" t="s">
        <v>154</v>
      </c>
      <c r="AA509" s="0" t="s">
        <v>47</v>
      </c>
      <c r="AF509" s="3" t="s">
        <v>48</v>
      </c>
      <c r="AG509" s="3" t="s">
        <v>49</v>
      </c>
      <c r="AM509" s="0" t="s">
        <v>3417</v>
      </c>
      <c r="AO509" s="0" t="s">
        <v>3418</v>
      </c>
      <c r="AP509" s="0" t="s">
        <v>3418</v>
      </c>
      <c r="AR509" s="0" t="s">
        <v>3419</v>
      </c>
    </row>
    <row r="510" customFormat="false" ht="15" hidden="false" customHeight="false" outlineLevel="0" collapsed="false">
      <c r="A510" s="0" t="n">
        <v>509</v>
      </c>
      <c r="B510" s="0" t="s">
        <v>3420</v>
      </c>
      <c r="C510" s="0" t="s">
        <v>88</v>
      </c>
      <c r="E510" s="0" t="s">
        <v>3421</v>
      </c>
      <c r="H510" s="0" t="s">
        <v>3422</v>
      </c>
      <c r="I510" s="0" t="s">
        <v>154</v>
      </c>
      <c r="N510" s="3" t="s">
        <v>202</v>
      </c>
      <c r="O510" s="3" t="s">
        <v>202</v>
      </c>
      <c r="P510" s="0" t="s">
        <v>96</v>
      </c>
      <c r="AA510" s="0" t="s">
        <v>47</v>
      </c>
      <c r="AB510" s="0" t="s">
        <v>3423</v>
      </c>
      <c r="AC510" s="0" t="s">
        <v>3424</v>
      </c>
      <c r="AD510" s="0" t="s">
        <v>3425</v>
      </c>
      <c r="AE510" s="0" t="s">
        <v>79</v>
      </c>
      <c r="AF510" s="3" t="s">
        <v>48</v>
      </c>
      <c r="AG510" s="3" t="s">
        <v>49</v>
      </c>
      <c r="AO510" s="0" t="s">
        <v>3426</v>
      </c>
      <c r="AP510" s="0" t="s">
        <v>3426</v>
      </c>
      <c r="AR510" s="0" t="s">
        <v>3427</v>
      </c>
    </row>
    <row r="511" customFormat="false" ht="15" hidden="false" customHeight="false" outlineLevel="0" collapsed="false">
      <c r="A511" s="0" t="n">
        <v>510</v>
      </c>
      <c r="B511" s="0" t="s">
        <v>3428</v>
      </c>
      <c r="C511" s="0" t="s">
        <v>43</v>
      </c>
      <c r="F511" s="0" t="s">
        <v>44</v>
      </c>
      <c r="AA511" s="0" t="s">
        <v>47</v>
      </c>
      <c r="AF511" s="3" t="s">
        <v>48</v>
      </c>
      <c r="AG511" s="3" t="s">
        <v>49</v>
      </c>
      <c r="AR511" s="0" t="s">
        <v>50</v>
      </c>
    </row>
    <row r="512" customFormat="false" ht="15" hidden="false" customHeight="false" outlineLevel="0" collapsed="false">
      <c r="A512" s="0" t="n">
        <v>511</v>
      </c>
      <c r="B512" s="0" t="s">
        <v>3429</v>
      </c>
      <c r="C512" s="0" t="s">
        <v>52</v>
      </c>
      <c r="D512" s="0" t="s">
        <v>3430</v>
      </c>
      <c r="N512" s="3" t="s">
        <v>104</v>
      </c>
      <c r="O512" s="3" t="s">
        <v>104</v>
      </c>
      <c r="P512" s="0" t="s">
        <v>55</v>
      </c>
      <c r="AA512" s="0" t="s">
        <v>47</v>
      </c>
      <c r="AB512" s="0" t="s">
        <v>3431</v>
      </c>
      <c r="AC512" s="0" t="s">
        <v>3432</v>
      </c>
      <c r="AD512" s="0" t="s">
        <v>3433</v>
      </c>
      <c r="AE512" s="0" t="s">
        <v>59</v>
      </c>
      <c r="AF512" s="3" t="s">
        <v>48</v>
      </c>
      <c r="AG512" s="3" t="s">
        <v>49</v>
      </c>
      <c r="AR512" s="0" t="s">
        <v>3430</v>
      </c>
    </row>
    <row r="513" customFormat="false" ht="15" hidden="false" customHeight="false" outlineLevel="0" collapsed="false">
      <c r="A513" s="0" t="n">
        <v>512</v>
      </c>
      <c r="B513" s="0" t="s">
        <v>3434</v>
      </c>
      <c r="C513" s="0" t="s">
        <v>244</v>
      </c>
      <c r="E513" s="0" t="s">
        <v>3435</v>
      </c>
      <c r="F513" s="0" t="s">
        <v>44</v>
      </c>
      <c r="H513" s="0" t="s">
        <v>3436</v>
      </c>
      <c r="I513" s="0" t="s">
        <v>154</v>
      </c>
      <c r="N513" s="3" t="s">
        <v>202</v>
      </c>
      <c r="O513" s="3" t="s">
        <v>202</v>
      </c>
      <c r="P513" s="0" t="s">
        <v>96</v>
      </c>
      <c r="AA513" s="0" t="s">
        <v>47</v>
      </c>
      <c r="AB513" s="0" t="s">
        <v>3437</v>
      </c>
      <c r="AC513" s="0" t="s">
        <v>3438</v>
      </c>
      <c r="AD513" s="0" t="s">
        <v>3439</v>
      </c>
      <c r="AE513" s="0" t="s">
        <v>79</v>
      </c>
      <c r="AF513" s="3" t="s">
        <v>108</v>
      </c>
      <c r="AG513" s="3" t="s">
        <v>49</v>
      </c>
      <c r="AH513" s="0" t="n">
        <v>2026</v>
      </c>
      <c r="AI513" s="0" t="s">
        <v>1231</v>
      </c>
      <c r="AJ513" s="0" t="s">
        <v>1232</v>
      </c>
      <c r="AK513" s="0" t="s">
        <v>3440</v>
      </c>
      <c r="AL513" s="0" t="s">
        <v>3441</v>
      </c>
      <c r="AM513" s="0" t="s">
        <v>3442</v>
      </c>
      <c r="AO513" s="0" t="s">
        <v>3443</v>
      </c>
      <c r="AP513" s="0" t="s">
        <v>3443</v>
      </c>
      <c r="AR513" s="0" t="s">
        <v>3444</v>
      </c>
    </row>
    <row r="514" customFormat="false" ht="15" hidden="false" customHeight="false" outlineLevel="0" collapsed="false">
      <c r="A514" s="0" t="n">
        <v>513</v>
      </c>
      <c r="B514" s="0" t="s">
        <v>3445</v>
      </c>
      <c r="C514" s="0" t="s">
        <v>52</v>
      </c>
      <c r="D514" s="0" t="s">
        <v>3446</v>
      </c>
      <c r="H514" s="0" t="s">
        <v>3447</v>
      </c>
      <c r="I514" s="0" t="s">
        <v>94</v>
      </c>
      <c r="J514" s="3" t="s">
        <v>664</v>
      </c>
      <c r="N514" s="3" t="s">
        <v>69</v>
      </c>
      <c r="O514" s="3" t="s">
        <v>69</v>
      </c>
      <c r="P514" s="0" t="s">
        <v>55</v>
      </c>
      <c r="AA514" s="0" t="s">
        <v>47</v>
      </c>
      <c r="AB514" s="0" t="s">
        <v>3448</v>
      </c>
      <c r="AC514" s="0" t="s">
        <v>3449</v>
      </c>
      <c r="AD514" s="0" t="s">
        <v>3450</v>
      </c>
      <c r="AE514" s="0" t="s">
        <v>59</v>
      </c>
      <c r="AF514" s="3" t="s">
        <v>48</v>
      </c>
      <c r="AG514" s="3" t="s">
        <v>49</v>
      </c>
      <c r="AL514" s="0" t="s">
        <v>3451</v>
      </c>
      <c r="AM514" s="0" t="s">
        <v>3452</v>
      </c>
      <c r="AP514" s="0" t="s">
        <v>3453</v>
      </c>
      <c r="AQ514" s="0" t="s">
        <v>3454</v>
      </c>
      <c r="AR514" s="0" t="s">
        <v>3455</v>
      </c>
    </row>
    <row r="515" customFormat="false" ht="15" hidden="false" customHeight="false" outlineLevel="0" collapsed="false">
      <c r="A515" s="0" t="n">
        <v>514</v>
      </c>
      <c r="B515" s="0" t="s">
        <v>3456</v>
      </c>
      <c r="C515" s="0" t="s">
        <v>88</v>
      </c>
      <c r="E515" s="0" t="s">
        <v>3457</v>
      </c>
      <c r="H515" s="0" t="s">
        <v>3458</v>
      </c>
      <c r="I515" s="0" t="s">
        <v>65</v>
      </c>
      <c r="J515" s="3" t="s">
        <v>66</v>
      </c>
      <c r="K515" s="0" t="s">
        <v>3459</v>
      </c>
      <c r="M515" s="0" t="s">
        <v>3460</v>
      </c>
      <c r="N515" s="0" t="s">
        <v>3461</v>
      </c>
      <c r="Q515" s="0" t="s">
        <v>3462</v>
      </c>
      <c r="AA515" s="0" t="s">
        <v>47</v>
      </c>
      <c r="AF515" s="3" t="s">
        <v>48</v>
      </c>
      <c r="AG515" s="3" t="s">
        <v>49</v>
      </c>
      <c r="AL515" s="0" t="s">
        <v>3463</v>
      </c>
      <c r="AM515" s="0" t="s">
        <v>3464</v>
      </c>
      <c r="AN515" s="0" t="s">
        <v>3459</v>
      </c>
      <c r="AO515" s="0" t="s">
        <v>3465</v>
      </c>
      <c r="AP515" s="0" t="s">
        <v>3465</v>
      </c>
      <c r="AQ515" s="0" t="s">
        <v>3466</v>
      </c>
      <c r="AR515" s="0" t="s">
        <v>3467</v>
      </c>
    </row>
    <row r="516" customFormat="false" ht="15" hidden="false" customHeight="false" outlineLevel="0" collapsed="false">
      <c r="A516" s="0" t="n">
        <v>515</v>
      </c>
      <c r="B516" s="0" t="s">
        <v>3468</v>
      </c>
      <c r="C516" s="0" t="s">
        <v>88</v>
      </c>
      <c r="E516" s="0" t="s">
        <v>3469</v>
      </c>
      <c r="H516" s="0" t="s">
        <v>3470</v>
      </c>
      <c r="I516" s="0" t="s">
        <v>154</v>
      </c>
      <c r="N516" s="3" t="s">
        <v>202</v>
      </c>
      <c r="O516" s="3" t="s">
        <v>202</v>
      </c>
      <c r="P516" s="0" t="s">
        <v>96</v>
      </c>
      <c r="AA516" s="0" t="s">
        <v>47</v>
      </c>
      <c r="AB516" s="0" t="s">
        <v>3471</v>
      </c>
      <c r="AC516" s="0" t="s">
        <v>3472</v>
      </c>
      <c r="AD516" s="0" t="s">
        <v>3473</v>
      </c>
      <c r="AE516" s="0" t="s">
        <v>79</v>
      </c>
      <c r="AF516" s="3" t="s">
        <v>48</v>
      </c>
      <c r="AG516" s="3" t="s">
        <v>49</v>
      </c>
      <c r="AO516" s="0" t="s">
        <v>3474</v>
      </c>
      <c r="AP516" s="0" t="s">
        <v>3474</v>
      </c>
      <c r="AR516" s="0" t="s">
        <v>3475</v>
      </c>
    </row>
    <row r="517" customFormat="false" ht="15" hidden="false" customHeight="false" outlineLevel="0" collapsed="false">
      <c r="A517" s="0" t="n">
        <v>516</v>
      </c>
      <c r="B517" s="0" t="s">
        <v>3476</v>
      </c>
      <c r="C517" s="0" t="s">
        <v>52</v>
      </c>
      <c r="D517" s="0" t="s">
        <v>3477</v>
      </c>
      <c r="H517" s="0" t="s">
        <v>3478</v>
      </c>
      <c r="I517" s="0" t="s">
        <v>154</v>
      </c>
      <c r="N517" s="3" t="s">
        <v>54</v>
      </c>
      <c r="O517" s="3" t="s">
        <v>54</v>
      </c>
      <c r="P517" s="0" t="s">
        <v>55</v>
      </c>
      <c r="AA517" s="0" t="s">
        <v>47</v>
      </c>
      <c r="AB517" s="0" t="s">
        <v>3479</v>
      </c>
      <c r="AC517" s="0" t="s">
        <v>3480</v>
      </c>
      <c r="AD517" s="0" t="s">
        <v>3481</v>
      </c>
      <c r="AE517" s="0" t="s">
        <v>59</v>
      </c>
      <c r="AF517" s="3" t="s">
        <v>48</v>
      </c>
      <c r="AG517" s="3" t="s">
        <v>49</v>
      </c>
      <c r="AO517" s="0" t="s">
        <v>3482</v>
      </c>
      <c r="AP517" s="0" t="s">
        <v>3482</v>
      </c>
      <c r="AR517" s="0" t="s">
        <v>3483</v>
      </c>
    </row>
    <row r="518" customFormat="false" ht="15" hidden="false" customHeight="false" outlineLevel="0" collapsed="false">
      <c r="A518" s="0" t="n">
        <v>517</v>
      </c>
      <c r="B518" s="0" t="s">
        <v>3484</v>
      </c>
      <c r="C518" s="0" t="s">
        <v>244</v>
      </c>
      <c r="E518" s="0" t="s">
        <v>3485</v>
      </c>
      <c r="F518" s="0" t="s">
        <v>44</v>
      </c>
      <c r="H518" s="0" t="s">
        <v>3486</v>
      </c>
      <c r="I518" s="0" t="s">
        <v>154</v>
      </c>
      <c r="AA518" s="0" t="s">
        <v>47</v>
      </c>
      <c r="AF518" s="3" t="s">
        <v>108</v>
      </c>
      <c r="AG518" s="3" t="s">
        <v>49</v>
      </c>
      <c r="AH518" s="0" t="n">
        <v>2026</v>
      </c>
      <c r="AI518" s="0" t="s">
        <v>1423</v>
      </c>
      <c r="AJ518" s="0" t="s">
        <v>1424</v>
      </c>
      <c r="AK518" s="0" t="s">
        <v>3487</v>
      </c>
      <c r="AL518" s="0" t="s">
        <v>3488</v>
      </c>
      <c r="AM518" s="0" t="s">
        <v>3489</v>
      </c>
      <c r="AO518" s="0" t="s">
        <v>3490</v>
      </c>
      <c r="AP518" s="0" t="s">
        <v>3490</v>
      </c>
      <c r="AR518" s="0" t="s">
        <v>3491</v>
      </c>
    </row>
    <row r="519" customFormat="false" ht="15" hidden="false" customHeight="false" outlineLevel="0" collapsed="false">
      <c r="A519" s="0" t="n">
        <v>518</v>
      </c>
      <c r="B519" s="0" t="s">
        <v>3492</v>
      </c>
      <c r="C519" s="0" t="s">
        <v>52</v>
      </c>
      <c r="D519" s="0" t="s">
        <v>3493</v>
      </c>
      <c r="H519" s="0" t="s">
        <v>3494</v>
      </c>
      <c r="I519" s="0" t="s">
        <v>154</v>
      </c>
      <c r="N519" s="3" t="s">
        <v>54</v>
      </c>
      <c r="O519" s="3" t="s">
        <v>54</v>
      </c>
      <c r="P519" s="0" t="s">
        <v>55</v>
      </c>
      <c r="AA519" s="0" t="s">
        <v>47</v>
      </c>
      <c r="AB519" s="0" t="s">
        <v>3495</v>
      </c>
      <c r="AC519" s="0" t="s">
        <v>3496</v>
      </c>
      <c r="AD519" s="0" t="s">
        <v>3497</v>
      </c>
      <c r="AE519" s="0" t="s">
        <v>59</v>
      </c>
      <c r="AF519" s="3" t="s">
        <v>48</v>
      </c>
      <c r="AG519" s="3" t="s">
        <v>49</v>
      </c>
      <c r="AL519" s="0" t="s">
        <v>3498</v>
      </c>
      <c r="AO519" s="0" t="s">
        <v>3499</v>
      </c>
      <c r="AP519" s="0" t="s">
        <v>3499</v>
      </c>
      <c r="AR519" s="0" t="s">
        <v>3500</v>
      </c>
    </row>
    <row r="520" customFormat="false" ht="15" hidden="false" customHeight="false" outlineLevel="0" collapsed="false">
      <c r="A520" s="0" t="n">
        <v>519</v>
      </c>
      <c r="B520" s="0" t="s">
        <v>3501</v>
      </c>
      <c r="C520" s="0" t="s">
        <v>88</v>
      </c>
      <c r="E520" s="0" t="s">
        <v>3502</v>
      </c>
      <c r="H520" s="0" t="s">
        <v>3503</v>
      </c>
      <c r="I520" s="0" t="s">
        <v>154</v>
      </c>
      <c r="AA520" s="0" t="s">
        <v>47</v>
      </c>
      <c r="AF520" s="3" t="s">
        <v>48</v>
      </c>
      <c r="AG520" s="3" t="s">
        <v>49</v>
      </c>
      <c r="AL520" s="0" t="s">
        <v>3504</v>
      </c>
      <c r="AO520" s="0" t="s">
        <v>3505</v>
      </c>
      <c r="AP520" s="0" t="s">
        <v>3505</v>
      </c>
      <c r="AR520" s="0" t="s">
        <v>3506</v>
      </c>
    </row>
    <row r="521" customFormat="false" ht="15" hidden="false" customHeight="false" outlineLevel="0" collapsed="false">
      <c r="A521" s="0" t="n">
        <v>520</v>
      </c>
      <c r="B521" s="0" t="s">
        <v>3507</v>
      </c>
      <c r="C521" s="0" t="s">
        <v>88</v>
      </c>
      <c r="E521" s="0" t="s">
        <v>3508</v>
      </c>
      <c r="N521" s="3" t="s">
        <v>202</v>
      </c>
      <c r="O521" s="3" t="s">
        <v>202</v>
      </c>
      <c r="P521" s="0" t="s">
        <v>96</v>
      </c>
      <c r="AA521" s="0" t="s">
        <v>47</v>
      </c>
      <c r="AB521" s="0" t="s">
        <v>3509</v>
      </c>
      <c r="AC521" s="0" t="s">
        <v>3510</v>
      </c>
      <c r="AD521" s="0" t="s">
        <v>3511</v>
      </c>
      <c r="AE521" s="0" t="s">
        <v>79</v>
      </c>
      <c r="AF521" s="3" t="s">
        <v>48</v>
      </c>
      <c r="AG521" s="3" t="s">
        <v>49</v>
      </c>
      <c r="AR521" s="0" t="s">
        <v>3508</v>
      </c>
    </row>
    <row r="522" customFormat="false" ht="15" hidden="false" customHeight="false" outlineLevel="0" collapsed="false">
      <c r="A522" s="0" t="n">
        <v>521</v>
      </c>
      <c r="B522" s="0" t="s">
        <v>3512</v>
      </c>
      <c r="C522" s="0" t="s">
        <v>88</v>
      </c>
      <c r="E522" s="0" t="s">
        <v>3513</v>
      </c>
      <c r="N522" s="3" t="s">
        <v>202</v>
      </c>
      <c r="O522" s="3" t="s">
        <v>202</v>
      </c>
      <c r="P522" s="0" t="s">
        <v>96</v>
      </c>
      <c r="AA522" s="0" t="s">
        <v>47</v>
      </c>
      <c r="AB522" s="0" t="s">
        <v>3514</v>
      </c>
      <c r="AC522" s="0" t="s">
        <v>3515</v>
      </c>
      <c r="AD522" s="0" t="s">
        <v>3516</v>
      </c>
      <c r="AE522" s="0" t="s">
        <v>79</v>
      </c>
      <c r="AF522" s="3" t="s">
        <v>48</v>
      </c>
      <c r="AG522" s="3" t="s">
        <v>49</v>
      </c>
      <c r="AR522" s="0" t="s">
        <v>3513</v>
      </c>
    </row>
    <row r="523" customFormat="false" ht="15" hidden="false" customHeight="false" outlineLevel="0" collapsed="false">
      <c r="A523" s="0" t="n">
        <v>522</v>
      </c>
      <c r="B523" s="0" t="s">
        <v>3517</v>
      </c>
      <c r="C523" s="0" t="s">
        <v>88</v>
      </c>
      <c r="E523" s="0" t="s">
        <v>3518</v>
      </c>
      <c r="H523" s="0" t="s">
        <v>3519</v>
      </c>
      <c r="I523" s="0" t="s">
        <v>154</v>
      </c>
      <c r="N523" s="3" t="s">
        <v>186</v>
      </c>
      <c r="O523" s="3" t="s">
        <v>186</v>
      </c>
      <c r="P523" s="0" t="s">
        <v>96</v>
      </c>
      <c r="AA523" s="0" t="s">
        <v>47</v>
      </c>
      <c r="AB523" s="0" t="s">
        <v>3520</v>
      </c>
      <c r="AC523" s="0" t="s">
        <v>3521</v>
      </c>
      <c r="AD523" s="0" t="s">
        <v>3522</v>
      </c>
      <c r="AE523" s="0" t="s">
        <v>79</v>
      </c>
      <c r="AF523" s="3" t="s">
        <v>48</v>
      </c>
      <c r="AG523" s="3" t="s">
        <v>49</v>
      </c>
      <c r="AL523" s="0" t="s">
        <v>3523</v>
      </c>
      <c r="AM523" s="0" t="s">
        <v>3524</v>
      </c>
      <c r="AO523" s="0" t="s">
        <v>3525</v>
      </c>
      <c r="AP523" s="0" t="s">
        <v>3525</v>
      </c>
      <c r="AR523" s="0" t="s">
        <v>3526</v>
      </c>
    </row>
    <row r="524" customFormat="false" ht="15" hidden="false" customHeight="false" outlineLevel="0" collapsed="false">
      <c r="A524" s="0" t="n">
        <v>523</v>
      </c>
      <c r="B524" s="0" t="s">
        <v>3527</v>
      </c>
      <c r="C524" s="0" t="s">
        <v>88</v>
      </c>
      <c r="E524" s="0" t="s">
        <v>3528</v>
      </c>
      <c r="N524" s="3" t="s">
        <v>186</v>
      </c>
      <c r="O524" s="3" t="s">
        <v>186</v>
      </c>
      <c r="P524" s="0" t="s">
        <v>96</v>
      </c>
      <c r="AA524" s="0" t="s">
        <v>47</v>
      </c>
      <c r="AB524" s="0" t="s">
        <v>3529</v>
      </c>
      <c r="AC524" s="0" t="s">
        <v>3530</v>
      </c>
      <c r="AD524" s="0" t="s">
        <v>3531</v>
      </c>
      <c r="AE524" s="0" t="s">
        <v>79</v>
      </c>
      <c r="AF524" s="3" t="s">
        <v>48</v>
      </c>
      <c r="AG524" s="3" t="s">
        <v>49</v>
      </c>
      <c r="AR524" s="0" t="s">
        <v>3528</v>
      </c>
    </row>
    <row r="525" customFormat="false" ht="15" hidden="false" customHeight="false" outlineLevel="0" collapsed="false">
      <c r="A525" s="0" t="n">
        <v>524</v>
      </c>
      <c r="B525" s="0" t="s">
        <v>3532</v>
      </c>
      <c r="C525" s="0" t="s">
        <v>88</v>
      </c>
      <c r="E525" s="0" t="s">
        <v>3533</v>
      </c>
      <c r="H525" s="0" t="s">
        <v>3534</v>
      </c>
      <c r="I525" s="0" t="s">
        <v>154</v>
      </c>
      <c r="N525" s="3" t="s">
        <v>186</v>
      </c>
      <c r="O525" s="3" t="s">
        <v>186</v>
      </c>
      <c r="P525" s="0" t="s">
        <v>96</v>
      </c>
      <c r="AA525" s="0" t="s">
        <v>47</v>
      </c>
      <c r="AB525" s="0" t="s">
        <v>3535</v>
      </c>
      <c r="AC525" s="0" t="s">
        <v>3536</v>
      </c>
      <c r="AD525" s="0" t="s">
        <v>3537</v>
      </c>
      <c r="AE525" s="0" t="s">
        <v>79</v>
      </c>
      <c r="AF525" s="3" t="s">
        <v>48</v>
      </c>
      <c r="AG525" s="3" t="s">
        <v>49</v>
      </c>
      <c r="AL525" s="0" t="s">
        <v>3538</v>
      </c>
      <c r="AO525" s="0" t="s">
        <v>3539</v>
      </c>
      <c r="AP525" s="0" t="s">
        <v>3539</v>
      </c>
      <c r="AR525" s="0" t="s">
        <v>3540</v>
      </c>
    </row>
    <row r="526" customFormat="false" ht="15" hidden="false" customHeight="false" outlineLevel="0" collapsed="false">
      <c r="A526" s="0" t="n">
        <v>525</v>
      </c>
      <c r="B526" s="0" t="s">
        <v>3541</v>
      </c>
      <c r="C526" s="0" t="s">
        <v>244</v>
      </c>
      <c r="E526" s="0" t="s">
        <v>3542</v>
      </c>
      <c r="F526" s="0" t="s">
        <v>44</v>
      </c>
      <c r="H526" s="0" t="s">
        <v>3543</v>
      </c>
      <c r="I526" s="0" t="s">
        <v>46</v>
      </c>
      <c r="N526" s="3" t="s">
        <v>147</v>
      </c>
      <c r="O526" s="3" t="s">
        <v>147</v>
      </c>
      <c r="P526" s="0" t="s">
        <v>96</v>
      </c>
      <c r="AA526" s="0" t="s">
        <v>47</v>
      </c>
      <c r="AB526" s="0" t="s">
        <v>3544</v>
      </c>
      <c r="AC526" s="0" t="s">
        <v>3545</v>
      </c>
      <c r="AD526" s="0" t="s">
        <v>3546</v>
      </c>
      <c r="AE526" s="0" t="s">
        <v>79</v>
      </c>
      <c r="AF526" s="3" t="s">
        <v>108</v>
      </c>
      <c r="AG526" s="3" t="s">
        <v>81</v>
      </c>
      <c r="AH526" s="0" t="n">
        <v>2026</v>
      </c>
      <c r="AI526" s="0" t="s">
        <v>3547</v>
      </c>
      <c r="AJ526" s="0" t="s">
        <v>3548</v>
      </c>
      <c r="AK526" s="0" t="s">
        <v>3549</v>
      </c>
      <c r="AR526" s="0" t="s">
        <v>3550</v>
      </c>
    </row>
    <row r="527" customFormat="false" ht="15" hidden="false" customHeight="false" outlineLevel="0" collapsed="false">
      <c r="A527" s="0" t="n">
        <v>526</v>
      </c>
      <c r="B527" s="0" t="s">
        <v>3551</v>
      </c>
      <c r="C527" s="0" t="s">
        <v>88</v>
      </c>
      <c r="E527" s="0" t="s">
        <v>3552</v>
      </c>
      <c r="AA527" s="0" t="s">
        <v>47</v>
      </c>
      <c r="AF527" s="3" t="s">
        <v>48</v>
      </c>
      <c r="AG527" s="3" t="s">
        <v>49</v>
      </c>
      <c r="AR527" s="0" t="s">
        <v>3552</v>
      </c>
    </row>
    <row r="528" customFormat="false" ht="15" hidden="false" customHeight="false" outlineLevel="0" collapsed="false">
      <c r="A528" s="0" t="n">
        <v>527</v>
      </c>
      <c r="B528" s="0" t="s">
        <v>3553</v>
      </c>
      <c r="C528" s="0" t="s">
        <v>88</v>
      </c>
      <c r="E528" s="0" t="s">
        <v>3554</v>
      </c>
      <c r="N528" s="3" t="s">
        <v>95</v>
      </c>
      <c r="O528" s="3" t="s">
        <v>95</v>
      </c>
      <c r="P528" s="0" t="s">
        <v>96</v>
      </c>
      <c r="AA528" s="0" t="s">
        <v>47</v>
      </c>
      <c r="AB528" s="0" t="s">
        <v>3555</v>
      </c>
      <c r="AC528" s="0" t="s">
        <v>3556</v>
      </c>
      <c r="AD528" s="0" t="s">
        <v>3557</v>
      </c>
      <c r="AE528" s="0" t="s">
        <v>79</v>
      </c>
      <c r="AF528" s="3" t="s">
        <v>48</v>
      </c>
      <c r="AG528" s="3" t="s">
        <v>49</v>
      </c>
      <c r="AR528" s="0" t="s">
        <v>3554</v>
      </c>
    </row>
    <row r="529" customFormat="false" ht="15" hidden="false" customHeight="false" outlineLevel="0" collapsed="false">
      <c r="A529" s="0" t="n">
        <v>528</v>
      </c>
      <c r="B529" s="0" t="s">
        <v>3558</v>
      </c>
      <c r="C529" s="0" t="s">
        <v>244</v>
      </c>
      <c r="E529" s="0" t="s">
        <v>3559</v>
      </c>
      <c r="F529" s="0" t="s">
        <v>44</v>
      </c>
      <c r="H529" s="0" t="s">
        <v>3560</v>
      </c>
      <c r="I529" s="0" t="s">
        <v>154</v>
      </c>
      <c r="N529" s="3" t="s">
        <v>226</v>
      </c>
      <c r="O529" s="3" t="s">
        <v>226</v>
      </c>
      <c r="P529" s="0" t="s">
        <v>96</v>
      </c>
      <c r="AA529" s="0" t="s">
        <v>47</v>
      </c>
      <c r="AB529" s="0" t="s">
        <v>3561</v>
      </c>
      <c r="AC529" s="0" t="s">
        <v>3562</v>
      </c>
      <c r="AD529" s="0" t="s">
        <v>3563</v>
      </c>
      <c r="AE529" s="0" t="s">
        <v>79</v>
      </c>
      <c r="AF529" s="3" t="s">
        <v>149</v>
      </c>
      <c r="AG529" s="3" t="s">
        <v>81</v>
      </c>
      <c r="AK529" s="0" t="s">
        <v>3564</v>
      </c>
      <c r="AL529" s="0" t="s">
        <v>3565</v>
      </c>
      <c r="AP529" s="0" t="s">
        <v>3566</v>
      </c>
      <c r="AR529" s="0" t="s">
        <v>3567</v>
      </c>
    </row>
    <row r="530" customFormat="false" ht="15" hidden="false" customHeight="false" outlineLevel="0" collapsed="false">
      <c r="A530" s="0" t="n">
        <v>529</v>
      </c>
      <c r="B530" s="0" t="s">
        <v>3568</v>
      </c>
      <c r="C530" s="0" t="s">
        <v>88</v>
      </c>
      <c r="E530" s="0" t="s">
        <v>3569</v>
      </c>
      <c r="H530" s="0" t="s">
        <v>3570</v>
      </c>
      <c r="I530" s="0" t="s">
        <v>154</v>
      </c>
      <c r="N530" s="3" t="s">
        <v>226</v>
      </c>
      <c r="O530" s="3" t="s">
        <v>226</v>
      </c>
      <c r="P530" s="0" t="s">
        <v>96</v>
      </c>
      <c r="AA530" s="0" t="s">
        <v>47</v>
      </c>
      <c r="AB530" s="0" t="s">
        <v>3571</v>
      </c>
      <c r="AC530" s="0" t="s">
        <v>3572</v>
      </c>
      <c r="AD530" s="0" t="s">
        <v>3573</v>
      </c>
      <c r="AE530" s="0" t="s">
        <v>79</v>
      </c>
      <c r="AF530" s="3" t="s">
        <v>48</v>
      </c>
      <c r="AG530" s="3" t="s">
        <v>49</v>
      </c>
      <c r="AL530" s="0" t="s">
        <v>3574</v>
      </c>
      <c r="AM530" s="0" t="s">
        <v>3575</v>
      </c>
      <c r="AO530" s="0" t="s">
        <v>3576</v>
      </c>
      <c r="AP530" s="0" t="s">
        <v>3576</v>
      </c>
      <c r="AR530" s="0" t="s">
        <v>3577</v>
      </c>
    </row>
    <row r="531" customFormat="false" ht="15" hidden="false" customHeight="false" outlineLevel="0" collapsed="false">
      <c r="A531" s="0" t="n">
        <v>530</v>
      </c>
      <c r="B531" s="0" t="s">
        <v>3578</v>
      </c>
      <c r="C531" s="0" t="s">
        <v>88</v>
      </c>
      <c r="E531" s="0" t="s">
        <v>3579</v>
      </c>
      <c r="H531" s="0" t="s">
        <v>3580</v>
      </c>
      <c r="I531" s="0" t="s">
        <v>154</v>
      </c>
      <c r="AA531" s="0" t="s">
        <v>47</v>
      </c>
      <c r="AF531" s="3" t="s">
        <v>48</v>
      </c>
      <c r="AG531" s="3" t="s">
        <v>49</v>
      </c>
      <c r="AL531" s="0" t="s">
        <v>3581</v>
      </c>
      <c r="AO531" s="0" t="s">
        <v>3582</v>
      </c>
      <c r="AP531" s="0" t="s">
        <v>3582</v>
      </c>
      <c r="AR531" s="0" t="s">
        <v>3583</v>
      </c>
    </row>
    <row r="532" customFormat="false" ht="15" hidden="false" customHeight="false" outlineLevel="0" collapsed="false">
      <c r="A532" s="0" t="n">
        <v>531</v>
      </c>
      <c r="B532" s="0" t="s">
        <v>3584</v>
      </c>
      <c r="C532" s="0" t="s">
        <v>88</v>
      </c>
      <c r="E532" s="0" t="s">
        <v>3585</v>
      </c>
      <c r="AA532" s="0" t="s">
        <v>47</v>
      </c>
      <c r="AF532" s="3" t="s">
        <v>48</v>
      </c>
      <c r="AG532" s="3" t="s">
        <v>49</v>
      </c>
      <c r="AR532" s="0" t="s">
        <v>3585</v>
      </c>
    </row>
    <row r="533" customFormat="false" ht="15" hidden="false" customHeight="false" outlineLevel="0" collapsed="false">
      <c r="A533" s="0" t="n">
        <v>532</v>
      </c>
      <c r="B533" s="0" t="s">
        <v>3586</v>
      </c>
      <c r="C533" s="0" t="s">
        <v>88</v>
      </c>
      <c r="E533" s="0" t="s">
        <v>3587</v>
      </c>
      <c r="H533" s="0" t="s">
        <v>3588</v>
      </c>
      <c r="I533" s="0" t="s">
        <v>154</v>
      </c>
      <c r="AA533" s="0" t="s">
        <v>47</v>
      </c>
      <c r="AF533" s="3" t="s">
        <v>48</v>
      </c>
      <c r="AG533" s="3" t="s">
        <v>49</v>
      </c>
      <c r="AL533" s="0" t="s">
        <v>3589</v>
      </c>
      <c r="AO533" s="0" t="s">
        <v>3590</v>
      </c>
      <c r="AP533" s="0" t="s">
        <v>3590</v>
      </c>
      <c r="AR533" s="0" t="s">
        <v>3591</v>
      </c>
    </row>
    <row r="534" customFormat="false" ht="15" hidden="false" customHeight="false" outlineLevel="0" collapsed="false">
      <c r="A534" s="0" t="n">
        <v>533</v>
      </c>
      <c r="B534" s="0" t="s">
        <v>3592</v>
      </c>
      <c r="C534" s="0" t="s">
        <v>88</v>
      </c>
      <c r="E534" s="0" t="s">
        <v>3593</v>
      </c>
      <c r="N534" s="3" t="s">
        <v>119</v>
      </c>
      <c r="O534" s="3" t="s">
        <v>119</v>
      </c>
      <c r="P534" s="0" t="s">
        <v>96</v>
      </c>
      <c r="AA534" s="0" t="s">
        <v>47</v>
      </c>
      <c r="AB534" s="0" t="s">
        <v>3594</v>
      </c>
      <c r="AC534" s="0" t="s">
        <v>3595</v>
      </c>
      <c r="AE534" s="0" t="s">
        <v>79</v>
      </c>
      <c r="AF534" s="3" t="s">
        <v>48</v>
      </c>
      <c r="AG534" s="3" t="s">
        <v>49</v>
      </c>
      <c r="AR534" s="0" t="s">
        <v>3593</v>
      </c>
    </row>
    <row r="535" customFormat="false" ht="15" hidden="false" customHeight="false" outlineLevel="0" collapsed="false">
      <c r="A535" s="0" t="n">
        <v>534</v>
      </c>
      <c r="B535" s="0" t="s">
        <v>3596</v>
      </c>
      <c r="C535" s="0" t="s">
        <v>88</v>
      </c>
      <c r="E535" s="0" t="s">
        <v>3597</v>
      </c>
      <c r="H535" s="0" t="s">
        <v>3598</v>
      </c>
      <c r="I535" s="0" t="s">
        <v>154</v>
      </c>
      <c r="N535" s="3" t="s">
        <v>95</v>
      </c>
      <c r="O535" s="3" t="s">
        <v>95</v>
      </c>
      <c r="P535" s="0" t="s">
        <v>96</v>
      </c>
      <c r="AA535" s="0" t="s">
        <v>47</v>
      </c>
      <c r="AB535" s="0" t="s">
        <v>3599</v>
      </c>
      <c r="AC535" s="0" t="s">
        <v>3600</v>
      </c>
      <c r="AD535" s="0" t="s">
        <v>3601</v>
      </c>
      <c r="AE535" s="0" t="s">
        <v>79</v>
      </c>
      <c r="AF535" s="3" t="s">
        <v>48</v>
      </c>
      <c r="AG535" s="3" t="s">
        <v>49</v>
      </c>
      <c r="AL535" s="0" t="s">
        <v>3602</v>
      </c>
      <c r="AM535" s="0" t="s">
        <v>3603</v>
      </c>
      <c r="AO535" s="0" t="s">
        <v>3604</v>
      </c>
      <c r="AP535" s="0" t="s">
        <v>3604</v>
      </c>
      <c r="AR535" s="0" t="s">
        <v>3605</v>
      </c>
    </row>
    <row r="536" customFormat="false" ht="15" hidden="false" customHeight="false" outlineLevel="0" collapsed="false">
      <c r="A536" s="0" t="n">
        <v>535</v>
      </c>
      <c r="B536" s="0" t="s">
        <v>3606</v>
      </c>
      <c r="C536" s="0" t="s">
        <v>43</v>
      </c>
      <c r="F536" s="0" t="s">
        <v>44</v>
      </c>
      <c r="AA536" s="0" t="s">
        <v>47</v>
      </c>
      <c r="AF536" s="3" t="s">
        <v>108</v>
      </c>
      <c r="AG536" s="3" t="s">
        <v>49</v>
      </c>
      <c r="AH536" s="0" t="n">
        <v>2026</v>
      </c>
      <c r="AI536" s="0" t="s">
        <v>2720</v>
      </c>
      <c r="AJ536" s="0" t="s">
        <v>2721</v>
      </c>
      <c r="AR536" s="0" t="s">
        <v>3607</v>
      </c>
    </row>
    <row r="537" customFormat="false" ht="15" hidden="false" customHeight="false" outlineLevel="0" collapsed="false">
      <c r="A537" s="0" t="n">
        <v>536</v>
      </c>
      <c r="B537" s="0" t="s">
        <v>3608</v>
      </c>
      <c r="C537" s="0" t="s">
        <v>43</v>
      </c>
      <c r="F537" s="0" t="s">
        <v>44</v>
      </c>
      <c r="AA537" s="0" t="s">
        <v>47</v>
      </c>
      <c r="AF537" s="3" t="s">
        <v>48</v>
      </c>
      <c r="AG537" s="3" t="s">
        <v>49</v>
      </c>
      <c r="AR537" s="0" t="s">
        <v>50</v>
      </c>
    </row>
    <row r="538" customFormat="false" ht="15" hidden="false" customHeight="false" outlineLevel="0" collapsed="false">
      <c r="A538" s="0" t="n">
        <v>537</v>
      </c>
      <c r="B538" s="0" t="s">
        <v>3609</v>
      </c>
      <c r="C538" s="0" t="s">
        <v>88</v>
      </c>
      <c r="E538" s="0" t="s">
        <v>3610</v>
      </c>
      <c r="H538" s="0" t="s">
        <v>3611</v>
      </c>
      <c r="I538" s="0" t="s">
        <v>154</v>
      </c>
      <c r="N538" s="3" t="s">
        <v>186</v>
      </c>
      <c r="O538" s="3" t="s">
        <v>186</v>
      </c>
      <c r="P538" s="0" t="s">
        <v>96</v>
      </c>
      <c r="AA538" s="0" t="s">
        <v>47</v>
      </c>
      <c r="AB538" s="0" t="s">
        <v>3612</v>
      </c>
      <c r="AC538" s="0" t="s">
        <v>3613</v>
      </c>
      <c r="AD538" s="0" t="s">
        <v>3614</v>
      </c>
      <c r="AE538" s="0" t="s">
        <v>79</v>
      </c>
      <c r="AF538" s="3" t="s">
        <v>48</v>
      </c>
      <c r="AG538" s="3" t="s">
        <v>49</v>
      </c>
      <c r="AL538" s="0" t="s">
        <v>3615</v>
      </c>
      <c r="AM538" s="0" t="s">
        <v>3616</v>
      </c>
      <c r="AP538" s="0" t="s">
        <v>3617</v>
      </c>
      <c r="AR538" s="0" t="s">
        <v>3618</v>
      </c>
    </row>
    <row r="539" customFormat="false" ht="15" hidden="false" customHeight="false" outlineLevel="0" collapsed="false">
      <c r="A539" s="0" t="n">
        <v>538</v>
      </c>
      <c r="B539" s="0" t="s">
        <v>3619</v>
      </c>
      <c r="C539" s="0" t="s">
        <v>52</v>
      </c>
      <c r="D539" s="0" t="s">
        <v>3620</v>
      </c>
      <c r="N539" s="3" t="s">
        <v>104</v>
      </c>
      <c r="O539" s="3" t="s">
        <v>104</v>
      </c>
      <c r="P539" s="0" t="s">
        <v>55</v>
      </c>
      <c r="AA539" s="0" t="s">
        <v>47</v>
      </c>
      <c r="AB539" s="0" t="s">
        <v>3621</v>
      </c>
      <c r="AC539" s="0" t="s">
        <v>3622</v>
      </c>
      <c r="AD539" s="0" t="s">
        <v>3623</v>
      </c>
      <c r="AE539" s="0" t="s">
        <v>59</v>
      </c>
      <c r="AF539" s="3" t="s">
        <v>48</v>
      </c>
      <c r="AG539" s="3" t="s">
        <v>49</v>
      </c>
      <c r="AR539" s="0" t="s">
        <v>3620</v>
      </c>
    </row>
    <row r="540" customFormat="false" ht="15" hidden="false" customHeight="false" outlineLevel="0" collapsed="false">
      <c r="A540" s="0" t="n">
        <v>539</v>
      </c>
      <c r="B540" s="0" t="s">
        <v>3624</v>
      </c>
      <c r="C540" s="0" t="s">
        <v>88</v>
      </c>
      <c r="E540" s="0" t="s">
        <v>3625</v>
      </c>
      <c r="N540" s="3" t="s">
        <v>202</v>
      </c>
      <c r="O540" s="3" t="s">
        <v>202</v>
      </c>
      <c r="P540" s="0" t="s">
        <v>96</v>
      </c>
      <c r="AA540" s="0" t="s">
        <v>47</v>
      </c>
      <c r="AB540" s="0" t="s">
        <v>3626</v>
      </c>
      <c r="AC540" s="0" t="s">
        <v>3627</v>
      </c>
      <c r="AD540" s="0" t="s">
        <v>3628</v>
      </c>
      <c r="AE540" s="0" t="s">
        <v>79</v>
      </c>
      <c r="AF540" s="3" t="s">
        <v>48</v>
      </c>
      <c r="AG540" s="3" t="s">
        <v>49</v>
      </c>
      <c r="AR540" s="0" t="s">
        <v>3625</v>
      </c>
    </row>
    <row r="541" customFormat="false" ht="15" hidden="false" customHeight="false" outlineLevel="0" collapsed="false">
      <c r="A541" s="0" t="n">
        <v>540</v>
      </c>
      <c r="B541" s="0" t="s">
        <v>3629</v>
      </c>
      <c r="C541" s="0" t="s">
        <v>88</v>
      </c>
      <c r="E541" s="0" t="s">
        <v>3630</v>
      </c>
      <c r="N541" s="3" t="s">
        <v>1298</v>
      </c>
      <c r="O541" s="3" t="s">
        <v>1298</v>
      </c>
      <c r="P541" s="0" t="s">
        <v>96</v>
      </c>
      <c r="AA541" s="0" t="s">
        <v>47</v>
      </c>
      <c r="AB541" s="0" t="s">
        <v>3631</v>
      </c>
      <c r="AC541" s="0" t="s">
        <v>3632</v>
      </c>
      <c r="AD541" s="0" t="s">
        <v>3633</v>
      </c>
      <c r="AE541" s="0" t="s">
        <v>79</v>
      </c>
      <c r="AF541" s="3" t="s">
        <v>108</v>
      </c>
      <c r="AG541" s="3" t="s">
        <v>49</v>
      </c>
      <c r="AH541" s="0" t="n">
        <v>2026</v>
      </c>
      <c r="AI541" s="0" t="s">
        <v>1545</v>
      </c>
      <c r="AJ541" s="0" t="s">
        <v>1546</v>
      </c>
      <c r="AR541" s="0" t="s">
        <v>3634</v>
      </c>
    </row>
    <row r="542" customFormat="false" ht="15" hidden="false" customHeight="false" outlineLevel="0" collapsed="false">
      <c r="A542" s="0" t="n">
        <v>541</v>
      </c>
      <c r="B542" s="0" t="s">
        <v>3635</v>
      </c>
      <c r="C542" s="0" t="s">
        <v>52</v>
      </c>
      <c r="D542" s="0" t="s">
        <v>3636</v>
      </c>
      <c r="N542" s="3" t="s">
        <v>104</v>
      </c>
      <c r="O542" s="3" t="s">
        <v>104</v>
      </c>
      <c r="P542" s="0" t="s">
        <v>55</v>
      </c>
      <c r="AA542" s="0" t="s">
        <v>47</v>
      </c>
      <c r="AB542" s="0" t="s">
        <v>3637</v>
      </c>
      <c r="AC542" s="0" t="s">
        <v>3638</v>
      </c>
      <c r="AD542" s="0" t="s">
        <v>3639</v>
      </c>
      <c r="AE542" s="0" t="s">
        <v>59</v>
      </c>
      <c r="AF542" s="3" t="s">
        <v>48</v>
      </c>
      <c r="AG542" s="3" t="s">
        <v>49</v>
      </c>
      <c r="AR542" s="0" t="s">
        <v>3636</v>
      </c>
    </row>
    <row r="543" customFormat="false" ht="15" hidden="false" customHeight="false" outlineLevel="0" collapsed="false">
      <c r="A543" s="0" t="n">
        <v>542</v>
      </c>
      <c r="B543" s="0" t="s">
        <v>3640</v>
      </c>
      <c r="C543" s="0" t="s">
        <v>43</v>
      </c>
      <c r="F543" s="0" t="s">
        <v>44</v>
      </c>
      <c r="H543" s="0" t="s">
        <v>3641</v>
      </c>
      <c r="I543" s="0" t="s">
        <v>154</v>
      </c>
      <c r="AA543" s="0" t="s">
        <v>47</v>
      </c>
      <c r="AF543" s="3" t="s">
        <v>108</v>
      </c>
      <c r="AG543" s="3" t="s">
        <v>49</v>
      </c>
      <c r="AH543" s="0" t="n">
        <v>2026</v>
      </c>
      <c r="AI543" s="0" t="s">
        <v>3642</v>
      </c>
      <c r="AJ543" s="0" t="s">
        <v>3643</v>
      </c>
      <c r="AL543" s="0" t="s">
        <v>3644</v>
      </c>
      <c r="AM543" s="0" t="s">
        <v>3645</v>
      </c>
      <c r="AO543" s="0" t="s">
        <v>3646</v>
      </c>
      <c r="AP543" s="0" t="s">
        <v>3646</v>
      </c>
      <c r="AR543" s="0" t="s">
        <v>3647</v>
      </c>
    </row>
    <row r="544" customFormat="false" ht="15" hidden="false" customHeight="false" outlineLevel="0" collapsed="false">
      <c r="A544" s="0" t="n">
        <v>543</v>
      </c>
      <c r="B544" s="0" t="s">
        <v>3648</v>
      </c>
      <c r="C544" s="0" t="s">
        <v>88</v>
      </c>
      <c r="E544" s="0" t="s">
        <v>3649</v>
      </c>
      <c r="AA544" s="0" t="s">
        <v>47</v>
      </c>
      <c r="AF544" s="3" t="s">
        <v>48</v>
      </c>
      <c r="AG544" s="3" t="s">
        <v>49</v>
      </c>
      <c r="AR544" s="0" t="s">
        <v>3649</v>
      </c>
    </row>
    <row r="545" customFormat="false" ht="15" hidden="false" customHeight="false" outlineLevel="0" collapsed="false">
      <c r="A545" s="0" t="n">
        <v>544</v>
      </c>
      <c r="B545" s="0" t="s">
        <v>3650</v>
      </c>
      <c r="C545" s="0" t="s">
        <v>43</v>
      </c>
      <c r="F545" s="0" t="s">
        <v>44</v>
      </c>
      <c r="H545" s="0" t="s">
        <v>3651</v>
      </c>
      <c r="I545" s="0" t="s">
        <v>154</v>
      </c>
      <c r="AA545" s="0" t="s">
        <v>47</v>
      </c>
      <c r="AF545" s="3" t="s">
        <v>48</v>
      </c>
      <c r="AG545" s="3" t="s">
        <v>49</v>
      </c>
      <c r="AM545" s="0" t="s">
        <v>3652</v>
      </c>
      <c r="AP545" s="0" t="s">
        <v>3653</v>
      </c>
      <c r="AR545" s="0" t="s">
        <v>3654</v>
      </c>
    </row>
    <row r="546" customFormat="false" ht="15" hidden="false" customHeight="false" outlineLevel="0" collapsed="false">
      <c r="A546" s="0" t="n">
        <v>545</v>
      </c>
      <c r="B546" s="0" t="s">
        <v>3655</v>
      </c>
      <c r="C546" s="0" t="s">
        <v>43</v>
      </c>
      <c r="F546" s="0" t="s">
        <v>44</v>
      </c>
      <c r="H546" s="0" t="s">
        <v>3656</v>
      </c>
      <c r="I546" s="0" t="s">
        <v>154</v>
      </c>
      <c r="AA546" s="0" t="s">
        <v>47</v>
      </c>
      <c r="AF546" s="3" t="s">
        <v>108</v>
      </c>
      <c r="AG546" s="3" t="s">
        <v>49</v>
      </c>
      <c r="AH546" s="0" t="n">
        <v>2026</v>
      </c>
      <c r="AI546" s="0" t="s">
        <v>968</v>
      </c>
      <c r="AJ546" s="0" t="s">
        <v>969</v>
      </c>
      <c r="AL546" s="0" t="s">
        <v>3657</v>
      </c>
      <c r="AM546" s="0" t="s">
        <v>3658</v>
      </c>
      <c r="AO546" s="0" t="s">
        <v>3659</v>
      </c>
      <c r="AP546" s="0" t="s">
        <v>3659</v>
      </c>
      <c r="AR546" s="0" t="s">
        <v>3660</v>
      </c>
    </row>
    <row r="547" customFormat="false" ht="15" hidden="false" customHeight="false" outlineLevel="0" collapsed="false">
      <c r="A547" s="0" t="n">
        <v>546</v>
      </c>
      <c r="B547" s="0" t="s">
        <v>3661</v>
      </c>
      <c r="C547" s="0" t="s">
        <v>312</v>
      </c>
      <c r="D547" s="0" t="s">
        <v>3662</v>
      </c>
      <c r="E547" s="0" t="s">
        <v>3663</v>
      </c>
      <c r="F547" s="0" t="s">
        <v>44</v>
      </c>
      <c r="H547" s="0" t="s">
        <v>3664</v>
      </c>
      <c r="I547" s="0" t="s">
        <v>154</v>
      </c>
      <c r="N547" s="0" t="s">
        <v>3665</v>
      </c>
      <c r="O547" s="0" t="s">
        <v>3665</v>
      </c>
      <c r="P547" s="0" t="s">
        <v>55</v>
      </c>
      <c r="AA547" s="0" t="s">
        <v>47</v>
      </c>
      <c r="AB547" s="0" t="s">
        <v>3666</v>
      </c>
      <c r="AC547" s="0" t="s">
        <v>3667</v>
      </c>
      <c r="AD547" s="0" t="s">
        <v>3668</v>
      </c>
      <c r="AE547" s="0" t="s">
        <v>79</v>
      </c>
      <c r="AF547" s="3" t="s">
        <v>1210</v>
      </c>
      <c r="AG547" s="3" t="s">
        <v>81</v>
      </c>
      <c r="AK547" s="0" t="s">
        <v>3669</v>
      </c>
      <c r="AL547" s="0" t="s">
        <v>3670</v>
      </c>
      <c r="AM547" s="0" t="s">
        <v>3671</v>
      </c>
      <c r="AO547" s="0" t="s">
        <v>3672</v>
      </c>
      <c r="AP547" s="0" t="s">
        <v>3672</v>
      </c>
      <c r="AR547" s="0" t="s">
        <v>3673</v>
      </c>
    </row>
    <row r="548" customFormat="false" ht="15" hidden="false" customHeight="false" outlineLevel="0" collapsed="false">
      <c r="A548" s="0" t="n">
        <v>547</v>
      </c>
      <c r="B548" s="0" t="s">
        <v>3674</v>
      </c>
      <c r="C548" s="0" t="s">
        <v>88</v>
      </c>
      <c r="E548" s="0" t="s">
        <v>3675</v>
      </c>
      <c r="H548" s="0" t="s">
        <v>3676</v>
      </c>
      <c r="I548" s="0" t="s">
        <v>154</v>
      </c>
      <c r="AA548" s="0" t="s">
        <v>47</v>
      </c>
      <c r="AF548" s="3" t="s">
        <v>48</v>
      </c>
      <c r="AG548" s="3" t="s">
        <v>49</v>
      </c>
      <c r="AP548" s="0" t="s">
        <v>3677</v>
      </c>
      <c r="AR548" s="0" t="s">
        <v>3678</v>
      </c>
    </row>
    <row r="549" customFormat="false" ht="15" hidden="false" customHeight="false" outlineLevel="0" collapsed="false">
      <c r="A549" s="0" t="n">
        <v>548</v>
      </c>
      <c r="B549" s="0" t="s">
        <v>3679</v>
      </c>
      <c r="C549" s="0" t="s">
        <v>52</v>
      </c>
      <c r="D549" s="0" t="s">
        <v>3680</v>
      </c>
      <c r="N549" s="3" t="s">
        <v>54</v>
      </c>
      <c r="O549" s="3" t="s">
        <v>54</v>
      </c>
      <c r="P549" s="0" t="s">
        <v>55</v>
      </c>
      <c r="AA549" s="0" t="s">
        <v>47</v>
      </c>
      <c r="AB549" s="0" t="s">
        <v>3681</v>
      </c>
      <c r="AC549" s="0" t="s">
        <v>3682</v>
      </c>
      <c r="AD549" s="0" t="s">
        <v>3683</v>
      </c>
      <c r="AE549" s="0" t="s">
        <v>59</v>
      </c>
      <c r="AF549" s="3" t="s">
        <v>48</v>
      </c>
      <c r="AG549" s="3" t="s">
        <v>49</v>
      </c>
      <c r="AR549" s="0" t="s">
        <v>3680</v>
      </c>
    </row>
    <row r="550" customFormat="false" ht="15" hidden="false" customHeight="false" outlineLevel="0" collapsed="false">
      <c r="A550" s="0" t="n">
        <v>549</v>
      </c>
      <c r="B550" s="0" t="s">
        <v>3684</v>
      </c>
      <c r="C550" s="0" t="s">
        <v>88</v>
      </c>
      <c r="E550" s="0" t="s">
        <v>3685</v>
      </c>
      <c r="N550" s="3" t="s">
        <v>119</v>
      </c>
      <c r="O550" s="3" t="s">
        <v>119</v>
      </c>
      <c r="P550" s="0" t="s">
        <v>96</v>
      </c>
      <c r="AA550" s="0" t="s">
        <v>47</v>
      </c>
      <c r="AB550" s="0" t="s">
        <v>3686</v>
      </c>
      <c r="AC550" s="0" t="s">
        <v>3687</v>
      </c>
      <c r="AD550" s="0" t="s">
        <v>3688</v>
      </c>
      <c r="AE550" s="0" t="s">
        <v>79</v>
      </c>
      <c r="AF550" s="3" t="s">
        <v>48</v>
      </c>
      <c r="AG550" s="3" t="s">
        <v>49</v>
      </c>
      <c r="AR550" s="0" t="s">
        <v>3685</v>
      </c>
    </row>
    <row r="551" customFormat="false" ht="15" hidden="false" customHeight="false" outlineLevel="0" collapsed="false">
      <c r="A551" s="0" t="n">
        <v>550</v>
      </c>
      <c r="B551" s="0" t="s">
        <v>3689</v>
      </c>
      <c r="C551" s="0" t="s">
        <v>244</v>
      </c>
      <c r="E551" s="0" t="s">
        <v>3690</v>
      </c>
      <c r="F551" s="0" t="s">
        <v>44</v>
      </c>
      <c r="H551" s="0" t="s">
        <v>3691</v>
      </c>
      <c r="I551" s="0" t="s">
        <v>94</v>
      </c>
      <c r="N551" s="3" t="s">
        <v>186</v>
      </c>
      <c r="O551" s="3" t="s">
        <v>186</v>
      </c>
      <c r="P551" s="0" t="s">
        <v>96</v>
      </c>
      <c r="AA551" s="0" t="s">
        <v>47</v>
      </c>
      <c r="AB551" s="0" t="s">
        <v>3692</v>
      </c>
      <c r="AC551" s="0" t="s">
        <v>3693</v>
      </c>
      <c r="AD551" s="0" t="s">
        <v>3694</v>
      </c>
      <c r="AE551" s="0" t="s">
        <v>79</v>
      </c>
      <c r="AF551" s="3" t="s">
        <v>149</v>
      </c>
      <c r="AG551" s="3" t="s">
        <v>81</v>
      </c>
      <c r="AK551" s="0" t="s">
        <v>3695</v>
      </c>
      <c r="AP551" s="0" t="s">
        <v>3696</v>
      </c>
      <c r="AR551" s="0" t="s">
        <v>3697</v>
      </c>
    </row>
    <row r="552" customFormat="false" ht="15" hidden="false" customHeight="false" outlineLevel="0" collapsed="false">
      <c r="A552" s="0" t="n">
        <v>551</v>
      </c>
      <c r="B552" s="0" t="s">
        <v>3698</v>
      </c>
      <c r="C552" s="0" t="s">
        <v>52</v>
      </c>
      <c r="D552" s="0" t="s">
        <v>3699</v>
      </c>
      <c r="H552" s="0" t="s">
        <v>3700</v>
      </c>
      <c r="I552" s="0" t="s">
        <v>154</v>
      </c>
      <c r="N552" s="3" t="s">
        <v>104</v>
      </c>
      <c r="O552" s="3" t="s">
        <v>104</v>
      </c>
      <c r="P552" s="0" t="s">
        <v>55</v>
      </c>
      <c r="AA552" s="0" t="s">
        <v>47</v>
      </c>
      <c r="AB552" s="0" t="s">
        <v>3701</v>
      </c>
      <c r="AC552" s="0" t="s">
        <v>3702</v>
      </c>
      <c r="AD552" s="0" t="s">
        <v>3703</v>
      </c>
      <c r="AE552" s="0" t="s">
        <v>59</v>
      </c>
      <c r="AF552" s="3" t="s">
        <v>48</v>
      </c>
      <c r="AG552" s="3" t="s">
        <v>49</v>
      </c>
      <c r="AL552" s="0" t="s">
        <v>3704</v>
      </c>
      <c r="AO552" s="0" t="s">
        <v>3705</v>
      </c>
      <c r="AP552" s="0" t="s">
        <v>3705</v>
      </c>
      <c r="AR552" s="0" t="s">
        <v>3706</v>
      </c>
    </row>
    <row r="553" customFormat="false" ht="15" hidden="false" customHeight="false" outlineLevel="0" collapsed="false">
      <c r="A553" s="0" t="n">
        <v>552</v>
      </c>
      <c r="B553" s="0" t="s">
        <v>3707</v>
      </c>
      <c r="C553" s="0" t="s">
        <v>312</v>
      </c>
      <c r="D553" s="0" t="s">
        <v>3708</v>
      </c>
      <c r="E553" s="0" t="s">
        <v>3709</v>
      </c>
      <c r="F553" s="0" t="s">
        <v>44</v>
      </c>
      <c r="H553" s="0" t="s">
        <v>3710</v>
      </c>
      <c r="I553" s="0" t="s">
        <v>115</v>
      </c>
      <c r="J553" s="3" t="s">
        <v>66</v>
      </c>
      <c r="K553" s="0" t="s">
        <v>3711</v>
      </c>
      <c r="M553" s="0" t="n">
        <v>1948</v>
      </c>
      <c r="N553" s="0" t="s">
        <v>1740</v>
      </c>
      <c r="O553" s="3" t="s">
        <v>1624</v>
      </c>
      <c r="P553" s="0" t="s">
        <v>55</v>
      </c>
      <c r="R553" s="0" t="n">
        <v>800</v>
      </c>
      <c r="S553" s="0" t="n">
        <v>2024</v>
      </c>
      <c r="T553" s="0" t="s">
        <v>698</v>
      </c>
      <c r="U553" s="0" t="s">
        <v>115</v>
      </c>
      <c r="V553" s="0" t="n">
        <v>200</v>
      </c>
      <c r="W553" s="0" t="s">
        <v>3712</v>
      </c>
      <c r="X553" s="0" t="s">
        <v>700</v>
      </c>
      <c r="Y553" s="0" t="s">
        <v>698</v>
      </c>
      <c r="Z553" s="0" t="s">
        <v>115</v>
      </c>
      <c r="AA553" s="0" t="s">
        <v>698</v>
      </c>
      <c r="AB553" s="0" t="s">
        <v>3713</v>
      </c>
      <c r="AC553" s="0" t="s">
        <v>3714</v>
      </c>
      <c r="AD553" s="0" t="s">
        <v>3715</v>
      </c>
      <c r="AE553" s="0" t="s">
        <v>115</v>
      </c>
      <c r="AF553" s="3" t="s">
        <v>108</v>
      </c>
      <c r="AG553" s="3" t="s">
        <v>404</v>
      </c>
      <c r="AH553" s="0" t="n">
        <v>2026</v>
      </c>
      <c r="AI553" s="0" t="s">
        <v>3716</v>
      </c>
      <c r="AJ553" s="0" t="s">
        <v>3717</v>
      </c>
      <c r="AK553" s="0" t="s">
        <v>3718</v>
      </c>
      <c r="AL553" s="0" t="s">
        <v>3719</v>
      </c>
      <c r="AN553" s="0" t="s">
        <v>3720</v>
      </c>
      <c r="AO553" s="0" t="s">
        <v>3721</v>
      </c>
      <c r="AP553" s="0" t="s">
        <v>3721</v>
      </c>
      <c r="AR553" s="0" t="s">
        <v>3722</v>
      </c>
    </row>
    <row r="554" customFormat="false" ht="15" hidden="false" customHeight="false" outlineLevel="0" collapsed="false">
      <c r="A554" s="0" t="n">
        <v>553</v>
      </c>
      <c r="B554" s="0" t="s">
        <v>3723</v>
      </c>
      <c r="C554" s="0" t="s">
        <v>88</v>
      </c>
      <c r="E554" s="0" t="s">
        <v>3724</v>
      </c>
      <c r="H554" s="0" t="s">
        <v>3725</v>
      </c>
      <c r="I554" s="0" t="s">
        <v>154</v>
      </c>
      <c r="N554" s="3" t="s">
        <v>213</v>
      </c>
      <c r="O554" s="3" t="s">
        <v>213</v>
      </c>
      <c r="P554" s="0" t="s">
        <v>96</v>
      </c>
      <c r="AA554" s="0" t="s">
        <v>47</v>
      </c>
      <c r="AB554" s="0" t="s">
        <v>3726</v>
      </c>
      <c r="AC554" s="0" t="s">
        <v>3727</v>
      </c>
      <c r="AD554" s="0" t="s">
        <v>3728</v>
      </c>
      <c r="AE554" s="0" t="s">
        <v>79</v>
      </c>
      <c r="AF554" s="3" t="s">
        <v>48</v>
      </c>
      <c r="AG554" s="3" t="s">
        <v>49</v>
      </c>
      <c r="AL554" s="0" t="s">
        <v>3729</v>
      </c>
      <c r="AO554" s="0" t="s">
        <v>3730</v>
      </c>
      <c r="AP554" s="0" t="s">
        <v>3730</v>
      </c>
      <c r="AR554" s="0" t="s">
        <v>3731</v>
      </c>
    </row>
    <row r="555" customFormat="false" ht="15" hidden="false" customHeight="false" outlineLevel="0" collapsed="false">
      <c r="A555" s="0" t="n">
        <v>554</v>
      </c>
      <c r="B555" s="0" t="s">
        <v>3732</v>
      </c>
      <c r="C555" s="0" t="s">
        <v>88</v>
      </c>
      <c r="E555" s="0" t="s">
        <v>3733</v>
      </c>
      <c r="H555" s="0" t="s">
        <v>3734</v>
      </c>
      <c r="I555" s="0" t="s">
        <v>46</v>
      </c>
      <c r="N555" s="3" t="s">
        <v>202</v>
      </c>
      <c r="O555" s="3" t="s">
        <v>202</v>
      </c>
      <c r="P555" s="0" t="s">
        <v>96</v>
      </c>
      <c r="AA555" s="0" t="s">
        <v>47</v>
      </c>
      <c r="AB555" s="0" t="s">
        <v>3735</v>
      </c>
      <c r="AC555" s="0" t="s">
        <v>3736</v>
      </c>
      <c r="AD555" s="0" t="s">
        <v>3737</v>
      </c>
      <c r="AE555" s="0" t="s">
        <v>79</v>
      </c>
      <c r="AF555" s="3" t="s">
        <v>48</v>
      </c>
      <c r="AG555" s="3" t="s">
        <v>49</v>
      </c>
      <c r="AR555" s="0" t="s">
        <v>3733</v>
      </c>
    </row>
    <row r="556" customFormat="false" ht="15" hidden="false" customHeight="false" outlineLevel="0" collapsed="false">
      <c r="A556" s="0" t="n">
        <v>555</v>
      </c>
      <c r="B556" s="0" t="s">
        <v>3738</v>
      </c>
      <c r="C556" s="0" t="s">
        <v>88</v>
      </c>
      <c r="E556" s="0" t="s">
        <v>3739</v>
      </c>
      <c r="AA556" s="0" t="s">
        <v>47</v>
      </c>
      <c r="AF556" s="3" t="s">
        <v>48</v>
      </c>
      <c r="AG556" s="3" t="s">
        <v>49</v>
      </c>
      <c r="AR556" s="0" t="s">
        <v>3739</v>
      </c>
    </row>
    <row r="557" customFormat="false" ht="15" hidden="false" customHeight="false" outlineLevel="0" collapsed="false">
      <c r="A557" s="0" t="n">
        <v>556</v>
      </c>
      <c r="B557" s="0" t="s">
        <v>3740</v>
      </c>
      <c r="C557" s="0" t="s">
        <v>88</v>
      </c>
      <c r="E557" s="0" t="s">
        <v>3741</v>
      </c>
      <c r="H557" s="0" t="s">
        <v>3742</v>
      </c>
      <c r="I557" s="0" t="s">
        <v>154</v>
      </c>
      <c r="N557" s="3" t="s">
        <v>202</v>
      </c>
      <c r="O557" s="3" t="s">
        <v>202</v>
      </c>
      <c r="P557" s="0" t="s">
        <v>96</v>
      </c>
      <c r="AA557" s="0" t="s">
        <v>47</v>
      </c>
      <c r="AB557" s="0" t="s">
        <v>3743</v>
      </c>
      <c r="AC557" s="0" t="s">
        <v>3744</v>
      </c>
      <c r="AD557" s="0" t="s">
        <v>3745</v>
      </c>
      <c r="AE557" s="0" t="s">
        <v>79</v>
      </c>
      <c r="AF557" s="3" t="s">
        <v>48</v>
      </c>
      <c r="AG557" s="3" t="s">
        <v>49</v>
      </c>
      <c r="AL557" s="0" t="s">
        <v>3746</v>
      </c>
      <c r="AM557" s="0" t="s">
        <v>3747</v>
      </c>
      <c r="AO557" s="0" t="s">
        <v>3748</v>
      </c>
      <c r="AP557" s="0" t="s">
        <v>3748</v>
      </c>
      <c r="AR557" s="0" t="s">
        <v>3749</v>
      </c>
    </row>
    <row r="558" customFormat="false" ht="15" hidden="false" customHeight="false" outlineLevel="0" collapsed="false">
      <c r="A558" s="0" t="n">
        <v>557</v>
      </c>
      <c r="B558" s="0" t="s">
        <v>3750</v>
      </c>
      <c r="C558" s="0" t="s">
        <v>145</v>
      </c>
      <c r="F558" s="0" t="s">
        <v>146</v>
      </c>
      <c r="H558" s="0" t="s">
        <v>3751</v>
      </c>
      <c r="I558" s="0" t="s">
        <v>154</v>
      </c>
      <c r="N558" s="3" t="s">
        <v>226</v>
      </c>
      <c r="O558" s="3" t="s">
        <v>226</v>
      </c>
      <c r="P558" s="0" t="s">
        <v>96</v>
      </c>
      <c r="Q558" s="0" t="s">
        <v>3752</v>
      </c>
      <c r="AA558" s="0" t="s">
        <v>47</v>
      </c>
      <c r="AF558" s="3" t="s">
        <v>149</v>
      </c>
      <c r="AG558" s="3" t="s">
        <v>81</v>
      </c>
      <c r="AK558" s="0" t="s">
        <v>3753</v>
      </c>
      <c r="AL558" s="0" t="s">
        <v>3754</v>
      </c>
      <c r="AM558" s="0" t="s">
        <v>3755</v>
      </c>
      <c r="AO558" s="0" t="s">
        <v>3756</v>
      </c>
      <c r="AP558" s="0" t="s">
        <v>3756</v>
      </c>
      <c r="AR558" s="0" t="s">
        <v>3757</v>
      </c>
    </row>
    <row r="559" customFormat="false" ht="15" hidden="false" customHeight="false" outlineLevel="0" collapsed="false">
      <c r="A559" s="0" t="n">
        <v>558</v>
      </c>
      <c r="B559" s="0" t="s">
        <v>3758</v>
      </c>
      <c r="C559" s="0" t="s">
        <v>88</v>
      </c>
      <c r="E559" s="0" t="s">
        <v>3759</v>
      </c>
      <c r="AA559" s="0" t="s">
        <v>47</v>
      </c>
      <c r="AF559" s="3" t="s">
        <v>108</v>
      </c>
      <c r="AG559" s="3" t="s">
        <v>49</v>
      </c>
      <c r="AH559" s="0" t="n">
        <v>2026</v>
      </c>
      <c r="AI559" s="0" t="s">
        <v>968</v>
      </c>
      <c r="AJ559" s="0" t="s">
        <v>969</v>
      </c>
      <c r="AR559" s="0" t="s">
        <v>3760</v>
      </c>
    </row>
    <row r="560" customFormat="false" ht="15" hidden="false" customHeight="false" outlineLevel="0" collapsed="false">
      <c r="A560" s="0" t="n">
        <v>559</v>
      </c>
      <c r="B560" s="0" t="s">
        <v>3761</v>
      </c>
      <c r="C560" s="0" t="s">
        <v>43</v>
      </c>
      <c r="F560" s="0" t="s">
        <v>44</v>
      </c>
      <c r="AA560" s="0" t="s">
        <v>47</v>
      </c>
      <c r="AF560" s="3" t="s">
        <v>108</v>
      </c>
      <c r="AG560" s="3" t="s">
        <v>49</v>
      </c>
      <c r="AH560" s="0" t="n">
        <v>2026</v>
      </c>
      <c r="AI560" s="0" t="s">
        <v>829</v>
      </c>
      <c r="AJ560" s="0" t="s">
        <v>830</v>
      </c>
      <c r="AR560" s="0" t="s">
        <v>1376</v>
      </c>
    </row>
    <row r="561" customFormat="false" ht="15" hidden="false" customHeight="false" outlineLevel="0" collapsed="false">
      <c r="A561" s="0" t="n">
        <v>560</v>
      </c>
      <c r="B561" s="0" t="s">
        <v>3762</v>
      </c>
      <c r="C561" s="0" t="s">
        <v>88</v>
      </c>
      <c r="E561" s="0" t="s">
        <v>3763</v>
      </c>
      <c r="H561" s="0" t="s">
        <v>3764</v>
      </c>
      <c r="I561" s="0" t="s">
        <v>154</v>
      </c>
      <c r="AA561" s="0" t="s">
        <v>47</v>
      </c>
      <c r="AF561" s="3" t="s">
        <v>48</v>
      </c>
      <c r="AG561" s="3" t="s">
        <v>49</v>
      </c>
      <c r="AL561" s="0" t="s">
        <v>3765</v>
      </c>
      <c r="AO561" s="0" t="s">
        <v>3766</v>
      </c>
      <c r="AP561" s="0" t="s">
        <v>3766</v>
      </c>
      <c r="AR561" s="0" t="s">
        <v>3767</v>
      </c>
    </row>
    <row r="562" customFormat="false" ht="15" hidden="false" customHeight="false" outlineLevel="0" collapsed="false">
      <c r="A562" s="0" t="n">
        <v>561</v>
      </c>
      <c r="B562" s="0" t="s">
        <v>3768</v>
      </c>
      <c r="C562" s="0" t="s">
        <v>52</v>
      </c>
      <c r="D562" s="0" t="s">
        <v>3769</v>
      </c>
      <c r="N562" s="3" t="s">
        <v>104</v>
      </c>
      <c r="O562" s="3" t="s">
        <v>104</v>
      </c>
      <c r="P562" s="0" t="s">
        <v>55</v>
      </c>
      <c r="AA562" s="0" t="s">
        <v>47</v>
      </c>
      <c r="AB562" s="0" t="s">
        <v>3770</v>
      </c>
      <c r="AC562" s="0" t="s">
        <v>3771</v>
      </c>
      <c r="AD562" s="0" t="s">
        <v>3772</v>
      </c>
      <c r="AE562" s="0" t="s">
        <v>59</v>
      </c>
      <c r="AF562" s="3" t="s">
        <v>48</v>
      </c>
      <c r="AG562" s="3" t="s">
        <v>49</v>
      </c>
      <c r="AR562" s="0" t="s">
        <v>3769</v>
      </c>
    </row>
    <row r="563" customFormat="false" ht="15" hidden="false" customHeight="false" outlineLevel="0" collapsed="false">
      <c r="A563" s="0" t="n">
        <v>562</v>
      </c>
      <c r="B563" s="0" t="s">
        <v>3773</v>
      </c>
      <c r="C563" s="0" t="s">
        <v>43</v>
      </c>
      <c r="F563" s="0" t="s">
        <v>44</v>
      </c>
      <c r="H563" s="0" t="s">
        <v>3774</v>
      </c>
      <c r="I563" s="0" t="s">
        <v>154</v>
      </c>
      <c r="AA563" s="0" t="s">
        <v>47</v>
      </c>
      <c r="AF563" s="3" t="s">
        <v>48</v>
      </c>
      <c r="AG563" s="3" t="s">
        <v>49</v>
      </c>
      <c r="AL563" s="0" t="s">
        <v>3775</v>
      </c>
      <c r="AO563" s="0" t="s">
        <v>3776</v>
      </c>
      <c r="AP563" s="0" t="s">
        <v>3776</v>
      </c>
      <c r="AR563" s="0" t="s">
        <v>3777</v>
      </c>
    </row>
    <row r="564" customFormat="false" ht="15" hidden="false" customHeight="false" outlineLevel="0" collapsed="false">
      <c r="A564" s="0" t="n">
        <v>563</v>
      </c>
      <c r="B564" s="0" t="s">
        <v>3778</v>
      </c>
      <c r="C564" s="0" t="s">
        <v>88</v>
      </c>
      <c r="E564" s="0" t="s">
        <v>3779</v>
      </c>
      <c r="H564" s="0" t="s">
        <v>3780</v>
      </c>
      <c r="I564" s="0" t="s">
        <v>154</v>
      </c>
      <c r="N564" s="3" t="s">
        <v>213</v>
      </c>
      <c r="O564" s="3" t="s">
        <v>213</v>
      </c>
      <c r="P564" s="0" t="s">
        <v>96</v>
      </c>
      <c r="AA564" s="0" t="s">
        <v>47</v>
      </c>
      <c r="AB564" s="0" t="s">
        <v>3781</v>
      </c>
      <c r="AC564" s="0" t="s">
        <v>3782</v>
      </c>
      <c r="AD564" s="0" t="s">
        <v>3783</v>
      </c>
      <c r="AE564" s="0" t="s">
        <v>79</v>
      </c>
      <c r="AF564" s="3" t="s">
        <v>48</v>
      </c>
      <c r="AG564" s="3" t="s">
        <v>49</v>
      </c>
      <c r="AL564" s="0" t="s">
        <v>3784</v>
      </c>
      <c r="AP564" s="0" t="s">
        <v>3785</v>
      </c>
      <c r="AR564" s="0" t="s">
        <v>3786</v>
      </c>
    </row>
    <row r="565" customFormat="false" ht="15" hidden="false" customHeight="false" outlineLevel="0" collapsed="false">
      <c r="A565" s="0" t="n">
        <v>564</v>
      </c>
      <c r="B565" s="0" t="s">
        <v>3787</v>
      </c>
      <c r="C565" s="0" t="s">
        <v>88</v>
      </c>
      <c r="E565" s="0" t="s">
        <v>3788</v>
      </c>
      <c r="H565" s="0" t="s">
        <v>3789</v>
      </c>
      <c r="I565" s="0" t="s">
        <v>94</v>
      </c>
      <c r="N565" s="3" t="s">
        <v>202</v>
      </c>
      <c r="O565" s="3" t="s">
        <v>202</v>
      </c>
      <c r="P565" s="0" t="s">
        <v>96</v>
      </c>
      <c r="AA565" s="0" t="s">
        <v>47</v>
      </c>
      <c r="AB565" s="0" t="s">
        <v>3790</v>
      </c>
      <c r="AC565" s="0" t="s">
        <v>3791</v>
      </c>
      <c r="AD565" s="0" t="s">
        <v>3792</v>
      </c>
      <c r="AE565" s="0" t="s">
        <v>79</v>
      </c>
      <c r="AF565" s="3" t="s">
        <v>48</v>
      </c>
      <c r="AG565" s="3" t="s">
        <v>49</v>
      </c>
      <c r="AL565" s="0" t="s">
        <v>3793</v>
      </c>
      <c r="AP565" s="0" t="s">
        <v>3794</v>
      </c>
      <c r="AR565" s="0" t="s">
        <v>3795</v>
      </c>
    </row>
    <row r="566" customFormat="false" ht="15" hidden="false" customHeight="false" outlineLevel="0" collapsed="false">
      <c r="A566" s="0" t="n">
        <v>565</v>
      </c>
      <c r="B566" s="0" t="s">
        <v>3796</v>
      </c>
      <c r="C566" s="0" t="s">
        <v>88</v>
      </c>
      <c r="E566" s="0" t="s">
        <v>3797</v>
      </c>
      <c r="AA566" s="0" t="s">
        <v>47</v>
      </c>
      <c r="AB566" s="0" t="s">
        <v>3798</v>
      </c>
      <c r="AC566" s="0" t="s">
        <v>3799</v>
      </c>
      <c r="AE566" s="0" t="s">
        <v>79</v>
      </c>
      <c r="AF566" s="3" t="s">
        <v>48</v>
      </c>
      <c r="AG566" s="3" t="s">
        <v>49</v>
      </c>
      <c r="AR566" s="0" t="s">
        <v>3797</v>
      </c>
    </row>
    <row r="567" customFormat="false" ht="15" hidden="false" customHeight="false" outlineLevel="0" collapsed="false">
      <c r="A567" s="0" t="n">
        <v>566</v>
      </c>
      <c r="B567" s="0" t="s">
        <v>3800</v>
      </c>
      <c r="C567" s="0" t="s">
        <v>52</v>
      </c>
      <c r="D567" s="0" t="s">
        <v>3801</v>
      </c>
      <c r="N567" s="3" t="s">
        <v>54</v>
      </c>
      <c r="O567" s="3" t="s">
        <v>54</v>
      </c>
      <c r="P567" s="0" t="s">
        <v>55</v>
      </c>
      <c r="AA567" s="0" t="s">
        <v>47</v>
      </c>
      <c r="AB567" s="0" t="s">
        <v>3802</v>
      </c>
      <c r="AC567" s="0" t="s">
        <v>3803</v>
      </c>
      <c r="AD567" s="0" t="s">
        <v>3804</v>
      </c>
      <c r="AE567" s="0" t="s">
        <v>59</v>
      </c>
      <c r="AF567" s="3" t="s">
        <v>48</v>
      </c>
      <c r="AG567" s="3" t="s">
        <v>49</v>
      </c>
      <c r="AR567" s="0" t="s">
        <v>3801</v>
      </c>
    </row>
    <row r="568" customFormat="false" ht="15" hidden="false" customHeight="false" outlineLevel="0" collapsed="false">
      <c r="A568" s="0" t="n">
        <v>567</v>
      </c>
      <c r="B568" s="0" t="s">
        <v>3805</v>
      </c>
      <c r="C568" s="0" t="s">
        <v>88</v>
      </c>
      <c r="E568" s="0" t="s">
        <v>3806</v>
      </c>
      <c r="H568" s="0" t="s">
        <v>3807</v>
      </c>
      <c r="I568" s="0" t="s">
        <v>154</v>
      </c>
      <c r="N568" s="3" t="s">
        <v>213</v>
      </c>
      <c r="O568" s="3" t="s">
        <v>213</v>
      </c>
      <c r="P568" s="0" t="s">
        <v>96</v>
      </c>
      <c r="AA568" s="0" t="s">
        <v>47</v>
      </c>
      <c r="AB568" s="0" t="s">
        <v>3808</v>
      </c>
      <c r="AC568" s="0" t="s">
        <v>3809</v>
      </c>
      <c r="AD568" s="0" t="s">
        <v>3810</v>
      </c>
      <c r="AE568" s="0" t="s">
        <v>79</v>
      </c>
      <c r="AF568" s="3" t="s">
        <v>48</v>
      </c>
      <c r="AG568" s="3" t="s">
        <v>49</v>
      </c>
      <c r="AL568" s="0" t="s">
        <v>3811</v>
      </c>
      <c r="AO568" s="0" t="s">
        <v>3812</v>
      </c>
      <c r="AP568" s="0" t="s">
        <v>3812</v>
      </c>
      <c r="AR568" s="0" t="s">
        <v>3813</v>
      </c>
    </row>
    <row r="569" customFormat="false" ht="15" hidden="false" customHeight="false" outlineLevel="0" collapsed="false">
      <c r="A569" s="0" t="n">
        <v>568</v>
      </c>
      <c r="B569" s="0" t="s">
        <v>3814</v>
      </c>
      <c r="C569" s="0" t="s">
        <v>88</v>
      </c>
      <c r="E569" s="0" t="s">
        <v>3815</v>
      </c>
      <c r="H569" s="0" t="s">
        <v>3816</v>
      </c>
      <c r="I569" s="0" t="s">
        <v>154</v>
      </c>
      <c r="N569" s="3" t="s">
        <v>202</v>
      </c>
      <c r="O569" s="3" t="s">
        <v>202</v>
      </c>
      <c r="P569" s="0" t="s">
        <v>96</v>
      </c>
      <c r="AA569" s="0" t="s">
        <v>47</v>
      </c>
      <c r="AB569" s="0" t="s">
        <v>3817</v>
      </c>
      <c r="AC569" s="0" t="s">
        <v>3818</v>
      </c>
      <c r="AD569" s="0" t="s">
        <v>3819</v>
      </c>
      <c r="AE569" s="0" t="s">
        <v>79</v>
      </c>
      <c r="AF569" s="3" t="s">
        <v>48</v>
      </c>
      <c r="AG569" s="3" t="s">
        <v>49</v>
      </c>
      <c r="AL569" s="0" t="s">
        <v>3820</v>
      </c>
      <c r="AO569" s="0" t="s">
        <v>3821</v>
      </c>
      <c r="AP569" s="0" t="s">
        <v>3821</v>
      </c>
      <c r="AR569" s="0" t="s">
        <v>3822</v>
      </c>
    </row>
    <row r="570" customFormat="false" ht="15" hidden="false" customHeight="false" outlineLevel="0" collapsed="false">
      <c r="A570" s="0" t="n">
        <v>569</v>
      </c>
      <c r="B570" s="0" t="s">
        <v>3823</v>
      </c>
      <c r="C570" s="0" t="s">
        <v>88</v>
      </c>
      <c r="E570" s="0" t="s">
        <v>3824</v>
      </c>
      <c r="AA570" s="0" t="s">
        <v>47</v>
      </c>
      <c r="AF570" s="3" t="s">
        <v>48</v>
      </c>
      <c r="AG570" s="3" t="s">
        <v>49</v>
      </c>
      <c r="AR570" s="0" t="s">
        <v>3824</v>
      </c>
    </row>
    <row r="571" customFormat="false" ht="15" hidden="false" customHeight="false" outlineLevel="0" collapsed="false">
      <c r="A571" s="0" t="n">
        <v>570</v>
      </c>
      <c r="B571" s="0" t="s">
        <v>3825</v>
      </c>
      <c r="C571" s="0" t="s">
        <v>88</v>
      </c>
      <c r="E571" s="0" t="s">
        <v>3826</v>
      </c>
      <c r="N571" s="3" t="s">
        <v>186</v>
      </c>
      <c r="O571" s="3" t="s">
        <v>186</v>
      </c>
      <c r="P571" s="0" t="s">
        <v>96</v>
      </c>
      <c r="AA571" s="0" t="s">
        <v>47</v>
      </c>
      <c r="AB571" s="0" t="s">
        <v>3827</v>
      </c>
      <c r="AC571" s="0" t="s">
        <v>3828</v>
      </c>
      <c r="AD571" s="0" t="s">
        <v>3829</v>
      </c>
      <c r="AE571" s="0" t="s">
        <v>79</v>
      </c>
      <c r="AF571" s="3" t="s">
        <v>48</v>
      </c>
      <c r="AG571" s="3" t="s">
        <v>49</v>
      </c>
      <c r="AR571" s="0" t="s">
        <v>3826</v>
      </c>
    </row>
    <row r="572" customFormat="false" ht="15" hidden="false" customHeight="false" outlineLevel="0" collapsed="false">
      <c r="A572" s="0" t="n">
        <v>571</v>
      </c>
      <c r="B572" s="0" t="s">
        <v>3830</v>
      </c>
      <c r="C572" s="0" t="s">
        <v>88</v>
      </c>
      <c r="E572" s="0" t="s">
        <v>3831</v>
      </c>
      <c r="N572" s="3" t="s">
        <v>186</v>
      </c>
      <c r="O572" s="3" t="s">
        <v>186</v>
      </c>
      <c r="P572" s="0" t="s">
        <v>96</v>
      </c>
      <c r="AA572" s="0" t="s">
        <v>47</v>
      </c>
      <c r="AB572" s="0" t="s">
        <v>3832</v>
      </c>
      <c r="AC572" s="0" t="s">
        <v>3833</v>
      </c>
      <c r="AE572" s="0" t="s">
        <v>79</v>
      </c>
      <c r="AF572" s="3" t="s">
        <v>48</v>
      </c>
      <c r="AG572" s="3" t="s">
        <v>49</v>
      </c>
      <c r="AR572" s="0" t="s">
        <v>3831</v>
      </c>
    </row>
    <row r="573" customFormat="false" ht="15" hidden="false" customHeight="false" outlineLevel="0" collapsed="false">
      <c r="A573" s="0" t="n">
        <v>572</v>
      </c>
      <c r="B573" s="0" t="s">
        <v>3834</v>
      </c>
      <c r="C573" s="0" t="s">
        <v>244</v>
      </c>
      <c r="E573" s="0" t="s">
        <v>3835</v>
      </c>
      <c r="F573" s="0" t="s">
        <v>44</v>
      </c>
      <c r="H573" s="0" t="s">
        <v>3836</v>
      </c>
      <c r="I573" s="0" t="s">
        <v>154</v>
      </c>
      <c r="N573" s="3" t="s">
        <v>202</v>
      </c>
      <c r="O573" s="3" t="s">
        <v>202</v>
      </c>
      <c r="P573" s="0" t="s">
        <v>96</v>
      </c>
      <c r="AA573" s="0" t="s">
        <v>47</v>
      </c>
      <c r="AB573" s="0" t="s">
        <v>3837</v>
      </c>
      <c r="AC573" s="0" t="s">
        <v>3838</v>
      </c>
      <c r="AD573" s="0" t="s">
        <v>3839</v>
      </c>
      <c r="AE573" s="0" t="s">
        <v>79</v>
      </c>
      <c r="AF573" s="3" t="s">
        <v>149</v>
      </c>
      <c r="AG573" s="3" t="s">
        <v>81</v>
      </c>
      <c r="AK573" s="0" t="s">
        <v>3840</v>
      </c>
      <c r="AL573" s="0" t="s">
        <v>3841</v>
      </c>
      <c r="AO573" s="0" t="s">
        <v>3842</v>
      </c>
      <c r="AP573" s="0" t="s">
        <v>3842</v>
      </c>
      <c r="AR573" s="0" t="s">
        <v>3843</v>
      </c>
    </row>
    <row r="574" customFormat="false" ht="15" hidden="false" customHeight="false" outlineLevel="0" collapsed="false">
      <c r="A574" s="0" t="n">
        <v>573</v>
      </c>
      <c r="B574" s="0" t="s">
        <v>3844</v>
      </c>
      <c r="C574" s="0" t="s">
        <v>312</v>
      </c>
      <c r="D574" s="0" t="s">
        <v>3845</v>
      </c>
      <c r="E574" s="0" t="s">
        <v>3846</v>
      </c>
      <c r="F574" s="0" t="s">
        <v>44</v>
      </c>
      <c r="H574" s="0" t="s">
        <v>3847</v>
      </c>
      <c r="I574" s="0" t="s">
        <v>115</v>
      </c>
      <c r="J574" s="3" t="s">
        <v>759</v>
      </c>
      <c r="K574" s="0" t="s">
        <v>3848</v>
      </c>
      <c r="L574" s="0" t="s">
        <v>3849</v>
      </c>
      <c r="M574" s="0" t="n">
        <v>1963</v>
      </c>
      <c r="N574" s="0" t="s">
        <v>2435</v>
      </c>
      <c r="O574" s="3" t="s">
        <v>104</v>
      </c>
      <c r="P574" s="0" t="s">
        <v>55</v>
      </c>
      <c r="R574" s="0" t="n">
        <v>2651</v>
      </c>
      <c r="S574" s="0" t="n">
        <v>2025</v>
      </c>
      <c r="T574" s="0" t="s">
        <v>72</v>
      </c>
      <c r="U574" s="0" t="s">
        <v>115</v>
      </c>
      <c r="V574" s="0" t="n">
        <v>701</v>
      </c>
      <c r="W574" s="0" t="s">
        <v>3850</v>
      </c>
      <c r="X574" s="0" t="s">
        <v>764</v>
      </c>
      <c r="Y574" s="0" t="s">
        <v>72</v>
      </c>
      <c r="Z574" s="0" t="s">
        <v>115</v>
      </c>
      <c r="AA574" s="0" t="s">
        <v>75</v>
      </c>
      <c r="AB574" s="0" t="s">
        <v>3851</v>
      </c>
      <c r="AC574" s="0" t="s">
        <v>3852</v>
      </c>
      <c r="AD574" s="0" t="s">
        <v>3853</v>
      </c>
      <c r="AE574" s="0" t="s">
        <v>115</v>
      </c>
      <c r="AF574" s="3" t="s">
        <v>108</v>
      </c>
      <c r="AG574" s="3" t="s">
        <v>404</v>
      </c>
      <c r="AH574" s="0" t="n">
        <v>2026</v>
      </c>
      <c r="AI574" s="0" t="s">
        <v>2829</v>
      </c>
      <c r="AJ574" s="0" t="s">
        <v>2830</v>
      </c>
      <c r="AK574" s="0" t="s">
        <v>3854</v>
      </c>
      <c r="AL574" s="0" t="s">
        <v>3855</v>
      </c>
      <c r="AM574" s="0" t="s">
        <v>3856</v>
      </c>
      <c r="AN574" s="0" t="s">
        <v>3857</v>
      </c>
      <c r="AO574" s="0" t="s">
        <v>3858</v>
      </c>
      <c r="AP574" s="0" t="s">
        <v>3859</v>
      </c>
      <c r="AR574" s="0" t="s">
        <v>3860</v>
      </c>
    </row>
    <row r="575" customFormat="false" ht="15" hidden="false" customHeight="false" outlineLevel="0" collapsed="false">
      <c r="A575" s="0" t="n">
        <v>574</v>
      </c>
      <c r="B575" s="0" t="s">
        <v>3861</v>
      </c>
      <c r="C575" s="0" t="s">
        <v>88</v>
      </c>
      <c r="E575" s="0" t="s">
        <v>3862</v>
      </c>
      <c r="N575" s="3" t="s">
        <v>95</v>
      </c>
      <c r="O575" s="3" t="s">
        <v>95</v>
      </c>
      <c r="P575" s="0" t="s">
        <v>96</v>
      </c>
      <c r="AA575" s="0" t="s">
        <v>47</v>
      </c>
      <c r="AB575" s="0" t="s">
        <v>3863</v>
      </c>
      <c r="AC575" s="0" t="s">
        <v>3864</v>
      </c>
      <c r="AD575" s="0" t="s">
        <v>3865</v>
      </c>
      <c r="AE575" s="0" t="s">
        <v>79</v>
      </c>
      <c r="AF575" s="3" t="s">
        <v>48</v>
      </c>
      <c r="AG575" s="3" t="s">
        <v>49</v>
      </c>
      <c r="AR575" s="0" t="s">
        <v>3862</v>
      </c>
    </row>
    <row r="576" customFormat="false" ht="15" hidden="false" customHeight="false" outlineLevel="0" collapsed="false">
      <c r="A576" s="0" t="n">
        <v>575</v>
      </c>
      <c r="B576" s="0" t="s">
        <v>3866</v>
      </c>
      <c r="C576" s="0" t="s">
        <v>88</v>
      </c>
      <c r="E576" s="0" t="s">
        <v>3867</v>
      </c>
      <c r="N576" s="3" t="s">
        <v>239</v>
      </c>
      <c r="O576" s="3" t="s">
        <v>239</v>
      </c>
      <c r="P576" s="0" t="s">
        <v>96</v>
      </c>
      <c r="AA576" s="0" t="s">
        <v>47</v>
      </c>
      <c r="AB576" s="0" t="s">
        <v>3868</v>
      </c>
      <c r="AC576" s="0" t="s">
        <v>3869</v>
      </c>
      <c r="AD576" s="0" t="s">
        <v>3870</v>
      </c>
      <c r="AE576" s="0" t="s">
        <v>79</v>
      </c>
      <c r="AF576" s="3" t="s">
        <v>48</v>
      </c>
      <c r="AG576" s="3" t="s">
        <v>49</v>
      </c>
      <c r="AR576" s="0" t="s">
        <v>3867</v>
      </c>
    </row>
    <row r="577" customFormat="false" ht="15" hidden="false" customHeight="false" outlineLevel="0" collapsed="false">
      <c r="A577" s="0" t="n">
        <v>576</v>
      </c>
      <c r="B577" s="0" t="s">
        <v>3871</v>
      </c>
      <c r="C577" s="0" t="s">
        <v>88</v>
      </c>
      <c r="E577" s="0" t="s">
        <v>3872</v>
      </c>
      <c r="H577" s="0" t="s">
        <v>3873</v>
      </c>
      <c r="I577" s="0" t="s">
        <v>154</v>
      </c>
      <c r="N577" s="3" t="s">
        <v>1298</v>
      </c>
      <c r="O577" s="3" t="s">
        <v>1298</v>
      </c>
      <c r="P577" s="0" t="s">
        <v>96</v>
      </c>
      <c r="AA577" s="0" t="s">
        <v>47</v>
      </c>
      <c r="AB577" s="0" t="s">
        <v>3874</v>
      </c>
      <c r="AC577" s="0" t="s">
        <v>3875</v>
      </c>
      <c r="AD577" s="0" t="s">
        <v>3876</v>
      </c>
      <c r="AE577" s="0" t="s">
        <v>79</v>
      </c>
      <c r="AF577" s="3" t="s">
        <v>48</v>
      </c>
      <c r="AG577" s="3" t="s">
        <v>49</v>
      </c>
      <c r="AL577" s="0" t="s">
        <v>3877</v>
      </c>
      <c r="AM577" s="0" t="s">
        <v>3878</v>
      </c>
      <c r="AO577" s="0" t="s">
        <v>3879</v>
      </c>
      <c r="AP577" s="0" t="s">
        <v>3879</v>
      </c>
      <c r="AR577" s="0" t="s">
        <v>3880</v>
      </c>
    </row>
    <row r="578" customFormat="false" ht="15" hidden="false" customHeight="false" outlineLevel="0" collapsed="false">
      <c r="A578" s="0" t="n">
        <v>577</v>
      </c>
      <c r="B578" s="0" t="s">
        <v>3881</v>
      </c>
      <c r="C578" s="0" t="s">
        <v>88</v>
      </c>
      <c r="E578" s="0" t="s">
        <v>3882</v>
      </c>
      <c r="H578" s="0" t="s">
        <v>3883</v>
      </c>
      <c r="I578" s="0" t="s">
        <v>154</v>
      </c>
      <c r="AA578" s="0" t="s">
        <v>47</v>
      </c>
      <c r="AF578" s="3" t="s">
        <v>48</v>
      </c>
      <c r="AG578" s="3" t="s">
        <v>49</v>
      </c>
      <c r="AL578" s="0" t="s">
        <v>3884</v>
      </c>
      <c r="AO578" s="0" t="s">
        <v>3885</v>
      </c>
      <c r="AP578" s="0" t="s">
        <v>3885</v>
      </c>
      <c r="AR578" s="0" t="s">
        <v>3886</v>
      </c>
    </row>
    <row r="579" customFormat="false" ht="15" hidden="false" customHeight="false" outlineLevel="0" collapsed="false">
      <c r="A579" s="0" t="n">
        <v>578</v>
      </c>
      <c r="B579" s="0" t="s">
        <v>3887</v>
      </c>
      <c r="C579" s="0" t="s">
        <v>88</v>
      </c>
      <c r="E579" s="0" t="s">
        <v>3888</v>
      </c>
      <c r="N579" s="3" t="s">
        <v>202</v>
      </c>
      <c r="O579" s="3" t="s">
        <v>202</v>
      </c>
      <c r="P579" s="0" t="s">
        <v>96</v>
      </c>
      <c r="AA579" s="0" t="s">
        <v>47</v>
      </c>
      <c r="AB579" s="0" t="s">
        <v>3889</v>
      </c>
      <c r="AC579" s="0" t="s">
        <v>3890</v>
      </c>
      <c r="AD579" s="0" t="s">
        <v>3891</v>
      </c>
      <c r="AE579" s="0" t="s">
        <v>79</v>
      </c>
      <c r="AF579" s="3" t="s">
        <v>48</v>
      </c>
      <c r="AG579" s="3" t="s">
        <v>49</v>
      </c>
      <c r="AR579" s="0" t="s">
        <v>3888</v>
      </c>
    </row>
    <row r="580" customFormat="false" ht="15" hidden="false" customHeight="false" outlineLevel="0" collapsed="false">
      <c r="A580" s="0" t="n">
        <v>579</v>
      </c>
      <c r="B580" s="0" t="s">
        <v>3892</v>
      </c>
      <c r="C580" s="0" t="s">
        <v>88</v>
      </c>
      <c r="E580" s="0" t="s">
        <v>3893</v>
      </c>
      <c r="H580" s="0" t="s">
        <v>3894</v>
      </c>
      <c r="I580" s="0" t="s">
        <v>154</v>
      </c>
      <c r="N580" s="3" t="s">
        <v>95</v>
      </c>
      <c r="O580" s="3" t="s">
        <v>95</v>
      </c>
      <c r="P580" s="0" t="s">
        <v>96</v>
      </c>
      <c r="AA580" s="0" t="s">
        <v>47</v>
      </c>
      <c r="AB580" s="0" t="s">
        <v>3895</v>
      </c>
      <c r="AC580" s="0" t="s">
        <v>3896</v>
      </c>
      <c r="AD580" s="0" t="s">
        <v>3897</v>
      </c>
      <c r="AE580" s="0" t="s">
        <v>79</v>
      </c>
      <c r="AF580" s="3" t="s">
        <v>108</v>
      </c>
      <c r="AG580" s="3" t="s">
        <v>49</v>
      </c>
      <c r="AH580" s="0" t="n">
        <v>2026</v>
      </c>
      <c r="AI580" s="0" t="s">
        <v>3898</v>
      </c>
      <c r="AJ580" s="0" t="s">
        <v>3899</v>
      </c>
      <c r="AL580" s="0" t="s">
        <v>3900</v>
      </c>
      <c r="AO580" s="0" t="s">
        <v>3901</v>
      </c>
      <c r="AP580" s="0" t="s">
        <v>3901</v>
      </c>
      <c r="AR580" s="0" t="s">
        <v>3902</v>
      </c>
    </row>
    <row r="581" customFormat="false" ht="15" hidden="false" customHeight="false" outlineLevel="0" collapsed="false">
      <c r="A581" s="0" t="n">
        <v>580</v>
      </c>
      <c r="B581" s="0" t="s">
        <v>3903</v>
      </c>
      <c r="C581" s="0" t="s">
        <v>88</v>
      </c>
      <c r="E581" s="0" t="s">
        <v>3904</v>
      </c>
      <c r="H581" s="0" t="s">
        <v>3905</v>
      </c>
      <c r="I581" s="0" t="s">
        <v>154</v>
      </c>
      <c r="AA581" s="0" t="s">
        <v>47</v>
      </c>
      <c r="AF581" s="3" t="s">
        <v>48</v>
      </c>
      <c r="AG581" s="3" t="s">
        <v>49</v>
      </c>
      <c r="AL581" s="0" t="s">
        <v>3906</v>
      </c>
      <c r="AO581" s="0" t="s">
        <v>3907</v>
      </c>
      <c r="AP581" s="0" t="s">
        <v>3907</v>
      </c>
      <c r="AR581" s="0" t="s">
        <v>3908</v>
      </c>
    </row>
    <row r="582" customFormat="false" ht="15" hidden="false" customHeight="false" outlineLevel="0" collapsed="false">
      <c r="A582" s="0" t="n">
        <v>581</v>
      </c>
      <c r="B582" s="0" t="s">
        <v>3909</v>
      </c>
      <c r="C582" s="0" t="s">
        <v>88</v>
      </c>
      <c r="E582" s="0" t="s">
        <v>3910</v>
      </c>
      <c r="H582" s="0" t="s">
        <v>3911</v>
      </c>
      <c r="I582" s="0" t="s">
        <v>154</v>
      </c>
      <c r="N582" s="3" t="s">
        <v>202</v>
      </c>
      <c r="O582" s="3" t="s">
        <v>202</v>
      </c>
      <c r="P582" s="0" t="s">
        <v>96</v>
      </c>
      <c r="AA582" s="0" t="s">
        <v>47</v>
      </c>
      <c r="AB582" s="0" t="s">
        <v>3912</v>
      </c>
      <c r="AC582" s="0" t="s">
        <v>3913</v>
      </c>
      <c r="AD582" s="0" t="s">
        <v>3914</v>
      </c>
      <c r="AE582" s="0" t="s">
        <v>79</v>
      </c>
      <c r="AF582" s="3" t="s">
        <v>48</v>
      </c>
      <c r="AG582" s="3" t="s">
        <v>49</v>
      </c>
      <c r="AL582" s="0" t="s">
        <v>3915</v>
      </c>
      <c r="AO582" s="0" t="s">
        <v>3916</v>
      </c>
      <c r="AP582" s="0" t="s">
        <v>3916</v>
      </c>
      <c r="AR582" s="0" t="s">
        <v>3917</v>
      </c>
    </row>
    <row r="583" customFormat="false" ht="15" hidden="false" customHeight="false" outlineLevel="0" collapsed="false">
      <c r="A583" s="0" t="n">
        <v>582</v>
      </c>
      <c r="B583" s="0" t="s">
        <v>3918</v>
      </c>
      <c r="C583" s="0" t="s">
        <v>43</v>
      </c>
      <c r="F583" s="0" t="s">
        <v>44</v>
      </c>
      <c r="AA583" s="0" t="s">
        <v>47</v>
      </c>
      <c r="AF583" s="3" t="s">
        <v>48</v>
      </c>
      <c r="AG583" s="3" t="s">
        <v>49</v>
      </c>
      <c r="AR583" s="0" t="s">
        <v>50</v>
      </c>
    </row>
    <row r="584" customFormat="false" ht="15" hidden="false" customHeight="false" outlineLevel="0" collapsed="false">
      <c r="A584" s="0" t="n">
        <v>583</v>
      </c>
      <c r="B584" s="0" t="s">
        <v>3919</v>
      </c>
      <c r="C584" s="0" t="s">
        <v>88</v>
      </c>
      <c r="E584" s="0" t="s">
        <v>3920</v>
      </c>
      <c r="N584" s="3" t="s">
        <v>119</v>
      </c>
      <c r="O584" s="3" t="s">
        <v>119</v>
      </c>
      <c r="P584" s="0" t="s">
        <v>96</v>
      </c>
      <c r="AA584" s="0" t="s">
        <v>47</v>
      </c>
      <c r="AB584" s="0" t="s">
        <v>3921</v>
      </c>
      <c r="AC584" s="0" t="s">
        <v>3922</v>
      </c>
      <c r="AD584" s="0" t="s">
        <v>3923</v>
      </c>
      <c r="AE584" s="0" t="s">
        <v>79</v>
      </c>
      <c r="AF584" s="3" t="s">
        <v>48</v>
      </c>
      <c r="AG584" s="3" t="s">
        <v>49</v>
      </c>
      <c r="AR584" s="0" t="s">
        <v>3920</v>
      </c>
    </row>
    <row r="585" customFormat="false" ht="15" hidden="false" customHeight="false" outlineLevel="0" collapsed="false">
      <c r="A585" s="0" t="n">
        <v>584</v>
      </c>
      <c r="B585" s="0" t="s">
        <v>3924</v>
      </c>
      <c r="C585" s="0" t="s">
        <v>394</v>
      </c>
      <c r="D585" s="0" t="s">
        <v>3925</v>
      </c>
      <c r="F585" s="0" t="s">
        <v>44</v>
      </c>
      <c r="H585" s="0" t="s">
        <v>3926</v>
      </c>
      <c r="I585" s="0" t="s">
        <v>115</v>
      </c>
      <c r="J585" s="3" t="s">
        <v>66</v>
      </c>
      <c r="K585" s="0" t="s">
        <v>3927</v>
      </c>
      <c r="L585" s="0" t="s">
        <v>3928</v>
      </c>
      <c r="M585" s="0" t="n">
        <v>1947</v>
      </c>
      <c r="N585" s="0" t="s">
        <v>3929</v>
      </c>
      <c r="O585" s="3" t="s">
        <v>762</v>
      </c>
      <c r="P585" s="0" t="s">
        <v>55</v>
      </c>
      <c r="R585" s="0" t="n">
        <v>17000</v>
      </c>
      <c r="S585" s="0" t="n">
        <v>2025</v>
      </c>
      <c r="T585" s="0" t="s">
        <v>1741</v>
      </c>
      <c r="U585" s="0" t="s">
        <v>115</v>
      </c>
      <c r="V585" s="0" t="n">
        <v>3321</v>
      </c>
      <c r="W585" s="0" t="s">
        <v>3930</v>
      </c>
      <c r="X585" s="0" t="s">
        <v>764</v>
      </c>
      <c r="Y585" s="0" t="s">
        <v>1142</v>
      </c>
      <c r="Z585" s="0" t="s">
        <v>115</v>
      </c>
      <c r="AA585" s="0" t="s">
        <v>75</v>
      </c>
      <c r="AB585" s="0" t="s">
        <v>3931</v>
      </c>
      <c r="AC585" s="0" t="s">
        <v>3932</v>
      </c>
      <c r="AD585" s="0" t="s">
        <v>3933</v>
      </c>
      <c r="AE585" s="0" t="s">
        <v>115</v>
      </c>
      <c r="AF585" s="3" t="s">
        <v>108</v>
      </c>
      <c r="AG585" s="3" t="s">
        <v>81</v>
      </c>
      <c r="AH585" s="0" t="n">
        <v>2026</v>
      </c>
      <c r="AI585" s="0" t="s">
        <v>3934</v>
      </c>
      <c r="AJ585" s="0" t="s">
        <v>3935</v>
      </c>
      <c r="AK585" s="3" t="s">
        <v>3936</v>
      </c>
      <c r="AL585" s="0" t="s">
        <v>3937</v>
      </c>
      <c r="AM585" s="0" t="s">
        <v>3938</v>
      </c>
      <c r="AN585" s="0" t="s">
        <v>3939</v>
      </c>
      <c r="AO585" s="0" t="s">
        <v>3940</v>
      </c>
      <c r="AP585" s="0" t="s">
        <v>3940</v>
      </c>
      <c r="AR585" s="0" t="s">
        <v>3941</v>
      </c>
    </row>
    <row r="586" customFormat="false" ht="15" hidden="false" customHeight="false" outlineLevel="0" collapsed="false">
      <c r="A586" s="0" t="n">
        <v>585</v>
      </c>
      <c r="B586" s="0" t="s">
        <v>3942</v>
      </c>
      <c r="C586" s="0" t="s">
        <v>88</v>
      </c>
      <c r="E586" s="0" t="s">
        <v>3943</v>
      </c>
      <c r="H586" s="0" t="s">
        <v>3944</v>
      </c>
      <c r="I586" s="0" t="s">
        <v>115</v>
      </c>
      <c r="J586" s="3" t="s">
        <v>3945</v>
      </c>
      <c r="K586" s="0" t="s">
        <v>3946</v>
      </c>
      <c r="L586" s="0" t="s">
        <v>3947</v>
      </c>
      <c r="M586" s="0" t="n">
        <v>2005</v>
      </c>
      <c r="N586" s="0" t="s">
        <v>1019</v>
      </c>
      <c r="R586" s="0" t="n">
        <v>2800</v>
      </c>
      <c r="S586" s="0" t="n">
        <v>2024</v>
      </c>
      <c r="T586" s="0" t="s">
        <v>698</v>
      </c>
      <c r="U586" s="0" t="s">
        <v>115</v>
      </c>
      <c r="V586" s="0" t="n">
        <v>323.7</v>
      </c>
      <c r="W586" s="0" t="s">
        <v>3948</v>
      </c>
      <c r="X586" s="0" t="s">
        <v>764</v>
      </c>
      <c r="Y586" s="0" t="s">
        <v>72</v>
      </c>
      <c r="Z586" s="0" t="s">
        <v>115</v>
      </c>
      <c r="AA586" s="0" t="s">
        <v>1022</v>
      </c>
      <c r="AB586" s="0" t="s">
        <v>3949</v>
      </c>
      <c r="AC586" s="0" t="s">
        <v>3950</v>
      </c>
      <c r="AD586" s="0" t="s">
        <v>3951</v>
      </c>
      <c r="AE586" s="0" t="s">
        <v>115</v>
      </c>
      <c r="AF586" s="3" t="s">
        <v>108</v>
      </c>
      <c r="AG586" s="3" t="s">
        <v>404</v>
      </c>
      <c r="AH586" s="0" t="n">
        <v>2026</v>
      </c>
      <c r="AI586" s="0" t="s">
        <v>3952</v>
      </c>
      <c r="AJ586" s="0" t="s">
        <v>3953</v>
      </c>
      <c r="AK586" s="0" t="s">
        <v>3954</v>
      </c>
      <c r="AL586" s="0" t="s">
        <v>3955</v>
      </c>
      <c r="AM586" s="0" t="s">
        <v>3956</v>
      </c>
      <c r="AN586" s="0" t="s">
        <v>3957</v>
      </c>
      <c r="AO586" s="0" t="s">
        <v>3958</v>
      </c>
      <c r="AP586" s="0" t="s">
        <v>3959</v>
      </c>
      <c r="AR586" s="0" t="s">
        <v>3960</v>
      </c>
    </row>
    <row r="587" customFormat="false" ht="15" hidden="false" customHeight="false" outlineLevel="0" collapsed="false">
      <c r="A587" s="0" t="n">
        <v>586</v>
      </c>
      <c r="B587" s="0" t="s">
        <v>3961</v>
      </c>
      <c r="C587" s="0" t="s">
        <v>88</v>
      </c>
      <c r="E587" s="0" t="s">
        <v>3962</v>
      </c>
      <c r="H587" s="0" t="s">
        <v>3963</v>
      </c>
      <c r="I587" s="0" t="s">
        <v>154</v>
      </c>
      <c r="N587" s="3" t="s">
        <v>95</v>
      </c>
      <c r="O587" s="3" t="s">
        <v>95</v>
      </c>
      <c r="P587" s="0" t="s">
        <v>96</v>
      </c>
      <c r="AA587" s="0" t="s">
        <v>47</v>
      </c>
      <c r="AB587" s="0" t="s">
        <v>3964</v>
      </c>
      <c r="AC587" s="0" t="s">
        <v>3965</v>
      </c>
      <c r="AD587" s="0" t="s">
        <v>3966</v>
      </c>
      <c r="AE587" s="0" t="s">
        <v>79</v>
      </c>
      <c r="AF587" s="3" t="s">
        <v>48</v>
      </c>
      <c r="AG587" s="3" t="s">
        <v>49</v>
      </c>
      <c r="AO587" s="0" t="s">
        <v>3967</v>
      </c>
      <c r="AP587" s="0" t="s">
        <v>3967</v>
      </c>
      <c r="AR587" s="0" t="s">
        <v>3968</v>
      </c>
    </row>
    <row r="588" customFormat="false" ht="15" hidden="false" customHeight="false" outlineLevel="0" collapsed="false">
      <c r="A588" s="0" t="n">
        <v>587</v>
      </c>
      <c r="B588" s="0" t="s">
        <v>3969</v>
      </c>
      <c r="C588" s="0" t="s">
        <v>312</v>
      </c>
      <c r="D588" s="0" t="s">
        <v>3970</v>
      </c>
      <c r="E588" s="0" t="s">
        <v>3971</v>
      </c>
      <c r="F588" s="0" t="s">
        <v>44</v>
      </c>
      <c r="H588" s="0" t="s">
        <v>3972</v>
      </c>
      <c r="I588" s="0" t="s">
        <v>115</v>
      </c>
      <c r="J588" s="3" t="s">
        <v>66</v>
      </c>
      <c r="K588" s="0" t="s">
        <v>3973</v>
      </c>
      <c r="M588" s="0" t="n">
        <v>1947</v>
      </c>
      <c r="N588" s="0" t="s">
        <v>1740</v>
      </c>
      <c r="O588" s="3" t="s">
        <v>104</v>
      </c>
      <c r="P588" s="0" t="s">
        <v>55</v>
      </c>
      <c r="R588" s="0" t="n">
        <v>3000</v>
      </c>
      <c r="T588" s="0" t="s">
        <v>72</v>
      </c>
      <c r="U588" s="0" t="s">
        <v>115</v>
      </c>
      <c r="V588" s="0" t="n">
        <v>600</v>
      </c>
      <c r="W588" s="0" t="s">
        <v>3974</v>
      </c>
      <c r="X588" s="0" t="s">
        <v>700</v>
      </c>
      <c r="Y588" s="0" t="s">
        <v>698</v>
      </c>
      <c r="Z588" s="0" t="s">
        <v>115</v>
      </c>
      <c r="AA588" s="0" t="s">
        <v>698</v>
      </c>
      <c r="AB588" s="0" t="s">
        <v>3975</v>
      </c>
      <c r="AC588" s="0" t="s">
        <v>3976</v>
      </c>
      <c r="AD588" s="0" t="s">
        <v>3977</v>
      </c>
      <c r="AE588" s="0" t="s">
        <v>115</v>
      </c>
      <c r="AF588" s="3" t="s">
        <v>108</v>
      </c>
      <c r="AG588" s="3" t="s">
        <v>404</v>
      </c>
      <c r="AH588" s="0" t="n">
        <v>2026</v>
      </c>
      <c r="AI588" s="0" t="s">
        <v>3978</v>
      </c>
      <c r="AJ588" s="0" t="s">
        <v>3979</v>
      </c>
      <c r="AK588" s="0" t="s">
        <v>3980</v>
      </c>
      <c r="AL588" s="0" t="s">
        <v>3981</v>
      </c>
      <c r="AN588" s="0" t="s">
        <v>3982</v>
      </c>
      <c r="AO588" s="0" t="s">
        <v>3983</v>
      </c>
      <c r="AP588" s="0" t="s">
        <v>3984</v>
      </c>
      <c r="AR588" s="0" t="s">
        <v>3985</v>
      </c>
    </row>
    <row r="589" customFormat="false" ht="15" hidden="false" customHeight="false" outlineLevel="0" collapsed="false">
      <c r="A589" s="0" t="n">
        <v>588</v>
      </c>
      <c r="B589" s="0" t="s">
        <v>3986</v>
      </c>
      <c r="C589" s="0" t="s">
        <v>52</v>
      </c>
      <c r="D589" s="0" t="s">
        <v>3987</v>
      </c>
      <c r="N589" s="0" t="s">
        <v>3988</v>
      </c>
      <c r="O589" s="0" t="s">
        <v>3988</v>
      </c>
      <c r="P589" s="0" t="s">
        <v>55</v>
      </c>
      <c r="AA589" s="0" t="s">
        <v>47</v>
      </c>
      <c r="AB589" s="0" t="s">
        <v>3989</v>
      </c>
      <c r="AC589" s="0" t="s">
        <v>3990</v>
      </c>
      <c r="AD589" s="0" t="s">
        <v>3991</v>
      </c>
      <c r="AE589" s="0" t="s">
        <v>59</v>
      </c>
      <c r="AF589" s="3" t="s">
        <v>48</v>
      </c>
      <c r="AG589" s="3" t="s">
        <v>49</v>
      </c>
      <c r="AR589" s="0" t="s">
        <v>3987</v>
      </c>
    </row>
    <row r="590" customFormat="false" ht="15" hidden="false" customHeight="false" outlineLevel="0" collapsed="false">
      <c r="A590" s="0" t="n">
        <v>589</v>
      </c>
      <c r="B590" s="0" t="s">
        <v>3992</v>
      </c>
      <c r="C590" s="0" t="s">
        <v>52</v>
      </c>
      <c r="D590" s="0" t="s">
        <v>3993</v>
      </c>
      <c r="N590" s="3" t="s">
        <v>762</v>
      </c>
      <c r="O590" s="3" t="s">
        <v>762</v>
      </c>
      <c r="P590" s="0" t="s">
        <v>55</v>
      </c>
      <c r="AA590" s="0" t="s">
        <v>47</v>
      </c>
      <c r="AB590" s="0" t="s">
        <v>3994</v>
      </c>
      <c r="AC590" s="0" t="s">
        <v>3995</v>
      </c>
      <c r="AD590" s="0" t="s">
        <v>3996</v>
      </c>
      <c r="AE590" s="0" t="s">
        <v>59</v>
      </c>
      <c r="AF590" s="3" t="s">
        <v>108</v>
      </c>
      <c r="AG590" s="3" t="s">
        <v>49</v>
      </c>
      <c r="AH590" s="0" t="n">
        <v>2026</v>
      </c>
      <c r="AI590" s="0" t="s">
        <v>3997</v>
      </c>
      <c r="AJ590" s="0" t="s">
        <v>3998</v>
      </c>
      <c r="AR590" s="0" t="s">
        <v>3999</v>
      </c>
    </row>
    <row r="591" customFormat="false" ht="15" hidden="false" customHeight="false" outlineLevel="0" collapsed="false">
      <c r="A591" s="0" t="n">
        <v>590</v>
      </c>
      <c r="B591" s="0" t="s">
        <v>4000</v>
      </c>
      <c r="C591" s="0" t="s">
        <v>88</v>
      </c>
      <c r="E591" s="0" t="s">
        <v>4001</v>
      </c>
      <c r="H591" s="0" t="s">
        <v>4002</v>
      </c>
      <c r="I591" s="0" t="s">
        <v>115</v>
      </c>
      <c r="J591" s="3" t="s">
        <v>66</v>
      </c>
      <c r="K591" s="0" t="s">
        <v>4003</v>
      </c>
      <c r="M591" s="0" t="n">
        <v>1978</v>
      </c>
      <c r="N591" s="0" t="s">
        <v>3929</v>
      </c>
      <c r="O591" s="3" t="s">
        <v>147</v>
      </c>
      <c r="P591" s="0" t="s">
        <v>96</v>
      </c>
      <c r="R591" s="0" t="n">
        <v>1500</v>
      </c>
      <c r="S591" s="0" t="n">
        <v>2024</v>
      </c>
      <c r="T591" s="0" t="s">
        <v>698</v>
      </c>
      <c r="U591" s="0" t="s">
        <v>115</v>
      </c>
      <c r="V591" s="0" t="n">
        <v>150</v>
      </c>
      <c r="W591" s="0" t="s">
        <v>4004</v>
      </c>
      <c r="X591" s="0" t="s">
        <v>700</v>
      </c>
      <c r="Y591" s="0" t="s">
        <v>698</v>
      </c>
      <c r="Z591" s="0" t="s">
        <v>115</v>
      </c>
      <c r="AA591" s="0" t="s">
        <v>698</v>
      </c>
      <c r="AB591" s="0" t="s">
        <v>4005</v>
      </c>
      <c r="AC591" s="0" t="s">
        <v>4006</v>
      </c>
      <c r="AD591" s="0" t="s">
        <v>4007</v>
      </c>
      <c r="AE591" s="0" t="s">
        <v>115</v>
      </c>
      <c r="AF591" s="3" t="s">
        <v>108</v>
      </c>
      <c r="AG591" s="3" t="s">
        <v>404</v>
      </c>
      <c r="AH591" s="0" t="n">
        <v>2026</v>
      </c>
      <c r="AI591" s="0" t="s">
        <v>4008</v>
      </c>
      <c r="AJ591" s="0" t="s">
        <v>4009</v>
      </c>
      <c r="AK591" s="0" t="s">
        <v>4010</v>
      </c>
      <c r="AL591" s="0" t="s">
        <v>4011</v>
      </c>
      <c r="AM591" s="0" t="s">
        <v>4012</v>
      </c>
      <c r="AN591" s="0" t="s">
        <v>4013</v>
      </c>
      <c r="AO591" s="0" t="s">
        <v>4014</v>
      </c>
      <c r="AP591" s="0" t="s">
        <v>4015</v>
      </c>
      <c r="AR591" s="0" t="s">
        <v>4016</v>
      </c>
    </row>
    <row r="592" customFormat="false" ht="15" hidden="false" customHeight="false" outlineLevel="0" collapsed="false">
      <c r="A592" s="0" t="n">
        <v>591</v>
      </c>
      <c r="B592" s="0" t="s">
        <v>4017</v>
      </c>
      <c r="C592" s="0" t="s">
        <v>244</v>
      </c>
      <c r="E592" s="0" t="s">
        <v>4018</v>
      </c>
      <c r="F592" s="0" t="s">
        <v>44</v>
      </c>
      <c r="H592" s="0" t="s">
        <v>4019</v>
      </c>
      <c r="I592" s="0" t="s">
        <v>46</v>
      </c>
      <c r="N592" s="3" t="s">
        <v>1298</v>
      </c>
      <c r="O592" s="3" t="s">
        <v>1298</v>
      </c>
      <c r="P592" s="0" t="s">
        <v>96</v>
      </c>
      <c r="AA592" s="0" t="s">
        <v>47</v>
      </c>
      <c r="AB592" s="0" t="s">
        <v>4020</v>
      </c>
      <c r="AC592" s="0" t="s">
        <v>4021</v>
      </c>
      <c r="AD592" s="0" t="s">
        <v>4022</v>
      </c>
      <c r="AE592" s="0" t="s">
        <v>79</v>
      </c>
      <c r="AF592" s="3" t="s">
        <v>149</v>
      </c>
      <c r="AG592" s="3" t="s">
        <v>81</v>
      </c>
      <c r="AK592" s="0" t="s">
        <v>4023</v>
      </c>
      <c r="AR592" s="0" t="s">
        <v>4024</v>
      </c>
    </row>
    <row r="593" customFormat="false" ht="15" hidden="false" customHeight="false" outlineLevel="0" collapsed="false">
      <c r="A593" s="0" t="n">
        <v>592</v>
      </c>
      <c r="B593" s="0" t="s">
        <v>4025</v>
      </c>
      <c r="C593" s="0" t="s">
        <v>52</v>
      </c>
      <c r="D593" s="0" t="s">
        <v>4026</v>
      </c>
      <c r="H593" s="0" t="s">
        <v>4027</v>
      </c>
      <c r="I593" s="0" t="s">
        <v>94</v>
      </c>
      <c r="N593" s="3" t="s">
        <v>69</v>
      </c>
      <c r="O593" s="3" t="s">
        <v>69</v>
      </c>
      <c r="P593" s="0" t="s">
        <v>55</v>
      </c>
      <c r="AA593" s="0" t="s">
        <v>47</v>
      </c>
      <c r="AB593" s="0" t="s">
        <v>4028</v>
      </c>
      <c r="AC593" s="0" t="s">
        <v>4029</v>
      </c>
      <c r="AD593" s="0" t="s">
        <v>4030</v>
      </c>
      <c r="AE593" s="0" t="s">
        <v>59</v>
      </c>
      <c r="AF593" s="3" t="s">
        <v>48</v>
      </c>
      <c r="AG593" s="3" t="s">
        <v>49</v>
      </c>
      <c r="AP593" s="0" t="s">
        <v>4031</v>
      </c>
      <c r="AR593" s="0" t="s">
        <v>4032</v>
      </c>
    </row>
    <row r="594" customFormat="false" ht="15" hidden="false" customHeight="false" outlineLevel="0" collapsed="false">
      <c r="A594" s="0" t="n">
        <v>593</v>
      </c>
      <c r="B594" s="0" t="s">
        <v>4033</v>
      </c>
      <c r="C594" s="0" t="s">
        <v>244</v>
      </c>
      <c r="E594" s="0" t="s">
        <v>4034</v>
      </c>
      <c r="F594" s="0" t="s">
        <v>44</v>
      </c>
      <c r="H594" s="0" t="s">
        <v>4035</v>
      </c>
      <c r="I594" s="0" t="s">
        <v>154</v>
      </c>
      <c r="N594" s="3" t="s">
        <v>202</v>
      </c>
      <c r="O594" s="3" t="s">
        <v>202</v>
      </c>
      <c r="P594" s="0" t="s">
        <v>96</v>
      </c>
      <c r="AA594" s="0" t="s">
        <v>47</v>
      </c>
      <c r="AB594" s="0" t="s">
        <v>4036</v>
      </c>
      <c r="AC594" s="0" t="s">
        <v>4037</v>
      </c>
      <c r="AD594" s="0" t="s">
        <v>4038</v>
      </c>
      <c r="AE594" s="0" t="s">
        <v>79</v>
      </c>
      <c r="AF594" s="3" t="s">
        <v>108</v>
      </c>
      <c r="AG594" s="3" t="s">
        <v>49</v>
      </c>
      <c r="AH594" s="0" t="n">
        <v>2026</v>
      </c>
      <c r="AI594" s="0" t="s">
        <v>3385</v>
      </c>
      <c r="AJ594" s="0" t="s">
        <v>3386</v>
      </c>
      <c r="AK594" s="0" t="s">
        <v>4039</v>
      </c>
      <c r="AL594" s="0" t="s">
        <v>4040</v>
      </c>
      <c r="AM594" s="0" t="s">
        <v>4041</v>
      </c>
      <c r="AO594" s="0" t="s">
        <v>4042</v>
      </c>
      <c r="AP594" s="0" t="s">
        <v>4042</v>
      </c>
      <c r="AR594" s="0" t="s">
        <v>4043</v>
      </c>
    </row>
    <row r="595" customFormat="false" ht="15" hidden="false" customHeight="false" outlineLevel="0" collapsed="false">
      <c r="A595" s="0" t="n">
        <v>594</v>
      </c>
      <c r="B595" s="0" t="s">
        <v>4044</v>
      </c>
      <c r="C595" s="0" t="s">
        <v>88</v>
      </c>
      <c r="E595" s="0" t="s">
        <v>4045</v>
      </c>
      <c r="H595" s="0" t="s">
        <v>4046</v>
      </c>
      <c r="I595" s="0" t="s">
        <v>154</v>
      </c>
      <c r="N595" s="3" t="s">
        <v>119</v>
      </c>
      <c r="O595" s="3" t="s">
        <v>119</v>
      </c>
      <c r="P595" s="0" t="s">
        <v>96</v>
      </c>
      <c r="AA595" s="0" t="s">
        <v>47</v>
      </c>
      <c r="AB595" s="0" t="s">
        <v>4047</v>
      </c>
      <c r="AC595" s="0" t="s">
        <v>4048</v>
      </c>
      <c r="AD595" s="0" t="s">
        <v>4049</v>
      </c>
      <c r="AE595" s="0" t="s">
        <v>79</v>
      </c>
      <c r="AF595" s="3" t="s">
        <v>48</v>
      </c>
      <c r="AG595" s="3" t="s">
        <v>49</v>
      </c>
      <c r="AL595" s="0" t="s">
        <v>4050</v>
      </c>
      <c r="AM595" s="0" t="s">
        <v>4051</v>
      </c>
      <c r="AO595" s="0" t="s">
        <v>4052</v>
      </c>
      <c r="AP595" s="0" t="s">
        <v>4052</v>
      </c>
      <c r="AR595" s="0" t="s">
        <v>4053</v>
      </c>
    </row>
    <row r="596" customFormat="false" ht="15" hidden="false" customHeight="false" outlineLevel="0" collapsed="false">
      <c r="A596" s="0" t="n">
        <v>595</v>
      </c>
      <c r="B596" s="0" t="s">
        <v>4054</v>
      </c>
      <c r="C596" s="0" t="s">
        <v>52</v>
      </c>
      <c r="D596" s="0" t="s">
        <v>4055</v>
      </c>
      <c r="N596" s="0" t="s">
        <v>4056</v>
      </c>
      <c r="O596" s="0" t="s">
        <v>4056</v>
      </c>
      <c r="P596" s="0" t="s">
        <v>55</v>
      </c>
      <c r="AA596" s="0" t="s">
        <v>47</v>
      </c>
      <c r="AB596" s="0" t="s">
        <v>4057</v>
      </c>
      <c r="AC596" s="0" t="s">
        <v>4058</v>
      </c>
      <c r="AD596" s="0" t="s">
        <v>4059</v>
      </c>
      <c r="AE596" s="0" t="s">
        <v>59</v>
      </c>
      <c r="AF596" s="3" t="s">
        <v>48</v>
      </c>
      <c r="AG596" s="3" t="s">
        <v>49</v>
      </c>
      <c r="AR596" s="0" t="s">
        <v>4055</v>
      </c>
    </row>
    <row r="597" customFormat="false" ht="15" hidden="false" customHeight="false" outlineLevel="0" collapsed="false">
      <c r="A597" s="0" t="n">
        <v>596</v>
      </c>
      <c r="B597" s="0" t="s">
        <v>4060</v>
      </c>
      <c r="C597" s="0" t="s">
        <v>244</v>
      </c>
      <c r="E597" s="0" t="s">
        <v>4061</v>
      </c>
      <c r="F597" s="0" t="s">
        <v>44</v>
      </c>
      <c r="H597" s="0" t="s">
        <v>4062</v>
      </c>
      <c r="I597" s="0" t="s">
        <v>154</v>
      </c>
      <c r="N597" s="3" t="s">
        <v>202</v>
      </c>
      <c r="O597" s="3" t="s">
        <v>202</v>
      </c>
      <c r="P597" s="0" t="s">
        <v>96</v>
      </c>
      <c r="AA597" s="0" t="s">
        <v>47</v>
      </c>
      <c r="AB597" s="0" t="s">
        <v>4063</v>
      </c>
      <c r="AC597" s="0" t="s">
        <v>2408</v>
      </c>
      <c r="AD597" s="0" t="s">
        <v>4064</v>
      </c>
      <c r="AE597" s="0" t="s">
        <v>79</v>
      </c>
      <c r="AF597" s="3" t="s">
        <v>149</v>
      </c>
      <c r="AG597" s="3" t="s">
        <v>81</v>
      </c>
      <c r="AK597" s="0" t="s">
        <v>4065</v>
      </c>
      <c r="AL597" s="0" t="s">
        <v>4066</v>
      </c>
      <c r="AO597" s="0" t="s">
        <v>4067</v>
      </c>
      <c r="AP597" s="0" t="s">
        <v>4067</v>
      </c>
      <c r="AR597" s="0" t="s">
        <v>4068</v>
      </c>
    </row>
    <row r="598" customFormat="false" ht="15" hidden="false" customHeight="false" outlineLevel="0" collapsed="false">
      <c r="A598" s="0" t="n">
        <v>597</v>
      </c>
      <c r="B598" s="0" t="s">
        <v>4069</v>
      </c>
      <c r="C598" s="0" t="s">
        <v>312</v>
      </c>
      <c r="D598" s="0" t="s">
        <v>4070</v>
      </c>
      <c r="E598" s="0" t="s">
        <v>4071</v>
      </c>
      <c r="F598" s="0" t="s">
        <v>44</v>
      </c>
      <c r="H598" s="0" t="s">
        <v>4072</v>
      </c>
      <c r="I598" s="0" t="s">
        <v>115</v>
      </c>
      <c r="J598" s="3" t="s">
        <v>694</v>
      </c>
      <c r="K598" s="0" t="s">
        <v>4073</v>
      </c>
      <c r="L598" s="0" t="s">
        <v>4074</v>
      </c>
      <c r="M598" s="0" t="n">
        <v>1938</v>
      </c>
      <c r="N598" s="0" t="s">
        <v>1325</v>
      </c>
      <c r="O598" s="3" t="s">
        <v>54</v>
      </c>
      <c r="P598" s="0" t="s">
        <v>55</v>
      </c>
      <c r="Q598" s="0" t="s">
        <v>4075</v>
      </c>
      <c r="R598" s="0" t="n">
        <v>200</v>
      </c>
      <c r="S598" s="0" t="n">
        <v>2024</v>
      </c>
      <c r="T598" s="0" t="s">
        <v>72</v>
      </c>
      <c r="U598" s="0" t="s">
        <v>115</v>
      </c>
      <c r="V598" s="0" t="n">
        <v>55</v>
      </c>
      <c r="W598" s="0" t="s">
        <v>4076</v>
      </c>
      <c r="X598" s="0" t="s">
        <v>4077</v>
      </c>
      <c r="Y598" s="0" t="s">
        <v>72</v>
      </c>
      <c r="Z598" s="0" t="s">
        <v>115</v>
      </c>
      <c r="AA598" s="0" t="s">
        <v>75</v>
      </c>
      <c r="AB598" s="0" t="s">
        <v>4078</v>
      </c>
      <c r="AC598" s="0" t="s">
        <v>4079</v>
      </c>
      <c r="AD598" s="0" t="s">
        <v>4080</v>
      </c>
      <c r="AE598" s="0" t="s">
        <v>115</v>
      </c>
      <c r="AF598" s="3" t="s">
        <v>108</v>
      </c>
      <c r="AG598" s="3" t="s">
        <v>404</v>
      </c>
      <c r="AH598" s="0" t="n">
        <v>2026</v>
      </c>
      <c r="AI598" s="0" t="s">
        <v>1331</v>
      </c>
      <c r="AJ598" s="0" t="s">
        <v>1332</v>
      </c>
      <c r="AK598" s="0" t="s">
        <v>4081</v>
      </c>
      <c r="AL598" s="0" t="s">
        <v>4082</v>
      </c>
      <c r="AM598" s="0" t="s">
        <v>4083</v>
      </c>
      <c r="AN598" s="0" t="s">
        <v>4084</v>
      </c>
      <c r="AO598" s="0" t="s">
        <v>4085</v>
      </c>
      <c r="AP598" s="0" t="s">
        <v>4086</v>
      </c>
      <c r="AQ598" s="0" t="s">
        <v>4087</v>
      </c>
      <c r="AR598" s="0" t="s">
        <v>4088</v>
      </c>
    </row>
    <row r="599" customFormat="false" ht="15" hidden="false" customHeight="false" outlineLevel="0" collapsed="false">
      <c r="A599" s="0" t="n">
        <v>598</v>
      </c>
      <c r="B599" s="0" t="s">
        <v>4089</v>
      </c>
      <c r="C599" s="0" t="s">
        <v>52</v>
      </c>
      <c r="D599" s="0" t="s">
        <v>4090</v>
      </c>
      <c r="N599" s="3" t="s">
        <v>104</v>
      </c>
      <c r="O599" s="3" t="s">
        <v>104</v>
      </c>
      <c r="P599" s="0" t="s">
        <v>55</v>
      </c>
      <c r="AA599" s="0" t="s">
        <v>47</v>
      </c>
      <c r="AB599" s="0" t="s">
        <v>4091</v>
      </c>
      <c r="AC599" s="0" t="s">
        <v>4092</v>
      </c>
      <c r="AD599" s="0" t="s">
        <v>4093</v>
      </c>
      <c r="AE599" s="0" t="s">
        <v>59</v>
      </c>
      <c r="AF599" s="3" t="s">
        <v>108</v>
      </c>
      <c r="AG599" s="3" t="s">
        <v>49</v>
      </c>
      <c r="AH599" s="0" t="n">
        <v>2026</v>
      </c>
      <c r="AI599" s="0" t="s">
        <v>4094</v>
      </c>
      <c r="AJ599" s="0" t="s">
        <v>4095</v>
      </c>
      <c r="AR599" s="0" t="s">
        <v>4096</v>
      </c>
    </row>
    <row r="600" customFormat="false" ht="15" hidden="false" customHeight="false" outlineLevel="0" collapsed="false">
      <c r="A600" s="0" t="n">
        <v>599</v>
      </c>
      <c r="B600" s="0" t="s">
        <v>4097</v>
      </c>
      <c r="C600" s="0" t="s">
        <v>43</v>
      </c>
      <c r="F600" s="0" t="s">
        <v>44</v>
      </c>
      <c r="H600" s="0" t="s">
        <v>4098</v>
      </c>
      <c r="I600" s="0" t="s">
        <v>154</v>
      </c>
      <c r="AA600" s="0" t="s">
        <v>47</v>
      </c>
      <c r="AF600" s="3" t="s">
        <v>48</v>
      </c>
      <c r="AG600" s="3" t="s">
        <v>49</v>
      </c>
      <c r="AL600" s="0" t="s">
        <v>4099</v>
      </c>
      <c r="AM600" s="0" t="s">
        <v>4100</v>
      </c>
      <c r="AO600" s="0" t="s">
        <v>4101</v>
      </c>
      <c r="AP600" s="0" t="s">
        <v>4101</v>
      </c>
      <c r="AR600" s="0" t="s">
        <v>4102</v>
      </c>
    </row>
    <row r="601" customFormat="false" ht="15" hidden="false" customHeight="false" outlineLevel="0" collapsed="false">
      <c r="A601" s="0" t="n">
        <v>600</v>
      </c>
      <c r="B601" s="0" t="s">
        <v>4103</v>
      </c>
      <c r="C601" s="0" t="s">
        <v>88</v>
      </c>
      <c r="E601" s="0" t="s">
        <v>4104</v>
      </c>
      <c r="H601" s="0" t="s">
        <v>4105</v>
      </c>
      <c r="I601" s="0" t="s">
        <v>154</v>
      </c>
      <c r="AA601" s="0" t="s">
        <v>47</v>
      </c>
      <c r="AF601" s="3" t="s">
        <v>48</v>
      </c>
      <c r="AG601" s="3" t="s">
        <v>49</v>
      </c>
      <c r="AL601" s="0" t="s">
        <v>4106</v>
      </c>
      <c r="AM601" s="0" t="s">
        <v>4107</v>
      </c>
      <c r="AO601" s="0" t="s">
        <v>4108</v>
      </c>
      <c r="AP601" s="0" t="s">
        <v>4108</v>
      </c>
      <c r="AR601" s="0" t="s">
        <v>4109</v>
      </c>
    </row>
    <row r="602" customFormat="false" ht="15" hidden="false" customHeight="false" outlineLevel="0" collapsed="false">
      <c r="A602" s="0" t="n">
        <v>601</v>
      </c>
      <c r="B602" s="0" t="s">
        <v>4110</v>
      </c>
      <c r="C602" s="0" t="s">
        <v>88</v>
      </c>
      <c r="E602" s="0" t="s">
        <v>4111</v>
      </c>
      <c r="AA602" s="0" t="s">
        <v>47</v>
      </c>
      <c r="AF602" s="3" t="s">
        <v>48</v>
      </c>
      <c r="AG602" s="3" t="s">
        <v>49</v>
      </c>
      <c r="AR602" s="0" t="s">
        <v>4111</v>
      </c>
    </row>
    <row r="603" customFormat="false" ht="15" hidden="false" customHeight="false" outlineLevel="0" collapsed="false">
      <c r="A603" s="0" t="n">
        <v>602</v>
      </c>
      <c r="B603" s="0" t="s">
        <v>4112</v>
      </c>
      <c r="C603" s="0" t="s">
        <v>88</v>
      </c>
      <c r="E603" s="0" t="s">
        <v>4113</v>
      </c>
      <c r="H603" s="0" t="s">
        <v>4114</v>
      </c>
      <c r="I603" s="0" t="s">
        <v>46</v>
      </c>
      <c r="AA603" s="0" t="s">
        <v>47</v>
      </c>
      <c r="AB603" s="0" t="s">
        <v>4115</v>
      </c>
      <c r="AC603" s="0" t="s">
        <v>4116</v>
      </c>
      <c r="AD603" s="0" t="s">
        <v>4117</v>
      </c>
      <c r="AE603" s="0" t="s">
        <v>79</v>
      </c>
      <c r="AF603" s="3" t="s">
        <v>48</v>
      </c>
      <c r="AG603" s="3" t="s">
        <v>49</v>
      </c>
      <c r="AR603" s="0" t="s">
        <v>4113</v>
      </c>
    </row>
    <row r="604" customFormat="false" ht="15" hidden="false" customHeight="false" outlineLevel="0" collapsed="false">
      <c r="A604" s="0" t="n">
        <v>603</v>
      </c>
      <c r="B604" s="0" t="s">
        <v>4118</v>
      </c>
      <c r="C604" s="0" t="s">
        <v>52</v>
      </c>
      <c r="D604" s="0" t="s">
        <v>4119</v>
      </c>
      <c r="H604" s="0" t="s">
        <v>4120</v>
      </c>
      <c r="I604" s="0" t="s">
        <v>115</v>
      </c>
      <c r="J604" s="3" t="s">
        <v>694</v>
      </c>
      <c r="K604" s="0" t="s">
        <v>1324</v>
      </c>
      <c r="L604" s="0" t="s">
        <v>4121</v>
      </c>
      <c r="M604" s="0" t="n">
        <v>1904</v>
      </c>
      <c r="N604" s="0" t="s">
        <v>4122</v>
      </c>
      <c r="O604" s="3" t="s">
        <v>54</v>
      </c>
      <c r="P604" s="0" t="s">
        <v>55</v>
      </c>
      <c r="R604" s="0" t="n">
        <v>500</v>
      </c>
      <c r="S604" s="0" t="n">
        <v>2025</v>
      </c>
      <c r="T604" s="0" t="s">
        <v>72</v>
      </c>
      <c r="U604" s="0" t="s">
        <v>115</v>
      </c>
      <c r="V604" s="0" t="n">
        <v>110</v>
      </c>
      <c r="W604" s="0" t="s">
        <v>4123</v>
      </c>
      <c r="X604" s="0" t="s">
        <v>2825</v>
      </c>
      <c r="Y604" s="0" t="s">
        <v>72</v>
      </c>
      <c r="Z604" s="0" t="s">
        <v>115</v>
      </c>
      <c r="AA604" s="0" t="s">
        <v>75</v>
      </c>
      <c r="AB604" s="0" t="s">
        <v>4124</v>
      </c>
      <c r="AC604" s="0" t="s">
        <v>4125</v>
      </c>
      <c r="AD604" s="0" t="s">
        <v>4126</v>
      </c>
      <c r="AE604" s="0" t="s">
        <v>115</v>
      </c>
      <c r="AF604" s="3" t="s">
        <v>108</v>
      </c>
      <c r="AG604" s="3" t="s">
        <v>404</v>
      </c>
      <c r="AH604" s="0" t="n">
        <v>2026</v>
      </c>
      <c r="AI604" s="0" t="s">
        <v>425</v>
      </c>
      <c r="AJ604" s="0" t="s">
        <v>426</v>
      </c>
      <c r="AK604" s="0" t="s">
        <v>4127</v>
      </c>
      <c r="AL604" s="0" t="s">
        <v>4128</v>
      </c>
      <c r="AM604" s="0" t="s">
        <v>4129</v>
      </c>
      <c r="AN604" s="0" t="s">
        <v>4130</v>
      </c>
      <c r="AO604" s="0" t="s">
        <v>4131</v>
      </c>
      <c r="AP604" s="0" t="s">
        <v>4132</v>
      </c>
      <c r="AR604" s="0" t="s">
        <v>4133</v>
      </c>
    </row>
    <row r="605" customFormat="false" ht="15" hidden="false" customHeight="false" outlineLevel="0" collapsed="false">
      <c r="A605" s="0" t="n">
        <v>604</v>
      </c>
      <c r="B605" s="0" t="s">
        <v>4134</v>
      </c>
      <c r="C605" s="0" t="s">
        <v>88</v>
      </c>
      <c r="E605" s="0" t="s">
        <v>4135</v>
      </c>
      <c r="H605" s="0" t="s">
        <v>4120</v>
      </c>
      <c r="I605" s="0" t="s">
        <v>115</v>
      </c>
      <c r="J605" s="3" t="s">
        <v>694</v>
      </c>
      <c r="K605" s="0" t="s">
        <v>1324</v>
      </c>
      <c r="L605" s="0" t="s">
        <v>4121</v>
      </c>
      <c r="M605" s="0" t="n">
        <v>1904</v>
      </c>
      <c r="N605" s="0" t="s">
        <v>4122</v>
      </c>
      <c r="O605" s="3" t="s">
        <v>213</v>
      </c>
      <c r="P605" s="0" t="s">
        <v>96</v>
      </c>
      <c r="R605" s="0" t="n">
        <v>500</v>
      </c>
      <c r="S605" s="0" t="n">
        <v>2025</v>
      </c>
      <c r="T605" s="0" t="s">
        <v>72</v>
      </c>
      <c r="U605" s="0" t="s">
        <v>115</v>
      </c>
      <c r="V605" s="0" t="n">
        <v>110</v>
      </c>
      <c r="W605" s="0" t="s">
        <v>4123</v>
      </c>
      <c r="X605" s="0" t="s">
        <v>2825</v>
      </c>
      <c r="Y605" s="0" t="s">
        <v>72</v>
      </c>
      <c r="Z605" s="0" t="s">
        <v>115</v>
      </c>
      <c r="AA605" s="0" t="s">
        <v>75</v>
      </c>
      <c r="AB605" s="0" t="s">
        <v>4124</v>
      </c>
      <c r="AC605" s="0" t="s">
        <v>4125</v>
      </c>
      <c r="AD605" s="0" t="s">
        <v>4126</v>
      </c>
      <c r="AE605" s="0" t="s">
        <v>115</v>
      </c>
      <c r="AF605" s="3" t="s">
        <v>108</v>
      </c>
      <c r="AG605" s="3" t="s">
        <v>404</v>
      </c>
      <c r="AH605" s="0" t="n">
        <v>2026</v>
      </c>
      <c r="AI605" s="0" t="s">
        <v>425</v>
      </c>
      <c r="AJ605" s="0" t="s">
        <v>426</v>
      </c>
      <c r="AK605" s="0" t="s">
        <v>4127</v>
      </c>
      <c r="AL605" s="0" t="s">
        <v>4128</v>
      </c>
      <c r="AM605" s="0" t="s">
        <v>4129</v>
      </c>
      <c r="AN605" s="0" t="s">
        <v>4130</v>
      </c>
      <c r="AO605" s="0" t="s">
        <v>4131</v>
      </c>
      <c r="AP605" s="0" t="s">
        <v>4132</v>
      </c>
      <c r="AR605" s="0" t="s">
        <v>4136</v>
      </c>
    </row>
    <row r="606" customFormat="false" ht="15" hidden="false" customHeight="false" outlineLevel="0" collapsed="false">
      <c r="A606" s="0" t="n">
        <v>605</v>
      </c>
      <c r="B606" s="0" t="s">
        <v>4137</v>
      </c>
      <c r="C606" s="0" t="s">
        <v>88</v>
      </c>
      <c r="E606" s="0" t="s">
        <v>4138</v>
      </c>
      <c r="N606" s="3" t="s">
        <v>213</v>
      </c>
      <c r="O606" s="3" t="s">
        <v>213</v>
      </c>
      <c r="P606" s="0" t="s">
        <v>96</v>
      </c>
      <c r="AA606" s="0" t="s">
        <v>47</v>
      </c>
      <c r="AB606" s="0" t="s">
        <v>4139</v>
      </c>
      <c r="AC606" s="0" t="s">
        <v>4140</v>
      </c>
      <c r="AD606" s="0" t="s">
        <v>4141</v>
      </c>
      <c r="AE606" s="0" t="s">
        <v>79</v>
      </c>
      <c r="AF606" s="3" t="s">
        <v>48</v>
      </c>
      <c r="AG606" s="3" t="s">
        <v>49</v>
      </c>
      <c r="AR606" s="0" t="s">
        <v>4138</v>
      </c>
    </row>
    <row r="607" customFormat="false" ht="15" hidden="false" customHeight="false" outlineLevel="0" collapsed="false">
      <c r="A607" s="0" t="n">
        <v>606</v>
      </c>
      <c r="B607" s="0" t="s">
        <v>4142</v>
      </c>
      <c r="C607" s="0" t="s">
        <v>88</v>
      </c>
      <c r="E607" s="0" t="s">
        <v>4143</v>
      </c>
      <c r="H607" s="0" t="s">
        <v>4144</v>
      </c>
      <c r="I607" s="0" t="s">
        <v>154</v>
      </c>
      <c r="N607" s="3" t="s">
        <v>95</v>
      </c>
      <c r="O607" s="3" t="s">
        <v>95</v>
      </c>
      <c r="P607" s="0" t="s">
        <v>96</v>
      </c>
      <c r="AA607" s="0" t="s">
        <v>47</v>
      </c>
      <c r="AB607" s="0" t="s">
        <v>4145</v>
      </c>
      <c r="AC607" s="0" t="s">
        <v>4146</v>
      </c>
      <c r="AD607" s="0" t="s">
        <v>4147</v>
      </c>
      <c r="AE607" s="0" t="s">
        <v>79</v>
      </c>
      <c r="AF607" s="3" t="s">
        <v>48</v>
      </c>
      <c r="AG607" s="3" t="s">
        <v>49</v>
      </c>
      <c r="AP607" s="0" t="s">
        <v>4148</v>
      </c>
      <c r="AR607" s="0" t="s">
        <v>4149</v>
      </c>
    </row>
    <row r="608" customFormat="false" ht="15" hidden="false" customHeight="false" outlineLevel="0" collapsed="false">
      <c r="A608" s="0" t="n">
        <v>607</v>
      </c>
      <c r="B608" s="0" t="s">
        <v>4150</v>
      </c>
      <c r="C608" s="0" t="s">
        <v>43</v>
      </c>
      <c r="F608" s="0" t="s">
        <v>44</v>
      </c>
      <c r="H608" s="0" t="s">
        <v>4151</v>
      </c>
      <c r="I608" s="0" t="s">
        <v>154</v>
      </c>
      <c r="AA608" s="0" t="s">
        <v>47</v>
      </c>
      <c r="AF608" s="3" t="s">
        <v>48</v>
      </c>
      <c r="AG608" s="3" t="s">
        <v>49</v>
      </c>
      <c r="AL608" s="0" t="s">
        <v>4152</v>
      </c>
      <c r="AO608" s="0" t="s">
        <v>4153</v>
      </c>
      <c r="AP608" s="0" t="s">
        <v>4153</v>
      </c>
      <c r="AR608" s="0" t="s">
        <v>4154</v>
      </c>
    </row>
    <row r="609" customFormat="false" ht="15" hidden="false" customHeight="false" outlineLevel="0" collapsed="false">
      <c r="A609" s="0" t="n">
        <v>608</v>
      </c>
      <c r="B609" s="0" t="s">
        <v>4155</v>
      </c>
      <c r="C609" s="0" t="s">
        <v>88</v>
      </c>
      <c r="E609" s="0" t="s">
        <v>4156</v>
      </c>
      <c r="H609" s="0" t="s">
        <v>4157</v>
      </c>
      <c r="I609" s="0" t="s">
        <v>154</v>
      </c>
      <c r="N609" s="3" t="s">
        <v>202</v>
      </c>
      <c r="O609" s="3" t="s">
        <v>202</v>
      </c>
      <c r="P609" s="0" t="s">
        <v>96</v>
      </c>
      <c r="AA609" s="0" t="s">
        <v>47</v>
      </c>
      <c r="AB609" s="0" t="s">
        <v>4158</v>
      </c>
      <c r="AC609" s="0" t="s">
        <v>4159</v>
      </c>
      <c r="AD609" s="0" t="s">
        <v>4160</v>
      </c>
      <c r="AE609" s="0" t="s">
        <v>79</v>
      </c>
      <c r="AF609" s="3" t="s">
        <v>48</v>
      </c>
      <c r="AG609" s="3" t="s">
        <v>49</v>
      </c>
      <c r="AL609" s="0" t="s">
        <v>4161</v>
      </c>
      <c r="AM609" s="0" t="s">
        <v>4162</v>
      </c>
      <c r="AO609" s="0" t="s">
        <v>4163</v>
      </c>
      <c r="AP609" s="0" t="s">
        <v>4163</v>
      </c>
      <c r="AR609" s="0" t="s">
        <v>4164</v>
      </c>
    </row>
    <row r="610" customFormat="false" ht="15" hidden="false" customHeight="false" outlineLevel="0" collapsed="false">
      <c r="A610" s="0" t="n">
        <v>609</v>
      </c>
      <c r="B610" s="0" t="s">
        <v>4165</v>
      </c>
      <c r="C610" s="0" t="s">
        <v>61</v>
      </c>
      <c r="D610" s="0" t="s">
        <v>4166</v>
      </c>
      <c r="E610" s="0" t="s">
        <v>4167</v>
      </c>
      <c r="H610" s="0" t="s">
        <v>4168</v>
      </c>
      <c r="I610" s="0" t="s">
        <v>94</v>
      </c>
      <c r="N610" s="3" t="s">
        <v>1568</v>
      </c>
      <c r="O610" s="3" t="s">
        <v>1568</v>
      </c>
      <c r="P610" s="0" t="s">
        <v>55</v>
      </c>
      <c r="AA610" s="0" t="s">
        <v>47</v>
      </c>
      <c r="AB610" s="0" t="s">
        <v>4169</v>
      </c>
      <c r="AC610" s="0" t="s">
        <v>4170</v>
      </c>
      <c r="AD610" s="0" t="s">
        <v>4171</v>
      </c>
      <c r="AE610" s="0" t="s">
        <v>79</v>
      </c>
      <c r="AF610" s="3" t="s">
        <v>149</v>
      </c>
      <c r="AG610" s="3" t="s">
        <v>81</v>
      </c>
      <c r="AK610" s="0" t="s">
        <v>4172</v>
      </c>
      <c r="AR610" s="0" t="s">
        <v>4173</v>
      </c>
    </row>
    <row r="611" customFormat="false" ht="15" hidden="false" customHeight="false" outlineLevel="0" collapsed="false">
      <c r="A611" s="0" t="n">
        <v>610</v>
      </c>
      <c r="B611" s="0" t="s">
        <v>4174</v>
      </c>
      <c r="C611" s="0" t="s">
        <v>43</v>
      </c>
      <c r="F611" s="0" t="s">
        <v>44</v>
      </c>
      <c r="AA611" s="0" t="s">
        <v>47</v>
      </c>
      <c r="AF611" s="3" t="s">
        <v>48</v>
      </c>
      <c r="AG611" s="3" t="s">
        <v>49</v>
      </c>
      <c r="AR611" s="0" t="s">
        <v>50</v>
      </c>
    </row>
    <row r="612" customFormat="false" ht="15" hidden="false" customHeight="false" outlineLevel="0" collapsed="false">
      <c r="A612" s="0" t="n">
        <v>611</v>
      </c>
      <c r="B612" s="0" t="s">
        <v>4175</v>
      </c>
      <c r="C612" s="0" t="s">
        <v>312</v>
      </c>
      <c r="D612" s="0" t="s">
        <v>4176</v>
      </c>
      <c r="E612" s="0" t="s">
        <v>4177</v>
      </c>
      <c r="F612" s="0" t="s">
        <v>44</v>
      </c>
      <c r="H612" s="0" t="s">
        <v>4178</v>
      </c>
      <c r="I612" s="0" t="s">
        <v>46</v>
      </c>
      <c r="N612" s="3" t="s">
        <v>104</v>
      </c>
      <c r="O612" s="3" t="s">
        <v>104</v>
      </c>
      <c r="P612" s="0" t="s">
        <v>55</v>
      </c>
      <c r="AA612" s="0" t="s">
        <v>47</v>
      </c>
      <c r="AB612" s="0" t="s">
        <v>4179</v>
      </c>
      <c r="AC612" s="0" t="s">
        <v>4180</v>
      </c>
      <c r="AD612" s="0" t="s">
        <v>4181</v>
      </c>
      <c r="AE612" s="0" t="s">
        <v>79</v>
      </c>
      <c r="AF612" s="3" t="s">
        <v>149</v>
      </c>
      <c r="AG612" s="3" t="s">
        <v>81</v>
      </c>
      <c r="AK612" s="0" t="s">
        <v>4182</v>
      </c>
      <c r="AR612" s="0" t="s">
        <v>4183</v>
      </c>
    </row>
    <row r="613" customFormat="false" ht="15" hidden="false" customHeight="false" outlineLevel="0" collapsed="false">
      <c r="A613" s="0" t="n">
        <v>612</v>
      </c>
      <c r="B613" s="0" t="s">
        <v>4184</v>
      </c>
      <c r="C613" s="0" t="s">
        <v>244</v>
      </c>
      <c r="E613" s="0" t="s">
        <v>4185</v>
      </c>
      <c r="F613" s="0" t="s">
        <v>44</v>
      </c>
      <c r="H613" s="0" t="s">
        <v>4186</v>
      </c>
      <c r="I613" s="0" t="s">
        <v>154</v>
      </c>
      <c r="N613" s="3" t="s">
        <v>202</v>
      </c>
      <c r="O613" s="3" t="s">
        <v>202</v>
      </c>
      <c r="P613" s="0" t="s">
        <v>96</v>
      </c>
      <c r="AA613" s="0" t="s">
        <v>47</v>
      </c>
      <c r="AB613" s="0" t="s">
        <v>4187</v>
      </c>
      <c r="AC613" s="0" t="s">
        <v>4188</v>
      </c>
      <c r="AD613" s="0" t="s">
        <v>4189</v>
      </c>
      <c r="AE613" s="0" t="s">
        <v>79</v>
      </c>
      <c r="AF613" s="3" t="s">
        <v>149</v>
      </c>
      <c r="AG613" s="3" t="s">
        <v>81</v>
      </c>
      <c r="AK613" s="0" t="s">
        <v>4190</v>
      </c>
      <c r="AL613" s="0" t="s">
        <v>4191</v>
      </c>
      <c r="AM613" s="0" t="s">
        <v>4192</v>
      </c>
      <c r="AO613" s="0" t="s">
        <v>4193</v>
      </c>
      <c r="AP613" s="0" t="s">
        <v>4193</v>
      </c>
      <c r="AR613" s="0" t="s">
        <v>4194</v>
      </c>
    </row>
    <row r="614" customFormat="false" ht="15" hidden="false" customHeight="false" outlineLevel="0" collapsed="false">
      <c r="A614" s="0" t="n">
        <v>613</v>
      </c>
      <c r="B614" s="0" t="s">
        <v>4195</v>
      </c>
      <c r="C614" s="0" t="s">
        <v>61</v>
      </c>
      <c r="D614" s="0" t="s">
        <v>4196</v>
      </c>
      <c r="E614" s="0" t="s">
        <v>4197</v>
      </c>
      <c r="H614" s="0" t="s">
        <v>4198</v>
      </c>
      <c r="I614" s="0" t="s">
        <v>154</v>
      </c>
      <c r="N614" s="0" t="s">
        <v>738</v>
      </c>
      <c r="O614" s="0" t="s">
        <v>738</v>
      </c>
      <c r="P614" s="0" t="s">
        <v>55</v>
      </c>
      <c r="AA614" s="0" t="s">
        <v>47</v>
      </c>
      <c r="AB614" s="0" t="s">
        <v>4199</v>
      </c>
      <c r="AC614" s="0" t="s">
        <v>4200</v>
      </c>
      <c r="AD614" s="0" t="s">
        <v>4201</v>
      </c>
      <c r="AE614" s="0" t="s">
        <v>79</v>
      </c>
      <c r="AF614" s="3" t="s">
        <v>149</v>
      </c>
      <c r="AG614" s="3" t="s">
        <v>81</v>
      </c>
      <c r="AK614" s="0" t="s">
        <v>4202</v>
      </c>
      <c r="AO614" s="0" t="s">
        <v>4203</v>
      </c>
      <c r="AP614" s="0" t="s">
        <v>4203</v>
      </c>
      <c r="AR614" s="0" t="s">
        <v>4204</v>
      </c>
    </row>
    <row r="615" customFormat="false" ht="15" hidden="false" customHeight="false" outlineLevel="0" collapsed="false">
      <c r="A615" s="0" t="n">
        <v>614</v>
      </c>
      <c r="B615" s="0" t="s">
        <v>4205</v>
      </c>
      <c r="C615" s="0" t="s">
        <v>88</v>
      </c>
      <c r="E615" s="0" t="s">
        <v>4206</v>
      </c>
      <c r="N615" s="3" t="s">
        <v>186</v>
      </c>
      <c r="O615" s="3" t="s">
        <v>186</v>
      </c>
      <c r="P615" s="0" t="s">
        <v>96</v>
      </c>
      <c r="AA615" s="0" t="s">
        <v>47</v>
      </c>
      <c r="AB615" s="0" t="s">
        <v>4207</v>
      </c>
      <c r="AC615" s="0" t="s">
        <v>4208</v>
      </c>
      <c r="AD615" s="0" t="s">
        <v>4209</v>
      </c>
      <c r="AE615" s="0" t="s">
        <v>79</v>
      </c>
      <c r="AF615" s="3" t="s">
        <v>48</v>
      </c>
      <c r="AG615" s="3" t="s">
        <v>49</v>
      </c>
      <c r="AR615" s="0" t="s">
        <v>4206</v>
      </c>
    </row>
    <row r="616" customFormat="false" ht="15" hidden="false" customHeight="false" outlineLevel="0" collapsed="false">
      <c r="A616" s="0" t="n">
        <v>615</v>
      </c>
      <c r="B616" s="0" t="s">
        <v>4210</v>
      </c>
      <c r="C616" s="0" t="s">
        <v>88</v>
      </c>
      <c r="E616" s="0" t="s">
        <v>4211</v>
      </c>
      <c r="N616" s="3" t="s">
        <v>95</v>
      </c>
      <c r="O616" s="3" t="s">
        <v>95</v>
      </c>
      <c r="P616" s="0" t="s">
        <v>96</v>
      </c>
      <c r="AA616" s="0" t="s">
        <v>47</v>
      </c>
      <c r="AB616" s="0" t="s">
        <v>4212</v>
      </c>
      <c r="AC616" s="0" t="s">
        <v>4213</v>
      </c>
      <c r="AD616" s="0" t="s">
        <v>4214</v>
      </c>
      <c r="AE616" s="0" t="s">
        <v>79</v>
      </c>
      <c r="AF616" s="3" t="s">
        <v>48</v>
      </c>
      <c r="AG616" s="3" t="s">
        <v>49</v>
      </c>
      <c r="AR616" s="0" t="s">
        <v>4211</v>
      </c>
    </row>
    <row r="617" customFormat="false" ht="15" hidden="false" customHeight="false" outlineLevel="0" collapsed="false">
      <c r="A617" s="0" t="n">
        <v>616</v>
      </c>
      <c r="B617" s="0" t="s">
        <v>4215</v>
      </c>
      <c r="C617" s="0" t="s">
        <v>88</v>
      </c>
      <c r="E617" s="0" t="s">
        <v>4216</v>
      </c>
      <c r="N617" s="3" t="s">
        <v>186</v>
      </c>
      <c r="O617" s="3" t="s">
        <v>186</v>
      </c>
      <c r="P617" s="0" t="s">
        <v>96</v>
      </c>
      <c r="AA617" s="0" t="s">
        <v>47</v>
      </c>
      <c r="AB617" s="0" t="s">
        <v>4217</v>
      </c>
      <c r="AC617" s="0" t="s">
        <v>4218</v>
      </c>
      <c r="AD617" s="0" t="s">
        <v>4219</v>
      </c>
      <c r="AE617" s="0" t="s">
        <v>79</v>
      </c>
      <c r="AF617" s="3" t="s">
        <v>48</v>
      </c>
      <c r="AG617" s="3" t="s">
        <v>49</v>
      </c>
      <c r="AR617" s="0" t="s">
        <v>4216</v>
      </c>
    </row>
    <row r="618" customFormat="false" ht="15" hidden="false" customHeight="false" outlineLevel="0" collapsed="false">
      <c r="A618" s="0" t="n">
        <v>617</v>
      </c>
      <c r="B618" s="0" t="s">
        <v>4220</v>
      </c>
      <c r="C618" s="0" t="s">
        <v>43</v>
      </c>
      <c r="F618" s="0" t="s">
        <v>44</v>
      </c>
      <c r="AA618" s="0" t="s">
        <v>47</v>
      </c>
      <c r="AF618" s="3" t="s">
        <v>48</v>
      </c>
      <c r="AG618" s="3" t="s">
        <v>49</v>
      </c>
      <c r="AR618" s="0" t="s">
        <v>50</v>
      </c>
    </row>
    <row r="619" customFormat="false" ht="15" hidden="false" customHeight="false" outlineLevel="0" collapsed="false">
      <c r="A619" s="0" t="n">
        <v>618</v>
      </c>
      <c r="B619" s="0" t="s">
        <v>4221</v>
      </c>
      <c r="C619" s="0" t="s">
        <v>88</v>
      </c>
      <c r="E619" s="0" t="s">
        <v>4222</v>
      </c>
      <c r="H619" s="0" t="s">
        <v>4223</v>
      </c>
      <c r="I619" s="0" t="s">
        <v>154</v>
      </c>
      <c r="N619" s="3" t="s">
        <v>213</v>
      </c>
      <c r="O619" s="3" t="s">
        <v>213</v>
      </c>
      <c r="P619" s="0" t="s">
        <v>96</v>
      </c>
      <c r="AA619" s="0" t="s">
        <v>47</v>
      </c>
      <c r="AB619" s="0" t="s">
        <v>4224</v>
      </c>
      <c r="AC619" s="0" t="s">
        <v>4225</v>
      </c>
      <c r="AE619" s="0" t="s">
        <v>79</v>
      </c>
      <c r="AF619" s="3" t="s">
        <v>48</v>
      </c>
      <c r="AG619" s="3" t="s">
        <v>49</v>
      </c>
      <c r="AL619" s="0" t="s">
        <v>4226</v>
      </c>
      <c r="AO619" s="0" t="s">
        <v>4227</v>
      </c>
      <c r="AP619" s="0" t="s">
        <v>4227</v>
      </c>
      <c r="AR619" s="0" t="s">
        <v>4228</v>
      </c>
    </row>
    <row r="620" customFormat="false" ht="15" hidden="false" customHeight="false" outlineLevel="0" collapsed="false">
      <c r="A620" s="0" t="n">
        <v>619</v>
      </c>
      <c r="B620" s="0" t="s">
        <v>4229</v>
      </c>
      <c r="C620" s="0" t="s">
        <v>88</v>
      </c>
      <c r="E620" s="0" t="s">
        <v>4230</v>
      </c>
      <c r="H620" s="0" t="s">
        <v>4231</v>
      </c>
      <c r="I620" s="0" t="s">
        <v>154</v>
      </c>
      <c r="N620" s="3" t="s">
        <v>213</v>
      </c>
      <c r="O620" s="3" t="s">
        <v>213</v>
      </c>
      <c r="P620" s="0" t="s">
        <v>96</v>
      </c>
      <c r="AA620" s="0" t="s">
        <v>47</v>
      </c>
      <c r="AB620" s="0" t="s">
        <v>4232</v>
      </c>
      <c r="AC620" s="0" t="s">
        <v>4233</v>
      </c>
      <c r="AD620" s="0" t="s">
        <v>4234</v>
      </c>
      <c r="AE620" s="0" t="s">
        <v>79</v>
      </c>
      <c r="AF620" s="3" t="s">
        <v>48</v>
      </c>
      <c r="AG620" s="3" t="s">
        <v>49</v>
      </c>
      <c r="AP620" s="0" t="s">
        <v>4235</v>
      </c>
      <c r="AR620" s="0" t="s">
        <v>4236</v>
      </c>
    </row>
    <row r="621" customFormat="false" ht="15" hidden="false" customHeight="false" outlineLevel="0" collapsed="false">
      <c r="A621" s="0" t="n">
        <v>620</v>
      </c>
      <c r="B621" s="0" t="s">
        <v>4237</v>
      </c>
      <c r="C621" s="0" t="s">
        <v>88</v>
      </c>
      <c r="E621" s="0" t="s">
        <v>4238</v>
      </c>
      <c r="H621" s="0" t="s">
        <v>4239</v>
      </c>
      <c r="I621" s="0" t="s">
        <v>46</v>
      </c>
      <c r="N621" s="3" t="s">
        <v>213</v>
      </c>
      <c r="O621" s="3" t="s">
        <v>213</v>
      </c>
      <c r="P621" s="0" t="s">
        <v>96</v>
      </c>
      <c r="AA621" s="0" t="s">
        <v>47</v>
      </c>
      <c r="AB621" s="0" t="s">
        <v>4240</v>
      </c>
      <c r="AC621" s="0" t="s">
        <v>4241</v>
      </c>
      <c r="AD621" s="0" t="s">
        <v>4242</v>
      </c>
      <c r="AE621" s="0" t="s">
        <v>79</v>
      </c>
      <c r="AF621" s="3" t="s">
        <v>48</v>
      </c>
      <c r="AG621" s="3" t="s">
        <v>49</v>
      </c>
      <c r="AR621" s="0" t="s">
        <v>4238</v>
      </c>
    </row>
    <row r="622" customFormat="false" ht="15" hidden="false" customHeight="false" outlineLevel="0" collapsed="false">
      <c r="A622" s="0" t="n">
        <v>621</v>
      </c>
      <c r="B622" s="0" t="s">
        <v>4243</v>
      </c>
      <c r="C622" s="0" t="s">
        <v>88</v>
      </c>
      <c r="E622" s="0" t="s">
        <v>4244</v>
      </c>
      <c r="N622" s="3" t="s">
        <v>95</v>
      </c>
      <c r="O622" s="3" t="s">
        <v>95</v>
      </c>
      <c r="P622" s="0" t="s">
        <v>96</v>
      </c>
      <c r="AA622" s="0" t="s">
        <v>47</v>
      </c>
      <c r="AB622" s="0" t="s">
        <v>4245</v>
      </c>
      <c r="AC622" s="0" t="s">
        <v>4246</v>
      </c>
      <c r="AD622" s="0" t="s">
        <v>4247</v>
      </c>
      <c r="AE622" s="0" t="s">
        <v>79</v>
      </c>
      <c r="AF622" s="3" t="s">
        <v>48</v>
      </c>
      <c r="AG622" s="3" t="s">
        <v>49</v>
      </c>
      <c r="AR622" s="0" t="s">
        <v>4244</v>
      </c>
    </row>
    <row r="623" customFormat="false" ht="15" hidden="false" customHeight="false" outlineLevel="0" collapsed="false">
      <c r="A623" s="0" t="n">
        <v>622</v>
      </c>
      <c r="B623" s="0" t="s">
        <v>4248</v>
      </c>
      <c r="C623" s="0" t="s">
        <v>88</v>
      </c>
      <c r="E623" s="0" t="s">
        <v>4249</v>
      </c>
      <c r="H623" s="0" t="s">
        <v>4250</v>
      </c>
      <c r="I623" s="0" t="s">
        <v>46</v>
      </c>
      <c r="N623" s="3" t="s">
        <v>213</v>
      </c>
      <c r="O623" s="3" t="s">
        <v>213</v>
      </c>
      <c r="P623" s="0" t="s">
        <v>96</v>
      </c>
      <c r="AA623" s="0" t="s">
        <v>47</v>
      </c>
      <c r="AB623" s="0" t="s">
        <v>4251</v>
      </c>
      <c r="AC623" s="0" t="s">
        <v>4252</v>
      </c>
      <c r="AD623" s="0" t="s">
        <v>4253</v>
      </c>
      <c r="AE623" s="0" t="s">
        <v>79</v>
      </c>
      <c r="AF623" s="3" t="s">
        <v>48</v>
      </c>
      <c r="AG623" s="3" t="s">
        <v>49</v>
      </c>
      <c r="AR623" s="0" t="s">
        <v>4249</v>
      </c>
    </row>
    <row r="624" customFormat="false" ht="15" hidden="false" customHeight="false" outlineLevel="0" collapsed="false">
      <c r="A624" s="0" t="n">
        <v>623</v>
      </c>
      <c r="B624" s="0" t="s">
        <v>4254</v>
      </c>
      <c r="C624" s="0" t="s">
        <v>88</v>
      </c>
      <c r="E624" s="0" t="s">
        <v>4255</v>
      </c>
      <c r="N624" s="3" t="s">
        <v>226</v>
      </c>
      <c r="O624" s="3" t="s">
        <v>226</v>
      </c>
      <c r="P624" s="0" t="s">
        <v>96</v>
      </c>
      <c r="AA624" s="0" t="s">
        <v>47</v>
      </c>
      <c r="AB624" s="0" t="s">
        <v>4256</v>
      </c>
      <c r="AC624" s="0" t="s">
        <v>4257</v>
      </c>
      <c r="AD624" s="0" t="s">
        <v>4258</v>
      </c>
      <c r="AE624" s="0" t="s">
        <v>79</v>
      </c>
      <c r="AF624" s="3" t="s">
        <v>48</v>
      </c>
      <c r="AG624" s="3" t="s">
        <v>49</v>
      </c>
      <c r="AR624" s="0" t="s">
        <v>4255</v>
      </c>
    </row>
    <row r="625" customFormat="false" ht="15" hidden="false" customHeight="false" outlineLevel="0" collapsed="false">
      <c r="A625" s="0" t="n">
        <v>624</v>
      </c>
      <c r="B625" s="0" t="s">
        <v>4259</v>
      </c>
      <c r="C625" s="0" t="s">
        <v>88</v>
      </c>
      <c r="E625" s="0" t="s">
        <v>4260</v>
      </c>
      <c r="H625" s="0" t="s">
        <v>4261</v>
      </c>
      <c r="I625" s="0" t="s">
        <v>154</v>
      </c>
      <c r="AA625" s="0" t="s">
        <v>47</v>
      </c>
      <c r="AF625" s="3" t="s">
        <v>48</v>
      </c>
      <c r="AG625" s="3" t="s">
        <v>49</v>
      </c>
      <c r="AL625" s="0" t="s">
        <v>4262</v>
      </c>
      <c r="AO625" s="0" t="s">
        <v>4263</v>
      </c>
      <c r="AP625" s="0" t="s">
        <v>4263</v>
      </c>
      <c r="AR625" s="0" t="s">
        <v>4264</v>
      </c>
    </row>
    <row r="626" customFormat="false" ht="15" hidden="false" customHeight="false" outlineLevel="0" collapsed="false">
      <c r="A626" s="0" t="n">
        <v>625</v>
      </c>
      <c r="B626" s="0" t="s">
        <v>4265</v>
      </c>
      <c r="C626" s="0" t="s">
        <v>88</v>
      </c>
      <c r="E626" s="0" t="s">
        <v>4266</v>
      </c>
      <c r="H626" s="0" t="s">
        <v>4267</v>
      </c>
      <c r="I626" s="0" t="s">
        <v>46</v>
      </c>
      <c r="AA626" s="0" t="s">
        <v>47</v>
      </c>
      <c r="AB626" s="0" t="s">
        <v>4268</v>
      </c>
      <c r="AC626" s="0" t="s">
        <v>4269</v>
      </c>
      <c r="AE626" s="0" t="s">
        <v>79</v>
      </c>
      <c r="AF626" s="3" t="s">
        <v>48</v>
      </c>
      <c r="AG626" s="3" t="s">
        <v>49</v>
      </c>
      <c r="AR626" s="0" t="s">
        <v>4266</v>
      </c>
    </row>
    <row r="627" customFormat="false" ht="15" hidden="false" customHeight="false" outlineLevel="0" collapsed="false">
      <c r="A627" s="0" t="n">
        <v>626</v>
      </c>
      <c r="B627" s="0" t="s">
        <v>4270</v>
      </c>
      <c r="C627" s="0" t="s">
        <v>244</v>
      </c>
      <c r="E627" s="0" t="s">
        <v>4271</v>
      </c>
      <c r="F627" s="0" t="s">
        <v>44</v>
      </c>
      <c r="H627" s="0" t="s">
        <v>4272</v>
      </c>
      <c r="I627" s="0" t="s">
        <v>115</v>
      </c>
      <c r="J627" s="3" t="s">
        <v>694</v>
      </c>
      <c r="K627" s="0" t="s">
        <v>4273</v>
      </c>
      <c r="M627" s="0" t="n">
        <v>1968</v>
      </c>
      <c r="N627" s="0" t="s">
        <v>1325</v>
      </c>
      <c r="O627" s="3" t="s">
        <v>213</v>
      </c>
      <c r="P627" s="0" t="s">
        <v>96</v>
      </c>
      <c r="R627" s="0" t="n">
        <v>480</v>
      </c>
      <c r="S627" s="0" t="n">
        <v>2023</v>
      </c>
      <c r="T627" s="0" t="s">
        <v>72</v>
      </c>
      <c r="U627" s="0" t="s">
        <v>115</v>
      </c>
      <c r="V627" s="0" t="n">
        <v>83</v>
      </c>
      <c r="W627" s="0" t="s">
        <v>4274</v>
      </c>
      <c r="X627" s="0" t="s">
        <v>700</v>
      </c>
      <c r="Y627" s="0" t="s">
        <v>698</v>
      </c>
      <c r="Z627" s="0" t="s">
        <v>115</v>
      </c>
      <c r="AA627" s="0" t="s">
        <v>75</v>
      </c>
      <c r="AB627" s="0" t="s">
        <v>4275</v>
      </c>
      <c r="AC627" s="0" t="s">
        <v>4276</v>
      </c>
      <c r="AD627" s="0" t="s">
        <v>4277</v>
      </c>
      <c r="AE627" s="0" t="s">
        <v>115</v>
      </c>
      <c r="AF627" s="3" t="s">
        <v>108</v>
      </c>
      <c r="AG627" s="3" t="s">
        <v>404</v>
      </c>
      <c r="AH627" s="0" t="n">
        <v>2026</v>
      </c>
      <c r="AI627" s="0" t="s">
        <v>4278</v>
      </c>
      <c r="AJ627" s="0" t="s">
        <v>4279</v>
      </c>
      <c r="AK627" s="0" t="s">
        <v>4280</v>
      </c>
      <c r="AL627" s="0" t="s">
        <v>4281</v>
      </c>
      <c r="AM627" s="0" t="s">
        <v>4282</v>
      </c>
      <c r="AN627" s="0" t="s">
        <v>4283</v>
      </c>
      <c r="AO627" s="0" t="s">
        <v>4284</v>
      </c>
      <c r="AP627" s="0" t="s">
        <v>4284</v>
      </c>
      <c r="AR627" s="0" t="s">
        <v>4285</v>
      </c>
    </row>
    <row r="628" customFormat="false" ht="15" hidden="false" customHeight="false" outlineLevel="0" collapsed="false">
      <c r="A628" s="0" t="n">
        <v>627</v>
      </c>
      <c r="B628" s="0" t="s">
        <v>4286</v>
      </c>
      <c r="C628" s="0" t="s">
        <v>88</v>
      </c>
      <c r="E628" s="0" t="s">
        <v>4287</v>
      </c>
      <c r="H628" s="0" t="s">
        <v>4288</v>
      </c>
      <c r="I628" s="0" t="s">
        <v>154</v>
      </c>
      <c r="AA628" s="0" t="s">
        <v>47</v>
      </c>
      <c r="AF628" s="3" t="s">
        <v>48</v>
      </c>
      <c r="AG628" s="3" t="s">
        <v>49</v>
      </c>
      <c r="AL628" s="0" t="s">
        <v>4289</v>
      </c>
      <c r="AM628" s="0" t="s">
        <v>4290</v>
      </c>
      <c r="AO628" s="0" t="s">
        <v>4291</v>
      </c>
      <c r="AP628" s="0" t="s">
        <v>4291</v>
      </c>
      <c r="AR628" s="0" t="s">
        <v>4292</v>
      </c>
    </row>
    <row r="629" customFormat="false" ht="15" hidden="false" customHeight="false" outlineLevel="0" collapsed="false">
      <c r="A629" s="0" t="n">
        <v>628</v>
      </c>
      <c r="B629" s="0" t="s">
        <v>4293</v>
      </c>
      <c r="C629" s="0" t="s">
        <v>88</v>
      </c>
      <c r="E629" s="0" t="s">
        <v>4294</v>
      </c>
      <c r="AA629" s="0" t="s">
        <v>47</v>
      </c>
      <c r="AF629" s="3" t="s">
        <v>48</v>
      </c>
      <c r="AG629" s="3" t="s">
        <v>49</v>
      </c>
      <c r="AR629" s="0" t="s">
        <v>4294</v>
      </c>
    </row>
    <row r="630" customFormat="false" ht="15" hidden="false" customHeight="false" outlineLevel="0" collapsed="false">
      <c r="A630" s="0" t="n">
        <v>629</v>
      </c>
      <c r="B630" s="0" t="s">
        <v>4295</v>
      </c>
      <c r="C630" s="0" t="s">
        <v>88</v>
      </c>
      <c r="E630" s="0" t="s">
        <v>4296</v>
      </c>
      <c r="N630" s="3" t="s">
        <v>213</v>
      </c>
      <c r="O630" s="3" t="s">
        <v>213</v>
      </c>
      <c r="P630" s="0" t="s">
        <v>96</v>
      </c>
      <c r="AA630" s="0" t="s">
        <v>47</v>
      </c>
      <c r="AB630" s="0" t="s">
        <v>4297</v>
      </c>
      <c r="AC630" s="0" t="s">
        <v>4298</v>
      </c>
      <c r="AD630" s="0" t="s">
        <v>4299</v>
      </c>
      <c r="AE630" s="0" t="s">
        <v>79</v>
      </c>
      <c r="AF630" s="3" t="s">
        <v>48</v>
      </c>
      <c r="AG630" s="3" t="s">
        <v>49</v>
      </c>
      <c r="AR630" s="0" t="s">
        <v>4296</v>
      </c>
    </row>
    <row r="631" customFormat="false" ht="15" hidden="false" customHeight="false" outlineLevel="0" collapsed="false">
      <c r="A631" s="0" t="n">
        <v>630</v>
      </c>
      <c r="B631" s="0" t="s">
        <v>4300</v>
      </c>
      <c r="C631" s="0" t="s">
        <v>88</v>
      </c>
      <c r="E631" s="0" t="s">
        <v>4301</v>
      </c>
      <c r="AA631" s="0" t="s">
        <v>47</v>
      </c>
      <c r="AF631" s="3" t="s">
        <v>48</v>
      </c>
      <c r="AG631" s="3" t="s">
        <v>49</v>
      </c>
      <c r="AR631" s="0" t="s">
        <v>4301</v>
      </c>
    </row>
    <row r="632" customFormat="false" ht="15" hidden="false" customHeight="false" outlineLevel="0" collapsed="false">
      <c r="A632" s="0" t="n">
        <v>631</v>
      </c>
      <c r="B632" s="0" t="s">
        <v>4302</v>
      </c>
      <c r="C632" s="0" t="s">
        <v>88</v>
      </c>
      <c r="E632" s="0" t="s">
        <v>4303</v>
      </c>
      <c r="AA632" s="0" t="s">
        <v>47</v>
      </c>
      <c r="AF632" s="3" t="s">
        <v>48</v>
      </c>
      <c r="AG632" s="3" t="s">
        <v>49</v>
      </c>
      <c r="AR632" s="0" t="s">
        <v>4303</v>
      </c>
    </row>
    <row r="633" customFormat="false" ht="15" hidden="false" customHeight="false" outlineLevel="0" collapsed="false">
      <c r="A633" s="0" t="n">
        <v>632</v>
      </c>
      <c r="B633" s="0" t="s">
        <v>4304</v>
      </c>
      <c r="C633" s="0" t="s">
        <v>88</v>
      </c>
      <c r="E633" s="0" t="s">
        <v>4305</v>
      </c>
      <c r="H633" s="0" t="s">
        <v>4306</v>
      </c>
      <c r="I633" s="0" t="s">
        <v>154</v>
      </c>
      <c r="N633" s="3" t="s">
        <v>95</v>
      </c>
      <c r="O633" s="3" t="s">
        <v>95</v>
      </c>
      <c r="P633" s="0" t="s">
        <v>96</v>
      </c>
      <c r="Q633" s="0" t="s">
        <v>4307</v>
      </c>
      <c r="AA633" s="0" t="s">
        <v>47</v>
      </c>
      <c r="AF633" s="3" t="s">
        <v>48</v>
      </c>
      <c r="AG633" s="3" t="s">
        <v>49</v>
      </c>
      <c r="AM633" s="0" t="s">
        <v>4308</v>
      </c>
      <c r="AO633" s="0" t="s">
        <v>4309</v>
      </c>
      <c r="AP633" s="0" t="s">
        <v>4309</v>
      </c>
      <c r="AR633" s="0" t="s">
        <v>4310</v>
      </c>
    </row>
    <row r="634" customFormat="false" ht="15" hidden="false" customHeight="false" outlineLevel="0" collapsed="false">
      <c r="A634" s="0" t="n">
        <v>633</v>
      </c>
      <c r="B634" s="0" t="s">
        <v>4311</v>
      </c>
      <c r="C634" s="0" t="s">
        <v>88</v>
      </c>
      <c r="E634" s="0" t="s">
        <v>4312</v>
      </c>
      <c r="N634" s="3" t="s">
        <v>202</v>
      </c>
      <c r="O634" s="3" t="s">
        <v>202</v>
      </c>
      <c r="P634" s="0" t="s">
        <v>96</v>
      </c>
      <c r="AA634" s="0" t="s">
        <v>47</v>
      </c>
      <c r="AB634" s="0" t="s">
        <v>4313</v>
      </c>
      <c r="AC634" s="0" t="s">
        <v>4314</v>
      </c>
      <c r="AD634" s="0" t="s">
        <v>4315</v>
      </c>
      <c r="AE634" s="0" t="s">
        <v>79</v>
      </c>
      <c r="AF634" s="3" t="s">
        <v>48</v>
      </c>
      <c r="AG634" s="3" t="s">
        <v>49</v>
      </c>
      <c r="AR634" s="0" t="s">
        <v>4312</v>
      </c>
    </row>
    <row r="635" customFormat="false" ht="15" hidden="false" customHeight="false" outlineLevel="0" collapsed="false">
      <c r="A635" s="0" t="n">
        <v>634</v>
      </c>
      <c r="B635" s="0" t="s">
        <v>4316</v>
      </c>
      <c r="C635" s="0" t="s">
        <v>88</v>
      </c>
      <c r="E635" s="0" t="s">
        <v>4317</v>
      </c>
      <c r="AA635" s="0" t="s">
        <v>47</v>
      </c>
      <c r="AF635" s="3" t="s">
        <v>48</v>
      </c>
      <c r="AG635" s="3" t="s">
        <v>49</v>
      </c>
      <c r="AR635" s="0" t="s">
        <v>4317</v>
      </c>
    </row>
    <row r="636" customFormat="false" ht="15" hidden="false" customHeight="false" outlineLevel="0" collapsed="false">
      <c r="A636" s="0" t="n">
        <v>635</v>
      </c>
      <c r="B636" s="0" t="s">
        <v>4318</v>
      </c>
      <c r="C636" s="0" t="s">
        <v>43</v>
      </c>
      <c r="F636" s="0" t="s">
        <v>44</v>
      </c>
      <c r="H636" s="0" t="s">
        <v>4319</v>
      </c>
      <c r="I636" s="0" t="s">
        <v>154</v>
      </c>
      <c r="AA636" s="0" t="s">
        <v>47</v>
      </c>
      <c r="AF636" s="3" t="s">
        <v>48</v>
      </c>
      <c r="AG636" s="3" t="s">
        <v>49</v>
      </c>
      <c r="AL636" s="0" t="s">
        <v>4320</v>
      </c>
      <c r="AM636" s="0" t="s">
        <v>4321</v>
      </c>
      <c r="AO636" s="0" t="s">
        <v>4322</v>
      </c>
      <c r="AP636" s="0" t="s">
        <v>4322</v>
      </c>
      <c r="AR636" s="0" t="s">
        <v>4323</v>
      </c>
    </row>
    <row r="637" customFormat="false" ht="15" hidden="false" customHeight="false" outlineLevel="0" collapsed="false">
      <c r="A637" s="0" t="n">
        <v>636</v>
      </c>
      <c r="B637" s="0" t="s">
        <v>4324</v>
      </c>
      <c r="C637" s="0" t="s">
        <v>88</v>
      </c>
      <c r="E637" s="0" t="s">
        <v>4325</v>
      </c>
      <c r="AA637" s="0" t="s">
        <v>47</v>
      </c>
      <c r="AF637" s="3" t="s">
        <v>48</v>
      </c>
      <c r="AG637" s="3" t="s">
        <v>49</v>
      </c>
      <c r="AR637" s="0" t="s">
        <v>4325</v>
      </c>
    </row>
    <row r="638" customFormat="false" ht="15" hidden="false" customHeight="false" outlineLevel="0" collapsed="false">
      <c r="A638" s="0" t="n">
        <v>637</v>
      </c>
      <c r="B638" s="0" t="s">
        <v>4326</v>
      </c>
      <c r="C638" s="0" t="s">
        <v>43</v>
      </c>
      <c r="F638" s="0" t="s">
        <v>44</v>
      </c>
      <c r="AA638" s="0" t="s">
        <v>47</v>
      </c>
      <c r="AF638" s="3" t="s">
        <v>48</v>
      </c>
      <c r="AG638" s="3" t="s">
        <v>49</v>
      </c>
      <c r="AR638" s="0" t="s">
        <v>50</v>
      </c>
    </row>
    <row r="639" customFormat="false" ht="15" hidden="false" customHeight="false" outlineLevel="0" collapsed="false">
      <c r="A639" s="0" t="n">
        <v>638</v>
      </c>
      <c r="B639" s="0" t="s">
        <v>4327</v>
      </c>
      <c r="C639" s="0" t="s">
        <v>43</v>
      </c>
      <c r="F639" s="0" t="s">
        <v>44</v>
      </c>
      <c r="H639" s="0" t="s">
        <v>4328</v>
      </c>
      <c r="I639" s="0" t="s">
        <v>154</v>
      </c>
      <c r="AA639" s="0" t="s">
        <v>47</v>
      </c>
      <c r="AF639" s="3" t="s">
        <v>48</v>
      </c>
      <c r="AG639" s="3" t="s">
        <v>49</v>
      </c>
      <c r="AL639" s="0" t="s">
        <v>4329</v>
      </c>
      <c r="AM639" s="0" t="s">
        <v>4330</v>
      </c>
      <c r="AO639" s="0" t="s">
        <v>4331</v>
      </c>
      <c r="AP639" s="0" t="s">
        <v>4331</v>
      </c>
      <c r="AR639" s="0" t="s">
        <v>4332</v>
      </c>
    </row>
    <row r="640" customFormat="false" ht="15" hidden="false" customHeight="false" outlineLevel="0" collapsed="false">
      <c r="A640" s="0" t="n">
        <v>639</v>
      </c>
      <c r="B640" s="0" t="s">
        <v>4333</v>
      </c>
      <c r="C640" s="0" t="s">
        <v>4334</v>
      </c>
      <c r="F640" s="0" t="s">
        <v>4335</v>
      </c>
      <c r="H640" s="0" t="s">
        <v>4328</v>
      </c>
      <c r="I640" s="0" t="s">
        <v>154</v>
      </c>
      <c r="N640" s="3" t="s">
        <v>186</v>
      </c>
      <c r="O640" s="3" t="s">
        <v>186</v>
      </c>
      <c r="P640" s="0" t="s">
        <v>96</v>
      </c>
      <c r="Q640" s="0" t="s">
        <v>4336</v>
      </c>
      <c r="AA640" s="0" t="s">
        <v>47</v>
      </c>
      <c r="AF640" s="3" t="s">
        <v>48</v>
      </c>
      <c r="AG640" s="3" t="s">
        <v>49</v>
      </c>
      <c r="AL640" s="0" t="s">
        <v>4329</v>
      </c>
      <c r="AM640" s="0" t="s">
        <v>4330</v>
      </c>
      <c r="AO640" s="0" t="s">
        <v>4331</v>
      </c>
      <c r="AP640" s="0" t="s">
        <v>4331</v>
      </c>
      <c r="AR640" s="0" t="s">
        <v>4337</v>
      </c>
    </row>
    <row r="641" customFormat="false" ht="15" hidden="false" customHeight="false" outlineLevel="0" collapsed="false">
      <c r="A641" s="0" t="n">
        <v>640</v>
      </c>
      <c r="B641" s="0" t="s">
        <v>4338</v>
      </c>
      <c r="C641" s="0" t="s">
        <v>244</v>
      </c>
      <c r="E641" s="0" t="s">
        <v>4339</v>
      </c>
      <c r="F641" s="0" t="s">
        <v>44</v>
      </c>
      <c r="H641" s="0" t="s">
        <v>4340</v>
      </c>
      <c r="I641" s="0" t="s">
        <v>154</v>
      </c>
      <c r="N641" s="3" t="s">
        <v>202</v>
      </c>
      <c r="O641" s="3" t="s">
        <v>202</v>
      </c>
      <c r="P641" s="0" t="s">
        <v>96</v>
      </c>
      <c r="AA641" s="0" t="s">
        <v>47</v>
      </c>
      <c r="AB641" s="0" t="s">
        <v>4341</v>
      </c>
      <c r="AC641" s="0" t="s">
        <v>1592</v>
      </c>
      <c r="AD641" s="0" t="s">
        <v>4342</v>
      </c>
      <c r="AE641" s="0" t="s">
        <v>79</v>
      </c>
      <c r="AF641" s="3" t="s">
        <v>149</v>
      </c>
      <c r="AG641" s="3" t="s">
        <v>81</v>
      </c>
      <c r="AK641" s="0" t="s">
        <v>4343</v>
      </c>
      <c r="AL641" s="0" t="s">
        <v>4344</v>
      </c>
      <c r="AM641" s="0" t="s">
        <v>4345</v>
      </c>
      <c r="AO641" s="0" t="s">
        <v>4346</v>
      </c>
      <c r="AP641" s="0" t="s">
        <v>4346</v>
      </c>
      <c r="AR641" s="0" t="s">
        <v>4347</v>
      </c>
    </row>
    <row r="642" customFormat="false" ht="15" hidden="false" customHeight="false" outlineLevel="0" collapsed="false">
      <c r="A642" s="0" t="n">
        <v>641</v>
      </c>
      <c r="B642" s="0" t="s">
        <v>4348</v>
      </c>
      <c r="C642" s="0" t="s">
        <v>43</v>
      </c>
      <c r="F642" s="0" t="s">
        <v>44</v>
      </c>
      <c r="H642" s="0" t="s">
        <v>4349</v>
      </c>
      <c r="I642" s="0" t="s">
        <v>154</v>
      </c>
      <c r="AA642" s="0" t="s">
        <v>47</v>
      </c>
      <c r="AF642" s="3" t="s">
        <v>48</v>
      </c>
      <c r="AG642" s="3" t="s">
        <v>49</v>
      </c>
      <c r="AL642" s="0" t="s">
        <v>4350</v>
      </c>
      <c r="AM642" s="0" t="s">
        <v>4351</v>
      </c>
      <c r="AO642" s="0" t="s">
        <v>4352</v>
      </c>
      <c r="AP642" s="0" t="s">
        <v>4352</v>
      </c>
      <c r="AR642" s="0" t="s">
        <v>4353</v>
      </c>
    </row>
    <row r="643" customFormat="false" ht="15" hidden="false" customHeight="false" outlineLevel="0" collapsed="false">
      <c r="A643" s="0" t="n">
        <v>642</v>
      </c>
      <c r="B643" s="0" t="s">
        <v>4354</v>
      </c>
      <c r="C643" s="0" t="s">
        <v>88</v>
      </c>
      <c r="E643" s="0" t="s">
        <v>4355</v>
      </c>
      <c r="H643" s="0" t="s">
        <v>4356</v>
      </c>
      <c r="I643" s="0" t="s">
        <v>154</v>
      </c>
      <c r="N643" s="3" t="s">
        <v>186</v>
      </c>
      <c r="O643" s="3" t="s">
        <v>186</v>
      </c>
      <c r="P643" s="0" t="s">
        <v>96</v>
      </c>
      <c r="AA643" s="0" t="s">
        <v>47</v>
      </c>
      <c r="AB643" s="0" t="s">
        <v>4357</v>
      </c>
      <c r="AC643" s="0" t="s">
        <v>4358</v>
      </c>
      <c r="AD643" s="0" t="s">
        <v>4359</v>
      </c>
      <c r="AE643" s="0" t="s">
        <v>79</v>
      </c>
      <c r="AF643" s="3" t="s">
        <v>48</v>
      </c>
      <c r="AG643" s="3" t="s">
        <v>49</v>
      </c>
      <c r="AL643" s="0" t="s">
        <v>4360</v>
      </c>
      <c r="AO643" s="0" t="s">
        <v>4361</v>
      </c>
      <c r="AP643" s="0" t="s">
        <v>4361</v>
      </c>
      <c r="AR643" s="0" t="s">
        <v>4362</v>
      </c>
    </row>
    <row r="644" customFormat="false" ht="15" hidden="false" customHeight="false" outlineLevel="0" collapsed="false">
      <c r="A644" s="0" t="n">
        <v>643</v>
      </c>
      <c r="B644" s="0" t="s">
        <v>4363</v>
      </c>
      <c r="C644" s="0" t="s">
        <v>88</v>
      </c>
      <c r="E644" s="0" t="s">
        <v>4364</v>
      </c>
      <c r="H644" s="0" t="s">
        <v>4365</v>
      </c>
      <c r="I644" s="0" t="s">
        <v>46</v>
      </c>
      <c r="N644" s="3" t="s">
        <v>202</v>
      </c>
      <c r="O644" s="3" t="s">
        <v>202</v>
      </c>
      <c r="P644" s="0" t="s">
        <v>96</v>
      </c>
      <c r="AA644" s="0" t="s">
        <v>47</v>
      </c>
      <c r="AB644" s="0" t="s">
        <v>4366</v>
      </c>
      <c r="AC644" s="0" t="s">
        <v>4367</v>
      </c>
      <c r="AD644" s="0" t="s">
        <v>4368</v>
      </c>
      <c r="AE644" s="0" t="s">
        <v>79</v>
      </c>
      <c r="AF644" s="3" t="s">
        <v>48</v>
      </c>
      <c r="AG644" s="3" t="s">
        <v>49</v>
      </c>
      <c r="AR644" s="0" t="s">
        <v>4364</v>
      </c>
    </row>
    <row r="645" customFormat="false" ht="15" hidden="false" customHeight="false" outlineLevel="0" collapsed="false">
      <c r="A645" s="0" t="n">
        <v>644</v>
      </c>
      <c r="B645" s="0" t="s">
        <v>4369</v>
      </c>
      <c r="C645" s="0" t="s">
        <v>88</v>
      </c>
      <c r="E645" s="0" t="s">
        <v>4370</v>
      </c>
      <c r="H645" s="0" t="s">
        <v>4371</v>
      </c>
      <c r="I645" s="0" t="s">
        <v>46</v>
      </c>
      <c r="N645" s="3" t="s">
        <v>202</v>
      </c>
      <c r="O645" s="3" t="s">
        <v>202</v>
      </c>
      <c r="P645" s="0" t="s">
        <v>96</v>
      </c>
      <c r="AA645" s="0" t="s">
        <v>47</v>
      </c>
      <c r="AB645" s="0" t="s">
        <v>4372</v>
      </c>
      <c r="AC645" s="0" t="s">
        <v>4373</v>
      </c>
      <c r="AD645" s="0" t="s">
        <v>4374</v>
      </c>
      <c r="AE645" s="0" t="s">
        <v>79</v>
      </c>
      <c r="AF645" s="3" t="s">
        <v>48</v>
      </c>
      <c r="AG645" s="3" t="s">
        <v>49</v>
      </c>
      <c r="AR645" s="0" t="s">
        <v>4370</v>
      </c>
    </row>
    <row r="646" customFormat="false" ht="15" hidden="false" customHeight="false" outlineLevel="0" collapsed="false">
      <c r="A646" s="0" t="n">
        <v>645</v>
      </c>
      <c r="B646" s="0" t="s">
        <v>4375</v>
      </c>
      <c r="C646" s="0" t="s">
        <v>88</v>
      </c>
      <c r="E646" s="0" t="s">
        <v>4376</v>
      </c>
      <c r="H646" s="0" t="s">
        <v>4377</v>
      </c>
      <c r="I646" s="0" t="s">
        <v>154</v>
      </c>
      <c r="N646" s="3" t="s">
        <v>239</v>
      </c>
      <c r="O646" s="3" t="s">
        <v>239</v>
      </c>
      <c r="P646" s="0" t="s">
        <v>96</v>
      </c>
      <c r="AA646" s="0" t="s">
        <v>47</v>
      </c>
      <c r="AB646" s="0" t="s">
        <v>4378</v>
      </c>
      <c r="AC646" s="0" t="s">
        <v>4379</v>
      </c>
      <c r="AD646" s="0" t="s">
        <v>4380</v>
      </c>
      <c r="AE646" s="0" t="s">
        <v>79</v>
      </c>
      <c r="AF646" s="3" t="s">
        <v>48</v>
      </c>
      <c r="AG646" s="3" t="s">
        <v>49</v>
      </c>
      <c r="AL646" s="0" t="s">
        <v>4381</v>
      </c>
      <c r="AM646" s="0" t="s">
        <v>4382</v>
      </c>
      <c r="AO646" s="0" t="s">
        <v>4383</v>
      </c>
      <c r="AP646" s="0" t="s">
        <v>4383</v>
      </c>
      <c r="AR646" s="0" t="s">
        <v>4384</v>
      </c>
    </row>
    <row r="647" customFormat="false" ht="15" hidden="false" customHeight="false" outlineLevel="0" collapsed="false">
      <c r="A647" s="0" t="n">
        <v>646</v>
      </c>
      <c r="B647" s="0" t="s">
        <v>4385</v>
      </c>
      <c r="C647" s="0" t="s">
        <v>43</v>
      </c>
      <c r="F647" s="0" t="s">
        <v>44</v>
      </c>
      <c r="H647" s="0" t="s">
        <v>4386</v>
      </c>
      <c r="I647" s="0" t="s">
        <v>154</v>
      </c>
      <c r="AA647" s="0" t="s">
        <v>47</v>
      </c>
      <c r="AF647" s="3" t="s">
        <v>48</v>
      </c>
      <c r="AG647" s="3" t="s">
        <v>49</v>
      </c>
      <c r="AL647" s="0" t="s">
        <v>4387</v>
      </c>
      <c r="AM647" s="0" t="s">
        <v>4388</v>
      </c>
      <c r="AO647" s="0" t="s">
        <v>4389</v>
      </c>
      <c r="AP647" s="0" t="s">
        <v>4389</v>
      </c>
      <c r="AR647" s="0" t="s">
        <v>4390</v>
      </c>
    </row>
    <row r="648" customFormat="false" ht="15" hidden="false" customHeight="false" outlineLevel="0" collapsed="false">
      <c r="A648" s="0" t="n">
        <v>647</v>
      </c>
      <c r="B648" s="0" t="s">
        <v>4391</v>
      </c>
      <c r="C648" s="0" t="s">
        <v>52</v>
      </c>
      <c r="D648" s="0" t="s">
        <v>4392</v>
      </c>
      <c r="H648" s="0" t="s">
        <v>4393</v>
      </c>
      <c r="I648" s="0" t="s">
        <v>115</v>
      </c>
      <c r="J648" s="3" t="s">
        <v>694</v>
      </c>
      <c r="K648" s="0" t="s">
        <v>4394</v>
      </c>
      <c r="M648" s="0" t="n">
        <v>1910</v>
      </c>
      <c r="N648" s="0" t="s">
        <v>1325</v>
      </c>
      <c r="O648" s="3" t="s">
        <v>54</v>
      </c>
      <c r="P648" s="0" t="s">
        <v>55</v>
      </c>
      <c r="R648" s="0" t="n">
        <v>900</v>
      </c>
      <c r="S648" s="0" t="n">
        <v>2024</v>
      </c>
      <c r="T648" s="0" t="s">
        <v>72</v>
      </c>
      <c r="U648" s="0" t="s">
        <v>115</v>
      </c>
      <c r="V648" s="0" t="n">
        <v>260</v>
      </c>
      <c r="W648" s="0" t="s">
        <v>4395</v>
      </c>
      <c r="X648" s="0" t="s">
        <v>1327</v>
      </c>
      <c r="Y648" s="0" t="s">
        <v>698</v>
      </c>
      <c r="Z648" s="0" t="s">
        <v>115</v>
      </c>
      <c r="AA648" s="0" t="s">
        <v>1022</v>
      </c>
      <c r="AB648" s="0" t="s">
        <v>4396</v>
      </c>
      <c r="AC648" s="0" t="s">
        <v>4397</v>
      </c>
      <c r="AD648" s="0" t="s">
        <v>4398</v>
      </c>
      <c r="AE648" s="0" t="s">
        <v>115</v>
      </c>
      <c r="AF648" s="3" t="s">
        <v>108</v>
      </c>
      <c r="AG648" s="3" t="s">
        <v>404</v>
      </c>
      <c r="AH648" s="0" t="n">
        <v>2026</v>
      </c>
      <c r="AI648" s="0" t="s">
        <v>4399</v>
      </c>
      <c r="AJ648" s="0" t="s">
        <v>4400</v>
      </c>
      <c r="AK648" s="0" t="s">
        <v>4401</v>
      </c>
      <c r="AL648" s="0" t="s">
        <v>4402</v>
      </c>
      <c r="AM648" s="0" t="s">
        <v>4403</v>
      </c>
      <c r="AN648" s="0" t="s">
        <v>4404</v>
      </c>
      <c r="AP648" s="0" t="s">
        <v>4405</v>
      </c>
      <c r="AR648" s="0" t="s">
        <v>4406</v>
      </c>
    </row>
    <row r="649" customFormat="false" ht="15" hidden="false" customHeight="false" outlineLevel="0" collapsed="false">
      <c r="A649" s="0" t="n">
        <v>648</v>
      </c>
      <c r="B649" s="0" t="s">
        <v>4407</v>
      </c>
      <c r="C649" s="0" t="s">
        <v>244</v>
      </c>
      <c r="E649" s="0" t="s">
        <v>4408</v>
      </c>
      <c r="F649" s="0" t="s">
        <v>44</v>
      </c>
      <c r="H649" s="0" t="s">
        <v>4393</v>
      </c>
      <c r="I649" s="0" t="s">
        <v>115</v>
      </c>
      <c r="J649" s="3" t="s">
        <v>694</v>
      </c>
      <c r="K649" s="0" t="s">
        <v>4394</v>
      </c>
      <c r="M649" s="0" t="n">
        <v>1910</v>
      </c>
      <c r="N649" s="0" t="s">
        <v>1325</v>
      </c>
      <c r="O649" s="3" t="s">
        <v>213</v>
      </c>
      <c r="P649" s="0" t="s">
        <v>96</v>
      </c>
      <c r="R649" s="0" t="n">
        <v>900</v>
      </c>
      <c r="S649" s="0" t="n">
        <v>2024</v>
      </c>
      <c r="T649" s="0" t="s">
        <v>72</v>
      </c>
      <c r="U649" s="0" t="s">
        <v>115</v>
      </c>
      <c r="V649" s="0" t="n">
        <v>260</v>
      </c>
      <c r="W649" s="0" t="s">
        <v>4395</v>
      </c>
      <c r="X649" s="0" t="s">
        <v>1327</v>
      </c>
      <c r="Y649" s="0" t="s">
        <v>698</v>
      </c>
      <c r="Z649" s="0" t="s">
        <v>115</v>
      </c>
      <c r="AA649" s="0" t="s">
        <v>1022</v>
      </c>
      <c r="AB649" s="0" t="s">
        <v>4396</v>
      </c>
      <c r="AC649" s="0" t="s">
        <v>4397</v>
      </c>
      <c r="AD649" s="0" t="s">
        <v>4398</v>
      </c>
      <c r="AE649" s="0" t="s">
        <v>115</v>
      </c>
      <c r="AF649" s="3" t="s">
        <v>108</v>
      </c>
      <c r="AG649" s="3" t="s">
        <v>404</v>
      </c>
      <c r="AH649" s="0" t="n">
        <v>2026</v>
      </c>
      <c r="AI649" s="0" t="s">
        <v>4409</v>
      </c>
      <c r="AJ649" s="0" t="s">
        <v>4410</v>
      </c>
      <c r="AK649" s="0" t="s">
        <v>4401</v>
      </c>
      <c r="AL649" s="0" t="s">
        <v>4402</v>
      </c>
      <c r="AM649" s="0" t="s">
        <v>4403</v>
      </c>
      <c r="AN649" s="0" t="s">
        <v>4404</v>
      </c>
      <c r="AP649" s="0" t="s">
        <v>4405</v>
      </c>
      <c r="AR649" s="0" t="s">
        <v>4411</v>
      </c>
    </row>
    <row r="650" customFormat="false" ht="15" hidden="false" customHeight="false" outlineLevel="0" collapsed="false">
      <c r="A650" s="0" t="n">
        <v>649</v>
      </c>
      <c r="B650" s="0" t="s">
        <v>4412</v>
      </c>
      <c r="C650" s="0" t="s">
        <v>88</v>
      </c>
      <c r="E650" s="0" t="s">
        <v>4413</v>
      </c>
      <c r="H650" s="0" t="s">
        <v>4414</v>
      </c>
      <c r="I650" s="0" t="s">
        <v>46</v>
      </c>
      <c r="N650" s="3" t="s">
        <v>95</v>
      </c>
      <c r="O650" s="3" t="s">
        <v>95</v>
      </c>
      <c r="P650" s="0" t="s">
        <v>96</v>
      </c>
      <c r="AA650" s="0" t="s">
        <v>47</v>
      </c>
      <c r="AB650" s="0" t="s">
        <v>4415</v>
      </c>
      <c r="AC650" s="0" t="s">
        <v>4416</v>
      </c>
      <c r="AD650" s="0" t="s">
        <v>4417</v>
      </c>
      <c r="AE650" s="0" t="s">
        <v>79</v>
      </c>
      <c r="AF650" s="3" t="s">
        <v>48</v>
      </c>
      <c r="AG650" s="3" t="s">
        <v>49</v>
      </c>
      <c r="AR650" s="0" t="s">
        <v>4413</v>
      </c>
    </row>
    <row r="651" customFormat="false" ht="15" hidden="false" customHeight="false" outlineLevel="0" collapsed="false">
      <c r="A651" s="0" t="n">
        <v>650</v>
      </c>
      <c r="B651" s="0" t="s">
        <v>4418</v>
      </c>
      <c r="C651" s="0" t="s">
        <v>88</v>
      </c>
      <c r="E651" s="0" t="s">
        <v>4419</v>
      </c>
      <c r="N651" s="3" t="s">
        <v>202</v>
      </c>
      <c r="O651" s="3" t="s">
        <v>202</v>
      </c>
      <c r="P651" s="0" t="s">
        <v>96</v>
      </c>
      <c r="AA651" s="0" t="s">
        <v>47</v>
      </c>
      <c r="AB651" s="0" t="s">
        <v>4420</v>
      </c>
      <c r="AC651" s="0" t="s">
        <v>4421</v>
      </c>
      <c r="AD651" s="0" t="s">
        <v>4422</v>
      </c>
      <c r="AE651" s="0" t="s">
        <v>79</v>
      </c>
      <c r="AF651" s="3" t="s">
        <v>48</v>
      </c>
      <c r="AG651" s="3" t="s">
        <v>49</v>
      </c>
      <c r="AR651" s="0" t="s">
        <v>4419</v>
      </c>
    </row>
    <row r="652" customFormat="false" ht="15" hidden="false" customHeight="false" outlineLevel="0" collapsed="false">
      <c r="A652" s="0" t="n">
        <v>651</v>
      </c>
      <c r="B652" s="0" t="s">
        <v>4423</v>
      </c>
      <c r="C652" s="0" t="s">
        <v>61</v>
      </c>
      <c r="D652" s="0" t="s">
        <v>4424</v>
      </c>
      <c r="E652" s="0" t="s">
        <v>4425</v>
      </c>
      <c r="H652" s="0" t="s">
        <v>4426</v>
      </c>
      <c r="I652" s="0" t="s">
        <v>94</v>
      </c>
      <c r="N652" s="3" t="s">
        <v>136</v>
      </c>
      <c r="O652" s="3" t="s">
        <v>136</v>
      </c>
      <c r="P652" s="0" t="s">
        <v>55</v>
      </c>
      <c r="AA652" s="0" t="s">
        <v>47</v>
      </c>
      <c r="AB652" s="0" t="s">
        <v>4427</v>
      </c>
      <c r="AC652" s="0" t="s">
        <v>4428</v>
      </c>
      <c r="AD652" s="0" t="s">
        <v>4429</v>
      </c>
      <c r="AE652" s="0" t="s">
        <v>79</v>
      </c>
      <c r="AF652" s="3" t="s">
        <v>149</v>
      </c>
      <c r="AG652" s="3" t="s">
        <v>81</v>
      </c>
      <c r="AK652" s="0" t="s">
        <v>4430</v>
      </c>
      <c r="AL652" s="0" t="s">
        <v>4431</v>
      </c>
      <c r="AM652" s="0" t="s">
        <v>4432</v>
      </c>
      <c r="AO652" s="0" t="s">
        <v>4433</v>
      </c>
      <c r="AP652" s="0" t="s">
        <v>4433</v>
      </c>
      <c r="AR652" s="0" t="s">
        <v>4434</v>
      </c>
    </row>
    <row r="653" customFormat="false" ht="15" hidden="false" customHeight="false" outlineLevel="0" collapsed="false">
      <c r="A653" s="0" t="n">
        <v>652</v>
      </c>
      <c r="B653" s="0" t="s">
        <v>4435</v>
      </c>
      <c r="C653" s="0" t="s">
        <v>244</v>
      </c>
      <c r="E653" s="0" t="s">
        <v>4436</v>
      </c>
      <c r="F653" s="0" t="s">
        <v>44</v>
      </c>
      <c r="H653" s="0" t="s">
        <v>4437</v>
      </c>
      <c r="I653" s="0" t="s">
        <v>94</v>
      </c>
      <c r="AA653" s="0" t="s">
        <v>47</v>
      </c>
      <c r="AF653" s="3" t="s">
        <v>149</v>
      </c>
      <c r="AG653" s="3" t="s">
        <v>81</v>
      </c>
      <c r="AK653" s="0" t="s">
        <v>4438</v>
      </c>
      <c r="AR653" s="0" t="s">
        <v>4439</v>
      </c>
    </row>
    <row r="654" customFormat="false" ht="15" hidden="false" customHeight="false" outlineLevel="0" collapsed="false">
      <c r="A654" s="0" t="n">
        <v>653</v>
      </c>
      <c r="B654" s="0" t="s">
        <v>4440</v>
      </c>
      <c r="C654" s="0" t="s">
        <v>43</v>
      </c>
      <c r="F654" s="0" t="s">
        <v>44</v>
      </c>
      <c r="AA654" s="0" t="s">
        <v>47</v>
      </c>
      <c r="AF654" s="3" t="s">
        <v>48</v>
      </c>
      <c r="AG654" s="3" t="s">
        <v>49</v>
      </c>
      <c r="AR654" s="0" t="s">
        <v>50</v>
      </c>
    </row>
    <row r="655" customFormat="false" ht="15" hidden="false" customHeight="false" outlineLevel="0" collapsed="false">
      <c r="A655" s="0" t="n">
        <v>654</v>
      </c>
      <c r="B655" s="0" t="s">
        <v>4441</v>
      </c>
      <c r="C655" s="0" t="s">
        <v>52</v>
      </c>
      <c r="D655" s="0" t="s">
        <v>4442</v>
      </c>
      <c r="N655" s="3" t="s">
        <v>202</v>
      </c>
      <c r="O655" s="3" t="s">
        <v>202</v>
      </c>
      <c r="P655" s="0" t="s">
        <v>96</v>
      </c>
      <c r="AA655" s="0" t="s">
        <v>47</v>
      </c>
      <c r="AB655" s="0" t="s">
        <v>4443</v>
      </c>
      <c r="AC655" s="0" t="s">
        <v>4444</v>
      </c>
      <c r="AE655" s="0" t="s">
        <v>59</v>
      </c>
      <c r="AF655" s="3" t="s">
        <v>48</v>
      </c>
      <c r="AG655" s="3" t="s">
        <v>49</v>
      </c>
      <c r="AR655" s="0" t="s">
        <v>4442</v>
      </c>
    </row>
    <row r="656" customFormat="false" ht="15" hidden="false" customHeight="false" outlineLevel="0" collapsed="false">
      <c r="A656" s="0" t="n">
        <v>655</v>
      </c>
      <c r="B656" s="0" t="s">
        <v>4445</v>
      </c>
      <c r="C656" s="0" t="s">
        <v>88</v>
      </c>
      <c r="E656" s="0" t="s">
        <v>4446</v>
      </c>
      <c r="N656" s="3" t="s">
        <v>147</v>
      </c>
      <c r="O656" s="3" t="s">
        <v>147</v>
      </c>
      <c r="P656" s="0" t="s">
        <v>96</v>
      </c>
      <c r="AA656" s="0" t="s">
        <v>47</v>
      </c>
      <c r="AB656" s="0" t="s">
        <v>4447</v>
      </c>
      <c r="AC656" s="0" t="s">
        <v>4448</v>
      </c>
      <c r="AD656" s="0" t="s">
        <v>4449</v>
      </c>
      <c r="AE656" s="0" t="s">
        <v>79</v>
      </c>
      <c r="AF656" s="3" t="s">
        <v>48</v>
      </c>
      <c r="AG656" s="3" t="s">
        <v>49</v>
      </c>
      <c r="AR656" s="0" t="s">
        <v>4446</v>
      </c>
    </row>
    <row r="657" customFormat="false" ht="15" hidden="false" customHeight="false" outlineLevel="0" collapsed="false">
      <c r="A657" s="0" t="n">
        <v>656</v>
      </c>
      <c r="B657" s="0" t="s">
        <v>4450</v>
      </c>
      <c r="C657" s="0" t="s">
        <v>88</v>
      </c>
      <c r="E657" s="0" t="s">
        <v>4451</v>
      </c>
      <c r="N657" s="3" t="s">
        <v>186</v>
      </c>
      <c r="O657" s="3" t="s">
        <v>186</v>
      </c>
      <c r="P657" s="0" t="s">
        <v>96</v>
      </c>
      <c r="AA657" s="0" t="s">
        <v>47</v>
      </c>
      <c r="AB657" s="0" t="s">
        <v>4452</v>
      </c>
      <c r="AC657" s="0" t="s">
        <v>4453</v>
      </c>
      <c r="AD657" s="0" t="s">
        <v>4454</v>
      </c>
      <c r="AE657" s="0" t="s">
        <v>79</v>
      </c>
      <c r="AF657" s="3" t="s">
        <v>48</v>
      </c>
      <c r="AG657" s="3" t="s">
        <v>49</v>
      </c>
      <c r="AR657" s="0" t="s">
        <v>4451</v>
      </c>
    </row>
    <row r="658" customFormat="false" ht="15" hidden="false" customHeight="false" outlineLevel="0" collapsed="false">
      <c r="A658" s="0" t="n">
        <v>657</v>
      </c>
      <c r="B658" s="0" t="s">
        <v>4455</v>
      </c>
      <c r="C658" s="0" t="s">
        <v>88</v>
      </c>
      <c r="E658" s="0" t="s">
        <v>4456</v>
      </c>
      <c r="H658" s="0" t="s">
        <v>4457</v>
      </c>
      <c r="I658" s="0" t="s">
        <v>94</v>
      </c>
      <c r="N658" s="3" t="s">
        <v>186</v>
      </c>
      <c r="O658" s="3" t="s">
        <v>186</v>
      </c>
      <c r="P658" s="0" t="s">
        <v>96</v>
      </c>
      <c r="AA658" s="0" t="s">
        <v>47</v>
      </c>
      <c r="AB658" s="0" t="s">
        <v>4458</v>
      </c>
      <c r="AC658" s="0" t="s">
        <v>4459</v>
      </c>
      <c r="AD658" s="0" t="s">
        <v>4460</v>
      </c>
      <c r="AE658" s="0" t="s">
        <v>79</v>
      </c>
      <c r="AF658" s="3" t="s">
        <v>48</v>
      </c>
      <c r="AG658" s="3" t="s">
        <v>49</v>
      </c>
      <c r="AP658" s="0" t="s">
        <v>4461</v>
      </c>
      <c r="AR658" s="0" t="s">
        <v>4462</v>
      </c>
    </row>
    <row r="659" customFormat="false" ht="15" hidden="false" customHeight="false" outlineLevel="0" collapsed="false">
      <c r="A659" s="0" t="n">
        <v>658</v>
      </c>
      <c r="B659" s="0" t="s">
        <v>4463</v>
      </c>
      <c r="C659" s="0" t="s">
        <v>88</v>
      </c>
      <c r="E659" s="0" t="s">
        <v>4464</v>
      </c>
      <c r="H659" s="0" t="s">
        <v>4465</v>
      </c>
      <c r="I659" s="0" t="s">
        <v>154</v>
      </c>
      <c r="N659" s="3" t="s">
        <v>226</v>
      </c>
      <c r="O659" s="3" t="s">
        <v>226</v>
      </c>
      <c r="P659" s="0" t="s">
        <v>96</v>
      </c>
      <c r="AA659" s="0" t="s">
        <v>47</v>
      </c>
      <c r="AB659" s="0" t="s">
        <v>4466</v>
      </c>
      <c r="AC659" s="0" t="s">
        <v>4467</v>
      </c>
      <c r="AD659" s="0" t="s">
        <v>4468</v>
      </c>
      <c r="AE659" s="0" t="s">
        <v>79</v>
      </c>
      <c r="AF659" s="3" t="s">
        <v>48</v>
      </c>
      <c r="AG659" s="3" t="s">
        <v>49</v>
      </c>
      <c r="AL659" s="0" t="s">
        <v>4469</v>
      </c>
      <c r="AO659" s="0" t="s">
        <v>4470</v>
      </c>
      <c r="AP659" s="0" t="s">
        <v>4470</v>
      </c>
      <c r="AR659" s="0" t="s">
        <v>4471</v>
      </c>
    </row>
    <row r="660" customFormat="false" ht="15" hidden="false" customHeight="false" outlineLevel="0" collapsed="false">
      <c r="A660" s="0" t="n">
        <v>659</v>
      </c>
      <c r="B660" s="0" t="s">
        <v>4472</v>
      </c>
      <c r="C660" s="0" t="s">
        <v>88</v>
      </c>
      <c r="E660" s="0" t="s">
        <v>4473</v>
      </c>
      <c r="H660" s="0" t="s">
        <v>4474</v>
      </c>
      <c r="I660" s="0" t="s">
        <v>46</v>
      </c>
      <c r="N660" s="3" t="s">
        <v>202</v>
      </c>
      <c r="O660" s="3" t="s">
        <v>202</v>
      </c>
      <c r="P660" s="0" t="s">
        <v>96</v>
      </c>
      <c r="AA660" s="0" t="s">
        <v>47</v>
      </c>
      <c r="AB660" s="0" t="s">
        <v>4475</v>
      </c>
      <c r="AC660" s="0" t="s">
        <v>4476</v>
      </c>
      <c r="AD660" s="0" t="s">
        <v>4477</v>
      </c>
      <c r="AE660" s="0" t="s">
        <v>79</v>
      </c>
      <c r="AF660" s="3" t="s">
        <v>48</v>
      </c>
      <c r="AG660" s="3" t="s">
        <v>49</v>
      </c>
      <c r="AR660" s="0" t="s">
        <v>4473</v>
      </c>
    </row>
    <row r="661" customFormat="false" ht="15" hidden="false" customHeight="false" outlineLevel="0" collapsed="false">
      <c r="A661" s="0" t="n">
        <v>660</v>
      </c>
      <c r="B661" s="0" t="s">
        <v>4478</v>
      </c>
      <c r="C661" s="0" t="s">
        <v>88</v>
      </c>
      <c r="E661" s="0" t="s">
        <v>4479</v>
      </c>
      <c r="AA661" s="0" t="s">
        <v>47</v>
      </c>
      <c r="AF661" s="3" t="s">
        <v>48</v>
      </c>
      <c r="AG661" s="3" t="s">
        <v>49</v>
      </c>
      <c r="AR661" s="0" t="s">
        <v>4479</v>
      </c>
    </row>
    <row r="662" customFormat="false" ht="15" hidden="false" customHeight="false" outlineLevel="0" collapsed="false">
      <c r="A662" s="0" t="n">
        <v>661</v>
      </c>
      <c r="B662" s="0" t="s">
        <v>4480</v>
      </c>
      <c r="C662" s="0" t="s">
        <v>88</v>
      </c>
      <c r="E662" s="0" t="s">
        <v>4481</v>
      </c>
      <c r="N662" s="3" t="s">
        <v>186</v>
      </c>
      <c r="O662" s="3" t="s">
        <v>186</v>
      </c>
      <c r="P662" s="0" t="s">
        <v>96</v>
      </c>
      <c r="AA662" s="0" t="s">
        <v>47</v>
      </c>
      <c r="AB662" s="0" t="s">
        <v>4482</v>
      </c>
      <c r="AC662" s="0" t="s">
        <v>4483</v>
      </c>
      <c r="AD662" s="0" t="s">
        <v>4484</v>
      </c>
      <c r="AE662" s="0" t="s">
        <v>79</v>
      </c>
      <c r="AF662" s="3" t="s">
        <v>48</v>
      </c>
      <c r="AG662" s="3" t="s">
        <v>49</v>
      </c>
      <c r="AR662" s="0" t="s">
        <v>4481</v>
      </c>
    </row>
    <row r="663" customFormat="false" ht="15" hidden="false" customHeight="false" outlineLevel="0" collapsed="false">
      <c r="A663" s="0" t="n">
        <v>662</v>
      </c>
      <c r="B663" s="0" t="s">
        <v>4485</v>
      </c>
      <c r="C663" s="0" t="s">
        <v>145</v>
      </c>
      <c r="F663" s="0" t="s">
        <v>146</v>
      </c>
      <c r="N663" s="3" t="s">
        <v>186</v>
      </c>
      <c r="O663" s="3" t="s">
        <v>186</v>
      </c>
      <c r="P663" s="0" t="s">
        <v>96</v>
      </c>
      <c r="Q663" s="0" t="s">
        <v>4486</v>
      </c>
      <c r="AA663" s="0" t="s">
        <v>47</v>
      </c>
      <c r="AF663" s="3" t="s">
        <v>149</v>
      </c>
      <c r="AG663" s="3" t="s">
        <v>81</v>
      </c>
      <c r="AK663" s="0" t="s">
        <v>4487</v>
      </c>
      <c r="AR663" s="0" t="s">
        <v>151</v>
      </c>
    </row>
    <row r="664" customFormat="false" ht="15" hidden="false" customHeight="false" outlineLevel="0" collapsed="false">
      <c r="A664" s="0" t="n">
        <v>663</v>
      </c>
      <c r="B664" s="0" t="s">
        <v>4488</v>
      </c>
      <c r="C664" s="0" t="s">
        <v>43</v>
      </c>
      <c r="F664" s="0" t="s">
        <v>44</v>
      </c>
      <c r="H664" s="0" t="s">
        <v>4489</v>
      </c>
      <c r="I664" s="0" t="s">
        <v>154</v>
      </c>
      <c r="AA664" s="0" t="s">
        <v>47</v>
      </c>
      <c r="AF664" s="3" t="s">
        <v>48</v>
      </c>
      <c r="AG664" s="3" t="s">
        <v>49</v>
      </c>
      <c r="AL664" s="0" t="s">
        <v>4490</v>
      </c>
      <c r="AM664" s="0" t="s">
        <v>4491</v>
      </c>
      <c r="AO664" s="0" t="s">
        <v>4492</v>
      </c>
      <c r="AP664" s="0" t="s">
        <v>4492</v>
      </c>
      <c r="AR664" s="0" t="s">
        <v>4493</v>
      </c>
    </row>
    <row r="665" customFormat="false" ht="15" hidden="false" customHeight="false" outlineLevel="0" collapsed="false">
      <c r="A665" s="0" t="n">
        <v>664</v>
      </c>
      <c r="B665" s="0" t="s">
        <v>4494</v>
      </c>
      <c r="C665" s="0" t="s">
        <v>43</v>
      </c>
      <c r="F665" s="0" t="s">
        <v>44</v>
      </c>
      <c r="AA665" s="0" t="s">
        <v>47</v>
      </c>
      <c r="AF665" s="3" t="s">
        <v>48</v>
      </c>
      <c r="AG665" s="3" t="s">
        <v>49</v>
      </c>
      <c r="AR665" s="0" t="s">
        <v>50</v>
      </c>
    </row>
    <row r="666" customFormat="false" ht="15" hidden="false" customHeight="false" outlineLevel="0" collapsed="false">
      <c r="A666" s="0" t="n">
        <v>665</v>
      </c>
      <c r="B666" s="0" t="s">
        <v>4495</v>
      </c>
      <c r="C666" s="0" t="s">
        <v>244</v>
      </c>
      <c r="E666" s="0" t="s">
        <v>4496</v>
      </c>
      <c r="F666" s="0" t="s">
        <v>44</v>
      </c>
      <c r="H666" s="0" t="s">
        <v>4497</v>
      </c>
      <c r="I666" s="0" t="s">
        <v>154</v>
      </c>
      <c r="AA666" s="0" t="s">
        <v>47</v>
      </c>
      <c r="AB666" s="0" t="s">
        <v>4498</v>
      </c>
      <c r="AC666" s="0" t="s">
        <v>4499</v>
      </c>
      <c r="AD666" s="0" t="s">
        <v>4500</v>
      </c>
      <c r="AE666" s="0" t="s">
        <v>79</v>
      </c>
      <c r="AF666" s="3" t="s">
        <v>149</v>
      </c>
      <c r="AG666" s="3" t="s">
        <v>81</v>
      </c>
      <c r="AK666" s="0" t="s">
        <v>4501</v>
      </c>
      <c r="AL666" s="0" t="s">
        <v>4502</v>
      </c>
      <c r="AM666" s="0" t="s">
        <v>4503</v>
      </c>
      <c r="AO666" s="0" t="s">
        <v>4504</v>
      </c>
      <c r="AP666" s="0" t="s">
        <v>4504</v>
      </c>
      <c r="AR666" s="0" t="s">
        <v>4505</v>
      </c>
    </row>
    <row r="667" customFormat="false" ht="15" hidden="false" customHeight="false" outlineLevel="0" collapsed="false">
      <c r="A667" s="0" t="n">
        <v>666</v>
      </c>
      <c r="B667" s="0" t="s">
        <v>4506</v>
      </c>
      <c r="C667" s="0" t="s">
        <v>88</v>
      </c>
      <c r="E667" s="0" t="s">
        <v>4507</v>
      </c>
      <c r="H667" s="0" t="s">
        <v>4508</v>
      </c>
      <c r="I667" s="0" t="s">
        <v>154</v>
      </c>
      <c r="AA667" s="0" t="s">
        <v>47</v>
      </c>
      <c r="AF667" s="3" t="s">
        <v>108</v>
      </c>
      <c r="AG667" s="3" t="s">
        <v>49</v>
      </c>
      <c r="AH667" s="0" t="n">
        <v>2026</v>
      </c>
      <c r="AI667" s="0" t="s">
        <v>3385</v>
      </c>
      <c r="AJ667" s="0" t="s">
        <v>3386</v>
      </c>
      <c r="AL667" s="0" t="s">
        <v>4509</v>
      </c>
      <c r="AM667" s="0" t="s">
        <v>4510</v>
      </c>
      <c r="AO667" s="0" t="s">
        <v>4511</v>
      </c>
      <c r="AP667" s="0" t="s">
        <v>4511</v>
      </c>
      <c r="AR667" s="0" t="s">
        <v>4512</v>
      </c>
    </row>
    <row r="668" customFormat="false" ht="15" hidden="false" customHeight="false" outlineLevel="0" collapsed="false">
      <c r="A668" s="0" t="n">
        <v>667</v>
      </c>
      <c r="B668" s="0" t="s">
        <v>4513</v>
      </c>
      <c r="C668" s="0" t="s">
        <v>88</v>
      </c>
      <c r="E668" s="0" t="s">
        <v>4514</v>
      </c>
      <c r="N668" s="3" t="s">
        <v>213</v>
      </c>
      <c r="O668" s="3" t="s">
        <v>213</v>
      </c>
      <c r="P668" s="0" t="s">
        <v>96</v>
      </c>
      <c r="AA668" s="0" t="s">
        <v>47</v>
      </c>
      <c r="AB668" s="0" t="s">
        <v>4515</v>
      </c>
      <c r="AC668" s="0" t="s">
        <v>4516</v>
      </c>
      <c r="AD668" s="0" t="s">
        <v>4517</v>
      </c>
      <c r="AE668" s="0" t="s">
        <v>79</v>
      </c>
      <c r="AF668" s="3" t="s">
        <v>48</v>
      </c>
      <c r="AG668" s="3" t="s">
        <v>49</v>
      </c>
      <c r="AR668" s="0" t="s">
        <v>4514</v>
      </c>
    </row>
    <row r="669" customFormat="false" ht="15" hidden="false" customHeight="false" outlineLevel="0" collapsed="false">
      <c r="A669" s="0" t="n">
        <v>668</v>
      </c>
      <c r="B669" s="0" t="s">
        <v>4518</v>
      </c>
      <c r="C669" s="0" t="s">
        <v>244</v>
      </c>
      <c r="E669" s="0" t="s">
        <v>4519</v>
      </c>
      <c r="F669" s="0" t="s">
        <v>44</v>
      </c>
      <c r="N669" s="3" t="s">
        <v>147</v>
      </c>
      <c r="O669" s="3" t="s">
        <v>147</v>
      </c>
      <c r="P669" s="0" t="s">
        <v>96</v>
      </c>
      <c r="AA669" s="0" t="s">
        <v>47</v>
      </c>
      <c r="AB669" s="0" t="s">
        <v>4520</v>
      </c>
      <c r="AC669" s="0" t="s">
        <v>4521</v>
      </c>
      <c r="AD669" s="0" t="s">
        <v>4522</v>
      </c>
      <c r="AE669" s="0" t="s">
        <v>79</v>
      </c>
      <c r="AF669" s="3" t="s">
        <v>149</v>
      </c>
      <c r="AG669" s="3" t="s">
        <v>81</v>
      </c>
      <c r="AK669" s="0" t="s">
        <v>4523</v>
      </c>
      <c r="AR669" s="0" t="s">
        <v>4524</v>
      </c>
    </row>
    <row r="670" customFormat="false" ht="15" hidden="false" customHeight="false" outlineLevel="0" collapsed="false">
      <c r="A670" s="0" t="n">
        <v>669</v>
      </c>
      <c r="B670" s="0" t="s">
        <v>4525</v>
      </c>
      <c r="C670" s="0" t="s">
        <v>52</v>
      </c>
      <c r="D670" s="0" t="s">
        <v>4526</v>
      </c>
      <c r="H670" s="0" t="s">
        <v>4527</v>
      </c>
      <c r="I670" s="0" t="s">
        <v>115</v>
      </c>
      <c r="J670" s="3" t="s">
        <v>1808</v>
      </c>
      <c r="K670" s="0" t="s">
        <v>4528</v>
      </c>
      <c r="M670" s="0" t="n">
        <v>1965</v>
      </c>
      <c r="N670" s="0" t="s">
        <v>1740</v>
      </c>
      <c r="O670" s="3" t="s">
        <v>54</v>
      </c>
      <c r="P670" s="0" t="s">
        <v>55</v>
      </c>
      <c r="R670" s="0" t="n">
        <v>614</v>
      </c>
      <c r="S670" s="0" t="n">
        <v>2024</v>
      </c>
      <c r="T670" s="0" t="s">
        <v>72</v>
      </c>
      <c r="U670" s="0" t="s">
        <v>115</v>
      </c>
      <c r="V670" s="0" t="n">
        <v>290</v>
      </c>
      <c r="W670" s="0" t="s">
        <v>4529</v>
      </c>
      <c r="X670" s="0" t="s">
        <v>700</v>
      </c>
      <c r="Y670" s="0" t="s">
        <v>698</v>
      </c>
      <c r="Z670" s="0" t="s">
        <v>115</v>
      </c>
      <c r="AA670" s="0" t="s">
        <v>75</v>
      </c>
      <c r="AB670" s="0" t="s">
        <v>4530</v>
      </c>
      <c r="AC670" s="0" t="s">
        <v>4531</v>
      </c>
      <c r="AD670" s="0" t="s">
        <v>4532</v>
      </c>
      <c r="AE670" s="0" t="s">
        <v>115</v>
      </c>
      <c r="AF670" s="3" t="s">
        <v>108</v>
      </c>
      <c r="AG670" s="3" t="s">
        <v>404</v>
      </c>
      <c r="AH670" s="0" t="n">
        <v>2026</v>
      </c>
      <c r="AI670" s="0" t="s">
        <v>4533</v>
      </c>
      <c r="AJ670" s="0" t="s">
        <v>4534</v>
      </c>
      <c r="AK670" s="0" t="s">
        <v>4535</v>
      </c>
      <c r="AL670" s="0" t="s">
        <v>4536</v>
      </c>
      <c r="AM670" s="0" t="s">
        <v>4537</v>
      </c>
      <c r="AN670" s="0" t="s">
        <v>4538</v>
      </c>
      <c r="AO670" s="0" t="s">
        <v>4539</v>
      </c>
      <c r="AP670" s="0" t="s">
        <v>4539</v>
      </c>
      <c r="AR670" s="0" t="s">
        <v>4540</v>
      </c>
    </row>
    <row r="671" customFormat="false" ht="15" hidden="false" customHeight="false" outlineLevel="0" collapsed="false">
      <c r="A671" s="0" t="n">
        <v>670</v>
      </c>
      <c r="B671" s="0" t="s">
        <v>4541</v>
      </c>
      <c r="C671" s="0" t="s">
        <v>88</v>
      </c>
      <c r="E671" s="0" t="s">
        <v>4542</v>
      </c>
      <c r="H671" s="0" t="s">
        <v>4527</v>
      </c>
      <c r="I671" s="0" t="s">
        <v>115</v>
      </c>
      <c r="J671" s="3" t="s">
        <v>1808</v>
      </c>
      <c r="K671" s="0" t="s">
        <v>4528</v>
      </c>
      <c r="M671" s="0" t="n">
        <v>1965</v>
      </c>
      <c r="N671" s="0" t="s">
        <v>1740</v>
      </c>
      <c r="R671" s="0" t="n">
        <v>614</v>
      </c>
      <c r="S671" s="0" t="n">
        <v>2024</v>
      </c>
      <c r="T671" s="0" t="s">
        <v>72</v>
      </c>
      <c r="U671" s="0" t="s">
        <v>115</v>
      </c>
      <c r="V671" s="0" t="n">
        <v>290</v>
      </c>
      <c r="W671" s="0" t="s">
        <v>4529</v>
      </c>
      <c r="X671" s="0" t="s">
        <v>700</v>
      </c>
      <c r="Y671" s="0" t="s">
        <v>698</v>
      </c>
      <c r="Z671" s="0" t="s">
        <v>115</v>
      </c>
      <c r="AA671" s="0" t="s">
        <v>75</v>
      </c>
      <c r="AB671" s="0" t="s">
        <v>4530</v>
      </c>
      <c r="AC671" s="0" t="s">
        <v>4531</v>
      </c>
      <c r="AD671" s="0" t="s">
        <v>4532</v>
      </c>
      <c r="AE671" s="0" t="s">
        <v>115</v>
      </c>
      <c r="AF671" s="3" t="s">
        <v>108</v>
      </c>
      <c r="AG671" s="3" t="s">
        <v>404</v>
      </c>
      <c r="AH671" s="0" t="n">
        <v>2026</v>
      </c>
      <c r="AI671" s="0" t="s">
        <v>4533</v>
      </c>
      <c r="AJ671" s="0" t="s">
        <v>4534</v>
      </c>
      <c r="AK671" s="0" t="s">
        <v>4535</v>
      </c>
      <c r="AL671" s="0" t="s">
        <v>4536</v>
      </c>
      <c r="AM671" s="0" t="s">
        <v>4537</v>
      </c>
      <c r="AN671" s="0" t="s">
        <v>4538</v>
      </c>
      <c r="AO671" s="0" t="s">
        <v>4539</v>
      </c>
      <c r="AP671" s="0" t="s">
        <v>4539</v>
      </c>
      <c r="AR671" s="0" t="s">
        <v>4543</v>
      </c>
    </row>
    <row r="672" customFormat="false" ht="15" hidden="false" customHeight="false" outlineLevel="0" collapsed="false">
      <c r="A672" s="0" t="n">
        <v>671</v>
      </c>
      <c r="B672" s="0" t="s">
        <v>4544</v>
      </c>
      <c r="C672" s="0" t="s">
        <v>88</v>
      </c>
      <c r="E672" s="0" t="s">
        <v>4545</v>
      </c>
      <c r="H672" s="0" t="s">
        <v>4546</v>
      </c>
      <c r="I672" s="0" t="s">
        <v>94</v>
      </c>
      <c r="N672" s="3" t="s">
        <v>95</v>
      </c>
      <c r="O672" s="3" t="s">
        <v>95</v>
      </c>
      <c r="P672" s="0" t="s">
        <v>96</v>
      </c>
      <c r="AA672" s="0" t="s">
        <v>47</v>
      </c>
      <c r="AB672" s="0" t="s">
        <v>4547</v>
      </c>
      <c r="AC672" s="0" t="s">
        <v>4548</v>
      </c>
      <c r="AE672" s="0" t="s">
        <v>79</v>
      </c>
      <c r="AF672" s="3" t="s">
        <v>48</v>
      </c>
      <c r="AG672" s="3" t="s">
        <v>49</v>
      </c>
      <c r="AM672" s="0" t="s">
        <v>4549</v>
      </c>
      <c r="AP672" s="0" t="s">
        <v>4546</v>
      </c>
      <c r="AR672" s="0" t="s">
        <v>4550</v>
      </c>
    </row>
    <row r="673" customFormat="false" ht="15" hidden="false" customHeight="false" outlineLevel="0" collapsed="false">
      <c r="A673" s="0" t="n">
        <v>672</v>
      </c>
      <c r="B673" s="0" t="s">
        <v>4551</v>
      </c>
      <c r="C673" s="0" t="s">
        <v>88</v>
      </c>
      <c r="E673" s="0" t="s">
        <v>4552</v>
      </c>
      <c r="H673" s="0" t="s">
        <v>4553</v>
      </c>
      <c r="I673" s="0" t="s">
        <v>154</v>
      </c>
      <c r="AA673" s="0" t="s">
        <v>47</v>
      </c>
      <c r="AF673" s="3" t="s">
        <v>48</v>
      </c>
      <c r="AG673" s="3" t="s">
        <v>49</v>
      </c>
      <c r="AL673" s="0" t="s">
        <v>4554</v>
      </c>
      <c r="AM673" s="0" t="s">
        <v>4555</v>
      </c>
      <c r="AO673" s="0" t="s">
        <v>4556</v>
      </c>
      <c r="AP673" s="0" t="s">
        <v>4556</v>
      </c>
      <c r="AR673" s="0" t="s">
        <v>4557</v>
      </c>
    </row>
    <row r="674" customFormat="false" ht="15" hidden="false" customHeight="false" outlineLevel="0" collapsed="false">
      <c r="A674" s="0" t="n">
        <v>673</v>
      </c>
      <c r="B674" s="0" t="s">
        <v>4558</v>
      </c>
      <c r="C674" s="0" t="s">
        <v>88</v>
      </c>
      <c r="E674" s="0" t="s">
        <v>4559</v>
      </c>
      <c r="H674" s="0" t="s">
        <v>4560</v>
      </c>
      <c r="I674" s="0" t="s">
        <v>154</v>
      </c>
      <c r="AA674" s="0" t="s">
        <v>47</v>
      </c>
      <c r="AB674" s="0" t="s">
        <v>4561</v>
      </c>
      <c r="AC674" s="0" t="s">
        <v>4562</v>
      </c>
      <c r="AD674" s="0" t="s">
        <v>4563</v>
      </c>
      <c r="AE674" s="0" t="s">
        <v>79</v>
      </c>
      <c r="AF674" s="3" t="s">
        <v>48</v>
      </c>
      <c r="AG674" s="3" t="s">
        <v>49</v>
      </c>
      <c r="AL674" s="0" t="s">
        <v>4564</v>
      </c>
      <c r="AM674" s="0" t="s">
        <v>4565</v>
      </c>
      <c r="AO674" s="0" t="s">
        <v>4566</v>
      </c>
      <c r="AP674" s="0" t="s">
        <v>4566</v>
      </c>
      <c r="AR674" s="0" t="s">
        <v>4567</v>
      </c>
    </row>
    <row r="675" customFormat="false" ht="15" hidden="false" customHeight="false" outlineLevel="0" collapsed="false">
      <c r="A675" s="0" t="n">
        <v>674</v>
      </c>
      <c r="B675" s="0" t="s">
        <v>4568</v>
      </c>
      <c r="C675" s="0" t="s">
        <v>88</v>
      </c>
      <c r="E675" s="0" t="s">
        <v>4569</v>
      </c>
      <c r="AA675" s="0" t="s">
        <v>47</v>
      </c>
      <c r="AB675" s="0" t="s">
        <v>4570</v>
      </c>
      <c r="AC675" s="0" t="s">
        <v>4571</v>
      </c>
      <c r="AE675" s="0" t="s">
        <v>79</v>
      </c>
      <c r="AF675" s="3" t="s">
        <v>48</v>
      </c>
      <c r="AG675" s="3" t="s">
        <v>49</v>
      </c>
      <c r="AR675" s="0" t="s">
        <v>4569</v>
      </c>
    </row>
    <row r="676" customFormat="false" ht="15" hidden="false" customHeight="false" outlineLevel="0" collapsed="false">
      <c r="A676" s="0" t="n">
        <v>675</v>
      </c>
      <c r="B676" s="0" t="s">
        <v>4572</v>
      </c>
      <c r="C676" s="0" t="s">
        <v>88</v>
      </c>
      <c r="E676" s="0" t="s">
        <v>4573</v>
      </c>
      <c r="H676" s="0" t="s">
        <v>4574</v>
      </c>
      <c r="I676" s="0" t="s">
        <v>154</v>
      </c>
      <c r="N676" s="3" t="s">
        <v>1248</v>
      </c>
      <c r="O676" s="3" t="s">
        <v>1248</v>
      </c>
      <c r="P676" s="0" t="s">
        <v>96</v>
      </c>
      <c r="AA676" s="0" t="s">
        <v>47</v>
      </c>
      <c r="AB676" s="0" t="s">
        <v>4575</v>
      </c>
      <c r="AC676" s="0" t="s">
        <v>4576</v>
      </c>
      <c r="AD676" s="0" t="s">
        <v>4577</v>
      </c>
      <c r="AE676" s="0" t="s">
        <v>79</v>
      </c>
      <c r="AF676" s="3" t="s">
        <v>48</v>
      </c>
      <c r="AG676" s="3" t="s">
        <v>49</v>
      </c>
      <c r="AL676" s="0" t="s">
        <v>4578</v>
      </c>
      <c r="AP676" s="0" t="s">
        <v>4579</v>
      </c>
      <c r="AR676" s="0" t="s">
        <v>4580</v>
      </c>
    </row>
    <row r="677" customFormat="false" ht="15" hidden="false" customHeight="false" outlineLevel="0" collapsed="false">
      <c r="A677" s="0" t="n">
        <v>676</v>
      </c>
      <c r="B677" s="0" t="s">
        <v>4581</v>
      </c>
      <c r="C677" s="0" t="s">
        <v>88</v>
      </c>
      <c r="E677" s="0" t="s">
        <v>4582</v>
      </c>
      <c r="H677" s="0" t="s">
        <v>4583</v>
      </c>
      <c r="I677" s="0" t="s">
        <v>46</v>
      </c>
      <c r="N677" s="3" t="s">
        <v>95</v>
      </c>
      <c r="O677" s="3" t="s">
        <v>95</v>
      </c>
      <c r="P677" s="0" t="s">
        <v>96</v>
      </c>
      <c r="AA677" s="0" t="s">
        <v>47</v>
      </c>
      <c r="AB677" s="0" t="s">
        <v>4584</v>
      </c>
      <c r="AC677" s="0" t="s">
        <v>4585</v>
      </c>
      <c r="AD677" s="0" t="s">
        <v>4586</v>
      </c>
      <c r="AE677" s="0" t="s">
        <v>79</v>
      </c>
      <c r="AF677" s="3" t="s">
        <v>48</v>
      </c>
      <c r="AG677" s="3" t="s">
        <v>49</v>
      </c>
      <c r="AR677" s="0" t="s">
        <v>4582</v>
      </c>
    </row>
    <row r="678" customFormat="false" ht="15" hidden="false" customHeight="false" outlineLevel="0" collapsed="false">
      <c r="A678" s="0" t="n">
        <v>677</v>
      </c>
      <c r="B678" s="0" t="s">
        <v>4587</v>
      </c>
      <c r="C678" s="0" t="s">
        <v>88</v>
      </c>
      <c r="E678" s="0" t="s">
        <v>4588</v>
      </c>
      <c r="AA678" s="0" t="s">
        <v>47</v>
      </c>
      <c r="AF678" s="3" t="s">
        <v>48</v>
      </c>
      <c r="AG678" s="3" t="s">
        <v>49</v>
      </c>
      <c r="AR678" s="0" t="s">
        <v>4588</v>
      </c>
    </row>
    <row r="679" customFormat="false" ht="15" hidden="false" customHeight="false" outlineLevel="0" collapsed="false">
      <c r="A679" s="0" t="n">
        <v>678</v>
      </c>
      <c r="B679" s="0" t="s">
        <v>4589</v>
      </c>
      <c r="C679" s="0" t="s">
        <v>88</v>
      </c>
      <c r="E679" s="0" t="s">
        <v>4590</v>
      </c>
      <c r="H679" s="0" t="s">
        <v>4591</v>
      </c>
      <c r="I679" s="0" t="s">
        <v>154</v>
      </c>
      <c r="N679" s="3" t="s">
        <v>202</v>
      </c>
      <c r="O679" s="3" t="s">
        <v>202</v>
      </c>
      <c r="P679" s="0" t="s">
        <v>96</v>
      </c>
      <c r="AA679" s="0" t="s">
        <v>47</v>
      </c>
      <c r="AB679" s="0" t="s">
        <v>4592</v>
      </c>
      <c r="AC679" s="0" t="s">
        <v>4593</v>
      </c>
      <c r="AD679" s="0" t="s">
        <v>4594</v>
      </c>
      <c r="AE679" s="0" t="s">
        <v>79</v>
      </c>
      <c r="AF679" s="3" t="s">
        <v>48</v>
      </c>
      <c r="AG679" s="3" t="s">
        <v>49</v>
      </c>
      <c r="AL679" s="0" t="s">
        <v>4595</v>
      </c>
      <c r="AM679" s="0" t="s">
        <v>4596</v>
      </c>
      <c r="AO679" s="0" t="s">
        <v>4597</v>
      </c>
      <c r="AP679" s="0" t="s">
        <v>4597</v>
      </c>
      <c r="AR679" s="0" t="s">
        <v>4598</v>
      </c>
    </row>
    <row r="680" customFormat="false" ht="15" hidden="false" customHeight="false" outlineLevel="0" collapsed="false">
      <c r="A680" s="0" t="n">
        <v>679</v>
      </c>
      <c r="B680" s="0" t="s">
        <v>4599</v>
      </c>
      <c r="C680" s="0" t="s">
        <v>61</v>
      </c>
      <c r="D680" s="0" t="s">
        <v>4600</v>
      </c>
      <c r="E680" s="0" t="s">
        <v>4601</v>
      </c>
      <c r="H680" s="0" t="s">
        <v>4602</v>
      </c>
      <c r="I680" s="0" t="s">
        <v>94</v>
      </c>
      <c r="J680" s="3" t="s">
        <v>66</v>
      </c>
      <c r="K680" s="0" t="s">
        <v>4603</v>
      </c>
      <c r="M680" s="0" t="s">
        <v>4604</v>
      </c>
      <c r="N680" s="3" t="s">
        <v>54</v>
      </c>
      <c r="O680" s="3" t="s">
        <v>54</v>
      </c>
      <c r="P680" s="0" t="s">
        <v>55</v>
      </c>
      <c r="Q680" s="0" t="s">
        <v>4605</v>
      </c>
      <c r="AA680" s="0" t="s">
        <v>47</v>
      </c>
      <c r="AB680" s="0" t="s">
        <v>4606</v>
      </c>
      <c r="AC680" s="0" t="s">
        <v>4607</v>
      </c>
      <c r="AD680" s="0" t="s">
        <v>4608</v>
      </c>
      <c r="AE680" s="0" t="s">
        <v>79</v>
      </c>
      <c r="AF680" s="3" t="s">
        <v>108</v>
      </c>
      <c r="AG680" s="3" t="s">
        <v>49</v>
      </c>
      <c r="AH680" s="0" t="n">
        <v>2026</v>
      </c>
      <c r="AI680" s="0" t="s">
        <v>4094</v>
      </c>
      <c r="AJ680" s="0" t="s">
        <v>4095</v>
      </c>
      <c r="AK680" s="0" t="s">
        <v>4609</v>
      </c>
      <c r="AN680" s="0" t="s">
        <v>4603</v>
      </c>
      <c r="AO680" s="0" t="s">
        <v>4610</v>
      </c>
      <c r="AP680" s="0" t="s">
        <v>4610</v>
      </c>
      <c r="AQ680" s="0" t="s">
        <v>4611</v>
      </c>
      <c r="AR680" s="0" t="s">
        <v>4612</v>
      </c>
    </row>
    <row r="681" customFormat="false" ht="15" hidden="false" customHeight="false" outlineLevel="0" collapsed="false">
      <c r="A681" s="0" t="n">
        <v>680</v>
      </c>
      <c r="B681" s="0" t="s">
        <v>4613</v>
      </c>
      <c r="C681" s="0" t="s">
        <v>43</v>
      </c>
      <c r="F681" s="0" t="s">
        <v>44</v>
      </c>
      <c r="H681" s="0" t="s">
        <v>4614</v>
      </c>
      <c r="I681" s="0" t="s">
        <v>154</v>
      </c>
      <c r="AA681" s="0" t="s">
        <v>47</v>
      </c>
      <c r="AF681" s="3" t="s">
        <v>48</v>
      </c>
      <c r="AG681" s="3" t="s">
        <v>49</v>
      </c>
      <c r="AL681" s="0" t="s">
        <v>4615</v>
      </c>
      <c r="AM681" s="0" t="s">
        <v>4616</v>
      </c>
      <c r="AO681" s="0" t="s">
        <v>4617</v>
      </c>
      <c r="AP681" s="0" t="s">
        <v>4617</v>
      </c>
      <c r="AR681" s="0" t="s">
        <v>4618</v>
      </c>
    </row>
    <row r="682" customFormat="false" ht="15" hidden="false" customHeight="false" outlineLevel="0" collapsed="false">
      <c r="A682" s="0" t="n">
        <v>681</v>
      </c>
      <c r="B682" s="0" t="s">
        <v>4619</v>
      </c>
      <c r="C682" s="0" t="s">
        <v>43</v>
      </c>
      <c r="F682" s="0" t="s">
        <v>44</v>
      </c>
      <c r="H682" s="0" t="s">
        <v>4620</v>
      </c>
      <c r="I682" s="0" t="s">
        <v>154</v>
      </c>
      <c r="AA682" s="0" t="s">
        <v>47</v>
      </c>
      <c r="AF682" s="3" t="s">
        <v>48</v>
      </c>
      <c r="AG682" s="3" t="s">
        <v>49</v>
      </c>
      <c r="AL682" s="0" t="s">
        <v>4621</v>
      </c>
      <c r="AM682" s="0" t="s">
        <v>4622</v>
      </c>
      <c r="AO682" s="0" t="s">
        <v>4623</v>
      </c>
      <c r="AP682" s="0" t="s">
        <v>4623</v>
      </c>
      <c r="AR682" s="0" t="s">
        <v>4624</v>
      </c>
    </row>
    <row r="683" customFormat="false" ht="15" hidden="false" customHeight="false" outlineLevel="0" collapsed="false">
      <c r="A683" s="0" t="n">
        <v>682</v>
      </c>
      <c r="B683" s="0" t="s">
        <v>4625</v>
      </c>
      <c r="C683" s="0" t="s">
        <v>88</v>
      </c>
      <c r="E683" s="0" t="s">
        <v>4626</v>
      </c>
      <c r="H683" s="0" t="s">
        <v>4627</v>
      </c>
      <c r="I683" s="0" t="s">
        <v>94</v>
      </c>
      <c r="AA683" s="0" t="s">
        <v>47</v>
      </c>
      <c r="AF683" s="3" t="s">
        <v>48</v>
      </c>
      <c r="AG683" s="3" t="s">
        <v>49</v>
      </c>
      <c r="AL683" s="0" t="s">
        <v>4628</v>
      </c>
      <c r="AM683" s="0" t="s">
        <v>4629</v>
      </c>
      <c r="AO683" s="0" t="s">
        <v>4630</v>
      </c>
      <c r="AP683" s="0" t="s">
        <v>4630</v>
      </c>
      <c r="AR683" s="0" t="s">
        <v>4631</v>
      </c>
    </row>
    <row r="684" customFormat="false" ht="15" hidden="false" customHeight="false" outlineLevel="0" collapsed="false">
      <c r="A684" s="0" t="n">
        <v>683</v>
      </c>
      <c r="B684" s="0" t="s">
        <v>4632</v>
      </c>
      <c r="C684" s="0" t="s">
        <v>43</v>
      </c>
      <c r="F684" s="0" t="s">
        <v>44</v>
      </c>
      <c r="H684" s="0" t="s">
        <v>4633</v>
      </c>
      <c r="I684" s="0" t="s">
        <v>46</v>
      </c>
      <c r="AA684" s="0" t="s">
        <v>47</v>
      </c>
      <c r="AF684" s="3" t="s">
        <v>48</v>
      </c>
      <c r="AG684" s="3" t="s">
        <v>49</v>
      </c>
      <c r="AR684" s="0" t="s">
        <v>50</v>
      </c>
    </row>
    <row r="685" customFormat="false" ht="15" hidden="false" customHeight="false" outlineLevel="0" collapsed="false">
      <c r="A685" s="0" t="n">
        <v>684</v>
      </c>
      <c r="B685" s="0" t="s">
        <v>4634</v>
      </c>
      <c r="C685" s="0" t="s">
        <v>88</v>
      </c>
      <c r="E685" s="0" t="s">
        <v>4635</v>
      </c>
      <c r="H685" s="0" t="s">
        <v>4636</v>
      </c>
      <c r="I685" s="0" t="s">
        <v>154</v>
      </c>
      <c r="AA685" s="0" t="s">
        <v>47</v>
      </c>
      <c r="AF685" s="3" t="s">
        <v>48</v>
      </c>
      <c r="AG685" s="3" t="s">
        <v>49</v>
      </c>
      <c r="AL685" s="0" t="s">
        <v>4637</v>
      </c>
      <c r="AM685" s="0" t="s">
        <v>4638</v>
      </c>
      <c r="AO685" s="0" t="s">
        <v>4639</v>
      </c>
      <c r="AP685" s="0" t="s">
        <v>4639</v>
      </c>
      <c r="AR685" s="0" t="s">
        <v>4640</v>
      </c>
    </row>
    <row r="686" customFormat="false" ht="15" hidden="false" customHeight="false" outlineLevel="0" collapsed="false">
      <c r="A686" s="0" t="n">
        <v>685</v>
      </c>
      <c r="B686" s="0" t="s">
        <v>4641</v>
      </c>
      <c r="C686" s="0" t="s">
        <v>88</v>
      </c>
      <c r="E686" s="0" t="s">
        <v>4642</v>
      </c>
      <c r="AA686" s="0" t="s">
        <v>47</v>
      </c>
      <c r="AB686" s="0" t="s">
        <v>4643</v>
      </c>
      <c r="AC686" s="0" t="s">
        <v>4644</v>
      </c>
      <c r="AE686" s="0" t="s">
        <v>79</v>
      </c>
      <c r="AF686" s="3" t="s">
        <v>48</v>
      </c>
      <c r="AG686" s="3" t="s">
        <v>49</v>
      </c>
      <c r="AR686" s="0" t="s">
        <v>4642</v>
      </c>
    </row>
    <row r="687" customFormat="false" ht="15" hidden="false" customHeight="false" outlineLevel="0" collapsed="false">
      <c r="A687" s="0" t="n">
        <v>686</v>
      </c>
      <c r="B687" s="0" t="s">
        <v>4645</v>
      </c>
      <c r="C687" s="0" t="s">
        <v>88</v>
      </c>
      <c r="E687" s="0" t="s">
        <v>4646</v>
      </c>
      <c r="N687" s="3" t="s">
        <v>202</v>
      </c>
      <c r="O687" s="3" t="s">
        <v>202</v>
      </c>
      <c r="P687" s="0" t="s">
        <v>96</v>
      </c>
      <c r="AA687" s="0" t="s">
        <v>47</v>
      </c>
      <c r="AB687" s="0" t="s">
        <v>4647</v>
      </c>
      <c r="AC687" s="0" t="s">
        <v>4648</v>
      </c>
      <c r="AD687" s="0" t="s">
        <v>4649</v>
      </c>
      <c r="AE687" s="0" t="s">
        <v>79</v>
      </c>
      <c r="AF687" s="3" t="s">
        <v>48</v>
      </c>
      <c r="AG687" s="3" t="s">
        <v>49</v>
      </c>
      <c r="AR687" s="0" t="s">
        <v>4646</v>
      </c>
    </row>
    <row r="688" customFormat="false" ht="15" hidden="false" customHeight="false" outlineLevel="0" collapsed="false">
      <c r="A688" s="0" t="n">
        <v>687</v>
      </c>
      <c r="B688" s="0" t="s">
        <v>4650</v>
      </c>
      <c r="C688" s="0" t="s">
        <v>244</v>
      </c>
      <c r="E688" s="0" t="s">
        <v>4651</v>
      </c>
      <c r="F688" s="0" t="s">
        <v>44</v>
      </c>
      <c r="N688" s="3" t="s">
        <v>202</v>
      </c>
      <c r="O688" s="3" t="s">
        <v>202</v>
      </c>
      <c r="P688" s="0" t="s">
        <v>96</v>
      </c>
      <c r="AA688" s="0" t="s">
        <v>47</v>
      </c>
      <c r="AB688" s="0" t="s">
        <v>4652</v>
      </c>
      <c r="AC688" s="0" t="s">
        <v>4653</v>
      </c>
      <c r="AD688" s="0" t="s">
        <v>4654</v>
      </c>
      <c r="AE688" s="0" t="s">
        <v>79</v>
      </c>
      <c r="AF688" s="3" t="s">
        <v>149</v>
      </c>
      <c r="AG688" s="3" t="s">
        <v>81</v>
      </c>
      <c r="AK688" s="0" t="s">
        <v>4655</v>
      </c>
      <c r="AR688" s="0" t="s">
        <v>4656</v>
      </c>
    </row>
    <row r="689" customFormat="false" ht="15" hidden="false" customHeight="false" outlineLevel="0" collapsed="false">
      <c r="A689" s="0" t="n">
        <v>688</v>
      </c>
      <c r="B689" s="0" t="s">
        <v>4657</v>
      </c>
      <c r="C689" s="0" t="s">
        <v>88</v>
      </c>
      <c r="E689" s="0" t="s">
        <v>4658</v>
      </c>
      <c r="H689" s="0" t="s">
        <v>4659</v>
      </c>
      <c r="I689" s="0" t="s">
        <v>46</v>
      </c>
      <c r="N689" s="3" t="s">
        <v>202</v>
      </c>
      <c r="O689" s="3" t="s">
        <v>202</v>
      </c>
      <c r="P689" s="0" t="s">
        <v>96</v>
      </c>
      <c r="AA689" s="0" t="s">
        <v>47</v>
      </c>
      <c r="AB689" s="0" t="s">
        <v>4660</v>
      </c>
      <c r="AC689" s="0" t="s">
        <v>4661</v>
      </c>
      <c r="AD689" s="0" t="s">
        <v>4662</v>
      </c>
      <c r="AE689" s="0" t="s">
        <v>79</v>
      </c>
      <c r="AF689" s="3" t="s">
        <v>48</v>
      </c>
      <c r="AG689" s="3" t="s">
        <v>49</v>
      </c>
      <c r="AR689" s="0" t="s">
        <v>4658</v>
      </c>
    </row>
    <row r="690" customFormat="false" ht="15" hidden="false" customHeight="false" outlineLevel="0" collapsed="false">
      <c r="A690" s="0" t="n">
        <v>689</v>
      </c>
      <c r="B690" s="0" t="s">
        <v>4663</v>
      </c>
      <c r="C690" s="0" t="s">
        <v>244</v>
      </c>
      <c r="E690" s="0" t="s">
        <v>4664</v>
      </c>
      <c r="F690" s="0" t="s">
        <v>44</v>
      </c>
      <c r="H690" s="0" t="s">
        <v>4665</v>
      </c>
      <c r="I690" s="0" t="s">
        <v>154</v>
      </c>
      <c r="N690" s="3" t="s">
        <v>186</v>
      </c>
      <c r="O690" s="3" t="s">
        <v>186</v>
      </c>
      <c r="P690" s="0" t="s">
        <v>96</v>
      </c>
      <c r="AA690" s="0" t="s">
        <v>47</v>
      </c>
      <c r="AB690" s="0" t="s">
        <v>4666</v>
      </c>
      <c r="AC690" s="0" t="s">
        <v>4667</v>
      </c>
      <c r="AD690" s="0" t="s">
        <v>4668</v>
      </c>
      <c r="AE690" s="0" t="s">
        <v>79</v>
      </c>
      <c r="AF690" s="3" t="s">
        <v>108</v>
      </c>
      <c r="AG690" s="3" t="s">
        <v>81</v>
      </c>
      <c r="AH690" s="0" t="n">
        <v>2026</v>
      </c>
      <c r="AI690" s="0" t="s">
        <v>4669</v>
      </c>
      <c r="AJ690" s="0" t="s">
        <v>4670</v>
      </c>
      <c r="AL690" s="0" t="s">
        <v>4671</v>
      </c>
      <c r="AM690" s="0" t="s">
        <v>4672</v>
      </c>
      <c r="AO690" s="0" t="s">
        <v>4673</v>
      </c>
      <c r="AP690" s="0" t="s">
        <v>4673</v>
      </c>
      <c r="AR690" s="0" t="s">
        <v>4674</v>
      </c>
    </row>
    <row r="691" customFormat="false" ht="15" hidden="false" customHeight="false" outlineLevel="0" collapsed="false">
      <c r="A691" s="0" t="n">
        <v>690</v>
      </c>
      <c r="B691" s="0" t="s">
        <v>4675</v>
      </c>
      <c r="C691" s="0" t="s">
        <v>88</v>
      </c>
      <c r="E691" s="0" t="s">
        <v>4676</v>
      </c>
      <c r="N691" s="3" t="s">
        <v>202</v>
      </c>
      <c r="O691" s="3" t="s">
        <v>202</v>
      </c>
      <c r="P691" s="0" t="s">
        <v>96</v>
      </c>
      <c r="AA691" s="0" t="s">
        <v>47</v>
      </c>
      <c r="AB691" s="0" t="s">
        <v>4677</v>
      </c>
      <c r="AC691" s="0" t="s">
        <v>4678</v>
      </c>
      <c r="AD691" s="0" t="s">
        <v>4679</v>
      </c>
      <c r="AE691" s="0" t="s">
        <v>79</v>
      </c>
      <c r="AF691" s="3" t="s">
        <v>48</v>
      </c>
      <c r="AG691" s="3" t="s">
        <v>49</v>
      </c>
      <c r="AR691" s="0" t="s">
        <v>4676</v>
      </c>
    </row>
    <row r="692" customFormat="false" ht="15" hidden="false" customHeight="false" outlineLevel="0" collapsed="false">
      <c r="A692" s="0" t="n">
        <v>691</v>
      </c>
      <c r="B692" s="0" t="s">
        <v>4680</v>
      </c>
      <c r="C692" s="0" t="s">
        <v>43</v>
      </c>
      <c r="F692" s="0" t="s">
        <v>44</v>
      </c>
      <c r="AA692" s="0" t="s">
        <v>47</v>
      </c>
      <c r="AF692" s="3" t="s">
        <v>48</v>
      </c>
      <c r="AG692" s="3" t="s">
        <v>49</v>
      </c>
      <c r="AR692" s="0" t="s">
        <v>50</v>
      </c>
    </row>
    <row r="693" customFormat="false" ht="15" hidden="false" customHeight="false" outlineLevel="0" collapsed="false">
      <c r="A693" s="0" t="n">
        <v>692</v>
      </c>
      <c r="B693" s="0" t="s">
        <v>4681</v>
      </c>
      <c r="C693" s="0" t="s">
        <v>52</v>
      </c>
      <c r="D693" s="0" t="s">
        <v>4682</v>
      </c>
      <c r="H693" s="0" t="s">
        <v>4683</v>
      </c>
      <c r="I693" s="0" t="s">
        <v>115</v>
      </c>
      <c r="J693" s="3" t="s">
        <v>116</v>
      </c>
      <c r="K693" s="0" t="s">
        <v>4684</v>
      </c>
      <c r="M693" s="0" t="n">
        <v>1958</v>
      </c>
      <c r="N693" s="0" t="s">
        <v>697</v>
      </c>
      <c r="O693" s="3" t="s">
        <v>136</v>
      </c>
      <c r="P693" s="0" t="s">
        <v>55</v>
      </c>
      <c r="R693" s="0" t="n">
        <v>400</v>
      </c>
      <c r="S693" s="0" t="n">
        <v>2024</v>
      </c>
      <c r="T693" s="0" t="s">
        <v>698</v>
      </c>
      <c r="U693" s="0" t="s">
        <v>115</v>
      </c>
      <c r="V693" s="0" t="n">
        <v>80</v>
      </c>
      <c r="W693" s="0" t="s">
        <v>4685</v>
      </c>
      <c r="X693" s="0" t="s">
        <v>4686</v>
      </c>
      <c r="Y693" s="0" t="s">
        <v>698</v>
      </c>
      <c r="Z693" s="0" t="s">
        <v>115</v>
      </c>
      <c r="AA693" s="0" t="s">
        <v>698</v>
      </c>
      <c r="AB693" s="0" t="s">
        <v>4687</v>
      </c>
      <c r="AC693" s="0" t="s">
        <v>4688</v>
      </c>
      <c r="AD693" s="0" t="s">
        <v>4689</v>
      </c>
      <c r="AE693" s="0" t="s">
        <v>115</v>
      </c>
      <c r="AF693" s="3" t="s">
        <v>108</v>
      </c>
      <c r="AG693" s="3" t="s">
        <v>404</v>
      </c>
      <c r="AH693" s="0" t="n">
        <v>2026</v>
      </c>
      <c r="AI693" s="0" t="s">
        <v>4690</v>
      </c>
      <c r="AJ693" s="0" t="s">
        <v>4691</v>
      </c>
      <c r="AK693" s="0" t="s">
        <v>4692</v>
      </c>
      <c r="AN693" s="0" t="s">
        <v>4693</v>
      </c>
      <c r="AO693" s="0" t="s">
        <v>4694</v>
      </c>
      <c r="AP693" s="0" t="s">
        <v>4695</v>
      </c>
      <c r="AR693" s="0" t="s">
        <v>4696</v>
      </c>
    </row>
    <row r="694" customFormat="false" ht="15" hidden="false" customHeight="false" outlineLevel="0" collapsed="false">
      <c r="A694" s="0" t="n">
        <v>693</v>
      </c>
      <c r="B694" s="0" t="s">
        <v>4697</v>
      </c>
      <c r="C694" s="0" t="s">
        <v>244</v>
      </c>
      <c r="E694" s="0" t="s">
        <v>4698</v>
      </c>
      <c r="F694" s="0" t="s">
        <v>44</v>
      </c>
      <c r="H694" s="0" t="s">
        <v>4699</v>
      </c>
      <c r="I694" s="0" t="s">
        <v>94</v>
      </c>
      <c r="N694" s="3" t="s">
        <v>213</v>
      </c>
      <c r="O694" s="3" t="s">
        <v>213</v>
      </c>
      <c r="P694" s="0" t="s">
        <v>96</v>
      </c>
      <c r="AA694" s="0" t="s">
        <v>47</v>
      </c>
      <c r="AB694" s="0" t="s">
        <v>4700</v>
      </c>
      <c r="AC694" s="0" t="s">
        <v>4701</v>
      </c>
      <c r="AD694" s="0" t="s">
        <v>4702</v>
      </c>
      <c r="AE694" s="0" t="s">
        <v>79</v>
      </c>
      <c r="AF694" s="3" t="s">
        <v>149</v>
      </c>
      <c r="AG694" s="3" t="s">
        <v>81</v>
      </c>
      <c r="AK694" s="0" t="s">
        <v>4703</v>
      </c>
      <c r="AP694" s="0" t="s">
        <v>4704</v>
      </c>
      <c r="AR694" s="0" t="s">
        <v>4705</v>
      </c>
    </row>
    <row r="695" customFormat="false" ht="15" hidden="false" customHeight="false" outlineLevel="0" collapsed="false">
      <c r="A695" s="0" t="n">
        <v>694</v>
      </c>
      <c r="B695" s="0" t="s">
        <v>4706</v>
      </c>
      <c r="C695" s="0" t="s">
        <v>88</v>
      </c>
      <c r="E695" s="0" t="s">
        <v>4707</v>
      </c>
      <c r="H695" s="0" t="s">
        <v>4708</v>
      </c>
      <c r="I695" s="0" t="s">
        <v>154</v>
      </c>
      <c r="N695" s="3" t="s">
        <v>239</v>
      </c>
      <c r="O695" s="3" t="s">
        <v>239</v>
      </c>
      <c r="P695" s="0" t="s">
        <v>96</v>
      </c>
      <c r="AA695" s="0" t="s">
        <v>47</v>
      </c>
      <c r="AB695" s="0" t="s">
        <v>4709</v>
      </c>
      <c r="AC695" s="0" t="s">
        <v>4710</v>
      </c>
      <c r="AD695" s="0" t="s">
        <v>4711</v>
      </c>
      <c r="AE695" s="0" t="s">
        <v>79</v>
      </c>
      <c r="AF695" s="3" t="s">
        <v>48</v>
      </c>
      <c r="AG695" s="3" t="s">
        <v>49</v>
      </c>
      <c r="AL695" s="0" t="s">
        <v>4712</v>
      </c>
      <c r="AM695" s="0" t="s">
        <v>4713</v>
      </c>
      <c r="AO695" s="0" t="s">
        <v>4714</v>
      </c>
      <c r="AP695" s="0" t="s">
        <v>4714</v>
      </c>
      <c r="AR695" s="0" t="s">
        <v>4715</v>
      </c>
    </row>
    <row r="696" customFormat="false" ht="15" hidden="false" customHeight="false" outlineLevel="0" collapsed="false">
      <c r="A696" s="0" t="n">
        <v>695</v>
      </c>
      <c r="B696" s="0" t="s">
        <v>4716</v>
      </c>
      <c r="C696" s="0" t="s">
        <v>61</v>
      </c>
      <c r="D696" s="0" t="s">
        <v>4717</v>
      </c>
      <c r="E696" s="0" t="s">
        <v>4718</v>
      </c>
      <c r="H696" s="0" t="s">
        <v>2311</v>
      </c>
      <c r="I696" s="0" t="s">
        <v>115</v>
      </c>
      <c r="J696" s="3" t="s">
        <v>66</v>
      </c>
      <c r="K696" s="0" t="s">
        <v>2312</v>
      </c>
      <c r="L696" s="0" t="s">
        <v>2313</v>
      </c>
      <c r="M696" s="0" t="n">
        <v>1955</v>
      </c>
      <c r="N696" s="0" t="s">
        <v>986</v>
      </c>
      <c r="O696" s="3" t="s">
        <v>136</v>
      </c>
      <c r="P696" s="0" t="s">
        <v>55</v>
      </c>
      <c r="R696" s="0" t="n">
        <v>2000</v>
      </c>
      <c r="S696" s="0" t="n">
        <v>2024</v>
      </c>
      <c r="T696" s="0" t="s">
        <v>698</v>
      </c>
      <c r="U696" s="0" t="s">
        <v>115</v>
      </c>
      <c r="V696" s="0" t="n">
        <v>400</v>
      </c>
      <c r="W696" s="0" t="s">
        <v>2315</v>
      </c>
      <c r="X696" s="0" t="s">
        <v>2316</v>
      </c>
      <c r="Y696" s="0" t="s">
        <v>698</v>
      </c>
      <c r="Z696" s="0" t="s">
        <v>115</v>
      </c>
      <c r="AA696" s="0" t="s">
        <v>698</v>
      </c>
      <c r="AB696" s="0" t="s">
        <v>2317</v>
      </c>
      <c r="AC696" s="0" t="s">
        <v>2318</v>
      </c>
      <c r="AD696" s="0" t="s">
        <v>2319</v>
      </c>
      <c r="AE696" s="0" t="s">
        <v>115</v>
      </c>
      <c r="AF696" s="3" t="s">
        <v>108</v>
      </c>
      <c r="AG696" s="3" t="s">
        <v>404</v>
      </c>
      <c r="AH696" s="0" t="n">
        <v>2026</v>
      </c>
      <c r="AI696" s="0" t="s">
        <v>2320</v>
      </c>
      <c r="AJ696" s="0" t="s">
        <v>2321</v>
      </c>
      <c r="AK696" s="0" t="s">
        <v>2322</v>
      </c>
      <c r="AL696" s="0" t="s">
        <v>2323</v>
      </c>
      <c r="AM696" s="0" t="s">
        <v>2324</v>
      </c>
      <c r="AN696" s="0" t="s">
        <v>2325</v>
      </c>
      <c r="AP696" s="0" t="s">
        <v>2326</v>
      </c>
      <c r="AR696" s="0" t="s">
        <v>4719</v>
      </c>
    </row>
    <row r="697" customFormat="false" ht="15" hidden="false" customHeight="false" outlineLevel="0" collapsed="false">
      <c r="A697" s="0" t="n">
        <v>696</v>
      </c>
      <c r="B697" s="0" t="s">
        <v>4720</v>
      </c>
      <c r="C697" s="0" t="s">
        <v>88</v>
      </c>
      <c r="E697" s="0" t="s">
        <v>4721</v>
      </c>
      <c r="H697" s="0" t="s">
        <v>4722</v>
      </c>
      <c r="I697" s="0" t="s">
        <v>115</v>
      </c>
      <c r="J697" s="3" t="s">
        <v>116</v>
      </c>
      <c r="K697" s="0" t="s">
        <v>4723</v>
      </c>
      <c r="M697" s="0" t="n">
        <v>1949</v>
      </c>
      <c r="N697" s="0" t="s">
        <v>4724</v>
      </c>
      <c r="R697" s="0" t="n">
        <v>3604</v>
      </c>
      <c r="S697" s="0" t="n">
        <v>2025</v>
      </c>
      <c r="T697" s="0" t="s">
        <v>72</v>
      </c>
      <c r="U697" s="0" t="s">
        <v>115</v>
      </c>
      <c r="V697" s="0" t="n">
        <v>1202</v>
      </c>
      <c r="W697" s="0" t="s">
        <v>4725</v>
      </c>
      <c r="X697" s="0" t="s">
        <v>4726</v>
      </c>
      <c r="Y697" s="0" t="s">
        <v>72</v>
      </c>
      <c r="Z697" s="0" t="s">
        <v>115</v>
      </c>
      <c r="AA697" s="0" t="s">
        <v>75</v>
      </c>
      <c r="AB697" s="0" t="s">
        <v>4727</v>
      </c>
      <c r="AC697" s="0" t="s">
        <v>4728</v>
      </c>
      <c r="AD697" s="0" t="s">
        <v>4729</v>
      </c>
      <c r="AE697" s="0" t="s">
        <v>115</v>
      </c>
      <c r="AF697" s="3" t="s">
        <v>108</v>
      </c>
      <c r="AG697" s="3" t="s">
        <v>404</v>
      </c>
      <c r="AH697" s="0" t="n">
        <v>2026</v>
      </c>
      <c r="AI697" s="0" t="s">
        <v>1545</v>
      </c>
      <c r="AJ697" s="0" t="s">
        <v>1546</v>
      </c>
      <c r="AK697" s="0" t="s">
        <v>4730</v>
      </c>
      <c r="AL697" s="0" t="s">
        <v>4731</v>
      </c>
      <c r="AN697" s="0" t="s">
        <v>4732</v>
      </c>
      <c r="AO697" s="0" t="s">
        <v>4733</v>
      </c>
      <c r="AP697" s="0" t="s">
        <v>4734</v>
      </c>
      <c r="AR697" s="0" t="s">
        <v>4735</v>
      </c>
    </row>
    <row r="698" customFormat="false" ht="15" hidden="false" customHeight="false" outlineLevel="0" collapsed="false">
      <c r="A698" s="0" t="n">
        <v>697</v>
      </c>
      <c r="B698" s="0" t="s">
        <v>4736</v>
      </c>
      <c r="C698" s="0" t="s">
        <v>88</v>
      </c>
      <c r="E698" s="0" t="s">
        <v>4737</v>
      </c>
      <c r="AA698" s="0" t="s">
        <v>47</v>
      </c>
      <c r="AF698" s="3" t="s">
        <v>48</v>
      </c>
      <c r="AG698" s="3" t="s">
        <v>49</v>
      </c>
      <c r="AR698" s="0" t="s">
        <v>4737</v>
      </c>
    </row>
    <row r="699" customFormat="false" ht="15" hidden="false" customHeight="false" outlineLevel="0" collapsed="false">
      <c r="A699" s="0" t="n">
        <v>698</v>
      </c>
      <c r="B699" s="0" t="s">
        <v>4738</v>
      </c>
      <c r="C699" s="0" t="s">
        <v>52</v>
      </c>
      <c r="D699" s="0" t="s">
        <v>4739</v>
      </c>
      <c r="H699" s="0" t="s">
        <v>4740</v>
      </c>
      <c r="I699" s="0" t="s">
        <v>154</v>
      </c>
      <c r="N699" s="3" t="s">
        <v>54</v>
      </c>
      <c r="O699" s="3" t="s">
        <v>54</v>
      </c>
      <c r="P699" s="0" t="s">
        <v>55</v>
      </c>
      <c r="AA699" s="0" t="s">
        <v>47</v>
      </c>
      <c r="AB699" s="0" t="s">
        <v>4741</v>
      </c>
      <c r="AC699" s="0" t="s">
        <v>4742</v>
      </c>
      <c r="AD699" s="0" t="s">
        <v>4743</v>
      </c>
      <c r="AE699" s="0" t="s">
        <v>59</v>
      </c>
      <c r="AF699" s="3" t="s">
        <v>48</v>
      </c>
      <c r="AG699" s="3" t="s">
        <v>49</v>
      </c>
      <c r="AL699" s="0" t="s">
        <v>4744</v>
      </c>
      <c r="AO699" s="0" t="s">
        <v>4745</v>
      </c>
      <c r="AP699" s="0" t="s">
        <v>4745</v>
      </c>
      <c r="AR699" s="0" t="s">
        <v>4746</v>
      </c>
    </row>
    <row r="700" customFormat="false" ht="15" hidden="false" customHeight="false" outlineLevel="0" collapsed="false">
      <c r="A700" s="0" t="n">
        <v>699</v>
      </c>
      <c r="B700" s="0" t="s">
        <v>4747</v>
      </c>
      <c r="C700" s="0" t="s">
        <v>88</v>
      </c>
      <c r="E700" s="0" t="s">
        <v>4748</v>
      </c>
      <c r="N700" s="3" t="s">
        <v>202</v>
      </c>
      <c r="O700" s="3" t="s">
        <v>202</v>
      </c>
      <c r="P700" s="0" t="s">
        <v>96</v>
      </c>
      <c r="AA700" s="0" t="s">
        <v>47</v>
      </c>
      <c r="AB700" s="0" t="s">
        <v>4749</v>
      </c>
      <c r="AC700" s="0" t="s">
        <v>4750</v>
      </c>
      <c r="AD700" s="0" t="s">
        <v>4751</v>
      </c>
      <c r="AE700" s="0" t="s">
        <v>79</v>
      </c>
      <c r="AF700" s="3" t="s">
        <v>48</v>
      </c>
      <c r="AG700" s="3" t="s">
        <v>49</v>
      </c>
      <c r="AR700" s="0" t="s">
        <v>4748</v>
      </c>
    </row>
    <row r="701" customFormat="false" ht="15" hidden="false" customHeight="false" outlineLevel="0" collapsed="false">
      <c r="A701" s="0" t="n">
        <v>700</v>
      </c>
      <c r="B701" s="0" t="s">
        <v>4752</v>
      </c>
      <c r="C701" s="0" t="s">
        <v>61</v>
      </c>
      <c r="D701" s="0" t="s">
        <v>4753</v>
      </c>
      <c r="E701" s="0" t="s">
        <v>4754</v>
      </c>
      <c r="H701" s="0" t="s">
        <v>4755</v>
      </c>
      <c r="I701" s="0" t="s">
        <v>115</v>
      </c>
      <c r="J701" s="3" t="s">
        <v>694</v>
      </c>
      <c r="K701" s="0" t="s">
        <v>4756</v>
      </c>
      <c r="M701" s="0" t="n">
        <v>1967</v>
      </c>
      <c r="N701" s="0" t="s">
        <v>1325</v>
      </c>
      <c r="O701" s="3" t="s">
        <v>54</v>
      </c>
      <c r="P701" s="0" t="s">
        <v>55</v>
      </c>
      <c r="R701" s="0" t="n">
        <v>423</v>
      </c>
      <c r="S701" s="0" t="n">
        <v>2023</v>
      </c>
      <c r="T701" s="0" t="s">
        <v>72</v>
      </c>
      <c r="U701" s="0" t="s">
        <v>115</v>
      </c>
      <c r="V701" s="0" t="n">
        <v>71.8</v>
      </c>
      <c r="W701" s="0" t="s">
        <v>4757</v>
      </c>
      <c r="X701" s="0" t="s">
        <v>2825</v>
      </c>
      <c r="Y701" s="0" t="s">
        <v>72</v>
      </c>
      <c r="Z701" s="0" t="s">
        <v>115</v>
      </c>
      <c r="AA701" s="0" t="s">
        <v>1022</v>
      </c>
      <c r="AB701" s="0" t="s">
        <v>4758</v>
      </c>
      <c r="AC701" s="0" t="s">
        <v>4759</v>
      </c>
      <c r="AD701" s="0" t="s">
        <v>4760</v>
      </c>
      <c r="AE701" s="0" t="s">
        <v>115</v>
      </c>
      <c r="AF701" s="3" t="s">
        <v>108</v>
      </c>
      <c r="AG701" s="3" t="s">
        <v>404</v>
      </c>
      <c r="AH701" s="0" t="n">
        <v>2026</v>
      </c>
      <c r="AI701" s="0" t="s">
        <v>1331</v>
      </c>
      <c r="AJ701" s="0" t="s">
        <v>1332</v>
      </c>
      <c r="AK701" s="0" t="s">
        <v>4761</v>
      </c>
      <c r="AL701" s="0" t="s">
        <v>4762</v>
      </c>
      <c r="AM701" s="0" t="s">
        <v>4763</v>
      </c>
      <c r="AN701" s="0" t="s">
        <v>4764</v>
      </c>
      <c r="AO701" s="0" t="s">
        <v>4765</v>
      </c>
      <c r="AP701" s="0" t="s">
        <v>4766</v>
      </c>
      <c r="AR701" s="0" t="s">
        <v>4767</v>
      </c>
    </row>
    <row r="702" customFormat="false" ht="15" hidden="false" customHeight="false" outlineLevel="0" collapsed="false">
      <c r="A702" s="0" t="n">
        <v>701</v>
      </c>
      <c r="B702" s="0" t="s">
        <v>4768</v>
      </c>
      <c r="C702" s="0" t="s">
        <v>88</v>
      </c>
      <c r="E702" s="0" t="s">
        <v>4769</v>
      </c>
      <c r="N702" s="3" t="s">
        <v>202</v>
      </c>
      <c r="O702" s="3" t="s">
        <v>202</v>
      </c>
      <c r="P702" s="0" t="s">
        <v>96</v>
      </c>
      <c r="AA702" s="0" t="s">
        <v>47</v>
      </c>
      <c r="AB702" s="0" t="s">
        <v>4770</v>
      </c>
      <c r="AC702" s="0" t="s">
        <v>4771</v>
      </c>
      <c r="AD702" s="0" t="s">
        <v>4772</v>
      </c>
      <c r="AE702" s="0" t="s">
        <v>79</v>
      </c>
      <c r="AF702" s="3" t="s">
        <v>48</v>
      </c>
      <c r="AG702" s="3" t="s">
        <v>49</v>
      </c>
      <c r="AR702" s="0" t="s">
        <v>4769</v>
      </c>
    </row>
    <row r="703" customFormat="false" ht="15" hidden="false" customHeight="false" outlineLevel="0" collapsed="false">
      <c r="A703" s="0" t="n">
        <v>702</v>
      </c>
      <c r="B703" s="0" t="s">
        <v>4773</v>
      </c>
      <c r="C703" s="0" t="s">
        <v>88</v>
      </c>
      <c r="E703" s="0" t="s">
        <v>4774</v>
      </c>
      <c r="H703" s="0" t="s">
        <v>4775</v>
      </c>
      <c r="I703" s="0" t="s">
        <v>46</v>
      </c>
      <c r="N703" s="3" t="s">
        <v>213</v>
      </c>
      <c r="O703" s="3" t="s">
        <v>213</v>
      </c>
      <c r="P703" s="0" t="s">
        <v>96</v>
      </c>
      <c r="AA703" s="0" t="s">
        <v>47</v>
      </c>
      <c r="AB703" s="0" t="s">
        <v>4776</v>
      </c>
      <c r="AC703" s="0" t="s">
        <v>4777</v>
      </c>
      <c r="AD703" s="0" t="s">
        <v>4778</v>
      </c>
      <c r="AE703" s="0" t="s">
        <v>79</v>
      </c>
      <c r="AF703" s="3" t="s">
        <v>48</v>
      </c>
      <c r="AG703" s="3" t="s">
        <v>49</v>
      </c>
      <c r="AR703" s="0" t="s">
        <v>4774</v>
      </c>
    </row>
    <row r="704" customFormat="false" ht="15" hidden="false" customHeight="false" outlineLevel="0" collapsed="false">
      <c r="A704" s="0" t="n">
        <v>703</v>
      </c>
      <c r="B704" s="0" t="s">
        <v>4779</v>
      </c>
      <c r="C704" s="0" t="s">
        <v>43</v>
      </c>
      <c r="F704" s="0" t="s">
        <v>44</v>
      </c>
      <c r="AA704" s="0" t="s">
        <v>47</v>
      </c>
      <c r="AF704" s="3" t="s">
        <v>48</v>
      </c>
      <c r="AG704" s="3" t="s">
        <v>49</v>
      </c>
      <c r="AR704" s="0" t="s">
        <v>50</v>
      </c>
    </row>
    <row r="705" customFormat="false" ht="15" hidden="false" customHeight="false" outlineLevel="0" collapsed="false">
      <c r="A705" s="0" t="n">
        <v>704</v>
      </c>
      <c r="B705" s="0" t="s">
        <v>4780</v>
      </c>
      <c r="C705" s="0" t="s">
        <v>88</v>
      </c>
      <c r="E705" s="0" t="s">
        <v>4781</v>
      </c>
      <c r="N705" s="3" t="s">
        <v>186</v>
      </c>
      <c r="O705" s="3" t="s">
        <v>186</v>
      </c>
      <c r="P705" s="0" t="s">
        <v>96</v>
      </c>
      <c r="AA705" s="0" t="s">
        <v>47</v>
      </c>
      <c r="AB705" s="0" t="s">
        <v>4782</v>
      </c>
      <c r="AC705" s="0" t="s">
        <v>4783</v>
      </c>
      <c r="AD705" s="0" t="s">
        <v>4784</v>
      </c>
      <c r="AE705" s="0" t="s">
        <v>79</v>
      </c>
      <c r="AF705" s="3" t="s">
        <v>48</v>
      </c>
      <c r="AG705" s="3" t="s">
        <v>49</v>
      </c>
      <c r="AR705" s="0" t="s">
        <v>4781</v>
      </c>
    </row>
    <row r="706" customFormat="false" ht="15" hidden="false" customHeight="false" outlineLevel="0" collapsed="false">
      <c r="A706" s="0" t="n">
        <v>705</v>
      </c>
      <c r="B706" s="0" t="s">
        <v>4785</v>
      </c>
      <c r="C706" s="0" t="s">
        <v>52</v>
      </c>
      <c r="D706" s="0" t="s">
        <v>4786</v>
      </c>
      <c r="N706" s="0" t="s">
        <v>1312</v>
      </c>
      <c r="O706" s="0" t="s">
        <v>1312</v>
      </c>
      <c r="P706" s="0" t="s">
        <v>55</v>
      </c>
      <c r="AA706" s="0" t="s">
        <v>47</v>
      </c>
      <c r="AB706" s="0" t="s">
        <v>4787</v>
      </c>
      <c r="AC706" s="0" t="s">
        <v>4788</v>
      </c>
      <c r="AD706" s="0" t="s">
        <v>4789</v>
      </c>
      <c r="AE706" s="0" t="s">
        <v>59</v>
      </c>
      <c r="AF706" s="3" t="s">
        <v>48</v>
      </c>
      <c r="AG706" s="3" t="s">
        <v>49</v>
      </c>
      <c r="AR706" s="0" t="s">
        <v>4786</v>
      </c>
    </row>
    <row r="707" customFormat="false" ht="15" hidden="false" customHeight="false" outlineLevel="0" collapsed="false">
      <c r="A707" s="0" t="n">
        <v>706</v>
      </c>
      <c r="B707" s="0" t="s">
        <v>4790</v>
      </c>
      <c r="C707" s="0" t="s">
        <v>88</v>
      </c>
      <c r="E707" s="0" t="s">
        <v>4791</v>
      </c>
      <c r="H707" s="0" t="s">
        <v>4792</v>
      </c>
      <c r="I707" s="0" t="s">
        <v>154</v>
      </c>
      <c r="N707" s="3" t="s">
        <v>95</v>
      </c>
      <c r="O707" s="3" t="s">
        <v>95</v>
      </c>
      <c r="P707" s="0" t="s">
        <v>96</v>
      </c>
      <c r="AA707" s="0" t="s">
        <v>47</v>
      </c>
      <c r="AB707" s="0" t="s">
        <v>4793</v>
      </c>
      <c r="AC707" s="0" t="s">
        <v>4794</v>
      </c>
      <c r="AD707" s="0" t="s">
        <v>4795</v>
      </c>
      <c r="AE707" s="0" t="s">
        <v>79</v>
      </c>
      <c r="AF707" s="3" t="s">
        <v>48</v>
      </c>
      <c r="AG707" s="3" t="s">
        <v>49</v>
      </c>
      <c r="AL707" s="0" t="s">
        <v>4796</v>
      </c>
      <c r="AM707" s="0" t="s">
        <v>4797</v>
      </c>
      <c r="AO707" s="0" t="s">
        <v>4798</v>
      </c>
      <c r="AP707" s="0" t="s">
        <v>4798</v>
      </c>
      <c r="AR707" s="0" t="s">
        <v>4799</v>
      </c>
    </row>
    <row r="708" customFormat="false" ht="15" hidden="false" customHeight="false" outlineLevel="0" collapsed="false">
      <c r="A708" s="0" t="n">
        <v>707</v>
      </c>
      <c r="B708" s="0" t="s">
        <v>4800</v>
      </c>
      <c r="C708" s="0" t="s">
        <v>244</v>
      </c>
      <c r="E708" s="0" t="s">
        <v>4801</v>
      </c>
      <c r="F708" s="0" t="s">
        <v>44</v>
      </c>
      <c r="H708" s="0" t="s">
        <v>4802</v>
      </c>
      <c r="I708" s="0" t="s">
        <v>154</v>
      </c>
      <c r="N708" s="3" t="s">
        <v>213</v>
      </c>
      <c r="O708" s="3" t="s">
        <v>213</v>
      </c>
      <c r="P708" s="0" t="s">
        <v>96</v>
      </c>
      <c r="AA708" s="0" t="s">
        <v>47</v>
      </c>
      <c r="AB708" s="0" t="s">
        <v>4803</v>
      </c>
      <c r="AC708" s="0" t="s">
        <v>4804</v>
      </c>
      <c r="AD708" s="0" t="s">
        <v>4805</v>
      </c>
      <c r="AE708" s="0" t="s">
        <v>79</v>
      </c>
      <c r="AF708" s="3" t="s">
        <v>149</v>
      </c>
      <c r="AG708" s="3" t="s">
        <v>81</v>
      </c>
      <c r="AK708" s="0" t="s">
        <v>4806</v>
      </c>
      <c r="AL708" s="0" t="s">
        <v>4807</v>
      </c>
      <c r="AM708" s="0" t="s">
        <v>4808</v>
      </c>
      <c r="AP708" s="0" t="s">
        <v>4809</v>
      </c>
      <c r="AR708" s="0" t="s">
        <v>4810</v>
      </c>
    </row>
    <row r="709" customFormat="false" ht="15" hidden="false" customHeight="false" outlineLevel="0" collapsed="false">
      <c r="A709" s="0" t="n">
        <v>708</v>
      </c>
      <c r="B709" s="0" t="s">
        <v>4811</v>
      </c>
      <c r="C709" s="0" t="s">
        <v>88</v>
      </c>
      <c r="E709" s="0" t="s">
        <v>4812</v>
      </c>
      <c r="N709" s="3" t="s">
        <v>202</v>
      </c>
      <c r="O709" s="3" t="s">
        <v>202</v>
      </c>
      <c r="P709" s="0" t="s">
        <v>96</v>
      </c>
      <c r="AA709" s="0" t="s">
        <v>47</v>
      </c>
      <c r="AB709" s="0" t="s">
        <v>4813</v>
      </c>
      <c r="AC709" s="0" t="s">
        <v>4814</v>
      </c>
      <c r="AE709" s="0" t="s">
        <v>79</v>
      </c>
      <c r="AF709" s="3" t="s">
        <v>48</v>
      </c>
      <c r="AG709" s="3" t="s">
        <v>49</v>
      </c>
      <c r="AR709" s="0" t="s">
        <v>4812</v>
      </c>
    </row>
    <row r="710" customFormat="false" ht="15" hidden="false" customHeight="false" outlineLevel="0" collapsed="false">
      <c r="A710" s="0" t="n">
        <v>709</v>
      </c>
      <c r="B710" s="0" t="s">
        <v>4815</v>
      </c>
      <c r="C710" s="0" t="s">
        <v>244</v>
      </c>
      <c r="E710" s="0" t="s">
        <v>4816</v>
      </c>
      <c r="F710" s="0" t="s">
        <v>44</v>
      </c>
      <c r="H710" s="0" t="s">
        <v>4817</v>
      </c>
      <c r="I710" s="0" t="s">
        <v>154</v>
      </c>
      <c r="N710" s="3" t="s">
        <v>202</v>
      </c>
      <c r="O710" s="3" t="s">
        <v>202</v>
      </c>
      <c r="P710" s="0" t="s">
        <v>96</v>
      </c>
      <c r="AA710" s="0" t="s">
        <v>47</v>
      </c>
      <c r="AB710" s="0" t="s">
        <v>4818</v>
      </c>
      <c r="AC710" s="0" t="s">
        <v>4819</v>
      </c>
      <c r="AD710" s="0" t="s">
        <v>4820</v>
      </c>
      <c r="AE710" s="0" t="s">
        <v>79</v>
      </c>
      <c r="AF710" s="3" t="s">
        <v>149</v>
      </c>
      <c r="AG710" s="3" t="s">
        <v>81</v>
      </c>
      <c r="AK710" s="0" t="s">
        <v>4821</v>
      </c>
      <c r="AL710" s="0" t="s">
        <v>4822</v>
      </c>
      <c r="AM710" s="0" t="s">
        <v>4823</v>
      </c>
      <c r="AO710" s="0" t="s">
        <v>4824</v>
      </c>
      <c r="AP710" s="0" t="s">
        <v>4824</v>
      </c>
      <c r="AR710" s="0" t="s">
        <v>4825</v>
      </c>
    </row>
    <row r="711" customFormat="false" ht="15" hidden="false" customHeight="false" outlineLevel="0" collapsed="false">
      <c r="A711" s="0" t="n">
        <v>710</v>
      </c>
      <c r="B711" s="0" t="s">
        <v>4826</v>
      </c>
      <c r="C711" s="0" t="s">
        <v>88</v>
      </c>
      <c r="E711" s="0" t="s">
        <v>4827</v>
      </c>
      <c r="H711" s="0" t="s">
        <v>4828</v>
      </c>
      <c r="I711" s="0" t="s">
        <v>154</v>
      </c>
      <c r="N711" s="3" t="s">
        <v>202</v>
      </c>
      <c r="O711" s="3" t="s">
        <v>202</v>
      </c>
      <c r="P711" s="0" t="s">
        <v>96</v>
      </c>
      <c r="AA711" s="0" t="s">
        <v>47</v>
      </c>
      <c r="AB711" s="0" t="s">
        <v>4829</v>
      </c>
      <c r="AC711" s="0" t="s">
        <v>4830</v>
      </c>
      <c r="AE711" s="0" t="s">
        <v>79</v>
      </c>
      <c r="AF711" s="3" t="s">
        <v>48</v>
      </c>
      <c r="AG711" s="3" t="s">
        <v>49</v>
      </c>
      <c r="AL711" s="0" t="s">
        <v>4831</v>
      </c>
      <c r="AM711" s="0" t="s">
        <v>4832</v>
      </c>
      <c r="AO711" s="0" t="s">
        <v>4833</v>
      </c>
      <c r="AP711" s="0" t="s">
        <v>4833</v>
      </c>
      <c r="AR711" s="0" t="s">
        <v>4834</v>
      </c>
    </row>
    <row r="712" customFormat="false" ht="15" hidden="false" customHeight="false" outlineLevel="0" collapsed="false">
      <c r="A712" s="0" t="n">
        <v>711</v>
      </c>
      <c r="B712" s="0" t="s">
        <v>4835</v>
      </c>
      <c r="C712" s="0" t="s">
        <v>88</v>
      </c>
      <c r="E712" s="0" t="s">
        <v>4836</v>
      </c>
      <c r="N712" s="3" t="s">
        <v>202</v>
      </c>
      <c r="O712" s="3" t="s">
        <v>202</v>
      </c>
      <c r="P712" s="0" t="s">
        <v>96</v>
      </c>
      <c r="AA712" s="0" t="s">
        <v>47</v>
      </c>
      <c r="AB712" s="0" t="s">
        <v>4837</v>
      </c>
      <c r="AC712" s="0" t="s">
        <v>4838</v>
      </c>
      <c r="AD712" s="0" t="s">
        <v>4839</v>
      </c>
      <c r="AE712" s="0" t="s">
        <v>79</v>
      </c>
      <c r="AF712" s="3" t="s">
        <v>48</v>
      </c>
      <c r="AG712" s="3" t="s">
        <v>49</v>
      </c>
      <c r="AR712" s="0" t="s">
        <v>4836</v>
      </c>
    </row>
    <row r="713" customFormat="false" ht="15" hidden="false" customHeight="false" outlineLevel="0" collapsed="false">
      <c r="A713" s="0" t="n">
        <v>712</v>
      </c>
      <c r="B713" s="0" t="s">
        <v>4840</v>
      </c>
      <c r="C713" s="0" t="s">
        <v>88</v>
      </c>
      <c r="E713" s="0" t="s">
        <v>4841</v>
      </c>
      <c r="N713" s="3" t="s">
        <v>202</v>
      </c>
      <c r="O713" s="3" t="s">
        <v>202</v>
      </c>
      <c r="P713" s="0" t="s">
        <v>96</v>
      </c>
      <c r="AA713" s="0" t="s">
        <v>47</v>
      </c>
      <c r="AB713" s="0" t="s">
        <v>4842</v>
      </c>
      <c r="AC713" s="0" t="s">
        <v>4843</v>
      </c>
      <c r="AD713" s="0" t="s">
        <v>4844</v>
      </c>
      <c r="AE713" s="0" t="s">
        <v>79</v>
      </c>
      <c r="AF713" s="3" t="s">
        <v>48</v>
      </c>
      <c r="AG713" s="3" t="s">
        <v>49</v>
      </c>
      <c r="AR713" s="0" t="s">
        <v>4841</v>
      </c>
    </row>
    <row r="714" customFormat="false" ht="15" hidden="false" customHeight="false" outlineLevel="0" collapsed="false">
      <c r="A714" s="0" t="n">
        <v>713</v>
      </c>
      <c r="B714" s="0" t="s">
        <v>4845</v>
      </c>
      <c r="C714" s="0" t="s">
        <v>88</v>
      </c>
      <c r="E714" s="0" t="s">
        <v>4846</v>
      </c>
      <c r="N714" s="3" t="s">
        <v>226</v>
      </c>
      <c r="O714" s="3" t="s">
        <v>226</v>
      </c>
      <c r="P714" s="0" t="s">
        <v>96</v>
      </c>
      <c r="AA714" s="0" t="s">
        <v>47</v>
      </c>
      <c r="AB714" s="0" t="s">
        <v>4847</v>
      </c>
      <c r="AC714" s="0" t="s">
        <v>4848</v>
      </c>
      <c r="AD714" s="0" t="s">
        <v>4849</v>
      </c>
      <c r="AE714" s="0" t="s">
        <v>79</v>
      </c>
      <c r="AF714" s="3" t="s">
        <v>48</v>
      </c>
      <c r="AG714" s="3" t="s">
        <v>49</v>
      </c>
      <c r="AR714" s="0" t="s">
        <v>4846</v>
      </c>
    </row>
    <row r="715" customFormat="false" ht="15" hidden="false" customHeight="false" outlineLevel="0" collapsed="false">
      <c r="A715" s="0" t="n">
        <v>714</v>
      </c>
      <c r="B715" s="0" t="s">
        <v>4850</v>
      </c>
      <c r="C715" s="0" t="s">
        <v>52</v>
      </c>
      <c r="D715" s="0" t="s">
        <v>4851</v>
      </c>
      <c r="H715" s="0" t="s">
        <v>4852</v>
      </c>
      <c r="I715" s="0" t="s">
        <v>94</v>
      </c>
      <c r="N715" s="3" t="s">
        <v>104</v>
      </c>
      <c r="O715" s="3" t="s">
        <v>104</v>
      </c>
      <c r="P715" s="0" t="s">
        <v>55</v>
      </c>
      <c r="AA715" s="0" t="s">
        <v>47</v>
      </c>
      <c r="AB715" s="0" t="s">
        <v>4853</v>
      </c>
      <c r="AC715" s="0" t="s">
        <v>4854</v>
      </c>
      <c r="AD715" s="0" t="s">
        <v>4855</v>
      </c>
      <c r="AE715" s="0" t="s">
        <v>59</v>
      </c>
      <c r="AF715" s="3" t="s">
        <v>48</v>
      </c>
      <c r="AG715" s="3" t="s">
        <v>49</v>
      </c>
      <c r="AR715" s="0" t="s">
        <v>4851</v>
      </c>
    </row>
    <row r="716" customFormat="false" ht="15" hidden="false" customHeight="false" outlineLevel="0" collapsed="false">
      <c r="A716" s="0" t="n">
        <v>715</v>
      </c>
      <c r="B716" s="0" t="s">
        <v>4856</v>
      </c>
      <c r="C716" s="0" t="s">
        <v>88</v>
      </c>
      <c r="E716" s="0" t="s">
        <v>4857</v>
      </c>
      <c r="H716" s="0" t="s">
        <v>4858</v>
      </c>
      <c r="I716" s="0" t="s">
        <v>94</v>
      </c>
      <c r="N716" s="3" t="s">
        <v>239</v>
      </c>
      <c r="O716" s="3" t="s">
        <v>239</v>
      </c>
      <c r="P716" s="0" t="s">
        <v>96</v>
      </c>
      <c r="AA716" s="0" t="s">
        <v>47</v>
      </c>
      <c r="AB716" s="0" t="s">
        <v>4859</v>
      </c>
      <c r="AC716" s="0" t="s">
        <v>4860</v>
      </c>
      <c r="AD716" s="0" t="s">
        <v>4861</v>
      </c>
      <c r="AE716" s="0" t="s">
        <v>79</v>
      </c>
      <c r="AF716" s="3" t="s">
        <v>48</v>
      </c>
      <c r="AG716" s="3" t="s">
        <v>49</v>
      </c>
      <c r="AP716" s="0" t="s">
        <v>4862</v>
      </c>
      <c r="AR716" s="0" t="s">
        <v>4863</v>
      </c>
    </row>
    <row r="717" customFormat="false" ht="15" hidden="false" customHeight="false" outlineLevel="0" collapsed="false">
      <c r="A717" s="0" t="n">
        <v>716</v>
      </c>
      <c r="B717" s="0" t="s">
        <v>4864</v>
      </c>
      <c r="C717" s="0" t="s">
        <v>88</v>
      </c>
      <c r="E717" s="0" t="s">
        <v>4865</v>
      </c>
      <c r="N717" s="3" t="s">
        <v>226</v>
      </c>
      <c r="O717" s="3" t="s">
        <v>226</v>
      </c>
      <c r="P717" s="0" t="s">
        <v>96</v>
      </c>
      <c r="AA717" s="0" t="s">
        <v>47</v>
      </c>
      <c r="AB717" s="0" t="s">
        <v>4866</v>
      </c>
      <c r="AC717" s="0" t="s">
        <v>4867</v>
      </c>
      <c r="AD717" s="0" t="s">
        <v>4868</v>
      </c>
      <c r="AE717" s="0" t="s">
        <v>79</v>
      </c>
      <c r="AF717" s="3" t="s">
        <v>48</v>
      </c>
      <c r="AG717" s="3" t="s">
        <v>49</v>
      </c>
      <c r="AR717" s="0" t="s">
        <v>4865</v>
      </c>
    </row>
    <row r="718" customFormat="false" ht="15" hidden="false" customHeight="false" outlineLevel="0" collapsed="false">
      <c r="A718" s="0" t="n">
        <v>717</v>
      </c>
      <c r="B718" s="0" t="s">
        <v>4869</v>
      </c>
      <c r="C718" s="0" t="s">
        <v>43</v>
      </c>
      <c r="F718" s="0" t="s">
        <v>44</v>
      </c>
      <c r="H718" s="0" t="s">
        <v>4870</v>
      </c>
      <c r="I718" s="0" t="s">
        <v>154</v>
      </c>
      <c r="AA718" s="0" t="s">
        <v>47</v>
      </c>
      <c r="AF718" s="3" t="s">
        <v>48</v>
      </c>
      <c r="AG718" s="3" t="s">
        <v>49</v>
      </c>
      <c r="AL718" s="0" t="s">
        <v>4871</v>
      </c>
      <c r="AO718" s="0" t="s">
        <v>4872</v>
      </c>
      <c r="AP718" s="0" t="s">
        <v>4872</v>
      </c>
      <c r="AR718" s="0" t="s">
        <v>4873</v>
      </c>
    </row>
    <row r="719" customFormat="false" ht="15" hidden="false" customHeight="false" outlineLevel="0" collapsed="false">
      <c r="A719" s="0" t="n">
        <v>718</v>
      </c>
      <c r="B719" s="0" t="s">
        <v>4874</v>
      </c>
      <c r="C719" s="0" t="s">
        <v>52</v>
      </c>
      <c r="D719" s="0" t="s">
        <v>4875</v>
      </c>
      <c r="N719" s="3" t="s">
        <v>69</v>
      </c>
      <c r="O719" s="3" t="s">
        <v>69</v>
      </c>
      <c r="P719" s="0" t="s">
        <v>55</v>
      </c>
      <c r="AA719" s="0" t="s">
        <v>47</v>
      </c>
      <c r="AB719" s="0" t="s">
        <v>4876</v>
      </c>
      <c r="AC719" s="0" t="s">
        <v>4877</v>
      </c>
      <c r="AD719" s="0" t="s">
        <v>4878</v>
      </c>
      <c r="AE719" s="0" t="s">
        <v>59</v>
      </c>
      <c r="AF719" s="3" t="s">
        <v>48</v>
      </c>
      <c r="AG719" s="3" t="s">
        <v>49</v>
      </c>
      <c r="AR719" s="0" t="s">
        <v>4875</v>
      </c>
    </row>
    <row r="720" customFormat="false" ht="15" hidden="false" customHeight="false" outlineLevel="0" collapsed="false">
      <c r="A720" s="0" t="n">
        <v>719</v>
      </c>
      <c r="B720" s="0" t="s">
        <v>4879</v>
      </c>
      <c r="C720" s="0" t="s">
        <v>88</v>
      </c>
      <c r="E720" s="0" t="s">
        <v>4880</v>
      </c>
      <c r="H720" s="0" t="s">
        <v>4881</v>
      </c>
      <c r="I720" s="0" t="s">
        <v>46</v>
      </c>
      <c r="N720" s="3" t="s">
        <v>202</v>
      </c>
      <c r="O720" s="3" t="s">
        <v>202</v>
      </c>
      <c r="P720" s="0" t="s">
        <v>96</v>
      </c>
      <c r="AA720" s="0" t="s">
        <v>47</v>
      </c>
      <c r="AB720" s="0" t="s">
        <v>4882</v>
      </c>
      <c r="AC720" s="0" t="s">
        <v>4883</v>
      </c>
      <c r="AD720" s="0" t="s">
        <v>4884</v>
      </c>
      <c r="AE720" s="0" t="s">
        <v>79</v>
      </c>
      <c r="AF720" s="3" t="s">
        <v>48</v>
      </c>
      <c r="AG720" s="3" t="s">
        <v>49</v>
      </c>
      <c r="AR720" s="0" t="s">
        <v>4880</v>
      </c>
    </row>
    <row r="721" customFormat="false" ht="15" hidden="false" customHeight="false" outlineLevel="0" collapsed="false">
      <c r="A721" s="0" t="n">
        <v>720</v>
      </c>
      <c r="B721" s="0" t="s">
        <v>4885</v>
      </c>
      <c r="C721" s="0" t="s">
        <v>52</v>
      </c>
      <c r="D721" s="0" t="s">
        <v>4886</v>
      </c>
      <c r="H721" s="0" t="s">
        <v>2821</v>
      </c>
      <c r="I721" s="0" t="s">
        <v>115</v>
      </c>
      <c r="J721" s="3" t="s">
        <v>694</v>
      </c>
      <c r="K721" s="0" t="s">
        <v>2822</v>
      </c>
      <c r="L721" s="0" t="s">
        <v>2823</v>
      </c>
      <c r="M721" s="0" t="n">
        <v>2017</v>
      </c>
      <c r="N721" s="0" t="s">
        <v>2435</v>
      </c>
      <c r="O721" s="3" t="s">
        <v>104</v>
      </c>
      <c r="P721" s="0" t="s">
        <v>55</v>
      </c>
      <c r="R721" s="0" t="n">
        <v>1800</v>
      </c>
      <c r="S721" s="0" t="n">
        <v>2025</v>
      </c>
      <c r="T721" s="0" t="s">
        <v>72</v>
      </c>
      <c r="U721" s="0" t="s">
        <v>115</v>
      </c>
      <c r="V721" s="0" t="n">
        <v>106</v>
      </c>
      <c r="W721" s="0" t="s">
        <v>2824</v>
      </c>
      <c r="X721" s="0" t="s">
        <v>2825</v>
      </c>
      <c r="Y721" s="0" t="s">
        <v>698</v>
      </c>
      <c r="Z721" s="0" t="s">
        <v>115</v>
      </c>
      <c r="AA721" s="0" t="s">
        <v>1022</v>
      </c>
      <c r="AB721" s="0" t="s">
        <v>2826</v>
      </c>
      <c r="AC721" s="0" t="s">
        <v>2827</v>
      </c>
      <c r="AD721" s="0" t="s">
        <v>2828</v>
      </c>
      <c r="AE721" s="0" t="s">
        <v>115</v>
      </c>
      <c r="AF721" s="3" t="s">
        <v>108</v>
      </c>
      <c r="AG721" s="3" t="s">
        <v>81</v>
      </c>
      <c r="AH721" s="0" t="n">
        <v>2026</v>
      </c>
      <c r="AI721" s="0" t="s">
        <v>4887</v>
      </c>
      <c r="AJ721" s="0" t="s">
        <v>4888</v>
      </c>
      <c r="AK721" s="3" t="s">
        <v>2831</v>
      </c>
      <c r="AL721" s="0" t="s">
        <v>2832</v>
      </c>
      <c r="AN721" s="0" t="s">
        <v>2833</v>
      </c>
      <c r="AO721" s="0" t="s">
        <v>2834</v>
      </c>
      <c r="AP721" s="0" t="s">
        <v>2835</v>
      </c>
      <c r="AR721" s="0" t="s">
        <v>4889</v>
      </c>
    </row>
    <row r="722" customFormat="false" ht="15" hidden="false" customHeight="false" outlineLevel="0" collapsed="false">
      <c r="A722" s="0" t="n">
        <v>721</v>
      </c>
      <c r="B722" s="0" t="s">
        <v>4890</v>
      </c>
      <c r="C722" s="0" t="s">
        <v>52</v>
      </c>
      <c r="D722" s="0" t="s">
        <v>4891</v>
      </c>
      <c r="H722" s="0" t="s">
        <v>4892</v>
      </c>
      <c r="I722" s="0" t="s">
        <v>94</v>
      </c>
      <c r="N722" s="3" t="s">
        <v>69</v>
      </c>
      <c r="O722" s="3" t="s">
        <v>69</v>
      </c>
      <c r="P722" s="0" t="s">
        <v>55</v>
      </c>
      <c r="AA722" s="0" t="s">
        <v>47</v>
      </c>
      <c r="AB722" s="0" t="s">
        <v>4893</v>
      </c>
      <c r="AC722" s="0" t="s">
        <v>4894</v>
      </c>
      <c r="AD722" s="0" t="s">
        <v>4895</v>
      </c>
      <c r="AE722" s="0" t="s">
        <v>59</v>
      </c>
      <c r="AF722" s="3" t="s">
        <v>48</v>
      </c>
      <c r="AG722" s="3" t="s">
        <v>49</v>
      </c>
      <c r="AL722" s="0" t="s">
        <v>4896</v>
      </c>
      <c r="AO722" s="0" t="s">
        <v>4897</v>
      </c>
      <c r="AP722" s="0" t="s">
        <v>4897</v>
      </c>
      <c r="AR722" s="0" t="s">
        <v>4898</v>
      </c>
    </row>
    <row r="723" customFormat="false" ht="15" hidden="false" customHeight="false" outlineLevel="0" collapsed="false">
      <c r="A723" s="0" t="n">
        <v>722</v>
      </c>
      <c r="B723" s="0" t="s">
        <v>4899</v>
      </c>
      <c r="C723" s="0" t="s">
        <v>88</v>
      </c>
      <c r="E723" s="0" t="s">
        <v>4900</v>
      </c>
      <c r="H723" s="0" t="s">
        <v>4901</v>
      </c>
      <c r="I723" s="0" t="s">
        <v>154</v>
      </c>
      <c r="N723" s="3" t="s">
        <v>213</v>
      </c>
      <c r="O723" s="3" t="s">
        <v>213</v>
      </c>
      <c r="P723" s="0" t="s">
        <v>96</v>
      </c>
      <c r="AA723" s="0" t="s">
        <v>47</v>
      </c>
      <c r="AB723" s="0" t="s">
        <v>4902</v>
      </c>
      <c r="AC723" s="0" t="s">
        <v>4903</v>
      </c>
      <c r="AD723" s="0" t="s">
        <v>4904</v>
      </c>
      <c r="AE723" s="0" t="s">
        <v>79</v>
      </c>
      <c r="AF723" s="3" t="s">
        <v>108</v>
      </c>
      <c r="AG723" s="3" t="s">
        <v>49</v>
      </c>
      <c r="AH723" s="0" t="n">
        <v>2026</v>
      </c>
      <c r="AI723" s="0" t="s">
        <v>3060</v>
      </c>
      <c r="AJ723" s="0" t="s">
        <v>3061</v>
      </c>
      <c r="AL723" s="0" t="s">
        <v>4905</v>
      </c>
      <c r="AM723" s="0" t="s">
        <v>4906</v>
      </c>
      <c r="AO723" s="0" t="s">
        <v>4907</v>
      </c>
      <c r="AP723" s="0" t="s">
        <v>4907</v>
      </c>
      <c r="AR723" s="0" t="s">
        <v>4908</v>
      </c>
    </row>
    <row r="724" customFormat="false" ht="15" hidden="false" customHeight="false" outlineLevel="0" collapsed="false">
      <c r="A724" s="0" t="n">
        <v>723</v>
      </c>
      <c r="B724" s="0" t="s">
        <v>4909</v>
      </c>
      <c r="C724" s="0" t="s">
        <v>88</v>
      </c>
      <c r="E724" s="0" t="s">
        <v>4910</v>
      </c>
      <c r="H724" s="0" t="s">
        <v>4911</v>
      </c>
      <c r="I724" s="0" t="s">
        <v>154</v>
      </c>
      <c r="N724" s="3" t="s">
        <v>202</v>
      </c>
      <c r="O724" s="3" t="s">
        <v>202</v>
      </c>
      <c r="P724" s="0" t="s">
        <v>96</v>
      </c>
      <c r="AA724" s="0" t="s">
        <v>47</v>
      </c>
      <c r="AB724" s="0" t="s">
        <v>4912</v>
      </c>
      <c r="AC724" s="0" t="s">
        <v>4913</v>
      </c>
      <c r="AD724" s="0" t="s">
        <v>4914</v>
      </c>
      <c r="AE724" s="0" t="s">
        <v>79</v>
      </c>
      <c r="AF724" s="3" t="s">
        <v>48</v>
      </c>
      <c r="AG724" s="3" t="s">
        <v>49</v>
      </c>
      <c r="AM724" s="0" t="s">
        <v>4915</v>
      </c>
      <c r="AO724" s="0" t="s">
        <v>4916</v>
      </c>
      <c r="AP724" s="0" t="s">
        <v>4916</v>
      </c>
      <c r="AR724" s="0" t="s">
        <v>4917</v>
      </c>
    </row>
    <row r="725" customFormat="false" ht="15" hidden="false" customHeight="false" outlineLevel="0" collapsed="false">
      <c r="A725" s="0" t="n">
        <v>724</v>
      </c>
      <c r="B725" s="0" t="s">
        <v>4918</v>
      </c>
      <c r="C725" s="0" t="s">
        <v>145</v>
      </c>
      <c r="F725" s="0" t="s">
        <v>146</v>
      </c>
      <c r="H725" s="0" t="s">
        <v>4919</v>
      </c>
      <c r="I725" s="0" t="s">
        <v>94</v>
      </c>
      <c r="N725" s="3" t="s">
        <v>186</v>
      </c>
      <c r="O725" s="3" t="s">
        <v>186</v>
      </c>
      <c r="P725" s="0" t="s">
        <v>96</v>
      </c>
      <c r="Q725" s="0" t="s">
        <v>4920</v>
      </c>
      <c r="AA725" s="0" t="s">
        <v>47</v>
      </c>
      <c r="AF725" s="3" t="s">
        <v>149</v>
      </c>
      <c r="AG725" s="3" t="s">
        <v>81</v>
      </c>
      <c r="AK725" s="0" t="s">
        <v>4921</v>
      </c>
      <c r="AP725" s="0" t="s">
        <v>4922</v>
      </c>
      <c r="AR725" s="0" t="s">
        <v>4923</v>
      </c>
    </row>
    <row r="726" customFormat="false" ht="15" hidden="false" customHeight="false" outlineLevel="0" collapsed="false">
      <c r="A726" s="0" t="n">
        <v>725</v>
      </c>
      <c r="B726" s="0" t="s">
        <v>4924</v>
      </c>
      <c r="C726" s="0" t="s">
        <v>52</v>
      </c>
      <c r="D726" s="0" t="s">
        <v>4925</v>
      </c>
      <c r="N726" s="3" t="s">
        <v>54</v>
      </c>
      <c r="O726" s="3" t="s">
        <v>54</v>
      </c>
      <c r="P726" s="0" t="s">
        <v>55</v>
      </c>
      <c r="AA726" s="0" t="s">
        <v>47</v>
      </c>
      <c r="AB726" s="0" t="s">
        <v>4926</v>
      </c>
      <c r="AC726" s="0" t="s">
        <v>4927</v>
      </c>
      <c r="AD726" s="0" t="s">
        <v>4928</v>
      </c>
      <c r="AE726" s="0" t="s">
        <v>59</v>
      </c>
      <c r="AF726" s="3" t="s">
        <v>48</v>
      </c>
      <c r="AG726" s="3" t="s">
        <v>49</v>
      </c>
      <c r="AR726" s="0" t="s">
        <v>4925</v>
      </c>
    </row>
    <row r="727" customFormat="false" ht="15" hidden="false" customHeight="false" outlineLevel="0" collapsed="false">
      <c r="A727" s="0" t="n">
        <v>726</v>
      </c>
      <c r="B727" s="0" t="s">
        <v>4929</v>
      </c>
      <c r="C727" s="0" t="s">
        <v>88</v>
      </c>
      <c r="E727" s="0" t="s">
        <v>4930</v>
      </c>
      <c r="H727" s="0" t="s">
        <v>4931</v>
      </c>
      <c r="I727" s="0" t="s">
        <v>154</v>
      </c>
      <c r="AA727" s="0" t="s">
        <v>47</v>
      </c>
      <c r="AF727" s="3" t="s">
        <v>48</v>
      </c>
      <c r="AG727" s="3" t="s">
        <v>49</v>
      </c>
      <c r="AL727" s="0" t="s">
        <v>4932</v>
      </c>
      <c r="AO727" s="0" t="s">
        <v>4933</v>
      </c>
      <c r="AP727" s="0" t="s">
        <v>4933</v>
      </c>
      <c r="AR727" s="0" t="s">
        <v>4934</v>
      </c>
    </row>
    <row r="728" customFormat="false" ht="15" hidden="false" customHeight="false" outlineLevel="0" collapsed="false">
      <c r="A728" s="0" t="n">
        <v>727</v>
      </c>
      <c r="B728" s="0" t="s">
        <v>4935</v>
      </c>
      <c r="C728" s="0" t="s">
        <v>61</v>
      </c>
      <c r="D728" s="0" t="s">
        <v>4936</v>
      </c>
      <c r="E728" s="0" t="s">
        <v>4937</v>
      </c>
      <c r="N728" s="3" t="s">
        <v>54</v>
      </c>
      <c r="O728" s="3" t="s">
        <v>54</v>
      </c>
      <c r="P728" s="0" t="s">
        <v>55</v>
      </c>
      <c r="AA728" s="0" t="s">
        <v>47</v>
      </c>
      <c r="AB728" s="0" t="s">
        <v>4938</v>
      </c>
      <c r="AC728" s="0" t="s">
        <v>4939</v>
      </c>
      <c r="AD728" s="0" t="s">
        <v>4940</v>
      </c>
      <c r="AE728" s="0" t="s">
        <v>79</v>
      </c>
      <c r="AF728" s="3" t="s">
        <v>108</v>
      </c>
      <c r="AG728" s="3" t="s">
        <v>49</v>
      </c>
      <c r="AH728" s="0" t="n">
        <v>2026</v>
      </c>
      <c r="AI728" s="0" t="s">
        <v>1530</v>
      </c>
      <c r="AJ728" s="0" t="s">
        <v>1531</v>
      </c>
      <c r="AK728" s="0" t="s">
        <v>4941</v>
      </c>
      <c r="AR728" s="0" t="s">
        <v>4942</v>
      </c>
    </row>
    <row r="729" customFormat="false" ht="15" hidden="false" customHeight="false" outlineLevel="0" collapsed="false">
      <c r="A729" s="0" t="n">
        <v>728</v>
      </c>
      <c r="B729" s="0" t="s">
        <v>4943</v>
      </c>
      <c r="C729" s="0" t="s">
        <v>43</v>
      </c>
      <c r="F729" s="0" t="s">
        <v>44</v>
      </c>
      <c r="AA729" s="0" t="s">
        <v>47</v>
      </c>
      <c r="AF729" s="3" t="s">
        <v>48</v>
      </c>
      <c r="AG729" s="3" t="s">
        <v>49</v>
      </c>
      <c r="AR729" s="0" t="s">
        <v>50</v>
      </c>
    </row>
    <row r="730" customFormat="false" ht="15" hidden="false" customHeight="false" outlineLevel="0" collapsed="false">
      <c r="A730" s="0" t="n">
        <v>729</v>
      </c>
      <c r="B730" s="0" t="s">
        <v>4944</v>
      </c>
      <c r="C730" s="0" t="s">
        <v>88</v>
      </c>
      <c r="E730" s="0" t="s">
        <v>4945</v>
      </c>
      <c r="H730" s="0" t="s">
        <v>4946</v>
      </c>
      <c r="I730" s="0" t="s">
        <v>94</v>
      </c>
      <c r="N730" s="3" t="s">
        <v>202</v>
      </c>
      <c r="O730" s="3" t="s">
        <v>202</v>
      </c>
      <c r="P730" s="0" t="s">
        <v>96</v>
      </c>
      <c r="AA730" s="0" t="s">
        <v>47</v>
      </c>
      <c r="AB730" s="0" t="s">
        <v>4947</v>
      </c>
      <c r="AC730" s="0" t="s">
        <v>4948</v>
      </c>
      <c r="AD730" s="0" t="s">
        <v>4949</v>
      </c>
      <c r="AE730" s="0" t="s">
        <v>79</v>
      </c>
      <c r="AF730" s="3" t="s">
        <v>48</v>
      </c>
      <c r="AG730" s="3" t="s">
        <v>49</v>
      </c>
      <c r="AR730" s="0" t="s">
        <v>4945</v>
      </c>
    </row>
    <row r="731" customFormat="false" ht="15" hidden="false" customHeight="false" outlineLevel="0" collapsed="false">
      <c r="A731" s="0" t="n">
        <v>730</v>
      </c>
      <c r="B731" s="0" t="s">
        <v>4950</v>
      </c>
      <c r="C731" s="0" t="s">
        <v>244</v>
      </c>
      <c r="E731" s="0" t="s">
        <v>4951</v>
      </c>
      <c r="F731" s="0" t="s">
        <v>44</v>
      </c>
      <c r="N731" s="3" t="s">
        <v>1298</v>
      </c>
      <c r="O731" s="3" t="s">
        <v>1298</v>
      </c>
      <c r="P731" s="0" t="s">
        <v>96</v>
      </c>
      <c r="AA731" s="0" t="s">
        <v>47</v>
      </c>
      <c r="AB731" s="0" t="s">
        <v>4952</v>
      </c>
      <c r="AC731" s="0" t="s">
        <v>4953</v>
      </c>
      <c r="AD731" s="0" t="s">
        <v>4954</v>
      </c>
      <c r="AE731" s="0" t="s">
        <v>79</v>
      </c>
      <c r="AF731" s="3" t="s">
        <v>149</v>
      </c>
      <c r="AG731" s="3" t="s">
        <v>81</v>
      </c>
      <c r="AK731" s="0" t="s">
        <v>4955</v>
      </c>
      <c r="AR731" s="0" t="s">
        <v>4956</v>
      </c>
    </row>
    <row r="732" customFormat="false" ht="15" hidden="false" customHeight="false" outlineLevel="0" collapsed="false">
      <c r="A732" s="0" t="n">
        <v>731</v>
      </c>
      <c r="B732" s="0" t="s">
        <v>4957</v>
      </c>
      <c r="C732" s="0" t="s">
        <v>52</v>
      </c>
      <c r="D732" s="0" t="s">
        <v>4958</v>
      </c>
      <c r="N732" s="3" t="s">
        <v>600</v>
      </c>
      <c r="O732" s="3" t="s">
        <v>600</v>
      </c>
      <c r="P732" s="0" t="s">
        <v>55</v>
      </c>
      <c r="AA732" s="0" t="s">
        <v>47</v>
      </c>
      <c r="AB732" s="0" t="s">
        <v>4959</v>
      </c>
      <c r="AC732" s="0" t="s">
        <v>4960</v>
      </c>
      <c r="AD732" s="0" t="s">
        <v>4961</v>
      </c>
      <c r="AE732" s="0" t="s">
        <v>59</v>
      </c>
      <c r="AF732" s="3" t="s">
        <v>48</v>
      </c>
      <c r="AG732" s="3" t="s">
        <v>49</v>
      </c>
      <c r="AR732" s="0" t="s">
        <v>4958</v>
      </c>
    </row>
    <row r="733" customFormat="false" ht="15" hidden="false" customHeight="false" outlineLevel="0" collapsed="false">
      <c r="A733" s="0" t="n">
        <v>732</v>
      </c>
      <c r="B733" s="0" t="s">
        <v>4962</v>
      </c>
      <c r="C733" s="0" t="s">
        <v>88</v>
      </c>
      <c r="E733" s="0" t="s">
        <v>4963</v>
      </c>
      <c r="H733" s="0" t="s">
        <v>4964</v>
      </c>
      <c r="I733" s="0" t="s">
        <v>154</v>
      </c>
      <c r="AA733" s="0" t="s">
        <v>47</v>
      </c>
      <c r="AF733" s="3" t="s">
        <v>48</v>
      </c>
      <c r="AG733" s="3" t="s">
        <v>49</v>
      </c>
      <c r="AL733" s="0" t="s">
        <v>4965</v>
      </c>
      <c r="AM733" s="0" t="s">
        <v>4966</v>
      </c>
      <c r="AO733" s="0" t="s">
        <v>4967</v>
      </c>
      <c r="AP733" s="0" t="s">
        <v>4967</v>
      </c>
      <c r="AR733" s="0" t="s">
        <v>4968</v>
      </c>
    </row>
    <row r="734" customFormat="false" ht="15" hidden="false" customHeight="false" outlineLevel="0" collapsed="false">
      <c r="A734" s="0" t="n">
        <v>733</v>
      </c>
      <c r="B734" s="0" t="s">
        <v>4969</v>
      </c>
      <c r="C734" s="0" t="s">
        <v>88</v>
      </c>
      <c r="E734" s="0" t="s">
        <v>4970</v>
      </c>
      <c r="N734" s="3" t="s">
        <v>95</v>
      </c>
      <c r="O734" s="3" t="s">
        <v>95</v>
      </c>
      <c r="P734" s="0" t="s">
        <v>96</v>
      </c>
      <c r="AA734" s="0" t="s">
        <v>47</v>
      </c>
      <c r="AB734" s="0" t="s">
        <v>4971</v>
      </c>
      <c r="AC734" s="0" t="s">
        <v>4972</v>
      </c>
      <c r="AD734" s="0" t="s">
        <v>4973</v>
      </c>
      <c r="AE734" s="0" t="s">
        <v>79</v>
      </c>
      <c r="AF734" s="3" t="s">
        <v>48</v>
      </c>
      <c r="AG734" s="3" t="s">
        <v>49</v>
      </c>
      <c r="AR734" s="0" t="s">
        <v>4970</v>
      </c>
    </row>
    <row r="735" customFormat="false" ht="15" hidden="false" customHeight="false" outlineLevel="0" collapsed="false">
      <c r="A735" s="0" t="n">
        <v>734</v>
      </c>
      <c r="B735" s="0" t="s">
        <v>4974</v>
      </c>
      <c r="C735" s="0" t="s">
        <v>88</v>
      </c>
      <c r="E735" s="0" t="s">
        <v>4975</v>
      </c>
      <c r="H735" s="0" t="s">
        <v>4976</v>
      </c>
      <c r="I735" s="0" t="s">
        <v>154</v>
      </c>
      <c r="AA735" s="0" t="s">
        <v>47</v>
      </c>
      <c r="AB735" s="0" t="s">
        <v>4977</v>
      </c>
      <c r="AC735" s="0" t="s">
        <v>4978</v>
      </c>
      <c r="AE735" s="0" t="s">
        <v>79</v>
      </c>
      <c r="AF735" s="3" t="s">
        <v>48</v>
      </c>
      <c r="AG735" s="3" t="s">
        <v>49</v>
      </c>
      <c r="AM735" s="0" t="s">
        <v>4979</v>
      </c>
      <c r="AO735" s="0" t="s">
        <v>4980</v>
      </c>
      <c r="AP735" s="0" t="s">
        <v>4980</v>
      </c>
      <c r="AR735" s="0" t="s">
        <v>4981</v>
      </c>
    </row>
    <row r="736" customFormat="false" ht="15" hidden="false" customHeight="false" outlineLevel="0" collapsed="false">
      <c r="A736" s="0" t="n">
        <v>735</v>
      </c>
      <c r="B736" s="0" t="s">
        <v>4982</v>
      </c>
      <c r="C736" s="0" t="s">
        <v>88</v>
      </c>
      <c r="E736" s="0" t="s">
        <v>4983</v>
      </c>
      <c r="H736" s="0" t="s">
        <v>4984</v>
      </c>
      <c r="I736" s="0" t="s">
        <v>154</v>
      </c>
      <c r="AA736" s="0" t="s">
        <v>47</v>
      </c>
      <c r="AB736" s="0" t="s">
        <v>4985</v>
      </c>
      <c r="AC736" s="0" t="s">
        <v>4986</v>
      </c>
      <c r="AE736" s="0" t="s">
        <v>79</v>
      </c>
      <c r="AF736" s="3" t="s">
        <v>48</v>
      </c>
      <c r="AG736" s="3" t="s">
        <v>49</v>
      </c>
      <c r="AL736" s="0" t="s">
        <v>4987</v>
      </c>
      <c r="AM736" s="0" t="s">
        <v>4988</v>
      </c>
      <c r="AO736" s="0" t="s">
        <v>4989</v>
      </c>
      <c r="AP736" s="0" t="s">
        <v>4989</v>
      </c>
      <c r="AR736" s="0" t="s">
        <v>4990</v>
      </c>
    </row>
    <row r="737" customFormat="false" ht="15" hidden="false" customHeight="false" outlineLevel="0" collapsed="false">
      <c r="A737" s="0" t="n">
        <v>736</v>
      </c>
      <c r="B737" s="0" t="s">
        <v>4991</v>
      </c>
      <c r="C737" s="0" t="s">
        <v>43</v>
      </c>
      <c r="F737" s="0" t="s">
        <v>44</v>
      </c>
      <c r="AA737" s="0" t="s">
        <v>47</v>
      </c>
      <c r="AF737" s="3" t="s">
        <v>48</v>
      </c>
      <c r="AG737" s="3" t="s">
        <v>49</v>
      </c>
      <c r="AR737" s="0" t="s">
        <v>50</v>
      </c>
    </row>
    <row r="738" customFormat="false" ht="15" hidden="false" customHeight="false" outlineLevel="0" collapsed="false">
      <c r="A738" s="0" t="n">
        <v>737</v>
      </c>
      <c r="B738" s="0" t="s">
        <v>4992</v>
      </c>
      <c r="C738" s="0" t="s">
        <v>244</v>
      </c>
      <c r="E738" s="0" t="s">
        <v>4993</v>
      </c>
      <c r="F738" s="0" t="s">
        <v>44</v>
      </c>
      <c r="H738" s="0" t="s">
        <v>4994</v>
      </c>
      <c r="I738" s="0" t="s">
        <v>46</v>
      </c>
      <c r="N738" s="3" t="s">
        <v>147</v>
      </c>
      <c r="O738" s="3" t="s">
        <v>147</v>
      </c>
      <c r="P738" s="0" t="s">
        <v>96</v>
      </c>
      <c r="AA738" s="0" t="s">
        <v>47</v>
      </c>
      <c r="AB738" s="0" t="s">
        <v>4995</v>
      </c>
      <c r="AC738" s="0" t="s">
        <v>4996</v>
      </c>
      <c r="AD738" s="0" t="s">
        <v>4997</v>
      </c>
      <c r="AE738" s="0" t="s">
        <v>79</v>
      </c>
      <c r="AF738" s="3" t="s">
        <v>149</v>
      </c>
      <c r="AG738" s="3" t="s">
        <v>81</v>
      </c>
      <c r="AK738" s="0" t="s">
        <v>4998</v>
      </c>
      <c r="AR738" s="0" t="s">
        <v>4999</v>
      </c>
    </row>
    <row r="739" customFormat="false" ht="15" hidden="false" customHeight="false" outlineLevel="0" collapsed="false">
      <c r="A739" s="0" t="n">
        <v>738</v>
      </c>
      <c r="B739" s="0" t="s">
        <v>5000</v>
      </c>
      <c r="C739" s="0" t="s">
        <v>312</v>
      </c>
      <c r="D739" s="0" t="s">
        <v>5001</v>
      </c>
      <c r="E739" s="0" t="s">
        <v>5002</v>
      </c>
      <c r="F739" s="0" t="s">
        <v>44</v>
      </c>
      <c r="H739" s="0" t="s">
        <v>5003</v>
      </c>
      <c r="I739" s="0" t="s">
        <v>94</v>
      </c>
      <c r="N739" s="3" t="s">
        <v>1624</v>
      </c>
      <c r="O739" s="3" t="s">
        <v>1624</v>
      </c>
      <c r="P739" s="0" t="s">
        <v>55</v>
      </c>
      <c r="AA739" s="0" t="s">
        <v>47</v>
      </c>
      <c r="AB739" s="0" t="s">
        <v>5004</v>
      </c>
      <c r="AC739" s="0" t="s">
        <v>5005</v>
      </c>
      <c r="AD739" s="0" t="s">
        <v>5006</v>
      </c>
      <c r="AE739" s="0" t="s">
        <v>79</v>
      </c>
      <c r="AF739" s="3" t="s">
        <v>149</v>
      </c>
      <c r="AG739" s="3" t="s">
        <v>81</v>
      </c>
      <c r="AK739" s="0" t="s">
        <v>5007</v>
      </c>
      <c r="AL739" s="0" t="s">
        <v>5008</v>
      </c>
      <c r="AM739" s="0" t="s">
        <v>5009</v>
      </c>
      <c r="AO739" s="0" t="s">
        <v>5010</v>
      </c>
      <c r="AP739" s="0" t="s">
        <v>5010</v>
      </c>
      <c r="AR739" s="0" t="s">
        <v>5011</v>
      </c>
    </row>
    <row r="740" customFormat="false" ht="15" hidden="false" customHeight="false" outlineLevel="0" collapsed="false">
      <c r="A740" s="0" t="n">
        <v>739</v>
      </c>
      <c r="B740" s="0" t="s">
        <v>5012</v>
      </c>
      <c r="C740" s="0" t="s">
        <v>88</v>
      </c>
      <c r="E740" s="0" t="s">
        <v>5013</v>
      </c>
      <c r="H740" s="0" t="s">
        <v>5014</v>
      </c>
      <c r="I740" s="0" t="s">
        <v>115</v>
      </c>
      <c r="J740" s="3" t="s">
        <v>66</v>
      </c>
      <c r="K740" s="0" t="s">
        <v>5015</v>
      </c>
      <c r="M740" s="0" t="n">
        <v>1925</v>
      </c>
      <c r="N740" s="0" t="s">
        <v>5016</v>
      </c>
      <c r="O740" s="3" t="s">
        <v>213</v>
      </c>
      <c r="P740" s="0" t="s">
        <v>96</v>
      </c>
      <c r="R740" s="0" t="n">
        <v>375</v>
      </c>
      <c r="T740" s="0" t="s">
        <v>72</v>
      </c>
      <c r="U740" s="0" t="s">
        <v>115</v>
      </c>
      <c r="V740" s="0" t="n">
        <v>42.6</v>
      </c>
      <c r="W740" s="0" t="s">
        <v>5017</v>
      </c>
      <c r="X740" s="0" t="s">
        <v>5018</v>
      </c>
      <c r="Y740" s="0" t="s">
        <v>698</v>
      </c>
      <c r="Z740" s="0" t="s">
        <v>115</v>
      </c>
      <c r="AA740" s="0" t="s">
        <v>698</v>
      </c>
      <c r="AB740" s="0" t="s">
        <v>5019</v>
      </c>
      <c r="AC740" s="0" t="s">
        <v>5020</v>
      </c>
      <c r="AD740" s="0" t="s">
        <v>5021</v>
      </c>
      <c r="AE740" s="0" t="s">
        <v>115</v>
      </c>
      <c r="AF740" s="3" t="s">
        <v>108</v>
      </c>
      <c r="AG740" s="3" t="s">
        <v>404</v>
      </c>
      <c r="AH740" s="0" t="n">
        <v>2026</v>
      </c>
      <c r="AI740" s="0" t="s">
        <v>1331</v>
      </c>
      <c r="AJ740" s="0" t="s">
        <v>1332</v>
      </c>
      <c r="AK740" s="0" t="s">
        <v>5022</v>
      </c>
      <c r="AL740" s="0" t="s">
        <v>5023</v>
      </c>
      <c r="AN740" s="0" t="s">
        <v>5024</v>
      </c>
      <c r="AO740" s="0" t="s">
        <v>5025</v>
      </c>
      <c r="AP740" s="0" t="s">
        <v>5026</v>
      </c>
      <c r="AR740" s="0" t="s">
        <v>5027</v>
      </c>
    </row>
    <row r="741" customFormat="false" ht="15" hidden="false" customHeight="false" outlineLevel="0" collapsed="false">
      <c r="A741" s="0" t="n">
        <v>740</v>
      </c>
      <c r="B741" s="0" t="s">
        <v>5028</v>
      </c>
      <c r="C741" s="0" t="s">
        <v>88</v>
      </c>
      <c r="E741" s="0" t="s">
        <v>5029</v>
      </c>
      <c r="AA741" s="0" t="s">
        <v>47</v>
      </c>
      <c r="AF741" s="3" t="s">
        <v>48</v>
      </c>
      <c r="AG741" s="3" t="s">
        <v>49</v>
      </c>
      <c r="AR741" s="0" t="s">
        <v>5029</v>
      </c>
    </row>
    <row r="742" customFormat="false" ht="15" hidden="false" customHeight="false" outlineLevel="0" collapsed="false">
      <c r="A742" s="0" t="n">
        <v>741</v>
      </c>
      <c r="B742" s="0" t="s">
        <v>5030</v>
      </c>
      <c r="C742" s="0" t="s">
        <v>88</v>
      </c>
      <c r="E742" s="0" t="s">
        <v>5031</v>
      </c>
      <c r="G742" s="0" t="s">
        <v>1999</v>
      </c>
      <c r="N742" s="3" t="s">
        <v>202</v>
      </c>
      <c r="O742" s="3" t="s">
        <v>202</v>
      </c>
      <c r="P742" s="0" t="s">
        <v>96</v>
      </c>
      <c r="AA742" s="0" t="s">
        <v>47</v>
      </c>
      <c r="AB742" s="0" t="s">
        <v>5032</v>
      </c>
      <c r="AC742" s="0" t="s">
        <v>5033</v>
      </c>
      <c r="AD742" s="0" t="s">
        <v>5034</v>
      </c>
      <c r="AE742" s="0" t="s">
        <v>79</v>
      </c>
      <c r="AF742" s="3" t="s">
        <v>48</v>
      </c>
      <c r="AG742" s="3" t="s">
        <v>49</v>
      </c>
      <c r="AR742" s="0" t="s">
        <v>5031</v>
      </c>
    </row>
    <row r="743" customFormat="false" ht="15" hidden="false" customHeight="false" outlineLevel="0" collapsed="false">
      <c r="A743" s="0" t="n">
        <v>742</v>
      </c>
      <c r="B743" s="0" t="s">
        <v>5035</v>
      </c>
      <c r="C743" s="0" t="s">
        <v>61</v>
      </c>
      <c r="D743" s="0" t="s">
        <v>5036</v>
      </c>
      <c r="E743" s="0" t="s">
        <v>5037</v>
      </c>
      <c r="N743" s="3" t="s">
        <v>54</v>
      </c>
      <c r="O743" s="3" t="s">
        <v>54</v>
      </c>
      <c r="P743" s="0" t="s">
        <v>55</v>
      </c>
      <c r="AA743" s="0" t="s">
        <v>47</v>
      </c>
      <c r="AB743" s="0" t="s">
        <v>5038</v>
      </c>
      <c r="AC743" s="0" t="s">
        <v>5039</v>
      </c>
      <c r="AD743" s="0" t="s">
        <v>5040</v>
      </c>
      <c r="AE743" s="0" t="s">
        <v>79</v>
      </c>
      <c r="AF743" s="3" t="s">
        <v>108</v>
      </c>
      <c r="AG743" s="3" t="s">
        <v>49</v>
      </c>
      <c r="AH743" s="0" t="n">
        <v>2026</v>
      </c>
      <c r="AI743" s="0" t="s">
        <v>2720</v>
      </c>
      <c r="AJ743" s="0" t="s">
        <v>2721</v>
      </c>
      <c r="AK743" s="0" t="s">
        <v>5041</v>
      </c>
      <c r="AR743" s="0" t="s">
        <v>5042</v>
      </c>
    </row>
    <row r="744" customFormat="false" ht="15" hidden="false" customHeight="false" outlineLevel="0" collapsed="false">
      <c r="A744" s="0" t="n">
        <v>743</v>
      </c>
      <c r="B744" s="0" t="s">
        <v>5043</v>
      </c>
      <c r="C744" s="0" t="s">
        <v>61</v>
      </c>
      <c r="D744" s="0" t="s">
        <v>5044</v>
      </c>
      <c r="E744" s="0" t="s">
        <v>5045</v>
      </c>
      <c r="H744" s="0" t="s">
        <v>5046</v>
      </c>
      <c r="I744" s="0" t="s">
        <v>154</v>
      </c>
      <c r="N744" s="3" t="s">
        <v>104</v>
      </c>
      <c r="O744" s="3" t="s">
        <v>104</v>
      </c>
      <c r="P744" s="0" t="s">
        <v>55</v>
      </c>
      <c r="AA744" s="0" t="s">
        <v>47</v>
      </c>
      <c r="AB744" s="0" t="s">
        <v>5047</v>
      </c>
      <c r="AC744" s="0" t="s">
        <v>5048</v>
      </c>
      <c r="AD744" s="0" t="s">
        <v>5049</v>
      </c>
      <c r="AE744" s="0" t="s">
        <v>79</v>
      </c>
      <c r="AF744" s="3" t="s">
        <v>149</v>
      </c>
      <c r="AG744" s="3" t="s">
        <v>81</v>
      </c>
      <c r="AK744" s="0" t="s">
        <v>5050</v>
      </c>
      <c r="AL744" s="0" t="s">
        <v>5051</v>
      </c>
      <c r="AP744" s="0" t="s">
        <v>5052</v>
      </c>
      <c r="AR744" s="0" t="s">
        <v>5053</v>
      </c>
    </row>
    <row r="745" customFormat="false" ht="15" hidden="false" customHeight="false" outlineLevel="0" collapsed="false">
      <c r="A745" s="0" t="n">
        <v>744</v>
      </c>
      <c r="B745" s="0" t="s">
        <v>5054</v>
      </c>
      <c r="C745" s="0" t="s">
        <v>244</v>
      </c>
      <c r="E745" s="0" t="s">
        <v>5055</v>
      </c>
      <c r="F745" s="0" t="s">
        <v>44</v>
      </c>
      <c r="H745" s="0" t="s">
        <v>5056</v>
      </c>
      <c r="I745" s="0" t="s">
        <v>154</v>
      </c>
      <c r="N745" s="3" t="s">
        <v>213</v>
      </c>
      <c r="O745" s="3" t="s">
        <v>213</v>
      </c>
      <c r="P745" s="0" t="s">
        <v>96</v>
      </c>
      <c r="AA745" s="0" t="s">
        <v>47</v>
      </c>
      <c r="AB745" s="0" t="s">
        <v>5057</v>
      </c>
      <c r="AC745" s="0" t="s">
        <v>5058</v>
      </c>
      <c r="AD745" s="0" t="s">
        <v>5059</v>
      </c>
      <c r="AE745" s="0" t="s">
        <v>79</v>
      </c>
      <c r="AF745" s="3" t="s">
        <v>149</v>
      </c>
      <c r="AG745" s="3" t="s">
        <v>81</v>
      </c>
      <c r="AK745" s="0" t="s">
        <v>5060</v>
      </c>
      <c r="AL745" s="0" t="s">
        <v>5061</v>
      </c>
      <c r="AM745" s="0" t="s">
        <v>5062</v>
      </c>
      <c r="AO745" s="0" t="s">
        <v>5063</v>
      </c>
      <c r="AP745" s="0" t="s">
        <v>5063</v>
      </c>
      <c r="AR745" s="0" t="s">
        <v>5064</v>
      </c>
    </row>
    <row r="746" customFormat="false" ht="15" hidden="false" customHeight="false" outlineLevel="0" collapsed="false">
      <c r="A746" s="0" t="n">
        <v>745</v>
      </c>
      <c r="B746" s="0" t="s">
        <v>5065</v>
      </c>
      <c r="C746" s="0" t="s">
        <v>244</v>
      </c>
      <c r="E746" s="0" t="s">
        <v>5066</v>
      </c>
      <c r="F746" s="0" t="s">
        <v>44</v>
      </c>
      <c r="H746" s="0" t="s">
        <v>5067</v>
      </c>
      <c r="I746" s="0" t="s">
        <v>46</v>
      </c>
      <c r="N746" s="3" t="s">
        <v>202</v>
      </c>
      <c r="O746" s="3" t="s">
        <v>202</v>
      </c>
      <c r="P746" s="0" t="s">
        <v>96</v>
      </c>
      <c r="AA746" s="0" t="s">
        <v>47</v>
      </c>
      <c r="AB746" s="0" t="s">
        <v>5068</v>
      </c>
      <c r="AC746" s="0" t="s">
        <v>5069</v>
      </c>
      <c r="AD746" s="0" t="s">
        <v>5070</v>
      </c>
      <c r="AE746" s="0" t="s">
        <v>79</v>
      </c>
      <c r="AF746" s="3" t="s">
        <v>149</v>
      </c>
      <c r="AG746" s="3" t="s">
        <v>81</v>
      </c>
      <c r="AK746" s="0" t="s">
        <v>5071</v>
      </c>
      <c r="AR746" s="0" t="s">
        <v>5072</v>
      </c>
    </row>
    <row r="747" customFormat="false" ht="15" hidden="false" customHeight="false" outlineLevel="0" collapsed="false">
      <c r="A747" s="0" t="n">
        <v>746</v>
      </c>
      <c r="B747" s="0" t="s">
        <v>5073</v>
      </c>
      <c r="C747" s="0" t="s">
        <v>88</v>
      </c>
      <c r="E747" s="0" t="s">
        <v>5074</v>
      </c>
      <c r="H747" s="0" t="s">
        <v>5075</v>
      </c>
      <c r="I747" s="0" t="s">
        <v>46</v>
      </c>
      <c r="N747" s="3" t="s">
        <v>202</v>
      </c>
      <c r="O747" s="3" t="s">
        <v>202</v>
      </c>
      <c r="P747" s="0" t="s">
        <v>96</v>
      </c>
      <c r="AA747" s="0" t="s">
        <v>47</v>
      </c>
      <c r="AB747" s="0" t="s">
        <v>5076</v>
      </c>
      <c r="AC747" s="0" t="s">
        <v>5077</v>
      </c>
      <c r="AE747" s="0" t="s">
        <v>79</v>
      </c>
      <c r="AF747" s="3" t="s">
        <v>48</v>
      </c>
      <c r="AG747" s="3" t="s">
        <v>49</v>
      </c>
      <c r="AR747" s="0" t="s">
        <v>5074</v>
      </c>
    </row>
    <row r="748" customFormat="false" ht="15" hidden="false" customHeight="false" outlineLevel="0" collapsed="false">
      <c r="A748" s="0" t="n">
        <v>747</v>
      </c>
      <c r="B748" s="0" t="s">
        <v>5078</v>
      </c>
      <c r="C748" s="0" t="s">
        <v>88</v>
      </c>
      <c r="E748" s="0" t="s">
        <v>5079</v>
      </c>
      <c r="N748" s="3" t="s">
        <v>95</v>
      </c>
      <c r="O748" s="3" t="s">
        <v>95</v>
      </c>
      <c r="P748" s="0" t="s">
        <v>96</v>
      </c>
      <c r="AA748" s="0" t="s">
        <v>47</v>
      </c>
      <c r="AB748" s="0" t="s">
        <v>5080</v>
      </c>
      <c r="AC748" s="0" t="s">
        <v>5081</v>
      </c>
      <c r="AD748" s="0" t="s">
        <v>5082</v>
      </c>
      <c r="AE748" s="0" t="s">
        <v>79</v>
      </c>
      <c r="AF748" s="3" t="s">
        <v>48</v>
      </c>
      <c r="AG748" s="3" t="s">
        <v>49</v>
      </c>
      <c r="AR748" s="0" t="s">
        <v>5079</v>
      </c>
    </row>
    <row r="749" customFormat="false" ht="15" hidden="false" customHeight="false" outlineLevel="0" collapsed="false">
      <c r="A749" s="0" t="n">
        <v>748</v>
      </c>
      <c r="B749" s="0" t="s">
        <v>5083</v>
      </c>
      <c r="C749" s="0" t="s">
        <v>43</v>
      </c>
      <c r="F749" s="0" t="s">
        <v>44</v>
      </c>
      <c r="H749" s="0" t="s">
        <v>5084</v>
      </c>
      <c r="I749" s="0" t="s">
        <v>94</v>
      </c>
      <c r="AA749" s="0" t="s">
        <v>47</v>
      </c>
      <c r="AF749" s="3" t="s">
        <v>48</v>
      </c>
      <c r="AG749" s="3" t="s">
        <v>49</v>
      </c>
      <c r="AL749" s="0" t="s">
        <v>5085</v>
      </c>
      <c r="AO749" s="0" t="s">
        <v>5086</v>
      </c>
      <c r="AP749" s="0" t="s">
        <v>5086</v>
      </c>
      <c r="AR749" s="0" t="s">
        <v>5087</v>
      </c>
    </row>
    <row r="750" customFormat="false" ht="15" hidden="false" customHeight="false" outlineLevel="0" collapsed="false">
      <c r="A750" s="0" t="n">
        <v>749</v>
      </c>
      <c r="B750" s="0" t="s">
        <v>5088</v>
      </c>
      <c r="C750" s="0" t="s">
        <v>88</v>
      </c>
      <c r="E750" s="0" t="s">
        <v>5089</v>
      </c>
      <c r="H750" s="0" t="s">
        <v>5090</v>
      </c>
      <c r="I750" s="0" t="s">
        <v>154</v>
      </c>
      <c r="N750" s="3" t="s">
        <v>186</v>
      </c>
      <c r="O750" s="3" t="s">
        <v>186</v>
      </c>
      <c r="P750" s="0" t="s">
        <v>96</v>
      </c>
      <c r="AA750" s="0" t="s">
        <v>47</v>
      </c>
      <c r="AB750" s="0" t="s">
        <v>5091</v>
      </c>
      <c r="AC750" s="0" t="s">
        <v>5092</v>
      </c>
      <c r="AD750" s="0" t="s">
        <v>5093</v>
      </c>
      <c r="AE750" s="0" t="s">
        <v>79</v>
      </c>
      <c r="AF750" s="3" t="s">
        <v>48</v>
      </c>
      <c r="AG750" s="3" t="s">
        <v>49</v>
      </c>
      <c r="AL750" s="0" t="s">
        <v>5094</v>
      </c>
      <c r="AO750" s="0" t="s">
        <v>5095</v>
      </c>
      <c r="AP750" s="0" t="s">
        <v>5095</v>
      </c>
      <c r="AR750" s="0" t="s">
        <v>5096</v>
      </c>
    </row>
    <row r="751" customFormat="false" ht="15" hidden="false" customHeight="false" outlineLevel="0" collapsed="false">
      <c r="A751" s="0" t="n">
        <v>750</v>
      </c>
      <c r="B751" s="0" t="s">
        <v>5097</v>
      </c>
      <c r="C751" s="0" t="s">
        <v>52</v>
      </c>
      <c r="D751" s="0" t="s">
        <v>5098</v>
      </c>
      <c r="H751" s="0" t="s">
        <v>5099</v>
      </c>
      <c r="I751" s="0" t="s">
        <v>46</v>
      </c>
      <c r="N751" s="3" t="s">
        <v>54</v>
      </c>
      <c r="O751" s="3" t="s">
        <v>54</v>
      </c>
      <c r="P751" s="0" t="s">
        <v>55</v>
      </c>
      <c r="AA751" s="0" t="s">
        <v>47</v>
      </c>
      <c r="AB751" s="0" t="s">
        <v>5100</v>
      </c>
      <c r="AC751" s="0" t="s">
        <v>5101</v>
      </c>
      <c r="AD751" s="0" t="s">
        <v>5102</v>
      </c>
      <c r="AE751" s="0" t="s">
        <v>59</v>
      </c>
      <c r="AF751" s="3" t="s">
        <v>48</v>
      </c>
      <c r="AG751" s="3" t="s">
        <v>49</v>
      </c>
      <c r="AR751" s="0" t="s">
        <v>5098</v>
      </c>
    </row>
    <row r="752" customFormat="false" ht="15" hidden="false" customHeight="false" outlineLevel="0" collapsed="false">
      <c r="A752" s="0" t="n">
        <v>751</v>
      </c>
      <c r="B752" s="0" t="s">
        <v>5103</v>
      </c>
      <c r="C752" s="0" t="s">
        <v>61</v>
      </c>
      <c r="D752" s="0" t="s">
        <v>5104</v>
      </c>
      <c r="E752" s="0" t="s">
        <v>5105</v>
      </c>
      <c r="H752" s="0" t="s">
        <v>5106</v>
      </c>
      <c r="I752" s="0" t="s">
        <v>115</v>
      </c>
      <c r="J752" s="3" t="s">
        <v>694</v>
      </c>
      <c r="K752" s="0" t="s">
        <v>5107</v>
      </c>
      <c r="M752" s="0" t="n">
        <v>1956</v>
      </c>
      <c r="N752" s="0" t="s">
        <v>1325</v>
      </c>
      <c r="O752" s="3" t="s">
        <v>54</v>
      </c>
      <c r="P752" s="0" t="s">
        <v>55</v>
      </c>
      <c r="R752" s="0" t="n">
        <v>600</v>
      </c>
      <c r="S752" s="0" t="n">
        <v>2025</v>
      </c>
      <c r="T752" s="0" t="s">
        <v>72</v>
      </c>
      <c r="U752" s="0" t="s">
        <v>115</v>
      </c>
      <c r="V752" s="0" t="n">
        <v>110</v>
      </c>
      <c r="W752" s="0" t="s">
        <v>5108</v>
      </c>
      <c r="X752" s="0" t="s">
        <v>1541</v>
      </c>
      <c r="Y752" s="0" t="s">
        <v>72</v>
      </c>
      <c r="Z752" s="0" t="s">
        <v>115</v>
      </c>
      <c r="AA752" s="0" t="s">
        <v>75</v>
      </c>
      <c r="AB752" s="0" t="s">
        <v>5109</v>
      </c>
      <c r="AC752" s="0" t="s">
        <v>5110</v>
      </c>
      <c r="AD752" s="0" t="s">
        <v>5111</v>
      </c>
      <c r="AE752" s="0" t="s">
        <v>115</v>
      </c>
      <c r="AF752" s="3" t="s">
        <v>108</v>
      </c>
      <c r="AG752" s="3" t="s">
        <v>404</v>
      </c>
      <c r="AH752" s="0" t="n">
        <v>2026</v>
      </c>
      <c r="AI752" s="0" t="s">
        <v>5112</v>
      </c>
      <c r="AJ752" s="0" t="s">
        <v>5113</v>
      </c>
      <c r="AK752" s="0" t="s">
        <v>5114</v>
      </c>
      <c r="AL752" s="0" t="s">
        <v>5115</v>
      </c>
      <c r="AM752" s="0" t="s">
        <v>5116</v>
      </c>
      <c r="AN752" s="0" t="s">
        <v>5117</v>
      </c>
      <c r="AO752" s="0" t="s">
        <v>5118</v>
      </c>
      <c r="AP752" s="0" t="s">
        <v>5119</v>
      </c>
      <c r="AR752" s="0" t="s">
        <v>5120</v>
      </c>
    </row>
    <row r="753" customFormat="false" ht="15" hidden="false" customHeight="false" outlineLevel="0" collapsed="false">
      <c r="A753" s="0" t="n">
        <v>752</v>
      </c>
      <c r="B753" s="0" t="s">
        <v>5121</v>
      </c>
      <c r="C753" s="0" t="s">
        <v>88</v>
      </c>
      <c r="E753" s="0" t="s">
        <v>5122</v>
      </c>
      <c r="N753" s="3" t="s">
        <v>119</v>
      </c>
      <c r="O753" s="3" t="s">
        <v>119</v>
      </c>
      <c r="P753" s="0" t="s">
        <v>96</v>
      </c>
      <c r="AA753" s="0" t="s">
        <v>47</v>
      </c>
      <c r="AB753" s="0" t="s">
        <v>5123</v>
      </c>
      <c r="AC753" s="0" t="s">
        <v>5124</v>
      </c>
      <c r="AD753" s="0" t="s">
        <v>5125</v>
      </c>
      <c r="AE753" s="0" t="s">
        <v>79</v>
      </c>
      <c r="AF753" s="3" t="s">
        <v>48</v>
      </c>
      <c r="AG753" s="3" t="s">
        <v>49</v>
      </c>
      <c r="AR753" s="0" t="s">
        <v>5122</v>
      </c>
    </row>
    <row r="754" customFormat="false" ht="15" hidden="false" customHeight="false" outlineLevel="0" collapsed="false">
      <c r="A754" s="0" t="n">
        <v>753</v>
      </c>
      <c r="B754" s="0" t="s">
        <v>5126</v>
      </c>
      <c r="C754" s="0" t="s">
        <v>43</v>
      </c>
      <c r="F754" s="0" t="s">
        <v>44</v>
      </c>
      <c r="H754" s="0" t="s">
        <v>5127</v>
      </c>
      <c r="I754" s="0" t="s">
        <v>94</v>
      </c>
      <c r="AA754" s="0" t="s">
        <v>47</v>
      </c>
      <c r="AF754" s="3" t="s">
        <v>48</v>
      </c>
      <c r="AG754" s="3" t="s">
        <v>49</v>
      </c>
      <c r="AP754" s="0" t="s">
        <v>5128</v>
      </c>
      <c r="AR754" s="0" t="s">
        <v>5129</v>
      </c>
    </row>
    <row r="755" customFormat="false" ht="15" hidden="false" customHeight="false" outlineLevel="0" collapsed="false">
      <c r="A755" s="0" t="n">
        <v>754</v>
      </c>
      <c r="B755" s="0" t="s">
        <v>5130</v>
      </c>
      <c r="C755" s="0" t="s">
        <v>88</v>
      </c>
      <c r="E755" s="0" t="s">
        <v>5131</v>
      </c>
      <c r="N755" s="3" t="s">
        <v>213</v>
      </c>
      <c r="O755" s="3" t="s">
        <v>213</v>
      </c>
      <c r="P755" s="0" t="s">
        <v>96</v>
      </c>
      <c r="AA755" s="0" t="s">
        <v>47</v>
      </c>
      <c r="AB755" s="0" t="s">
        <v>5132</v>
      </c>
      <c r="AC755" s="0" t="s">
        <v>5133</v>
      </c>
      <c r="AD755" s="0" t="s">
        <v>5134</v>
      </c>
      <c r="AE755" s="0" t="s">
        <v>79</v>
      </c>
      <c r="AF755" s="3" t="s">
        <v>48</v>
      </c>
      <c r="AG755" s="3" t="s">
        <v>49</v>
      </c>
      <c r="AR755" s="0" t="s">
        <v>5131</v>
      </c>
    </row>
    <row r="756" customFormat="false" ht="15" hidden="false" customHeight="false" outlineLevel="0" collapsed="false">
      <c r="A756" s="0" t="n">
        <v>755</v>
      </c>
      <c r="B756" s="0" t="s">
        <v>5135</v>
      </c>
      <c r="C756" s="0" t="s">
        <v>88</v>
      </c>
      <c r="E756" s="0" t="s">
        <v>5136</v>
      </c>
      <c r="N756" s="3" t="s">
        <v>202</v>
      </c>
      <c r="O756" s="3" t="s">
        <v>202</v>
      </c>
      <c r="P756" s="0" t="s">
        <v>96</v>
      </c>
      <c r="AA756" s="0" t="s">
        <v>47</v>
      </c>
      <c r="AB756" s="0" t="s">
        <v>5137</v>
      </c>
      <c r="AC756" s="0" t="s">
        <v>5138</v>
      </c>
      <c r="AE756" s="0" t="s">
        <v>79</v>
      </c>
      <c r="AF756" s="3" t="s">
        <v>48</v>
      </c>
      <c r="AG756" s="3" t="s">
        <v>49</v>
      </c>
      <c r="AR756" s="0" t="s">
        <v>5136</v>
      </c>
    </row>
    <row r="757" customFormat="false" ht="15" hidden="false" customHeight="false" outlineLevel="0" collapsed="false">
      <c r="A757" s="0" t="n">
        <v>756</v>
      </c>
      <c r="B757" s="0" t="s">
        <v>5139</v>
      </c>
      <c r="C757" s="0" t="s">
        <v>88</v>
      </c>
      <c r="E757" s="0" t="s">
        <v>5140</v>
      </c>
      <c r="H757" s="0" t="s">
        <v>5141</v>
      </c>
      <c r="I757" s="0" t="s">
        <v>154</v>
      </c>
      <c r="N757" s="3" t="s">
        <v>226</v>
      </c>
      <c r="O757" s="3" t="s">
        <v>226</v>
      </c>
      <c r="P757" s="0" t="s">
        <v>96</v>
      </c>
      <c r="AA757" s="0" t="s">
        <v>47</v>
      </c>
      <c r="AB757" s="0" t="s">
        <v>5142</v>
      </c>
      <c r="AC757" s="0" t="s">
        <v>5143</v>
      </c>
      <c r="AD757" s="0" t="s">
        <v>5144</v>
      </c>
      <c r="AE757" s="0" t="s">
        <v>79</v>
      </c>
      <c r="AF757" s="3" t="s">
        <v>48</v>
      </c>
      <c r="AG757" s="3" t="s">
        <v>49</v>
      </c>
      <c r="AL757" s="0" t="s">
        <v>5145</v>
      </c>
      <c r="AO757" s="0" t="s">
        <v>5146</v>
      </c>
      <c r="AP757" s="0" t="s">
        <v>5146</v>
      </c>
      <c r="AR757" s="0" t="s">
        <v>5147</v>
      </c>
    </row>
    <row r="758" customFormat="false" ht="15" hidden="false" customHeight="false" outlineLevel="0" collapsed="false">
      <c r="A758" s="0" t="n">
        <v>757</v>
      </c>
      <c r="B758" s="0" t="s">
        <v>5148</v>
      </c>
      <c r="C758" s="0" t="s">
        <v>88</v>
      </c>
      <c r="E758" s="0" t="s">
        <v>5149</v>
      </c>
      <c r="H758" s="0" t="s">
        <v>5150</v>
      </c>
      <c r="I758" s="0" t="s">
        <v>115</v>
      </c>
      <c r="J758" s="3" t="s">
        <v>694</v>
      </c>
      <c r="K758" s="0" t="s">
        <v>5151</v>
      </c>
      <c r="L758" s="0" t="s">
        <v>1168</v>
      </c>
      <c r="M758" s="0" t="n">
        <v>1849</v>
      </c>
      <c r="N758" s="0" t="s">
        <v>5152</v>
      </c>
      <c r="O758" s="3" t="s">
        <v>239</v>
      </c>
      <c r="P758" s="0" t="s">
        <v>96</v>
      </c>
      <c r="R758" s="0" t="n">
        <v>3500</v>
      </c>
      <c r="S758" s="0" t="n">
        <v>2025</v>
      </c>
      <c r="T758" s="0" t="s">
        <v>698</v>
      </c>
      <c r="U758" s="0" t="s">
        <v>115</v>
      </c>
      <c r="V758" s="0" t="n">
        <v>7300</v>
      </c>
      <c r="W758" s="0" t="s">
        <v>5153</v>
      </c>
      <c r="X758" s="0" t="s">
        <v>764</v>
      </c>
      <c r="Y758" s="0" t="s">
        <v>1142</v>
      </c>
      <c r="Z758" s="0" t="s">
        <v>115</v>
      </c>
      <c r="AA758" s="0" t="s">
        <v>1022</v>
      </c>
      <c r="AB758" s="0" t="s">
        <v>5154</v>
      </c>
      <c r="AC758" s="0" t="s">
        <v>5155</v>
      </c>
      <c r="AD758" s="0" t="s">
        <v>5156</v>
      </c>
      <c r="AE758" s="0" t="s">
        <v>115</v>
      </c>
      <c r="AF758" s="3" t="s">
        <v>108</v>
      </c>
      <c r="AG758" s="3" t="s">
        <v>81</v>
      </c>
      <c r="AH758" s="0" t="n">
        <v>2026</v>
      </c>
      <c r="AI758" s="0" t="s">
        <v>5157</v>
      </c>
      <c r="AJ758" s="0" t="s">
        <v>5158</v>
      </c>
      <c r="AK758" s="3" t="s">
        <v>5159</v>
      </c>
      <c r="AL758" s="0" t="s">
        <v>5160</v>
      </c>
      <c r="AN758" s="0" t="s">
        <v>5161</v>
      </c>
      <c r="AO758" s="0" t="s">
        <v>5162</v>
      </c>
      <c r="AP758" s="0" t="s">
        <v>5163</v>
      </c>
      <c r="AR758" s="0" t="s">
        <v>5164</v>
      </c>
    </row>
    <row r="759" customFormat="false" ht="15" hidden="false" customHeight="false" outlineLevel="0" collapsed="false">
      <c r="A759" s="0" t="n">
        <v>758</v>
      </c>
      <c r="B759" s="0" t="s">
        <v>5165</v>
      </c>
      <c r="C759" s="0" t="s">
        <v>43</v>
      </c>
      <c r="F759" s="0" t="s">
        <v>44</v>
      </c>
      <c r="H759" s="0" t="s">
        <v>5166</v>
      </c>
      <c r="I759" s="0" t="s">
        <v>154</v>
      </c>
      <c r="AA759" s="0" t="s">
        <v>47</v>
      </c>
      <c r="AF759" s="3" t="s">
        <v>48</v>
      </c>
      <c r="AG759" s="3" t="s">
        <v>49</v>
      </c>
      <c r="AL759" s="0" t="s">
        <v>5167</v>
      </c>
      <c r="AO759" s="0" t="s">
        <v>5168</v>
      </c>
      <c r="AP759" s="0" t="s">
        <v>5168</v>
      </c>
      <c r="AR759" s="0" t="s">
        <v>5169</v>
      </c>
    </row>
    <row r="760" customFormat="false" ht="15" hidden="false" customHeight="false" outlineLevel="0" collapsed="false">
      <c r="A760" s="0" t="n">
        <v>759</v>
      </c>
      <c r="B760" s="0" t="s">
        <v>5170</v>
      </c>
      <c r="C760" s="0" t="s">
        <v>88</v>
      </c>
      <c r="E760" s="0" t="s">
        <v>5171</v>
      </c>
      <c r="H760" s="0" t="s">
        <v>5172</v>
      </c>
      <c r="I760" s="0" t="s">
        <v>154</v>
      </c>
      <c r="N760" s="3" t="s">
        <v>186</v>
      </c>
      <c r="O760" s="3" t="s">
        <v>186</v>
      </c>
      <c r="P760" s="0" t="s">
        <v>96</v>
      </c>
      <c r="AA760" s="0" t="s">
        <v>47</v>
      </c>
      <c r="AB760" s="0" t="s">
        <v>5173</v>
      </c>
      <c r="AC760" s="0" t="s">
        <v>5174</v>
      </c>
      <c r="AD760" s="0" t="s">
        <v>5175</v>
      </c>
      <c r="AE760" s="0" t="s">
        <v>79</v>
      </c>
      <c r="AF760" s="3" t="s">
        <v>48</v>
      </c>
      <c r="AG760" s="3" t="s">
        <v>49</v>
      </c>
      <c r="AL760" s="0" t="s">
        <v>5176</v>
      </c>
      <c r="AM760" s="0" t="s">
        <v>5177</v>
      </c>
      <c r="AO760" s="0" t="s">
        <v>5178</v>
      </c>
      <c r="AP760" s="0" t="s">
        <v>5178</v>
      </c>
      <c r="AR760" s="0" t="s">
        <v>5179</v>
      </c>
    </row>
    <row r="761" customFormat="false" ht="15" hidden="false" customHeight="false" outlineLevel="0" collapsed="false">
      <c r="A761" s="0" t="n">
        <v>760</v>
      </c>
      <c r="B761" s="0" t="s">
        <v>5180</v>
      </c>
      <c r="C761" s="0" t="s">
        <v>88</v>
      </c>
      <c r="E761" s="0" t="s">
        <v>5181</v>
      </c>
      <c r="H761" s="0" t="s">
        <v>5182</v>
      </c>
      <c r="I761" s="0" t="s">
        <v>154</v>
      </c>
      <c r="N761" s="3" t="s">
        <v>202</v>
      </c>
      <c r="O761" s="3" t="s">
        <v>202</v>
      </c>
      <c r="P761" s="0" t="s">
        <v>96</v>
      </c>
      <c r="AA761" s="0" t="s">
        <v>47</v>
      </c>
      <c r="AB761" s="0" t="s">
        <v>5183</v>
      </c>
      <c r="AC761" s="0" t="s">
        <v>5184</v>
      </c>
      <c r="AD761" s="0" t="s">
        <v>5185</v>
      </c>
      <c r="AE761" s="0" t="s">
        <v>79</v>
      </c>
      <c r="AF761" s="3" t="s">
        <v>48</v>
      </c>
      <c r="AG761" s="3" t="s">
        <v>49</v>
      </c>
      <c r="AO761" s="0" t="s">
        <v>5186</v>
      </c>
      <c r="AP761" s="0" t="s">
        <v>5186</v>
      </c>
      <c r="AR761" s="0" t="s">
        <v>5187</v>
      </c>
    </row>
    <row r="762" customFormat="false" ht="15" hidden="false" customHeight="false" outlineLevel="0" collapsed="false">
      <c r="A762" s="0" t="n">
        <v>761</v>
      </c>
      <c r="B762" s="0" t="s">
        <v>5188</v>
      </c>
      <c r="C762" s="0" t="s">
        <v>244</v>
      </c>
      <c r="E762" s="0" t="s">
        <v>5189</v>
      </c>
      <c r="F762" s="0" t="s">
        <v>44</v>
      </c>
      <c r="N762" s="3" t="s">
        <v>239</v>
      </c>
      <c r="O762" s="3" t="s">
        <v>239</v>
      </c>
      <c r="P762" s="0" t="s">
        <v>96</v>
      </c>
      <c r="AA762" s="0" t="s">
        <v>47</v>
      </c>
      <c r="AB762" s="0" t="s">
        <v>5190</v>
      </c>
      <c r="AC762" s="0" t="s">
        <v>5191</v>
      </c>
      <c r="AD762" s="0" t="s">
        <v>5192</v>
      </c>
      <c r="AE762" s="0" t="s">
        <v>79</v>
      </c>
      <c r="AF762" s="3" t="s">
        <v>149</v>
      </c>
      <c r="AG762" s="3" t="s">
        <v>81</v>
      </c>
      <c r="AK762" s="0" t="s">
        <v>5193</v>
      </c>
      <c r="AR762" s="0" t="s">
        <v>5194</v>
      </c>
    </row>
    <row r="763" customFormat="false" ht="15" hidden="false" customHeight="false" outlineLevel="0" collapsed="false">
      <c r="A763" s="0" t="n">
        <v>762</v>
      </c>
      <c r="B763" s="0" t="s">
        <v>5195</v>
      </c>
      <c r="C763" s="0" t="s">
        <v>88</v>
      </c>
      <c r="E763" s="0" t="s">
        <v>5196</v>
      </c>
      <c r="AA763" s="0" t="s">
        <v>47</v>
      </c>
      <c r="AF763" s="3" t="s">
        <v>48</v>
      </c>
      <c r="AG763" s="3" t="s">
        <v>49</v>
      </c>
      <c r="AR763" s="0" t="s">
        <v>5196</v>
      </c>
    </row>
    <row r="764" customFormat="false" ht="15" hidden="false" customHeight="false" outlineLevel="0" collapsed="false">
      <c r="A764" s="0" t="n">
        <v>763</v>
      </c>
      <c r="B764" s="0" t="s">
        <v>5197</v>
      </c>
      <c r="C764" s="0" t="s">
        <v>88</v>
      </c>
      <c r="E764" s="0" t="s">
        <v>5198</v>
      </c>
      <c r="H764" s="0" t="s">
        <v>5199</v>
      </c>
      <c r="I764" s="0" t="s">
        <v>154</v>
      </c>
      <c r="N764" s="3" t="s">
        <v>186</v>
      </c>
      <c r="O764" s="3" t="s">
        <v>186</v>
      </c>
      <c r="P764" s="0" t="s">
        <v>96</v>
      </c>
      <c r="AA764" s="0" t="s">
        <v>47</v>
      </c>
      <c r="AB764" s="0" t="s">
        <v>5200</v>
      </c>
      <c r="AC764" s="0" t="s">
        <v>5201</v>
      </c>
      <c r="AD764" s="0" t="s">
        <v>5202</v>
      </c>
      <c r="AE764" s="0" t="s">
        <v>79</v>
      </c>
      <c r="AF764" s="3" t="s">
        <v>48</v>
      </c>
      <c r="AG764" s="3" t="s">
        <v>49</v>
      </c>
      <c r="AL764" s="0" t="s">
        <v>5203</v>
      </c>
      <c r="AO764" s="0" t="s">
        <v>5204</v>
      </c>
      <c r="AP764" s="0" t="s">
        <v>5204</v>
      </c>
      <c r="AR764" s="0" t="s">
        <v>5205</v>
      </c>
    </row>
    <row r="765" customFormat="false" ht="15" hidden="false" customHeight="false" outlineLevel="0" collapsed="false">
      <c r="A765" s="0" t="n">
        <v>764</v>
      </c>
      <c r="B765" s="0" t="s">
        <v>5206</v>
      </c>
      <c r="C765" s="0" t="s">
        <v>88</v>
      </c>
      <c r="E765" s="0" t="s">
        <v>5207</v>
      </c>
      <c r="AA765" s="0" t="s">
        <v>47</v>
      </c>
      <c r="AF765" s="3" t="s">
        <v>48</v>
      </c>
      <c r="AG765" s="3" t="s">
        <v>49</v>
      </c>
      <c r="AR765" s="0" t="s">
        <v>5207</v>
      </c>
    </row>
    <row r="766" customFormat="false" ht="15" hidden="false" customHeight="false" outlineLevel="0" collapsed="false">
      <c r="A766" s="0" t="n">
        <v>765</v>
      </c>
      <c r="B766" s="0" t="s">
        <v>5208</v>
      </c>
      <c r="C766" s="0" t="s">
        <v>88</v>
      </c>
      <c r="E766" s="0" t="s">
        <v>5209</v>
      </c>
      <c r="N766" s="3" t="s">
        <v>213</v>
      </c>
      <c r="O766" s="3" t="s">
        <v>213</v>
      </c>
      <c r="P766" s="0" t="s">
        <v>96</v>
      </c>
      <c r="AA766" s="0" t="s">
        <v>47</v>
      </c>
      <c r="AB766" s="0" t="s">
        <v>5210</v>
      </c>
      <c r="AC766" s="0" t="s">
        <v>5211</v>
      </c>
      <c r="AE766" s="0" t="s">
        <v>79</v>
      </c>
      <c r="AF766" s="3" t="s">
        <v>48</v>
      </c>
      <c r="AG766" s="3" t="s">
        <v>49</v>
      </c>
      <c r="AR766" s="0" t="s">
        <v>5209</v>
      </c>
    </row>
    <row r="767" customFormat="false" ht="15" hidden="false" customHeight="false" outlineLevel="0" collapsed="false">
      <c r="A767" s="0" t="n">
        <v>766</v>
      </c>
      <c r="B767" s="0" t="s">
        <v>5212</v>
      </c>
      <c r="C767" s="0" t="s">
        <v>88</v>
      </c>
      <c r="E767" s="0" t="s">
        <v>5213</v>
      </c>
      <c r="N767" s="3" t="s">
        <v>202</v>
      </c>
      <c r="O767" s="3" t="s">
        <v>202</v>
      </c>
      <c r="P767" s="0" t="s">
        <v>96</v>
      </c>
      <c r="AA767" s="0" t="s">
        <v>47</v>
      </c>
      <c r="AB767" s="0" t="s">
        <v>5214</v>
      </c>
      <c r="AC767" s="0" t="s">
        <v>5215</v>
      </c>
      <c r="AD767" s="0" t="s">
        <v>5216</v>
      </c>
      <c r="AE767" s="0" t="s">
        <v>79</v>
      </c>
      <c r="AF767" s="3" t="s">
        <v>48</v>
      </c>
      <c r="AG767" s="3" t="s">
        <v>49</v>
      </c>
      <c r="AR767" s="0" t="s">
        <v>5213</v>
      </c>
    </row>
    <row r="768" customFormat="false" ht="15" hidden="false" customHeight="false" outlineLevel="0" collapsed="false">
      <c r="A768" s="0" t="n">
        <v>767</v>
      </c>
      <c r="B768" s="0" t="s">
        <v>5217</v>
      </c>
      <c r="C768" s="0" t="s">
        <v>88</v>
      </c>
      <c r="E768" s="0" t="s">
        <v>5218</v>
      </c>
      <c r="N768" s="3" t="s">
        <v>95</v>
      </c>
      <c r="O768" s="3" t="s">
        <v>95</v>
      </c>
      <c r="P768" s="0" t="s">
        <v>96</v>
      </c>
      <c r="AA768" s="0" t="s">
        <v>47</v>
      </c>
      <c r="AB768" s="0" t="s">
        <v>5219</v>
      </c>
      <c r="AC768" s="0" t="s">
        <v>5220</v>
      </c>
      <c r="AD768" s="0" t="s">
        <v>5221</v>
      </c>
      <c r="AE768" s="0" t="s">
        <v>79</v>
      </c>
      <c r="AF768" s="3" t="s">
        <v>48</v>
      </c>
      <c r="AG768" s="3" t="s">
        <v>49</v>
      </c>
      <c r="AR768" s="0" t="s">
        <v>5218</v>
      </c>
    </row>
    <row r="769" customFormat="false" ht="15" hidden="false" customHeight="false" outlineLevel="0" collapsed="false">
      <c r="A769" s="0" t="n">
        <v>768</v>
      </c>
      <c r="B769" s="0" t="s">
        <v>5222</v>
      </c>
      <c r="C769" s="0" t="s">
        <v>88</v>
      </c>
      <c r="E769" s="0" t="s">
        <v>5223</v>
      </c>
      <c r="H769" s="0" t="s">
        <v>5224</v>
      </c>
      <c r="I769" s="0" t="s">
        <v>154</v>
      </c>
      <c r="N769" s="3" t="s">
        <v>202</v>
      </c>
      <c r="O769" s="3" t="s">
        <v>202</v>
      </c>
      <c r="P769" s="0" t="s">
        <v>96</v>
      </c>
      <c r="AA769" s="0" t="s">
        <v>47</v>
      </c>
      <c r="AB769" s="0" t="s">
        <v>5225</v>
      </c>
      <c r="AC769" s="0" t="s">
        <v>5226</v>
      </c>
      <c r="AE769" s="0" t="s">
        <v>79</v>
      </c>
      <c r="AF769" s="3" t="s">
        <v>48</v>
      </c>
      <c r="AG769" s="3" t="s">
        <v>49</v>
      </c>
      <c r="AL769" s="0" t="s">
        <v>5227</v>
      </c>
      <c r="AO769" s="0" t="s">
        <v>5228</v>
      </c>
      <c r="AP769" s="0" t="s">
        <v>5228</v>
      </c>
      <c r="AR769" s="0" t="s">
        <v>5229</v>
      </c>
    </row>
    <row r="770" customFormat="false" ht="15" hidden="false" customHeight="false" outlineLevel="0" collapsed="false">
      <c r="A770" s="0" t="n">
        <v>769</v>
      </c>
      <c r="B770" s="0" t="s">
        <v>5230</v>
      </c>
      <c r="C770" s="0" t="s">
        <v>52</v>
      </c>
      <c r="D770" s="0" t="s">
        <v>5231</v>
      </c>
      <c r="N770" s="3" t="s">
        <v>54</v>
      </c>
      <c r="O770" s="3" t="s">
        <v>54</v>
      </c>
      <c r="P770" s="0" t="s">
        <v>55</v>
      </c>
      <c r="AA770" s="0" t="s">
        <v>47</v>
      </c>
      <c r="AB770" s="0" t="s">
        <v>5232</v>
      </c>
      <c r="AC770" s="0" t="s">
        <v>5233</v>
      </c>
      <c r="AD770" s="0" t="s">
        <v>5234</v>
      </c>
      <c r="AE770" s="0" t="s">
        <v>59</v>
      </c>
      <c r="AF770" s="3" t="s">
        <v>48</v>
      </c>
      <c r="AG770" s="3" t="s">
        <v>49</v>
      </c>
      <c r="AR770" s="0" t="s">
        <v>5231</v>
      </c>
    </row>
    <row r="771" customFormat="false" ht="15" hidden="false" customHeight="false" outlineLevel="0" collapsed="false">
      <c r="A771" s="0" t="n">
        <v>770</v>
      </c>
      <c r="B771" s="0" t="s">
        <v>5235</v>
      </c>
      <c r="C771" s="0" t="s">
        <v>88</v>
      </c>
      <c r="E771" s="0" t="s">
        <v>5236</v>
      </c>
      <c r="H771" s="0" t="s">
        <v>5237</v>
      </c>
      <c r="I771" s="0" t="s">
        <v>154</v>
      </c>
      <c r="N771" s="3" t="s">
        <v>186</v>
      </c>
      <c r="O771" s="3" t="s">
        <v>186</v>
      </c>
      <c r="P771" s="0" t="s">
        <v>96</v>
      </c>
      <c r="AA771" s="0" t="s">
        <v>47</v>
      </c>
      <c r="AB771" s="0" t="s">
        <v>5238</v>
      </c>
      <c r="AC771" s="0" t="s">
        <v>5239</v>
      </c>
      <c r="AD771" s="0" t="s">
        <v>5240</v>
      </c>
      <c r="AE771" s="0" t="s">
        <v>79</v>
      </c>
      <c r="AF771" s="3" t="s">
        <v>48</v>
      </c>
      <c r="AG771" s="3" t="s">
        <v>49</v>
      </c>
      <c r="AL771" s="0" t="s">
        <v>5241</v>
      </c>
      <c r="AM771" s="0" t="s">
        <v>5242</v>
      </c>
      <c r="AO771" s="0" t="s">
        <v>5243</v>
      </c>
      <c r="AP771" s="0" t="s">
        <v>5243</v>
      </c>
      <c r="AR771" s="0" t="s">
        <v>5244</v>
      </c>
    </row>
    <row r="772" customFormat="false" ht="15" hidden="false" customHeight="false" outlineLevel="0" collapsed="false">
      <c r="A772" s="0" t="n">
        <v>771</v>
      </c>
      <c r="B772" s="0" t="s">
        <v>5245</v>
      </c>
      <c r="C772" s="0" t="s">
        <v>88</v>
      </c>
      <c r="E772" s="0" t="s">
        <v>5246</v>
      </c>
      <c r="N772" s="3" t="s">
        <v>95</v>
      </c>
      <c r="O772" s="3" t="s">
        <v>95</v>
      </c>
      <c r="P772" s="0" t="s">
        <v>96</v>
      </c>
      <c r="AA772" s="0" t="s">
        <v>47</v>
      </c>
      <c r="AB772" s="0" t="s">
        <v>5247</v>
      </c>
      <c r="AC772" s="0" t="s">
        <v>5248</v>
      </c>
      <c r="AD772" s="0" t="s">
        <v>5249</v>
      </c>
      <c r="AE772" s="0" t="s">
        <v>79</v>
      </c>
      <c r="AF772" s="3" t="s">
        <v>48</v>
      </c>
      <c r="AG772" s="3" t="s">
        <v>49</v>
      </c>
      <c r="AR772" s="0" t="s">
        <v>5246</v>
      </c>
    </row>
    <row r="773" customFormat="false" ht="15" hidden="false" customHeight="false" outlineLevel="0" collapsed="false">
      <c r="A773" s="0" t="n">
        <v>772</v>
      </c>
      <c r="B773" s="0" t="s">
        <v>5250</v>
      </c>
      <c r="C773" s="0" t="s">
        <v>43</v>
      </c>
      <c r="F773" s="0" t="s">
        <v>44</v>
      </c>
      <c r="H773" s="0" t="s">
        <v>5251</v>
      </c>
      <c r="I773" s="0" t="s">
        <v>46</v>
      </c>
      <c r="AA773" s="0" t="s">
        <v>47</v>
      </c>
      <c r="AF773" s="3" t="s">
        <v>48</v>
      </c>
      <c r="AG773" s="3" t="s">
        <v>49</v>
      </c>
      <c r="AR773" s="0" t="s">
        <v>50</v>
      </c>
    </row>
    <row r="774" customFormat="false" ht="15" hidden="false" customHeight="false" outlineLevel="0" collapsed="false">
      <c r="A774" s="0" t="n">
        <v>773</v>
      </c>
      <c r="B774" s="0" t="s">
        <v>5252</v>
      </c>
      <c r="C774" s="0" t="s">
        <v>88</v>
      </c>
      <c r="E774" s="0" t="s">
        <v>5253</v>
      </c>
      <c r="H774" s="0" t="s">
        <v>5254</v>
      </c>
      <c r="I774" s="0" t="s">
        <v>154</v>
      </c>
      <c r="AA774" s="0" t="s">
        <v>47</v>
      </c>
      <c r="AB774" s="0" t="s">
        <v>5255</v>
      </c>
      <c r="AC774" s="0" t="s">
        <v>5256</v>
      </c>
      <c r="AE774" s="0" t="s">
        <v>79</v>
      </c>
      <c r="AF774" s="3" t="s">
        <v>48</v>
      </c>
      <c r="AG774" s="3" t="s">
        <v>49</v>
      </c>
      <c r="AL774" s="0" t="s">
        <v>5257</v>
      </c>
      <c r="AM774" s="0" t="s">
        <v>5258</v>
      </c>
      <c r="AO774" s="0" t="s">
        <v>5259</v>
      </c>
      <c r="AP774" s="0" t="s">
        <v>5259</v>
      </c>
      <c r="AR774" s="0" t="s">
        <v>5260</v>
      </c>
    </row>
    <row r="775" customFormat="false" ht="15" hidden="false" customHeight="false" outlineLevel="0" collapsed="false">
      <c r="A775" s="0" t="n">
        <v>774</v>
      </c>
      <c r="B775" s="0" t="s">
        <v>5261</v>
      </c>
      <c r="C775" s="0" t="s">
        <v>88</v>
      </c>
      <c r="E775" s="0" t="s">
        <v>5262</v>
      </c>
      <c r="N775" s="3" t="s">
        <v>186</v>
      </c>
      <c r="O775" s="3" t="s">
        <v>186</v>
      </c>
      <c r="P775" s="0" t="s">
        <v>96</v>
      </c>
      <c r="AA775" s="0" t="s">
        <v>47</v>
      </c>
      <c r="AB775" s="0" t="s">
        <v>5263</v>
      </c>
      <c r="AC775" s="0" t="s">
        <v>5264</v>
      </c>
      <c r="AD775" s="0" t="s">
        <v>5265</v>
      </c>
      <c r="AE775" s="0" t="s">
        <v>79</v>
      </c>
      <c r="AF775" s="3" t="s">
        <v>48</v>
      </c>
      <c r="AG775" s="3" t="s">
        <v>49</v>
      </c>
      <c r="AR775" s="0" t="s">
        <v>5262</v>
      </c>
    </row>
    <row r="776" customFormat="false" ht="15" hidden="false" customHeight="false" outlineLevel="0" collapsed="false">
      <c r="A776" s="0" t="n">
        <v>775</v>
      </c>
      <c r="B776" s="0" t="s">
        <v>5266</v>
      </c>
      <c r="C776" s="0" t="s">
        <v>52</v>
      </c>
      <c r="D776" s="0" t="s">
        <v>5267</v>
      </c>
      <c r="H776" s="0" t="s">
        <v>5268</v>
      </c>
      <c r="I776" s="0" t="s">
        <v>154</v>
      </c>
      <c r="N776" s="3" t="s">
        <v>1568</v>
      </c>
      <c r="O776" s="3" t="s">
        <v>1568</v>
      </c>
      <c r="P776" s="0" t="s">
        <v>55</v>
      </c>
      <c r="AA776" s="0" t="s">
        <v>47</v>
      </c>
      <c r="AB776" s="0" t="s">
        <v>5269</v>
      </c>
      <c r="AC776" s="0" t="s">
        <v>5270</v>
      </c>
      <c r="AD776" s="0" t="s">
        <v>5271</v>
      </c>
      <c r="AE776" s="0" t="s">
        <v>59</v>
      </c>
      <c r="AF776" s="3" t="s">
        <v>48</v>
      </c>
      <c r="AG776" s="3" t="s">
        <v>49</v>
      </c>
      <c r="AL776" s="0" t="s">
        <v>5272</v>
      </c>
      <c r="AO776" s="0" t="s">
        <v>5273</v>
      </c>
      <c r="AP776" s="0" t="s">
        <v>5273</v>
      </c>
      <c r="AR776" s="0" t="s">
        <v>5274</v>
      </c>
    </row>
    <row r="777" customFormat="false" ht="15" hidden="false" customHeight="false" outlineLevel="0" collapsed="false">
      <c r="A777" s="0" t="n">
        <v>776</v>
      </c>
      <c r="B777" s="0" t="s">
        <v>5275</v>
      </c>
      <c r="C777" s="0" t="s">
        <v>43</v>
      </c>
      <c r="F777" s="0" t="s">
        <v>44</v>
      </c>
      <c r="AA777" s="0" t="s">
        <v>47</v>
      </c>
      <c r="AF777" s="3" t="s">
        <v>108</v>
      </c>
      <c r="AG777" s="3" t="s">
        <v>49</v>
      </c>
      <c r="AH777" s="0" t="n">
        <v>2026</v>
      </c>
      <c r="AI777" s="0" t="s">
        <v>155</v>
      </c>
      <c r="AJ777" s="0" t="s">
        <v>156</v>
      </c>
      <c r="AR777" s="0" t="s">
        <v>5276</v>
      </c>
    </row>
    <row r="778" customFormat="false" ht="15" hidden="false" customHeight="false" outlineLevel="0" collapsed="false">
      <c r="A778" s="0" t="n">
        <v>777</v>
      </c>
      <c r="B778" s="0" t="s">
        <v>5277</v>
      </c>
      <c r="C778" s="0" t="s">
        <v>88</v>
      </c>
      <c r="E778" s="0" t="s">
        <v>5278</v>
      </c>
      <c r="H778" s="0" t="s">
        <v>5279</v>
      </c>
      <c r="I778" s="0" t="s">
        <v>46</v>
      </c>
      <c r="AA778" s="0" t="s">
        <v>47</v>
      </c>
      <c r="AF778" s="3" t="s">
        <v>48</v>
      </c>
      <c r="AG778" s="3" t="s">
        <v>49</v>
      </c>
      <c r="AR778" s="0" t="s">
        <v>5278</v>
      </c>
    </row>
    <row r="779" customFormat="false" ht="15" hidden="false" customHeight="false" outlineLevel="0" collapsed="false">
      <c r="A779" s="0" t="n">
        <v>778</v>
      </c>
      <c r="B779" s="0" t="s">
        <v>5280</v>
      </c>
      <c r="C779" s="0" t="s">
        <v>88</v>
      </c>
      <c r="E779" s="0" t="s">
        <v>5281</v>
      </c>
      <c r="H779" s="0" t="s">
        <v>5282</v>
      </c>
      <c r="I779" s="0" t="s">
        <v>94</v>
      </c>
      <c r="AA779" s="0" t="s">
        <v>47</v>
      </c>
      <c r="AF779" s="3" t="s">
        <v>48</v>
      </c>
      <c r="AG779" s="3" t="s">
        <v>49</v>
      </c>
      <c r="AP779" s="0" t="s">
        <v>5283</v>
      </c>
      <c r="AR779" s="0" t="s">
        <v>5284</v>
      </c>
    </row>
    <row r="780" customFormat="false" ht="15" hidden="false" customHeight="false" outlineLevel="0" collapsed="false">
      <c r="A780" s="0" t="n">
        <v>779</v>
      </c>
      <c r="B780" s="0" t="s">
        <v>5285</v>
      </c>
      <c r="C780" s="0" t="s">
        <v>88</v>
      </c>
      <c r="E780" s="0" t="s">
        <v>5286</v>
      </c>
      <c r="AA780" s="0" t="s">
        <v>47</v>
      </c>
      <c r="AF780" s="3" t="s">
        <v>48</v>
      </c>
      <c r="AG780" s="3" t="s">
        <v>49</v>
      </c>
      <c r="AR780" s="0" t="s">
        <v>5286</v>
      </c>
    </row>
    <row r="781" customFormat="false" ht="15" hidden="false" customHeight="false" outlineLevel="0" collapsed="false">
      <c r="A781" s="0" t="n">
        <v>780</v>
      </c>
      <c r="B781" s="0" t="s">
        <v>5287</v>
      </c>
      <c r="C781" s="0" t="s">
        <v>88</v>
      </c>
      <c r="E781" s="0" t="s">
        <v>5288</v>
      </c>
      <c r="H781" s="0" t="s">
        <v>5289</v>
      </c>
      <c r="I781" s="0" t="s">
        <v>154</v>
      </c>
      <c r="AA781" s="0" t="s">
        <v>47</v>
      </c>
      <c r="AF781" s="3" t="s">
        <v>48</v>
      </c>
      <c r="AG781" s="3" t="s">
        <v>49</v>
      </c>
      <c r="AL781" s="0" t="s">
        <v>5290</v>
      </c>
      <c r="AO781" s="0" t="s">
        <v>5291</v>
      </c>
      <c r="AP781" s="0" t="s">
        <v>5291</v>
      </c>
      <c r="AR781" s="0" t="s">
        <v>5292</v>
      </c>
    </row>
    <row r="782" customFormat="false" ht="15" hidden="false" customHeight="false" outlineLevel="0" collapsed="false">
      <c r="A782" s="0" t="n">
        <v>781</v>
      </c>
      <c r="B782" s="0" t="s">
        <v>5293</v>
      </c>
      <c r="C782" s="0" t="s">
        <v>88</v>
      </c>
      <c r="E782" s="0" t="s">
        <v>5294</v>
      </c>
      <c r="H782" s="0" t="s">
        <v>5295</v>
      </c>
      <c r="I782" s="0" t="s">
        <v>154</v>
      </c>
      <c r="N782" s="3" t="s">
        <v>95</v>
      </c>
      <c r="O782" s="3" t="s">
        <v>95</v>
      </c>
      <c r="P782" s="0" t="s">
        <v>96</v>
      </c>
      <c r="AA782" s="0" t="s">
        <v>47</v>
      </c>
      <c r="AB782" s="0" t="s">
        <v>5296</v>
      </c>
      <c r="AC782" s="0" t="s">
        <v>5297</v>
      </c>
      <c r="AD782" s="0" t="s">
        <v>5298</v>
      </c>
      <c r="AE782" s="0" t="s">
        <v>79</v>
      </c>
      <c r="AF782" s="3" t="s">
        <v>48</v>
      </c>
      <c r="AG782" s="3" t="s">
        <v>49</v>
      </c>
      <c r="AL782" s="0" t="s">
        <v>5299</v>
      </c>
      <c r="AM782" s="0" t="s">
        <v>5300</v>
      </c>
      <c r="AO782" s="0" t="s">
        <v>5301</v>
      </c>
      <c r="AP782" s="0" t="s">
        <v>5301</v>
      </c>
      <c r="AR782" s="0" t="s">
        <v>5302</v>
      </c>
    </row>
    <row r="783" customFormat="false" ht="15" hidden="false" customHeight="false" outlineLevel="0" collapsed="false">
      <c r="A783" s="0" t="n">
        <v>782</v>
      </c>
      <c r="B783" s="0" t="s">
        <v>5303</v>
      </c>
      <c r="C783" s="0" t="s">
        <v>52</v>
      </c>
      <c r="D783" s="0" t="s">
        <v>5304</v>
      </c>
      <c r="H783" s="0" t="s">
        <v>5305</v>
      </c>
      <c r="I783" s="0" t="s">
        <v>154</v>
      </c>
      <c r="N783" s="3" t="s">
        <v>54</v>
      </c>
      <c r="O783" s="3" t="s">
        <v>54</v>
      </c>
      <c r="P783" s="0" t="s">
        <v>55</v>
      </c>
      <c r="AA783" s="0" t="s">
        <v>47</v>
      </c>
      <c r="AB783" s="0" t="s">
        <v>5306</v>
      </c>
      <c r="AC783" s="0" t="s">
        <v>5307</v>
      </c>
      <c r="AD783" s="0" t="s">
        <v>5308</v>
      </c>
      <c r="AE783" s="0" t="s">
        <v>59</v>
      </c>
      <c r="AF783" s="3" t="s">
        <v>48</v>
      </c>
      <c r="AG783" s="3" t="s">
        <v>49</v>
      </c>
      <c r="AL783" s="0" t="s">
        <v>5309</v>
      </c>
      <c r="AM783" s="0" t="s">
        <v>5310</v>
      </c>
      <c r="AO783" s="0" t="s">
        <v>5311</v>
      </c>
      <c r="AP783" s="0" t="s">
        <v>5311</v>
      </c>
      <c r="AR783" s="0" t="s">
        <v>5312</v>
      </c>
    </row>
    <row r="784" customFormat="false" ht="15" hidden="false" customHeight="false" outlineLevel="0" collapsed="false">
      <c r="A784" s="0" t="n">
        <v>783</v>
      </c>
      <c r="B784" s="0" t="s">
        <v>5313</v>
      </c>
      <c r="C784" s="0" t="s">
        <v>88</v>
      </c>
      <c r="E784" s="0" t="s">
        <v>5314</v>
      </c>
      <c r="N784" s="3" t="s">
        <v>119</v>
      </c>
      <c r="O784" s="3" t="s">
        <v>119</v>
      </c>
      <c r="P784" s="0" t="s">
        <v>96</v>
      </c>
      <c r="AA784" s="0" t="s">
        <v>47</v>
      </c>
      <c r="AB784" s="0" t="s">
        <v>5315</v>
      </c>
      <c r="AC784" s="0" t="s">
        <v>5316</v>
      </c>
      <c r="AE784" s="0" t="s">
        <v>79</v>
      </c>
      <c r="AF784" s="3" t="s">
        <v>48</v>
      </c>
      <c r="AG784" s="3" t="s">
        <v>49</v>
      </c>
      <c r="AR784" s="0" t="s">
        <v>5314</v>
      </c>
    </row>
    <row r="785" customFormat="false" ht="15" hidden="false" customHeight="false" outlineLevel="0" collapsed="false">
      <c r="A785" s="0" t="n">
        <v>784</v>
      </c>
      <c r="B785" s="0" t="s">
        <v>5317</v>
      </c>
      <c r="C785" s="0" t="s">
        <v>88</v>
      </c>
      <c r="E785" s="0" t="s">
        <v>5318</v>
      </c>
      <c r="AA785" s="0" t="s">
        <v>47</v>
      </c>
      <c r="AF785" s="3" t="s">
        <v>48</v>
      </c>
      <c r="AG785" s="3" t="s">
        <v>49</v>
      </c>
      <c r="AR785" s="0" t="s">
        <v>5318</v>
      </c>
    </row>
    <row r="786" customFormat="false" ht="15" hidden="false" customHeight="false" outlineLevel="0" collapsed="false">
      <c r="A786" s="0" t="n">
        <v>785</v>
      </c>
      <c r="B786" s="0" t="s">
        <v>5319</v>
      </c>
      <c r="C786" s="0" t="s">
        <v>88</v>
      </c>
      <c r="E786" s="0" t="s">
        <v>5320</v>
      </c>
      <c r="Q786" s="0" t="s">
        <v>5321</v>
      </c>
      <c r="AA786" s="0" t="s">
        <v>47</v>
      </c>
      <c r="AF786" s="3" t="s">
        <v>48</v>
      </c>
      <c r="AG786" s="3" t="s">
        <v>49</v>
      </c>
      <c r="AR786" s="0" t="s">
        <v>5320</v>
      </c>
    </row>
    <row r="787" customFormat="false" ht="15" hidden="false" customHeight="false" outlineLevel="0" collapsed="false">
      <c r="A787" s="0" t="n">
        <v>786</v>
      </c>
      <c r="B787" s="0" t="s">
        <v>5322</v>
      </c>
      <c r="C787" s="0" t="s">
        <v>244</v>
      </c>
      <c r="E787" s="0" t="s">
        <v>5323</v>
      </c>
      <c r="F787" s="0" t="s">
        <v>44</v>
      </c>
      <c r="H787" s="0" t="s">
        <v>5324</v>
      </c>
      <c r="I787" s="0" t="s">
        <v>46</v>
      </c>
      <c r="N787" s="3" t="s">
        <v>186</v>
      </c>
      <c r="O787" s="3" t="s">
        <v>186</v>
      </c>
      <c r="P787" s="0" t="s">
        <v>96</v>
      </c>
      <c r="AA787" s="0" t="s">
        <v>47</v>
      </c>
      <c r="AB787" s="0" t="s">
        <v>5325</v>
      </c>
      <c r="AC787" s="0" t="s">
        <v>5326</v>
      </c>
      <c r="AD787" s="0" t="s">
        <v>5327</v>
      </c>
      <c r="AE787" s="0" t="s">
        <v>79</v>
      </c>
      <c r="AF787" s="3" t="s">
        <v>108</v>
      </c>
      <c r="AG787" s="3" t="s">
        <v>81</v>
      </c>
      <c r="AI787" s="0" t="s">
        <v>921</v>
      </c>
      <c r="AJ787" s="0" t="s">
        <v>2021</v>
      </c>
      <c r="AR787" s="0" t="s">
        <v>5328</v>
      </c>
    </row>
    <row r="788" customFormat="false" ht="15" hidden="false" customHeight="false" outlineLevel="0" collapsed="false">
      <c r="A788" s="0" t="n">
        <v>787</v>
      </c>
      <c r="B788" s="0" t="s">
        <v>5329</v>
      </c>
      <c r="C788" s="0" t="s">
        <v>88</v>
      </c>
      <c r="E788" s="0" t="s">
        <v>5330</v>
      </c>
      <c r="H788" s="0" t="s">
        <v>5331</v>
      </c>
      <c r="I788" s="0" t="s">
        <v>154</v>
      </c>
      <c r="N788" s="3" t="s">
        <v>202</v>
      </c>
      <c r="O788" s="3" t="s">
        <v>202</v>
      </c>
      <c r="P788" s="0" t="s">
        <v>96</v>
      </c>
      <c r="AA788" s="0" t="s">
        <v>47</v>
      </c>
      <c r="AB788" s="0" t="s">
        <v>5332</v>
      </c>
      <c r="AC788" s="0" t="s">
        <v>5333</v>
      </c>
      <c r="AD788" s="0" t="s">
        <v>5334</v>
      </c>
      <c r="AE788" s="0" t="s">
        <v>79</v>
      </c>
      <c r="AF788" s="3" t="s">
        <v>108</v>
      </c>
      <c r="AG788" s="3" t="s">
        <v>49</v>
      </c>
      <c r="AH788" s="0" t="n">
        <v>2026</v>
      </c>
      <c r="AI788" s="0" t="s">
        <v>4094</v>
      </c>
      <c r="AJ788" s="0" t="s">
        <v>4095</v>
      </c>
      <c r="AL788" s="0" t="s">
        <v>5335</v>
      </c>
      <c r="AM788" s="0" t="s">
        <v>5336</v>
      </c>
      <c r="AO788" s="0" t="s">
        <v>5337</v>
      </c>
      <c r="AP788" s="0" t="s">
        <v>5337</v>
      </c>
      <c r="AR788" s="0" t="s">
        <v>5338</v>
      </c>
    </row>
    <row r="789" customFormat="false" ht="15" hidden="false" customHeight="false" outlineLevel="0" collapsed="false">
      <c r="A789" s="0" t="n">
        <v>788</v>
      </c>
      <c r="B789" s="0" t="s">
        <v>5339</v>
      </c>
      <c r="C789" s="0" t="s">
        <v>88</v>
      </c>
      <c r="E789" s="0" t="s">
        <v>5340</v>
      </c>
      <c r="H789" s="0" t="s">
        <v>5341</v>
      </c>
      <c r="I789" s="0" t="s">
        <v>154</v>
      </c>
      <c r="N789" s="3" t="s">
        <v>202</v>
      </c>
      <c r="O789" s="3" t="s">
        <v>202</v>
      </c>
      <c r="P789" s="0" t="s">
        <v>96</v>
      </c>
      <c r="AA789" s="0" t="s">
        <v>47</v>
      </c>
      <c r="AB789" s="0" t="s">
        <v>5342</v>
      </c>
      <c r="AC789" s="0" t="s">
        <v>5343</v>
      </c>
      <c r="AD789" s="0" t="s">
        <v>5344</v>
      </c>
      <c r="AE789" s="0" t="s">
        <v>79</v>
      </c>
      <c r="AF789" s="3" t="s">
        <v>48</v>
      </c>
      <c r="AG789" s="3" t="s">
        <v>49</v>
      </c>
      <c r="AL789" s="0" t="s">
        <v>5345</v>
      </c>
      <c r="AO789" s="0" t="s">
        <v>5346</v>
      </c>
      <c r="AP789" s="0" t="s">
        <v>5346</v>
      </c>
      <c r="AR789" s="0" t="s">
        <v>5347</v>
      </c>
    </row>
    <row r="790" customFormat="false" ht="15" hidden="false" customHeight="false" outlineLevel="0" collapsed="false">
      <c r="A790" s="0" t="n">
        <v>789</v>
      </c>
      <c r="B790" s="0" t="s">
        <v>5348</v>
      </c>
      <c r="C790" s="0" t="s">
        <v>88</v>
      </c>
      <c r="E790" s="0" t="s">
        <v>5349</v>
      </c>
      <c r="H790" s="0" t="s">
        <v>5350</v>
      </c>
      <c r="I790" s="0" t="s">
        <v>154</v>
      </c>
      <c r="AA790" s="0" t="s">
        <v>47</v>
      </c>
      <c r="AF790" s="3" t="s">
        <v>48</v>
      </c>
      <c r="AG790" s="3" t="s">
        <v>49</v>
      </c>
      <c r="AL790" s="0" t="s">
        <v>5351</v>
      </c>
      <c r="AM790" s="0" t="s">
        <v>5352</v>
      </c>
      <c r="AP790" s="0" t="s">
        <v>5353</v>
      </c>
      <c r="AR790" s="0" t="s">
        <v>5354</v>
      </c>
    </row>
    <row r="791" customFormat="false" ht="15" hidden="false" customHeight="false" outlineLevel="0" collapsed="false">
      <c r="A791" s="0" t="n">
        <v>790</v>
      </c>
      <c r="B791" s="0" t="s">
        <v>5355</v>
      </c>
      <c r="C791" s="0" t="s">
        <v>43</v>
      </c>
      <c r="F791" s="0" t="s">
        <v>44</v>
      </c>
      <c r="AA791" s="0" t="s">
        <v>47</v>
      </c>
      <c r="AF791" s="3" t="s">
        <v>108</v>
      </c>
      <c r="AG791" s="3" t="s">
        <v>49</v>
      </c>
      <c r="AH791" s="0" t="n">
        <v>2026</v>
      </c>
      <c r="AI791" s="0" t="s">
        <v>1231</v>
      </c>
      <c r="AJ791" s="0" t="s">
        <v>1232</v>
      </c>
      <c r="AR791" s="0" t="s">
        <v>5356</v>
      </c>
    </row>
    <row r="792" customFormat="false" ht="15" hidden="false" customHeight="false" outlineLevel="0" collapsed="false">
      <c r="A792" s="0" t="n">
        <v>791</v>
      </c>
      <c r="B792" s="0" t="s">
        <v>5357</v>
      </c>
      <c r="C792" s="0" t="s">
        <v>43</v>
      </c>
      <c r="F792" s="0" t="s">
        <v>44</v>
      </c>
      <c r="H792" s="0" t="s">
        <v>5358</v>
      </c>
      <c r="I792" s="0" t="s">
        <v>154</v>
      </c>
      <c r="AA792" s="0" t="s">
        <v>47</v>
      </c>
      <c r="AF792" s="3" t="s">
        <v>48</v>
      </c>
      <c r="AG792" s="3" t="s">
        <v>49</v>
      </c>
      <c r="AL792" s="0" t="s">
        <v>5359</v>
      </c>
      <c r="AM792" s="0" t="s">
        <v>5360</v>
      </c>
      <c r="AO792" s="0" t="s">
        <v>5361</v>
      </c>
      <c r="AP792" s="0" t="s">
        <v>5361</v>
      </c>
      <c r="AR792" s="0" t="s">
        <v>5362</v>
      </c>
    </row>
    <row r="793" customFormat="false" ht="15" hidden="false" customHeight="false" outlineLevel="0" collapsed="false">
      <c r="A793" s="0" t="n">
        <v>792</v>
      </c>
      <c r="B793" s="0" t="s">
        <v>5363</v>
      </c>
      <c r="C793" s="0" t="s">
        <v>88</v>
      </c>
      <c r="E793" s="0" t="s">
        <v>5364</v>
      </c>
      <c r="N793" s="3" t="s">
        <v>202</v>
      </c>
      <c r="O793" s="3" t="s">
        <v>202</v>
      </c>
      <c r="P793" s="0" t="s">
        <v>96</v>
      </c>
      <c r="AA793" s="0" t="s">
        <v>47</v>
      </c>
      <c r="AB793" s="0" t="s">
        <v>5365</v>
      </c>
      <c r="AC793" s="0" t="s">
        <v>5366</v>
      </c>
      <c r="AD793" s="0" t="s">
        <v>5367</v>
      </c>
      <c r="AE793" s="0" t="s">
        <v>79</v>
      </c>
      <c r="AF793" s="3" t="s">
        <v>48</v>
      </c>
      <c r="AG793" s="3" t="s">
        <v>49</v>
      </c>
      <c r="AR793" s="0" t="s">
        <v>5364</v>
      </c>
    </row>
    <row r="794" customFormat="false" ht="15" hidden="false" customHeight="false" outlineLevel="0" collapsed="false">
      <c r="A794" s="0" t="n">
        <v>793</v>
      </c>
      <c r="B794" s="0" t="s">
        <v>5368</v>
      </c>
      <c r="C794" s="0" t="s">
        <v>88</v>
      </c>
      <c r="E794" s="0" t="s">
        <v>5369</v>
      </c>
      <c r="H794" s="0" t="s">
        <v>5370</v>
      </c>
      <c r="I794" s="0" t="s">
        <v>154</v>
      </c>
      <c r="N794" s="3" t="s">
        <v>1248</v>
      </c>
      <c r="O794" s="3" t="s">
        <v>1248</v>
      </c>
      <c r="P794" s="0" t="s">
        <v>96</v>
      </c>
      <c r="AA794" s="0" t="s">
        <v>47</v>
      </c>
      <c r="AB794" s="0" t="s">
        <v>5371</v>
      </c>
      <c r="AC794" s="0" t="s">
        <v>5372</v>
      </c>
      <c r="AD794" s="0" t="s">
        <v>5373</v>
      </c>
      <c r="AE794" s="0" t="s">
        <v>79</v>
      </c>
      <c r="AF794" s="3" t="s">
        <v>48</v>
      </c>
      <c r="AG794" s="3" t="s">
        <v>49</v>
      </c>
      <c r="AO794" s="0" t="s">
        <v>5374</v>
      </c>
      <c r="AP794" s="0" t="s">
        <v>5374</v>
      </c>
      <c r="AR794" s="0" t="s">
        <v>5375</v>
      </c>
    </row>
    <row r="795" customFormat="false" ht="15" hidden="false" customHeight="false" outlineLevel="0" collapsed="false">
      <c r="A795" s="0" t="n">
        <v>794</v>
      </c>
      <c r="B795" s="0" t="s">
        <v>5376</v>
      </c>
      <c r="C795" s="0" t="s">
        <v>88</v>
      </c>
      <c r="E795" s="0" t="s">
        <v>5377</v>
      </c>
      <c r="H795" s="0" t="s">
        <v>5378</v>
      </c>
      <c r="I795" s="0" t="s">
        <v>154</v>
      </c>
      <c r="N795" s="3" t="s">
        <v>202</v>
      </c>
      <c r="O795" s="3" t="s">
        <v>202</v>
      </c>
      <c r="P795" s="0" t="s">
        <v>96</v>
      </c>
      <c r="AA795" s="0" t="s">
        <v>47</v>
      </c>
      <c r="AB795" s="0" t="s">
        <v>5379</v>
      </c>
      <c r="AC795" s="0" t="s">
        <v>5380</v>
      </c>
      <c r="AD795" s="0" t="s">
        <v>5381</v>
      </c>
      <c r="AE795" s="0" t="s">
        <v>79</v>
      </c>
      <c r="AF795" s="3" t="s">
        <v>108</v>
      </c>
      <c r="AG795" s="3" t="s">
        <v>49</v>
      </c>
      <c r="AH795" s="0" t="n">
        <v>2026</v>
      </c>
      <c r="AI795" s="0" t="s">
        <v>3898</v>
      </c>
      <c r="AJ795" s="0" t="s">
        <v>3899</v>
      </c>
      <c r="AL795" s="0" t="s">
        <v>5382</v>
      </c>
      <c r="AO795" s="0" t="s">
        <v>5383</v>
      </c>
      <c r="AP795" s="0" t="s">
        <v>5383</v>
      </c>
      <c r="AR795" s="0" t="s">
        <v>5384</v>
      </c>
    </row>
    <row r="796" customFormat="false" ht="15" hidden="false" customHeight="false" outlineLevel="0" collapsed="false">
      <c r="A796" s="0" t="n">
        <v>795</v>
      </c>
      <c r="B796" s="0" t="s">
        <v>5385</v>
      </c>
      <c r="C796" s="0" t="s">
        <v>88</v>
      </c>
      <c r="E796" s="0" t="s">
        <v>5386</v>
      </c>
      <c r="H796" s="0" t="s">
        <v>5387</v>
      </c>
      <c r="I796" s="0" t="s">
        <v>154</v>
      </c>
      <c r="N796" s="3" t="s">
        <v>213</v>
      </c>
      <c r="O796" s="3" t="s">
        <v>213</v>
      </c>
      <c r="P796" s="0" t="s">
        <v>96</v>
      </c>
      <c r="AA796" s="0" t="s">
        <v>47</v>
      </c>
      <c r="AB796" s="0" t="s">
        <v>5388</v>
      </c>
      <c r="AC796" s="0" t="s">
        <v>5389</v>
      </c>
      <c r="AD796" s="0" t="s">
        <v>5390</v>
      </c>
      <c r="AE796" s="0" t="s">
        <v>79</v>
      </c>
      <c r="AF796" s="3" t="s">
        <v>48</v>
      </c>
      <c r="AG796" s="3" t="s">
        <v>49</v>
      </c>
      <c r="AL796" s="0" t="s">
        <v>5391</v>
      </c>
      <c r="AM796" s="0" t="s">
        <v>5392</v>
      </c>
      <c r="AO796" s="0" t="s">
        <v>5393</v>
      </c>
      <c r="AP796" s="0" t="s">
        <v>5393</v>
      </c>
      <c r="AR796" s="0" t="s">
        <v>5394</v>
      </c>
    </row>
    <row r="797" customFormat="false" ht="15" hidden="false" customHeight="false" outlineLevel="0" collapsed="false">
      <c r="A797" s="0" t="n">
        <v>796</v>
      </c>
      <c r="B797" s="0" t="s">
        <v>5395</v>
      </c>
      <c r="C797" s="0" t="s">
        <v>88</v>
      </c>
      <c r="E797" s="0" t="s">
        <v>5396</v>
      </c>
      <c r="N797" s="3" t="s">
        <v>202</v>
      </c>
      <c r="O797" s="3" t="s">
        <v>202</v>
      </c>
      <c r="P797" s="0" t="s">
        <v>96</v>
      </c>
      <c r="AA797" s="0" t="s">
        <v>47</v>
      </c>
      <c r="AB797" s="0" t="s">
        <v>5397</v>
      </c>
      <c r="AC797" s="0" t="s">
        <v>5398</v>
      </c>
      <c r="AD797" s="0" t="s">
        <v>5399</v>
      </c>
      <c r="AE797" s="0" t="s">
        <v>79</v>
      </c>
      <c r="AF797" s="3" t="s">
        <v>48</v>
      </c>
      <c r="AG797" s="3" t="s">
        <v>49</v>
      </c>
      <c r="AR797" s="0" t="s">
        <v>5396</v>
      </c>
    </row>
    <row r="798" customFormat="false" ht="15" hidden="false" customHeight="false" outlineLevel="0" collapsed="false">
      <c r="A798" s="0" t="n">
        <v>797</v>
      </c>
      <c r="B798" s="0" t="s">
        <v>5400</v>
      </c>
      <c r="C798" s="0" t="s">
        <v>88</v>
      </c>
      <c r="E798" s="0" t="s">
        <v>5401</v>
      </c>
      <c r="H798" s="0" t="s">
        <v>5402</v>
      </c>
      <c r="I798" s="0" t="s">
        <v>154</v>
      </c>
      <c r="N798" s="3" t="s">
        <v>213</v>
      </c>
      <c r="O798" s="3" t="s">
        <v>213</v>
      </c>
      <c r="P798" s="0" t="s">
        <v>96</v>
      </c>
      <c r="AA798" s="0" t="s">
        <v>47</v>
      </c>
      <c r="AB798" s="0" t="s">
        <v>5403</v>
      </c>
      <c r="AC798" s="0" t="s">
        <v>5404</v>
      </c>
      <c r="AE798" s="0" t="s">
        <v>79</v>
      </c>
      <c r="AF798" s="3" t="s">
        <v>48</v>
      </c>
      <c r="AG798" s="3" t="s">
        <v>49</v>
      </c>
      <c r="AL798" s="0" t="s">
        <v>5405</v>
      </c>
      <c r="AM798" s="0" t="s">
        <v>5406</v>
      </c>
      <c r="AO798" s="0" t="s">
        <v>5407</v>
      </c>
      <c r="AP798" s="0" t="s">
        <v>5407</v>
      </c>
      <c r="AR798" s="0" t="s">
        <v>5408</v>
      </c>
    </row>
    <row r="799" customFormat="false" ht="15" hidden="false" customHeight="false" outlineLevel="0" collapsed="false">
      <c r="A799" s="0" t="n">
        <v>798</v>
      </c>
      <c r="B799" s="0" t="s">
        <v>5409</v>
      </c>
      <c r="C799" s="0" t="s">
        <v>61</v>
      </c>
      <c r="D799" s="0" t="s">
        <v>5410</v>
      </c>
      <c r="E799" s="0" t="s">
        <v>5411</v>
      </c>
      <c r="H799" s="0" t="s">
        <v>5412</v>
      </c>
      <c r="I799" s="0" t="s">
        <v>154</v>
      </c>
      <c r="N799" s="3" t="s">
        <v>1568</v>
      </c>
      <c r="O799" s="3" t="s">
        <v>1568</v>
      </c>
      <c r="P799" s="0" t="s">
        <v>55</v>
      </c>
      <c r="AA799" s="0" t="s">
        <v>47</v>
      </c>
      <c r="AB799" s="0" t="s">
        <v>5413</v>
      </c>
      <c r="AC799" s="0" t="s">
        <v>5414</v>
      </c>
      <c r="AD799" s="0" t="s">
        <v>5415</v>
      </c>
      <c r="AE799" s="0" t="s">
        <v>79</v>
      </c>
      <c r="AF799" s="3" t="s">
        <v>108</v>
      </c>
      <c r="AG799" s="3" t="s">
        <v>81</v>
      </c>
      <c r="AH799" s="0" t="n">
        <v>2026</v>
      </c>
      <c r="AI799" s="0" t="s">
        <v>5416</v>
      </c>
      <c r="AJ799" s="0" t="s">
        <v>5417</v>
      </c>
      <c r="AL799" s="0" t="s">
        <v>5418</v>
      </c>
      <c r="AM799" s="0" t="s">
        <v>5419</v>
      </c>
      <c r="AO799" s="0" t="s">
        <v>5420</v>
      </c>
      <c r="AP799" s="0" t="s">
        <v>5420</v>
      </c>
      <c r="AR799" s="0" t="s">
        <v>5421</v>
      </c>
    </row>
    <row r="800" customFormat="false" ht="15" hidden="false" customHeight="false" outlineLevel="0" collapsed="false">
      <c r="A800" s="0" t="n">
        <v>799</v>
      </c>
      <c r="B800" s="0" t="s">
        <v>5422</v>
      </c>
      <c r="C800" s="0" t="s">
        <v>88</v>
      </c>
      <c r="E800" s="0" t="s">
        <v>5423</v>
      </c>
      <c r="H800" s="0" t="s">
        <v>5424</v>
      </c>
      <c r="I800" s="0" t="s">
        <v>154</v>
      </c>
      <c r="AA800" s="0" t="s">
        <v>47</v>
      </c>
      <c r="AF800" s="3" t="s">
        <v>48</v>
      </c>
      <c r="AG800" s="3" t="s">
        <v>49</v>
      </c>
      <c r="AL800" s="0" t="s">
        <v>5425</v>
      </c>
      <c r="AM800" s="0" t="s">
        <v>5426</v>
      </c>
      <c r="AO800" s="0" t="s">
        <v>5427</v>
      </c>
      <c r="AP800" s="0" t="s">
        <v>5427</v>
      </c>
      <c r="AR800" s="0" t="s">
        <v>5428</v>
      </c>
    </row>
    <row r="801" customFormat="false" ht="15" hidden="false" customHeight="false" outlineLevel="0" collapsed="false">
      <c r="A801" s="0" t="n">
        <v>800</v>
      </c>
      <c r="B801" s="0" t="s">
        <v>5429</v>
      </c>
      <c r="C801" s="0" t="s">
        <v>88</v>
      </c>
      <c r="E801" s="0" t="s">
        <v>5430</v>
      </c>
      <c r="AA801" s="0" t="s">
        <v>47</v>
      </c>
      <c r="AF801" s="3" t="s">
        <v>48</v>
      </c>
      <c r="AG801" s="3" t="s">
        <v>49</v>
      </c>
      <c r="AR801" s="0" t="s">
        <v>5430</v>
      </c>
    </row>
    <row r="802" customFormat="false" ht="15" hidden="false" customHeight="false" outlineLevel="0" collapsed="false">
      <c r="A802" s="0" t="n">
        <v>801</v>
      </c>
      <c r="B802" s="0" t="s">
        <v>5431</v>
      </c>
      <c r="C802" s="0" t="s">
        <v>88</v>
      </c>
      <c r="E802" s="0" t="s">
        <v>5432</v>
      </c>
      <c r="N802" s="3" t="s">
        <v>95</v>
      </c>
      <c r="O802" s="3" t="s">
        <v>95</v>
      </c>
      <c r="P802" s="0" t="s">
        <v>96</v>
      </c>
      <c r="AA802" s="0" t="s">
        <v>47</v>
      </c>
      <c r="AB802" s="0" t="s">
        <v>5433</v>
      </c>
      <c r="AC802" s="0" t="s">
        <v>5434</v>
      </c>
      <c r="AD802" s="0" t="s">
        <v>5435</v>
      </c>
      <c r="AE802" s="0" t="s">
        <v>79</v>
      </c>
      <c r="AF802" s="3" t="s">
        <v>48</v>
      </c>
      <c r="AG802" s="3" t="s">
        <v>49</v>
      </c>
      <c r="AR802" s="0" t="s">
        <v>5432</v>
      </c>
    </row>
    <row r="803" customFormat="false" ht="15" hidden="false" customHeight="false" outlineLevel="0" collapsed="false">
      <c r="A803" s="0" t="n">
        <v>802</v>
      </c>
      <c r="B803" s="0" t="s">
        <v>5436</v>
      </c>
      <c r="C803" s="0" t="s">
        <v>88</v>
      </c>
      <c r="E803" s="0" t="s">
        <v>5437</v>
      </c>
      <c r="H803" s="0" t="s">
        <v>5438</v>
      </c>
      <c r="I803" s="0" t="s">
        <v>154</v>
      </c>
      <c r="N803" s="3" t="s">
        <v>239</v>
      </c>
      <c r="O803" s="3" t="s">
        <v>239</v>
      </c>
      <c r="P803" s="0" t="s">
        <v>96</v>
      </c>
      <c r="AA803" s="0" t="s">
        <v>47</v>
      </c>
      <c r="AB803" s="0" t="s">
        <v>5439</v>
      </c>
      <c r="AC803" s="0" t="s">
        <v>5440</v>
      </c>
      <c r="AD803" s="0" t="s">
        <v>5441</v>
      </c>
      <c r="AE803" s="0" t="s">
        <v>79</v>
      </c>
      <c r="AF803" s="3" t="s">
        <v>48</v>
      </c>
      <c r="AG803" s="3" t="s">
        <v>49</v>
      </c>
      <c r="AL803" s="0" t="s">
        <v>5442</v>
      </c>
      <c r="AO803" s="0" t="s">
        <v>5443</v>
      </c>
      <c r="AP803" s="0" t="s">
        <v>5443</v>
      </c>
      <c r="AR803" s="0" t="s">
        <v>5444</v>
      </c>
    </row>
    <row r="804" customFormat="false" ht="15" hidden="false" customHeight="false" outlineLevel="0" collapsed="false">
      <c r="A804" s="0" t="n">
        <v>803</v>
      </c>
      <c r="B804" s="0" t="s">
        <v>5445</v>
      </c>
      <c r="C804" s="0" t="s">
        <v>88</v>
      </c>
      <c r="E804" s="0" t="s">
        <v>5446</v>
      </c>
      <c r="H804" s="0" t="s">
        <v>5447</v>
      </c>
      <c r="I804" s="0" t="s">
        <v>154</v>
      </c>
      <c r="N804" s="3" t="s">
        <v>119</v>
      </c>
      <c r="O804" s="3" t="s">
        <v>119</v>
      </c>
      <c r="P804" s="0" t="s">
        <v>96</v>
      </c>
      <c r="AA804" s="0" t="s">
        <v>47</v>
      </c>
      <c r="AB804" s="0" t="s">
        <v>5448</v>
      </c>
      <c r="AC804" s="0" t="s">
        <v>5449</v>
      </c>
      <c r="AD804" s="0" t="s">
        <v>5450</v>
      </c>
      <c r="AE804" s="0" t="s">
        <v>79</v>
      </c>
      <c r="AF804" s="3" t="s">
        <v>48</v>
      </c>
      <c r="AG804" s="3" t="s">
        <v>49</v>
      </c>
      <c r="AL804" s="0" t="s">
        <v>5451</v>
      </c>
      <c r="AM804" s="0" t="s">
        <v>5452</v>
      </c>
      <c r="AO804" s="0" t="s">
        <v>5453</v>
      </c>
      <c r="AP804" s="0" t="s">
        <v>5453</v>
      </c>
      <c r="AR804" s="0" t="s">
        <v>5454</v>
      </c>
    </row>
    <row r="805" customFormat="false" ht="15" hidden="false" customHeight="false" outlineLevel="0" collapsed="false">
      <c r="A805" s="0" t="n">
        <v>804</v>
      </c>
      <c r="B805" s="0" t="s">
        <v>5455</v>
      </c>
      <c r="C805" s="0" t="s">
        <v>52</v>
      </c>
      <c r="D805" s="0" t="s">
        <v>5456</v>
      </c>
      <c r="N805" s="0" t="s">
        <v>738</v>
      </c>
      <c r="O805" s="0" t="s">
        <v>738</v>
      </c>
      <c r="P805" s="0" t="s">
        <v>55</v>
      </c>
      <c r="AA805" s="0" t="s">
        <v>47</v>
      </c>
      <c r="AB805" s="0" t="s">
        <v>5457</v>
      </c>
      <c r="AC805" s="0" t="s">
        <v>5458</v>
      </c>
      <c r="AD805" s="0" t="s">
        <v>5459</v>
      </c>
      <c r="AE805" s="0" t="s">
        <v>59</v>
      </c>
      <c r="AF805" s="3" t="s">
        <v>48</v>
      </c>
      <c r="AG805" s="3" t="s">
        <v>49</v>
      </c>
      <c r="AR805" s="0" t="s">
        <v>5456</v>
      </c>
    </row>
    <row r="806" customFormat="false" ht="15" hidden="false" customHeight="false" outlineLevel="0" collapsed="false">
      <c r="A806" s="0" t="n">
        <v>805</v>
      </c>
      <c r="B806" s="0" t="s">
        <v>5460</v>
      </c>
      <c r="C806" s="0" t="s">
        <v>88</v>
      </c>
      <c r="E806" s="0" t="s">
        <v>5461</v>
      </c>
      <c r="N806" s="3" t="s">
        <v>95</v>
      </c>
      <c r="O806" s="3" t="s">
        <v>95</v>
      </c>
      <c r="P806" s="0" t="s">
        <v>96</v>
      </c>
      <c r="AA806" s="0" t="s">
        <v>47</v>
      </c>
      <c r="AB806" s="0" t="s">
        <v>5462</v>
      </c>
      <c r="AC806" s="0" t="s">
        <v>5463</v>
      </c>
      <c r="AD806" s="0" t="s">
        <v>5464</v>
      </c>
      <c r="AE806" s="0" t="s">
        <v>79</v>
      </c>
      <c r="AF806" s="3" t="s">
        <v>48</v>
      </c>
      <c r="AG806" s="3" t="s">
        <v>49</v>
      </c>
      <c r="AR806" s="0" t="s">
        <v>5461</v>
      </c>
    </row>
    <row r="807" customFormat="false" ht="15" hidden="false" customHeight="false" outlineLevel="0" collapsed="false">
      <c r="A807" s="0" t="n">
        <v>806</v>
      </c>
      <c r="B807" s="0" t="s">
        <v>5465</v>
      </c>
      <c r="C807" s="0" t="s">
        <v>52</v>
      </c>
      <c r="D807" s="0" t="s">
        <v>5466</v>
      </c>
      <c r="N807" s="3" t="s">
        <v>104</v>
      </c>
      <c r="O807" s="3" t="s">
        <v>104</v>
      </c>
      <c r="P807" s="0" t="s">
        <v>55</v>
      </c>
      <c r="AA807" s="0" t="s">
        <v>47</v>
      </c>
      <c r="AB807" s="0" t="s">
        <v>5467</v>
      </c>
      <c r="AC807" s="0" t="s">
        <v>5468</v>
      </c>
      <c r="AD807" s="0" t="s">
        <v>5469</v>
      </c>
      <c r="AE807" s="0" t="s">
        <v>59</v>
      </c>
      <c r="AF807" s="3" t="s">
        <v>108</v>
      </c>
      <c r="AG807" s="3" t="s">
        <v>49</v>
      </c>
      <c r="AH807" s="0" t="n">
        <v>2026</v>
      </c>
      <c r="AI807" s="0" t="s">
        <v>1231</v>
      </c>
      <c r="AJ807" s="0" t="s">
        <v>1232</v>
      </c>
      <c r="AR807" s="0" t="s">
        <v>5470</v>
      </c>
    </row>
    <row r="808" customFormat="false" ht="15" hidden="false" customHeight="false" outlineLevel="0" collapsed="false">
      <c r="A808" s="0" t="n">
        <v>807</v>
      </c>
      <c r="B808" s="0" t="s">
        <v>5471</v>
      </c>
      <c r="C808" s="0" t="s">
        <v>88</v>
      </c>
      <c r="E808" s="0" t="s">
        <v>5472</v>
      </c>
      <c r="N808" s="3" t="s">
        <v>213</v>
      </c>
      <c r="O808" s="3" t="s">
        <v>213</v>
      </c>
      <c r="P808" s="0" t="s">
        <v>96</v>
      </c>
      <c r="AA808" s="0" t="s">
        <v>47</v>
      </c>
      <c r="AB808" s="0" t="s">
        <v>5473</v>
      </c>
      <c r="AC808" s="0" t="s">
        <v>5474</v>
      </c>
      <c r="AD808" s="0" t="s">
        <v>5475</v>
      </c>
      <c r="AE808" s="0" t="s">
        <v>79</v>
      </c>
      <c r="AF808" s="3" t="s">
        <v>48</v>
      </c>
      <c r="AG808" s="3" t="s">
        <v>49</v>
      </c>
      <c r="AR808" s="0" t="s">
        <v>5472</v>
      </c>
    </row>
    <row r="809" customFormat="false" ht="15" hidden="false" customHeight="false" outlineLevel="0" collapsed="false">
      <c r="A809" s="0" t="n">
        <v>808</v>
      </c>
      <c r="B809" s="0" t="s">
        <v>5476</v>
      </c>
      <c r="C809" s="0" t="s">
        <v>88</v>
      </c>
      <c r="E809" s="0" t="s">
        <v>5477</v>
      </c>
      <c r="H809" s="0" t="s">
        <v>5478</v>
      </c>
      <c r="I809" s="0" t="s">
        <v>94</v>
      </c>
      <c r="N809" s="3" t="s">
        <v>213</v>
      </c>
      <c r="O809" s="3" t="s">
        <v>213</v>
      </c>
      <c r="P809" s="0" t="s">
        <v>96</v>
      </c>
      <c r="AA809" s="0" t="s">
        <v>47</v>
      </c>
      <c r="AB809" s="0" t="s">
        <v>5479</v>
      </c>
      <c r="AC809" s="0" t="s">
        <v>5480</v>
      </c>
      <c r="AD809" s="0" t="s">
        <v>5481</v>
      </c>
      <c r="AE809" s="0" t="s">
        <v>79</v>
      </c>
      <c r="AF809" s="3" t="s">
        <v>48</v>
      </c>
      <c r="AG809" s="3" t="s">
        <v>49</v>
      </c>
      <c r="AL809" s="0" t="s">
        <v>5482</v>
      </c>
      <c r="AO809" s="0" t="s">
        <v>5483</v>
      </c>
      <c r="AP809" s="0" t="s">
        <v>5483</v>
      </c>
      <c r="AR809" s="0" t="s">
        <v>5484</v>
      </c>
    </row>
    <row r="810" customFormat="false" ht="15" hidden="false" customHeight="false" outlineLevel="0" collapsed="false">
      <c r="A810" s="0" t="n">
        <v>809</v>
      </c>
      <c r="B810" s="0" t="s">
        <v>5485</v>
      </c>
      <c r="C810" s="0" t="s">
        <v>88</v>
      </c>
      <c r="E810" s="0" t="s">
        <v>5486</v>
      </c>
      <c r="N810" s="3" t="s">
        <v>202</v>
      </c>
      <c r="O810" s="3" t="s">
        <v>202</v>
      </c>
      <c r="P810" s="0" t="s">
        <v>96</v>
      </c>
      <c r="AA810" s="0" t="s">
        <v>47</v>
      </c>
      <c r="AB810" s="0" t="s">
        <v>5487</v>
      </c>
      <c r="AC810" s="0" t="s">
        <v>5488</v>
      </c>
      <c r="AD810" s="0" t="s">
        <v>5489</v>
      </c>
      <c r="AE810" s="0" t="s">
        <v>79</v>
      </c>
      <c r="AF810" s="3" t="s">
        <v>48</v>
      </c>
      <c r="AG810" s="3" t="s">
        <v>49</v>
      </c>
      <c r="AR810" s="0" t="s">
        <v>5486</v>
      </c>
    </row>
    <row r="811" customFormat="false" ht="15" hidden="false" customHeight="false" outlineLevel="0" collapsed="false">
      <c r="A811" s="0" t="n">
        <v>810</v>
      </c>
      <c r="B811" s="0" t="s">
        <v>5490</v>
      </c>
      <c r="C811" s="0" t="s">
        <v>88</v>
      </c>
      <c r="E811" s="0" t="s">
        <v>5491</v>
      </c>
      <c r="H811" s="0" t="s">
        <v>5492</v>
      </c>
      <c r="I811" s="0" t="s">
        <v>154</v>
      </c>
      <c r="N811" s="3" t="s">
        <v>186</v>
      </c>
      <c r="O811" s="3" t="s">
        <v>186</v>
      </c>
      <c r="P811" s="0" t="s">
        <v>96</v>
      </c>
      <c r="AA811" s="0" t="s">
        <v>47</v>
      </c>
      <c r="AB811" s="0" t="s">
        <v>5493</v>
      </c>
      <c r="AC811" s="0" t="s">
        <v>5494</v>
      </c>
      <c r="AD811" s="0" t="s">
        <v>5495</v>
      </c>
      <c r="AE811" s="0" t="s">
        <v>79</v>
      </c>
      <c r="AF811" s="3" t="s">
        <v>48</v>
      </c>
      <c r="AG811" s="3" t="s">
        <v>49</v>
      </c>
      <c r="AL811" s="0" t="s">
        <v>5496</v>
      </c>
      <c r="AM811" s="0" t="s">
        <v>5497</v>
      </c>
      <c r="AO811" s="0" t="s">
        <v>5498</v>
      </c>
      <c r="AP811" s="0" t="s">
        <v>5498</v>
      </c>
      <c r="AR811" s="0" t="s">
        <v>5499</v>
      </c>
    </row>
    <row r="812" customFormat="false" ht="15" hidden="false" customHeight="false" outlineLevel="0" collapsed="false">
      <c r="A812" s="0" t="n">
        <v>811</v>
      </c>
      <c r="B812" s="0" t="s">
        <v>5500</v>
      </c>
      <c r="C812" s="0" t="s">
        <v>43</v>
      </c>
      <c r="F812" s="0" t="s">
        <v>44</v>
      </c>
      <c r="AA812" s="0" t="s">
        <v>47</v>
      </c>
      <c r="AF812" s="3" t="s">
        <v>48</v>
      </c>
      <c r="AG812" s="3" t="s">
        <v>49</v>
      </c>
      <c r="AR812" s="0" t="s">
        <v>50</v>
      </c>
    </row>
    <row r="813" customFormat="false" ht="15" hidden="false" customHeight="false" outlineLevel="0" collapsed="false">
      <c r="A813" s="0" t="n">
        <v>812</v>
      </c>
      <c r="B813" s="0" t="s">
        <v>5501</v>
      </c>
      <c r="C813" s="0" t="s">
        <v>88</v>
      </c>
      <c r="E813" s="0" t="s">
        <v>5502</v>
      </c>
      <c r="N813" s="3" t="s">
        <v>186</v>
      </c>
      <c r="O813" s="3" t="s">
        <v>186</v>
      </c>
      <c r="P813" s="0" t="s">
        <v>96</v>
      </c>
      <c r="AA813" s="0" t="s">
        <v>47</v>
      </c>
      <c r="AB813" s="0" t="s">
        <v>5503</v>
      </c>
      <c r="AC813" s="0" t="s">
        <v>5504</v>
      </c>
      <c r="AD813" s="0" t="s">
        <v>5505</v>
      </c>
      <c r="AE813" s="0" t="s">
        <v>79</v>
      </c>
      <c r="AF813" s="3" t="s">
        <v>48</v>
      </c>
      <c r="AG813" s="3" t="s">
        <v>49</v>
      </c>
      <c r="AR813" s="0" t="s">
        <v>5502</v>
      </c>
    </row>
    <row r="814" customFormat="false" ht="15" hidden="false" customHeight="false" outlineLevel="0" collapsed="false">
      <c r="A814" s="0" t="n">
        <v>813</v>
      </c>
      <c r="B814" s="0" t="s">
        <v>5506</v>
      </c>
      <c r="C814" s="0" t="s">
        <v>88</v>
      </c>
      <c r="E814" s="0" t="s">
        <v>5507</v>
      </c>
      <c r="AA814" s="0" t="s">
        <v>47</v>
      </c>
      <c r="AF814" s="3" t="s">
        <v>48</v>
      </c>
      <c r="AG814" s="3" t="s">
        <v>49</v>
      </c>
      <c r="AR814" s="0" t="s">
        <v>5507</v>
      </c>
    </row>
    <row r="815" customFormat="false" ht="15" hidden="false" customHeight="false" outlineLevel="0" collapsed="false">
      <c r="A815" s="0" t="n">
        <v>814</v>
      </c>
      <c r="B815" s="0" t="s">
        <v>5508</v>
      </c>
      <c r="C815" s="0" t="s">
        <v>88</v>
      </c>
      <c r="E815" s="0" t="s">
        <v>5509</v>
      </c>
      <c r="N815" s="3" t="s">
        <v>202</v>
      </c>
      <c r="O815" s="3" t="s">
        <v>202</v>
      </c>
      <c r="P815" s="0" t="s">
        <v>96</v>
      </c>
      <c r="AA815" s="0" t="s">
        <v>47</v>
      </c>
      <c r="AB815" s="0" t="s">
        <v>5510</v>
      </c>
      <c r="AE815" s="0" t="s">
        <v>79</v>
      </c>
      <c r="AF815" s="3" t="s">
        <v>48</v>
      </c>
      <c r="AG815" s="3" t="s">
        <v>49</v>
      </c>
      <c r="AR815" s="0" t="s">
        <v>5509</v>
      </c>
    </row>
    <row r="816" customFormat="false" ht="15" hidden="false" customHeight="false" outlineLevel="0" collapsed="false">
      <c r="A816" s="0" t="n">
        <v>815</v>
      </c>
      <c r="B816" s="0" t="s">
        <v>5511</v>
      </c>
      <c r="C816" s="0" t="s">
        <v>88</v>
      </c>
      <c r="E816" s="0" t="s">
        <v>5512</v>
      </c>
      <c r="N816" s="3" t="s">
        <v>202</v>
      </c>
      <c r="O816" s="3" t="s">
        <v>202</v>
      </c>
      <c r="P816" s="0" t="s">
        <v>96</v>
      </c>
      <c r="AA816" s="0" t="s">
        <v>47</v>
      </c>
      <c r="AB816" s="0" t="s">
        <v>5513</v>
      </c>
      <c r="AC816" s="0" t="s">
        <v>5514</v>
      </c>
      <c r="AD816" s="0" t="s">
        <v>5515</v>
      </c>
      <c r="AE816" s="0" t="s">
        <v>79</v>
      </c>
      <c r="AF816" s="3" t="s">
        <v>48</v>
      </c>
      <c r="AG816" s="3" t="s">
        <v>49</v>
      </c>
      <c r="AR816" s="0" t="s">
        <v>5512</v>
      </c>
    </row>
    <row r="817" customFormat="false" ht="15" hidden="false" customHeight="false" outlineLevel="0" collapsed="false">
      <c r="A817" s="0" t="n">
        <v>816</v>
      </c>
      <c r="B817" s="0" t="s">
        <v>5516</v>
      </c>
      <c r="C817" s="0" t="s">
        <v>43</v>
      </c>
      <c r="F817" s="0" t="s">
        <v>44</v>
      </c>
      <c r="H817" s="0" t="s">
        <v>5517</v>
      </c>
      <c r="I817" s="0" t="s">
        <v>154</v>
      </c>
      <c r="AA817" s="0" t="s">
        <v>47</v>
      </c>
      <c r="AF817" s="3" t="s">
        <v>48</v>
      </c>
      <c r="AG817" s="3" t="s">
        <v>49</v>
      </c>
      <c r="AO817" s="0" t="s">
        <v>5518</v>
      </c>
      <c r="AP817" s="0" t="s">
        <v>5518</v>
      </c>
      <c r="AR817" s="0" t="s">
        <v>5519</v>
      </c>
    </row>
    <row r="818" customFormat="false" ht="15" hidden="false" customHeight="false" outlineLevel="0" collapsed="false">
      <c r="A818" s="0" t="n">
        <v>817</v>
      </c>
      <c r="B818" s="0" t="s">
        <v>5520</v>
      </c>
      <c r="C818" s="0" t="s">
        <v>88</v>
      </c>
      <c r="E818" s="0" t="s">
        <v>5521</v>
      </c>
      <c r="N818" s="3" t="s">
        <v>202</v>
      </c>
      <c r="O818" s="3" t="s">
        <v>202</v>
      </c>
      <c r="P818" s="0" t="s">
        <v>96</v>
      </c>
      <c r="AA818" s="0" t="s">
        <v>47</v>
      </c>
      <c r="AB818" s="0" t="s">
        <v>5522</v>
      </c>
      <c r="AC818" s="0" t="s">
        <v>5523</v>
      </c>
      <c r="AD818" s="0" t="s">
        <v>5524</v>
      </c>
      <c r="AE818" s="0" t="s">
        <v>79</v>
      </c>
      <c r="AF818" s="3" t="s">
        <v>48</v>
      </c>
      <c r="AG818" s="3" t="s">
        <v>49</v>
      </c>
      <c r="AR818" s="0" t="s">
        <v>5521</v>
      </c>
    </row>
    <row r="819" customFormat="false" ht="15" hidden="false" customHeight="false" outlineLevel="0" collapsed="false">
      <c r="A819" s="0" t="n">
        <v>818</v>
      </c>
      <c r="B819" s="0" t="s">
        <v>5525</v>
      </c>
      <c r="C819" s="0" t="s">
        <v>88</v>
      </c>
      <c r="E819" s="0" t="s">
        <v>5526</v>
      </c>
      <c r="H819" s="0" t="s">
        <v>5527</v>
      </c>
      <c r="I819" s="0" t="s">
        <v>154</v>
      </c>
      <c r="N819" s="3" t="s">
        <v>95</v>
      </c>
      <c r="O819" s="3" t="s">
        <v>95</v>
      </c>
      <c r="P819" s="0" t="s">
        <v>96</v>
      </c>
      <c r="AA819" s="0" t="s">
        <v>47</v>
      </c>
      <c r="AB819" s="0" t="s">
        <v>5528</v>
      </c>
      <c r="AC819" s="0" t="s">
        <v>5529</v>
      </c>
      <c r="AD819" s="0" t="s">
        <v>5530</v>
      </c>
      <c r="AE819" s="0" t="s">
        <v>79</v>
      </c>
      <c r="AF819" s="3" t="s">
        <v>48</v>
      </c>
      <c r="AG819" s="3" t="s">
        <v>49</v>
      </c>
      <c r="AL819" s="0" t="s">
        <v>5531</v>
      </c>
      <c r="AM819" s="0" t="s">
        <v>5532</v>
      </c>
      <c r="AO819" s="0" t="s">
        <v>5533</v>
      </c>
      <c r="AP819" s="0" t="s">
        <v>5533</v>
      </c>
      <c r="AR819" s="0" t="s">
        <v>5534</v>
      </c>
    </row>
    <row r="820" customFormat="false" ht="15" hidden="false" customHeight="false" outlineLevel="0" collapsed="false">
      <c r="A820" s="0" t="n">
        <v>819</v>
      </c>
      <c r="B820" s="0" t="s">
        <v>5535</v>
      </c>
      <c r="C820" s="0" t="s">
        <v>244</v>
      </c>
      <c r="E820" s="0" t="s">
        <v>5536</v>
      </c>
      <c r="F820" s="0" t="s">
        <v>44</v>
      </c>
      <c r="H820" s="0" t="s">
        <v>5537</v>
      </c>
      <c r="I820" s="0" t="s">
        <v>46</v>
      </c>
      <c r="N820" s="3" t="s">
        <v>202</v>
      </c>
      <c r="O820" s="3" t="s">
        <v>202</v>
      </c>
      <c r="P820" s="0" t="s">
        <v>96</v>
      </c>
      <c r="AA820" s="0" t="s">
        <v>47</v>
      </c>
      <c r="AB820" s="0" t="s">
        <v>5538</v>
      </c>
      <c r="AC820" s="0" t="s">
        <v>5539</v>
      </c>
      <c r="AD820" s="0" t="s">
        <v>5540</v>
      </c>
      <c r="AE820" s="0" t="s">
        <v>79</v>
      </c>
      <c r="AF820" s="3" t="s">
        <v>149</v>
      </c>
      <c r="AG820" s="3" t="s">
        <v>81</v>
      </c>
      <c r="AK820" s="0" t="s">
        <v>5541</v>
      </c>
      <c r="AR820" s="0" t="s">
        <v>5542</v>
      </c>
    </row>
    <row r="821" customFormat="false" ht="15" hidden="false" customHeight="false" outlineLevel="0" collapsed="false">
      <c r="A821" s="0" t="n">
        <v>820</v>
      </c>
      <c r="B821" s="0" t="s">
        <v>5543</v>
      </c>
      <c r="C821" s="0" t="s">
        <v>43</v>
      </c>
      <c r="F821" s="0" t="s">
        <v>44</v>
      </c>
      <c r="H821" s="0" t="s">
        <v>5544</v>
      </c>
      <c r="I821" s="0" t="s">
        <v>154</v>
      </c>
      <c r="AA821" s="0" t="s">
        <v>47</v>
      </c>
      <c r="AF821" s="3" t="s">
        <v>108</v>
      </c>
      <c r="AG821" s="3" t="s">
        <v>49</v>
      </c>
      <c r="AH821" s="0" t="n">
        <v>2026</v>
      </c>
      <c r="AI821" s="0" t="s">
        <v>829</v>
      </c>
      <c r="AJ821" s="0" t="s">
        <v>830</v>
      </c>
      <c r="AL821" s="0" t="s">
        <v>5545</v>
      </c>
      <c r="AM821" s="0" t="s">
        <v>5546</v>
      </c>
      <c r="AO821" s="0" t="s">
        <v>5547</v>
      </c>
      <c r="AP821" s="0" t="s">
        <v>5547</v>
      </c>
      <c r="AR821" s="0" t="s">
        <v>5548</v>
      </c>
    </row>
    <row r="822" customFormat="false" ht="15" hidden="false" customHeight="false" outlineLevel="0" collapsed="false">
      <c r="A822" s="0" t="n">
        <v>821</v>
      </c>
      <c r="B822" s="0" t="s">
        <v>5549</v>
      </c>
      <c r="C822" s="0" t="s">
        <v>88</v>
      </c>
      <c r="E822" s="0" t="s">
        <v>5550</v>
      </c>
      <c r="N822" s="3" t="s">
        <v>202</v>
      </c>
      <c r="O822" s="3" t="s">
        <v>202</v>
      </c>
      <c r="P822" s="0" t="s">
        <v>96</v>
      </c>
      <c r="AA822" s="0" t="s">
        <v>47</v>
      </c>
      <c r="AB822" s="0" t="s">
        <v>5551</v>
      </c>
      <c r="AC822" s="0" t="s">
        <v>5552</v>
      </c>
      <c r="AD822" s="0" t="s">
        <v>5553</v>
      </c>
      <c r="AE822" s="0" t="s">
        <v>79</v>
      </c>
      <c r="AF822" s="3" t="s">
        <v>48</v>
      </c>
      <c r="AG822" s="3" t="s">
        <v>49</v>
      </c>
      <c r="AR822" s="0" t="s">
        <v>5550</v>
      </c>
    </row>
    <row r="823" customFormat="false" ht="15" hidden="false" customHeight="false" outlineLevel="0" collapsed="false">
      <c r="A823" s="0" t="n">
        <v>822</v>
      </c>
      <c r="B823" s="0" t="s">
        <v>5554</v>
      </c>
      <c r="C823" s="0" t="s">
        <v>88</v>
      </c>
      <c r="E823" s="0" t="s">
        <v>5555</v>
      </c>
      <c r="H823" s="0" t="s">
        <v>5556</v>
      </c>
      <c r="I823" s="0" t="s">
        <v>154</v>
      </c>
      <c r="N823" s="3" t="s">
        <v>186</v>
      </c>
      <c r="O823" s="3" t="s">
        <v>186</v>
      </c>
      <c r="P823" s="0" t="s">
        <v>96</v>
      </c>
      <c r="AA823" s="0" t="s">
        <v>47</v>
      </c>
      <c r="AB823" s="0" t="s">
        <v>5557</v>
      </c>
      <c r="AC823" s="0" t="s">
        <v>5558</v>
      </c>
      <c r="AD823" s="0" t="s">
        <v>5559</v>
      </c>
      <c r="AE823" s="0" t="s">
        <v>79</v>
      </c>
      <c r="AF823" s="3" t="s">
        <v>48</v>
      </c>
      <c r="AG823" s="3" t="s">
        <v>49</v>
      </c>
      <c r="AL823" s="0" t="s">
        <v>5560</v>
      </c>
      <c r="AO823" s="0" t="s">
        <v>5561</v>
      </c>
      <c r="AP823" s="0" t="s">
        <v>5561</v>
      </c>
      <c r="AR823" s="0" t="s">
        <v>5562</v>
      </c>
    </row>
    <row r="824" customFormat="false" ht="15" hidden="false" customHeight="false" outlineLevel="0" collapsed="false">
      <c r="A824" s="0" t="n">
        <v>823</v>
      </c>
      <c r="B824" s="0" t="s">
        <v>5563</v>
      </c>
      <c r="C824" s="0" t="s">
        <v>88</v>
      </c>
      <c r="E824" s="0" t="s">
        <v>5564</v>
      </c>
      <c r="N824" s="3" t="s">
        <v>147</v>
      </c>
      <c r="O824" s="3" t="s">
        <v>147</v>
      </c>
      <c r="P824" s="0" t="s">
        <v>96</v>
      </c>
      <c r="AA824" s="0" t="s">
        <v>47</v>
      </c>
      <c r="AB824" s="0" t="s">
        <v>5565</v>
      </c>
      <c r="AC824" s="0" t="s">
        <v>5566</v>
      </c>
      <c r="AD824" s="0" t="s">
        <v>5567</v>
      </c>
      <c r="AE824" s="0" t="s">
        <v>79</v>
      </c>
      <c r="AF824" s="3" t="s">
        <v>48</v>
      </c>
      <c r="AG824" s="3" t="s">
        <v>49</v>
      </c>
      <c r="AR824" s="0" t="s">
        <v>5564</v>
      </c>
    </row>
    <row r="825" customFormat="false" ht="15" hidden="false" customHeight="false" outlineLevel="0" collapsed="false">
      <c r="A825" s="0" t="n">
        <v>824</v>
      </c>
      <c r="B825" s="0" t="s">
        <v>5568</v>
      </c>
      <c r="C825" s="0" t="s">
        <v>52</v>
      </c>
      <c r="D825" s="0" t="s">
        <v>5569</v>
      </c>
      <c r="N825" s="3" t="s">
        <v>69</v>
      </c>
      <c r="O825" s="3" t="s">
        <v>69</v>
      </c>
      <c r="P825" s="0" t="s">
        <v>55</v>
      </c>
      <c r="AA825" s="0" t="s">
        <v>47</v>
      </c>
      <c r="AB825" s="0" t="s">
        <v>5570</v>
      </c>
      <c r="AC825" s="0" t="s">
        <v>5571</v>
      </c>
      <c r="AD825" s="0" t="s">
        <v>5572</v>
      </c>
      <c r="AE825" s="0" t="s">
        <v>59</v>
      </c>
      <c r="AF825" s="3" t="s">
        <v>48</v>
      </c>
      <c r="AG825" s="3" t="s">
        <v>49</v>
      </c>
      <c r="AR825" s="0" t="s">
        <v>5569</v>
      </c>
    </row>
    <row r="826" customFormat="false" ht="15" hidden="false" customHeight="false" outlineLevel="0" collapsed="false">
      <c r="A826" s="0" t="n">
        <v>825</v>
      </c>
      <c r="B826" s="0" t="s">
        <v>5573</v>
      </c>
      <c r="C826" s="0" t="s">
        <v>88</v>
      </c>
      <c r="E826" s="0" t="s">
        <v>5574</v>
      </c>
      <c r="H826" s="0" t="s">
        <v>5575</v>
      </c>
      <c r="I826" s="0" t="s">
        <v>154</v>
      </c>
      <c r="AA826" s="0" t="s">
        <v>47</v>
      </c>
      <c r="AF826" s="3" t="s">
        <v>48</v>
      </c>
      <c r="AG826" s="3" t="s">
        <v>49</v>
      </c>
      <c r="AL826" s="0" t="s">
        <v>5576</v>
      </c>
      <c r="AM826" s="0" t="s">
        <v>5577</v>
      </c>
      <c r="AO826" s="0" t="s">
        <v>5578</v>
      </c>
      <c r="AP826" s="0" t="s">
        <v>5578</v>
      </c>
      <c r="AR826" s="0" t="s">
        <v>5579</v>
      </c>
    </row>
    <row r="827" customFormat="false" ht="15" hidden="false" customHeight="false" outlineLevel="0" collapsed="false">
      <c r="A827" s="0" t="n">
        <v>826</v>
      </c>
      <c r="B827" s="0" t="s">
        <v>5580</v>
      </c>
      <c r="C827" s="0" t="s">
        <v>88</v>
      </c>
      <c r="E827" s="0" t="s">
        <v>5581</v>
      </c>
      <c r="H827" s="0" t="s">
        <v>5582</v>
      </c>
      <c r="I827" s="0" t="s">
        <v>94</v>
      </c>
      <c r="N827" s="3" t="s">
        <v>213</v>
      </c>
      <c r="O827" s="3" t="s">
        <v>213</v>
      </c>
      <c r="P827" s="0" t="s">
        <v>96</v>
      </c>
      <c r="AA827" s="0" t="s">
        <v>47</v>
      </c>
      <c r="AB827" s="0" t="s">
        <v>5583</v>
      </c>
      <c r="AC827" s="0" t="s">
        <v>5584</v>
      </c>
      <c r="AE827" s="0" t="s">
        <v>79</v>
      </c>
      <c r="AF827" s="3" t="s">
        <v>48</v>
      </c>
      <c r="AG827" s="3" t="s">
        <v>49</v>
      </c>
      <c r="AM827" s="0" t="s">
        <v>5585</v>
      </c>
      <c r="AP827" s="0" t="s">
        <v>5586</v>
      </c>
      <c r="AR827" s="0" t="s">
        <v>5587</v>
      </c>
    </row>
    <row r="828" customFormat="false" ht="15" hidden="false" customHeight="false" outlineLevel="0" collapsed="false">
      <c r="A828" s="0" t="n">
        <v>827</v>
      </c>
      <c r="B828" s="0" t="s">
        <v>5588</v>
      </c>
      <c r="C828" s="0" t="s">
        <v>43</v>
      </c>
      <c r="F828" s="0" t="s">
        <v>44</v>
      </c>
      <c r="AA828" s="0" t="s">
        <v>47</v>
      </c>
      <c r="AF828" s="3" t="s">
        <v>108</v>
      </c>
      <c r="AG828" s="3" t="s">
        <v>49</v>
      </c>
      <c r="AH828" s="0" t="n">
        <v>2026</v>
      </c>
      <c r="AI828" s="0" t="s">
        <v>155</v>
      </c>
      <c r="AJ828" s="0" t="s">
        <v>156</v>
      </c>
      <c r="AR828" s="0" t="s">
        <v>5276</v>
      </c>
    </row>
    <row r="829" customFormat="false" ht="15" hidden="false" customHeight="false" outlineLevel="0" collapsed="false">
      <c r="A829" s="0" t="n">
        <v>828</v>
      </c>
      <c r="B829" s="0" t="s">
        <v>5589</v>
      </c>
      <c r="C829" s="0" t="s">
        <v>244</v>
      </c>
      <c r="E829" s="0" t="s">
        <v>5590</v>
      </c>
      <c r="F829" s="0" t="s">
        <v>44</v>
      </c>
      <c r="H829" s="0" t="s">
        <v>5591</v>
      </c>
      <c r="I829" s="0" t="s">
        <v>94</v>
      </c>
      <c r="N829" s="3" t="s">
        <v>95</v>
      </c>
      <c r="O829" s="3" t="s">
        <v>95</v>
      </c>
      <c r="P829" s="0" t="s">
        <v>96</v>
      </c>
      <c r="AA829" s="0" t="s">
        <v>47</v>
      </c>
      <c r="AB829" s="0" t="s">
        <v>5592</v>
      </c>
      <c r="AC829" s="0" t="s">
        <v>5593</v>
      </c>
      <c r="AD829" s="0" t="s">
        <v>5594</v>
      </c>
      <c r="AE829" s="0" t="s">
        <v>79</v>
      </c>
      <c r="AF829" s="3" t="s">
        <v>149</v>
      </c>
      <c r="AG829" s="3" t="s">
        <v>81</v>
      </c>
      <c r="AK829" s="0" t="s">
        <v>5595</v>
      </c>
      <c r="AR829" s="0" t="s">
        <v>5596</v>
      </c>
    </row>
    <row r="830" customFormat="false" ht="15" hidden="false" customHeight="false" outlineLevel="0" collapsed="false">
      <c r="A830" s="0" t="n">
        <v>829</v>
      </c>
      <c r="B830" s="0" t="s">
        <v>5597</v>
      </c>
      <c r="C830" s="0" t="s">
        <v>88</v>
      </c>
      <c r="E830" s="0" t="s">
        <v>5598</v>
      </c>
      <c r="H830" s="0" t="s">
        <v>5599</v>
      </c>
      <c r="I830" s="0" t="s">
        <v>154</v>
      </c>
      <c r="AA830" s="0" t="s">
        <v>47</v>
      </c>
      <c r="AB830" s="0" t="s">
        <v>5600</v>
      </c>
      <c r="AC830" s="0" t="s">
        <v>5601</v>
      </c>
      <c r="AD830" s="0" t="s">
        <v>5602</v>
      </c>
      <c r="AE830" s="0" t="s">
        <v>79</v>
      </c>
      <c r="AF830" s="3" t="s">
        <v>48</v>
      </c>
      <c r="AG830" s="3" t="s">
        <v>49</v>
      </c>
      <c r="AL830" s="0" t="s">
        <v>5603</v>
      </c>
      <c r="AO830" s="0" t="s">
        <v>5604</v>
      </c>
      <c r="AP830" s="0" t="s">
        <v>5604</v>
      </c>
      <c r="AR830" s="0" t="s">
        <v>5605</v>
      </c>
    </row>
    <row r="831" customFormat="false" ht="15" hidden="false" customHeight="false" outlineLevel="0" collapsed="false">
      <c r="A831" s="0" t="n">
        <v>830</v>
      </c>
      <c r="B831" s="0" t="s">
        <v>5606</v>
      </c>
      <c r="C831" s="0" t="s">
        <v>88</v>
      </c>
      <c r="E831" s="0" t="s">
        <v>5607</v>
      </c>
      <c r="H831" s="0" t="s">
        <v>5608</v>
      </c>
      <c r="I831" s="0" t="s">
        <v>46</v>
      </c>
      <c r="AA831" s="0" t="s">
        <v>47</v>
      </c>
      <c r="AF831" s="3" t="s">
        <v>48</v>
      </c>
      <c r="AG831" s="3" t="s">
        <v>49</v>
      </c>
      <c r="AR831" s="0" t="s">
        <v>5607</v>
      </c>
    </row>
    <row r="832" customFormat="false" ht="15" hidden="false" customHeight="false" outlineLevel="0" collapsed="false">
      <c r="A832" s="0" t="n">
        <v>831</v>
      </c>
      <c r="B832" s="0" t="s">
        <v>5609</v>
      </c>
      <c r="C832" s="0" t="s">
        <v>88</v>
      </c>
      <c r="E832" s="0" t="s">
        <v>5610</v>
      </c>
      <c r="AA832" s="0" t="s">
        <v>47</v>
      </c>
      <c r="AF832" s="3" t="s">
        <v>48</v>
      </c>
      <c r="AG832" s="3" t="s">
        <v>49</v>
      </c>
      <c r="AR832" s="0" t="s">
        <v>5610</v>
      </c>
    </row>
    <row r="833" customFormat="false" ht="15" hidden="false" customHeight="false" outlineLevel="0" collapsed="false">
      <c r="A833" s="0" t="n">
        <v>832</v>
      </c>
      <c r="B833" s="0" t="s">
        <v>5611</v>
      </c>
      <c r="C833" s="0" t="s">
        <v>312</v>
      </c>
      <c r="D833" s="0" t="s">
        <v>5612</v>
      </c>
      <c r="E833" s="0" t="s">
        <v>5613</v>
      </c>
      <c r="F833" s="0" t="s">
        <v>44</v>
      </c>
      <c r="H833" s="0" t="s">
        <v>5614</v>
      </c>
      <c r="I833" s="0" t="s">
        <v>115</v>
      </c>
      <c r="J833" s="3" t="s">
        <v>694</v>
      </c>
      <c r="K833" s="0" t="s">
        <v>5615</v>
      </c>
      <c r="M833" s="0" t="n">
        <v>1933</v>
      </c>
      <c r="N833" s="0" t="s">
        <v>1325</v>
      </c>
      <c r="O833" s="3" t="s">
        <v>54</v>
      </c>
      <c r="P833" s="0" t="s">
        <v>55</v>
      </c>
      <c r="R833" s="0" t="n">
        <v>550</v>
      </c>
      <c r="S833" s="0" t="n">
        <v>2024</v>
      </c>
      <c r="T833" s="0" t="s">
        <v>72</v>
      </c>
      <c r="U833" s="0" t="s">
        <v>115</v>
      </c>
      <c r="V833" s="0" t="n">
        <v>93.2</v>
      </c>
      <c r="W833" s="0" t="s">
        <v>5616</v>
      </c>
      <c r="X833" s="0" t="s">
        <v>1541</v>
      </c>
      <c r="Y833" s="0" t="s">
        <v>72</v>
      </c>
      <c r="Z833" s="0" t="s">
        <v>115</v>
      </c>
      <c r="AA833" s="0" t="s">
        <v>1022</v>
      </c>
      <c r="AB833" s="0" t="s">
        <v>5617</v>
      </c>
      <c r="AC833" s="0" t="s">
        <v>5618</v>
      </c>
      <c r="AD833" s="0" t="s">
        <v>5619</v>
      </c>
      <c r="AE833" s="0" t="s">
        <v>115</v>
      </c>
      <c r="AF833" s="3" t="s">
        <v>108</v>
      </c>
      <c r="AG833" s="3" t="s">
        <v>404</v>
      </c>
      <c r="AH833" s="0" t="n">
        <v>2026</v>
      </c>
      <c r="AI833" s="0" t="s">
        <v>5620</v>
      </c>
      <c r="AJ833" s="0" t="s">
        <v>5621</v>
      </c>
      <c r="AK833" s="0" t="s">
        <v>5622</v>
      </c>
      <c r="AL833" s="0" t="s">
        <v>5623</v>
      </c>
      <c r="AM833" s="0" t="s">
        <v>5624</v>
      </c>
      <c r="AN833" s="0" t="s">
        <v>5625</v>
      </c>
      <c r="AP833" s="0" t="s">
        <v>5626</v>
      </c>
      <c r="AR833" s="0" t="s">
        <v>5627</v>
      </c>
    </row>
    <row r="834" customFormat="false" ht="15" hidden="false" customHeight="false" outlineLevel="0" collapsed="false">
      <c r="A834" s="0" t="n">
        <v>833</v>
      </c>
      <c r="B834" s="0" t="s">
        <v>5628</v>
      </c>
      <c r="C834" s="0" t="s">
        <v>88</v>
      </c>
      <c r="E834" s="0" t="s">
        <v>5629</v>
      </c>
      <c r="N834" s="3" t="s">
        <v>202</v>
      </c>
      <c r="O834" s="3" t="s">
        <v>202</v>
      </c>
      <c r="P834" s="0" t="s">
        <v>96</v>
      </c>
      <c r="AA834" s="0" t="s">
        <v>47</v>
      </c>
      <c r="AB834" s="0" t="s">
        <v>5630</v>
      </c>
      <c r="AC834" s="0" t="s">
        <v>5631</v>
      </c>
      <c r="AD834" s="0" t="s">
        <v>5632</v>
      </c>
      <c r="AE834" s="0" t="s">
        <v>79</v>
      </c>
      <c r="AF834" s="3" t="s">
        <v>48</v>
      </c>
      <c r="AG834" s="3" t="s">
        <v>49</v>
      </c>
      <c r="AR834" s="0" t="s">
        <v>5629</v>
      </c>
    </row>
    <row r="835" customFormat="false" ht="15" hidden="false" customHeight="false" outlineLevel="0" collapsed="false">
      <c r="A835" s="0" t="n">
        <v>834</v>
      </c>
      <c r="B835" s="0" t="s">
        <v>5633</v>
      </c>
      <c r="C835" s="0" t="s">
        <v>244</v>
      </c>
      <c r="E835" s="0" t="s">
        <v>5634</v>
      </c>
      <c r="F835" s="0" t="s">
        <v>44</v>
      </c>
      <c r="H835" s="0" t="s">
        <v>5635</v>
      </c>
      <c r="I835" s="0" t="s">
        <v>94</v>
      </c>
      <c r="N835" s="3" t="s">
        <v>186</v>
      </c>
      <c r="O835" s="3" t="s">
        <v>186</v>
      </c>
      <c r="P835" s="0" t="s">
        <v>96</v>
      </c>
      <c r="AA835" s="0" t="s">
        <v>47</v>
      </c>
      <c r="AB835" s="0" t="s">
        <v>5636</v>
      </c>
      <c r="AC835" s="0" t="s">
        <v>5637</v>
      </c>
      <c r="AD835" s="0" t="s">
        <v>5638</v>
      </c>
      <c r="AE835" s="0" t="s">
        <v>79</v>
      </c>
      <c r="AF835" s="3" t="s">
        <v>149</v>
      </c>
      <c r="AG835" s="3" t="s">
        <v>81</v>
      </c>
      <c r="AK835" s="0" t="s">
        <v>5639</v>
      </c>
      <c r="AP835" s="0" t="s">
        <v>5640</v>
      </c>
      <c r="AR835" s="0" t="s">
        <v>5641</v>
      </c>
    </row>
    <row r="836" customFormat="false" ht="15" hidden="false" customHeight="false" outlineLevel="0" collapsed="false">
      <c r="A836" s="0" t="n">
        <v>835</v>
      </c>
      <c r="B836" s="0" t="s">
        <v>5642</v>
      </c>
      <c r="C836" s="0" t="s">
        <v>52</v>
      </c>
      <c r="D836" s="0" t="s">
        <v>5643</v>
      </c>
      <c r="H836" s="0" t="s">
        <v>5644</v>
      </c>
      <c r="I836" s="0" t="s">
        <v>115</v>
      </c>
      <c r="J836" s="3" t="s">
        <v>694</v>
      </c>
      <c r="K836" s="0" t="s">
        <v>5645</v>
      </c>
      <c r="L836" s="0" t="s">
        <v>5646</v>
      </c>
      <c r="M836" s="0" t="n">
        <v>1668</v>
      </c>
      <c r="N836" s="0" t="s">
        <v>1362</v>
      </c>
      <c r="O836" s="3" t="s">
        <v>762</v>
      </c>
      <c r="P836" s="0" t="s">
        <v>55</v>
      </c>
      <c r="R836" s="0" t="n">
        <v>62461</v>
      </c>
      <c r="S836" s="0" t="n">
        <v>2025</v>
      </c>
      <c r="T836" s="0" t="s">
        <v>1741</v>
      </c>
      <c r="U836" s="0" t="s">
        <v>115</v>
      </c>
      <c r="V836" s="0" t="n">
        <v>9900</v>
      </c>
      <c r="W836" s="0" t="s">
        <v>5647</v>
      </c>
      <c r="X836" s="0" t="s">
        <v>764</v>
      </c>
      <c r="Y836" s="0" t="s">
        <v>1142</v>
      </c>
      <c r="Z836" s="0" t="s">
        <v>115</v>
      </c>
      <c r="AA836" s="0" t="s">
        <v>75</v>
      </c>
      <c r="AB836" s="0" t="s">
        <v>5648</v>
      </c>
      <c r="AC836" s="0" t="s">
        <v>5649</v>
      </c>
      <c r="AD836" s="0" t="s">
        <v>5650</v>
      </c>
      <c r="AE836" s="0" t="s">
        <v>115</v>
      </c>
      <c r="AF836" s="3" t="s">
        <v>80</v>
      </c>
      <c r="AG836" s="3" t="s">
        <v>81</v>
      </c>
      <c r="AH836" s="0" t="n">
        <v>2026</v>
      </c>
      <c r="AI836" s="0" t="s">
        <v>5651</v>
      </c>
      <c r="AJ836" s="0" t="s">
        <v>5652</v>
      </c>
      <c r="AK836" s="3" t="s">
        <v>5653</v>
      </c>
      <c r="AL836" s="0" t="s">
        <v>5654</v>
      </c>
      <c r="AM836" s="0" t="s">
        <v>5655</v>
      </c>
      <c r="AN836" s="0" t="s">
        <v>5656</v>
      </c>
      <c r="AO836" s="0" t="s">
        <v>5657</v>
      </c>
      <c r="AP836" s="0" t="s">
        <v>5657</v>
      </c>
      <c r="AR836" s="0" t="s">
        <v>5658</v>
      </c>
    </row>
    <row r="837" customFormat="false" ht="15" hidden="false" customHeight="false" outlineLevel="0" collapsed="false">
      <c r="A837" s="0" t="n">
        <v>836</v>
      </c>
      <c r="B837" s="0" t="s">
        <v>5659</v>
      </c>
      <c r="C837" s="0" t="s">
        <v>43</v>
      </c>
      <c r="F837" s="0" t="s">
        <v>44</v>
      </c>
      <c r="H837" s="0" t="s">
        <v>5660</v>
      </c>
      <c r="I837" s="0" t="s">
        <v>154</v>
      </c>
      <c r="AA837" s="0" t="s">
        <v>47</v>
      </c>
      <c r="AF837" s="3" t="s">
        <v>48</v>
      </c>
      <c r="AG837" s="3" t="s">
        <v>49</v>
      </c>
      <c r="AL837" s="0" t="s">
        <v>5661</v>
      </c>
      <c r="AM837" s="0" t="s">
        <v>5662</v>
      </c>
      <c r="AO837" s="0" t="s">
        <v>5663</v>
      </c>
      <c r="AP837" s="0" t="s">
        <v>5663</v>
      </c>
      <c r="AR837" s="0" t="s">
        <v>5664</v>
      </c>
    </row>
    <row r="838" customFormat="false" ht="15" hidden="false" customHeight="false" outlineLevel="0" collapsed="false">
      <c r="A838" s="0" t="n">
        <v>837</v>
      </c>
      <c r="B838" s="0" t="s">
        <v>5665</v>
      </c>
      <c r="C838" s="0" t="s">
        <v>88</v>
      </c>
      <c r="E838" s="0" t="s">
        <v>5666</v>
      </c>
      <c r="N838" s="3" t="s">
        <v>186</v>
      </c>
      <c r="O838" s="3" t="s">
        <v>186</v>
      </c>
      <c r="P838" s="0" t="s">
        <v>96</v>
      </c>
      <c r="AA838" s="0" t="s">
        <v>47</v>
      </c>
      <c r="AB838" s="0" t="s">
        <v>5667</v>
      </c>
      <c r="AC838" s="0" t="s">
        <v>5668</v>
      </c>
      <c r="AD838" s="0" t="s">
        <v>5669</v>
      </c>
      <c r="AE838" s="0" t="s">
        <v>79</v>
      </c>
      <c r="AF838" s="3" t="s">
        <v>48</v>
      </c>
      <c r="AG838" s="3" t="s">
        <v>49</v>
      </c>
      <c r="AR838" s="0" t="s">
        <v>5666</v>
      </c>
    </row>
    <row r="839" customFormat="false" ht="15" hidden="false" customHeight="false" outlineLevel="0" collapsed="false">
      <c r="A839" s="0" t="n">
        <v>838</v>
      </c>
      <c r="B839" s="0" t="s">
        <v>5670</v>
      </c>
      <c r="C839" s="0" t="s">
        <v>43</v>
      </c>
      <c r="F839" s="0" t="s">
        <v>44</v>
      </c>
      <c r="AA839" s="0" t="s">
        <v>47</v>
      </c>
      <c r="AF839" s="3" t="s">
        <v>48</v>
      </c>
      <c r="AG839" s="3" t="s">
        <v>49</v>
      </c>
      <c r="AR839" s="0" t="s">
        <v>50</v>
      </c>
    </row>
    <row r="840" customFormat="false" ht="15" hidden="false" customHeight="false" outlineLevel="0" collapsed="false">
      <c r="A840" s="0" t="n">
        <v>839</v>
      </c>
      <c r="B840" s="0" t="s">
        <v>5671</v>
      </c>
      <c r="C840" s="0" t="s">
        <v>88</v>
      </c>
      <c r="E840" s="0" t="s">
        <v>5672</v>
      </c>
      <c r="H840" s="0" t="s">
        <v>5673</v>
      </c>
      <c r="I840" s="0" t="s">
        <v>154</v>
      </c>
      <c r="AA840" s="0" t="s">
        <v>47</v>
      </c>
      <c r="AF840" s="3" t="s">
        <v>48</v>
      </c>
      <c r="AG840" s="3" t="s">
        <v>49</v>
      </c>
      <c r="AL840" s="0" t="s">
        <v>5674</v>
      </c>
      <c r="AO840" s="0" t="s">
        <v>5675</v>
      </c>
      <c r="AP840" s="0" t="s">
        <v>5675</v>
      </c>
      <c r="AR840" s="0" t="s">
        <v>5676</v>
      </c>
    </row>
    <row r="841" customFormat="false" ht="15" hidden="false" customHeight="false" outlineLevel="0" collapsed="false">
      <c r="A841" s="0" t="n">
        <v>840</v>
      </c>
      <c r="B841" s="0" t="s">
        <v>5677</v>
      </c>
      <c r="C841" s="0" t="s">
        <v>88</v>
      </c>
      <c r="E841" s="0" t="s">
        <v>5678</v>
      </c>
      <c r="H841" s="0" t="s">
        <v>5679</v>
      </c>
      <c r="I841" s="0" t="s">
        <v>154</v>
      </c>
      <c r="AA841" s="0" t="s">
        <v>47</v>
      </c>
      <c r="AF841" s="3" t="s">
        <v>48</v>
      </c>
      <c r="AG841" s="3" t="s">
        <v>49</v>
      </c>
      <c r="AL841" s="0" t="s">
        <v>5680</v>
      </c>
      <c r="AM841" s="0" t="s">
        <v>5681</v>
      </c>
      <c r="AO841" s="0" t="s">
        <v>5682</v>
      </c>
      <c r="AP841" s="0" t="s">
        <v>5682</v>
      </c>
      <c r="AR841" s="0" t="s">
        <v>5683</v>
      </c>
    </row>
    <row r="842" customFormat="false" ht="15" hidden="false" customHeight="false" outlineLevel="0" collapsed="false">
      <c r="A842" s="0" t="n">
        <v>841</v>
      </c>
      <c r="B842" s="0" t="s">
        <v>5684</v>
      </c>
      <c r="C842" s="0" t="s">
        <v>88</v>
      </c>
      <c r="E842" s="0" t="s">
        <v>5685</v>
      </c>
      <c r="H842" s="0" t="s">
        <v>5686</v>
      </c>
      <c r="I842" s="0" t="s">
        <v>154</v>
      </c>
      <c r="AA842" s="0" t="s">
        <v>47</v>
      </c>
      <c r="AF842" s="3" t="s">
        <v>48</v>
      </c>
      <c r="AG842" s="3" t="s">
        <v>49</v>
      </c>
      <c r="AL842" s="0" t="s">
        <v>5687</v>
      </c>
      <c r="AM842" s="0" t="s">
        <v>5688</v>
      </c>
      <c r="AO842" s="0" t="s">
        <v>5689</v>
      </c>
      <c r="AP842" s="0" t="s">
        <v>5689</v>
      </c>
      <c r="AR842" s="0" t="s">
        <v>5690</v>
      </c>
    </row>
    <row r="843" customFormat="false" ht="15" hidden="false" customHeight="false" outlineLevel="0" collapsed="false">
      <c r="A843" s="0" t="n">
        <v>842</v>
      </c>
      <c r="B843" s="0" t="s">
        <v>5691</v>
      </c>
      <c r="C843" s="0" t="s">
        <v>88</v>
      </c>
      <c r="E843" s="0" t="s">
        <v>5692</v>
      </c>
      <c r="AA843" s="0" t="s">
        <v>47</v>
      </c>
      <c r="AB843" s="0" t="s">
        <v>5693</v>
      </c>
      <c r="AC843" s="0" t="s">
        <v>5694</v>
      </c>
      <c r="AE843" s="0" t="s">
        <v>79</v>
      </c>
      <c r="AF843" s="3" t="s">
        <v>48</v>
      </c>
      <c r="AG843" s="3" t="s">
        <v>49</v>
      </c>
      <c r="AR843" s="0" t="s">
        <v>5692</v>
      </c>
    </row>
    <row r="844" customFormat="false" ht="15" hidden="false" customHeight="false" outlineLevel="0" collapsed="false">
      <c r="A844" s="0" t="n">
        <v>843</v>
      </c>
      <c r="B844" s="0" t="s">
        <v>5695</v>
      </c>
      <c r="C844" s="0" t="s">
        <v>52</v>
      </c>
      <c r="D844" s="0" t="s">
        <v>5696</v>
      </c>
      <c r="N844" s="3" t="s">
        <v>136</v>
      </c>
      <c r="O844" s="3" t="s">
        <v>136</v>
      </c>
      <c r="P844" s="0" t="s">
        <v>55</v>
      </c>
      <c r="AA844" s="0" t="s">
        <v>47</v>
      </c>
      <c r="AB844" s="0" t="s">
        <v>5697</v>
      </c>
      <c r="AC844" s="0" t="s">
        <v>5698</v>
      </c>
      <c r="AD844" s="0" t="s">
        <v>5699</v>
      </c>
      <c r="AE844" s="0" t="s">
        <v>59</v>
      </c>
      <c r="AF844" s="3" t="s">
        <v>48</v>
      </c>
      <c r="AG844" s="3" t="s">
        <v>49</v>
      </c>
      <c r="AR844" s="0" t="s">
        <v>5696</v>
      </c>
    </row>
    <row r="845" customFormat="false" ht="15" hidden="false" customHeight="false" outlineLevel="0" collapsed="false">
      <c r="A845" s="0" t="n">
        <v>844</v>
      </c>
      <c r="B845" s="0" t="s">
        <v>5700</v>
      </c>
      <c r="C845" s="0" t="s">
        <v>88</v>
      </c>
      <c r="E845" s="0" t="s">
        <v>5701</v>
      </c>
      <c r="H845" s="0" t="s">
        <v>5702</v>
      </c>
      <c r="I845" s="0" t="s">
        <v>154</v>
      </c>
      <c r="N845" s="3" t="s">
        <v>95</v>
      </c>
      <c r="O845" s="3" t="s">
        <v>95</v>
      </c>
      <c r="P845" s="0" t="s">
        <v>96</v>
      </c>
      <c r="Q845" s="0" t="s">
        <v>5703</v>
      </c>
      <c r="AA845" s="0" t="s">
        <v>47</v>
      </c>
      <c r="AF845" s="3" t="s">
        <v>48</v>
      </c>
      <c r="AG845" s="3" t="s">
        <v>49</v>
      </c>
      <c r="AL845" s="0" t="s">
        <v>5704</v>
      </c>
      <c r="AM845" s="0" t="s">
        <v>5705</v>
      </c>
      <c r="AO845" s="0" t="s">
        <v>5706</v>
      </c>
      <c r="AP845" s="0" t="s">
        <v>5706</v>
      </c>
      <c r="AR845" s="0" t="s">
        <v>5707</v>
      </c>
    </row>
    <row r="846" customFormat="false" ht="15" hidden="false" customHeight="false" outlineLevel="0" collapsed="false">
      <c r="A846" s="0" t="n">
        <v>845</v>
      </c>
      <c r="B846" s="0" t="s">
        <v>5708</v>
      </c>
      <c r="C846" s="0" t="s">
        <v>88</v>
      </c>
      <c r="E846" s="0" t="s">
        <v>5709</v>
      </c>
      <c r="N846" s="3" t="s">
        <v>95</v>
      </c>
      <c r="O846" s="3" t="s">
        <v>95</v>
      </c>
      <c r="P846" s="0" t="s">
        <v>96</v>
      </c>
      <c r="AA846" s="0" t="s">
        <v>47</v>
      </c>
      <c r="AB846" s="0" t="s">
        <v>5710</v>
      </c>
      <c r="AC846" s="0" t="s">
        <v>5711</v>
      </c>
      <c r="AD846" s="0" t="s">
        <v>5712</v>
      </c>
      <c r="AE846" s="0" t="s">
        <v>79</v>
      </c>
      <c r="AF846" s="3" t="s">
        <v>48</v>
      </c>
      <c r="AG846" s="3" t="s">
        <v>49</v>
      </c>
      <c r="AR846" s="0" t="s">
        <v>5709</v>
      </c>
    </row>
    <row r="847" customFormat="false" ht="15" hidden="false" customHeight="false" outlineLevel="0" collapsed="false">
      <c r="A847" s="0" t="n">
        <v>846</v>
      </c>
      <c r="B847" s="0" t="s">
        <v>5713</v>
      </c>
      <c r="C847" s="0" t="s">
        <v>88</v>
      </c>
      <c r="E847" s="0" t="s">
        <v>5714</v>
      </c>
      <c r="H847" s="0" t="s">
        <v>5715</v>
      </c>
      <c r="I847" s="0" t="s">
        <v>115</v>
      </c>
      <c r="J847" s="3" t="s">
        <v>1808</v>
      </c>
      <c r="K847" s="0" t="s">
        <v>5716</v>
      </c>
      <c r="L847" s="0" t="s">
        <v>5717</v>
      </c>
      <c r="M847" s="0" t="n">
        <v>1943</v>
      </c>
      <c r="N847" s="0" t="s">
        <v>3929</v>
      </c>
      <c r="O847" s="3" t="s">
        <v>147</v>
      </c>
      <c r="P847" s="0" t="s">
        <v>96</v>
      </c>
      <c r="Q847" s="0" t="s">
        <v>5718</v>
      </c>
      <c r="R847" s="0" t="n">
        <v>3200</v>
      </c>
      <c r="S847" s="0" t="n">
        <v>2024</v>
      </c>
      <c r="T847" s="0" t="s">
        <v>72</v>
      </c>
      <c r="U847" s="0" t="s">
        <v>115</v>
      </c>
      <c r="V847" s="0" t="n">
        <v>640</v>
      </c>
      <c r="W847" s="0" t="s">
        <v>5719</v>
      </c>
      <c r="X847" s="0" t="s">
        <v>700</v>
      </c>
      <c r="Y847" s="0" t="s">
        <v>698</v>
      </c>
      <c r="Z847" s="0" t="s">
        <v>115</v>
      </c>
      <c r="AA847" s="0" t="s">
        <v>1022</v>
      </c>
      <c r="AB847" s="0" t="s">
        <v>5720</v>
      </c>
      <c r="AC847" s="0" t="s">
        <v>5721</v>
      </c>
      <c r="AD847" s="0" t="s">
        <v>5722</v>
      </c>
      <c r="AE847" s="0" t="s">
        <v>115</v>
      </c>
      <c r="AF847" s="3" t="s">
        <v>108</v>
      </c>
      <c r="AG847" s="3" t="s">
        <v>404</v>
      </c>
      <c r="AH847" s="0" t="n">
        <v>2026</v>
      </c>
      <c r="AI847" s="0" t="s">
        <v>5723</v>
      </c>
      <c r="AJ847" s="0" t="s">
        <v>5724</v>
      </c>
      <c r="AK847" s="0" t="s">
        <v>5725</v>
      </c>
      <c r="AL847" s="0" t="s">
        <v>5726</v>
      </c>
      <c r="AM847" s="0" t="s">
        <v>5727</v>
      </c>
      <c r="AN847" s="0" t="s">
        <v>5728</v>
      </c>
      <c r="AO847" s="0" t="s">
        <v>5729</v>
      </c>
      <c r="AP847" s="0" t="s">
        <v>5730</v>
      </c>
      <c r="AQ847" s="0" t="s">
        <v>5731</v>
      </c>
      <c r="AR847" s="0" t="s">
        <v>5732</v>
      </c>
    </row>
    <row r="848" customFormat="false" ht="15" hidden="false" customHeight="false" outlineLevel="0" collapsed="false">
      <c r="A848" s="0" t="n">
        <v>847</v>
      </c>
      <c r="B848" s="0" t="s">
        <v>5733</v>
      </c>
      <c r="C848" s="0" t="s">
        <v>312</v>
      </c>
      <c r="D848" s="0" t="s">
        <v>5734</v>
      </c>
      <c r="E848" s="0" t="s">
        <v>5735</v>
      </c>
      <c r="F848" s="0" t="s">
        <v>44</v>
      </c>
      <c r="H848" s="0" t="s">
        <v>5736</v>
      </c>
      <c r="I848" s="0" t="s">
        <v>115</v>
      </c>
      <c r="J848" s="3" t="s">
        <v>66</v>
      </c>
      <c r="K848" s="0" t="s">
        <v>5737</v>
      </c>
      <c r="M848" s="0" t="n">
        <v>1945</v>
      </c>
      <c r="N848" s="0" t="s">
        <v>118</v>
      </c>
      <c r="O848" s="3" t="s">
        <v>136</v>
      </c>
      <c r="P848" s="0" t="s">
        <v>55</v>
      </c>
      <c r="Q848" s="0" t="s">
        <v>5738</v>
      </c>
      <c r="R848" s="0" t="n">
        <v>18100</v>
      </c>
      <c r="S848" s="0" t="n">
        <v>2025</v>
      </c>
      <c r="T848" s="0" t="s">
        <v>72</v>
      </c>
      <c r="U848" s="0" t="s">
        <v>115</v>
      </c>
      <c r="V848" s="0" t="n">
        <v>4026</v>
      </c>
      <c r="W848" s="0" t="s">
        <v>5739</v>
      </c>
      <c r="X848" s="0" t="s">
        <v>764</v>
      </c>
      <c r="Y848" s="0" t="s">
        <v>72</v>
      </c>
      <c r="Z848" s="0" t="s">
        <v>115</v>
      </c>
      <c r="AA848" s="0" t="s">
        <v>75</v>
      </c>
      <c r="AB848" s="0" t="s">
        <v>5740</v>
      </c>
      <c r="AC848" s="0" t="s">
        <v>5741</v>
      </c>
      <c r="AD848" s="0" t="s">
        <v>5742</v>
      </c>
      <c r="AE848" s="0" t="s">
        <v>115</v>
      </c>
      <c r="AF848" s="3" t="s">
        <v>108</v>
      </c>
      <c r="AG848" s="3" t="s">
        <v>404</v>
      </c>
      <c r="AH848" s="0" t="n">
        <v>2026</v>
      </c>
      <c r="AI848" s="0" t="s">
        <v>5743</v>
      </c>
      <c r="AJ848" s="0" t="s">
        <v>5744</v>
      </c>
      <c r="AK848" s="0" t="s">
        <v>5745</v>
      </c>
      <c r="AL848" s="0" t="s">
        <v>5746</v>
      </c>
      <c r="AN848" s="0" t="s">
        <v>5747</v>
      </c>
      <c r="AP848" s="0" t="s">
        <v>5748</v>
      </c>
      <c r="AQ848" s="0" t="s">
        <v>5749</v>
      </c>
      <c r="AR848" s="0" t="s">
        <v>5750</v>
      </c>
    </row>
    <row r="849" customFormat="false" ht="15" hidden="false" customHeight="false" outlineLevel="0" collapsed="false">
      <c r="A849" s="0" t="n">
        <v>848</v>
      </c>
      <c r="B849" s="0" t="s">
        <v>5751</v>
      </c>
      <c r="C849" s="0" t="s">
        <v>88</v>
      </c>
      <c r="E849" s="0" t="s">
        <v>5752</v>
      </c>
      <c r="H849" s="0" t="s">
        <v>5753</v>
      </c>
      <c r="I849" s="0" t="s">
        <v>154</v>
      </c>
      <c r="AA849" s="0" t="s">
        <v>47</v>
      </c>
      <c r="AF849" s="3" t="s">
        <v>48</v>
      </c>
      <c r="AG849" s="3" t="s">
        <v>49</v>
      </c>
      <c r="AL849" s="0" t="s">
        <v>5754</v>
      </c>
      <c r="AM849" s="0" t="s">
        <v>5755</v>
      </c>
      <c r="AO849" s="0" t="s">
        <v>5756</v>
      </c>
      <c r="AP849" s="0" t="s">
        <v>5756</v>
      </c>
      <c r="AR849" s="0" t="s">
        <v>5757</v>
      </c>
    </row>
    <row r="850" customFormat="false" ht="15" hidden="false" customHeight="false" outlineLevel="0" collapsed="false">
      <c r="A850" s="0" t="n">
        <v>849</v>
      </c>
      <c r="B850" s="0" t="s">
        <v>5758</v>
      </c>
      <c r="C850" s="0" t="s">
        <v>88</v>
      </c>
      <c r="E850" s="0" t="s">
        <v>5759</v>
      </c>
      <c r="N850" s="3" t="s">
        <v>213</v>
      </c>
      <c r="O850" s="3" t="s">
        <v>213</v>
      </c>
      <c r="P850" s="0" t="s">
        <v>96</v>
      </c>
      <c r="AA850" s="0" t="s">
        <v>47</v>
      </c>
      <c r="AB850" s="0" t="s">
        <v>5760</v>
      </c>
      <c r="AC850" s="0" t="s">
        <v>5761</v>
      </c>
      <c r="AD850" s="0" t="s">
        <v>5762</v>
      </c>
      <c r="AE850" s="0" t="s">
        <v>79</v>
      </c>
      <c r="AF850" s="3" t="s">
        <v>48</v>
      </c>
      <c r="AG850" s="3" t="s">
        <v>49</v>
      </c>
      <c r="AR850" s="0" t="s">
        <v>5759</v>
      </c>
    </row>
    <row r="851" customFormat="false" ht="15" hidden="false" customHeight="false" outlineLevel="0" collapsed="false">
      <c r="A851" s="0" t="n">
        <v>850</v>
      </c>
      <c r="B851" s="0" t="s">
        <v>5763</v>
      </c>
      <c r="C851" s="0" t="s">
        <v>88</v>
      </c>
      <c r="E851" s="0" t="s">
        <v>5764</v>
      </c>
      <c r="H851" s="0" t="s">
        <v>5765</v>
      </c>
      <c r="I851" s="0" t="s">
        <v>154</v>
      </c>
      <c r="N851" s="3" t="s">
        <v>95</v>
      </c>
      <c r="O851" s="3" t="s">
        <v>95</v>
      </c>
      <c r="P851" s="0" t="s">
        <v>96</v>
      </c>
      <c r="AA851" s="0" t="s">
        <v>47</v>
      </c>
      <c r="AB851" s="0" t="s">
        <v>5766</v>
      </c>
      <c r="AC851" s="0" t="s">
        <v>5767</v>
      </c>
      <c r="AD851" s="0" t="s">
        <v>5768</v>
      </c>
      <c r="AE851" s="0" t="s">
        <v>79</v>
      </c>
      <c r="AF851" s="3" t="s">
        <v>48</v>
      </c>
      <c r="AG851" s="3" t="s">
        <v>49</v>
      </c>
      <c r="AL851" s="0" t="s">
        <v>5769</v>
      </c>
      <c r="AM851" s="0" t="s">
        <v>5770</v>
      </c>
      <c r="AO851" s="0" t="s">
        <v>5771</v>
      </c>
      <c r="AP851" s="0" t="s">
        <v>5771</v>
      </c>
      <c r="AR851" s="0" t="s">
        <v>5772</v>
      </c>
    </row>
    <row r="852" customFormat="false" ht="15" hidden="false" customHeight="false" outlineLevel="0" collapsed="false">
      <c r="A852" s="0" t="n">
        <v>851</v>
      </c>
      <c r="B852" s="0" t="s">
        <v>5773</v>
      </c>
      <c r="C852" s="0" t="s">
        <v>88</v>
      </c>
      <c r="E852" s="0" t="s">
        <v>5774</v>
      </c>
      <c r="H852" s="0" t="s">
        <v>5775</v>
      </c>
      <c r="I852" s="0" t="s">
        <v>154</v>
      </c>
      <c r="N852" s="3" t="s">
        <v>202</v>
      </c>
      <c r="O852" s="3" t="s">
        <v>202</v>
      </c>
      <c r="P852" s="0" t="s">
        <v>96</v>
      </c>
      <c r="AA852" s="0" t="s">
        <v>47</v>
      </c>
      <c r="AB852" s="0" t="s">
        <v>5776</v>
      </c>
      <c r="AC852" s="0" t="s">
        <v>5777</v>
      </c>
      <c r="AE852" s="0" t="s">
        <v>79</v>
      </c>
      <c r="AF852" s="3" t="s">
        <v>48</v>
      </c>
      <c r="AG852" s="3" t="s">
        <v>49</v>
      </c>
      <c r="AP852" s="0" t="s">
        <v>5778</v>
      </c>
      <c r="AR852" s="0" t="s">
        <v>5779</v>
      </c>
    </row>
    <row r="853" customFormat="false" ht="15" hidden="false" customHeight="false" outlineLevel="0" collapsed="false">
      <c r="A853" s="0" t="n">
        <v>852</v>
      </c>
      <c r="B853" s="0" t="s">
        <v>5780</v>
      </c>
      <c r="C853" s="0" t="s">
        <v>88</v>
      </c>
      <c r="E853" s="0" t="s">
        <v>5781</v>
      </c>
      <c r="N853" s="3" t="s">
        <v>202</v>
      </c>
      <c r="O853" s="3" t="s">
        <v>202</v>
      </c>
      <c r="P853" s="0" t="s">
        <v>96</v>
      </c>
      <c r="AA853" s="0" t="s">
        <v>47</v>
      </c>
      <c r="AB853" s="0" t="s">
        <v>5782</v>
      </c>
      <c r="AC853" s="0" t="s">
        <v>5783</v>
      </c>
      <c r="AD853" s="0" t="s">
        <v>5784</v>
      </c>
      <c r="AE853" s="0" t="s">
        <v>79</v>
      </c>
      <c r="AF853" s="3" t="s">
        <v>48</v>
      </c>
      <c r="AG853" s="3" t="s">
        <v>49</v>
      </c>
      <c r="AR853" s="0" t="s">
        <v>5781</v>
      </c>
    </row>
    <row r="854" customFormat="false" ht="15" hidden="false" customHeight="false" outlineLevel="0" collapsed="false">
      <c r="A854" s="0" t="n">
        <v>853</v>
      </c>
      <c r="B854" s="0" t="s">
        <v>5785</v>
      </c>
      <c r="C854" s="0" t="s">
        <v>61</v>
      </c>
      <c r="D854" s="0" t="s">
        <v>5786</v>
      </c>
      <c r="E854" s="0" t="s">
        <v>5787</v>
      </c>
      <c r="H854" s="0" t="s">
        <v>5788</v>
      </c>
      <c r="I854" s="0" t="s">
        <v>154</v>
      </c>
      <c r="N854" s="0" t="s">
        <v>5789</v>
      </c>
      <c r="O854" s="0" t="s">
        <v>5789</v>
      </c>
      <c r="P854" s="0" t="s">
        <v>55</v>
      </c>
      <c r="AA854" s="0" t="s">
        <v>47</v>
      </c>
      <c r="AB854" s="0" t="s">
        <v>5790</v>
      </c>
      <c r="AC854" s="0" t="s">
        <v>5791</v>
      </c>
      <c r="AD854" s="0" t="s">
        <v>5792</v>
      </c>
      <c r="AE854" s="0" t="s">
        <v>79</v>
      </c>
      <c r="AF854" s="3" t="s">
        <v>149</v>
      </c>
      <c r="AG854" s="3" t="s">
        <v>81</v>
      </c>
      <c r="AK854" s="0" t="s">
        <v>5793</v>
      </c>
      <c r="AL854" s="0" t="s">
        <v>5794</v>
      </c>
      <c r="AM854" s="0" t="s">
        <v>5795</v>
      </c>
      <c r="AP854" s="0" t="s">
        <v>5796</v>
      </c>
      <c r="AR854" s="0" t="s">
        <v>5797</v>
      </c>
    </row>
    <row r="855" customFormat="false" ht="15" hidden="false" customHeight="false" outlineLevel="0" collapsed="false">
      <c r="A855" s="0" t="n">
        <v>854</v>
      </c>
      <c r="B855" s="0" t="s">
        <v>5798</v>
      </c>
      <c r="C855" s="0" t="s">
        <v>244</v>
      </c>
      <c r="E855" s="0" t="s">
        <v>5799</v>
      </c>
      <c r="F855" s="0" t="s">
        <v>44</v>
      </c>
      <c r="N855" s="3" t="s">
        <v>202</v>
      </c>
      <c r="O855" s="3" t="s">
        <v>202</v>
      </c>
      <c r="P855" s="0" t="s">
        <v>96</v>
      </c>
      <c r="AA855" s="0" t="s">
        <v>47</v>
      </c>
      <c r="AB855" s="0" t="s">
        <v>5800</v>
      </c>
      <c r="AC855" s="0" t="s">
        <v>5801</v>
      </c>
      <c r="AD855" s="0" t="s">
        <v>5802</v>
      </c>
      <c r="AE855" s="0" t="s">
        <v>79</v>
      </c>
      <c r="AF855" s="3" t="s">
        <v>149</v>
      </c>
      <c r="AG855" s="3" t="s">
        <v>81</v>
      </c>
      <c r="AK855" s="0" t="s">
        <v>5803</v>
      </c>
      <c r="AR855" s="0" t="s">
        <v>5804</v>
      </c>
    </row>
    <row r="856" customFormat="false" ht="15" hidden="false" customHeight="false" outlineLevel="0" collapsed="false">
      <c r="A856" s="0" t="n">
        <v>855</v>
      </c>
      <c r="B856" s="0" t="s">
        <v>5805</v>
      </c>
      <c r="C856" s="0" t="s">
        <v>88</v>
      </c>
      <c r="E856" s="0" t="s">
        <v>5806</v>
      </c>
      <c r="AA856" s="0" t="s">
        <v>47</v>
      </c>
      <c r="AF856" s="3" t="s">
        <v>48</v>
      </c>
      <c r="AG856" s="3" t="s">
        <v>49</v>
      </c>
      <c r="AR856" s="0" t="s">
        <v>5806</v>
      </c>
    </row>
    <row r="857" customFormat="false" ht="15" hidden="false" customHeight="false" outlineLevel="0" collapsed="false">
      <c r="A857" s="0" t="n">
        <v>856</v>
      </c>
      <c r="B857" s="0" t="s">
        <v>5807</v>
      </c>
      <c r="C857" s="0" t="s">
        <v>52</v>
      </c>
      <c r="D857" s="0" t="s">
        <v>5808</v>
      </c>
      <c r="H857" s="0" t="s">
        <v>5809</v>
      </c>
      <c r="I857" s="0" t="s">
        <v>154</v>
      </c>
      <c r="N857" s="3" t="s">
        <v>104</v>
      </c>
      <c r="O857" s="3" t="s">
        <v>104</v>
      </c>
      <c r="P857" s="0" t="s">
        <v>55</v>
      </c>
      <c r="AA857" s="0" t="s">
        <v>47</v>
      </c>
      <c r="AB857" s="0" t="s">
        <v>5810</v>
      </c>
      <c r="AC857" s="0" t="s">
        <v>5811</v>
      </c>
      <c r="AD857" s="0" t="s">
        <v>5812</v>
      </c>
      <c r="AE857" s="0" t="s">
        <v>59</v>
      </c>
      <c r="AF857" s="3" t="s">
        <v>108</v>
      </c>
      <c r="AG857" s="3" t="s">
        <v>49</v>
      </c>
      <c r="AH857" s="0" t="n">
        <v>2026</v>
      </c>
      <c r="AI857" s="0" t="s">
        <v>1231</v>
      </c>
      <c r="AJ857" s="0" t="s">
        <v>1232</v>
      </c>
      <c r="AL857" s="0" t="s">
        <v>5813</v>
      </c>
      <c r="AM857" s="0" t="s">
        <v>5814</v>
      </c>
      <c r="AO857" s="0" t="s">
        <v>5815</v>
      </c>
      <c r="AP857" s="0" t="s">
        <v>5815</v>
      </c>
      <c r="AR857" s="0" t="s">
        <v>5816</v>
      </c>
    </row>
    <row r="858" customFormat="false" ht="15" hidden="false" customHeight="false" outlineLevel="0" collapsed="false">
      <c r="A858" s="0" t="n">
        <v>857</v>
      </c>
      <c r="B858" s="0" t="s">
        <v>5817</v>
      </c>
      <c r="C858" s="0" t="s">
        <v>88</v>
      </c>
      <c r="E858" s="0" t="s">
        <v>5818</v>
      </c>
      <c r="H858" s="0" t="s">
        <v>5819</v>
      </c>
      <c r="I858" s="0" t="s">
        <v>154</v>
      </c>
      <c r="AA858" s="0" t="s">
        <v>47</v>
      </c>
      <c r="AB858" s="0" t="s">
        <v>5820</v>
      </c>
      <c r="AC858" s="0" t="s">
        <v>5821</v>
      </c>
      <c r="AD858" s="0" t="s">
        <v>5822</v>
      </c>
      <c r="AE858" s="0" t="s">
        <v>79</v>
      </c>
      <c r="AF858" s="3" t="s">
        <v>48</v>
      </c>
      <c r="AG858" s="3" t="s">
        <v>49</v>
      </c>
      <c r="AL858" s="0" t="s">
        <v>5823</v>
      </c>
      <c r="AM858" s="0" t="s">
        <v>5824</v>
      </c>
      <c r="AO858" s="0" t="s">
        <v>5825</v>
      </c>
      <c r="AP858" s="0" t="s">
        <v>5825</v>
      </c>
      <c r="AR858" s="0" t="s">
        <v>5826</v>
      </c>
    </row>
    <row r="859" customFormat="false" ht="15" hidden="false" customHeight="false" outlineLevel="0" collapsed="false">
      <c r="A859" s="0" t="n">
        <v>858</v>
      </c>
      <c r="B859" s="0" t="s">
        <v>5827</v>
      </c>
      <c r="C859" s="0" t="s">
        <v>43</v>
      </c>
      <c r="F859" s="0" t="s">
        <v>44</v>
      </c>
      <c r="H859" s="0" t="s">
        <v>5828</v>
      </c>
      <c r="I859" s="0" t="s">
        <v>154</v>
      </c>
      <c r="AA859" s="0" t="s">
        <v>47</v>
      </c>
      <c r="AF859" s="3" t="s">
        <v>48</v>
      </c>
      <c r="AG859" s="3" t="s">
        <v>49</v>
      </c>
      <c r="AL859" s="0" t="s">
        <v>5829</v>
      </c>
      <c r="AM859" s="0" t="s">
        <v>5830</v>
      </c>
      <c r="AO859" s="0" t="s">
        <v>5831</v>
      </c>
      <c r="AP859" s="0" t="s">
        <v>5831</v>
      </c>
      <c r="AR859" s="0" t="s">
        <v>5832</v>
      </c>
    </row>
    <row r="860" customFormat="false" ht="15" hidden="false" customHeight="false" outlineLevel="0" collapsed="false">
      <c r="A860" s="0" t="n">
        <v>859</v>
      </c>
      <c r="B860" s="0" t="s">
        <v>5833</v>
      </c>
      <c r="C860" s="0" t="s">
        <v>43</v>
      </c>
      <c r="F860" s="0" t="s">
        <v>44</v>
      </c>
      <c r="H860" s="0" t="s">
        <v>5834</v>
      </c>
      <c r="I860" s="0" t="s">
        <v>154</v>
      </c>
      <c r="AA860" s="0" t="s">
        <v>47</v>
      </c>
      <c r="AF860" s="3" t="s">
        <v>48</v>
      </c>
      <c r="AG860" s="3" t="s">
        <v>49</v>
      </c>
      <c r="AL860" s="0" t="s">
        <v>5835</v>
      </c>
      <c r="AO860" s="0" t="s">
        <v>5836</v>
      </c>
      <c r="AP860" s="0" t="s">
        <v>5836</v>
      </c>
      <c r="AR860" s="0" t="s">
        <v>5837</v>
      </c>
    </row>
    <row r="861" customFormat="false" ht="15" hidden="false" customHeight="false" outlineLevel="0" collapsed="false">
      <c r="A861" s="0" t="n">
        <v>860</v>
      </c>
      <c r="B861" s="0" t="s">
        <v>5838</v>
      </c>
      <c r="C861" s="0" t="s">
        <v>43</v>
      </c>
      <c r="F861" s="0" t="s">
        <v>44</v>
      </c>
      <c r="H861" s="0" t="s">
        <v>5839</v>
      </c>
      <c r="I861" s="0" t="s">
        <v>154</v>
      </c>
      <c r="AA861" s="0" t="s">
        <v>47</v>
      </c>
      <c r="AF861" s="3" t="s">
        <v>48</v>
      </c>
      <c r="AG861" s="3" t="s">
        <v>49</v>
      </c>
      <c r="AL861" s="0" t="s">
        <v>5840</v>
      </c>
      <c r="AO861" s="0" t="s">
        <v>5841</v>
      </c>
      <c r="AP861" s="0" t="s">
        <v>5841</v>
      </c>
      <c r="AR861" s="0" t="s">
        <v>5842</v>
      </c>
    </row>
    <row r="862" customFormat="false" ht="15" hidden="false" customHeight="false" outlineLevel="0" collapsed="false">
      <c r="A862" s="0" t="n">
        <v>861</v>
      </c>
      <c r="B862" s="0" t="s">
        <v>5843</v>
      </c>
      <c r="C862" s="0" t="s">
        <v>61</v>
      </c>
      <c r="D862" s="0" t="s">
        <v>5844</v>
      </c>
      <c r="E862" s="0" t="s">
        <v>5845</v>
      </c>
      <c r="H862" s="0" t="s">
        <v>5846</v>
      </c>
      <c r="I862" s="0" t="s">
        <v>94</v>
      </c>
      <c r="N862" s="3" t="s">
        <v>54</v>
      </c>
      <c r="O862" s="3" t="s">
        <v>54</v>
      </c>
      <c r="P862" s="0" t="s">
        <v>55</v>
      </c>
      <c r="AA862" s="0" t="s">
        <v>47</v>
      </c>
      <c r="AB862" s="0" t="s">
        <v>5847</v>
      </c>
      <c r="AC862" s="0" t="s">
        <v>5848</v>
      </c>
      <c r="AD862" s="0" t="s">
        <v>5849</v>
      </c>
      <c r="AE862" s="0" t="s">
        <v>79</v>
      </c>
      <c r="AF862" s="3" t="s">
        <v>149</v>
      </c>
      <c r="AG862" s="3" t="s">
        <v>81</v>
      </c>
      <c r="AK862" s="0" t="s">
        <v>5850</v>
      </c>
      <c r="AM862" s="0" t="s">
        <v>5851</v>
      </c>
      <c r="AO862" s="0" t="s">
        <v>5852</v>
      </c>
      <c r="AP862" s="0" t="s">
        <v>5852</v>
      </c>
      <c r="AR862" s="0" t="s">
        <v>5853</v>
      </c>
    </row>
    <row r="863" customFormat="false" ht="15" hidden="false" customHeight="false" outlineLevel="0" collapsed="false">
      <c r="A863" s="0" t="n">
        <v>862</v>
      </c>
      <c r="B863" s="0" t="s">
        <v>5854</v>
      </c>
      <c r="C863" s="0" t="s">
        <v>88</v>
      </c>
      <c r="E863" s="0" t="s">
        <v>5855</v>
      </c>
      <c r="N863" s="3" t="s">
        <v>202</v>
      </c>
      <c r="O863" s="3" t="s">
        <v>202</v>
      </c>
      <c r="P863" s="0" t="s">
        <v>96</v>
      </c>
      <c r="AA863" s="0" t="s">
        <v>47</v>
      </c>
      <c r="AB863" s="0" t="s">
        <v>5856</v>
      </c>
      <c r="AC863" s="0" t="s">
        <v>5857</v>
      </c>
      <c r="AD863" s="0" t="s">
        <v>5858</v>
      </c>
      <c r="AE863" s="0" t="s">
        <v>79</v>
      </c>
      <c r="AF863" s="3" t="s">
        <v>108</v>
      </c>
      <c r="AG863" s="3" t="s">
        <v>49</v>
      </c>
      <c r="AH863" s="0" t="n">
        <v>2026</v>
      </c>
      <c r="AI863" s="0" t="s">
        <v>968</v>
      </c>
      <c r="AJ863" s="0" t="s">
        <v>969</v>
      </c>
      <c r="AR863" s="0" t="s">
        <v>5859</v>
      </c>
    </row>
    <row r="864" customFormat="false" ht="15" hidden="false" customHeight="false" outlineLevel="0" collapsed="false">
      <c r="A864" s="0" t="n">
        <v>863</v>
      </c>
      <c r="B864" s="0" t="s">
        <v>5860</v>
      </c>
      <c r="C864" s="0" t="s">
        <v>88</v>
      </c>
      <c r="E864" s="0" t="s">
        <v>5861</v>
      </c>
      <c r="AA864" s="0" t="s">
        <v>47</v>
      </c>
      <c r="AB864" s="0" t="s">
        <v>5862</v>
      </c>
      <c r="AC864" s="0" t="s">
        <v>5863</v>
      </c>
      <c r="AE864" s="0" t="s">
        <v>79</v>
      </c>
      <c r="AF864" s="3" t="s">
        <v>48</v>
      </c>
      <c r="AG864" s="3" t="s">
        <v>49</v>
      </c>
      <c r="AR864" s="0" t="s">
        <v>5861</v>
      </c>
    </row>
    <row r="865" customFormat="false" ht="15" hidden="false" customHeight="false" outlineLevel="0" collapsed="false">
      <c r="A865" s="0" t="n">
        <v>864</v>
      </c>
      <c r="B865" s="0" t="s">
        <v>5864</v>
      </c>
      <c r="C865" s="0" t="s">
        <v>43</v>
      </c>
      <c r="F865" s="0" t="s">
        <v>44</v>
      </c>
      <c r="AA865" s="0" t="s">
        <v>47</v>
      </c>
      <c r="AF865" s="3" t="s">
        <v>48</v>
      </c>
      <c r="AG865" s="3" t="s">
        <v>49</v>
      </c>
      <c r="AR865" s="0" t="s">
        <v>50</v>
      </c>
    </row>
    <row r="866" customFormat="false" ht="15" hidden="false" customHeight="false" outlineLevel="0" collapsed="false">
      <c r="A866" s="0" t="n">
        <v>865</v>
      </c>
      <c r="B866" s="0" t="s">
        <v>5865</v>
      </c>
      <c r="C866" s="0" t="s">
        <v>88</v>
      </c>
      <c r="E866" s="0" t="s">
        <v>5866</v>
      </c>
      <c r="H866" s="0" t="s">
        <v>5644</v>
      </c>
      <c r="I866" s="0" t="s">
        <v>115</v>
      </c>
      <c r="J866" s="3" t="s">
        <v>694</v>
      </c>
      <c r="K866" s="0" t="s">
        <v>5645</v>
      </c>
      <c r="L866" s="0" t="s">
        <v>5646</v>
      </c>
      <c r="M866" s="0" t="n">
        <v>1668</v>
      </c>
      <c r="N866" s="0" t="s">
        <v>1362</v>
      </c>
      <c r="O866" s="3" t="s">
        <v>186</v>
      </c>
      <c r="P866" s="0" t="s">
        <v>96</v>
      </c>
      <c r="R866" s="0" t="n">
        <v>62461</v>
      </c>
      <c r="S866" s="0" t="n">
        <v>2025</v>
      </c>
      <c r="T866" s="0" t="s">
        <v>1741</v>
      </c>
      <c r="U866" s="0" t="s">
        <v>115</v>
      </c>
      <c r="V866" s="0" t="n">
        <v>9900</v>
      </c>
      <c r="W866" s="0" t="s">
        <v>5647</v>
      </c>
      <c r="X866" s="0" t="s">
        <v>764</v>
      </c>
      <c r="Y866" s="0" t="s">
        <v>1142</v>
      </c>
      <c r="Z866" s="0" t="s">
        <v>115</v>
      </c>
      <c r="AA866" s="0" t="s">
        <v>75</v>
      </c>
      <c r="AB866" s="0" t="s">
        <v>5648</v>
      </c>
      <c r="AC866" s="0" t="s">
        <v>5649</v>
      </c>
      <c r="AD866" s="0" t="s">
        <v>5650</v>
      </c>
      <c r="AE866" s="0" t="s">
        <v>115</v>
      </c>
      <c r="AF866" s="3" t="s">
        <v>80</v>
      </c>
      <c r="AG866" s="3" t="s">
        <v>81</v>
      </c>
      <c r="AH866" s="0" t="n">
        <v>2026</v>
      </c>
      <c r="AI866" s="0" t="s">
        <v>5867</v>
      </c>
      <c r="AJ866" s="0" t="s">
        <v>5868</v>
      </c>
      <c r="AK866" s="3" t="s">
        <v>5653</v>
      </c>
      <c r="AL866" s="0" t="s">
        <v>5654</v>
      </c>
      <c r="AM866" s="0" t="s">
        <v>5655</v>
      </c>
      <c r="AN866" s="0" t="s">
        <v>5656</v>
      </c>
      <c r="AO866" s="0" t="s">
        <v>5657</v>
      </c>
      <c r="AP866" s="0" t="s">
        <v>5657</v>
      </c>
      <c r="AR866" s="0" t="s">
        <v>5869</v>
      </c>
    </row>
    <row r="867" customFormat="false" ht="15" hidden="false" customHeight="false" outlineLevel="0" collapsed="false">
      <c r="A867" s="0" t="n">
        <v>866</v>
      </c>
      <c r="B867" s="0" t="s">
        <v>5870</v>
      </c>
      <c r="C867" s="0" t="s">
        <v>88</v>
      </c>
      <c r="E867" s="0" t="s">
        <v>5871</v>
      </c>
      <c r="N867" s="3" t="s">
        <v>186</v>
      </c>
      <c r="O867" s="3" t="s">
        <v>186</v>
      </c>
      <c r="P867" s="0" t="s">
        <v>96</v>
      </c>
      <c r="AA867" s="0" t="s">
        <v>47</v>
      </c>
      <c r="AB867" s="0" t="s">
        <v>5872</v>
      </c>
      <c r="AC867" s="0" t="s">
        <v>5873</v>
      </c>
      <c r="AD867" s="0" t="s">
        <v>5874</v>
      </c>
      <c r="AE867" s="0" t="s">
        <v>79</v>
      </c>
      <c r="AF867" s="3" t="s">
        <v>48</v>
      </c>
      <c r="AG867" s="3" t="s">
        <v>49</v>
      </c>
      <c r="AR867" s="0" t="s">
        <v>5871</v>
      </c>
    </row>
    <row r="868" customFormat="false" ht="15" hidden="false" customHeight="false" outlineLevel="0" collapsed="false">
      <c r="A868" s="0" t="n">
        <v>867</v>
      </c>
      <c r="B868" s="0" t="s">
        <v>5875</v>
      </c>
      <c r="C868" s="0" t="s">
        <v>88</v>
      </c>
      <c r="E868" s="0" t="s">
        <v>5876</v>
      </c>
      <c r="H868" s="0" t="s">
        <v>5877</v>
      </c>
      <c r="I868" s="0" t="s">
        <v>154</v>
      </c>
      <c r="N868" s="3" t="s">
        <v>119</v>
      </c>
      <c r="O868" s="3" t="s">
        <v>119</v>
      </c>
      <c r="P868" s="0" t="s">
        <v>96</v>
      </c>
      <c r="AA868" s="0" t="s">
        <v>47</v>
      </c>
      <c r="AB868" s="0" t="s">
        <v>5878</v>
      </c>
      <c r="AC868" s="0" t="s">
        <v>5879</v>
      </c>
      <c r="AD868" s="0" t="s">
        <v>5880</v>
      </c>
      <c r="AE868" s="0" t="s">
        <v>79</v>
      </c>
      <c r="AF868" s="3" t="s">
        <v>48</v>
      </c>
      <c r="AG868" s="3" t="s">
        <v>49</v>
      </c>
      <c r="AL868" s="0" t="s">
        <v>5881</v>
      </c>
      <c r="AO868" s="0" t="s">
        <v>5882</v>
      </c>
      <c r="AP868" s="0" t="s">
        <v>5882</v>
      </c>
      <c r="AR868" s="0" t="s">
        <v>5883</v>
      </c>
    </row>
    <row r="869" customFormat="false" ht="15" hidden="false" customHeight="false" outlineLevel="0" collapsed="false">
      <c r="A869" s="0" t="n">
        <v>868</v>
      </c>
      <c r="B869" s="0" t="s">
        <v>5884</v>
      </c>
      <c r="C869" s="0" t="s">
        <v>88</v>
      </c>
      <c r="E869" s="0" t="s">
        <v>5885</v>
      </c>
      <c r="H869" s="0" t="s">
        <v>5886</v>
      </c>
      <c r="I869" s="0" t="s">
        <v>154</v>
      </c>
      <c r="N869" s="3" t="s">
        <v>186</v>
      </c>
      <c r="O869" s="3" t="s">
        <v>186</v>
      </c>
      <c r="P869" s="0" t="s">
        <v>96</v>
      </c>
      <c r="AA869" s="0" t="s">
        <v>47</v>
      </c>
      <c r="AB869" s="0" t="s">
        <v>5887</v>
      </c>
      <c r="AC869" s="0" t="s">
        <v>5888</v>
      </c>
      <c r="AD869" s="0" t="s">
        <v>5889</v>
      </c>
      <c r="AE869" s="0" t="s">
        <v>79</v>
      </c>
      <c r="AF869" s="3" t="s">
        <v>48</v>
      </c>
      <c r="AG869" s="3" t="s">
        <v>49</v>
      </c>
      <c r="AL869" s="0" t="s">
        <v>5890</v>
      </c>
      <c r="AM869" s="0" t="s">
        <v>5891</v>
      </c>
      <c r="AO869" s="0" t="s">
        <v>5892</v>
      </c>
      <c r="AP869" s="0" t="s">
        <v>5892</v>
      </c>
      <c r="AR869" s="0" t="s">
        <v>5893</v>
      </c>
    </row>
    <row r="870" customFormat="false" ht="15" hidden="false" customHeight="false" outlineLevel="0" collapsed="false">
      <c r="A870" s="0" t="n">
        <v>869</v>
      </c>
      <c r="B870" s="0" t="s">
        <v>5894</v>
      </c>
      <c r="C870" s="0" t="s">
        <v>61</v>
      </c>
      <c r="D870" s="0" t="s">
        <v>5895</v>
      </c>
      <c r="E870" s="0" t="s">
        <v>5896</v>
      </c>
      <c r="H870" s="0" t="s">
        <v>5897</v>
      </c>
      <c r="I870" s="0" t="s">
        <v>154</v>
      </c>
      <c r="N870" s="0" t="s">
        <v>5898</v>
      </c>
      <c r="O870" s="0" t="s">
        <v>5898</v>
      </c>
      <c r="P870" s="0" t="s">
        <v>55</v>
      </c>
      <c r="AA870" s="0" t="s">
        <v>47</v>
      </c>
      <c r="AB870" s="0" t="s">
        <v>5899</v>
      </c>
      <c r="AC870" s="0" t="s">
        <v>5900</v>
      </c>
      <c r="AD870" s="0" t="s">
        <v>5901</v>
      </c>
      <c r="AE870" s="0" t="s">
        <v>79</v>
      </c>
      <c r="AF870" s="3" t="s">
        <v>149</v>
      </c>
      <c r="AG870" s="3" t="s">
        <v>81</v>
      </c>
      <c r="AK870" s="0" t="s">
        <v>5902</v>
      </c>
      <c r="AL870" s="0" t="s">
        <v>5903</v>
      </c>
      <c r="AO870" s="0" t="s">
        <v>5904</v>
      </c>
      <c r="AP870" s="0" t="s">
        <v>5904</v>
      </c>
      <c r="AR870" s="0" t="s">
        <v>5905</v>
      </c>
    </row>
    <row r="871" customFormat="false" ht="15" hidden="false" customHeight="false" outlineLevel="0" collapsed="false">
      <c r="A871" s="0" t="n">
        <v>870</v>
      </c>
      <c r="B871" s="0" t="s">
        <v>5906</v>
      </c>
      <c r="C871" s="0" t="s">
        <v>43</v>
      </c>
      <c r="F871" s="0" t="s">
        <v>44</v>
      </c>
      <c r="H871" s="0" t="s">
        <v>5907</v>
      </c>
      <c r="I871" s="0" t="s">
        <v>46</v>
      </c>
      <c r="AA871" s="0" t="s">
        <v>47</v>
      </c>
      <c r="AF871" s="3" t="s">
        <v>108</v>
      </c>
      <c r="AG871" s="3" t="s">
        <v>49</v>
      </c>
      <c r="AH871" s="0" t="n">
        <v>2026</v>
      </c>
      <c r="AI871" s="0" t="s">
        <v>167</v>
      </c>
      <c r="AJ871" s="0" t="s">
        <v>168</v>
      </c>
      <c r="AR871" s="0" t="s">
        <v>5908</v>
      </c>
    </row>
    <row r="872" customFormat="false" ht="15" hidden="false" customHeight="false" outlineLevel="0" collapsed="false">
      <c r="A872" s="0" t="n">
        <v>871</v>
      </c>
      <c r="B872" s="0" t="s">
        <v>5909</v>
      </c>
      <c r="C872" s="0" t="s">
        <v>43</v>
      </c>
      <c r="F872" s="0" t="s">
        <v>44</v>
      </c>
      <c r="H872" s="0" t="s">
        <v>5910</v>
      </c>
      <c r="I872" s="0" t="s">
        <v>154</v>
      </c>
      <c r="AA872" s="0" t="s">
        <v>47</v>
      </c>
      <c r="AF872" s="3" t="s">
        <v>48</v>
      </c>
      <c r="AG872" s="3" t="s">
        <v>49</v>
      </c>
      <c r="AM872" s="0" t="s">
        <v>5911</v>
      </c>
      <c r="AO872" s="0" t="s">
        <v>5912</v>
      </c>
      <c r="AP872" s="0" t="s">
        <v>5912</v>
      </c>
      <c r="AR872" s="0" t="s">
        <v>5913</v>
      </c>
    </row>
    <row r="873" customFormat="false" ht="15" hidden="false" customHeight="false" outlineLevel="0" collapsed="false">
      <c r="A873" s="0" t="n">
        <v>872</v>
      </c>
      <c r="B873" s="0" t="s">
        <v>5914</v>
      </c>
      <c r="C873" s="0" t="s">
        <v>88</v>
      </c>
      <c r="E873" s="0" t="s">
        <v>5915</v>
      </c>
      <c r="AA873" s="0" t="s">
        <v>47</v>
      </c>
      <c r="AB873" s="0" t="s">
        <v>5916</v>
      </c>
      <c r="AC873" s="0" t="s">
        <v>5917</v>
      </c>
      <c r="AE873" s="0" t="s">
        <v>79</v>
      </c>
      <c r="AF873" s="3" t="s">
        <v>48</v>
      </c>
      <c r="AG873" s="3" t="s">
        <v>49</v>
      </c>
      <c r="AR873" s="0" t="s">
        <v>5915</v>
      </c>
    </row>
    <row r="874" customFormat="false" ht="15" hidden="false" customHeight="false" outlineLevel="0" collapsed="false">
      <c r="A874" s="0" t="n">
        <v>873</v>
      </c>
      <c r="B874" s="0" t="s">
        <v>5918</v>
      </c>
      <c r="C874" s="0" t="s">
        <v>52</v>
      </c>
      <c r="D874" s="0" t="s">
        <v>5919</v>
      </c>
      <c r="N874" s="3" t="s">
        <v>136</v>
      </c>
      <c r="O874" s="3" t="s">
        <v>136</v>
      </c>
      <c r="P874" s="0" t="s">
        <v>55</v>
      </c>
      <c r="AA874" s="0" t="s">
        <v>47</v>
      </c>
      <c r="AB874" s="0" t="s">
        <v>5920</v>
      </c>
      <c r="AC874" s="0" t="s">
        <v>5921</v>
      </c>
      <c r="AD874" s="0" t="s">
        <v>5922</v>
      </c>
      <c r="AE874" s="0" t="s">
        <v>59</v>
      </c>
      <c r="AF874" s="3" t="s">
        <v>48</v>
      </c>
      <c r="AG874" s="3" t="s">
        <v>49</v>
      </c>
      <c r="AR874" s="0" t="s">
        <v>5919</v>
      </c>
    </row>
    <row r="875" customFormat="false" ht="15" hidden="false" customHeight="false" outlineLevel="0" collapsed="false">
      <c r="A875" s="0" t="n">
        <v>874</v>
      </c>
      <c r="B875" s="0" t="s">
        <v>5923</v>
      </c>
      <c r="C875" s="0" t="s">
        <v>88</v>
      </c>
      <c r="E875" s="0" t="s">
        <v>5924</v>
      </c>
      <c r="H875" s="0" t="s">
        <v>5925</v>
      </c>
      <c r="I875" s="0" t="s">
        <v>154</v>
      </c>
      <c r="N875" s="3" t="s">
        <v>95</v>
      </c>
      <c r="O875" s="3" t="s">
        <v>95</v>
      </c>
      <c r="P875" s="0" t="s">
        <v>96</v>
      </c>
      <c r="AA875" s="0" t="s">
        <v>47</v>
      </c>
      <c r="AB875" s="0" t="s">
        <v>5926</v>
      </c>
      <c r="AC875" s="0" t="s">
        <v>5927</v>
      </c>
      <c r="AD875" s="0" t="s">
        <v>5928</v>
      </c>
      <c r="AE875" s="0" t="s">
        <v>79</v>
      </c>
      <c r="AF875" s="3" t="s">
        <v>48</v>
      </c>
      <c r="AG875" s="3" t="s">
        <v>49</v>
      </c>
      <c r="AL875" s="0" t="s">
        <v>5929</v>
      </c>
      <c r="AO875" s="0" t="s">
        <v>5930</v>
      </c>
      <c r="AP875" s="0" t="s">
        <v>5930</v>
      </c>
      <c r="AR875" s="0" t="s">
        <v>5931</v>
      </c>
    </row>
    <row r="876" customFormat="false" ht="15" hidden="false" customHeight="false" outlineLevel="0" collapsed="false">
      <c r="A876" s="0" t="n">
        <v>875</v>
      </c>
      <c r="B876" s="0" t="s">
        <v>5932</v>
      </c>
      <c r="C876" s="0" t="s">
        <v>88</v>
      </c>
      <c r="E876" s="0" t="s">
        <v>5933</v>
      </c>
      <c r="N876" s="3" t="s">
        <v>202</v>
      </c>
      <c r="O876" s="3" t="s">
        <v>202</v>
      </c>
      <c r="P876" s="0" t="s">
        <v>96</v>
      </c>
      <c r="AA876" s="0" t="s">
        <v>47</v>
      </c>
      <c r="AB876" s="0" t="s">
        <v>5934</v>
      </c>
      <c r="AC876" s="0" t="s">
        <v>5935</v>
      </c>
      <c r="AD876" s="0" t="s">
        <v>5936</v>
      </c>
      <c r="AE876" s="0" t="s">
        <v>79</v>
      </c>
      <c r="AF876" s="3" t="s">
        <v>48</v>
      </c>
      <c r="AG876" s="3" t="s">
        <v>49</v>
      </c>
      <c r="AR876" s="0" t="s">
        <v>5933</v>
      </c>
    </row>
    <row r="877" customFormat="false" ht="15" hidden="false" customHeight="false" outlineLevel="0" collapsed="false">
      <c r="A877" s="0" t="n">
        <v>876</v>
      </c>
      <c r="B877" s="0" t="s">
        <v>5937</v>
      </c>
      <c r="C877" s="0" t="s">
        <v>43</v>
      </c>
      <c r="F877" s="0" t="s">
        <v>44</v>
      </c>
      <c r="AA877" s="0" t="s">
        <v>47</v>
      </c>
      <c r="AF877" s="3" t="s">
        <v>48</v>
      </c>
      <c r="AG877" s="3" t="s">
        <v>49</v>
      </c>
      <c r="AR877" s="0" t="s">
        <v>50</v>
      </c>
    </row>
    <row r="878" customFormat="false" ht="15" hidden="false" customHeight="false" outlineLevel="0" collapsed="false">
      <c r="A878" s="0" t="n">
        <v>877</v>
      </c>
      <c r="B878" s="0" t="s">
        <v>5938</v>
      </c>
      <c r="C878" s="0" t="s">
        <v>88</v>
      </c>
      <c r="E878" s="0" t="s">
        <v>5939</v>
      </c>
      <c r="H878" s="0" t="s">
        <v>5940</v>
      </c>
      <c r="I878" s="0" t="s">
        <v>154</v>
      </c>
      <c r="AA878" s="0" t="s">
        <v>47</v>
      </c>
      <c r="AB878" s="0" t="s">
        <v>5941</v>
      </c>
      <c r="AC878" s="0" t="s">
        <v>5942</v>
      </c>
      <c r="AD878" s="0" t="s">
        <v>5943</v>
      </c>
      <c r="AE878" s="0" t="s">
        <v>79</v>
      </c>
      <c r="AF878" s="3" t="s">
        <v>48</v>
      </c>
      <c r="AG878" s="3" t="s">
        <v>49</v>
      </c>
      <c r="AL878" s="0" t="s">
        <v>5944</v>
      </c>
      <c r="AO878" s="0" t="s">
        <v>5945</v>
      </c>
      <c r="AP878" s="0" t="s">
        <v>5945</v>
      </c>
      <c r="AR878" s="0" t="s">
        <v>5946</v>
      </c>
    </row>
    <row r="879" customFormat="false" ht="15" hidden="false" customHeight="false" outlineLevel="0" collapsed="false">
      <c r="A879" s="0" t="n">
        <v>878</v>
      </c>
      <c r="B879" s="0" t="s">
        <v>5947</v>
      </c>
      <c r="C879" s="0" t="s">
        <v>43</v>
      </c>
      <c r="F879" s="0" t="s">
        <v>44</v>
      </c>
      <c r="H879" s="0" t="s">
        <v>5948</v>
      </c>
      <c r="I879" s="0" t="s">
        <v>94</v>
      </c>
      <c r="AA879" s="0" t="s">
        <v>47</v>
      </c>
      <c r="AF879" s="3" t="s">
        <v>48</v>
      </c>
      <c r="AG879" s="3" t="s">
        <v>49</v>
      </c>
      <c r="AM879" s="0" t="s">
        <v>5949</v>
      </c>
      <c r="AP879" s="0" t="s">
        <v>5950</v>
      </c>
      <c r="AR879" s="0" t="s">
        <v>5951</v>
      </c>
    </row>
    <row r="880" customFormat="false" ht="15" hidden="false" customHeight="false" outlineLevel="0" collapsed="false">
      <c r="A880" s="0" t="n">
        <v>879</v>
      </c>
      <c r="B880" s="0" t="s">
        <v>5952</v>
      </c>
      <c r="C880" s="0" t="s">
        <v>52</v>
      </c>
      <c r="D880" s="0" t="s">
        <v>5953</v>
      </c>
      <c r="H880" s="0" t="s">
        <v>5954</v>
      </c>
      <c r="I880" s="0" t="s">
        <v>46</v>
      </c>
      <c r="N880" s="3" t="s">
        <v>69</v>
      </c>
      <c r="O880" s="3" t="s">
        <v>69</v>
      </c>
      <c r="P880" s="0" t="s">
        <v>55</v>
      </c>
      <c r="AA880" s="0" t="s">
        <v>47</v>
      </c>
      <c r="AB880" s="0" t="s">
        <v>5955</v>
      </c>
      <c r="AC880" s="0" t="s">
        <v>5956</v>
      </c>
      <c r="AD880" s="0" t="s">
        <v>5957</v>
      </c>
      <c r="AE880" s="0" t="s">
        <v>59</v>
      </c>
      <c r="AF880" s="3" t="s">
        <v>48</v>
      </c>
      <c r="AG880" s="3" t="s">
        <v>49</v>
      </c>
      <c r="AR880" s="0" t="s">
        <v>5953</v>
      </c>
    </row>
    <row r="881" customFormat="false" ht="15" hidden="false" customHeight="false" outlineLevel="0" collapsed="false">
      <c r="A881" s="0" t="n">
        <v>880</v>
      </c>
      <c r="B881" s="0" t="s">
        <v>5958</v>
      </c>
      <c r="C881" s="0" t="s">
        <v>88</v>
      </c>
      <c r="E881" s="0" t="s">
        <v>5959</v>
      </c>
      <c r="N881" s="3" t="s">
        <v>95</v>
      </c>
      <c r="O881" s="3" t="s">
        <v>95</v>
      </c>
      <c r="P881" s="0" t="s">
        <v>96</v>
      </c>
      <c r="AA881" s="0" t="s">
        <v>47</v>
      </c>
      <c r="AB881" s="0" t="s">
        <v>5960</v>
      </c>
      <c r="AC881" s="0" t="s">
        <v>5961</v>
      </c>
      <c r="AD881" s="0" t="s">
        <v>5962</v>
      </c>
      <c r="AE881" s="0" t="s">
        <v>79</v>
      </c>
      <c r="AF881" s="3" t="s">
        <v>48</v>
      </c>
      <c r="AG881" s="3" t="s">
        <v>49</v>
      </c>
      <c r="AR881" s="0" t="s">
        <v>5959</v>
      </c>
    </row>
    <row r="882" customFormat="false" ht="15" hidden="false" customHeight="false" outlineLevel="0" collapsed="false">
      <c r="A882" s="0" t="n">
        <v>881</v>
      </c>
      <c r="B882" s="0" t="s">
        <v>5963</v>
      </c>
      <c r="C882" s="0" t="s">
        <v>88</v>
      </c>
      <c r="E882" s="0" t="s">
        <v>5964</v>
      </c>
      <c r="H882" s="0" t="s">
        <v>5965</v>
      </c>
      <c r="I882" s="0" t="s">
        <v>154</v>
      </c>
      <c r="N882" s="3" t="s">
        <v>1298</v>
      </c>
      <c r="O882" s="3" t="s">
        <v>1298</v>
      </c>
      <c r="P882" s="0" t="s">
        <v>96</v>
      </c>
      <c r="AA882" s="0" t="s">
        <v>47</v>
      </c>
      <c r="AB882" s="0" t="s">
        <v>3632</v>
      </c>
      <c r="AC882" s="0" t="s">
        <v>5966</v>
      </c>
      <c r="AD882" s="0" t="s">
        <v>3633</v>
      </c>
      <c r="AE882" s="0" t="s">
        <v>79</v>
      </c>
      <c r="AF882" s="3" t="s">
        <v>48</v>
      </c>
      <c r="AG882" s="3" t="s">
        <v>49</v>
      </c>
      <c r="AL882" s="0" t="s">
        <v>5967</v>
      </c>
      <c r="AO882" s="0" t="s">
        <v>5968</v>
      </c>
      <c r="AP882" s="0" t="s">
        <v>5968</v>
      </c>
      <c r="AR882" s="0" t="s">
        <v>5969</v>
      </c>
    </row>
    <row r="883" customFormat="false" ht="15" hidden="false" customHeight="false" outlineLevel="0" collapsed="false">
      <c r="A883" s="0" t="n">
        <v>882</v>
      </c>
      <c r="B883" s="0" t="s">
        <v>5970</v>
      </c>
      <c r="C883" s="0" t="s">
        <v>43</v>
      </c>
      <c r="F883" s="0" t="s">
        <v>44</v>
      </c>
      <c r="H883" s="0" t="s">
        <v>5971</v>
      </c>
      <c r="I883" s="0" t="s">
        <v>154</v>
      </c>
      <c r="AA883" s="0" t="s">
        <v>47</v>
      </c>
      <c r="AF883" s="3" t="s">
        <v>48</v>
      </c>
      <c r="AG883" s="3" t="s">
        <v>49</v>
      </c>
      <c r="AL883" s="0" t="s">
        <v>5972</v>
      </c>
      <c r="AM883" s="0" t="s">
        <v>5973</v>
      </c>
      <c r="AO883" s="0" t="s">
        <v>5974</v>
      </c>
      <c r="AP883" s="0" t="s">
        <v>5974</v>
      </c>
      <c r="AR883" s="0" t="s">
        <v>5975</v>
      </c>
    </row>
    <row r="884" customFormat="false" ht="15" hidden="false" customHeight="false" outlineLevel="0" collapsed="false">
      <c r="A884" s="0" t="n">
        <v>883</v>
      </c>
      <c r="B884" s="0" t="s">
        <v>5976</v>
      </c>
      <c r="C884" s="0" t="s">
        <v>88</v>
      </c>
      <c r="E884" s="0" t="s">
        <v>5977</v>
      </c>
      <c r="H884" s="0" t="s">
        <v>5978</v>
      </c>
      <c r="I884" s="0" t="s">
        <v>154</v>
      </c>
      <c r="AA884" s="0" t="s">
        <v>47</v>
      </c>
      <c r="AF884" s="3" t="s">
        <v>48</v>
      </c>
      <c r="AG884" s="3" t="s">
        <v>49</v>
      </c>
      <c r="AL884" s="0" t="s">
        <v>5979</v>
      </c>
      <c r="AO884" s="0" t="s">
        <v>5980</v>
      </c>
      <c r="AP884" s="0" t="s">
        <v>5980</v>
      </c>
      <c r="AR884" s="0" t="s">
        <v>5981</v>
      </c>
    </row>
    <row r="885" customFormat="false" ht="15" hidden="false" customHeight="false" outlineLevel="0" collapsed="false">
      <c r="A885" s="0" t="n">
        <v>884</v>
      </c>
      <c r="B885" s="0" t="s">
        <v>5982</v>
      </c>
      <c r="C885" s="0" t="s">
        <v>43</v>
      </c>
      <c r="F885" s="0" t="s">
        <v>44</v>
      </c>
      <c r="H885" s="0" t="s">
        <v>5983</v>
      </c>
      <c r="I885" s="0" t="s">
        <v>94</v>
      </c>
      <c r="AA885" s="0" t="s">
        <v>47</v>
      </c>
      <c r="AF885" s="3" t="s">
        <v>48</v>
      </c>
      <c r="AG885" s="3" t="s">
        <v>49</v>
      </c>
      <c r="AL885" s="0" t="s">
        <v>5984</v>
      </c>
      <c r="AP885" s="0" t="s">
        <v>5985</v>
      </c>
      <c r="AR885" s="0" t="s">
        <v>5986</v>
      </c>
    </row>
    <row r="886" customFormat="false" ht="15" hidden="false" customHeight="false" outlineLevel="0" collapsed="false">
      <c r="A886" s="0" t="n">
        <v>885</v>
      </c>
      <c r="B886" s="0" t="s">
        <v>5987</v>
      </c>
      <c r="C886" s="0" t="s">
        <v>244</v>
      </c>
      <c r="E886" s="0" t="s">
        <v>5988</v>
      </c>
      <c r="F886" s="0" t="s">
        <v>44</v>
      </c>
      <c r="H886" s="0" t="s">
        <v>5989</v>
      </c>
      <c r="I886" s="0" t="s">
        <v>46</v>
      </c>
      <c r="N886" s="3" t="s">
        <v>147</v>
      </c>
      <c r="O886" s="3" t="s">
        <v>147</v>
      </c>
      <c r="P886" s="0" t="s">
        <v>96</v>
      </c>
      <c r="AA886" s="0" t="s">
        <v>47</v>
      </c>
      <c r="AB886" s="0" t="s">
        <v>5990</v>
      </c>
      <c r="AC886" s="0" t="s">
        <v>5991</v>
      </c>
      <c r="AD886" s="0" t="s">
        <v>5992</v>
      </c>
      <c r="AE886" s="0" t="s">
        <v>79</v>
      </c>
      <c r="AF886" s="3" t="s">
        <v>108</v>
      </c>
      <c r="AG886" s="3" t="s">
        <v>81</v>
      </c>
      <c r="AH886" s="0" t="n">
        <v>2026</v>
      </c>
      <c r="AI886" s="0" t="s">
        <v>4669</v>
      </c>
      <c r="AJ886" s="0" t="s">
        <v>4670</v>
      </c>
      <c r="AR886" s="0" t="s">
        <v>5993</v>
      </c>
    </row>
    <row r="887" customFormat="false" ht="15" hidden="false" customHeight="false" outlineLevel="0" collapsed="false">
      <c r="A887" s="0" t="n">
        <v>886</v>
      </c>
      <c r="B887" s="0" t="s">
        <v>5994</v>
      </c>
      <c r="C887" s="0" t="s">
        <v>52</v>
      </c>
      <c r="D887" s="0" t="s">
        <v>5995</v>
      </c>
      <c r="N887" s="3" t="s">
        <v>69</v>
      </c>
      <c r="O887" s="3" t="s">
        <v>69</v>
      </c>
      <c r="P887" s="0" t="s">
        <v>55</v>
      </c>
      <c r="AA887" s="0" t="s">
        <v>47</v>
      </c>
      <c r="AB887" s="0" t="s">
        <v>5996</v>
      </c>
      <c r="AC887" s="0" t="s">
        <v>5997</v>
      </c>
      <c r="AD887" s="0" t="s">
        <v>5998</v>
      </c>
      <c r="AE887" s="0" t="s">
        <v>59</v>
      </c>
      <c r="AF887" s="3" t="s">
        <v>48</v>
      </c>
      <c r="AG887" s="3" t="s">
        <v>49</v>
      </c>
      <c r="AR887" s="0" t="s">
        <v>5995</v>
      </c>
    </row>
    <row r="888" customFormat="false" ht="15" hidden="false" customHeight="false" outlineLevel="0" collapsed="false">
      <c r="A888" s="0" t="n">
        <v>887</v>
      </c>
      <c r="B888" s="0" t="s">
        <v>5999</v>
      </c>
      <c r="C888" s="0" t="s">
        <v>88</v>
      </c>
      <c r="E888" s="0" t="s">
        <v>6000</v>
      </c>
      <c r="N888" s="3" t="s">
        <v>95</v>
      </c>
      <c r="O888" s="3" t="s">
        <v>95</v>
      </c>
      <c r="P888" s="0" t="s">
        <v>96</v>
      </c>
      <c r="AA888" s="0" t="s">
        <v>47</v>
      </c>
      <c r="AB888" s="0" t="s">
        <v>6001</v>
      </c>
      <c r="AC888" s="0" t="s">
        <v>6002</v>
      </c>
      <c r="AD888" s="0" t="s">
        <v>6003</v>
      </c>
      <c r="AE888" s="0" t="s">
        <v>79</v>
      </c>
      <c r="AF888" s="3" t="s">
        <v>108</v>
      </c>
      <c r="AG888" s="3" t="s">
        <v>49</v>
      </c>
      <c r="AH888" s="0" t="n">
        <v>2026</v>
      </c>
      <c r="AI888" s="0" t="s">
        <v>6004</v>
      </c>
      <c r="AJ888" s="0" t="s">
        <v>6005</v>
      </c>
      <c r="AR888" s="0" t="s">
        <v>6006</v>
      </c>
    </row>
    <row r="889" customFormat="false" ht="15" hidden="false" customHeight="false" outlineLevel="0" collapsed="false">
      <c r="A889" s="0" t="n">
        <v>888</v>
      </c>
      <c r="B889" s="0" t="s">
        <v>6007</v>
      </c>
      <c r="C889" s="0" t="s">
        <v>244</v>
      </c>
      <c r="E889" s="0" t="s">
        <v>6008</v>
      </c>
      <c r="F889" s="0" t="s">
        <v>44</v>
      </c>
      <c r="N889" s="3" t="s">
        <v>202</v>
      </c>
      <c r="O889" s="3" t="s">
        <v>202</v>
      </c>
      <c r="P889" s="0" t="s">
        <v>96</v>
      </c>
      <c r="AA889" s="0" t="s">
        <v>47</v>
      </c>
      <c r="AB889" s="0" t="s">
        <v>5777</v>
      </c>
      <c r="AC889" s="0" t="s">
        <v>6009</v>
      </c>
      <c r="AD889" s="0" t="s">
        <v>6010</v>
      </c>
      <c r="AE889" s="0" t="s">
        <v>79</v>
      </c>
      <c r="AF889" s="3" t="s">
        <v>108</v>
      </c>
      <c r="AG889" s="3" t="s">
        <v>81</v>
      </c>
      <c r="AI889" s="0" t="s">
        <v>3547</v>
      </c>
      <c r="AJ889" s="0" t="s">
        <v>3548</v>
      </c>
      <c r="AK889" s="0" t="s">
        <v>6011</v>
      </c>
      <c r="AR889" s="0" t="s">
        <v>6012</v>
      </c>
    </row>
    <row r="890" customFormat="false" ht="15" hidden="false" customHeight="false" outlineLevel="0" collapsed="false">
      <c r="A890" s="0" t="n">
        <v>889</v>
      </c>
      <c r="B890" s="0" t="s">
        <v>6013</v>
      </c>
      <c r="C890" s="0" t="s">
        <v>88</v>
      </c>
      <c r="E890" s="0" t="s">
        <v>6014</v>
      </c>
      <c r="H890" s="0" t="s">
        <v>6015</v>
      </c>
      <c r="I890" s="0" t="s">
        <v>46</v>
      </c>
      <c r="AA890" s="0" t="s">
        <v>47</v>
      </c>
      <c r="AF890" s="3" t="s">
        <v>48</v>
      </c>
      <c r="AG890" s="3" t="s">
        <v>49</v>
      </c>
      <c r="AR890" s="0" t="s">
        <v>6014</v>
      </c>
    </row>
    <row r="891" customFormat="false" ht="15" hidden="false" customHeight="false" outlineLevel="0" collapsed="false">
      <c r="A891" s="0" t="n">
        <v>890</v>
      </c>
      <c r="B891" s="0" t="s">
        <v>6016</v>
      </c>
      <c r="C891" s="0" t="s">
        <v>52</v>
      </c>
      <c r="D891" s="0" t="s">
        <v>6017</v>
      </c>
      <c r="N891" s="3" t="s">
        <v>1624</v>
      </c>
      <c r="O891" s="3" t="s">
        <v>1624</v>
      </c>
      <c r="P891" s="0" t="s">
        <v>55</v>
      </c>
      <c r="AA891" s="0" t="s">
        <v>47</v>
      </c>
      <c r="AB891" s="0" t="s">
        <v>6018</v>
      </c>
      <c r="AC891" s="0" t="s">
        <v>6019</v>
      </c>
      <c r="AD891" s="0" t="s">
        <v>6020</v>
      </c>
      <c r="AE891" s="0" t="s">
        <v>59</v>
      </c>
      <c r="AF891" s="3" t="s">
        <v>48</v>
      </c>
      <c r="AG891" s="3" t="s">
        <v>49</v>
      </c>
      <c r="AR891" s="0" t="s">
        <v>6017</v>
      </c>
    </row>
    <row r="892" customFormat="false" ht="15" hidden="false" customHeight="false" outlineLevel="0" collapsed="false">
      <c r="A892" s="0" t="n">
        <v>891</v>
      </c>
      <c r="B892" s="0" t="s">
        <v>6021</v>
      </c>
      <c r="C892" s="0" t="s">
        <v>88</v>
      </c>
      <c r="E892" s="0" t="s">
        <v>6022</v>
      </c>
      <c r="AA892" s="0" t="s">
        <v>47</v>
      </c>
      <c r="AF892" s="3" t="s">
        <v>48</v>
      </c>
      <c r="AG892" s="3" t="s">
        <v>49</v>
      </c>
      <c r="AR892" s="0" t="s">
        <v>6022</v>
      </c>
    </row>
    <row r="893" customFormat="false" ht="15" hidden="false" customHeight="false" outlineLevel="0" collapsed="false">
      <c r="A893" s="0" t="n">
        <v>892</v>
      </c>
      <c r="B893" s="0" t="s">
        <v>6023</v>
      </c>
      <c r="C893" s="0" t="s">
        <v>52</v>
      </c>
      <c r="D893" s="0" t="s">
        <v>6024</v>
      </c>
      <c r="H893" s="0" t="s">
        <v>6025</v>
      </c>
      <c r="I893" s="0" t="s">
        <v>154</v>
      </c>
      <c r="N893" s="3" t="s">
        <v>104</v>
      </c>
      <c r="O893" s="3" t="s">
        <v>104</v>
      </c>
      <c r="P893" s="0" t="s">
        <v>55</v>
      </c>
      <c r="AA893" s="0" t="s">
        <v>47</v>
      </c>
      <c r="AB893" s="0" t="s">
        <v>6026</v>
      </c>
      <c r="AC893" s="0" t="s">
        <v>6027</v>
      </c>
      <c r="AD893" s="0" t="s">
        <v>6028</v>
      </c>
      <c r="AE893" s="0" t="s">
        <v>59</v>
      </c>
      <c r="AF893" s="3" t="s">
        <v>48</v>
      </c>
      <c r="AG893" s="3" t="s">
        <v>49</v>
      </c>
      <c r="AL893" s="0" t="s">
        <v>6029</v>
      </c>
      <c r="AO893" s="0" t="s">
        <v>6030</v>
      </c>
      <c r="AP893" s="0" t="s">
        <v>6030</v>
      </c>
      <c r="AR893" s="0" t="s">
        <v>6031</v>
      </c>
    </row>
    <row r="894" customFormat="false" ht="15" hidden="false" customHeight="false" outlineLevel="0" collapsed="false">
      <c r="A894" s="0" t="n">
        <v>893</v>
      </c>
      <c r="B894" s="0" t="s">
        <v>6032</v>
      </c>
      <c r="C894" s="0" t="s">
        <v>88</v>
      </c>
      <c r="E894" s="0" t="s">
        <v>6033</v>
      </c>
      <c r="AA894" s="0" t="s">
        <v>47</v>
      </c>
      <c r="AF894" s="3" t="s">
        <v>48</v>
      </c>
      <c r="AG894" s="3" t="s">
        <v>49</v>
      </c>
      <c r="AR894" s="0" t="s">
        <v>6033</v>
      </c>
    </row>
    <row r="895" customFormat="false" ht="15" hidden="false" customHeight="false" outlineLevel="0" collapsed="false">
      <c r="A895" s="0" t="n">
        <v>894</v>
      </c>
      <c r="B895" s="0" t="s">
        <v>6034</v>
      </c>
      <c r="C895" s="0" t="s">
        <v>88</v>
      </c>
      <c r="E895" s="0" t="s">
        <v>6035</v>
      </c>
      <c r="N895" s="3" t="s">
        <v>239</v>
      </c>
      <c r="O895" s="3" t="s">
        <v>239</v>
      </c>
      <c r="P895" s="0" t="s">
        <v>96</v>
      </c>
      <c r="AA895" s="0" t="s">
        <v>47</v>
      </c>
      <c r="AB895" s="0" t="s">
        <v>6036</v>
      </c>
      <c r="AC895" s="0" t="s">
        <v>6037</v>
      </c>
      <c r="AD895" s="0" t="s">
        <v>6038</v>
      </c>
      <c r="AE895" s="0" t="s">
        <v>79</v>
      </c>
      <c r="AF895" s="3" t="s">
        <v>48</v>
      </c>
      <c r="AG895" s="3" t="s">
        <v>49</v>
      </c>
      <c r="AR895" s="0" t="s">
        <v>6035</v>
      </c>
    </row>
    <row r="896" customFormat="false" ht="15" hidden="false" customHeight="false" outlineLevel="0" collapsed="false">
      <c r="A896" s="0" t="n">
        <v>895</v>
      </c>
      <c r="B896" s="0" t="s">
        <v>6039</v>
      </c>
      <c r="C896" s="0" t="s">
        <v>145</v>
      </c>
      <c r="F896" s="0" t="s">
        <v>146</v>
      </c>
      <c r="N896" s="3" t="s">
        <v>186</v>
      </c>
      <c r="O896" s="3" t="s">
        <v>186</v>
      </c>
      <c r="P896" s="0" t="s">
        <v>96</v>
      </c>
      <c r="Q896" s="0" t="s">
        <v>6040</v>
      </c>
      <c r="AA896" s="0" t="s">
        <v>47</v>
      </c>
      <c r="AF896" s="3" t="s">
        <v>149</v>
      </c>
      <c r="AG896" s="3" t="s">
        <v>81</v>
      </c>
      <c r="AK896" s="0" t="s">
        <v>6041</v>
      </c>
      <c r="AR896" s="0" t="s">
        <v>151</v>
      </c>
    </row>
    <row r="897" customFormat="false" ht="15" hidden="false" customHeight="false" outlineLevel="0" collapsed="false">
      <c r="A897" s="0" t="n">
        <v>896</v>
      </c>
      <c r="B897" s="0" t="s">
        <v>6042</v>
      </c>
      <c r="C897" s="0" t="s">
        <v>88</v>
      </c>
      <c r="E897" s="0" t="s">
        <v>6043</v>
      </c>
      <c r="H897" s="0" t="s">
        <v>6044</v>
      </c>
      <c r="I897" s="0" t="s">
        <v>154</v>
      </c>
      <c r="N897" s="3" t="s">
        <v>119</v>
      </c>
      <c r="O897" s="3" t="s">
        <v>119</v>
      </c>
      <c r="P897" s="0" t="s">
        <v>96</v>
      </c>
      <c r="AA897" s="0" t="s">
        <v>47</v>
      </c>
      <c r="AB897" s="0" t="s">
        <v>6045</v>
      </c>
      <c r="AC897" s="0" t="s">
        <v>6046</v>
      </c>
      <c r="AD897" s="0" t="s">
        <v>6047</v>
      </c>
      <c r="AE897" s="0" t="s">
        <v>79</v>
      </c>
      <c r="AF897" s="3" t="s">
        <v>48</v>
      </c>
      <c r="AG897" s="3" t="s">
        <v>49</v>
      </c>
      <c r="AL897" s="0" t="s">
        <v>6048</v>
      </c>
      <c r="AM897" s="0" t="s">
        <v>6049</v>
      </c>
      <c r="AO897" s="0" t="s">
        <v>6050</v>
      </c>
      <c r="AP897" s="0" t="s">
        <v>6050</v>
      </c>
      <c r="AR897" s="0" t="s">
        <v>6051</v>
      </c>
    </row>
    <row r="898" customFormat="false" ht="15" hidden="false" customHeight="false" outlineLevel="0" collapsed="false">
      <c r="A898" s="0" t="n">
        <v>897</v>
      </c>
      <c r="B898" s="0" t="s">
        <v>6052</v>
      </c>
      <c r="C898" s="0" t="s">
        <v>244</v>
      </c>
      <c r="E898" s="0" t="s">
        <v>6053</v>
      </c>
      <c r="F898" s="0" t="s">
        <v>44</v>
      </c>
      <c r="H898" s="0" t="s">
        <v>6054</v>
      </c>
      <c r="I898" s="0" t="s">
        <v>154</v>
      </c>
      <c r="N898" s="3" t="s">
        <v>1248</v>
      </c>
      <c r="O898" s="3" t="s">
        <v>1248</v>
      </c>
      <c r="P898" s="0" t="s">
        <v>96</v>
      </c>
      <c r="AA898" s="0" t="s">
        <v>47</v>
      </c>
      <c r="AB898" s="0" t="s">
        <v>6055</v>
      </c>
      <c r="AC898" s="0" t="s">
        <v>6056</v>
      </c>
      <c r="AD898" s="0" t="s">
        <v>6057</v>
      </c>
      <c r="AE898" s="0" t="s">
        <v>79</v>
      </c>
      <c r="AF898" s="3" t="s">
        <v>149</v>
      </c>
      <c r="AG898" s="3" t="s">
        <v>81</v>
      </c>
      <c r="AK898" s="0" t="s">
        <v>6058</v>
      </c>
      <c r="AL898" s="0" t="s">
        <v>6059</v>
      </c>
      <c r="AO898" s="0" t="s">
        <v>6060</v>
      </c>
      <c r="AP898" s="0" t="s">
        <v>6060</v>
      </c>
      <c r="AR898" s="0" t="s">
        <v>6061</v>
      </c>
    </row>
    <row r="899" customFormat="false" ht="15" hidden="false" customHeight="false" outlineLevel="0" collapsed="false">
      <c r="A899" s="0" t="n">
        <v>898</v>
      </c>
      <c r="B899" s="0" t="s">
        <v>6062</v>
      </c>
      <c r="C899" s="0" t="s">
        <v>61</v>
      </c>
      <c r="D899" s="0" t="s">
        <v>6063</v>
      </c>
      <c r="E899" s="0" t="s">
        <v>6064</v>
      </c>
      <c r="H899" s="0" t="s">
        <v>6065</v>
      </c>
      <c r="I899" s="0" t="s">
        <v>115</v>
      </c>
      <c r="J899" s="3" t="s">
        <v>694</v>
      </c>
      <c r="K899" s="0" t="s">
        <v>6066</v>
      </c>
      <c r="M899" s="0" t="n">
        <v>1947</v>
      </c>
      <c r="N899" s="0" t="s">
        <v>1325</v>
      </c>
      <c r="O899" s="3" t="s">
        <v>54</v>
      </c>
      <c r="P899" s="0" t="s">
        <v>55</v>
      </c>
      <c r="R899" s="0" t="n">
        <v>600</v>
      </c>
      <c r="S899" s="0" t="n">
        <v>2026</v>
      </c>
      <c r="T899" s="0" t="s">
        <v>72</v>
      </c>
      <c r="U899" s="0" t="s">
        <v>115</v>
      </c>
      <c r="V899" s="0" t="n">
        <v>72</v>
      </c>
      <c r="W899" s="0" t="s">
        <v>6067</v>
      </c>
      <c r="X899" s="0" t="s">
        <v>6068</v>
      </c>
      <c r="Y899" s="0" t="s">
        <v>72</v>
      </c>
      <c r="Z899" s="0" t="s">
        <v>115</v>
      </c>
      <c r="AA899" s="0" t="s">
        <v>75</v>
      </c>
      <c r="AB899" s="0" t="s">
        <v>6069</v>
      </c>
      <c r="AC899" s="0" t="s">
        <v>6070</v>
      </c>
      <c r="AD899" s="0" t="s">
        <v>6071</v>
      </c>
      <c r="AE899" s="0" t="s">
        <v>115</v>
      </c>
      <c r="AF899" s="3" t="s">
        <v>108</v>
      </c>
      <c r="AG899" s="3" t="s">
        <v>404</v>
      </c>
      <c r="AH899" s="0" t="n">
        <v>2026</v>
      </c>
      <c r="AI899" s="0" t="s">
        <v>6072</v>
      </c>
      <c r="AJ899" s="0" t="s">
        <v>6073</v>
      </c>
      <c r="AK899" s="0" t="s">
        <v>6074</v>
      </c>
      <c r="AL899" s="0" t="s">
        <v>6075</v>
      </c>
      <c r="AM899" s="0" t="s">
        <v>6076</v>
      </c>
      <c r="AN899" s="0" t="s">
        <v>6077</v>
      </c>
      <c r="AO899" s="0" t="s">
        <v>6078</v>
      </c>
      <c r="AP899" s="0" t="s">
        <v>6079</v>
      </c>
      <c r="AR899" s="0" t="s">
        <v>6080</v>
      </c>
    </row>
    <row r="900" customFormat="false" ht="15" hidden="false" customHeight="false" outlineLevel="0" collapsed="false">
      <c r="A900" s="0" t="n">
        <v>899</v>
      </c>
      <c r="B900" s="0" t="s">
        <v>6081</v>
      </c>
      <c r="C900" s="0" t="s">
        <v>52</v>
      </c>
      <c r="D900" s="0" t="s">
        <v>6082</v>
      </c>
      <c r="N900" s="0" t="s">
        <v>6083</v>
      </c>
      <c r="O900" s="0" t="s">
        <v>6083</v>
      </c>
      <c r="P900" s="0" t="s">
        <v>55</v>
      </c>
      <c r="AA900" s="0" t="s">
        <v>47</v>
      </c>
      <c r="AB900" s="0" t="s">
        <v>6084</v>
      </c>
      <c r="AC900" s="0" t="s">
        <v>6085</v>
      </c>
      <c r="AD900" s="0" t="s">
        <v>6086</v>
      </c>
      <c r="AE900" s="0" t="s">
        <v>59</v>
      </c>
      <c r="AF900" s="3" t="s">
        <v>48</v>
      </c>
      <c r="AG900" s="3" t="s">
        <v>49</v>
      </c>
      <c r="AR900" s="0" t="s">
        <v>6082</v>
      </c>
    </row>
    <row r="901" customFormat="false" ht="15" hidden="false" customHeight="false" outlineLevel="0" collapsed="false">
      <c r="A901" s="0" t="n">
        <v>900</v>
      </c>
      <c r="B901" s="0" t="s">
        <v>6087</v>
      </c>
      <c r="C901" s="0" t="s">
        <v>52</v>
      </c>
      <c r="D901" s="0" t="s">
        <v>6088</v>
      </c>
      <c r="H901" s="0" t="s">
        <v>6089</v>
      </c>
      <c r="I901" s="0" t="s">
        <v>115</v>
      </c>
      <c r="J901" s="3" t="s">
        <v>66</v>
      </c>
      <c r="K901" s="0" t="s">
        <v>6090</v>
      </c>
      <c r="M901" s="0" t="n">
        <v>1956</v>
      </c>
      <c r="N901" s="0" t="s">
        <v>398</v>
      </c>
      <c r="O901" s="3" t="s">
        <v>104</v>
      </c>
      <c r="P901" s="0" t="s">
        <v>55</v>
      </c>
      <c r="R901" s="0" t="n">
        <v>125000</v>
      </c>
      <c r="S901" s="0" t="n">
        <v>2025</v>
      </c>
      <c r="T901" s="0" t="s">
        <v>72</v>
      </c>
      <c r="U901" s="0" t="s">
        <v>115</v>
      </c>
      <c r="V901" s="0" t="n">
        <v>44560</v>
      </c>
      <c r="W901" s="0" t="s">
        <v>6091</v>
      </c>
      <c r="X901" s="0" t="s">
        <v>764</v>
      </c>
      <c r="Y901" s="0" t="s">
        <v>72</v>
      </c>
      <c r="Z901" s="0" t="s">
        <v>115</v>
      </c>
      <c r="AA901" s="0" t="s">
        <v>75</v>
      </c>
      <c r="AB901" s="0" t="s">
        <v>6092</v>
      </c>
      <c r="AC901" s="0" t="s">
        <v>6093</v>
      </c>
      <c r="AD901" s="0" t="s">
        <v>6094</v>
      </c>
      <c r="AE901" s="0" t="s">
        <v>115</v>
      </c>
      <c r="AF901" s="3" t="s">
        <v>80</v>
      </c>
      <c r="AG901" s="3" t="s">
        <v>404</v>
      </c>
      <c r="AH901" s="0" t="n">
        <v>2026</v>
      </c>
      <c r="AI901" s="0" t="s">
        <v>6095</v>
      </c>
      <c r="AJ901" s="0" t="s">
        <v>6096</v>
      </c>
      <c r="AK901" s="0" t="s">
        <v>6097</v>
      </c>
      <c r="AL901" s="0" t="s">
        <v>6098</v>
      </c>
      <c r="AN901" s="0" t="s">
        <v>6090</v>
      </c>
      <c r="AO901" s="0" t="s">
        <v>6099</v>
      </c>
      <c r="AP901" s="0" t="s">
        <v>6100</v>
      </c>
      <c r="AR901" s="0" t="s">
        <v>6101</v>
      </c>
    </row>
    <row r="902" customFormat="false" ht="15" hidden="false" customHeight="false" outlineLevel="0" collapsed="false">
      <c r="A902" s="0" t="n">
        <v>901</v>
      </c>
      <c r="B902" s="0" t="s">
        <v>6102</v>
      </c>
      <c r="C902" s="0" t="s">
        <v>43</v>
      </c>
      <c r="F902" s="0" t="s">
        <v>44</v>
      </c>
      <c r="AA902" s="0" t="s">
        <v>47</v>
      </c>
      <c r="AF902" s="3" t="s">
        <v>48</v>
      </c>
      <c r="AG902" s="3" t="s">
        <v>49</v>
      </c>
      <c r="AR902" s="0" t="s">
        <v>50</v>
      </c>
    </row>
    <row r="903" customFormat="false" ht="15" hidden="false" customHeight="false" outlineLevel="0" collapsed="false">
      <c r="A903" s="0" t="n">
        <v>902</v>
      </c>
      <c r="B903" s="0" t="s">
        <v>6103</v>
      </c>
      <c r="C903" s="0" t="s">
        <v>61</v>
      </c>
      <c r="D903" s="0" t="s">
        <v>6104</v>
      </c>
      <c r="E903" s="0" t="s">
        <v>6105</v>
      </c>
      <c r="N903" s="0" t="s">
        <v>6106</v>
      </c>
      <c r="O903" s="0" t="s">
        <v>6106</v>
      </c>
      <c r="P903" s="0" t="s">
        <v>55</v>
      </c>
      <c r="AA903" s="0" t="s">
        <v>47</v>
      </c>
      <c r="AB903" s="0" t="s">
        <v>6107</v>
      </c>
      <c r="AC903" s="0" t="s">
        <v>6108</v>
      </c>
      <c r="AD903" s="0" t="s">
        <v>6109</v>
      </c>
      <c r="AE903" s="0" t="s">
        <v>59</v>
      </c>
      <c r="AF903" s="3" t="s">
        <v>149</v>
      </c>
      <c r="AG903" s="3" t="s">
        <v>81</v>
      </c>
      <c r="AK903" s="0" t="s">
        <v>6110</v>
      </c>
      <c r="AR903" s="0" t="s">
        <v>6111</v>
      </c>
    </row>
    <row r="904" customFormat="false" ht="15" hidden="false" customHeight="false" outlineLevel="0" collapsed="false">
      <c r="A904" s="0" t="n">
        <v>903</v>
      </c>
      <c r="B904" s="0" t="s">
        <v>6112</v>
      </c>
      <c r="C904" s="0" t="s">
        <v>88</v>
      </c>
      <c r="E904" s="0" t="s">
        <v>6113</v>
      </c>
      <c r="H904" s="0" t="s">
        <v>6114</v>
      </c>
      <c r="I904" s="0" t="s">
        <v>154</v>
      </c>
      <c r="AA904" s="0" t="s">
        <v>47</v>
      </c>
      <c r="AB904" s="0" t="s">
        <v>6115</v>
      </c>
      <c r="AC904" s="0" t="s">
        <v>6116</v>
      </c>
      <c r="AD904" s="0" t="s">
        <v>6117</v>
      </c>
      <c r="AE904" s="0" t="s">
        <v>79</v>
      </c>
      <c r="AF904" s="3" t="s">
        <v>48</v>
      </c>
      <c r="AG904" s="3" t="s">
        <v>49</v>
      </c>
      <c r="AL904" s="0" t="s">
        <v>6118</v>
      </c>
      <c r="AO904" s="0" t="s">
        <v>6119</v>
      </c>
      <c r="AP904" s="0" t="s">
        <v>6119</v>
      </c>
      <c r="AR904" s="0" t="s">
        <v>6120</v>
      </c>
    </row>
    <row r="905" customFormat="false" ht="15" hidden="false" customHeight="false" outlineLevel="0" collapsed="false">
      <c r="A905" s="0" t="n">
        <v>904</v>
      </c>
      <c r="B905" s="0" t="s">
        <v>6121</v>
      </c>
      <c r="C905" s="0" t="s">
        <v>88</v>
      </c>
      <c r="E905" s="0" t="s">
        <v>6122</v>
      </c>
      <c r="N905" s="3" t="s">
        <v>95</v>
      </c>
      <c r="O905" s="3" t="s">
        <v>95</v>
      </c>
      <c r="P905" s="0" t="s">
        <v>96</v>
      </c>
      <c r="AA905" s="0" t="s">
        <v>47</v>
      </c>
      <c r="AB905" s="0" t="s">
        <v>6123</v>
      </c>
      <c r="AC905" s="0" t="s">
        <v>6124</v>
      </c>
      <c r="AD905" s="0" t="s">
        <v>6125</v>
      </c>
      <c r="AE905" s="0" t="s">
        <v>79</v>
      </c>
      <c r="AF905" s="3" t="s">
        <v>48</v>
      </c>
      <c r="AG905" s="3" t="s">
        <v>49</v>
      </c>
      <c r="AR905" s="0" t="s">
        <v>6122</v>
      </c>
    </row>
    <row r="906" customFormat="false" ht="15" hidden="false" customHeight="false" outlineLevel="0" collapsed="false">
      <c r="A906" s="0" t="n">
        <v>905</v>
      </c>
      <c r="B906" s="0" t="s">
        <v>6126</v>
      </c>
      <c r="C906" s="0" t="s">
        <v>52</v>
      </c>
      <c r="D906" s="0" t="s">
        <v>6127</v>
      </c>
      <c r="H906" s="0" t="s">
        <v>6128</v>
      </c>
      <c r="I906" s="0" t="s">
        <v>94</v>
      </c>
      <c r="N906" s="0" t="s">
        <v>2980</v>
      </c>
      <c r="O906" s="0" t="s">
        <v>2980</v>
      </c>
      <c r="P906" s="0" t="s">
        <v>55</v>
      </c>
      <c r="AA906" s="0" t="s">
        <v>47</v>
      </c>
      <c r="AB906" s="0" t="s">
        <v>6129</v>
      </c>
      <c r="AC906" s="0" t="s">
        <v>6130</v>
      </c>
      <c r="AD906" s="0" t="s">
        <v>6131</v>
      </c>
      <c r="AE906" s="0" t="s">
        <v>59</v>
      </c>
      <c r="AF906" s="3" t="s">
        <v>48</v>
      </c>
      <c r="AG906" s="3" t="s">
        <v>49</v>
      </c>
      <c r="AL906" s="0" t="s">
        <v>6132</v>
      </c>
      <c r="AO906" s="0" t="s">
        <v>6133</v>
      </c>
      <c r="AP906" s="0" t="s">
        <v>6133</v>
      </c>
      <c r="AR906" s="0" t="s">
        <v>6134</v>
      </c>
    </row>
    <row r="907" customFormat="false" ht="15" hidden="false" customHeight="false" outlineLevel="0" collapsed="false">
      <c r="A907" s="0" t="n">
        <v>906</v>
      </c>
      <c r="B907" s="0" t="s">
        <v>6135</v>
      </c>
      <c r="C907" s="0" t="s">
        <v>43</v>
      </c>
      <c r="F907" s="0" t="s">
        <v>44</v>
      </c>
      <c r="H907" s="0" t="s">
        <v>6136</v>
      </c>
      <c r="I907" s="0" t="s">
        <v>154</v>
      </c>
      <c r="AA907" s="0" t="s">
        <v>47</v>
      </c>
      <c r="AF907" s="3" t="s">
        <v>48</v>
      </c>
      <c r="AG907" s="3" t="s">
        <v>49</v>
      </c>
      <c r="AL907" s="0" t="s">
        <v>6137</v>
      </c>
      <c r="AO907" s="0" t="s">
        <v>6138</v>
      </c>
      <c r="AP907" s="0" t="s">
        <v>6138</v>
      </c>
      <c r="AR907" s="0" t="s">
        <v>6139</v>
      </c>
    </row>
    <row r="908" customFormat="false" ht="15" hidden="false" customHeight="false" outlineLevel="0" collapsed="false">
      <c r="A908" s="0" t="n">
        <v>907</v>
      </c>
      <c r="B908" s="0" t="s">
        <v>6140</v>
      </c>
      <c r="C908" s="0" t="s">
        <v>88</v>
      </c>
      <c r="E908" s="0" t="s">
        <v>6141</v>
      </c>
      <c r="H908" s="0" t="s">
        <v>6142</v>
      </c>
      <c r="I908" s="0" t="s">
        <v>154</v>
      </c>
      <c r="AA908" s="0" t="s">
        <v>47</v>
      </c>
      <c r="AF908" s="3" t="s">
        <v>48</v>
      </c>
      <c r="AG908" s="3" t="s">
        <v>49</v>
      </c>
      <c r="AL908" s="0" t="s">
        <v>6143</v>
      </c>
      <c r="AO908" s="0" t="s">
        <v>6144</v>
      </c>
      <c r="AP908" s="0" t="s">
        <v>6144</v>
      </c>
      <c r="AR908" s="0" t="s">
        <v>6145</v>
      </c>
    </row>
    <row r="909" customFormat="false" ht="15" hidden="false" customHeight="false" outlineLevel="0" collapsed="false">
      <c r="A909" s="0" t="n">
        <v>908</v>
      </c>
      <c r="B909" s="0" t="s">
        <v>6146</v>
      </c>
      <c r="C909" s="0" t="s">
        <v>88</v>
      </c>
      <c r="E909" s="0" t="s">
        <v>6147</v>
      </c>
      <c r="N909" s="3" t="s">
        <v>1298</v>
      </c>
      <c r="O909" s="3" t="s">
        <v>1298</v>
      </c>
      <c r="P909" s="0" t="s">
        <v>96</v>
      </c>
      <c r="AA909" s="0" t="s">
        <v>47</v>
      </c>
      <c r="AB909" s="0" t="s">
        <v>6148</v>
      </c>
      <c r="AC909" s="0" t="s">
        <v>6149</v>
      </c>
      <c r="AD909" s="0" t="s">
        <v>6150</v>
      </c>
      <c r="AE909" s="0" t="s">
        <v>79</v>
      </c>
      <c r="AF909" s="3" t="s">
        <v>48</v>
      </c>
      <c r="AG909" s="3" t="s">
        <v>49</v>
      </c>
      <c r="AR909" s="0" t="s">
        <v>6147</v>
      </c>
    </row>
    <row r="910" customFormat="false" ht="15" hidden="false" customHeight="false" outlineLevel="0" collapsed="false">
      <c r="A910" s="0" t="n">
        <v>909</v>
      </c>
      <c r="B910" s="0" t="s">
        <v>6151</v>
      </c>
      <c r="C910" s="0" t="s">
        <v>88</v>
      </c>
      <c r="E910" s="0" t="s">
        <v>6152</v>
      </c>
      <c r="H910" s="0" t="s">
        <v>6153</v>
      </c>
      <c r="I910" s="0" t="s">
        <v>46</v>
      </c>
      <c r="N910" s="3" t="s">
        <v>1298</v>
      </c>
      <c r="O910" s="3" t="s">
        <v>1298</v>
      </c>
      <c r="P910" s="0" t="s">
        <v>96</v>
      </c>
      <c r="AA910" s="0" t="s">
        <v>47</v>
      </c>
      <c r="AB910" s="0" t="s">
        <v>6154</v>
      </c>
      <c r="AC910" s="0" t="s">
        <v>6155</v>
      </c>
      <c r="AD910" s="0" t="s">
        <v>6156</v>
      </c>
      <c r="AE910" s="0" t="s">
        <v>79</v>
      </c>
      <c r="AF910" s="3" t="s">
        <v>48</v>
      </c>
      <c r="AG910" s="3" t="s">
        <v>49</v>
      </c>
      <c r="AR910" s="0" t="s">
        <v>6152</v>
      </c>
    </row>
    <row r="911" customFormat="false" ht="15" hidden="false" customHeight="false" outlineLevel="0" collapsed="false">
      <c r="A911" s="0" t="n">
        <v>910</v>
      </c>
      <c r="B911" s="0" t="s">
        <v>6157</v>
      </c>
      <c r="C911" s="0" t="s">
        <v>244</v>
      </c>
      <c r="E911" s="0" t="s">
        <v>6158</v>
      </c>
      <c r="F911" s="0" t="s">
        <v>44</v>
      </c>
      <c r="N911" s="3" t="s">
        <v>202</v>
      </c>
      <c r="O911" s="3" t="s">
        <v>202</v>
      </c>
      <c r="P911" s="0" t="s">
        <v>96</v>
      </c>
      <c r="AA911" s="0" t="s">
        <v>47</v>
      </c>
      <c r="AB911" s="0" t="s">
        <v>6159</v>
      </c>
      <c r="AC911" s="0" t="s">
        <v>6160</v>
      </c>
      <c r="AD911" s="0" t="s">
        <v>6161</v>
      </c>
      <c r="AE911" s="0" t="s">
        <v>79</v>
      </c>
      <c r="AF911" s="3" t="s">
        <v>149</v>
      </c>
      <c r="AG911" s="3" t="s">
        <v>81</v>
      </c>
      <c r="AK911" s="0" t="s">
        <v>6162</v>
      </c>
      <c r="AR911" s="0" t="s">
        <v>6163</v>
      </c>
    </row>
    <row r="912" customFormat="false" ht="15" hidden="false" customHeight="false" outlineLevel="0" collapsed="false">
      <c r="A912" s="0" t="n">
        <v>911</v>
      </c>
      <c r="B912" s="0" t="s">
        <v>6164</v>
      </c>
      <c r="C912" s="0" t="s">
        <v>43</v>
      </c>
      <c r="F912" s="0" t="s">
        <v>44</v>
      </c>
      <c r="H912" s="0" t="s">
        <v>6165</v>
      </c>
      <c r="I912" s="0" t="s">
        <v>46</v>
      </c>
      <c r="AA912" s="0" t="s">
        <v>47</v>
      </c>
      <c r="AF912" s="3" t="s">
        <v>48</v>
      </c>
      <c r="AG912" s="3" t="s">
        <v>49</v>
      </c>
      <c r="AR912" s="0" t="s">
        <v>50</v>
      </c>
    </row>
    <row r="913" customFormat="false" ht="15" hidden="false" customHeight="false" outlineLevel="0" collapsed="false">
      <c r="A913" s="0" t="n">
        <v>912</v>
      </c>
      <c r="B913" s="0" t="s">
        <v>6166</v>
      </c>
      <c r="C913" s="0" t="s">
        <v>43</v>
      </c>
      <c r="F913" s="0" t="s">
        <v>44</v>
      </c>
      <c r="H913" s="0" t="s">
        <v>6167</v>
      </c>
      <c r="I913" s="0" t="s">
        <v>154</v>
      </c>
      <c r="AA913" s="0" t="s">
        <v>47</v>
      </c>
      <c r="AF913" s="3" t="s">
        <v>48</v>
      </c>
      <c r="AG913" s="3" t="s">
        <v>49</v>
      </c>
      <c r="AL913" s="0" t="s">
        <v>6168</v>
      </c>
      <c r="AO913" s="0" t="s">
        <v>6169</v>
      </c>
      <c r="AP913" s="0" t="s">
        <v>6169</v>
      </c>
      <c r="AR913" s="0" t="s">
        <v>6170</v>
      </c>
    </row>
    <row r="914" customFormat="false" ht="15" hidden="false" customHeight="false" outlineLevel="0" collapsed="false">
      <c r="A914" s="0" t="n">
        <v>913</v>
      </c>
      <c r="B914" s="0" t="s">
        <v>6171</v>
      </c>
      <c r="C914" s="0" t="s">
        <v>244</v>
      </c>
      <c r="E914" s="0" t="s">
        <v>6172</v>
      </c>
      <c r="F914" s="0" t="s">
        <v>44</v>
      </c>
      <c r="H914" s="0" t="s">
        <v>6173</v>
      </c>
      <c r="I914" s="0" t="s">
        <v>154</v>
      </c>
      <c r="N914" s="3" t="s">
        <v>226</v>
      </c>
      <c r="O914" s="3" t="s">
        <v>226</v>
      </c>
      <c r="P914" s="0" t="s">
        <v>96</v>
      </c>
      <c r="AA914" s="0" t="s">
        <v>47</v>
      </c>
      <c r="AB914" s="0" t="s">
        <v>6174</v>
      </c>
      <c r="AC914" s="0" t="s">
        <v>6175</v>
      </c>
      <c r="AD914" s="0" t="s">
        <v>6176</v>
      </c>
      <c r="AE914" s="0" t="s">
        <v>79</v>
      </c>
      <c r="AF914" s="3" t="s">
        <v>48</v>
      </c>
      <c r="AG914" s="3" t="s">
        <v>49</v>
      </c>
      <c r="AL914" s="0" t="s">
        <v>6177</v>
      </c>
      <c r="AM914" s="0" t="s">
        <v>6178</v>
      </c>
      <c r="AO914" s="0" t="s">
        <v>6179</v>
      </c>
      <c r="AP914" s="0" t="s">
        <v>6179</v>
      </c>
      <c r="AR914" s="0" t="s">
        <v>6180</v>
      </c>
    </row>
    <row r="915" customFormat="false" ht="15" hidden="false" customHeight="false" outlineLevel="0" collapsed="false">
      <c r="A915" s="0" t="n">
        <v>914</v>
      </c>
      <c r="B915" s="0" t="s">
        <v>6181</v>
      </c>
      <c r="C915" s="0" t="s">
        <v>88</v>
      </c>
      <c r="E915" s="0" t="s">
        <v>6182</v>
      </c>
      <c r="N915" s="3" t="s">
        <v>213</v>
      </c>
      <c r="O915" s="3" t="s">
        <v>213</v>
      </c>
      <c r="P915" s="0" t="s">
        <v>96</v>
      </c>
      <c r="AA915" s="0" t="s">
        <v>47</v>
      </c>
      <c r="AB915" s="0" t="s">
        <v>6183</v>
      </c>
      <c r="AC915" s="0" t="s">
        <v>6184</v>
      </c>
      <c r="AD915" s="0" t="s">
        <v>6185</v>
      </c>
      <c r="AE915" s="0" t="s">
        <v>79</v>
      </c>
      <c r="AF915" s="3" t="s">
        <v>48</v>
      </c>
      <c r="AG915" s="3" t="s">
        <v>49</v>
      </c>
      <c r="AR915" s="0" t="s">
        <v>6182</v>
      </c>
    </row>
    <row r="916" customFormat="false" ht="15" hidden="false" customHeight="false" outlineLevel="0" collapsed="false">
      <c r="A916" s="0" t="n">
        <v>915</v>
      </c>
      <c r="B916" s="0" t="s">
        <v>6186</v>
      </c>
      <c r="C916" s="0" t="s">
        <v>43</v>
      </c>
      <c r="F916" s="0" t="s">
        <v>44</v>
      </c>
      <c r="H916" s="0" t="s">
        <v>6187</v>
      </c>
      <c r="I916" s="0" t="s">
        <v>115</v>
      </c>
      <c r="J916" s="3" t="s">
        <v>66</v>
      </c>
      <c r="K916" s="0" t="s">
        <v>6188</v>
      </c>
      <c r="M916" s="0" t="n">
        <v>1974</v>
      </c>
      <c r="N916" s="0" t="s">
        <v>1362</v>
      </c>
      <c r="O916" s="3" t="s">
        <v>186</v>
      </c>
      <c r="P916" s="0" t="s">
        <v>96</v>
      </c>
      <c r="R916" s="0" t="n">
        <v>1000</v>
      </c>
      <c r="S916" s="0" t="n">
        <v>2024</v>
      </c>
      <c r="T916" s="0" t="s">
        <v>698</v>
      </c>
      <c r="U916" s="0" t="s">
        <v>115</v>
      </c>
      <c r="V916" s="0" t="n">
        <v>500</v>
      </c>
      <c r="W916" s="0" t="s">
        <v>6189</v>
      </c>
      <c r="X916" s="0" t="s">
        <v>700</v>
      </c>
      <c r="Y916" s="0" t="s">
        <v>698</v>
      </c>
      <c r="Z916" s="0" t="s">
        <v>115</v>
      </c>
      <c r="AA916" s="0" t="s">
        <v>698</v>
      </c>
      <c r="AB916" s="0" t="s">
        <v>6190</v>
      </c>
      <c r="AC916" s="0" t="s">
        <v>6191</v>
      </c>
      <c r="AD916" s="0" t="s">
        <v>6192</v>
      </c>
      <c r="AE916" s="0" t="s">
        <v>115</v>
      </c>
      <c r="AF916" s="3" t="s">
        <v>108</v>
      </c>
      <c r="AG916" s="3" t="s">
        <v>404</v>
      </c>
      <c r="AH916" s="0" t="n">
        <v>2026</v>
      </c>
      <c r="AI916" s="0" t="s">
        <v>921</v>
      </c>
      <c r="AJ916" s="0" t="s">
        <v>922</v>
      </c>
      <c r="AK916" s="0" t="s">
        <v>6193</v>
      </c>
      <c r="AL916" s="0" t="s">
        <v>6194</v>
      </c>
      <c r="AM916" s="0" t="s">
        <v>6195</v>
      </c>
      <c r="AN916" s="0" t="s">
        <v>6196</v>
      </c>
      <c r="AO916" s="0" t="s">
        <v>6197</v>
      </c>
      <c r="AP916" s="0" t="s">
        <v>6197</v>
      </c>
      <c r="AR916" s="0" t="s">
        <v>6198</v>
      </c>
    </row>
    <row r="917" customFormat="false" ht="15" hidden="false" customHeight="false" outlineLevel="0" collapsed="false">
      <c r="A917" s="0" t="n">
        <v>916</v>
      </c>
      <c r="B917" s="0" t="s">
        <v>6199</v>
      </c>
      <c r="C917" s="0" t="s">
        <v>88</v>
      </c>
      <c r="E917" s="0" t="s">
        <v>6200</v>
      </c>
      <c r="H917" s="0" t="s">
        <v>6201</v>
      </c>
      <c r="I917" s="0" t="s">
        <v>94</v>
      </c>
      <c r="N917" s="3" t="s">
        <v>147</v>
      </c>
      <c r="O917" s="3" t="s">
        <v>147</v>
      </c>
      <c r="P917" s="0" t="s">
        <v>96</v>
      </c>
      <c r="AA917" s="0" t="s">
        <v>47</v>
      </c>
      <c r="AB917" s="0" t="s">
        <v>6202</v>
      </c>
      <c r="AC917" s="0" t="s">
        <v>6203</v>
      </c>
      <c r="AD917" s="0" t="s">
        <v>6204</v>
      </c>
      <c r="AE917" s="0" t="s">
        <v>79</v>
      </c>
      <c r="AF917" s="3" t="s">
        <v>48</v>
      </c>
      <c r="AG917" s="3" t="s">
        <v>49</v>
      </c>
      <c r="AP917" s="0" t="s">
        <v>6205</v>
      </c>
      <c r="AR917" s="0" t="s">
        <v>6206</v>
      </c>
    </row>
    <row r="918" customFormat="false" ht="15" hidden="false" customHeight="false" outlineLevel="0" collapsed="false">
      <c r="A918" s="0" t="n">
        <v>917</v>
      </c>
      <c r="B918" s="0" t="s">
        <v>6207</v>
      </c>
      <c r="C918" s="0" t="s">
        <v>88</v>
      </c>
      <c r="E918" s="0" t="s">
        <v>6208</v>
      </c>
      <c r="H918" s="0" t="s">
        <v>6209</v>
      </c>
      <c r="I918" s="0" t="s">
        <v>154</v>
      </c>
      <c r="AA918" s="0" t="s">
        <v>47</v>
      </c>
      <c r="AB918" s="0" t="s">
        <v>6210</v>
      </c>
      <c r="AC918" s="0" t="s">
        <v>6211</v>
      </c>
      <c r="AD918" s="0" t="s">
        <v>6212</v>
      </c>
      <c r="AE918" s="0" t="s">
        <v>79</v>
      </c>
      <c r="AF918" s="3" t="s">
        <v>48</v>
      </c>
      <c r="AG918" s="3" t="s">
        <v>49</v>
      </c>
      <c r="AL918" s="0" t="s">
        <v>6213</v>
      </c>
      <c r="AM918" s="0" t="s">
        <v>6214</v>
      </c>
      <c r="AO918" s="0" t="s">
        <v>6215</v>
      </c>
      <c r="AP918" s="0" t="s">
        <v>6215</v>
      </c>
      <c r="AR918" s="0" t="s">
        <v>6216</v>
      </c>
    </row>
    <row r="919" customFormat="false" ht="15" hidden="false" customHeight="false" outlineLevel="0" collapsed="false">
      <c r="A919" s="0" t="n">
        <v>918</v>
      </c>
      <c r="B919" s="0" t="s">
        <v>6217</v>
      </c>
      <c r="C919" s="0" t="s">
        <v>43</v>
      </c>
      <c r="F919" s="0" t="s">
        <v>44</v>
      </c>
      <c r="H919" s="0" t="s">
        <v>6218</v>
      </c>
      <c r="I919" s="0" t="s">
        <v>154</v>
      </c>
      <c r="AA919" s="0" t="s">
        <v>47</v>
      </c>
      <c r="AF919" s="3" t="s">
        <v>48</v>
      </c>
      <c r="AG919" s="3" t="s">
        <v>49</v>
      </c>
      <c r="AL919" s="0" t="s">
        <v>6219</v>
      </c>
      <c r="AM919" s="0" t="s">
        <v>6220</v>
      </c>
      <c r="AO919" s="0" t="s">
        <v>6221</v>
      </c>
      <c r="AP919" s="0" t="s">
        <v>6221</v>
      </c>
      <c r="AR919" s="0" t="s">
        <v>6222</v>
      </c>
    </row>
    <row r="920" customFormat="false" ht="15" hidden="false" customHeight="false" outlineLevel="0" collapsed="false">
      <c r="A920" s="0" t="n">
        <v>919</v>
      </c>
      <c r="B920" s="0" t="s">
        <v>6223</v>
      </c>
      <c r="C920" s="0" t="s">
        <v>88</v>
      </c>
      <c r="E920" s="0" t="s">
        <v>6224</v>
      </c>
      <c r="H920" s="0" t="s">
        <v>6225</v>
      </c>
      <c r="I920" s="0" t="s">
        <v>154</v>
      </c>
      <c r="AA920" s="0" t="s">
        <v>47</v>
      </c>
      <c r="AB920" s="0" t="s">
        <v>6226</v>
      </c>
      <c r="AC920" s="0" t="s">
        <v>6227</v>
      </c>
      <c r="AD920" s="0" t="s">
        <v>6228</v>
      </c>
      <c r="AE920" s="0" t="s">
        <v>79</v>
      </c>
      <c r="AF920" s="3" t="s">
        <v>48</v>
      </c>
      <c r="AG920" s="3" t="s">
        <v>49</v>
      </c>
      <c r="AL920" s="0" t="s">
        <v>6229</v>
      </c>
      <c r="AM920" s="0" t="s">
        <v>6230</v>
      </c>
      <c r="AO920" s="0" t="s">
        <v>6231</v>
      </c>
      <c r="AP920" s="0" t="s">
        <v>6231</v>
      </c>
      <c r="AR920" s="0" t="s">
        <v>6232</v>
      </c>
    </row>
    <row r="921" customFormat="false" ht="15" hidden="false" customHeight="false" outlineLevel="0" collapsed="false">
      <c r="A921" s="0" t="n">
        <v>920</v>
      </c>
      <c r="B921" s="0" t="s">
        <v>6233</v>
      </c>
      <c r="C921" s="0" t="s">
        <v>88</v>
      </c>
      <c r="E921" s="0" t="s">
        <v>6234</v>
      </c>
      <c r="N921" s="3" t="s">
        <v>95</v>
      </c>
      <c r="O921" s="3" t="s">
        <v>95</v>
      </c>
      <c r="P921" s="0" t="s">
        <v>96</v>
      </c>
      <c r="AA921" s="0" t="s">
        <v>47</v>
      </c>
      <c r="AB921" s="0" t="s">
        <v>6235</v>
      </c>
      <c r="AC921" s="0" t="s">
        <v>6236</v>
      </c>
      <c r="AE921" s="0" t="s">
        <v>79</v>
      </c>
      <c r="AF921" s="3" t="s">
        <v>48</v>
      </c>
      <c r="AG921" s="3" t="s">
        <v>49</v>
      </c>
      <c r="AR921" s="0" t="s">
        <v>6234</v>
      </c>
    </row>
    <row r="922" customFormat="false" ht="15" hidden="false" customHeight="false" outlineLevel="0" collapsed="false">
      <c r="A922" s="0" t="n">
        <v>921</v>
      </c>
      <c r="B922" s="0" t="s">
        <v>6237</v>
      </c>
      <c r="C922" s="0" t="s">
        <v>52</v>
      </c>
      <c r="D922" s="0" t="s">
        <v>6238</v>
      </c>
      <c r="N922" s="3" t="s">
        <v>104</v>
      </c>
      <c r="O922" s="3" t="s">
        <v>104</v>
      </c>
      <c r="P922" s="0" t="s">
        <v>55</v>
      </c>
      <c r="AA922" s="0" t="s">
        <v>47</v>
      </c>
      <c r="AB922" s="0" t="s">
        <v>6239</v>
      </c>
      <c r="AC922" s="0" t="s">
        <v>6240</v>
      </c>
      <c r="AD922" s="0" t="s">
        <v>6241</v>
      </c>
      <c r="AE922" s="0" t="s">
        <v>59</v>
      </c>
      <c r="AF922" s="3" t="s">
        <v>108</v>
      </c>
      <c r="AG922" s="3" t="s">
        <v>49</v>
      </c>
      <c r="AH922" s="0" t="n">
        <v>2026</v>
      </c>
      <c r="AI922" s="0" t="s">
        <v>921</v>
      </c>
      <c r="AJ922" s="0" t="s">
        <v>922</v>
      </c>
      <c r="AR922" s="0" t="s">
        <v>6242</v>
      </c>
    </row>
    <row r="923" customFormat="false" ht="15" hidden="false" customHeight="false" outlineLevel="0" collapsed="false">
      <c r="A923" s="0" t="n">
        <v>922</v>
      </c>
      <c r="B923" s="0" t="s">
        <v>6243</v>
      </c>
      <c r="C923" s="0" t="s">
        <v>43</v>
      </c>
      <c r="F923" s="0" t="s">
        <v>44</v>
      </c>
      <c r="AA923" s="0" t="s">
        <v>47</v>
      </c>
      <c r="AF923" s="3" t="s">
        <v>48</v>
      </c>
      <c r="AG923" s="3" t="s">
        <v>49</v>
      </c>
      <c r="AR923" s="0" t="s">
        <v>50</v>
      </c>
    </row>
    <row r="924" customFormat="false" ht="15" hidden="false" customHeight="false" outlineLevel="0" collapsed="false">
      <c r="A924" s="0" t="n">
        <v>923</v>
      </c>
      <c r="B924" s="0" t="s">
        <v>6244</v>
      </c>
      <c r="C924" s="0" t="s">
        <v>52</v>
      </c>
      <c r="D924" s="0" t="s">
        <v>6245</v>
      </c>
      <c r="H924" s="0" t="s">
        <v>6246</v>
      </c>
      <c r="I924" s="0" t="s">
        <v>154</v>
      </c>
      <c r="N924" s="0" t="s">
        <v>6247</v>
      </c>
      <c r="O924" s="0" t="s">
        <v>6247</v>
      </c>
      <c r="P924" s="0" t="s">
        <v>55</v>
      </c>
      <c r="AA924" s="0" t="s">
        <v>47</v>
      </c>
      <c r="AB924" s="0" t="s">
        <v>6248</v>
      </c>
      <c r="AC924" s="0" t="s">
        <v>6249</v>
      </c>
      <c r="AD924" s="0" t="s">
        <v>6250</v>
      </c>
      <c r="AE924" s="0" t="s">
        <v>59</v>
      </c>
      <c r="AF924" s="3" t="s">
        <v>48</v>
      </c>
      <c r="AG924" s="3" t="s">
        <v>49</v>
      </c>
      <c r="AL924" s="0" t="s">
        <v>6251</v>
      </c>
      <c r="AO924" s="0" t="s">
        <v>6252</v>
      </c>
      <c r="AP924" s="0" t="s">
        <v>6252</v>
      </c>
      <c r="AR924" s="0" t="s">
        <v>6253</v>
      </c>
    </row>
    <row r="925" customFormat="false" ht="15" hidden="false" customHeight="false" outlineLevel="0" collapsed="false">
      <c r="A925" s="0" t="n">
        <v>924</v>
      </c>
      <c r="B925" s="0" t="s">
        <v>6254</v>
      </c>
      <c r="C925" s="0" t="s">
        <v>52</v>
      </c>
      <c r="D925" s="0" t="s">
        <v>6255</v>
      </c>
      <c r="H925" s="0" t="s">
        <v>6256</v>
      </c>
      <c r="I925" s="0" t="s">
        <v>115</v>
      </c>
      <c r="J925" s="3" t="s">
        <v>116</v>
      </c>
      <c r="K925" s="0" t="s">
        <v>6257</v>
      </c>
      <c r="L925" s="0" t="s">
        <v>6258</v>
      </c>
      <c r="M925" s="0" t="n">
        <v>1917</v>
      </c>
      <c r="N925" s="0" t="s">
        <v>5152</v>
      </c>
      <c r="O925" s="0" t="s">
        <v>6259</v>
      </c>
      <c r="P925" s="0" t="s">
        <v>55</v>
      </c>
      <c r="R925" s="0" t="n">
        <v>19928</v>
      </c>
      <c r="S925" s="0" t="n">
        <v>2026</v>
      </c>
      <c r="T925" s="0" t="s">
        <v>1741</v>
      </c>
      <c r="U925" s="0" t="s">
        <v>115</v>
      </c>
      <c r="V925" s="0" t="n">
        <v>750</v>
      </c>
      <c r="W925" s="0" t="s">
        <v>6260</v>
      </c>
      <c r="X925" s="0" t="s">
        <v>4726</v>
      </c>
      <c r="Y925" s="0" t="s">
        <v>1142</v>
      </c>
      <c r="Z925" s="0" t="s">
        <v>115</v>
      </c>
      <c r="AA925" s="0" t="s">
        <v>75</v>
      </c>
      <c r="AB925" s="0" t="s">
        <v>6261</v>
      </c>
      <c r="AC925" s="0" t="s">
        <v>6262</v>
      </c>
      <c r="AD925" s="0" t="s">
        <v>6263</v>
      </c>
      <c r="AE925" s="0" t="s">
        <v>115</v>
      </c>
      <c r="AF925" s="3" t="s">
        <v>108</v>
      </c>
      <c r="AG925" s="3" t="s">
        <v>404</v>
      </c>
      <c r="AH925" s="0" t="n">
        <v>2026</v>
      </c>
      <c r="AI925" s="0" t="s">
        <v>6264</v>
      </c>
      <c r="AJ925" s="0" t="s">
        <v>6265</v>
      </c>
      <c r="AK925" s="0" t="s">
        <v>6266</v>
      </c>
      <c r="AL925" s="0" t="s">
        <v>6267</v>
      </c>
      <c r="AM925" s="0" t="s">
        <v>6268</v>
      </c>
      <c r="AN925" s="0" t="s">
        <v>6269</v>
      </c>
      <c r="AO925" s="0" t="s">
        <v>6270</v>
      </c>
      <c r="AP925" s="0" t="s">
        <v>6271</v>
      </c>
      <c r="AR925" s="0" t="s">
        <v>6272</v>
      </c>
    </row>
    <row r="926" customFormat="false" ht="15" hidden="false" customHeight="false" outlineLevel="0" collapsed="false">
      <c r="A926" s="0" t="n">
        <v>925</v>
      </c>
      <c r="B926" s="0" t="s">
        <v>6273</v>
      </c>
      <c r="C926" s="0" t="s">
        <v>88</v>
      </c>
      <c r="E926" s="0" t="s">
        <v>6274</v>
      </c>
      <c r="N926" s="3" t="s">
        <v>186</v>
      </c>
      <c r="O926" s="3" t="s">
        <v>186</v>
      </c>
      <c r="P926" s="0" t="s">
        <v>96</v>
      </c>
      <c r="AA926" s="0" t="s">
        <v>47</v>
      </c>
      <c r="AB926" s="0" t="s">
        <v>6275</v>
      </c>
      <c r="AC926" s="0" t="s">
        <v>6276</v>
      </c>
      <c r="AD926" s="0" t="s">
        <v>6277</v>
      </c>
      <c r="AE926" s="0" t="s">
        <v>79</v>
      </c>
      <c r="AF926" s="3" t="s">
        <v>48</v>
      </c>
      <c r="AG926" s="3" t="s">
        <v>49</v>
      </c>
      <c r="AR926" s="0" t="s">
        <v>6274</v>
      </c>
    </row>
    <row r="927" customFormat="false" ht="15" hidden="false" customHeight="false" outlineLevel="0" collapsed="false">
      <c r="A927" s="0" t="n">
        <v>926</v>
      </c>
      <c r="B927" s="0" t="s">
        <v>6278</v>
      </c>
      <c r="C927" s="0" t="s">
        <v>52</v>
      </c>
      <c r="D927" s="0" t="s">
        <v>6279</v>
      </c>
      <c r="N927" s="3" t="s">
        <v>1568</v>
      </c>
      <c r="O927" s="3" t="s">
        <v>1568</v>
      </c>
      <c r="P927" s="0" t="s">
        <v>55</v>
      </c>
      <c r="AA927" s="0" t="s">
        <v>47</v>
      </c>
      <c r="AB927" s="0" t="s">
        <v>6280</v>
      </c>
      <c r="AC927" s="0" t="s">
        <v>6281</v>
      </c>
      <c r="AD927" s="0" t="s">
        <v>6282</v>
      </c>
      <c r="AE927" s="0" t="s">
        <v>59</v>
      </c>
      <c r="AF927" s="3" t="s">
        <v>48</v>
      </c>
      <c r="AG927" s="3" t="s">
        <v>49</v>
      </c>
      <c r="AR927" s="0" t="s">
        <v>6279</v>
      </c>
    </row>
    <row r="928" customFormat="false" ht="15" hidden="false" customHeight="false" outlineLevel="0" collapsed="false">
      <c r="A928" s="0" t="n">
        <v>927</v>
      </c>
      <c r="B928" s="0" t="s">
        <v>6283</v>
      </c>
      <c r="C928" s="0" t="s">
        <v>88</v>
      </c>
      <c r="E928" s="0" t="s">
        <v>6284</v>
      </c>
      <c r="H928" s="0" t="s">
        <v>6285</v>
      </c>
      <c r="I928" s="0" t="s">
        <v>154</v>
      </c>
      <c r="N928" s="3" t="s">
        <v>186</v>
      </c>
      <c r="O928" s="3" t="s">
        <v>186</v>
      </c>
      <c r="P928" s="0" t="s">
        <v>96</v>
      </c>
      <c r="AA928" s="0" t="s">
        <v>47</v>
      </c>
      <c r="AB928" s="0" t="s">
        <v>6286</v>
      </c>
      <c r="AC928" s="0" t="s">
        <v>6287</v>
      </c>
      <c r="AD928" s="0" t="s">
        <v>6288</v>
      </c>
      <c r="AE928" s="0" t="s">
        <v>79</v>
      </c>
      <c r="AF928" s="3" t="s">
        <v>48</v>
      </c>
      <c r="AG928" s="3" t="s">
        <v>49</v>
      </c>
      <c r="AL928" s="0" t="s">
        <v>6289</v>
      </c>
      <c r="AM928" s="0" t="s">
        <v>6290</v>
      </c>
      <c r="AO928" s="0" t="s">
        <v>6291</v>
      </c>
      <c r="AP928" s="0" t="s">
        <v>6291</v>
      </c>
      <c r="AR928" s="0" t="s">
        <v>6292</v>
      </c>
    </row>
    <row r="929" customFormat="false" ht="15" hidden="false" customHeight="false" outlineLevel="0" collapsed="false">
      <c r="A929" s="0" t="n">
        <v>928</v>
      </c>
      <c r="B929" s="0" t="s">
        <v>6293</v>
      </c>
      <c r="C929" s="0" t="s">
        <v>88</v>
      </c>
      <c r="E929" s="0" t="s">
        <v>6294</v>
      </c>
      <c r="H929" s="0" t="s">
        <v>6295</v>
      </c>
      <c r="I929" s="0" t="s">
        <v>154</v>
      </c>
      <c r="AA929" s="0" t="s">
        <v>47</v>
      </c>
      <c r="AF929" s="3" t="s">
        <v>48</v>
      </c>
      <c r="AG929" s="3" t="s">
        <v>49</v>
      </c>
      <c r="AL929" s="0" t="s">
        <v>6296</v>
      </c>
      <c r="AM929" s="0" t="s">
        <v>6297</v>
      </c>
      <c r="AO929" s="0" t="s">
        <v>6298</v>
      </c>
      <c r="AP929" s="0" t="s">
        <v>6298</v>
      </c>
      <c r="AR929" s="0" t="s">
        <v>6299</v>
      </c>
    </row>
    <row r="930" customFormat="false" ht="15" hidden="false" customHeight="false" outlineLevel="0" collapsed="false">
      <c r="A930" s="0" t="n">
        <v>929</v>
      </c>
      <c r="B930" s="0" t="s">
        <v>6300</v>
      </c>
      <c r="C930" s="0" t="s">
        <v>88</v>
      </c>
      <c r="E930" s="0" t="s">
        <v>6301</v>
      </c>
      <c r="N930" s="3" t="s">
        <v>95</v>
      </c>
      <c r="O930" s="3" t="s">
        <v>95</v>
      </c>
      <c r="P930" s="0" t="s">
        <v>96</v>
      </c>
      <c r="AA930" s="0" t="s">
        <v>47</v>
      </c>
      <c r="AB930" s="0" t="s">
        <v>6302</v>
      </c>
      <c r="AC930" s="0" t="s">
        <v>6303</v>
      </c>
      <c r="AD930" s="0" t="s">
        <v>6304</v>
      </c>
      <c r="AE930" s="0" t="s">
        <v>79</v>
      </c>
      <c r="AF930" s="3" t="s">
        <v>48</v>
      </c>
      <c r="AG930" s="3" t="s">
        <v>49</v>
      </c>
      <c r="AR930" s="0" t="s">
        <v>6301</v>
      </c>
    </row>
    <row r="931" customFormat="false" ht="15" hidden="false" customHeight="false" outlineLevel="0" collapsed="false">
      <c r="A931" s="0" t="n">
        <v>930</v>
      </c>
      <c r="B931" s="0" t="s">
        <v>6305</v>
      </c>
      <c r="C931" s="0" t="s">
        <v>88</v>
      </c>
      <c r="E931" s="0" t="s">
        <v>6306</v>
      </c>
      <c r="N931" s="3" t="s">
        <v>95</v>
      </c>
      <c r="O931" s="3" t="s">
        <v>95</v>
      </c>
      <c r="P931" s="0" t="s">
        <v>96</v>
      </c>
      <c r="AA931" s="0" t="s">
        <v>47</v>
      </c>
      <c r="AB931" s="0" t="s">
        <v>6307</v>
      </c>
      <c r="AC931" s="0" t="s">
        <v>6308</v>
      </c>
      <c r="AD931" s="0" t="s">
        <v>6309</v>
      </c>
      <c r="AE931" s="0" t="s">
        <v>79</v>
      </c>
      <c r="AF931" s="3" t="s">
        <v>48</v>
      </c>
      <c r="AG931" s="3" t="s">
        <v>49</v>
      </c>
      <c r="AR931" s="0" t="s">
        <v>6306</v>
      </c>
    </row>
    <row r="932" customFormat="false" ht="15" hidden="false" customHeight="false" outlineLevel="0" collapsed="false">
      <c r="A932" s="0" t="n">
        <v>931</v>
      </c>
      <c r="B932" s="0" t="s">
        <v>6310</v>
      </c>
      <c r="C932" s="0" t="s">
        <v>88</v>
      </c>
      <c r="E932" s="0" t="s">
        <v>6311</v>
      </c>
      <c r="N932" s="3" t="s">
        <v>119</v>
      </c>
      <c r="O932" s="3" t="s">
        <v>119</v>
      </c>
      <c r="P932" s="0" t="s">
        <v>96</v>
      </c>
      <c r="AA932" s="0" t="s">
        <v>47</v>
      </c>
      <c r="AB932" s="0" t="s">
        <v>6312</v>
      </c>
      <c r="AC932" s="0" t="s">
        <v>6313</v>
      </c>
      <c r="AD932" s="0" t="s">
        <v>6314</v>
      </c>
      <c r="AE932" s="0" t="s">
        <v>79</v>
      </c>
      <c r="AF932" s="3" t="s">
        <v>108</v>
      </c>
      <c r="AG932" s="3" t="s">
        <v>49</v>
      </c>
      <c r="AH932" s="0" t="n">
        <v>2026</v>
      </c>
      <c r="AI932" s="0" t="s">
        <v>6315</v>
      </c>
      <c r="AJ932" s="0" t="s">
        <v>6316</v>
      </c>
      <c r="AR932" s="0" t="s">
        <v>6317</v>
      </c>
    </row>
    <row r="933" customFormat="false" ht="15" hidden="false" customHeight="false" outlineLevel="0" collapsed="false">
      <c r="A933" s="0" t="n">
        <v>932</v>
      </c>
      <c r="B933" s="0" t="s">
        <v>6318</v>
      </c>
      <c r="C933" s="0" t="s">
        <v>88</v>
      </c>
      <c r="E933" s="0" t="s">
        <v>6319</v>
      </c>
      <c r="N933" s="3" t="s">
        <v>186</v>
      </c>
      <c r="O933" s="3" t="s">
        <v>186</v>
      </c>
      <c r="P933" s="0" t="s">
        <v>96</v>
      </c>
      <c r="AA933" s="0" t="s">
        <v>47</v>
      </c>
      <c r="AB933" s="0" t="s">
        <v>6320</v>
      </c>
      <c r="AC933" s="0" t="s">
        <v>6321</v>
      </c>
      <c r="AD933" s="0" t="s">
        <v>6322</v>
      </c>
      <c r="AE933" s="0" t="s">
        <v>79</v>
      </c>
      <c r="AF933" s="3" t="s">
        <v>48</v>
      </c>
      <c r="AG933" s="3" t="s">
        <v>49</v>
      </c>
      <c r="AR933" s="0" t="s">
        <v>6319</v>
      </c>
    </row>
    <row r="934" customFormat="false" ht="15" hidden="false" customHeight="false" outlineLevel="0" collapsed="false">
      <c r="A934" s="0" t="n">
        <v>933</v>
      </c>
      <c r="B934" s="0" t="s">
        <v>6323</v>
      </c>
      <c r="C934" s="0" t="s">
        <v>88</v>
      </c>
      <c r="E934" s="0" t="s">
        <v>6324</v>
      </c>
      <c r="N934" s="3" t="s">
        <v>95</v>
      </c>
      <c r="O934" s="3" t="s">
        <v>95</v>
      </c>
      <c r="P934" s="0" t="s">
        <v>96</v>
      </c>
      <c r="AA934" s="0" t="s">
        <v>47</v>
      </c>
      <c r="AB934" s="0" t="s">
        <v>6325</v>
      </c>
      <c r="AC934" s="0" t="s">
        <v>6326</v>
      </c>
      <c r="AE934" s="0" t="s">
        <v>79</v>
      </c>
      <c r="AF934" s="3" t="s">
        <v>48</v>
      </c>
      <c r="AG934" s="3" t="s">
        <v>49</v>
      </c>
      <c r="AR934" s="0" t="s">
        <v>6324</v>
      </c>
    </row>
    <row r="935" customFormat="false" ht="15" hidden="false" customHeight="false" outlineLevel="0" collapsed="false">
      <c r="A935" s="0" t="n">
        <v>934</v>
      </c>
      <c r="B935" s="0" t="s">
        <v>6327</v>
      </c>
      <c r="C935" s="0" t="s">
        <v>43</v>
      </c>
      <c r="F935" s="0" t="s">
        <v>44</v>
      </c>
      <c r="H935" s="0" t="s">
        <v>6328</v>
      </c>
      <c r="I935" s="0" t="s">
        <v>154</v>
      </c>
      <c r="AA935" s="0" t="s">
        <v>47</v>
      </c>
      <c r="AF935" s="3" t="s">
        <v>108</v>
      </c>
      <c r="AG935" s="3" t="s">
        <v>49</v>
      </c>
      <c r="AH935" s="0" t="n">
        <v>2026</v>
      </c>
      <c r="AI935" s="0" t="s">
        <v>829</v>
      </c>
      <c r="AJ935" s="0" t="s">
        <v>830</v>
      </c>
      <c r="AL935" s="0" t="s">
        <v>6329</v>
      </c>
      <c r="AM935" s="0" t="s">
        <v>6330</v>
      </c>
      <c r="AO935" s="0" t="s">
        <v>6331</v>
      </c>
      <c r="AP935" s="0" t="s">
        <v>6331</v>
      </c>
      <c r="AR935" s="0" t="s">
        <v>6332</v>
      </c>
    </row>
    <row r="936" customFormat="false" ht="15" hidden="false" customHeight="false" outlineLevel="0" collapsed="false">
      <c r="A936" s="0" t="n">
        <v>935</v>
      </c>
      <c r="B936" s="0" t="s">
        <v>6333</v>
      </c>
      <c r="C936" s="0" t="s">
        <v>43</v>
      </c>
      <c r="F936" s="0" t="s">
        <v>44</v>
      </c>
      <c r="H936" s="0" t="s">
        <v>6334</v>
      </c>
      <c r="I936" s="0" t="s">
        <v>115</v>
      </c>
      <c r="J936" s="3" t="s">
        <v>66</v>
      </c>
      <c r="K936" s="0" t="s">
        <v>6335</v>
      </c>
      <c r="M936" s="0" t="n">
        <v>1976</v>
      </c>
      <c r="N936" s="0" t="s">
        <v>1362</v>
      </c>
      <c r="O936" s="3" t="s">
        <v>186</v>
      </c>
      <c r="P936" s="0" t="s">
        <v>96</v>
      </c>
      <c r="R936" s="0" t="n">
        <v>3100</v>
      </c>
      <c r="S936" s="0" t="n">
        <v>2025</v>
      </c>
      <c r="T936" s="0" t="s">
        <v>72</v>
      </c>
      <c r="U936" s="0" t="s">
        <v>115</v>
      </c>
      <c r="V936" s="0" t="n">
        <v>1220</v>
      </c>
      <c r="W936" s="0" t="s">
        <v>6336</v>
      </c>
      <c r="X936" s="0" t="s">
        <v>6337</v>
      </c>
      <c r="Y936" s="0" t="s">
        <v>72</v>
      </c>
      <c r="Z936" s="0" t="s">
        <v>115</v>
      </c>
      <c r="AA936" s="0" t="s">
        <v>75</v>
      </c>
      <c r="AB936" s="0" t="s">
        <v>6338</v>
      </c>
      <c r="AC936" s="0" t="s">
        <v>6339</v>
      </c>
      <c r="AD936" s="0" t="s">
        <v>6340</v>
      </c>
      <c r="AE936" s="0" t="s">
        <v>115</v>
      </c>
      <c r="AF936" s="3" t="s">
        <v>108</v>
      </c>
      <c r="AG936" s="3" t="s">
        <v>81</v>
      </c>
      <c r="AH936" s="0" t="n">
        <v>2026</v>
      </c>
      <c r="AI936" s="0" t="s">
        <v>6341</v>
      </c>
      <c r="AJ936" s="0" t="s">
        <v>6342</v>
      </c>
      <c r="AK936" s="3" t="s">
        <v>6343</v>
      </c>
      <c r="AL936" s="0" t="s">
        <v>6344</v>
      </c>
      <c r="AM936" s="0" t="s">
        <v>6345</v>
      </c>
      <c r="AN936" s="0" t="s">
        <v>6346</v>
      </c>
      <c r="AO936" s="0" t="s">
        <v>6347</v>
      </c>
      <c r="AP936" s="0" t="s">
        <v>6347</v>
      </c>
      <c r="AR936" s="0" t="s">
        <v>6348</v>
      </c>
    </row>
    <row r="937" customFormat="false" ht="15" hidden="false" customHeight="false" outlineLevel="0" collapsed="false">
      <c r="A937" s="0" t="n">
        <v>936</v>
      </c>
      <c r="B937" s="0" t="s">
        <v>6349</v>
      </c>
      <c r="C937" s="0" t="s">
        <v>88</v>
      </c>
      <c r="E937" s="0" t="s">
        <v>6350</v>
      </c>
      <c r="N937" s="3" t="s">
        <v>186</v>
      </c>
      <c r="O937" s="3" t="s">
        <v>186</v>
      </c>
      <c r="P937" s="0" t="s">
        <v>96</v>
      </c>
      <c r="AA937" s="0" t="s">
        <v>47</v>
      </c>
      <c r="AB937" s="0" t="s">
        <v>6351</v>
      </c>
      <c r="AC937" s="0" t="s">
        <v>6352</v>
      </c>
      <c r="AD937" s="0" t="s">
        <v>6353</v>
      </c>
      <c r="AE937" s="0" t="s">
        <v>79</v>
      </c>
      <c r="AF937" s="3" t="s">
        <v>48</v>
      </c>
      <c r="AG937" s="3" t="s">
        <v>49</v>
      </c>
      <c r="AR937" s="0" t="s">
        <v>6350</v>
      </c>
    </row>
    <row r="938" customFormat="false" ht="15" hidden="false" customHeight="false" outlineLevel="0" collapsed="false">
      <c r="A938" s="0" t="n">
        <v>937</v>
      </c>
      <c r="B938" s="0" t="s">
        <v>6354</v>
      </c>
      <c r="C938" s="0" t="s">
        <v>88</v>
      </c>
      <c r="E938" s="0" t="s">
        <v>6355</v>
      </c>
      <c r="H938" s="0" t="s">
        <v>6356</v>
      </c>
      <c r="I938" s="0" t="s">
        <v>154</v>
      </c>
      <c r="N938" s="3" t="s">
        <v>1298</v>
      </c>
      <c r="O938" s="3" t="s">
        <v>1298</v>
      </c>
      <c r="P938" s="0" t="s">
        <v>96</v>
      </c>
      <c r="AA938" s="0" t="s">
        <v>47</v>
      </c>
      <c r="AB938" s="0" t="s">
        <v>6357</v>
      </c>
      <c r="AC938" s="0" t="s">
        <v>6358</v>
      </c>
      <c r="AD938" s="0" t="s">
        <v>6359</v>
      </c>
      <c r="AE938" s="0" t="s">
        <v>79</v>
      </c>
      <c r="AF938" s="3" t="s">
        <v>48</v>
      </c>
      <c r="AG938" s="3" t="s">
        <v>49</v>
      </c>
      <c r="AL938" s="0" t="s">
        <v>6360</v>
      </c>
      <c r="AO938" s="0" t="s">
        <v>6361</v>
      </c>
      <c r="AP938" s="0" t="s">
        <v>6361</v>
      </c>
      <c r="AR938" s="0" t="s">
        <v>6362</v>
      </c>
    </row>
    <row r="939" customFormat="false" ht="15" hidden="false" customHeight="false" outlineLevel="0" collapsed="false">
      <c r="A939" s="0" t="n">
        <v>938</v>
      </c>
      <c r="B939" s="0" t="s">
        <v>6363</v>
      </c>
      <c r="C939" s="0" t="s">
        <v>43</v>
      </c>
      <c r="F939" s="0" t="s">
        <v>44</v>
      </c>
      <c r="H939" s="0" t="s">
        <v>6364</v>
      </c>
      <c r="I939" s="0" t="s">
        <v>154</v>
      </c>
      <c r="AA939" s="0" t="s">
        <v>47</v>
      </c>
      <c r="AF939" s="3" t="s">
        <v>108</v>
      </c>
      <c r="AG939" s="3" t="s">
        <v>49</v>
      </c>
      <c r="AH939" s="0" t="n">
        <v>2026</v>
      </c>
      <c r="AI939" s="0" t="s">
        <v>155</v>
      </c>
      <c r="AJ939" s="0" t="s">
        <v>156</v>
      </c>
      <c r="AL939" s="0" t="s">
        <v>6365</v>
      </c>
      <c r="AM939" s="0" t="s">
        <v>6366</v>
      </c>
      <c r="AO939" s="0" t="s">
        <v>6367</v>
      </c>
      <c r="AP939" s="0" t="s">
        <v>6367</v>
      </c>
      <c r="AR939" s="0" t="s">
        <v>6368</v>
      </c>
    </row>
    <row r="940" customFormat="false" ht="15" hidden="false" customHeight="false" outlineLevel="0" collapsed="false">
      <c r="A940" s="0" t="n">
        <v>939</v>
      </c>
      <c r="B940" s="0" t="s">
        <v>6369</v>
      </c>
      <c r="C940" s="0" t="s">
        <v>43</v>
      </c>
      <c r="F940" s="0" t="s">
        <v>44</v>
      </c>
      <c r="H940" s="0" t="s">
        <v>6370</v>
      </c>
      <c r="I940" s="0" t="s">
        <v>154</v>
      </c>
      <c r="AA940" s="0" t="s">
        <v>47</v>
      </c>
      <c r="AF940" s="3" t="s">
        <v>108</v>
      </c>
      <c r="AG940" s="3" t="s">
        <v>49</v>
      </c>
      <c r="AH940" s="0" t="n">
        <v>2026</v>
      </c>
      <c r="AI940" s="0" t="s">
        <v>109</v>
      </c>
      <c r="AJ940" s="0" t="s">
        <v>110</v>
      </c>
      <c r="AL940" s="0" t="s">
        <v>6371</v>
      </c>
      <c r="AM940" s="0" t="s">
        <v>6372</v>
      </c>
      <c r="AO940" s="0" t="s">
        <v>6373</v>
      </c>
      <c r="AP940" s="0" t="s">
        <v>6373</v>
      </c>
      <c r="AR940" s="0" t="s">
        <v>6374</v>
      </c>
    </row>
    <row r="941" customFormat="false" ht="15" hidden="false" customHeight="false" outlineLevel="0" collapsed="false">
      <c r="A941" s="0" t="n">
        <v>940</v>
      </c>
      <c r="B941" s="0" t="s">
        <v>6375</v>
      </c>
      <c r="C941" s="0" t="s">
        <v>88</v>
      </c>
      <c r="E941" s="0" t="s">
        <v>6376</v>
      </c>
      <c r="AA941" s="0" t="s">
        <v>47</v>
      </c>
      <c r="AF941" s="3" t="s">
        <v>48</v>
      </c>
      <c r="AG941" s="3" t="s">
        <v>49</v>
      </c>
      <c r="AR941" s="0" t="s">
        <v>6376</v>
      </c>
    </row>
    <row r="942" customFormat="false" ht="15" hidden="false" customHeight="false" outlineLevel="0" collapsed="false">
      <c r="A942" s="0" t="n">
        <v>941</v>
      </c>
      <c r="B942" s="0" t="s">
        <v>6377</v>
      </c>
      <c r="C942" s="0" t="s">
        <v>88</v>
      </c>
      <c r="E942" s="0" t="s">
        <v>6378</v>
      </c>
      <c r="N942" s="3" t="s">
        <v>202</v>
      </c>
      <c r="O942" s="3" t="s">
        <v>202</v>
      </c>
      <c r="P942" s="0" t="s">
        <v>96</v>
      </c>
      <c r="AA942" s="0" t="s">
        <v>47</v>
      </c>
      <c r="AB942" s="0" t="s">
        <v>6379</v>
      </c>
      <c r="AC942" s="0" t="s">
        <v>6380</v>
      </c>
      <c r="AD942" s="0" t="s">
        <v>6381</v>
      </c>
      <c r="AE942" s="0" t="s">
        <v>79</v>
      </c>
      <c r="AF942" s="3" t="s">
        <v>48</v>
      </c>
      <c r="AG942" s="3" t="s">
        <v>49</v>
      </c>
      <c r="AR942" s="0" t="s">
        <v>6378</v>
      </c>
    </row>
    <row r="943" customFormat="false" ht="15" hidden="false" customHeight="false" outlineLevel="0" collapsed="false">
      <c r="A943" s="0" t="n">
        <v>942</v>
      </c>
      <c r="B943" s="0" t="s">
        <v>6382</v>
      </c>
      <c r="C943" s="0" t="s">
        <v>88</v>
      </c>
      <c r="E943" s="0" t="s">
        <v>6383</v>
      </c>
      <c r="H943" s="0" t="s">
        <v>2311</v>
      </c>
      <c r="I943" s="0" t="s">
        <v>115</v>
      </c>
      <c r="J943" s="3" t="s">
        <v>66</v>
      </c>
      <c r="K943" s="0" t="s">
        <v>2312</v>
      </c>
      <c r="L943" s="0" t="s">
        <v>2313</v>
      </c>
      <c r="M943" s="0" t="n">
        <v>1955</v>
      </c>
      <c r="N943" s="0" t="s">
        <v>986</v>
      </c>
      <c r="O943" s="3" t="s">
        <v>119</v>
      </c>
      <c r="P943" s="0" t="s">
        <v>96</v>
      </c>
      <c r="R943" s="0" t="n">
        <v>2000</v>
      </c>
      <c r="S943" s="0" t="n">
        <v>2024</v>
      </c>
      <c r="T943" s="0" t="s">
        <v>698</v>
      </c>
      <c r="U943" s="0" t="s">
        <v>115</v>
      </c>
      <c r="V943" s="0" t="n">
        <v>400</v>
      </c>
      <c r="W943" s="0" t="s">
        <v>2315</v>
      </c>
      <c r="X943" s="0" t="s">
        <v>2316</v>
      </c>
      <c r="Y943" s="0" t="s">
        <v>698</v>
      </c>
      <c r="Z943" s="0" t="s">
        <v>115</v>
      </c>
      <c r="AA943" s="0" t="s">
        <v>698</v>
      </c>
      <c r="AB943" s="0" t="s">
        <v>2317</v>
      </c>
      <c r="AC943" s="0" t="s">
        <v>2318</v>
      </c>
      <c r="AD943" s="0" t="s">
        <v>2319</v>
      </c>
      <c r="AE943" s="0" t="s">
        <v>115</v>
      </c>
      <c r="AF943" s="3" t="s">
        <v>108</v>
      </c>
      <c r="AG943" s="3" t="s">
        <v>404</v>
      </c>
      <c r="AH943" s="0" t="n">
        <v>2026</v>
      </c>
      <c r="AI943" s="0" t="s">
        <v>6384</v>
      </c>
      <c r="AJ943" s="0" t="s">
        <v>6385</v>
      </c>
      <c r="AK943" s="0" t="s">
        <v>2322</v>
      </c>
      <c r="AL943" s="0" t="s">
        <v>2323</v>
      </c>
      <c r="AM943" s="0" t="s">
        <v>2324</v>
      </c>
      <c r="AN943" s="0" t="s">
        <v>2325</v>
      </c>
      <c r="AP943" s="0" t="s">
        <v>2326</v>
      </c>
      <c r="AR943" s="0" t="s">
        <v>6386</v>
      </c>
    </row>
    <row r="944" customFormat="false" ht="15" hidden="false" customHeight="false" outlineLevel="0" collapsed="false">
      <c r="A944" s="0" t="n">
        <v>943</v>
      </c>
      <c r="B944" s="0" t="s">
        <v>6387</v>
      </c>
      <c r="C944" s="0" t="s">
        <v>88</v>
      </c>
      <c r="E944" s="0" t="s">
        <v>6388</v>
      </c>
      <c r="N944" s="3" t="s">
        <v>186</v>
      </c>
      <c r="O944" s="3" t="s">
        <v>186</v>
      </c>
      <c r="P944" s="0" t="s">
        <v>96</v>
      </c>
      <c r="AA944" s="0" t="s">
        <v>47</v>
      </c>
      <c r="AB944" s="0" t="s">
        <v>6389</v>
      </c>
      <c r="AC944" s="0" t="s">
        <v>6390</v>
      </c>
      <c r="AD944" s="0" t="s">
        <v>6391</v>
      </c>
      <c r="AE944" s="0" t="s">
        <v>79</v>
      </c>
      <c r="AF944" s="3" t="s">
        <v>48</v>
      </c>
      <c r="AG944" s="3" t="s">
        <v>49</v>
      </c>
      <c r="AR944" s="0" t="s">
        <v>6388</v>
      </c>
    </row>
    <row r="945" customFormat="false" ht="15" hidden="false" customHeight="false" outlineLevel="0" collapsed="false">
      <c r="A945" s="0" t="n">
        <v>944</v>
      </c>
      <c r="B945" s="0" t="s">
        <v>6392</v>
      </c>
      <c r="C945" s="0" t="s">
        <v>43</v>
      </c>
      <c r="F945" s="0" t="s">
        <v>44</v>
      </c>
      <c r="H945" s="0" t="s">
        <v>6393</v>
      </c>
      <c r="I945" s="0" t="s">
        <v>154</v>
      </c>
      <c r="AA945" s="0" t="s">
        <v>47</v>
      </c>
      <c r="AF945" s="3" t="s">
        <v>48</v>
      </c>
      <c r="AG945" s="3" t="s">
        <v>49</v>
      </c>
      <c r="AL945" s="0" t="s">
        <v>6394</v>
      </c>
      <c r="AO945" s="0" t="s">
        <v>6395</v>
      </c>
      <c r="AP945" s="0" t="s">
        <v>6395</v>
      </c>
      <c r="AR945" s="0" t="s">
        <v>6396</v>
      </c>
    </row>
    <row r="946" customFormat="false" ht="15" hidden="false" customHeight="false" outlineLevel="0" collapsed="false">
      <c r="A946" s="0" t="n">
        <v>945</v>
      </c>
      <c r="B946" s="0" t="s">
        <v>6397</v>
      </c>
      <c r="C946" s="0" t="s">
        <v>88</v>
      </c>
      <c r="E946" s="0" t="s">
        <v>6398</v>
      </c>
      <c r="AA946" s="0" t="s">
        <v>47</v>
      </c>
      <c r="AF946" s="3" t="s">
        <v>48</v>
      </c>
      <c r="AG946" s="3" t="s">
        <v>49</v>
      </c>
      <c r="AR946" s="0" t="s">
        <v>6398</v>
      </c>
    </row>
    <row r="947" customFormat="false" ht="15" hidden="false" customHeight="false" outlineLevel="0" collapsed="false">
      <c r="A947" s="0" t="n">
        <v>946</v>
      </c>
      <c r="B947" s="0" t="s">
        <v>6399</v>
      </c>
      <c r="C947" s="0" t="s">
        <v>88</v>
      </c>
      <c r="E947" s="0" t="s">
        <v>6400</v>
      </c>
      <c r="N947" s="3" t="s">
        <v>202</v>
      </c>
      <c r="O947" s="3" t="s">
        <v>202</v>
      </c>
      <c r="P947" s="0" t="s">
        <v>96</v>
      </c>
      <c r="AA947" s="0" t="s">
        <v>47</v>
      </c>
      <c r="AB947" s="0" t="s">
        <v>6401</v>
      </c>
      <c r="AC947" s="0" t="s">
        <v>6402</v>
      </c>
      <c r="AD947" s="0" t="s">
        <v>6403</v>
      </c>
      <c r="AE947" s="0" t="s">
        <v>79</v>
      </c>
      <c r="AF947" s="3" t="s">
        <v>48</v>
      </c>
      <c r="AG947" s="3" t="s">
        <v>49</v>
      </c>
      <c r="AR947" s="0" t="s">
        <v>6400</v>
      </c>
    </row>
    <row r="948" customFormat="false" ht="15" hidden="false" customHeight="false" outlineLevel="0" collapsed="false">
      <c r="A948" s="0" t="n">
        <v>947</v>
      </c>
      <c r="B948" s="0" t="s">
        <v>6404</v>
      </c>
      <c r="C948" s="0" t="s">
        <v>312</v>
      </c>
      <c r="D948" s="0" t="s">
        <v>6405</v>
      </c>
      <c r="E948" s="0" t="s">
        <v>6406</v>
      </c>
      <c r="F948" s="0" t="s">
        <v>44</v>
      </c>
      <c r="H948" s="0" t="s">
        <v>6407</v>
      </c>
      <c r="I948" s="0" t="s">
        <v>115</v>
      </c>
      <c r="J948" s="3" t="s">
        <v>66</v>
      </c>
      <c r="K948" s="0" t="s">
        <v>6408</v>
      </c>
      <c r="L948" s="0" t="s">
        <v>6409</v>
      </c>
      <c r="M948" s="0" t="n">
        <v>1907</v>
      </c>
      <c r="N948" s="0" t="s">
        <v>118</v>
      </c>
      <c r="O948" s="3" t="s">
        <v>136</v>
      </c>
      <c r="P948" s="0" t="s">
        <v>55</v>
      </c>
      <c r="R948" s="0" t="n">
        <v>1000</v>
      </c>
      <c r="S948" s="0" t="n">
        <v>2024</v>
      </c>
      <c r="T948" s="0" t="s">
        <v>698</v>
      </c>
      <c r="U948" s="0" t="s">
        <v>115</v>
      </c>
      <c r="V948" s="0" t="n">
        <v>3872</v>
      </c>
      <c r="W948" s="0" t="s">
        <v>6410</v>
      </c>
      <c r="X948" s="0" t="s">
        <v>1541</v>
      </c>
      <c r="Y948" s="0" t="s">
        <v>1741</v>
      </c>
      <c r="Z948" s="0" t="s">
        <v>115</v>
      </c>
      <c r="AA948" s="0" t="s">
        <v>698</v>
      </c>
      <c r="AB948" s="0" t="s">
        <v>6411</v>
      </c>
      <c r="AC948" s="0" t="s">
        <v>6412</v>
      </c>
      <c r="AD948" s="0" t="s">
        <v>6413</v>
      </c>
      <c r="AE948" s="0" t="s">
        <v>115</v>
      </c>
      <c r="AF948" s="3" t="s">
        <v>108</v>
      </c>
      <c r="AG948" s="3" t="s">
        <v>404</v>
      </c>
      <c r="AH948" s="0" t="n">
        <v>2026</v>
      </c>
      <c r="AI948" s="0" t="s">
        <v>6414</v>
      </c>
      <c r="AJ948" s="0" t="s">
        <v>6415</v>
      </c>
      <c r="AK948" s="0" t="s">
        <v>6416</v>
      </c>
      <c r="AL948" s="0" t="s">
        <v>6417</v>
      </c>
      <c r="AN948" s="0" t="s">
        <v>6418</v>
      </c>
      <c r="AP948" s="0" t="s">
        <v>6419</v>
      </c>
      <c r="AR948" s="0" t="s">
        <v>6420</v>
      </c>
    </row>
    <row r="949" customFormat="false" ht="15" hidden="false" customHeight="false" outlineLevel="0" collapsed="false">
      <c r="A949" s="0" t="n">
        <v>948</v>
      </c>
      <c r="B949" s="0" t="s">
        <v>6421</v>
      </c>
      <c r="C949" s="0" t="s">
        <v>88</v>
      </c>
      <c r="E949" s="0" t="s">
        <v>6422</v>
      </c>
      <c r="H949" s="0" t="s">
        <v>6423</v>
      </c>
      <c r="I949" s="0" t="s">
        <v>46</v>
      </c>
      <c r="N949" s="3" t="s">
        <v>202</v>
      </c>
      <c r="O949" s="3" t="s">
        <v>202</v>
      </c>
      <c r="P949" s="0" t="s">
        <v>96</v>
      </c>
      <c r="AA949" s="0" t="s">
        <v>47</v>
      </c>
      <c r="AB949" s="0" t="s">
        <v>6424</v>
      </c>
      <c r="AC949" s="0" t="s">
        <v>6425</v>
      </c>
      <c r="AD949" s="0" t="s">
        <v>6426</v>
      </c>
      <c r="AE949" s="0" t="s">
        <v>79</v>
      </c>
      <c r="AF949" s="3" t="s">
        <v>48</v>
      </c>
      <c r="AG949" s="3" t="s">
        <v>49</v>
      </c>
      <c r="AR949" s="0" t="s">
        <v>6422</v>
      </c>
    </row>
    <row r="950" customFormat="false" ht="15" hidden="false" customHeight="false" outlineLevel="0" collapsed="false">
      <c r="A950" s="0" t="n">
        <v>949</v>
      </c>
      <c r="B950" s="0" t="s">
        <v>6427</v>
      </c>
      <c r="C950" s="0" t="s">
        <v>244</v>
      </c>
      <c r="E950" s="0" t="s">
        <v>6428</v>
      </c>
      <c r="F950" s="0" t="s">
        <v>44</v>
      </c>
      <c r="H950" s="0" t="s">
        <v>6429</v>
      </c>
      <c r="I950" s="0" t="s">
        <v>154</v>
      </c>
      <c r="N950" s="3" t="s">
        <v>186</v>
      </c>
      <c r="O950" s="3" t="s">
        <v>186</v>
      </c>
      <c r="P950" s="0" t="s">
        <v>96</v>
      </c>
      <c r="AA950" s="0" t="s">
        <v>47</v>
      </c>
      <c r="AB950" s="0" t="s">
        <v>6430</v>
      </c>
      <c r="AC950" s="0" t="s">
        <v>6431</v>
      </c>
      <c r="AD950" s="0" t="s">
        <v>6432</v>
      </c>
      <c r="AE950" s="0" t="s">
        <v>79</v>
      </c>
      <c r="AF950" s="3" t="s">
        <v>108</v>
      </c>
      <c r="AG950" s="3" t="s">
        <v>49</v>
      </c>
      <c r="AH950" s="0" t="n">
        <v>2026</v>
      </c>
      <c r="AI950" s="0" t="s">
        <v>1231</v>
      </c>
      <c r="AJ950" s="0" t="s">
        <v>1232</v>
      </c>
      <c r="AK950" s="0" t="s">
        <v>6433</v>
      </c>
      <c r="AL950" s="0" t="s">
        <v>6434</v>
      </c>
      <c r="AM950" s="0" t="s">
        <v>6435</v>
      </c>
      <c r="AO950" s="0" t="s">
        <v>6436</v>
      </c>
      <c r="AP950" s="0" t="s">
        <v>6436</v>
      </c>
      <c r="AR950" s="0" t="s">
        <v>6437</v>
      </c>
    </row>
    <row r="951" customFormat="false" ht="15" hidden="false" customHeight="false" outlineLevel="0" collapsed="false">
      <c r="A951" s="0" t="n">
        <v>950</v>
      </c>
      <c r="B951" s="0" t="s">
        <v>6438</v>
      </c>
      <c r="C951" s="0" t="s">
        <v>61</v>
      </c>
      <c r="D951" s="0" t="s">
        <v>6439</v>
      </c>
      <c r="E951" s="0" t="s">
        <v>6440</v>
      </c>
      <c r="H951" s="0" t="s">
        <v>6441</v>
      </c>
      <c r="I951" s="0" t="s">
        <v>46</v>
      </c>
      <c r="N951" s="3" t="s">
        <v>54</v>
      </c>
      <c r="O951" s="3" t="s">
        <v>54</v>
      </c>
      <c r="P951" s="0" t="s">
        <v>55</v>
      </c>
      <c r="AA951" s="0" t="s">
        <v>47</v>
      </c>
      <c r="AB951" s="0" t="s">
        <v>6442</v>
      </c>
      <c r="AC951" s="0" t="s">
        <v>6443</v>
      </c>
      <c r="AD951" s="0" t="s">
        <v>6444</v>
      </c>
      <c r="AE951" s="0" t="s">
        <v>79</v>
      </c>
      <c r="AF951" s="3" t="s">
        <v>108</v>
      </c>
      <c r="AG951" s="3" t="s">
        <v>49</v>
      </c>
      <c r="AH951" s="0" t="n">
        <v>2026</v>
      </c>
      <c r="AI951" s="0" t="s">
        <v>3060</v>
      </c>
      <c r="AJ951" s="0" t="s">
        <v>3061</v>
      </c>
      <c r="AK951" s="0" t="s">
        <v>6445</v>
      </c>
      <c r="AR951" s="0" t="s">
        <v>6446</v>
      </c>
    </row>
    <row r="952" customFormat="false" ht="15" hidden="false" customHeight="false" outlineLevel="0" collapsed="false">
      <c r="A952" s="0" t="n">
        <v>951</v>
      </c>
      <c r="B952" s="0" t="s">
        <v>6447</v>
      </c>
      <c r="C952" s="0" t="s">
        <v>88</v>
      </c>
      <c r="E952" s="0" t="s">
        <v>6448</v>
      </c>
      <c r="AA952" s="0" t="s">
        <v>47</v>
      </c>
      <c r="AF952" s="3" t="s">
        <v>48</v>
      </c>
      <c r="AG952" s="3" t="s">
        <v>49</v>
      </c>
      <c r="AR952" s="0" t="s">
        <v>6448</v>
      </c>
    </row>
    <row r="953" customFormat="false" ht="15" hidden="false" customHeight="false" outlineLevel="0" collapsed="false">
      <c r="A953" s="0" t="n">
        <v>952</v>
      </c>
      <c r="B953" s="0" t="s">
        <v>6449</v>
      </c>
      <c r="C953" s="0" t="s">
        <v>88</v>
      </c>
      <c r="E953" s="0" t="s">
        <v>6450</v>
      </c>
      <c r="H953" s="0" t="s">
        <v>6451</v>
      </c>
      <c r="I953" s="0" t="s">
        <v>154</v>
      </c>
      <c r="AA953" s="0" t="s">
        <v>47</v>
      </c>
      <c r="AF953" s="3" t="s">
        <v>48</v>
      </c>
      <c r="AG953" s="3" t="s">
        <v>49</v>
      </c>
      <c r="AP953" s="0" t="s">
        <v>6452</v>
      </c>
      <c r="AR953" s="0" t="s">
        <v>6453</v>
      </c>
    </row>
    <row r="954" customFormat="false" ht="15" hidden="false" customHeight="false" outlineLevel="0" collapsed="false">
      <c r="A954" s="0" t="n">
        <v>953</v>
      </c>
      <c r="B954" s="0" t="s">
        <v>6454</v>
      </c>
      <c r="C954" s="0" t="s">
        <v>88</v>
      </c>
      <c r="E954" s="0" t="s">
        <v>6455</v>
      </c>
      <c r="AA954" s="0" t="s">
        <v>47</v>
      </c>
      <c r="AF954" s="3" t="s">
        <v>48</v>
      </c>
      <c r="AG954" s="3" t="s">
        <v>49</v>
      </c>
      <c r="AR954" s="0" t="s">
        <v>6455</v>
      </c>
    </row>
    <row r="955" customFormat="false" ht="15" hidden="false" customHeight="false" outlineLevel="0" collapsed="false">
      <c r="A955" s="0" t="n">
        <v>954</v>
      </c>
      <c r="B955" s="0" t="s">
        <v>6456</v>
      </c>
      <c r="C955" s="0" t="s">
        <v>88</v>
      </c>
      <c r="E955" s="0" t="s">
        <v>6457</v>
      </c>
      <c r="AA955" s="0" t="s">
        <v>47</v>
      </c>
      <c r="AF955" s="3" t="s">
        <v>48</v>
      </c>
      <c r="AG955" s="3" t="s">
        <v>49</v>
      </c>
      <c r="AR955" s="0" t="s">
        <v>6457</v>
      </c>
    </row>
    <row r="956" customFormat="false" ht="15" hidden="false" customHeight="false" outlineLevel="0" collapsed="false">
      <c r="A956" s="0" t="n">
        <v>955</v>
      </c>
      <c r="B956" s="0" t="s">
        <v>6458</v>
      </c>
      <c r="C956" s="0" t="s">
        <v>52</v>
      </c>
      <c r="D956" s="0" t="s">
        <v>6459</v>
      </c>
      <c r="H956" s="0" t="s">
        <v>6460</v>
      </c>
      <c r="I956" s="0" t="s">
        <v>94</v>
      </c>
      <c r="N956" s="3" t="s">
        <v>54</v>
      </c>
      <c r="O956" s="3" t="s">
        <v>54</v>
      </c>
      <c r="P956" s="0" t="s">
        <v>55</v>
      </c>
      <c r="AA956" s="0" t="s">
        <v>47</v>
      </c>
      <c r="AB956" s="0" t="s">
        <v>6461</v>
      </c>
      <c r="AC956" s="0" t="s">
        <v>6462</v>
      </c>
      <c r="AD956" s="0" t="s">
        <v>6463</v>
      </c>
      <c r="AE956" s="0" t="s">
        <v>59</v>
      </c>
      <c r="AF956" s="3" t="s">
        <v>108</v>
      </c>
      <c r="AG956" s="3" t="s">
        <v>49</v>
      </c>
      <c r="AH956" s="0" t="n">
        <v>2026</v>
      </c>
      <c r="AI956" s="0" t="s">
        <v>3060</v>
      </c>
      <c r="AJ956" s="0" t="s">
        <v>3061</v>
      </c>
      <c r="AL956" s="0" t="s">
        <v>6464</v>
      </c>
      <c r="AM956" s="0" t="s">
        <v>6465</v>
      </c>
      <c r="AO956" s="0" t="s">
        <v>6466</v>
      </c>
      <c r="AP956" s="0" t="s">
        <v>6466</v>
      </c>
      <c r="AR956" s="0" t="s">
        <v>6467</v>
      </c>
    </row>
    <row r="957" customFormat="false" ht="15" hidden="false" customHeight="false" outlineLevel="0" collapsed="false">
      <c r="A957" s="0" t="n">
        <v>956</v>
      </c>
      <c r="B957" s="0" t="s">
        <v>6468</v>
      </c>
      <c r="C957" s="0" t="s">
        <v>43</v>
      </c>
      <c r="F957" s="0" t="s">
        <v>44</v>
      </c>
      <c r="H957" s="0" t="s">
        <v>6469</v>
      </c>
      <c r="I957" s="0" t="s">
        <v>154</v>
      </c>
      <c r="AA957" s="0" t="s">
        <v>47</v>
      </c>
      <c r="AF957" s="3" t="s">
        <v>48</v>
      </c>
      <c r="AG957" s="3" t="s">
        <v>49</v>
      </c>
      <c r="AL957" s="0" t="s">
        <v>6470</v>
      </c>
      <c r="AM957" s="0" t="s">
        <v>6471</v>
      </c>
      <c r="AO957" s="0" t="s">
        <v>6472</v>
      </c>
      <c r="AP957" s="0" t="s">
        <v>6472</v>
      </c>
      <c r="AR957" s="0" t="s">
        <v>6473</v>
      </c>
    </row>
    <row r="958" customFormat="false" ht="15" hidden="false" customHeight="false" outlineLevel="0" collapsed="false">
      <c r="A958" s="0" t="n">
        <v>957</v>
      </c>
      <c r="B958" s="0" t="s">
        <v>6474</v>
      </c>
      <c r="C958" s="0" t="s">
        <v>88</v>
      </c>
      <c r="E958" s="0" t="s">
        <v>6475</v>
      </c>
      <c r="H958" s="0" t="s">
        <v>6476</v>
      </c>
      <c r="I958" s="0" t="s">
        <v>154</v>
      </c>
      <c r="N958" s="3" t="s">
        <v>213</v>
      </c>
      <c r="O958" s="3" t="s">
        <v>213</v>
      </c>
      <c r="P958" s="0" t="s">
        <v>96</v>
      </c>
      <c r="AA958" s="0" t="s">
        <v>47</v>
      </c>
      <c r="AB958" s="0" t="s">
        <v>6477</v>
      </c>
      <c r="AC958" s="0" t="s">
        <v>6478</v>
      </c>
      <c r="AD958" s="0" t="s">
        <v>6479</v>
      </c>
      <c r="AE958" s="0" t="s">
        <v>79</v>
      </c>
      <c r="AF958" s="3" t="s">
        <v>48</v>
      </c>
      <c r="AG958" s="3" t="s">
        <v>49</v>
      </c>
      <c r="AL958" s="0" t="s">
        <v>6480</v>
      </c>
      <c r="AM958" s="0" t="s">
        <v>6481</v>
      </c>
      <c r="AO958" s="0" t="s">
        <v>6482</v>
      </c>
      <c r="AP958" s="0" t="s">
        <v>6482</v>
      </c>
      <c r="AR958" s="0" t="s">
        <v>6483</v>
      </c>
    </row>
    <row r="959" customFormat="false" ht="15" hidden="false" customHeight="false" outlineLevel="0" collapsed="false">
      <c r="A959" s="0" t="n">
        <v>958</v>
      </c>
      <c r="B959" s="0" t="s">
        <v>6484</v>
      </c>
      <c r="C959" s="0" t="s">
        <v>43</v>
      </c>
      <c r="F959" s="0" t="s">
        <v>44</v>
      </c>
      <c r="H959" s="0" t="s">
        <v>6485</v>
      </c>
      <c r="I959" s="0" t="s">
        <v>154</v>
      </c>
      <c r="AA959" s="0" t="s">
        <v>47</v>
      </c>
      <c r="AF959" s="3" t="s">
        <v>48</v>
      </c>
      <c r="AG959" s="3" t="s">
        <v>49</v>
      </c>
      <c r="AL959" s="0" t="s">
        <v>6486</v>
      </c>
      <c r="AM959" s="0" t="s">
        <v>6487</v>
      </c>
      <c r="AO959" s="0" t="s">
        <v>6488</v>
      </c>
      <c r="AP959" s="0" t="s">
        <v>6488</v>
      </c>
      <c r="AR959" s="0" t="s">
        <v>6489</v>
      </c>
    </row>
    <row r="960" customFormat="false" ht="15" hidden="false" customHeight="false" outlineLevel="0" collapsed="false">
      <c r="A960" s="0" t="n">
        <v>959</v>
      </c>
      <c r="B960" s="0" t="s">
        <v>6490</v>
      </c>
      <c r="C960" s="0" t="s">
        <v>244</v>
      </c>
      <c r="E960" s="0" t="s">
        <v>6491</v>
      </c>
      <c r="F960" s="0" t="s">
        <v>44</v>
      </c>
      <c r="H960" s="0" t="s">
        <v>6492</v>
      </c>
      <c r="I960" s="0" t="s">
        <v>94</v>
      </c>
      <c r="N960" s="3" t="s">
        <v>239</v>
      </c>
      <c r="O960" s="3" t="s">
        <v>239</v>
      </c>
      <c r="P960" s="0" t="s">
        <v>96</v>
      </c>
      <c r="AA960" s="0" t="s">
        <v>47</v>
      </c>
      <c r="AB960" s="0" t="s">
        <v>6493</v>
      </c>
      <c r="AC960" s="0" t="s">
        <v>6494</v>
      </c>
      <c r="AD960" s="0" t="s">
        <v>6495</v>
      </c>
      <c r="AE960" s="0" t="s">
        <v>79</v>
      </c>
      <c r="AF960" s="3" t="s">
        <v>48</v>
      </c>
      <c r="AG960" s="3" t="s">
        <v>49</v>
      </c>
      <c r="AP960" s="0" t="s">
        <v>6496</v>
      </c>
      <c r="AR960" s="0" t="s">
        <v>6497</v>
      </c>
    </row>
    <row r="961" customFormat="false" ht="15" hidden="false" customHeight="false" outlineLevel="0" collapsed="false">
      <c r="A961" s="0" t="n">
        <v>960</v>
      </c>
      <c r="B961" s="0" t="s">
        <v>6498</v>
      </c>
      <c r="C961" s="0" t="s">
        <v>88</v>
      </c>
      <c r="E961" s="0" t="s">
        <v>6499</v>
      </c>
      <c r="N961" s="3" t="s">
        <v>186</v>
      </c>
      <c r="O961" s="3" t="s">
        <v>186</v>
      </c>
      <c r="P961" s="0" t="s">
        <v>96</v>
      </c>
      <c r="AA961" s="0" t="s">
        <v>47</v>
      </c>
      <c r="AB961" s="0" t="s">
        <v>6500</v>
      </c>
      <c r="AC961" s="0" t="s">
        <v>6501</v>
      </c>
      <c r="AD961" s="0" t="s">
        <v>6502</v>
      </c>
      <c r="AE961" s="0" t="s">
        <v>79</v>
      </c>
      <c r="AF961" s="3" t="s">
        <v>48</v>
      </c>
      <c r="AG961" s="3" t="s">
        <v>49</v>
      </c>
      <c r="AR961" s="0" t="s">
        <v>6499</v>
      </c>
    </row>
    <row r="962" customFormat="false" ht="15" hidden="false" customHeight="false" outlineLevel="0" collapsed="false">
      <c r="A962" s="0" t="n">
        <v>961</v>
      </c>
      <c r="B962" s="0" t="s">
        <v>6503</v>
      </c>
      <c r="C962" s="0" t="s">
        <v>88</v>
      </c>
      <c r="E962" s="0" t="s">
        <v>6504</v>
      </c>
      <c r="H962" s="0" t="s">
        <v>6505</v>
      </c>
      <c r="I962" s="0" t="s">
        <v>46</v>
      </c>
      <c r="AA962" s="0" t="s">
        <v>47</v>
      </c>
      <c r="AF962" s="3" t="s">
        <v>48</v>
      </c>
      <c r="AG962" s="3" t="s">
        <v>49</v>
      </c>
      <c r="AR962" s="0" t="s">
        <v>6504</v>
      </c>
    </row>
    <row r="963" customFormat="false" ht="15" hidden="false" customHeight="false" outlineLevel="0" collapsed="false">
      <c r="A963" s="0" t="n">
        <v>962</v>
      </c>
      <c r="B963" s="0" t="s">
        <v>6506</v>
      </c>
      <c r="C963" s="0" t="s">
        <v>88</v>
      </c>
      <c r="E963" s="0" t="s">
        <v>6507</v>
      </c>
      <c r="H963" s="0" t="s">
        <v>6508</v>
      </c>
      <c r="I963" s="0" t="s">
        <v>154</v>
      </c>
      <c r="AA963" s="0" t="s">
        <v>47</v>
      </c>
      <c r="AF963" s="3" t="s">
        <v>48</v>
      </c>
      <c r="AG963" s="3" t="s">
        <v>49</v>
      </c>
      <c r="AL963" s="0" t="s">
        <v>6509</v>
      </c>
      <c r="AM963" s="0" t="s">
        <v>6510</v>
      </c>
      <c r="AO963" s="0" t="s">
        <v>6511</v>
      </c>
      <c r="AP963" s="0" t="s">
        <v>6511</v>
      </c>
      <c r="AR963" s="0" t="s">
        <v>6512</v>
      </c>
    </row>
    <row r="964" customFormat="false" ht="15" hidden="false" customHeight="false" outlineLevel="0" collapsed="false">
      <c r="A964" s="0" t="n">
        <v>963</v>
      </c>
      <c r="B964" s="0" t="s">
        <v>6513</v>
      </c>
      <c r="C964" s="0" t="s">
        <v>52</v>
      </c>
      <c r="D964" s="0" t="s">
        <v>6514</v>
      </c>
      <c r="N964" s="0" t="s">
        <v>6515</v>
      </c>
      <c r="O964" s="0" t="s">
        <v>6515</v>
      </c>
      <c r="P964" s="0" t="s">
        <v>55</v>
      </c>
      <c r="AA964" s="0" t="s">
        <v>47</v>
      </c>
      <c r="AB964" s="0" t="s">
        <v>6516</v>
      </c>
      <c r="AC964" s="0" t="s">
        <v>6517</v>
      </c>
      <c r="AD964" s="0" t="s">
        <v>6518</v>
      </c>
      <c r="AE964" s="0" t="s">
        <v>59</v>
      </c>
      <c r="AF964" s="3" t="s">
        <v>48</v>
      </c>
      <c r="AG964" s="3" t="s">
        <v>49</v>
      </c>
      <c r="AR964" s="0" t="s">
        <v>6514</v>
      </c>
    </row>
    <row r="965" customFormat="false" ht="15" hidden="false" customHeight="false" outlineLevel="0" collapsed="false">
      <c r="A965" s="0" t="n">
        <v>964</v>
      </c>
      <c r="B965" s="0" t="s">
        <v>6519</v>
      </c>
      <c r="C965" s="0" t="s">
        <v>88</v>
      </c>
      <c r="E965" s="0" t="s">
        <v>6520</v>
      </c>
      <c r="AA965" s="0" t="s">
        <v>47</v>
      </c>
      <c r="AF965" s="3" t="s">
        <v>48</v>
      </c>
      <c r="AG965" s="3" t="s">
        <v>49</v>
      </c>
      <c r="AR965" s="0" t="s">
        <v>6520</v>
      </c>
    </row>
    <row r="966" customFormat="false" ht="15" hidden="false" customHeight="false" outlineLevel="0" collapsed="false">
      <c r="A966" s="0" t="n">
        <v>965</v>
      </c>
      <c r="B966" s="0" t="s">
        <v>6521</v>
      </c>
      <c r="C966" s="0" t="s">
        <v>88</v>
      </c>
      <c r="E966" s="0" t="s">
        <v>6522</v>
      </c>
      <c r="H966" s="0" t="s">
        <v>6523</v>
      </c>
      <c r="I966" s="0" t="s">
        <v>115</v>
      </c>
      <c r="J966" s="0" t="s">
        <v>6524</v>
      </c>
      <c r="K966" s="0" t="s">
        <v>6525</v>
      </c>
      <c r="M966" s="0" t="n">
        <v>1959</v>
      </c>
      <c r="N966" s="0" t="s">
        <v>4724</v>
      </c>
      <c r="R966" s="0" t="n">
        <v>2200</v>
      </c>
      <c r="S966" s="0" t="n">
        <v>2025</v>
      </c>
      <c r="T966" s="0" t="s">
        <v>72</v>
      </c>
      <c r="U966" s="0" t="s">
        <v>115</v>
      </c>
      <c r="V966" s="0" t="n">
        <v>550</v>
      </c>
      <c r="W966" s="0" t="s">
        <v>6526</v>
      </c>
      <c r="X966" s="0" t="s">
        <v>4726</v>
      </c>
      <c r="Y966" s="0" t="s">
        <v>72</v>
      </c>
      <c r="Z966" s="0" t="s">
        <v>115</v>
      </c>
      <c r="AA966" s="0" t="s">
        <v>75</v>
      </c>
      <c r="AB966" s="0" t="s">
        <v>6527</v>
      </c>
      <c r="AC966" s="0" t="s">
        <v>6528</v>
      </c>
      <c r="AD966" s="0" t="s">
        <v>6529</v>
      </c>
      <c r="AE966" s="0" t="s">
        <v>115</v>
      </c>
      <c r="AF966" s="3" t="s">
        <v>108</v>
      </c>
      <c r="AG966" s="3" t="s">
        <v>81</v>
      </c>
      <c r="AH966" s="0" t="n">
        <v>2026</v>
      </c>
      <c r="AI966" s="0" t="s">
        <v>6530</v>
      </c>
      <c r="AJ966" s="0" t="s">
        <v>6531</v>
      </c>
      <c r="AK966" s="3" t="s">
        <v>6532</v>
      </c>
      <c r="AL966" s="0" t="s">
        <v>6533</v>
      </c>
      <c r="AN966" s="0" t="s">
        <v>6534</v>
      </c>
      <c r="AO966" s="0" t="s">
        <v>6535</v>
      </c>
      <c r="AP966" s="0" t="s">
        <v>6536</v>
      </c>
      <c r="AR966" s="0" t="s">
        <v>6537</v>
      </c>
    </row>
    <row r="967" customFormat="false" ht="15" hidden="false" customHeight="false" outlineLevel="0" collapsed="false">
      <c r="A967" s="0" t="n">
        <v>966</v>
      </c>
      <c r="B967" s="0" t="s">
        <v>6538</v>
      </c>
      <c r="C967" s="0" t="s">
        <v>244</v>
      </c>
      <c r="E967" s="0" t="s">
        <v>6539</v>
      </c>
      <c r="F967" s="0" t="s">
        <v>44</v>
      </c>
      <c r="H967" s="0" t="s">
        <v>6540</v>
      </c>
      <c r="I967" s="0" t="s">
        <v>94</v>
      </c>
      <c r="N967" s="3" t="s">
        <v>202</v>
      </c>
      <c r="O967" s="3" t="s">
        <v>202</v>
      </c>
      <c r="P967" s="0" t="s">
        <v>96</v>
      </c>
      <c r="AA967" s="0" t="s">
        <v>47</v>
      </c>
      <c r="AB967" s="0" t="s">
        <v>6541</v>
      </c>
      <c r="AC967" s="0" t="s">
        <v>6542</v>
      </c>
      <c r="AD967" s="0" t="s">
        <v>6543</v>
      </c>
      <c r="AE967" s="0" t="s">
        <v>79</v>
      </c>
      <c r="AF967" s="3" t="s">
        <v>149</v>
      </c>
      <c r="AG967" s="3" t="s">
        <v>81</v>
      </c>
      <c r="AK967" s="0" t="s">
        <v>6544</v>
      </c>
      <c r="AR967" s="0" t="s">
        <v>6545</v>
      </c>
    </row>
    <row r="968" customFormat="false" ht="15" hidden="false" customHeight="false" outlineLevel="0" collapsed="false">
      <c r="A968" s="0" t="n">
        <v>967</v>
      </c>
      <c r="B968" s="0" t="s">
        <v>6546</v>
      </c>
      <c r="C968" s="0" t="s">
        <v>312</v>
      </c>
      <c r="D968" s="0" t="s">
        <v>6547</v>
      </c>
      <c r="E968" s="0" t="s">
        <v>6548</v>
      </c>
      <c r="F968" s="0" t="s">
        <v>44</v>
      </c>
      <c r="H968" s="0" t="s">
        <v>6549</v>
      </c>
      <c r="I968" s="0" t="s">
        <v>154</v>
      </c>
      <c r="N968" s="3" t="s">
        <v>1568</v>
      </c>
      <c r="O968" s="3" t="s">
        <v>1568</v>
      </c>
      <c r="P968" s="0" t="s">
        <v>55</v>
      </c>
      <c r="AA968" s="0" t="s">
        <v>47</v>
      </c>
      <c r="AB968" s="0" t="s">
        <v>6550</v>
      </c>
      <c r="AC968" s="0" t="s">
        <v>6551</v>
      </c>
      <c r="AD968" s="0" t="s">
        <v>6552</v>
      </c>
      <c r="AE968" s="0" t="s">
        <v>79</v>
      </c>
      <c r="AF968" s="3" t="s">
        <v>108</v>
      </c>
      <c r="AG968" s="3" t="s">
        <v>81</v>
      </c>
      <c r="AI968" s="0" t="s">
        <v>284</v>
      </c>
      <c r="AJ968" s="0" t="s">
        <v>6553</v>
      </c>
      <c r="AL968" s="0" t="s">
        <v>6554</v>
      </c>
      <c r="AM968" s="0" t="s">
        <v>6555</v>
      </c>
      <c r="AO968" s="0" t="s">
        <v>6556</v>
      </c>
      <c r="AP968" s="0" t="s">
        <v>6556</v>
      </c>
      <c r="AR968" s="0" t="s">
        <v>6557</v>
      </c>
    </row>
    <row r="969" customFormat="false" ht="15" hidden="false" customHeight="false" outlineLevel="0" collapsed="false">
      <c r="A969" s="0" t="n">
        <v>968</v>
      </c>
      <c r="B969" s="0" t="s">
        <v>6558</v>
      </c>
      <c r="C969" s="0" t="s">
        <v>88</v>
      </c>
      <c r="E969" s="0" t="s">
        <v>6559</v>
      </c>
      <c r="N969" s="3" t="s">
        <v>1248</v>
      </c>
      <c r="O969" s="3" t="s">
        <v>1248</v>
      </c>
      <c r="P969" s="0" t="s">
        <v>96</v>
      </c>
      <c r="AA969" s="0" t="s">
        <v>47</v>
      </c>
      <c r="AB969" s="0" t="s">
        <v>6560</v>
      </c>
      <c r="AC969" s="0" t="s">
        <v>6561</v>
      </c>
      <c r="AE969" s="0" t="s">
        <v>79</v>
      </c>
      <c r="AF969" s="3" t="s">
        <v>48</v>
      </c>
      <c r="AG969" s="3" t="s">
        <v>49</v>
      </c>
      <c r="AR969" s="0" t="s">
        <v>6559</v>
      </c>
    </row>
    <row r="970" customFormat="false" ht="15" hidden="false" customHeight="false" outlineLevel="0" collapsed="false">
      <c r="A970" s="0" t="n">
        <v>969</v>
      </c>
      <c r="B970" s="0" t="s">
        <v>6562</v>
      </c>
      <c r="C970" s="0" t="s">
        <v>394</v>
      </c>
      <c r="D970" s="0" t="s">
        <v>6563</v>
      </c>
      <c r="F970" s="0" t="s">
        <v>44</v>
      </c>
      <c r="N970" s="3" t="s">
        <v>104</v>
      </c>
      <c r="O970" s="3" t="s">
        <v>104</v>
      </c>
      <c r="P970" s="0" t="s">
        <v>55</v>
      </c>
      <c r="AA970" s="0" t="s">
        <v>47</v>
      </c>
      <c r="AB970" s="0" t="s">
        <v>6564</v>
      </c>
      <c r="AC970" s="0" t="s">
        <v>6565</v>
      </c>
      <c r="AD970" s="0" t="s">
        <v>6566</v>
      </c>
      <c r="AE970" s="0" t="s">
        <v>59</v>
      </c>
      <c r="AF970" s="3" t="s">
        <v>149</v>
      </c>
      <c r="AG970" s="3" t="s">
        <v>81</v>
      </c>
      <c r="AK970" s="0" t="s">
        <v>6567</v>
      </c>
      <c r="AR970" s="0" t="s">
        <v>6568</v>
      </c>
    </row>
    <row r="971" customFormat="false" ht="15" hidden="false" customHeight="false" outlineLevel="0" collapsed="false">
      <c r="A971" s="0" t="n">
        <v>970</v>
      </c>
      <c r="B971" s="0" t="s">
        <v>6569</v>
      </c>
      <c r="C971" s="0" t="s">
        <v>88</v>
      </c>
      <c r="E971" s="0" t="s">
        <v>6570</v>
      </c>
      <c r="H971" s="0" t="s">
        <v>6571</v>
      </c>
      <c r="I971" s="0" t="s">
        <v>154</v>
      </c>
      <c r="N971" s="3" t="s">
        <v>202</v>
      </c>
      <c r="O971" s="3" t="s">
        <v>202</v>
      </c>
      <c r="P971" s="0" t="s">
        <v>96</v>
      </c>
      <c r="AA971" s="0" t="s">
        <v>47</v>
      </c>
      <c r="AB971" s="0" t="s">
        <v>6572</v>
      </c>
      <c r="AC971" s="0" t="s">
        <v>6573</v>
      </c>
      <c r="AD971" s="0" t="s">
        <v>6574</v>
      </c>
      <c r="AE971" s="0" t="s">
        <v>79</v>
      </c>
      <c r="AF971" s="3" t="s">
        <v>48</v>
      </c>
      <c r="AG971" s="3" t="s">
        <v>49</v>
      </c>
      <c r="AL971" s="0" t="s">
        <v>6575</v>
      </c>
      <c r="AM971" s="0" t="s">
        <v>6576</v>
      </c>
      <c r="AO971" s="0" t="s">
        <v>6577</v>
      </c>
      <c r="AP971" s="0" t="s">
        <v>6577</v>
      </c>
      <c r="AR971" s="0" t="s">
        <v>6578</v>
      </c>
    </row>
    <row r="972" customFormat="false" ht="15" hidden="false" customHeight="false" outlineLevel="0" collapsed="false">
      <c r="A972" s="0" t="n">
        <v>971</v>
      </c>
      <c r="B972" s="0" t="s">
        <v>6579</v>
      </c>
      <c r="C972" s="0" t="s">
        <v>52</v>
      </c>
      <c r="D972" s="0" t="s">
        <v>6580</v>
      </c>
      <c r="H972" s="0" t="s">
        <v>6581</v>
      </c>
      <c r="I972" s="0" t="s">
        <v>94</v>
      </c>
      <c r="N972" s="0" t="s">
        <v>6582</v>
      </c>
      <c r="O972" s="0" t="s">
        <v>6582</v>
      </c>
      <c r="P972" s="0" t="s">
        <v>55</v>
      </c>
      <c r="AA972" s="0" t="s">
        <v>47</v>
      </c>
      <c r="AB972" s="0" t="s">
        <v>6583</v>
      </c>
      <c r="AC972" s="0" t="s">
        <v>6584</v>
      </c>
      <c r="AD972" s="0" t="s">
        <v>6585</v>
      </c>
      <c r="AE972" s="0" t="s">
        <v>59</v>
      </c>
      <c r="AF972" s="3" t="s">
        <v>108</v>
      </c>
      <c r="AG972" s="3" t="s">
        <v>49</v>
      </c>
      <c r="AH972" s="0" t="n">
        <v>2026</v>
      </c>
      <c r="AI972" s="0" t="s">
        <v>968</v>
      </c>
      <c r="AJ972" s="0" t="s">
        <v>969</v>
      </c>
      <c r="AM972" s="0" t="s">
        <v>6586</v>
      </c>
      <c r="AO972" s="0" t="s">
        <v>6587</v>
      </c>
      <c r="AP972" s="0" t="s">
        <v>6587</v>
      </c>
      <c r="AR972" s="0" t="s">
        <v>6588</v>
      </c>
    </row>
    <row r="973" customFormat="false" ht="15" hidden="false" customHeight="false" outlineLevel="0" collapsed="false">
      <c r="A973" s="0" t="n">
        <v>972</v>
      </c>
      <c r="B973" s="0" t="s">
        <v>6589</v>
      </c>
      <c r="C973" s="0" t="s">
        <v>88</v>
      </c>
      <c r="E973" s="0" t="s">
        <v>6590</v>
      </c>
      <c r="H973" s="0" t="s">
        <v>6591</v>
      </c>
      <c r="I973" s="0" t="s">
        <v>46</v>
      </c>
      <c r="AA973" s="0" t="s">
        <v>47</v>
      </c>
      <c r="AB973" s="0" t="s">
        <v>6592</v>
      </c>
      <c r="AC973" s="0" t="s">
        <v>6593</v>
      </c>
      <c r="AD973" s="0" t="s">
        <v>6594</v>
      </c>
      <c r="AE973" s="0" t="s">
        <v>79</v>
      </c>
      <c r="AF973" s="3" t="s">
        <v>48</v>
      </c>
      <c r="AG973" s="3" t="s">
        <v>49</v>
      </c>
      <c r="AR973" s="0" t="s">
        <v>6590</v>
      </c>
    </row>
    <row r="974" customFormat="false" ht="15" hidden="false" customHeight="false" outlineLevel="0" collapsed="false">
      <c r="A974" s="0" t="n">
        <v>973</v>
      </c>
      <c r="B974" s="0" t="s">
        <v>6595</v>
      </c>
      <c r="C974" s="0" t="s">
        <v>88</v>
      </c>
      <c r="E974" s="0" t="s">
        <v>6596</v>
      </c>
      <c r="H974" s="0" t="s">
        <v>6597</v>
      </c>
      <c r="I974" s="0" t="s">
        <v>154</v>
      </c>
      <c r="N974" s="3" t="s">
        <v>202</v>
      </c>
      <c r="O974" s="3" t="s">
        <v>202</v>
      </c>
      <c r="P974" s="0" t="s">
        <v>96</v>
      </c>
      <c r="AA974" s="0" t="s">
        <v>47</v>
      </c>
      <c r="AB974" s="0" t="s">
        <v>6598</v>
      </c>
      <c r="AC974" s="0" t="s">
        <v>6599</v>
      </c>
      <c r="AD974" s="0" t="s">
        <v>6600</v>
      </c>
      <c r="AE974" s="0" t="s">
        <v>79</v>
      </c>
      <c r="AF974" s="3" t="s">
        <v>48</v>
      </c>
      <c r="AG974" s="3" t="s">
        <v>49</v>
      </c>
      <c r="AL974" s="0" t="s">
        <v>6601</v>
      </c>
      <c r="AM974" s="0" t="s">
        <v>6602</v>
      </c>
      <c r="AO974" s="0" t="s">
        <v>6603</v>
      </c>
      <c r="AP974" s="0" t="s">
        <v>6603</v>
      </c>
      <c r="AR974" s="0" t="s">
        <v>6604</v>
      </c>
    </row>
    <row r="975" customFormat="false" ht="15" hidden="false" customHeight="false" outlineLevel="0" collapsed="false">
      <c r="A975" s="0" t="n">
        <v>974</v>
      </c>
      <c r="B975" s="0" t="s">
        <v>6605</v>
      </c>
      <c r="C975" s="0" t="s">
        <v>88</v>
      </c>
      <c r="E975" s="0" t="s">
        <v>6606</v>
      </c>
      <c r="AA975" s="0" t="s">
        <v>47</v>
      </c>
      <c r="AF975" s="3" t="s">
        <v>48</v>
      </c>
      <c r="AG975" s="3" t="s">
        <v>49</v>
      </c>
      <c r="AR975" s="0" t="s">
        <v>6606</v>
      </c>
    </row>
    <row r="976" customFormat="false" ht="15" hidden="false" customHeight="false" outlineLevel="0" collapsed="false">
      <c r="A976" s="0" t="n">
        <v>975</v>
      </c>
      <c r="B976" s="0" t="s">
        <v>6607</v>
      </c>
      <c r="C976" s="0" t="s">
        <v>88</v>
      </c>
      <c r="E976" s="0" t="s">
        <v>6608</v>
      </c>
      <c r="H976" s="0" t="s">
        <v>6609</v>
      </c>
      <c r="I976" s="0" t="s">
        <v>154</v>
      </c>
      <c r="AA976" s="0" t="s">
        <v>47</v>
      </c>
      <c r="AB976" s="0" t="s">
        <v>6610</v>
      </c>
      <c r="AC976" s="0" t="s">
        <v>6611</v>
      </c>
      <c r="AD976" s="0" t="s">
        <v>6612</v>
      </c>
      <c r="AE976" s="0" t="s">
        <v>79</v>
      </c>
      <c r="AF976" s="3" t="s">
        <v>108</v>
      </c>
      <c r="AG976" s="3" t="s">
        <v>49</v>
      </c>
      <c r="AH976" s="0" t="n">
        <v>2026</v>
      </c>
      <c r="AI976" s="0" t="s">
        <v>109</v>
      </c>
      <c r="AJ976" s="0" t="s">
        <v>110</v>
      </c>
      <c r="AL976" s="0" t="s">
        <v>6613</v>
      </c>
      <c r="AP976" s="0" t="s">
        <v>6614</v>
      </c>
      <c r="AR976" s="0" t="s">
        <v>6615</v>
      </c>
    </row>
    <row r="977" customFormat="false" ht="15" hidden="false" customHeight="false" outlineLevel="0" collapsed="false">
      <c r="A977" s="0" t="n">
        <v>976</v>
      </c>
      <c r="B977" s="0" t="s">
        <v>6616</v>
      </c>
      <c r="C977" s="0" t="s">
        <v>4334</v>
      </c>
      <c r="F977" s="0" t="s">
        <v>4335</v>
      </c>
      <c r="H977" s="0" t="s">
        <v>6617</v>
      </c>
      <c r="I977" s="0" t="s">
        <v>94</v>
      </c>
      <c r="N977" s="3" t="s">
        <v>213</v>
      </c>
      <c r="O977" s="3" t="s">
        <v>213</v>
      </c>
      <c r="P977" s="0" t="s">
        <v>96</v>
      </c>
      <c r="Q977" s="0" t="s">
        <v>6618</v>
      </c>
      <c r="AA977" s="0" t="s">
        <v>47</v>
      </c>
      <c r="AF977" s="3" t="s">
        <v>48</v>
      </c>
      <c r="AG977" s="3" t="s">
        <v>49</v>
      </c>
      <c r="AL977" s="0" t="s">
        <v>6619</v>
      </c>
      <c r="AM977" s="0" t="s">
        <v>6620</v>
      </c>
      <c r="AO977" s="0" t="s">
        <v>6621</v>
      </c>
      <c r="AP977" s="0" t="s">
        <v>6621</v>
      </c>
      <c r="AR977" s="0" t="s">
        <v>6622</v>
      </c>
    </row>
    <row r="978" customFormat="false" ht="15" hidden="false" customHeight="false" outlineLevel="0" collapsed="false">
      <c r="A978" s="0" t="n">
        <v>977</v>
      </c>
      <c r="B978" s="0" t="s">
        <v>6623</v>
      </c>
      <c r="C978" s="0" t="s">
        <v>88</v>
      </c>
      <c r="E978" s="0" t="s">
        <v>6624</v>
      </c>
      <c r="H978" s="0" t="s">
        <v>6625</v>
      </c>
      <c r="I978" s="0" t="s">
        <v>154</v>
      </c>
      <c r="N978" s="3" t="s">
        <v>202</v>
      </c>
      <c r="O978" s="3" t="s">
        <v>202</v>
      </c>
      <c r="P978" s="0" t="s">
        <v>96</v>
      </c>
      <c r="AA978" s="0" t="s">
        <v>47</v>
      </c>
      <c r="AB978" s="0" t="s">
        <v>6626</v>
      </c>
      <c r="AC978" s="0" t="s">
        <v>6627</v>
      </c>
      <c r="AD978" s="0" t="s">
        <v>6628</v>
      </c>
      <c r="AE978" s="0" t="s">
        <v>79</v>
      </c>
      <c r="AF978" s="3" t="s">
        <v>48</v>
      </c>
      <c r="AG978" s="3" t="s">
        <v>49</v>
      </c>
      <c r="AO978" s="0" t="s">
        <v>6629</v>
      </c>
      <c r="AP978" s="0" t="s">
        <v>6629</v>
      </c>
      <c r="AR978" s="0" t="s">
        <v>6630</v>
      </c>
    </row>
    <row r="979" customFormat="false" ht="15" hidden="false" customHeight="false" outlineLevel="0" collapsed="false">
      <c r="A979" s="0" t="n">
        <v>978</v>
      </c>
      <c r="B979" s="0" t="s">
        <v>6631</v>
      </c>
      <c r="C979" s="0" t="s">
        <v>88</v>
      </c>
      <c r="E979" s="0" t="s">
        <v>6632</v>
      </c>
      <c r="H979" s="0" t="s">
        <v>6633</v>
      </c>
      <c r="I979" s="0" t="s">
        <v>154</v>
      </c>
      <c r="AA979" s="0" t="s">
        <v>47</v>
      </c>
      <c r="AB979" s="0" t="s">
        <v>6634</v>
      </c>
      <c r="AC979" s="0" t="s">
        <v>6635</v>
      </c>
      <c r="AE979" s="0" t="s">
        <v>79</v>
      </c>
      <c r="AF979" s="3" t="s">
        <v>108</v>
      </c>
      <c r="AG979" s="3" t="s">
        <v>49</v>
      </c>
      <c r="AH979" s="0" t="n">
        <v>2026</v>
      </c>
      <c r="AI979" s="0" t="s">
        <v>3060</v>
      </c>
      <c r="AJ979" s="0" t="s">
        <v>3061</v>
      </c>
      <c r="AL979" s="0" t="s">
        <v>6636</v>
      </c>
      <c r="AO979" s="0" t="s">
        <v>6637</v>
      </c>
      <c r="AP979" s="0" t="s">
        <v>6637</v>
      </c>
      <c r="AR979" s="0" t="s">
        <v>6638</v>
      </c>
    </row>
    <row r="980" customFormat="false" ht="15" hidden="false" customHeight="false" outlineLevel="0" collapsed="false">
      <c r="A980" s="0" t="n">
        <v>979</v>
      </c>
      <c r="B980" s="0" t="s">
        <v>6639</v>
      </c>
      <c r="C980" s="0" t="s">
        <v>43</v>
      </c>
      <c r="F980" s="0" t="s">
        <v>44</v>
      </c>
      <c r="H980" s="0" t="s">
        <v>6640</v>
      </c>
      <c r="I980" s="0" t="s">
        <v>154</v>
      </c>
      <c r="AA980" s="0" t="s">
        <v>47</v>
      </c>
      <c r="AF980" s="3" t="s">
        <v>48</v>
      </c>
      <c r="AG980" s="3" t="s">
        <v>49</v>
      </c>
      <c r="AL980" s="0" t="s">
        <v>6641</v>
      </c>
      <c r="AM980" s="0" t="s">
        <v>6642</v>
      </c>
      <c r="AO980" s="0" t="s">
        <v>6643</v>
      </c>
      <c r="AP980" s="0" t="s">
        <v>6643</v>
      </c>
      <c r="AR980" s="0" t="s">
        <v>6644</v>
      </c>
    </row>
    <row r="981" customFormat="false" ht="15" hidden="false" customHeight="false" outlineLevel="0" collapsed="false">
      <c r="A981" s="0" t="n">
        <v>980</v>
      </c>
      <c r="B981" s="0" t="s">
        <v>6645</v>
      </c>
      <c r="C981" s="0" t="s">
        <v>88</v>
      </c>
      <c r="E981" s="0" t="s">
        <v>6646</v>
      </c>
      <c r="AA981" s="0" t="s">
        <v>47</v>
      </c>
      <c r="AF981" s="3" t="s">
        <v>48</v>
      </c>
      <c r="AG981" s="3" t="s">
        <v>49</v>
      </c>
      <c r="AR981" s="0" t="s">
        <v>6646</v>
      </c>
    </row>
    <row r="982" customFormat="false" ht="15" hidden="false" customHeight="false" outlineLevel="0" collapsed="false">
      <c r="A982" s="0" t="n">
        <v>981</v>
      </c>
      <c r="B982" s="0" t="s">
        <v>6647</v>
      </c>
      <c r="C982" s="0" t="s">
        <v>88</v>
      </c>
      <c r="E982" s="0" t="s">
        <v>6648</v>
      </c>
      <c r="N982" s="3" t="s">
        <v>202</v>
      </c>
      <c r="O982" s="3" t="s">
        <v>202</v>
      </c>
      <c r="P982" s="0" t="s">
        <v>96</v>
      </c>
      <c r="AA982" s="0" t="s">
        <v>47</v>
      </c>
      <c r="AB982" s="0" t="s">
        <v>6649</v>
      </c>
      <c r="AC982" s="0" t="s">
        <v>6650</v>
      </c>
      <c r="AD982" s="0" t="s">
        <v>6651</v>
      </c>
      <c r="AE982" s="0" t="s">
        <v>79</v>
      </c>
      <c r="AF982" s="3" t="s">
        <v>48</v>
      </c>
      <c r="AG982" s="3" t="s">
        <v>49</v>
      </c>
      <c r="AR982" s="0" t="s">
        <v>6648</v>
      </c>
    </row>
    <row r="983" customFormat="false" ht="15" hidden="false" customHeight="false" outlineLevel="0" collapsed="false">
      <c r="A983" s="0" t="n">
        <v>982</v>
      </c>
      <c r="B983" s="0" t="s">
        <v>6652</v>
      </c>
      <c r="C983" s="0" t="s">
        <v>43</v>
      </c>
      <c r="F983" s="0" t="s">
        <v>44</v>
      </c>
      <c r="H983" s="0" t="s">
        <v>6653</v>
      </c>
      <c r="I983" s="0" t="s">
        <v>154</v>
      </c>
      <c r="AA983" s="0" t="s">
        <v>47</v>
      </c>
      <c r="AF983" s="3" t="s">
        <v>48</v>
      </c>
      <c r="AG983" s="3" t="s">
        <v>49</v>
      </c>
      <c r="AO983" s="0" t="s">
        <v>6099</v>
      </c>
      <c r="AP983" s="0" t="s">
        <v>6099</v>
      </c>
      <c r="AR983" s="0" t="s">
        <v>6654</v>
      </c>
    </row>
    <row r="984" customFormat="false" ht="15" hidden="false" customHeight="false" outlineLevel="0" collapsed="false">
      <c r="A984" s="0" t="n">
        <v>983</v>
      </c>
      <c r="B984" s="0" t="s">
        <v>6655</v>
      </c>
      <c r="C984" s="0" t="s">
        <v>88</v>
      </c>
      <c r="E984" s="0" t="s">
        <v>6656</v>
      </c>
      <c r="N984" s="3" t="s">
        <v>186</v>
      </c>
      <c r="O984" s="3" t="s">
        <v>186</v>
      </c>
      <c r="P984" s="0" t="s">
        <v>96</v>
      </c>
      <c r="AA984" s="0" t="s">
        <v>47</v>
      </c>
      <c r="AB984" s="0" t="s">
        <v>6657</v>
      </c>
      <c r="AC984" s="0" t="s">
        <v>6658</v>
      </c>
      <c r="AD984" s="0" t="s">
        <v>6659</v>
      </c>
      <c r="AE984" s="0" t="s">
        <v>79</v>
      </c>
      <c r="AF984" s="3" t="s">
        <v>48</v>
      </c>
      <c r="AG984" s="3" t="s">
        <v>49</v>
      </c>
      <c r="AR984" s="0" t="s">
        <v>6656</v>
      </c>
    </row>
    <row r="985" customFormat="false" ht="15" hidden="false" customHeight="false" outlineLevel="0" collapsed="false">
      <c r="A985" s="0" t="n">
        <v>984</v>
      </c>
      <c r="B985" s="0" t="s">
        <v>6660</v>
      </c>
      <c r="C985" s="0" t="s">
        <v>88</v>
      </c>
      <c r="E985" s="0" t="s">
        <v>6661</v>
      </c>
      <c r="H985" s="0" t="s">
        <v>6662</v>
      </c>
      <c r="I985" s="0" t="s">
        <v>154</v>
      </c>
      <c r="N985" s="3" t="s">
        <v>1248</v>
      </c>
      <c r="O985" s="3" t="s">
        <v>1248</v>
      </c>
      <c r="P985" s="0" t="s">
        <v>96</v>
      </c>
      <c r="AA985" s="0" t="s">
        <v>47</v>
      </c>
      <c r="AB985" s="0" t="s">
        <v>6663</v>
      </c>
      <c r="AC985" s="0" t="s">
        <v>6664</v>
      </c>
      <c r="AD985" s="0" t="s">
        <v>6665</v>
      </c>
      <c r="AE985" s="0" t="s">
        <v>79</v>
      </c>
      <c r="AF985" s="3" t="s">
        <v>48</v>
      </c>
      <c r="AG985" s="3" t="s">
        <v>49</v>
      </c>
      <c r="AL985" s="0" t="s">
        <v>6666</v>
      </c>
      <c r="AP985" s="0" t="s">
        <v>6667</v>
      </c>
      <c r="AR985" s="0" t="s">
        <v>6668</v>
      </c>
    </row>
    <row r="986" customFormat="false" ht="15" hidden="false" customHeight="false" outlineLevel="0" collapsed="false">
      <c r="A986" s="0" t="n">
        <v>985</v>
      </c>
      <c r="B986" s="0" t="s">
        <v>6669</v>
      </c>
      <c r="C986" s="0" t="s">
        <v>244</v>
      </c>
      <c r="E986" s="0" t="s">
        <v>6670</v>
      </c>
      <c r="F986" s="0" t="s">
        <v>44</v>
      </c>
      <c r="H986" s="0" t="s">
        <v>6671</v>
      </c>
      <c r="I986" s="0" t="s">
        <v>115</v>
      </c>
      <c r="J986" s="3" t="s">
        <v>66</v>
      </c>
      <c r="K986" s="0" t="s">
        <v>6672</v>
      </c>
      <c r="L986" s="0" t="s">
        <v>6673</v>
      </c>
      <c r="M986" s="0" t="n">
        <v>1937</v>
      </c>
      <c r="N986" s="0" t="s">
        <v>697</v>
      </c>
      <c r="O986" s="3" t="s">
        <v>119</v>
      </c>
      <c r="P986" s="0" t="s">
        <v>96</v>
      </c>
      <c r="R986" s="0" t="n">
        <v>6000</v>
      </c>
      <c r="S986" s="0" t="n">
        <v>2022</v>
      </c>
      <c r="T986" s="0" t="s">
        <v>72</v>
      </c>
      <c r="U986" s="0" t="s">
        <v>115</v>
      </c>
      <c r="V986" s="0" t="n">
        <v>1300</v>
      </c>
      <c r="W986" s="0" t="s">
        <v>6674</v>
      </c>
      <c r="X986" s="0" t="s">
        <v>6675</v>
      </c>
      <c r="Y986" s="0" t="s">
        <v>698</v>
      </c>
      <c r="Z986" s="0" t="s">
        <v>115</v>
      </c>
      <c r="AA986" s="0" t="s">
        <v>1022</v>
      </c>
      <c r="AB986" s="0" t="s">
        <v>6676</v>
      </c>
      <c r="AC986" s="0" t="s">
        <v>6677</v>
      </c>
      <c r="AD986" s="0" t="s">
        <v>6678</v>
      </c>
      <c r="AE986" s="0" t="s">
        <v>115</v>
      </c>
      <c r="AF986" s="3" t="s">
        <v>80</v>
      </c>
      <c r="AG986" s="3" t="s">
        <v>404</v>
      </c>
      <c r="AH986" s="0" t="n">
        <v>2026</v>
      </c>
      <c r="AI986" s="0" t="s">
        <v>6679</v>
      </c>
      <c r="AJ986" s="0" t="s">
        <v>6680</v>
      </c>
      <c r="AK986" s="0" t="s">
        <v>6681</v>
      </c>
      <c r="AL986" s="0" t="s">
        <v>6682</v>
      </c>
      <c r="AM986" s="0" t="s">
        <v>6683</v>
      </c>
      <c r="AN986" s="0" t="s">
        <v>6672</v>
      </c>
      <c r="AO986" s="0" t="s">
        <v>6684</v>
      </c>
      <c r="AP986" s="0" t="s">
        <v>6685</v>
      </c>
      <c r="AR986" s="0" t="s">
        <v>6686</v>
      </c>
    </row>
    <row r="987" customFormat="false" ht="15" hidden="false" customHeight="false" outlineLevel="0" collapsed="false">
      <c r="A987" s="0" t="n">
        <v>986</v>
      </c>
      <c r="B987" s="0" t="s">
        <v>6687</v>
      </c>
      <c r="C987" s="0" t="s">
        <v>88</v>
      </c>
      <c r="E987" s="0" t="s">
        <v>6688</v>
      </c>
      <c r="H987" s="0" t="s">
        <v>6689</v>
      </c>
      <c r="I987" s="0" t="s">
        <v>94</v>
      </c>
      <c r="N987" s="3" t="s">
        <v>202</v>
      </c>
      <c r="O987" s="3" t="s">
        <v>202</v>
      </c>
      <c r="P987" s="0" t="s">
        <v>96</v>
      </c>
      <c r="AA987" s="0" t="s">
        <v>47</v>
      </c>
      <c r="AB987" s="0" t="s">
        <v>6690</v>
      </c>
      <c r="AC987" s="0" t="s">
        <v>6691</v>
      </c>
      <c r="AD987" s="0" t="s">
        <v>6692</v>
      </c>
      <c r="AE987" s="0" t="s">
        <v>79</v>
      </c>
      <c r="AF987" s="3" t="s">
        <v>48</v>
      </c>
      <c r="AG987" s="3" t="s">
        <v>49</v>
      </c>
      <c r="AR987" s="0" t="s">
        <v>6688</v>
      </c>
    </row>
    <row r="988" customFormat="false" ht="15" hidden="false" customHeight="false" outlineLevel="0" collapsed="false">
      <c r="A988" s="0" t="n">
        <v>987</v>
      </c>
      <c r="B988" s="0" t="s">
        <v>6693</v>
      </c>
      <c r="C988" s="0" t="s">
        <v>52</v>
      </c>
      <c r="D988" s="0" t="s">
        <v>6694</v>
      </c>
      <c r="N988" s="3" t="s">
        <v>69</v>
      </c>
      <c r="O988" s="3" t="s">
        <v>69</v>
      </c>
      <c r="P988" s="0" t="s">
        <v>55</v>
      </c>
      <c r="AA988" s="0" t="s">
        <v>47</v>
      </c>
      <c r="AB988" s="0" t="s">
        <v>6695</v>
      </c>
      <c r="AC988" s="0" t="s">
        <v>6696</v>
      </c>
      <c r="AD988" s="0" t="s">
        <v>6697</v>
      </c>
      <c r="AE988" s="0" t="s">
        <v>59</v>
      </c>
      <c r="AF988" s="3" t="s">
        <v>48</v>
      </c>
      <c r="AG988" s="3" t="s">
        <v>49</v>
      </c>
      <c r="AR988" s="0" t="s">
        <v>6694</v>
      </c>
    </row>
    <row r="989" customFormat="false" ht="15" hidden="false" customHeight="false" outlineLevel="0" collapsed="false">
      <c r="A989" s="0" t="n">
        <v>988</v>
      </c>
      <c r="B989" s="0" t="s">
        <v>6698</v>
      </c>
      <c r="C989" s="0" t="s">
        <v>88</v>
      </c>
      <c r="E989" s="0" t="s">
        <v>6699</v>
      </c>
      <c r="H989" s="0" t="s">
        <v>6700</v>
      </c>
      <c r="I989" s="0" t="s">
        <v>115</v>
      </c>
      <c r="J989" s="3" t="s">
        <v>116</v>
      </c>
      <c r="K989" s="0" t="s">
        <v>6701</v>
      </c>
      <c r="M989" s="0" t="n">
        <v>1969</v>
      </c>
      <c r="N989" s="0" t="s">
        <v>1019</v>
      </c>
      <c r="R989" s="0" t="n">
        <v>8647</v>
      </c>
      <c r="S989" s="0" t="n">
        <v>2026</v>
      </c>
      <c r="T989" s="0" t="s">
        <v>72</v>
      </c>
      <c r="U989" s="0" t="s">
        <v>115</v>
      </c>
      <c r="V989" s="0" t="n">
        <v>2442</v>
      </c>
      <c r="W989" s="0" t="s">
        <v>6702</v>
      </c>
      <c r="X989" s="0" t="s">
        <v>6703</v>
      </c>
      <c r="Y989" s="0" t="s">
        <v>72</v>
      </c>
      <c r="Z989" s="0" t="s">
        <v>115</v>
      </c>
      <c r="AA989" s="0" t="s">
        <v>75</v>
      </c>
      <c r="AB989" s="0" t="s">
        <v>6704</v>
      </c>
      <c r="AC989" s="0" t="s">
        <v>6705</v>
      </c>
      <c r="AD989" s="0" t="s">
        <v>6706</v>
      </c>
      <c r="AE989" s="0" t="s">
        <v>115</v>
      </c>
      <c r="AF989" s="3" t="s">
        <v>108</v>
      </c>
      <c r="AG989" s="3" t="s">
        <v>404</v>
      </c>
      <c r="AH989" s="0" t="n">
        <v>2026</v>
      </c>
      <c r="AI989" s="0" t="s">
        <v>6707</v>
      </c>
      <c r="AJ989" s="0" t="s">
        <v>6708</v>
      </c>
      <c r="AK989" s="0" t="s">
        <v>6709</v>
      </c>
      <c r="AL989" s="0" t="s">
        <v>6710</v>
      </c>
      <c r="AN989" s="0" t="s">
        <v>6711</v>
      </c>
      <c r="AO989" s="0" t="s">
        <v>6712</v>
      </c>
      <c r="AP989" s="0" t="s">
        <v>6713</v>
      </c>
      <c r="AR989" s="0" t="s">
        <v>6714</v>
      </c>
    </row>
    <row r="990" customFormat="false" ht="15" hidden="false" customHeight="false" outlineLevel="0" collapsed="false">
      <c r="A990" s="0" t="n">
        <v>989</v>
      </c>
      <c r="B990" s="0" t="s">
        <v>6715</v>
      </c>
      <c r="C990" s="0" t="s">
        <v>52</v>
      </c>
      <c r="D990" s="0" t="s">
        <v>6716</v>
      </c>
      <c r="H990" s="0" t="s">
        <v>6717</v>
      </c>
      <c r="I990" s="0" t="s">
        <v>94</v>
      </c>
      <c r="J990" s="3" t="s">
        <v>116</v>
      </c>
      <c r="K990" s="0" t="s">
        <v>6701</v>
      </c>
      <c r="M990" s="0" t="n">
        <v>1969</v>
      </c>
      <c r="N990" s="0" t="s">
        <v>1019</v>
      </c>
      <c r="O990" s="3" t="s">
        <v>54</v>
      </c>
      <c r="P990" s="0" t="s">
        <v>55</v>
      </c>
      <c r="R990" s="0" t="n">
        <v>8647</v>
      </c>
      <c r="S990" s="0" t="n">
        <v>2026</v>
      </c>
      <c r="T990" s="0" t="s">
        <v>72</v>
      </c>
      <c r="U990" s="0" t="s">
        <v>115</v>
      </c>
      <c r="V990" s="0" t="n">
        <v>2442</v>
      </c>
      <c r="W990" s="0" t="s">
        <v>6702</v>
      </c>
      <c r="X990" s="0" t="s">
        <v>6703</v>
      </c>
      <c r="Y990" s="0" t="s">
        <v>72</v>
      </c>
      <c r="Z990" s="0" t="s">
        <v>115</v>
      </c>
      <c r="AA990" s="0" t="s">
        <v>75</v>
      </c>
      <c r="AB990" s="0" t="s">
        <v>6704</v>
      </c>
      <c r="AC990" s="0" t="s">
        <v>6705</v>
      </c>
      <c r="AD990" s="0" t="s">
        <v>6706</v>
      </c>
      <c r="AE990" s="0" t="s">
        <v>115</v>
      </c>
      <c r="AF990" s="3" t="s">
        <v>108</v>
      </c>
      <c r="AG990" s="3" t="s">
        <v>404</v>
      </c>
      <c r="AH990" s="0" t="n">
        <v>2026</v>
      </c>
      <c r="AI990" s="0" t="s">
        <v>6707</v>
      </c>
      <c r="AJ990" s="0" t="s">
        <v>6708</v>
      </c>
      <c r="AK990" s="0" t="s">
        <v>6709</v>
      </c>
      <c r="AL990" s="0" t="s">
        <v>6710</v>
      </c>
      <c r="AN990" s="0" t="s">
        <v>6711</v>
      </c>
      <c r="AP990" s="0" t="s">
        <v>6713</v>
      </c>
      <c r="AR990" s="0" t="s">
        <v>6718</v>
      </c>
    </row>
    <row r="991" customFormat="false" ht="15" hidden="false" customHeight="false" outlineLevel="0" collapsed="false">
      <c r="A991" s="0" t="n">
        <v>990</v>
      </c>
      <c r="B991" s="0" t="s">
        <v>6719</v>
      </c>
      <c r="C991" s="0" t="s">
        <v>88</v>
      </c>
      <c r="E991" s="0" t="s">
        <v>6720</v>
      </c>
      <c r="N991" s="3" t="s">
        <v>186</v>
      </c>
      <c r="O991" s="3" t="s">
        <v>186</v>
      </c>
      <c r="P991" s="0" t="s">
        <v>96</v>
      </c>
      <c r="AA991" s="0" t="s">
        <v>47</v>
      </c>
      <c r="AB991" s="0" t="s">
        <v>6721</v>
      </c>
      <c r="AC991" s="0" t="s">
        <v>6722</v>
      </c>
      <c r="AD991" s="0" t="s">
        <v>6723</v>
      </c>
      <c r="AE991" s="0" t="s">
        <v>79</v>
      </c>
      <c r="AF991" s="3" t="s">
        <v>48</v>
      </c>
      <c r="AG991" s="3" t="s">
        <v>49</v>
      </c>
      <c r="AR991" s="0" t="s">
        <v>6720</v>
      </c>
    </row>
    <row r="992" customFormat="false" ht="15" hidden="false" customHeight="false" outlineLevel="0" collapsed="false">
      <c r="A992" s="0" t="n">
        <v>991</v>
      </c>
      <c r="B992" s="0" t="s">
        <v>6724</v>
      </c>
      <c r="C992" s="0" t="s">
        <v>43</v>
      </c>
      <c r="F992" s="0" t="s">
        <v>44</v>
      </c>
      <c r="H992" s="0" t="s">
        <v>6725</v>
      </c>
      <c r="I992" s="0" t="s">
        <v>154</v>
      </c>
      <c r="AA992" s="0" t="s">
        <v>47</v>
      </c>
      <c r="AF992" s="3" t="s">
        <v>48</v>
      </c>
      <c r="AG992" s="3" t="s">
        <v>49</v>
      </c>
      <c r="AP992" s="0" t="s">
        <v>6726</v>
      </c>
      <c r="AR992" s="0" t="s">
        <v>6727</v>
      </c>
    </row>
    <row r="993" customFormat="false" ht="15" hidden="false" customHeight="false" outlineLevel="0" collapsed="false">
      <c r="A993" s="0" t="n">
        <v>992</v>
      </c>
      <c r="B993" s="0" t="s">
        <v>6728</v>
      </c>
      <c r="C993" s="0" t="s">
        <v>88</v>
      </c>
      <c r="E993" s="0" t="s">
        <v>6729</v>
      </c>
      <c r="N993" s="3" t="s">
        <v>202</v>
      </c>
      <c r="O993" s="3" t="s">
        <v>202</v>
      </c>
      <c r="P993" s="0" t="s">
        <v>96</v>
      </c>
      <c r="AA993" s="0" t="s">
        <v>47</v>
      </c>
      <c r="AB993" s="0" t="s">
        <v>6730</v>
      </c>
      <c r="AC993" s="0" t="s">
        <v>6731</v>
      </c>
      <c r="AE993" s="0" t="s">
        <v>79</v>
      </c>
      <c r="AF993" s="3" t="s">
        <v>48</v>
      </c>
      <c r="AG993" s="3" t="s">
        <v>49</v>
      </c>
      <c r="AR993" s="0" t="s">
        <v>6729</v>
      </c>
    </row>
    <row r="994" customFormat="false" ht="15" hidden="false" customHeight="false" outlineLevel="0" collapsed="false">
      <c r="A994" s="0" t="n">
        <v>993</v>
      </c>
      <c r="B994" s="0" t="s">
        <v>6732</v>
      </c>
      <c r="C994" s="0" t="s">
        <v>88</v>
      </c>
      <c r="E994" s="0" t="s">
        <v>6733</v>
      </c>
      <c r="N994" s="3" t="s">
        <v>186</v>
      </c>
      <c r="O994" s="3" t="s">
        <v>186</v>
      </c>
      <c r="P994" s="0" t="s">
        <v>96</v>
      </c>
      <c r="AA994" s="0" t="s">
        <v>47</v>
      </c>
      <c r="AB994" s="0" t="s">
        <v>6734</v>
      </c>
      <c r="AC994" s="0" t="s">
        <v>6735</v>
      </c>
      <c r="AD994" s="0" t="s">
        <v>6736</v>
      </c>
      <c r="AE994" s="0" t="s">
        <v>79</v>
      </c>
      <c r="AF994" s="3" t="s">
        <v>48</v>
      </c>
      <c r="AG994" s="3" t="s">
        <v>49</v>
      </c>
      <c r="AR994" s="0" t="s">
        <v>6733</v>
      </c>
    </row>
    <row r="995" customFormat="false" ht="15" hidden="false" customHeight="false" outlineLevel="0" collapsed="false">
      <c r="A995" s="0" t="n">
        <v>994</v>
      </c>
      <c r="B995" s="0" t="s">
        <v>6737</v>
      </c>
      <c r="C995" s="0" t="s">
        <v>43</v>
      </c>
      <c r="F995" s="0" t="s">
        <v>44</v>
      </c>
      <c r="AA995" s="0" t="s">
        <v>47</v>
      </c>
      <c r="AF995" s="3" t="s">
        <v>48</v>
      </c>
      <c r="AG995" s="3" t="s">
        <v>49</v>
      </c>
      <c r="AR995" s="0" t="s">
        <v>50</v>
      </c>
    </row>
    <row r="996" customFormat="false" ht="15" hidden="false" customHeight="false" outlineLevel="0" collapsed="false">
      <c r="A996" s="0" t="n">
        <v>995</v>
      </c>
      <c r="B996" s="0" t="s">
        <v>6738</v>
      </c>
      <c r="C996" s="0" t="s">
        <v>88</v>
      </c>
      <c r="E996" s="0" t="s">
        <v>6739</v>
      </c>
      <c r="H996" s="0" t="s">
        <v>6740</v>
      </c>
      <c r="I996" s="0" t="s">
        <v>154</v>
      </c>
      <c r="N996" s="3" t="s">
        <v>1298</v>
      </c>
      <c r="O996" s="3" t="s">
        <v>1298</v>
      </c>
      <c r="P996" s="0" t="s">
        <v>96</v>
      </c>
      <c r="AA996" s="0" t="s">
        <v>47</v>
      </c>
      <c r="AB996" s="0" t="s">
        <v>6741</v>
      </c>
      <c r="AC996" s="0" t="s">
        <v>6742</v>
      </c>
      <c r="AE996" s="0" t="s">
        <v>79</v>
      </c>
      <c r="AF996" s="3" t="s">
        <v>48</v>
      </c>
      <c r="AG996" s="3" t="s">
        <v>49</v>
      </c>
      <c r="AL996" s="0" t="s">
        <v>6619</v>
      </c>
      <c r="AM996" s="0" t="s">
        <v>6620</v>
      </c>
      <c r="AO996" s="0" t="s">
        <v>6621</v>
      </c>
      <c r="AP996" s="0" t="s">
        <v>6621</v>
      </c>
      <c r="AR996" s="0" t="s">
        <v>6743</v>
      </c>
    </row>
    <row r="997" customFormat="false" ht="15" hidden="false" customHeight="false" outlineLevel="0" collapsed="false">
      <c r="A997" s="0" t="n">
        <v>996</v>
      </c>
      <c r="B997" s="0" t="s">
        <v>6744</v>
      </c>
      <c r="C997" s="0" t="s">
        <v>43</v>
      </c>
      <c r="F997" s="0" t="s">
        <v>44</v>
      </c>
      <c r="H997" s="0" t="s">
        <v>6740</v>
      </c>
      <c r="I997" s="0" t="s">
        <v>154</v>
      </c>
      <c r="AA997" s="0" t="s">
        <v>47</v>
      </c>
      <c r="AF997" s="3" t="s">
        <v>48</v>
      </c>
      <c r="AG997" s="3" t="s">
        <v>49</v>
      </c>
      <c r="AL997" s="0" t="s">
        <v>6619</v>
      </c>
      <c r="AM997" s="0" t="s">
        <v>6620</v>
      </c>
      <c r="AO997" s="0" t="s">
        <v>6621</v>
      </c>
      <c r="AP997" s="0" t="s">
        <v>6621</v>
      </c>
      <c r="AR997" s="0" t="s">
        <v>6745</v>
      </c>
    </row>
    <row r="998" customFormat="false" ht="15" hidden="false" customHeight="false" outlineLevel="0" collapsed="false">
      <c r="A998" s="0" t="n">
        <v>997</v>
      </c>
      <c r="B998" s="0" t="s">
        <v>6746</v>
      </c>
      <c r="C998" s="0" t="s">
        <v>88</v>
      </c>
      <c r="E998" s="0" t="s">
        <v>6747</v>
      </c>
      <c r="H998" s="0" t="s">
        <v>6748</v>
      </c>
      <c r="I998" s="0" t="s">
        <v>154</v>
      </c>
      <c r="N998" s="3" t="s">
        <v>95</v>
      </c>
      <c r="O998" s="3" t="s">
        <v>95</v>
      </c>
      <c r="P998" s="0" t="s">
        <v>96</v>
      </c>
      <c r="AA998" s="0" t="s">
        <v>47</v>
      </c>
      <c r="AB998" s="0" t="s">
        <v>6749</v>
      </c>
      <c r="AC998" s="0" t="s">
        <v>6750</v>
      </c>
      <c r="AD998" s="0" t="s">
        <v>6751</v>
      </c>
      <c r="AE998" s="0" t="s">
        <v>79</v>
      </c>
      <c r="AF998" s="3" t="s">
        <v>48</v>
      </c>
      <c r="AG998" s="3" t="s">
        <v>49</v>
      </c>
      <c r="AL998" s="0" t="s">
        <v>6752</v>
      </c>
      <c r="AO998" s="0" t="s">
        <v>6753</v>
      </c>
      <c r="AP998" s="0" t="s">
        <v>6753</v>
      </c>
      <c r="AR998" s="0" t="s">
        <v>6754</v>
      </c>
    </row>
    <row r="999" customFormat="false" ht="15" hidden="false" customHeight="false" outlineLevel="0" collapsed="false">
      <c r="A999" s="0" t="n">
        <v>998</v>
      </c>
      <c r="B999" s="0" t="s">
        <v>6755</v>
      </c>
      <c r="C999" s="0" t="s">
        <v>88</v>
      </c>
      <c r="E999" s="0" t="s">
        <v>6756</v>
      </c>
      <c r="H999" s="0" t="s">
        <v>6757</v>
      </c>
      <c r="I999" s="0" t="s">
        <v>46</v>
      </c>
      <c r="N999" s="3" t="s">
        <v>239</v>
      </c>
      <c r="O999" s="3" t="s">
        <v>239</v>
      </c>
      <c r="P999" s="0" t="s">
        <v>96</v>
      </c>
      <c r="AA999" s="0" t="s">
        <v>47</v>
      </c>
      <c r="AB999" s="0" t="s">
        <v>6758</v>
      </c>
      <c r="AC999" s="0" t="s">
        <v>6759</v>
      </c>
      <c r="AE999" s="0" t="s">
        <v>79</v>
      </c>
      <c r="AF999" s="3" t="s">
        <v>48</v>
      </c>
      <c r="AG999" s="3" t="s">
        <v>49</v>
      </c>
      <c r="AR999" s="0" t="s">
        <v>6756</v>
      </c>
    </row>
    <row r="1000" customFormat="false" ht="15" hidden="false" customHeight="false" outlineLevel="0" collapsed="false">
      <c r="A1000" s="0" t="n">
        <v>999</v>
      </c>
      <c r="B1000" s="0" t="s">
        <v>6760</v>
      </c>
      <c r="C1000" s="0" t="s">
        <v>88</v>
      </c>
      <c r="E1000" s="0" t="s">
        <v>6761</v>
      </c>
      <c r="H1000" s="0" t="s">
        <v>6762</v>
      </c>
      <c r="I1000" s="0" t="s">
        <v>154</v>
      </c>
      <c r="N1000" s="3" t="s">
        <v>202</v>
      </c>
      <c r="O1000" s="3" t="s">
        <v>202</v>
      </c>
      <c r="P1000" s="0" t="s">
        <v>96</v>
      </c>
      <c r="AA1000" s="0" t="s">
        <v>47</v>
      </c>
      <c r="AB1000" s="0" t="s">
        <v>6763</v>
      </c>
      <c r="AC1000" s="0" t="s">
        <v>6764</v>
      </c>
      <c r="AD1000" s="0" t="s">
        <v>6765</v>
      </c>
      <c r="AE1000" s="0" t="s">
        <v>79</v>
      </c>
      <c r="AF1000" s="3" t="s">
        <v>48</v>
      </c>
      <c r="AG1000" s="3" t="s">
        <v>49</v>
      </c>
      <c r="AL1000" s="0" t="s">
        <v>6766</v>
      </c>
      <c r="AM1000" s="0" t="s">
        <v>6767</v>
      </c>
      <c r="AO1000" s="0" t="s">
        <v>6768</v>
      </c>
      <c r="AP1000" s="0" t="s">
        <v>6768</v>
      </c>
      <c r="AR1000" s="0" t="s">
        <v>6769</v>
      </c>
    </row>
    <row r="1001" customFormat="false" ht="15" hidden="false" customHeight="false" outlineLevel="0" collapsed="false">
      <c r="A1001" s="0" t="n">
        <v>1000</v>
      </c>
      <c r="B1001" s="0" t="s">
        <v>6770</v>
      </c>
      <c r="C1001" s="0" t="s">
        <v>88</v>
      </c>
      <c r="E1001" s="0" t="s">
        <v>6771</v>
      </c>
      <c r="AA1001" s="0" t="s">
        <v>47</v>
      </c>
      <c r="AF1001" s="3" t="s">
        <v>48</v>
      </c>
      <c r="AG1001" s="3" t="s">
        <v>49</v>
      </c>
      <c r="AR1001" s="0" t="s">
        <v>6771</v>
      </c>
    </row>
    <row r="1002" customFormat="false" ht="15" hidden="false" customHeight="false" outlineLevel="0" collapsed="false">
      <c r="A1002" s="0" t="n">
        <v>1001</v>
      </c>
      <c r="B1002" s="0" t="s">
        <v>6772</v>
      </c>
      <c r="C1002" s="0" t="s">
        <v>88</v>
      </c>
      <c r="E1002" s="0" t="s">
        <v>6773</v>
      </c>
      <c r="N1002" s="3" t="s">
        <v>119</v>
      </c>
      <c r="O1002" s="3" t="s">
        <v>119</v>
      </c>
      <c r="P1002" s="0" t="s">
        <v>96</v>
      </c>
      <c r="AA1002" s="0" t="s">
        <v>47</v>
      </c>
      <c r="AB1002" s="0" t="s">
        <v>6774</v>
      </c>
      <c r="AC1002" s="0" t="s">
        <v>6775</v>
      </c>
      <c r="AD1002" s="0" t="s">
        <v>6776</v>
      </c>
      <c r="AE1002" s="0" t="s">
        <v>79</v>
      </c>
      <c r="AF1002" s="3" t="s">
        <v>48</v>
      </c>
      <c r="AG1002" s="3" t="s">
        <v>49</v>
      </c>
      <c r="AR1002" s="0" t="s">
        <v>6773</v>
      </c>
    </row>
    <row r="1003" customFormat="false" ht="15" hidden="false" customHeight="false" outlineLevel="0" collapsed="false">
      <c r="A1003" s="0" t="n">
        <v>1002</v>
      </c>
      <c r="B1003" s="0" t="s">
        <v>6777</v>
      </c>
      <c r="C1003" s="0" t="s">
        <v>88</v>
      </c>
      <c r="E1003" s="0" t="s">
        <v>6778</v>
      </c>
      <c r="H1003" s="0" t="s">
        <v>6779</v>
      </c>
      <c r="I1003" s="0" t="s">
        <v>154</v>
      </c>
      <c r="N1003" s="3" t="s">
        <v>202</v>
      </c>
      <c r="O1003" s="3" t="s">
        <v>202</v>
      </c>
      <c r="P1003" s="0" t="s">
        <v>96</v>
      </c>
      <c r="AA1003" s="0" t="s">
        <v>47</v>
      </c>
      <c r="AB1003" s="0" t="s">
        <v>6780</v>
      </c>
      <c r="AC1003" s="0" t="s">
        <v>6781</v>
      </c>
      <c r="AD1003" s="0" t="s">
        <v>6782</v>
      </c>
      <c r="AE1003" s="0" t="s">
        <v>79</v>
      </c>
      <c r="AF1003" s="3" t="s">
        <v>48</v>
      </c>
      <c r="AG1003" s="3" t="s">
        <v>49</v>
      </c>
      <c r="AL1003" s="0" t="s">
        <v>6783</v>
      </c>
      <c r="AO1003" s="0" t="s">
        <v>6784</v>
      </c>
      <c r="AP1003" s="0" t="s">
        <v>6784</v>
      </c>
      <c r="AR1003" s="0" t="s">
        <v>6785</v>
      </c>
    </row>
    <row r="1004" customFormat="false" ht="15" hidden="false" customHeight="false" outlineLevel="0" collapsed="false">
      <c r="A1004" s="0" t="n">
        <v>1003</v>
      </c>
      <c r="B1004" s="0" t="s">
        <v>6786</v>
      </c>
      <c r="C1004" s="0" t="s">
        <v>88</v>
      </c>
      <c r="E1004" s="0" t="s">
        <v>6787</v>
      </c>
      <c r="H1004" s="0" t="s">
        <v>6788</v>
      </c>
      <c r="I1004" s="0" t="s">
        <v>154</v>
      </c>
      <c r="AA1004" s="0" t="s">
        <v>47</v>
      </c>
      <c r="AF1004" s="3" t="s">
        <v>48</v>
      </c>
      <c r="AG1004" s="3" t="s">
        <v>49</v>
      </c>
      <c r="AL1004" s="0" t="s">
        <v>6789</v>
      </c>
      <c r="AM1004" s="0" t="s">
        <v>6790</v>
      </c>
      <c r="AO1004" s="0" t="s">
        <v>6791</v>
      </c>
      <c r="AP1004" s="0" t="s">
        <v>6791</v>
      </c>
      <c r="AR1004" s="0" t="s">
        <v>6792</v>
      </c>
    </row>
    <row r="1005" customFormat="false" ht="15" hidden="false" customHeight="false" outlineLevel="0" collapsed="false">
      <c r="A1005" s="0" t="n">
        <v>1004</v>
      </c>
      <c r="B1005" s="0" t="s">
        <v>6793</v>
      </c>
      <c r="C1005" s="0" t="s">
        <v>88</v>
      </c>
      <c r="E1005" s="0" t="s">
        <v>6794</v>
      </c>
      <c r="N1005" s="3" t="s">
        <v>202</v>
      </c>
      <c r="O1005" s="3" t="s">
        <v>202</v>
      </c>
      <c r="P1005" s="0" t="s">
        <v>96</v>
      </c>
      <c r="AA1005" s="0" t="s">
        <v>47</v>
      </c>
      <c r="AB1005" s="0" t="s">
        <v>6795</v>
      </c>
      <c r="AC1005" s="0" t="s">
        <v>6796</v>
      </c>
      <c r="AD1005" s="0" t="s">
        <v>6797</v>
      </c>
      <c r="AE1005" s="0" t="s">
        <v>79</v>
      </c>
      <c r="AF1005" s="3" t="s">
        <v>48</v>
      </c>
      <c r="AG1005" s="3" t="s">
        <v>49</v>
      </c>
      <c r="AR1005" s="0" t="s">
        <v>6794</v>
      </c>
    </row>
    <row r="1006" customFormat="false" ht="15" hidden="false" customHeight="false" outlineLevel="0" collapsed="false">
      <c r="A1006" s="0" t="n">
        <v>1005</v>
      </c>
      <c r="B1006" s="0" t="s">
        <v>6798</v>
      </c>
      <c r="C1006" s="0" t="s">
        <v>43</v>
      </c>
      <c r="F1006" s="0" t="s">
        <v>44</v>
      </c>
      <c r="H1006" s="0" t="s">
        <v>6799</v>
      </c>
      <c r="I1006" s="0" t="s">
        <v>154</v>
      </c>
      <c r="AA1006" s="0" t="s">
        <v>47</v>
      </c>
      <c r="AF1006" s="3" t="s">
        <v>48</v>
      </c>
      <c r="AG1006" s="3" t="s">
        <v>49</v>
      </c>
      <c r="AL1006" s="0" t="s">
        <v>6800</v>
      </c>
      <c r="AM1006" s="0" t="s">
        <v>6801</v>
      </c>
      <c r="AP1006" s="0" t="s">
        <v>6802</v>
      </c>
      <c r="AR1006" s="0" t="s">
        <v>6803</v>
      </c>
    </row>
    <row r="1007" customFormat="false" ht="15" hidden="false" customHeight="false" outlineLevel="0" collapsed="false">
      <c r="A1007" s="0" t="n">
        <v>1006</v>
      </c>
      <c r="B1007" s="0" t="s">
        <v>6804</v>
      </c>
      <c r="C1007" s="0" t="s">
        <v>88</v>
      </c>
      <c r="E1007" s="0" t="s">
        <v>6805</v>
      </c>
      <c r="AA1007" s="0" t="s">
        <v>47</v>
      </c>
      <c r="AF1007" s="3" t="s">
        <v>48</v>
      </c>
      <c r="AG1007" s="3" t="s">
        <v>49</v>
      </c>
      <c r="AR1007" s="0" t="s">
        <v>6805</v>
      </c>
    </row>
    <row r="1008" customFormat="false" ht="15" hidden="false" customHeight="false" outlineLevel="0" collapsed="false">
      <c r="A1008" s="0" t="n">
        <v>1007</v>
      </c>
      <c r="B1008" s="0" t="s">
        <v>6806</v>
      </c>
      <c r="C1008" s="0" t="s">
        <v>43</v>
      </c>
      <c r="F1008" s="0" t="s">
        <v>44</v>
      </c>
      <c r="H1008" s="0" t="s">
        <v>6807</v>
      </c>
      <c r="I1008" s="0" t="s">
        <v>154</v>
      </c>
      <c r="AA1008" s="0" t="s">
        <v>47</v>
      </c>
      <c r="AF1008" s="3" t="s">
        <v>48</v>
      </c>
      <c r="AG1008" s="3" t="s">
        <v>49</v>
      </c>
      <c r="AM1008" s="0" t="s">
        <v>6808</v>
      </c>
      <c r="AO1008" s="0" t="s">
        <v>6809</v>
      </c>
      <c r="AP1008" s="0" t="s">
        <v>6809</v>
      </c>
      <c r="AR1008" s="0" t="s">
        <v>6810</v>
      </c>
    </row>
    <row r="1009" customFormat="false" ht="15" hidden="false" customHeight="false" outlineLevel="0" collapsed="false">
      <c r="A1009" s="0" t="n">
        <v>1008</v>
      </c>
      <c r="B1009" s="0" t="s">
        <v>6811</v>
      </c>
      <c r="C1009" s="0" t="s">
        <v>88</v>
      </c>
      <c r="E1009" s="0" t="s">
        <v>6812</v>
      </c>
      <c r="AA1009" s="0" t="s">
        <v>47</v>
      </c>
      <c r="AB1009" s="0" t="s">
        <v>6813</v>
      </c>
      <c r="AC1009" s="0" t="s">
        <v>6814</v>
      </c>
      <c r="AD1009" s="0" t="s">
        <v>6815</v>
      </c>
      <c r="AE1009" s="0" t="s">
        <v>79</v>
      </c>
      <c r="AF1009" s="3" t="s">
        <v>48</v>
      </c>
      <c r="AG1009" s="3" t="s">
        <v>49</v>
      </c>
      <c r="AR1009" s="0" t="s">
        <v>6812</v>
      </c>
    </row>
    <row r="1010" customFormat="false" ht="15" hidden="false" customHeight="false" outlineLevel="0" collapsed="false">
      <c r="A1010" s="0" t="n">
        <v>1009</v>
      </c>
      <c r="B1010" s="0" t="s">
        <v>6816</v>
      </c>
      <c r="C1010" s="0" t="s">
        <v>88</v>
      </c>
      <c r="E1010" s="0" t="s">
        <v>6817</v>
      </c>
      <c r="H1010" s="0" t="s">
        <v>6818</v>
      </c>
      <c r="I1010" s="0" t="s">
        <v>154</v>
      </c>
      <c r="AA1010" s="0" t="s">
        <v>47</v>
      </c>
      <c r="AF1010" s="3" t="s">
        <v>48</v>
      </c>
      <c r="AG1010" s="3" t="s">
        <v>49</v>
      </c>
      <c r="AL1010" s="0" t="s">
        <v>6819</v>
      </c>
      <c r="AP1010" s="0" t="s">
        <v>6820</v>
      </c>
      <c r="AR1010" s="0" t="s">
        <v>6821</v>
      </c>
    </row>
    <row r="1011" customFormat="false" ht="15" hidden="false" customHeight="false" outlineLevel="0" collapsed="false">
      <c r="A1011" s="0" t="n">
        <v>1010</v>
      </c>
      <c r="B1011" s="0" t="s">
        <v>6822</v>
      </c>
      <c r="C1011" s="0" t="s">
        <v>312</v>
      </c>
      <c r="D1011" s="0" t="s">
        <v>6823</v>
      </c>
      <c r="E1011" s="0" t="s">
        <v>6824</v>
      </c>
      <c r="F1011" s="0" t="s">
        <v>44</v>
      </c>
      <c r="H1011" s="0" t="s">
        <v>6825</v>
      </c>
      <c r="I1011" s="0" t="s">
        <v>154</v>
      </c>
      <c r="N1011" s="3" t="s">
        <v>54</v>
      </c>
      <c r="O1011" s="3" t="s">
        <v>54</v>
      </c>
      <c r="P1011" s="0" t="s">
        <v>55</v>
      </c>
      <c r="AA1011" s="0" t="s">
        <v>47</v>
      </c>
      <c r="AB1011" s="0" t="s">
        <v>6826</v>
      </c>
      <c r="AC1011" s="0" t="s">
        <v>6827</v>
      </c>
      <c r="AD1011" s="0" t="s">
        <v>6828</v>
      </c>
      <c r="AE1011" s="0" t="s">
        <v>79</v>
      </c>
      <c r="AF1011" s="3" t="s">
        <v>149</v>
      </c>
      <c r="AG1011" s="3" t="s">
        <v>81</v>
      </c>
      <c r="AK1011" s="0" t="s">
        <v>6829</v>
      </c>
      <c r="AL1011" s="0" t="s">
        <v>6830</v>
      </c>
      <c r="AO1011" s="0" t="s">
        <v>6831</v>
      </c>
      <c r="AP1011" s="0" t="s">
        <v>6831</v>
      </c>
      <c r="AR1011" s="0" t="s">
        <v>6832</v>
      </c>
    </row>
    <row r="1012" customFormat="false" ht="15" hidden="false" customHeight="false" outlineLevel="0" collapsed="false">
      <c r="A1012" s="0" t="n">
        <v>1011</v>
      </c>
      <c r="B1012" s="0" t="s">
        <v>6833</v>
      </c>
      <c r="C1012" s="0" t="s">
        <v>43</v>
      </c>
      <c r="F1012" s="0" t="s">
        <v>44</v>
      </c>
      <c r="H1012" s="0" t="s">
        <v>6834</v>
      </c>
      <c r="I1012" s="0" t="s">
        <v>154</v>
      </c>
      <c r="AA1012" s="0" t="s">
        <v>47</v>
      </c>
      <c r="AF1012" s="3" t="s">
        <v>48</v>
      </c>
      <c r="AG1012" s="3" t="s">
        <v>49</v>
      </c>
      <c r="AL1012" s="0" t="s">
        <v>6835</v>
      </c>
      <c r="AM1012" s="0" t="s">
        <v>6836</v>
      </c>
      <c r="AO1012" s="0" t="s">
        <v>6837</v>
      </c>
      <c r="AP1012" s="0" t="s">
        <v>6837</v>
      </c>
      <c r="AR1012" s="0" t="s">
        <v>6838</v>
      </c>
    </row>
    <row r="1013" customFormat="false" ht="15" hidden="false" customHeight="false" outlineLevel="0" collapsed="false">
      <c r="A1013" s="0" t="n">
        <v>1012</v>
      </c>
      <c r="B1013" s="0" t="s">
        <v>6839</v>
      </c>
      <c r="C1013" s="0" t="s">
        <v>88</v>
      </c>
      <c r="E1013" s="0" t="s">
        <v>6840</v>
      </c>
      <c r="H1013" s="0" t="s">
        <v>6841</v>
      </c>
      <c r="I1013" s="0" t="s">
        <v>154</v>
      </c>
      <c r="N1013" s="3" t="s">
        <v>202</v>
      </c>
      <c r="O1013" s="3" t="s">
        <v>202</v>
      </c>
      <c r="P1013" s="0" t="s">
        <v>96</v>
      </c>
      <c r="AA1013" s="0" t="s">
        <v>47</v>
      </c>
      <c r="AB1013" s="0" t="s">
        <v>6842</v>
      </c>
      <c r="AC1013" s="0" t="s">
        <v>6843</v>
      </c>
      <c r="AD1013" s="0" t="s">
        <v>6844</v>
      </c>
      <c r="AE1013" s="0" t="s">
        <v>79</v>
      </c>
      <c r="AF1013" s="3" t="s">
        <v>48</v>
      </c>
      <c r="AG1013" s="3" t="s">
        <v>49</v>
      </c>
      <c r="AL1013" s="0" t="s">
        <v>6845</v>
      </c>
      <c r="AM1013" s="0" t="s">
        <v>6846</v>
      </c>
      <c r="AO1013" s="0" t="s">
        <v>6847</v>
      </c>
      <c r="AP1013" s="0" t="s">
        <v>6847</v>
      </c>
      <c r="AR1013" s="0" t="s">
        <v>6848</v>
      </c>
    </row>
    <row r="1014" customFormat="false" ht="15" hidden="false" customHeight="false" outlineLevel="0" collapsed="false">
      <c r="A1014" s="0" t="n">
        <v>1013</v>
      </c>
      <c r="B1014" s="0" t="s">
        <v>6849</v>
      </c>
      <c r="C1014" s="0" t="s">
        <v>88</v>
      </c>
      <c r="E1014" s="0" t="s">
        <v>6850</v>
      </c>
      <c r="N1014" s="3" t="s">
        <v>119</v>
      </c>
      <c r="O1014" s="3" t="s">
        <v>119</v>
      </c>
      <c r="P1014" s="0" t="s">
        <v>96</v>
      </c>
      <c r="AA1014" s="0" t="s">
        <v>47</v>
      </c>
      <c r="AB1014" s="0" t="s">
        <v>6851</v>
      </c>
      <c r="AC1014" s="0" t="s">
        <v>6852</v>
      </c>
      <c r="AD1014" s="0" t="s">
        <v>6853</v>
      </c>
      <c r="AE1014" s="0" t="s">
        <v>79</v>
      </c>
      <c r="AF1014" s="3" t="s">
        <v>48</v>
      </c>
      <c r="AG1014" s="3" t="s">
        <v>49</v>
      </c>
      <c r="AR1014" s="0" t="s">
        <v>6850</v>
      </c>
    </row>
    <row r="1015" customFormat="false" ht="15" hidden="false" customHeight="false" outlineLevel="0" collapsed="false">
      <c r="A1015" s="0" t="n">
        <v>1014</v>
      </c>
      <c r="B1015" s="0" t="s">
        <v>6854</v>
      </c>
      <c r="C1015" s="0" t="s">
        <v>61</v>
      </c>
      <c r="D1015" s="0" t="s">
        <v>6855</v>
      </c>
      <c r="E1015" s="0" t="s">
        <v>6856</v>
      </c>
      <c r="H1015" s="0" t="s">
        <v>6857</v>
      </c>
      <c r="I1015" s="0" t="s">
        <v>65</v>
      </c>
      <c r="J1015" s="3" t="s">
        <v>162</v>
      </c>
      <c r="N1015" s="3" t="s">
        <v>104</v>
      </c>
      <c r="O1015" s="3" t="s">
        <v>104</v>
      </c>
      <c r="P1015" s="0" t="s">
        <v>55</v>
      </c>
      <c r="Q1015" s="0" t="s">
        <v>6858</v>
      </c>
      <c r="AA1015" s="0" t="s">
        <v>47</v>
      </c>
      <c r="AB1015" s="0" t="s">
        <v>6859</v>
      </c>
      <c r="AC1015" s="0" t="s">
        <v>6860</v>
      </c>
      <c r="AD1015" s="0" t="s">
        <v>6861</v>
      </c>
      <c r="AE1015" s="0" t="s">
        <v>79</v>
      </c>
      <c r="AF1015" s="3" t="s">
        <v>149</v>
      </c>
      <c r="AG1015" s="3" t="s">
        <v>81</v>
      </c>
      <c r="AK1015" s="0" t="s">
        <v>6862</v>
      </c>
      <c r="AL1015" s="0" t="s">
        <v>6863</v>
      </c>
      <c r="AO1015" s="0" t="s">
        <v>6864</v>
      </c>
      <c r="AP1015" s="0" t="s">
        <v>6864</v>
      </c>
      <c r="AQ1015" s="0" t="s">
        <v>6865</v>
      </c>
      <c r="AR1015" s="0" t="s">
        <v>6866</v>
      </c>
    </row>
    <row r="1016" customFormat="false" ht="15" hidden="false" customHeight="false" outlineLevel="0" collapsed="false">
      <c r="A1016" s="0" t="n">
        <v>1015</v>
      </c>
      <c r="B1016" s="0" t="s">
        <v>6867</v>
      </c>
      <c r="C1016" s="0" t="s">
        <v>88</v>
      </c>
      <c r="E1016" s="0" t="s">
        <v>6868</v>
      </c>
      <c r="AA1016" s="0" t="s">
        <v>47</v>
      </c>
      <c r="AF1016" s="3" t="s">
        <v>48</v>
      </c>
      <c r="AG1016" s="3" t="s">
        <v>49</v>
      </c>
      <c r="AR1016" s="0" t="s">
        <v>6868</v>
      </c>
    </row>
    <row r="1017" customFormat="false" ht="15" hidden="false" customHeight="false" outlineLevel="0" collapsed="false">
      <c r="A1017" s="0" t="n">
        <v>1016</v>
      </c>
      <c r="B1017" s="0" t="s">
        <v>6869</v>
      </c>
      <c r="C1017" s="0" t="s">
        <v>88</v>
      </c>
      <c r="E1017" s="0" t="s">
        <v>6870</v>
      </c>
      <c r="N1017" s="3" t="s">
        <v>95</v>
      </c>
      <c r="O1017" s="3" t="s">
        <v>95</v>
      </c>
      <c r="P1017" s="0" t="s">
        <v>96</v>
      </c>
      <c r="AA1017" s="0" t="s">
        <v>47</v>
      </c>
      <c r="AB1017" s="0" t="s">
        <v>6871</v>
      </c>
      <c r="AC1017" s="0" t="s">
        <v>6872</v>
      </c>
      <c r="AD1017" s="0" t="s">
        <v>6873</v>
      </c>
      <c r="AE1017" s="0" t="s">
        <v>79</v>
      </c>
      <c r="AF1017" s="3" t="s">
        <v>48</v>
      </c>
      <c r="AG1017" s="3" t="s">
        <v>49</v>
      </c>
      <c r="AR1017" s="0" t="s">
        <v>6870</v>
      </c>
    </row>
    <row r="1018" customFormat="false" ht="15" hidden="false" customHeight="false" outlineLevel="0" collapsed="false">
      <c r="A1018" s="0" t="n">
        <v>1017</v>
      </c>
      <c r="B1018" s="0" t="s">
        <v>6874</v>
      </c>
      <c r="C1018" s="0" t="s">
        <v>88</v>
      </c>
      <c r="E1018" s="0" t="s">
        <v>6875</v>
      </c>
      <c r="AA1018" s="0" t="s">
        <v>47</v>
      </c>
      <c r="AF1018" s="3" t="s">
        <v>48</v>
      </c>
      <c r="AG1018" s="3" t="s">
        <v>49</v>
      </c>
      <c r="AR1018" s="0" t="s">
        <v>6875</v>
      </c>
    </row>
    <row r="1019" customFormat="false" ht="15" hidden="false" customHeight="false" outlineLevel="0" collapsed="false">
      <c r="A1019" s="0" t="n">
        <v>1018</v>
      </c>
      <c r="B1019" s="0" t="s">
        <v>6876</v>
      </c>
      <c r="C1019" s="0" t="s">
        <v>43</v>
      </c>
      <c r="F1019" s="0" t="s">
        <v>44</v>
      </c>
      <c r="H1019" s="0" t="s">
        <v>6877</v>
      </c>
      <c r="I1019" s="0" t="s">
        <v>154</v>
      </c>
      <c r="AA1019" s="0" t="s">
        <v>47</v>
      </c>
      <c r="AF1019" s="3" t="s">
        <v>48</v>
      </c>
      <c r="AG1019" s="3" t="s">
        <v>49</v>
      </c>
      <c r="AL1019" s="0" t="s">
        <v>6878</v>
      </c>
      <c r="AO1019" s="0" t="s">
        <v>6879</v>
      </c>
      <c r="AP1019" s="0" t="s">
        <v>6879</v>
      </c>
      <c r="AR1019" s="0" t="s">
        <v>6880</v>
      </c>
    </row>
    <row r="1020" customFormat="false" ht="15" hidden="false" customHeight="false" outlineLevel="0" collapsed="false">
      <c r="A1020" s="0" t="n">
        <v>1019</v>
      </c>
      <c r="B1020" s="0" t="s">
        <v>6881</v>
      </c>
      <c r="C1020" s="0" t="s">
        <v>88</v>
      </c>
      <c r="E1020" s="0" t="s">
        <v>6882</v>
      </c>
      <c r="AA1020" s="0" t="s">
        <v>47</v>
      </c>
      <c r="AF1020" s="3" t="s">
        <v>48</v>
      </c>
      <c r="AG1020" s="3" t="s">
        <v>49</v>
      </c>
      <c r="AR1020" s="0" t="s">
        <v>6882</v>
      </c>
    </row>
    <row r="1021" customFormat="false" ht="15" hidden="false" customHeight="false" outlineLevel="0" collapsed="false">
      <c r="A1021" s="0" t="n">
        <v>1020</v>
      </c>
      <c r="B1021" s="0" t="s">
        <v>6883</v>
      </c>
      <c r="C1021" s="0" t="s">
        <v>88</v>
      </c>
      <c r="E1021" s="0" t="s">
        <v>6884</v>
      </c>
      <c r="H1021" s="0" t="s">
        <v>6885</v>
      </c>
      <c r="I1021" s="0" t="s">
        <v>154</v>
      </c>
      <c r="N1021" s="3" t="s">
        <v>202</v>
      </c>
      <c r="O1021" s="3" t="s">
        <v>202</v>
      </c>
      <c r="P1021" s="0" t="s">
        <v>96</v>
      </c>
      <c r="AA1021" s="0" t="s">
        <v>47</v>
      </c>
      <c r="AB1021" s="0" t="s">
        <v>6886</v>
      </c>
      <c r="AC1021" s="0" t="s">
        <v>6887</v>
      </c>
      <c r="AD1021" s="0" t="s">
        <v>6888</v>
      </c>
      <c r="AE1021" s="0" t="s">
        <v>79</v>
      </c>
      <c r="AF1021" s="3" t="s">
        <v>48</v>
      </c>
      <c r="AG1021" s="3" t="s">
        <v>49</v>
      </c>
      <c r="AO1021" s="0" t="s">
        <v>6889</v>
      </c>
      <c r="AP1021" s="0" t="s">
        <v>6889</v>
      </c>
      <c r="AR1021" s="0" t="s">
        <v>6890</v>
      </c>
    </row>
    <row r="1022" customFormat="false" ht="15" hidden="false" customHeight="false" outlineLevel="0" collapsed="false">
      <c r="A1022" s="0" t="n">
        <v>1021</v>
      </c>
      <c r="B1022" s="0" t="s">
        <v>6891</v>
      </c>
      <c r="C1022" s="0" t="s">
        <v>88</v>
      </c>
      <c r="E1022" s="0" t="s">
        <v>6892</v>
      </c>
      <c r="H1022" s="0" t="s">
        <v>6893</v>
      </c>
      <c r="I1022" s="0" t="s">
        <v>94</v>
      </c>
      <c r="AA1022" s="0" t="s">
        <v>47</v>
      </c>
      <c r="AF1022" s="3" t="s">
        <v>48</v>
      </c>
      <c r="AG1022" s="3" t="s">
        <v>49</v>
      </c>
      <c r="AL1022" s="0" t="s">
        <v>6894</v>
      </c>
      <c r="AP1022" s="0" t="s">
        <v>6895</v>
      </c>
      <c r="AR1022" s="0" t="s">
        <v>6896</v>
      </c>
    </row>
    <row r="1023" customFormat="false" ht="15" hidden="false" customHeight="false" outlineLevel="0" collapsed="false">
      <c r="A1023" s="0" t="n">
        <v>1022</v>
      </c>
      <c r="B1023" s="0" t="s">
        <v>6897</v>
      </c>
      <c r="C1023" s="0" t="s">
        <v>88</v>
      </c>
      <c r="E1023" s="0" t="s">
        <v>6898</v>
      </c>
      <c r="H1023" s="0" t="s">
        <v>6899</v>
      </c>
      <c r="I1023" s="0" t="s">
        <v>154</v>
      </c>
      <c r="N1023" s="3" t="s">
        <v>119</v>
      </c>
      <c r="O1023" s="3" t="s">
        <v>119</v>
      </c>
      <c r="P1023" s="0" t="s">
        <v>96</v>
      </c>
      <c r="AA1023" s="0" t="s">
        <v>47</v>
      </c>
      <c r="AB1023" s="0" t="s">
        <v>6900</v>
      </c>
      <c r="AC1023" s="0" t="s">
        <v>6901</v>
      </c>
      <c r="AD1023" s="0" t="s">
        <v>6902</v>
      </c>
      <c r="AE1023" s="0" t="s">
        <v>79</v>
      </c>
      <c r="AF1023" s="3" t="s">
        <v>48</v>
      </c>
      <c r="AG1023" s="3" t="s">
        <v>49</v>
      </c>
      <c r="AL1023" s="0" t="s">
        <v>6903</v>
      </c>
      <c r="AO1023" s="0" t="s">
        <v>6904</v>
      </c>
      <c r="AP1023" s="0" t="s">
        <v>6904</v>
      </c>
      <c r="AR1023" s="0" t="s">
        <v>6905</v>
      </c>
    </row>
    <row r="1024" customFormat="false" ht="15" hidden="false" customHeight="false" outlineLevel="0" collapsed="false">
      <c r="A1024" s="0" t="n">
        <v>1023</v>
      </c>
      <c r="B1024" s="0" t="s">
        <v>6906</v>
      </c>
      <c r="C1024" s="0" t="s">
        <v>88</v>
      </c>
      <c r="E1024" s="0" t="s">
        <v>6907</v>
      </c>
      <c r="AA1024" s="0" t="s">
        <v>47</v>
      </c>
      <c r="AF1024" s="3" t="s">
        <v>48</v>
      </c>
      <c r="AG1024" s="3" t="s">
        <v>49</v>
      </c>
      <c r="AR1024" s="0" t="s">
        <v>6907</v>
      </c>
    </row>
    <row r="1025" customFormat="false" ht="15" hidden="false" customHeight="false" outlineLevel="0" collapsed="false">
      <c r="A1025" s="0" t="n">
        <v>1024</v>
      </c>
      <c r="B1025" s="0" t="s">
        <v>6908</v>
      </c>
      <c r="C1025" s="0" t="s">
        <v>88</v>
      </c>
      <c r="E1025" s="0" t="s">
        <v>6909</v>
      </c>
      <c r="H1025" s="0" t="s">
        <v>6910</v>
      </c>
      <c r="I1025" s="0" t="s">
        <v>154</v>
      </c>
      <c r="N1025" s="3" t="s">
        <v>1298</v>
      </c>
      <c r="O1025" s="3" t="s">
        <v>1298</v>
      </c>
      <c r="P1025" s="0" t="s">
        <v>96</v>
      </c>
      <c r="AA1025" s="0" t="s">
        <v>47</v>
      </c>
      <c r="AB1025" s="0" t="s">
        <v>6911</v>
      </c>
      <c r="AC1025" s="0" t="s">
        <v>6912</v>
      </c>
      <c r="AE1025" s="0" t="s">
        <v>79</v>
      </c>
      <c r="AF1025" s="3" t="s">
        <v>48</v>
      </c>
      <c r="AG1025" s="3" t="s">
        <v>49</v>
      </c>
      <c r="AL1025" s="0" t="s">
        <v>6913</v>
      </c>
      <c r="AO1025" s="0" t="s">
        <v>6914</v>
      </c>
      <c r="AP1025" s="0" t="s">
        <v>6914</v>
      </c>
      <c r="AR1025" s="0" t="s">
        <v>6915</v>
      </c>
    </row>
    <row r="1026" customFormat="false" ht="15" hidden="false" customHeight="false" outlineLevel="0" collapsed="false">
      <c r="A1026" s="0" t="n">
        <v>1025</v>
      </c>
      <c r="B1026" s="0" t="s">
        <v>6916</v>
      </c>
      <c r="C1026" s="0" t="s">
        <v>43</v>
      </c>
      <c r="F1026" s="0" t="s">
        <v>44</v>
      </c>
      <c r="H1026" s="0" t="s">
        <v>6917</v>
      </c>
      <c r="I1026" s="0" t="s">
        <v>154</v>
      </c>
      <c r="AA1026" s="0" t="s">
        <v>47</v>
      </c>
      <c r="AF1026" s="3" t="s">
        <v>48</v>
      </c>
      <c r="AG1026" s="3" t="s">
        <v>49</v>
      </c>
      <c r="AL1026" s="0" t="s">
        <v>6918</v>
      </c>
      <c r="AM1026" s="0" t="s">
        <v>6919</v>
      </c>
      <c r="AO1026" s="0" t="s">
        <v>6920</v>
      </c>
      <c r="AP1026" s="0" t="s">
        <v>6920</v>
      </c>
      <c r="AR1026" s="0" t="s">
        <v>6921</v>
      </c>
    </row>
    <row r="1027" customFormat="false" ht="15" hidden="false" customHeight="false" outlineLevel="0" collapsed="false">
      <c r="A1027" s="0" t="n">
        <v>1026</v>
      </c>
      <c r="B1027" s="0" t="s">
        <v>6922</v>
      </c>
      <c r="C1027" s="0" t="s">
        <v>88</v>
      </c>
      <c r="E1027" s="0" t="s">
        <v>6923</v>
      </c>
      <c r="N1027" s="3" t="s">
        <v>95</v>
      </c>
      <c r="O1027" s="3" t="s">
        <v>95</v>
      </c>
      <c r="P1027" s="0" t="s">
        <v>96</v>
      </c>
      <c r="AA1027" s="0" t="s">
        <v>47</v>
      </c>
      <c r="AB1027" s="0" t="s">
        <v>6924</v>
      </c>
      <c r="AC1027" s="0" t="s">
        <v>6925</v>
      </c>
      <c r="AD1027" s="0" t="s">
        <v>6926</v>
      </c>
      <c r="AE1027" s="0" t="s">
        <v>79</v>
      </c>
      <c r="AF1027" s="3" t="s">
        <v>48</v>
      </c>
      <c r="AG1027" s="3" t="s">
        <v>49</v>
      </c>
      <c r="AR1027" s="0" t="s">
        <v>6923</v>
      </c>
    </row>
    <row r="1028" customFormat="false" ht="15" hidden="false" customHeight="false" outlineLevel="0" collapsed="false">
      <c r="A1028" s="0" t="n">
        <v>1027</v>
      </c>
      <c r="B1028" s="0" t="s">
        <v>6927</v>
      </c>
      <c r="C1028" s="0" t="s">
        <v>914</v>
      </c>
      <c r="E1028" s="0" t="s">
        <v>6928</v>
      </c>
      <c r="F1028" s="0" t="s">
        <v>146</v>
      </c>
      <c r="H1028" s="0" t="s">
        <v>6929</v>
      </c>
      <c r="I1028" s="0" t="s">
        <v>154</v>
      </c>
      <c r="N1028" s="3" t="s">
        <v>213</v>
      </c>
      <c r="O1028" s="3" t="s">
        <v>213</v>
      </c>
      <c r="P1028" s="0" t="s">
        <v>96</v>
      </c>
      <c r="Q1028" s="0" t="s">
        <v>6930</v>
      </c>
      <c r="AA1028" s="0" t="s">
        <v>47</v>
      </c>
      <c r="AB1028" s="0" t="s">
        <v>6931</v>
      </c>
      <c r="AC1028" s="0" t="s">
        <v>6932</v>
      </c>
      <c r="AD1028" s="0" t="s">
        <v>6933</v>
      </c>
      <c r="AE1028" s="0" t="s">
        <v>79</v>
      </c>
      <c r="AF1028" s="3" t="s">
        <v>108</v>
      </c>
      <c r="AG1028" s="3" t="s">
        <v>49</v>
      </c>
      <c r="AH1028" s="0" t="n">
        <v>2026</v>
      </c>
      <c r="AI1028" s="0" t="s">
        <v>1530</v>
      </c>
      <c r="AJ1028" s="0" t="s">
        <v>1531</v>
      </c>
      <c r="AK1028" s="0" t="s">
        <v>6934</v>
      </c>
      <c r="AL1028" s="0" t="s">
        <v>6935</v>
      </c>
      <c r="AO1028" s="0" t="s">
        <v>6936</v>
      </c>
      <c r="AP1028" s="0" t="s">
        <v>6936</v>
      </c>
      <c r="AR1028" s="0" t="s">
        <v>6937</v>
      </c>
    </row>
    <row r="1029" customFormat="false" ht="15" hidden="false" customHeight="false" outlineLevel="0" collapsed="false">
      <c r="A1029" s="0" t="n">
        <v>1028</v>
      </c>
      <c r="B1029" s="0" t="s">
        <v>6938</v>
      </c>
      <c r="C1029" s="0" t="s">
        <v>88</v>
      </c>
      <c r="E1029" s="0" t="s">
        <v>6939</v>
      </c>
      <c r="AA1029" s="0" t="s">
        <v>47</v>
      </c>
      <c r="AF1029" s="3" t="s">
        <v>48</v>
      </c>
      <c r="AG1029" s="3" t="s">
        <v>49</v>
      </c>
      <c r="AR1029" s="0" t="s">
        <v>6939</v>
      </c>
    </row>
    <row r="1030" customFormat="false" ht="15" hidden="false" customHeight="false" outlineLevel="0" collapsed="false">
      <c r="A1030" s="0" t="n">
        <v>1029</v>
      </c>
      <c r="B1030" s="0" t="s">
        <v>6940</v>
      </c>
      <c r="C1030" s="0" t="s">
        <v>43</v>
      </c>
      <c r="F1030" s="0" t="s">
        <v>44</v>
      </c>
      <c r="H1030" s="0" t="s">
        <v>6941</v>
      </c>
      <c r="I1030" s="0" t="s">
        <v>115</v>
      </c>
      <c r="J1030" s="3" t="s">
        <v>66</v>
      </c>
      <c r="K1030" s="0" t="s">
        <v>6942</v>
      </c>
      <c r="M1030" s="0" t="n">
        <v>1978</v>
      </c>
      <c r="N1030" s="0" t="s">
        <v>1362</v>
      </c>
      <c r="O1030" s="3" t="s">
        <v>186</v>
      </c>
      <c r="P1030" s="0" t="s">
        <v>96</v>
      </c>
      <c r="R1030" s="0" t="n">
        <v>2000</v>
      </c>
      <c r="S1030" s="0" t="n">
        <v>2024</v>
      </c>
      <c r="T1030" s="0" t="s">
        <v>72</v>
      </c>
      <c r="U1030" s="0" t="s">
        <v>115</v>
      </c>
      <c r="V1030" s="0" t="n">
        <v>650</v>
      </c>
      <c r="W1030" s="0" t="s">
        <v>6943</v>
      </c>
      <c r="X1030" s="0" t="s">
        <v>700</v>
      </c>
      <c r="Y1030" s="0" t="s">
        <v>698</v>
      </c>
      <c r="Z1030" s="0" t="s">
        <v>115</v>
      </c>
      <c r="AA1030" s="0" t="s">
        <v>698</v>
      </c>
      <c r="AB1030" s="0" t="s">
        <v>6944</v>
      </c>
      <c r="AC1030" s="0" t="s">
        <v>6945</v>
      </c>
      <c r="AD1030" s="0" t="s">
        <v>6946</v>
      </c>
      <c r="AE1030" s="0" t="s">
        <v>115</v>
      </c>
      <c r="AF1030" s="3" t="s">
        <v>108</v>
      </c>
      <c r="AG1030" s="3" t="s">
        <v>404</v>
      </c>
      <c r="AH1030" s="0" t="n">
        <v>2026</v>
      </c>
      <c r="AI1030" s="0" t="s">
        <v>6947</v>
      </c>
      <c r="AJ1030" s="0" t="s">
        <v>6948</v>
      </c>
      <c r="AK1030" s="0" t="s">
        <v>6949</v>
      </c>
      <c r="AL1030" s="0" t="s">
        <v>6950</v>
      </c>
      <c r="AN1030" s="0" t="s">
        <v>6951</v>
      </c>
      <c r="AO1030" s="0" t="s">
        <v>6952</v>
      </c>
      <c r="AP1030" s="0" t="s">
        <v>6952</v>
      </c>
      <c r="AR1030" s="0" t="s">
        <v>6953</v>
      </c>
    </row>
    <row r="1031" customFormat="false" ht="15" hidden="false" customHeight="false" outlineLevel="0" collapsed="false">
      <c r="A1031" s="0" t="n">
        <v>1030</v>
      </c>
      <c r="B1031" s="0" t="s">
        <v>6954</v>
      </c>
      <c r="C1031" s="0" t="s">
        <v>43</v>
      </c>
      <c r="F1031" s="0" t="s">
        <v>44</v>
      </c>
      <c r="H1031" s="0" t="s">
        <v>6955</v>
      </c>
      <c r="I1031" s="0" t="s">
        <v>154</v>
      </c>
      <c r="AA1031" s="0" t="s">
        <v>47</v>
      </c>
      <c r="AF1031" s="3" t="s">
        <v>108</v>
      </c>
      <c r="AG1031" s="3" t="s">
        <v>49</v>
      </c>
      <c r="AH1031" s="0" t="n">
        <v>2026</v>
      </c>
      <c r="AI1031" s="0" t="s">
        <v>6956</v>
      </c>
      <c r="AJ1031" s="0" t="s">
        <v>6957</v>
      </c>
      <c r="AL1031" s="0" t="s">
        <v>6958</v>
      </c>
      <c r="AO1031" s="0" t="s">
        <v>6959</v>
      </c>
      <c r="AP1031" s="0" t="s">
        <v>6959</v>
      </c>
      <c r="AR1031" s="0" t="s">
        <v>6960</v>
      </c>
    </row>
    <row r="1032" customFormat="false" ht="15" hidden="false" customHeight="false" outlineLevel="0" collapsed="false">
      <c r="A1032" s="0" t="n">
        <v>1031</v>
      </c>
      <c r="B1032" s="0" t="s">
        <v>6961</v>
      </c>
      <c r="C1032" s="0" t="s">
        <v>88</v>
      </c>
      <c r="E1032" s="0" t="s">
        <v>6962</v>
      </c>
      <c r="N1032" s="3" t="s">
        <v>213</v>
      </c>
      <c r="O1032" s="3" t="s">
        <v>213</v>
      </c>
      <c r="P1032" s="0" t="s">
        <v>96</v>
      </c>
      <c r="AA1032" s="0" t="s">
        <v>47</v>
      </c>
      <c r="AB1032" s="0" t="s">
        <v>6963</v>
      </c>
      <c r="AC1032" s="0" t="s">
        <v>6964</v>
      </c>
      <c r="AD1032" s="0" t="s">
        <v>6965</v>
      </c>
      <c r="AE1032" s="0" t="s">
        <v>79</v>
      </c>
      <c r="AF1032" s="3" t="s">
        <v>48</v>
      </c>
      <c r="AG1032" s="3" t="s">
        <v>49</v>
      </c>
      <c r="AR1032" s="0" t="s">
        <v>6962</v>
      </c>
    </row>
    <row r="1033" customFormat="false" ht="15" hidden="false" customHeight="false" outlineLevel="0" collapsed="false">
      <c r="A1033" s="0" t="n">
        <v>1032</v>
      </c>
      <c r="B1033" s="0" t="s">
        <v>6966</v>
      </c>
      <c r="C1033" s="0" t="s">
        <v>244</v>
      </c>
      <c r="E1033" s="0" t="s">
        <v>6967</v>
      </c>
      <c r="F1033" s="0" t="s">
        <v>44</v>
      </c>
      <c r="H1033" s="0" t="s">
        <v>6968</v>
      </c>
      <c r="I1033" s="0" t="s">
        <v>154</v>
      </c>
      <c r="N1033" s="3" t="s">
        <v>186</v>
      </c>
      <c r="O1033" s="3" t="s">
        <v>186</v>
      </c>
      <c r="P1033" s="0" t="s">
        <v>96</v>
      </c>
      <c r="AA1033" s="0" t="s">
        <v>47</v>
      </c>
      <c r="AB1033" s="0" t="s">
        <v>6969</v>
      </c>
      <c r="AC1033" s="0" t="s">
        <v>6970</v>
      </c>
      <c r="AD1033" s="0" t="s">
        <v>6971</v>
      </c>
      <c r="AE1033" s="0" t="s">
        <v>79</v>
      </c>
      <c r="AF1033" s="3" t="s">
        <v>108</v>
      </c>
      <c r="AG1033" s="3" t="s">
        <v>49</v>
      </c>
      <c r="AH1033" s="0" t="n">
        <v>2026</v>
      </c>
      <c r="AI1033" s="0" t="s">
        <v>829</v>
      </c>
      <c r="AJ1033" s="0" t="s">
        <v>830</v>
      </c>
      <c r="AK1033" s="0" t="s">
        <v>6972</v>
      </c>
      <c r="AL1033" s="0" t="s">
        <v>6973</v>
      </c>
      <c r="AO1033" s="0" t="s">
        <v>6974</v>
      </c>
      <c r="AP1033" s="0" t="s">
        <v>6974</v>
      </c>
      <c r="AR1033" s="0" t="s">
        <v>6975</v>
      </c>
    </row>
    <row r="1034" customFormat="false" ht="15" hidden="false" customHeight="false" outlineLevel="0" collapsed="false">
      <c r="A1034" s="0" t="n">
        <v>1033</v>
      </c>
      <c r="B1034" s="0" t="s">
        <v>6976</v>
      </c>
      <c r="C1034" s="0" t="s">
        <v>43</v>
      </c>
      <c r="F1034" s="0" t="s">
        <v>44</v>
      </c>
      <c r="H1034" s="0" t="s">
        <v>6977</v>
      </c>
      <c r="I1034" s="0" t="s">
        <v>94</v>
      </c>
      <c r="AA1034" s="0" t="s">
        <v>47</v>
      </c>
      <c r="AF1034" s="3" t="s">
        <v>48</v>
      </c>
      <c r="AG1034" s="3" t="s">
        <v>49</v>
      </c>
      <c r="AL1034" s="0" t="s">
        <v>6978</v>
      </c>
      <c r="AM1034" s="0" t="s">
        <v>6979</v>
      </c>
      <c r="AO1034" s="0" t="s">
        <v>6980</v>
      </c>
      <c r="AP1034" s="0" t="s">
        <v>6980</v>
      </c>
      <c r="AR1034" s="0" t="s">
        <v>6981</v>
      </c>
    </row>
    <row r="1035" customFormat="false" ht="15" hidden="false" customHeight="false" outlineLevel="0" collapsed="false">
      <c r="A1035" s="0" t="n">
        <v>1034</v>
      </c>
      <c r="B1035" s="0" t="s">
        <v>6982</v>
      </c>
      <c r="C1035" s="0" t="s">
        <v>88</v>
      </c>
      <c r="E1035" s="0" t="s">
        <v>6983</v>
      </c>
      <c r="N1035" s="3" t="s">
        <v>186</v>
      </c>
      <c r="O1035" s="3" t="s">
        <v>186</v>
      </c>
      <c r="P1035" s="0" t="s">
        <v>96</v>
      </c>
      <c r="AA1035" s="0" t="s">
        <v>47</v>
      </c>
      <c r="AB1035" s="0" t="s">
        <v>6984</v>
      </c>
      <c r="AC1035" s="0" t="s">
        <v>6985</v>
      </c>
      <c r="AE1035" s="0" t="s">
        <v>79</v>
      </c>
      <c r="AF1035" s="3" t="s">
        <v>48</v>
      </c>
      <c r="AG1035" s="3" t="s">
        <v>49</v>
      </c>
      <c r="AR1035" s="0" t="s">
        <v>6983</v>
      </c>
    </row>
    <row r="1036" customFormat="false" ht="15" hidden="false" customHeight="false" outlineLevel="0" collapsed="false">
      <c r="A1036" s="0" t="n">
        <v>1035</v>
      </c>
      <c r="B1036" s="0" t="s">
        <v>6986</v>
      </c>
      <c r="C1036" s="0" t="s">
        <v>88</v>
      </c>
      <c r="E1036" s="0" t="s">
        <v>6987</v>
      </c>
      <c r="H1036" s="0" t="s">
        <v>6988</v>
      </c>
      <c r="I1036" s="0" t="s">
        <v>46</v>
      </c>
      <c r="AA1036" s="0" t="s">
        <v>47</v>
      </c>
      <c r="AF1036" s="3" t="s">
        <v>48</v>
      </c>
      <c r="AG1036" s="3" t="s">
        <v>49</v>
      </c>
      <c r="AR1036" s="0" t="s">
        <v>6987</v>
      </c>
    </row>
    <row r="1037" customFormat="false" ht="15" hidden="false" customHeight="false" outlineLevel="0" collapsed="false">
      <c r="A1037" s="0" t="n">
        <v>1036</v>
      </c>
      <c r="B1037" s="0" t="s">
        <v>6989</v>
      </c>
      <c r="C1037" s="0" t="s">
        <v>88</v>
      </c>
      <c r="E1037" s="0" t="s">
        <v>6990</v>
      </c>
      <c r="N1037" s="3" t="s">
        <v>186</v>
      </c>
      <c r="O1037" s="3" t="s">
        <v>186</v>
      </c>
      <c r="P1037" s="0" t="s">
        <v>96</v>
      </c>
      <c r="AA1037" s="0" t="s">
        <v>47</v>
      </c>
      <c r="AB1037" s="0" t="s">
        <v>6991</v>
      </c>
      <c r="AC1037" s="0" t="s">
        <v>6992</v>
      </c>
      <c r="AD1037" s="0" t="s">
        <v>6993</v>
      </c>
      <c r="AE1037" s="0" t="s">
        <v>79</v>
      </c>
      <c r="AF1037" s="3" t="s">
        <v>48</v>
      </c>
      <c r="AG1037" s="3" t="s">
        <v>49</v>
      </c>
      <c r="AR1037" s="0" t="s">
        <v>6990</v>
      </c>
    </row>
    <row r="1038" customFormat="false" ht="15" hidden="false" customHeight="false" outlineLevel="0" collapsed="false">
      <c r="A1038" s="0" t="n">
        <v>1037</v>
      </c>
      <c r="B1038" s="0" t="s">
        <v>6994</v>
      </c>
      <c r="C1038" s="0" t="s">
        <v>52</v>
      </c>
      <c r="D1038" s="0" t="s">
        <v>6995</v>
      </c>
      <c r="H1038" s="0" t="s">
        <v>6996</v>
      </c>
      <c r="I1038" s="0" t="s">
        <v>154</v>
      </c>
      <c r="N1038" s="0" t="s">
        <v>3665</v>
      </c>
      <c r="O1038" s="0" t="s">
        <v>3665</v>
      </c>
      <c r="P1038" s="0" t="s">
        <v>55</v>
      </c>
      <c r="AA1038" s="0" t="s">
        <v>47</v>
      </c>
      <c r="AB1038" s="0" t="s">
        <v>6997</v>
      </c>
      <c r="AC1038" s="0" t="s">
        <v>6998</v>
      </c>
      <c r="AD1038" s="0" t="s">
        <v>6999</v>
      </c>
      <c r="AE1038" s="0" t="s">
        <v>59</v>
      </c>
      <c r="AF1038" s="3" t="s">
        <v>48</v>
      </c>
      <c r="AG1038" s="3" t="s">
        <v>49</v>
      </c>
      <c r="AL1038" s="0" t="s">
        <v>7000</v>
      </c>
      <c r="AM1038" s="0" t="s">
        <v>7001</v>
      </c>
      <c r="AO1038" s="0" t="s">
        <v>7002</v>
      </c>
      <c r="AP1038" s="0" t="s">
        <v>7002</v>
      </c>
      <c r="AR1038" s="0" t="s">
        <v>7003</v>
      </c>
    </row>
    <row r="1039" customFormat="false" ht="15" hidden="false" customHeight="false" outlineLevel="0" collapsed="false">
      <c r="A1039" s="0" t="n">
        <v>1038</v>
      </c>
      <c r="B1039" s="0" t="s">
        <v>7004</v>
      </c>
      <c r="C1039" s="0" t="s">
        <v>88</v>
      </c>
      <c r="E1039" s="0" t="s">
        <v>7005</v>
      </c>
      <c r="N1039" s="3" t="s">
        <v>202</v>
      </c>
      <c r="O1039" s="3" t="s">
        <v>202</v>
      </c>
      <c r="P1039" s="0" t="s">
        <v>96</v>
      </c>
      <c r="AA1039" s="0" t="s">
        <v>47</v>
      </c>
      <c r="AB1039" s="0" t="s">
        <v>7006</v>
      </c>
      <c r="AC1039" s="0" t="s">
        <v>7007</v>
      </c>
      <c r="AD1039" s="0" t="s">
        <v>7008</v>
      </c>
      <c r="AE1039" s="0" t="s">
        <v>79</v>
      </c>
      <c r="AF1039" s="3" t="s">
        <v>48</v>
      </c>
      <c r="AG1039" s="3" t="s">
        <v>49</v>
      </c>
      <c r="AR1039" s="0" t="s">
        <v>7005</v>
      </c>
    </row>
    <row r="1040" customFormat="false" ht="15" hidden="false" customHeight="false" outlineLevel="0" collapsed="false">
      <c r="A1040" s="0" t="n">
        <v>1039</v>
      </c>
      <c r="B1040" s="0" t="s">
        <v>7009</v>
      </c>
      <c r="C1040" s="0" t="s">
        <v>43</v>
      </c>
      <c r="F1040" s="0" t="s">
        <v>44</v>
      </c>
      <c r="H1040" s="0" t="s">
        <v>7010</v>
      </c>
      <c r="I1040" s="0" t="s">
        <v>46</v>
      </c>
      <c r="AA1040" s="0" t="s">
        <v>47</v>
      </c>
      <c r="AF1040" s="3" t="s">
        <v>48</v>
      </c>
      <c r="AG1040" s="3" t="s">
        <v>49</v>
      </c>
      <c r="AR1040" s="0" t="s">
        <v>50</v>
      </c>
    </row>
    <row r="1041" customFormat="false" ht="15" hidden="false" customHeight="false" outlineLevel="0" collapsed="false">
      <c r="A1041" s="0" t="n">
        <v>1040</v>
      </c>
      <c r="B1041" s="0" t="s">
        <v>7011</v>
      </c>
      <c r="C1041" s="0" t="s">
        <v>88</v>
      </c>
      <c r="E1041" s="0" t="s">
        <v>7012</v>
      </c>
      <c r="H1041" s="0" t="s">
        <v>7013</v>
      </c>
      <c r="I1041" s="0" t="s">
        <v>46</v>
      </c>
      <c r="AA1041" s="0" t="s">
        <v>47</v>
      </c>
      <c r="AF1041" s="3" t="s">
        <v>48</v>
      </c>
      <c r="AG1041" s="3" t="s">
        <v>49</v>
      </c>
      <c r="AR1041" s="0" t="s">
        <v>7012</v>
      </c>
    </row>
    <row r="1042" customFormat="false" ht="15" hidden="false" customHeight="false" outlineLevel="0" collapsed="false">
      <c r="A1042" s="0" t="n">
        <v>1041</v>
      </c>
      <c r="B1042" s="0" t="s">
        <v>7014</v>
      </c>
      <c r="C1042" s="0" t="s">
        <v>52</v>
      </c>
      <c r="D1042" s="0" t="s">
        <v>7015</v>
      </c>
      <c r="H1042" s="0" t="s">
        <v>7016</v>
      </c>
      <c r="I1042" s="0" t="s">
        <v>94</v>
      </c>
      <c r="N1042" s="0" t="s">
        <v>7017</v>
      </c>
      <c r="O1042" s="0" t="s">
        <v>7017</v>
      </c>
      <c r="P1042" s="0" t="s">
        <v>55</v>
      </c>
      <c r="AA1042" s="0" t="s">
        <v>47</v>
      </c>
      <c r="AB1042" s="0" t="s">
        <v>7018</v>
      </c>
      <c r="AC1042" s="0" t="s">
        <v>7019</v>
      </c>
      <c r="AD1042" s="0" t="s">
        <v>7020</v>
      </c>
      <c r="AE1042" s="0" t="s">
        <v>59</v>
      </c>
      <c r="AF1042" s="3" t="s">
        <v>48</v>
      </c>
      <c r="AG1042" s="3" t="s">
        <v>49</v>
      </c>
      <c r="AL1042" s="0" t="s">
        <v>7021</v>
      </c>
      <c r="AO1042" s="0" t="s">
        <v>7022</v>
      </c>
      <c r="AP1042" s="0" t="s">
        <v>7022</v>
      </c>
      <c r="AR1042" s="0" t="s">
        <v>7023</v>
      </c>
    </row>
    <row r="1043" customFormat="false" ht="15" hidden="false" customHeight="false" outlineLevel="0" collapsed="false">
      <c r="A1043" s="0" t="n">
        <v>1042</v>
      </c>
      <c r="B1043" s="0" t="s">
        <v>7024</v>
      </c>
      <c r="C1043" s="0" t="s">
        <v>43</v>
      </c>
      <c r="F1043" s="0" t="s">
        <v>44</v>
      </c>
      <c r="AA1043" s="0" t="s">
        <v>47</v>
      </c>
      <c r="AF1043" s="3" t="s">
        <v>48</v>
      </c>
      <c r="AG1043" s="3" t="s">
        <v>49</v>
      </c>
      <c r="AR1043" s="0" t="s">
        <v>50</v>
      </c>
    </row>
    <row r="1044" customFormat="false" ht="15" hidden="false" customHeight="false" outlineLevel="0" collapsed="false">
      <c r="A1044" s="0" t="n">
        <v>1043</v>
      </c>
      <c r="B1044" s="0" t="s">
        <v>7025</v>
      </c>
      <c r="C1044" s="0" t="s">
        <v>88</v>
      </c>
      <c r="E1044" s="0" t="s">
        <v>7026</v>
      </c>
      <c r="H1044" s="0" t="s">
        <v>7027</v>
      </c>
      <c r="I1044" s="0" t="s">
        <v>154</v>
      </c>
      <c r="AA1044" s="0" t="s">
        <v>47</v>
      </c>
      <c r="AB1044" s="0" t="s">
        <v>7028</v>
      </c>
      <c r="AC1044" s="0" t="s">
        <v>7029</v>
      </c>
      <c r="AD1044" s="0" t="s">
        <v>7030</v>
      </c>
      <c r="AE1044" s="0" t="s">
        <v>79</v>
      </c>
      <c r="AF1044" s="3" t="s">
        <v>48</v>
      </c>
      <c r="AG1044" s="3" t="s">
        <v>49</v>
      </c>
      <c r="AL1044" s="0" t="s">
        <v>7021</v>
      </c>
      <c r="AO1044" s="0" t="s">
        <v>7022</v>
      </c>
      <c r="AP1044" s="0" t="s">
        <v>7022</v>
      </c>
      <c r="AR1044" s="0" t="s">
        <v>7031</v>
      </c>
    </row>
    <row r="1045" customFormat="false" ht="15" hidden="false" customHeight="false" outlineLevel="0" collapsed="false">
      <c r="A1045" s="0" t="n">
        <v>1044</v>
      </c>
      <c r="B1045" s="0" t="s">
        <v>7032</v>
      </c>
      <c r="C1045" s="0" t="s">
        <v>88</v>
      </c>
      <c r="E1045" s="0" t="s">
        <v>7033</v>
      </c>
      <c r="H1045" s="0" t="s">
        <v>7034</v>
      </c>
      <c r="I1045" s="0" t="s">
        <v>46</v>
      </c>
      <c r="N1045" s="3" t="s">
        <v>226</v>
      </c>
      <c r="O1045" s="3" t="s">
        <v>226</v>
      </c>
      <c r="P1045" s="0" t="s">
        <v>96</v>
      </c>
      <c r="AA1045" s="0" t="s">
        <v>47</v>
      </c>
      <c r="AB1045" s="0" t="s">
        <v>7035</v>
      </c>
      <c r="AC1045" s="0" t="s">
        <v>7036</v>
      </c>
      <c r="AD1045" s="0" t="s">
        <v>7037</v>
      </c>
      <c r="AE1045" s="0" t="s">
        <v>79</v>
      </c>
      <c r="AF1045" s="3" t="s">
        <v>48</v>
      </c>
      <c r="AG1045" s="3" t="s">
        <v>49</v>
      </c>
      <c r="AR1045" s="0" t="s">
        <v>7033</v>
      </c>
    </row>
    <row r="1046" customFormat="false" ht="15" hidden="false" customHeight="false" outlineLevel="0" collapsed="false">
      <c r="A1046" s="0" t="n">
        <v>1045</v>
      </c>
      <c r="B1046" s="0" t="s">
        <v>7038</v>
      </c>
      <c r="C1046" s="0" t="s">
        <v>88</v>
      </c>
      <c r="E1046" s="0" t="s">
        <v>7039</v>
      </c>
      <c r="N1046" s="3" t="s">
        <v>95</v>
      </c>
      <c r="O1046" s="3" t="s">
        <v>95</v>
      </c>
      <c r="P1046" s="0" t="s">
        <v>96</v>
      </c>
      <c r="AA1046" s="0" t="s">
        <v>47</v>
      </c>
      <c r="AB1046" s="0" t="s">
        <v>7040</v>
      </c>
      <c r="AC1046" s="0" t="s">
        <v>7041</v>
      </c>
      <c r="AD1046" s="0" t="s">
        <v>7042</v>
      </c>
      <c r="AE1046" s="0" t="s">
        <v>79</v>
      </c>
      <c r="AF1046" s="3" t="s">
        <v>48</v>
      </c>
      <c r="AG1046" s="3" t="s">
        <v>49</v>
      </c>
      <c r="AR1046" s="0" t="s">
        <v>7039</v>
      </c>
    </row>
    <row r="1047" customFormat="false" ht="15" hidden="false" customHeight="false" outlineLevel="0" collapsed="false">
      <c r="A1047" s="0" t="n">
        <v>1046</v>
      </c>
      <c r="B1047" s="0" t="s">
        <v>7043</v>
      </c>
      <c r="C1047" s="0" t="s">
        <v>88</v>
      </c>
      <c r="E1047" s="0" t="s">
        <v>7044</v>
      </c>
      <c r="N1047" s="3" t="s">
        <v>202</v>
      </c>
      <c r="O1047" s="3" t="s">
        <v>202</v>
      </c>
      <c r="P1047" s="0" t="s">
        <v>96</v>
      </c>
      <c r="AA1047" s="0" t="s">
        <v>47</v>
      </c>
      <c r="AB1047" s="0" t="s">
        <v>7045</v>
      </c>
      <c r="AC1047" s="0" t="s">
        <v>7046</v>
      </c>
      <c r="AD1047" s="0" t="s">
        <v>7047</v>
      </c>
      <c r="AE1047" s="0" t="s">
        <v>79</v>
      </c>
      <c r="AF1047" s="3" t="s">
        <v>48</v>
      </c>
      <c r="AG1047" s="3" t="s">
        <v>49</v>
      </c>
      <c r="AR1047" s="0" t="s">
        <v>7044</v>
      </c>
    </row>
    <row r="1048" customFormat="false" ht="15" hidden="false" customHeight="false" outlineLevel="0" collapsed="false">
      <c r="A1048" s="0" t="n">
        <v>1047</v>
      </c>
      <c r="B1048" s="0" t="s">
        <v>7048</v>
      </c>
      <c r="C1048" s="0" t="s">
        <v>88</v>
      </c>
      <c r="E1048" s="0" t="s">
        <v>7049</v>
      </c>
      <c r="N1048" s="3" t="s">
        <v>202</v>
      </c>
      <c r="O1048" s="3" t="s">
        <v>202</v>
      </c>
      <c r="P1048" s="0" t="s">
        <v>96</v>
      </c>
      <c r="AA1048" s="0" t="s">
        <v>47</v>
      </c>
      <c r="AB1048" s="0" t="s">
        <v>7050</v>
      </c>
      <c r="AC1048" s="0" t="s">
        <v>7051</v>
      </c>
      <c r="AD1048" s="0" t="s">
        <v>7052</v>
      </c>
      <c r="AE1048" s="0" t="s">
        <v>79</v>
      </c>
      <c r="AF1048" s="3" t="s">
        <v>48</v>
      </c>
      <c r="AG1048" s="3" t="s">
        <v>49</v>
      </c>
      <c r="AR1048" s="0" t="s">
        <v>7049</v>
      </c>
    </row>
    <row r="1049" customFormat="false" ht="15" hidden="false" customHeight="false" outlineLevel="0" collapsed="false">
      <c r="A1049" s="0" t="n">
        <v>1048</v>
      </c>
      <c r="B1049" s="0" t="s">
        <v>7053</v>
      </c>
      <c r="C1049" s="0" t="s">
        <v>88</v>
      </c>
      <c r="E1049" s="0" t="s">
        <v>7054</v>
      </c>
      <c r="H1049" s="0" t="s">
        <v>7055</v>
      </c>
      <c r="I1049" s="0" t="s">
        <v>115</v>
      </c>
      <c r="J1049" s="3" t="s">
        <v>7056</v>
      </c>
      <c r="K1049" s="0" t="s">
        <v>7057</v>
      </c>
      <c r="M1049" s="0" t="n">
        <v>1984</v>
      </c>
      <c r="N1049" s="0" t="s">
        <v>1362</v>
      </c>
      <c r="O1049" s="3" t="s">
        <v>186</v>
      </c>
      <c r="P1049" s="0" t="s">
        <v>96</v>
      </c>
      <c r="R1049" s="0" t="n">
        <v>5654</v>
      </c>
      <c r="S1049" s="0" t="n">
        <v>2025</v>
      </c>
      <c r="T1049" s="0" t="s">
        <v>72</v>
      </c>
      <c r="U1049" s="0" t="s">
        <v>115</v>
      </c>
      <c r="V1049" s="0" t="n">
        <v>2090</v>
      </c>
      <c r="W1049" s="0" t="s">
        <v>7058</v>
      </c>
      <c r="X1049" s="0" t="s">
        <v>764</v>
      </c>
      <c r="Y1049" s="0" t="s">
        <v>72</v>
      </c>
      <c r="Z1049" s="0" t="s">
        <v>115</v>
      </c>
      <c r="AA1049" s="0" t="s">
        <v>75</v>
      </c>
      <c r="AB1049" s="0" t="s">
        <v>7059</v>
      </c>
      <c r="AC1049" s="0" t="s">
        <v>7060</v>
      </c>
      <c r="AD1049" s="0" t="s">
        <v>7061</v>
      </c>
      <c r="AE1049" s="0" t="s">
        <v>115</v>
      </c>
      <c r="AF1049" s="3" t="s">
        <v>108</v>
      </c>
      <c r="AG1049" s="3" t="s">
        <v>404</v>
      </c>
      <c r="AH1049" s="0" t="n">
        <v>2026</v>
      </c>
      <c r="AI1049" s="0" t="s">
        <v>7062</v>
      </c>
      <c r="AJ1049" s="0" t="s">
        <v>7063</v>
      </c>
      <c r="AK1049" s="0" t="s">
        <v>7064</v>
      </c>
      <c r="AL1049" s="0" t="s">
        <v>7065</v>
      </c>
      <c r="AN1049" s="0" t="s">
        <v>7066</v>
      </c>
      <c r="AO1049" s="0" t="s">
        <v>7067</v>
      </c>
      <c r="AP1049" s="0" t="s">
        <v>7068</v>
      </c>
      <c r="AR1049" s="0" t="s">
        <v>7069</v>
      </c>
    </row>
    <row r="1050" customFormat="false" ht="15" hidden="false" customHeight="false" outlineLevel="0" collapsed="false">
      <c r="A1050" s="0" t="n">
        <v>1049</v>
      </c>
      <c r="B1050" s="0" t="s">
        <v>7070</v>
      </c>
      <c r="C1050" s="0" t="s">
        <v>88</v>
      </c>
      <c r="E1050" s="0" t="s">
        <v>7071</v>
      </c>
      <c r="AA1050" s="0" t="s">
        <v>47</v>
      </c>
      <c r="AF1050" s="3" t="s">
        <v>48</v>
      </c>
      <c r="AG1050" s="3" t="s">
        <v>49</v>
      </c>
      <c r="AR1050" s="0" t="s">
        <v>7071</v>
      </c>
    </row>
    <row r="1051" customFormat="false" ht="15" hidden="false" customHeight="false" outlineLevel="0" collapsed="false">
      <c r="A1051" s="0" t="n">
        <v>1050</v>
      </c>
      <c r="B1051" s="0" t="s">
        <v>7072</v>
      </c>
      <c r="C1051" s="0" t="s">
        <v>244</v>
      </c>
      <c r="E1051" s="0" t="s">
        <v>7073</v>
      </c>
      <c r="F1051" s="0" t="s">
        <v>44</v>
      </c>
      <c r="H1051" s="0" t="s">
        <v>7074</v>
      </c>
      <c r="I1051" s="0" t="s">
        <v>94</v>
      </c>
      <c r="N1051" s="3" t="s">
        <v>202</v>
      </c>
      <c r="O1051" s="3" t="s">
        <v>202</v>
      </c>
      <c r="P1051" s="0" t="s">
        <v>96</v>
      </c>
      <c r="AA1051" s="0" t="s">
        <v>47</v>
      </c>
      <c r="AB1051" s="0" t="s">
        <v>7075</v>
      </c>
      <c r="AC1051" s="0" t="s">
        <v>7076</v>
      </c>
      <c r="AD1051" s="0" t="s">
        <v>7077</v>
      </c>
      <c r="AE1051" s="0" t="s">
        <v>79</v>
      </c>
      <c r="AF1051" s="3" t="s">
        <v>149</v>
      </c>
      <c r="AG1051" s="3" t="s">
        <v>81</v>
      </c>
      <c r="AK1051" s="0" t="s">
        <v>7078</v>
      </c>
      <c r="AP1051" s="0" t="s">
        <v>7079</v>
      </c>
      <c r="AR1051" s="0" t="s">
        <v>7080</v>
      </c>
    </row>
    <row r="1052" customFormat="false" ht="15" hidden="false" customHeight="false" outlineLevel="0" collapsed="false">
      <c r="A1052" s="0" t="n">
        <v>1051</v>
      </c>
      <c r="B1052" s="0" t="s">
        <v>7081</v>
      </c>
      <c r="C1052" s="0" t="s">
        <v>88</v>
      </c>
      <c r="E1052" s="0" t="s">
        <v>7082</v>
      </c>
      <c r="H1052" s="0" t="s">
        <v>7083</v>
      </c>
      <c r="I1052" s="0" t="s">
        <v>154</v>
      </c>
      <c r="N1052" s="3" t="s">
        <v>239</v>
      </c>
      <c r="O1052" s="3" t="s">
        <v>239</v>
      </c>
      <c r="P1052" s="0" t="s">
        <v>96</v>
      </c>
      <c r="AA1052" s="0" t="s">
        <v>47</v>
      </c>
      <c r="AB1052" s="0" t="s">
        <v>7084</v>
      </c>
      <c r="AC1052" s="0" t="s">
        <v>7085</v>
      </c>
      <c r="AD1052" s="0" t="s">
        <v>7086</v>
      </c>
      <c r="AE1052" s="0" t="s">
        <v>79</v>
      </c>
      <c r="AF1052" s="3" t="s">
        <v>48</v>
      </c>
      <c r="AG1052" s="3" t="s">
        <v>49</v>
      </c>
      <c r="AL1052" s="0" t="s">
        <v>7087</v>
      </c>
      <c r="AO1052" s="0" t="s">
        <v>7088</v>
      </c>
      <c r="AP1052" s="0" t="s">
        <v>7088</v>
      </c>
      <c r="AR1052" s="0" t="s">
        <v>7089</v>
      </c>
    </row>
    <row r="1053" customFormat="false" ht="15" hidden="false" customHeight="false" outlineLevel="0" collapsed="false">
      <c r="A1053" s="0" t="n">
        <v>1052</v>
      </c>
      <c r="B1053" s="0" t="s">
        <v>7090</v>
      </c>
      <c r="C1053" s="0" t="s">
        <v>88</v>
      </c>
      <c r="E1053" s="0" t="s">
        <v>7091</v>
      </c>
      <c r="N1053" s="3" t="s">
        <v>95</v>
      </c>
      <c r="O1053" s="3" t="s">
        <v>95</v>
      </c>
      <c r="P1053" s="0" t="s">
        <v>96</v>
      </c>
      <c r="AA1053" s="0" t="s">
        <v>47</v>
      </c>
      <c r="AB1053" s="0" t="s">
        <v>7092</v>
      </c>
      <c r="AC1053" s="0" t="s">
        <v>7093</v>
      </c>
      <c r="AD1053" s="0" t="s">
        <v>7094</v>
      </c>
      <c r="AE1053" s="0" t="s">
        <v>79</v>
      </c>
      <c r="AF1053" s="3" t="s">
        <v>48</v>
      </c>
      <c r="AG1053" s="3" t="s">
        <v>49</v>
      </c>
      <c r="AR1053" s="0" t="s">
        <v>7091</v>
      </c>
    </row>
    <row r="1054" customFormat="false" ht="15" hidden="false" customHeight="false" outlineLevel="0" collapsed="false">
      <c r="A1054" s="0" t="n">
        <v>1053</v>
      </c>
      <c r="B1054" s="0" t="s">
        <v>7095</v>
      </c>
      <c r="C1054" s="0" t="s">
        <v>88</v>
      </c>
      <c r="E1054" s="0" t="s">
        <v>7096</v>
      </c>
      <c r="H1054" s="0" t="s">
        <v>7097</v>
      </c>
      <c r="I1054" s="0" t="s">
        <v>154</v>
      </c>
      <c r="AA1054" s="0" t="s">
        <v>47</v>
      </c>
      <c r="AB1054" s="0" t="s">
        <v>7098</v>
      </c>
      <c r="AC1054" s="0" t="s">
        <v>7099</v>
      </c>
      <c r="AD1054" s="0" t="s">
        <v>7100</v>
      </c>
      <c r="AE1054" s="0" t="s">
        <v>79</v>
      </c>
      <c r="AF1054" s="3" t="s">
        <v>108</v>
      </c>
      <c r="AG1054" s="3" t="s">
        <v>49</v>
      </c>
      <c r="AH1054" s="0" t="n">
        <v>2026</v>
      </c>
      <c r="AI1054" s="0" t="s">
        <v>4094</v>
      </c>
      <c r="AJ1054" s="0" t="s">
        <v>4095</v>
      </c>
      <c r="AL1054" s="0" t="s">
        <v>7101</v>
      </c>
      <c r="AM1054" s="0" t="s">
        <v>7102</v>
      </c>
      <c r="AO1054" s="0" t="s">
        <v>7103</v>
      </c>
      <c r="AP1054" s="0" t="s">
        <v>7103</v>
      </c>
      <c r="AR1054" s="0" t="s">
        <v>7104</v>
      </c>
    </row>
    <row r="1055" customFormat="false" ht="15" hidden="false" customHeight="false" outlineLevel="0" collapsed="false">
      <c r="A1055" s="0" t="n">
        <v>1054</v>
      </c>
      <c r="B1055" s="0" t="s">
        <v>7105</v>
      </c>
      <c r="C1055" s="0" t="s">
        <v>244</v>
      </c>
      <c r="E1055" s="0" t="s">
        <v>7106</v>
      </c>
      <c r="F1055" s="0" t="s">
        <v>44</v>
      </c>
      <c r="H1055" s="0" t="s">
        <v>7107</v>
      </c>
      <c r="I1055" s="0" t="s">
        <v>46</v>
      </c>
      <c r="N1055" s="3" t="s">
        <v>186</v>
      </c>
      <c r="O1055" s="3" t="s">
        <v>186</v>
      </c>
      <c r="P1055" s="0" t="s">
        <v>96</v>
      </c>
      <c r="AA1055" s="0" t="s">
        <v>47</v>
      </c>
      <c r="AB1055" s="0" t="s">
        <v>7108</v>
      </c>
      <c r="AC1055" s="0" t="s">
        <v>7109</v>
      </c>
      <c r="AD1055" s="0" t="s">
        <v>7110</v>
      </c>
      <c r="AE1055" s="0" t="s">
        <v>79</v>
      </c>
      <c r="AF1055" s="3" t="s">
        <v>149</v>
      </c>
      <c r="AG1055" s="3" t="s">
        <v>81</v>
      </c>
      <c r="AK1055" s="0" t="s">
        <v>7111</v>
      </c>
      <c r="AR1055" s="0" t="s">
        <v>7112</v>
      </c>
    </row>
    <row r="1056" customFormat="false" ht="15" hidden="false" customHeight="false" outlineLevel="0" collapsed="false">
      <c r="A1056" s="0" t="n">
        <v>1055</v>
      </c>
      <c r="B1056" s="0" t="s">
        <v>7113</v>
      </c>
      <c r="C1056" s="0" t="s">
        <v>88</v>
      </c>
      <c r="E1056" s="0" t="s">
        <v>7114</v>
      </c>
      <c r="N1056" s="3" t="s">
        <v>202</v>
      </c>
      <c r="O1056" s="3" t="s">
        <v>202</v>
      </c>
      <c r="P1056" s="0" t="s">
        <v>96</v>
      </c>
      <c r="AA1056" s="0" t="s">
        <v>47</v>
      </c>
      <c r="AB1056" s="0" t="s">
        <v>7115</v>
      </c>
      <c r="AC1056" s="0" t="s">
        <v>7116</v>
      </c>
      <c r="AD1056" s="0" t="s">
        <v>7117</v>
      </c>
      <c r="AE1056" s="0" t="s">
        <v>79</v>
      </c>
      <c r="AF1056" s="3" t="s">
        <v>48</v>
      </c>
      <c r="AG1056" s="3" t="s">
        <v>49</v>
      </c>
      <c r="AR1056" s="0" t="s">
        <v>7114</v>
      </c>
    </row>
    <row r="1057" customFormat="false" ht="15" hidden="false" customHeight="false" outlineLevel="0" collapsed="false">
      <c r="A1057" s="0" t="n">
        <v>1056</v>
      </c>
      <c r="B1057" s="0" t="s">
        <v>7118</v>
      </c>
      <c r="C1057" s="0" t="s">
        <v>88</v>
      </c>
      <c r="E1057" s="0" t="s">
        <v>7119</v>
      </c>
      <c r="H1057" s="0" t="s">
        <v>7120</v>
      </c>
      <c r="I1057" s="0" t="s">
        <v>154</v>
      </c>
      <c r="AA1057" s="0" t="s">
        <v>47</v>
      </c>
      <c r="AB1057" s="0" t="s">
        <v>7121</v>
      </c>
      <c r="AC1057" s="0" t="s">
        <v>7122</v>
      </c>
      <c r="AD1057" s="0" t="s">
        <v>7123</v>
      </c>
      <c r="AE1057" s="0" t="s">
        <v>79</v>
      </c>
      <c r="AF1057" s="3" t="s">
        <v>48</v>
      </c>
      <c r="AG1057" s="3" t="s">
        <v>49</v>
      </c>
      <c r="AL1057" s="0" t="s">
        <v>7124</v>
      </c>
      <c r="AM1057" s="0" t="s">
        <v>7125</v>
      </c>
      <c r="AO1057" s="0" t="s">
        <v>7126</v>
      </c>
      <c r="AP1057" s="0" t="s">
        <v>7126</v>
      </c>
      <c r="AR1057" s="0" t="s">
        <v>7127</v>
      </c>
    </row>
    <row r="1058" customFormat="false" ht="15" hidden="false" customHeight="false" outlineLevel="0" collapsed="false">
      <c r="A1058" s="0" t="n">
        <v>1057</v>
      </c>
      <c r="B1058" s="0" t="s">
        <v>7128</v>
      </c>
      <c r="C1058" s="0" t="s">
        <v>88</v>
      </c>
      <c r="E1058" s="0" t="s">
        <v>7129</v>
      </c>
      <c r="N1058" s="3" t="s">
        <v>186</v>
      </c>
      <c r="O1058" s="3" t="s">
        <v>186</v>
      </c>
      <c r="P1058" s="0" t="s">
        <v>96</v>
      </c>
      <c r="AA1058" s="0" t="s">
        <v>47</v>
      </c>
      <c r="AB1058" s="0" t="s">
        <v>7130</v>
      </c>
      <c r="AC1058" s="0" t="s">
        <v>7131</v>
      </c>
      <c r="AD1058" s="0" t="s">
        <v>7132</v>
      </c>
      <c r="AE1058" s="0" t="s">
        <v>79</v>
      </c>
      <c r="AF1058" s="3" t="s">
        <v>108</v>
      </c>
      <c r="AG1058" s="3" t="s">
        <v>49</v>
      </c>
      <c r="AH1058" s="0" t="n">
        <v>2026</v>
      </c>
      <c r="AI1058" s="0" t="s">
        <v>829</v>
      </c>
      <c r="AJ1058" s="0" t="s">
        <v>830</v>
      </c>
      <c r="AR1058" s="0" t="s">
        <v>7133</v>
      </c>
    </row>
    <row r="1059" customFormat="false" ht="15" hidden="false" customHeight="false" outlineLevel="0" collapsed="false">
      <c r="A1059" s="0" t="n">
        <v>1058</v>
      </c>
      <c r="B1059" s="0" t="s">
        <v>7134</v>
      </c>
      <c r="C1059" s="0" t="s">
        <v>88</v>
      </c>
      <c r="E1059" s="0" t="s">
        <v>7135</v>
      </c>
      <c r="H1059" s="0" t="s">
        <v>7136</v>
      </c>
      <c r="I1059" s="0" t="s">
        <v>154</v>
      </c>
      <c r="N1059" s="3" t="s">
        <v>213</v>
      </c>
      <c r="O1059" s="3" t="s">
        <v>213</v>
      </c>
      <c r="P1059" s="0" t="s">
        <v>96</v>
      </c>
      <c r="AA1059" s="0" t="s">
        <v>47</v>
      </c>
      <c r="AB1059" s="0" t="s">
        <v>7137</v>
      </c>
      <c r="AC1059" s="0" t="s">
        <v>7138</v>
      </c>
      <c r="AD1059" s="0" t="s">
        <v>7139</v>
      </c>
      <c r="AE1059" s="0" t="s">
        <v>79</v>
      </c>
      <c r="AF1059" s="3" t="s">
        <v>48</v>
      </c>
      <c r="AG1059" s="3" t="s">
        <v>49</v>
      </c>
      <c r="AL1059" s="0" t="s">
        <v>7140</v>
      </c>
      <c r="AM1059" s="0" t="s">
        <v>7141</v>
      </c>
      <c r="AP1059" s="0" t="s">
        <v>7142</v>
      </c>
      <c r="AR1059" s="0" t="s">
        <v>7143</v>
      </c>
    </row>
    <row r="1060" customFormat="false" ht="15" hidden="false" customHeight="false" outlineLevel="0" collapsed="false">
      <c r="A1060" s="0" t="n">
        <v>1059</v>
      </c>
      <c r="B1060" s="0" t="s">
        <v>7144</v>
      </c>
      <c r="C1060" s="0" t="s">
        <v>88</v>
      </c>
      <c r="E1060" s="0" t="s">
        <v>7145</v>
      </c>
      <c r="H1060" s="0" t="s">
        <v>7146</v>
      </c>
      <c r="I1060" s="0" t="s">
        <v>46</v>
      </c>
      <c r="N1060" s="3" t="s">
        <v>202</v>
      </c>
      <c r="O1060" s="3" t="s">
        <v>202</v>
      </c>
      <c r="P1060" s="0" t="s">
        <v>96</v>
      </c>
      <c r="AA1060" s="0" t="s">
        <v>47</v>
      </c>
      <c r="AB1060" s="0" t="s">
        <v>7147</v>
      </c>
      <c r="AC1060" s="0" t="s">
        <v>7148</v>
      </c>
      <c r="AE1060" s="0" t="s">
        <v>79</v>
      </c>
      <c r="AF1060" s="3" t="s">
        <v>48</v>
      </c>
      <c r="AG1060" s="3" t="s">
        <v>49</v>
      </c>
      <c r="AR1060" s="0" t="s">
        <v>7145</v>
      </c>
    </row>
    <row r="1061" customFormat="false" ht="15" hidden="false" customHeight="false" outlineLevel="0" collapsed="false">
      <c r="A1061" s="0" t="n">
        <v>1060</v>
      </c>
      <c r="B1061" s="0" t="s">
        <v>7149</v>
      </c>
      <c r="C1061" s="0" t="s">
        <v>43</v>
      </c>
      <c r="F1061" s="0" t="s">
        <v>44</v>
      </c>
      <c r="H1061" s="0" t="s">
        <v>6334</v>
      </c>
      <c r="I1061" s="0" t="s">
        <v>115</v>
      </c>
      <c r="J1061" s="3" t="s">
        <v>66</v>
      </c>
      <c r="K1061" s="0" t="s">
        <v>6335</v>
      </c>
      <c r="M1061" s="0" t="n">
        <v>1976</v>
      </c>
      <c r="N1061" s="0" t="s">
        <v>1362</v>
      </c>
      <c r="O1061" s="3" t="s">
        <v>186</v>
      </c>
      <c r="P1061" s="0" t="s">
        <v>96</v>
      </c>
      <c r="R1061" s="0" t="n">
        <v>3100</v>
      </c>
      <c r="S1061" s="0" t="n">
        <v>2025</v>
      </c>
      <c r="T1061" s="0" t="s">
        <v>72</v>
      </c>
      <c r="U1061" s="0" t="s">
        <v>115</v>
      </c>
      <c r="V1061" s="0" t="n">
        <v>1220</v>
      </c>
      <c r="W1061" s="0" t="s">
        <v>6336</v>
      </c>
      <c r="X1061" s="0" t="s">
        <v>6337</v>
      </c>
      <c r="Y1061" s="0" t="s">
        <v>72</v>
      </c>
      <c r="Z1061" s="0" t="s">
        <v>115</v>
      </c>
      <c r="AA1061" s="0" t="s">
        <v>75</v>
      </c>
      <c r="AB1061" s="0" t="s">
        <v>6338</v>
      </c>
      <c r="AC1061" s="0" t="s">
        <v>6339</v>
      </c>
      <c r="AD1061" s="0" t="s">
        <v>6340</v>
      </c>
      <c r="AE1061" s="0" t="s">
        <v>115</v>
      </c>
      <c r="AF1061" s="3" t="s">
        <v>108</v>
      </c>
      <c r="AG1061" s="3" t="s">
        <v>81</v>
      </c>
      <c r="AH1061" s="0" t="n">
        <v>2026</v>
      </c>
      <c r="AI1061" s="0" t="s">
        <v>6341</v>
      </c>
      <c r="AJ1061" s="0" t="s">
        <v>6342</v>
      </c>
      <c r="AK1061" s="3" t="s">
        <v>6343</v>
      </c>
      <c r="AL1061" s="0" t="s">
        <v>6344</v>
      </c>
      <c r="AM1061" s="0" t="s">
        <v>6345</v>
      </c>
      <c r="AN1061" s="0" t="s">
        <v>6346</v>
      </c>
      <c r="AO1061" s="0" t="s">
        <v>6347</v>
      </c>
      <c r="AP1061" s="0" t="s">
        <v>6347</v>
      </c>
      <c r="AR1061" s="0" t="s">
        <v>6348</v>
      </c>
    </row>
    <row r="1062" customFormat="false" ht="15" hidden="false" customHeight="false" outlineLevel="0" collapsed="false">
      <c r="A1062" s="0" t="n">
        <v>1061</v>
      </c>
      <c r="B1062" s="0" t="s">
        <v>7150</v>
      </c>
      <c r="C1062" s="0" t="s">
        <v>88</v>
      </c>
      <c r="E1062" s="0" t="s">
        <v>7151</v>
      </c>
      <c r="H1062" s="0" t="s">
        <v>7152</v>
      </c>
      <c r="I1062" s="0" t="s">
        <v>154</v>
      </c>
      <c r="N1062" s="3" t="s">
        <v>213</v>
      </c>
      <c r="O1062" s="3" t="s">
        <v>213</v>
      </c>
      <c r="P1062" s="0" t="s">
        <v>96</v>
      </c>
      <c r="AA1062" s="0" t="s">
        <v>47</v>
      </c>
      <c r="AB1062" s="0" t="s">
        <v>7153</v>
      </c>
      <c r="AC1062" s="0" t="s">
        <v>7154</v>
      </c>
      <c r="AD1062" s="0" t="s">
        <v>7155</v>
      </c>
      <c r="AE1062" s="0" t="s">
        <v>79</v>
      </c>
      <c r="AF1062" s="3" t="s">
        <v>48</v>
      </c>
      <c r="AG1062" s="3" t="s">
        <v>49</v>
      </c>
      <c r="AL1062" s="0" t="s">
        <v>7156</v>
      </c>
      <c r="AM1062" s="0" t="s">
        <v>7157</v>
      </c>
      <c r="AO1062" s="0" t="s">
        <v>7158</v>
      </c>
      <c r="AP1062" s="0" t="s">
        <v>7158</v>
      </c>
      <c r="AR1062" s="0" t="s">
        <v>7159</v>
      </c>
    </row>
    <row r="1063" customFormat="false" ht="15" hidden="false" customHeight="false" outlineLevel="0" collapsed="false">
      <c r="A1063" s="0" t="n">
        <v>1062</v>
      </c>
      <c r="B1063" s="0" t="s">
        <v>7160</v>
      </c>
      <c r="C1063" s="0" t="s">
        <v>88</v>
      </c>
      <c r="E1063" s="0" t="s">
        <v>7161</v>
      </c>
      <c r="H1063" s="0" t="s">
        <v>7162</v>
      </c>
      <c r="I1063" s="0" t="s">
        <v>46</v>
      </c>
      <c r="N1063" s="3" t="s">
        <v>239</v>
      </c>
      <c r="O1063" s="3" t="s">
        <v>239</v>
      </c>
      <c r="P1063" s="0" t="s">
        <v>96</v>
      </c>
      <c r="AA1063" s="0" t="s">
        <v>47</v>
      </c>
      <c r="AB1063" s="0" t="s">
        <v>7163</v>
      </c>
      <c r="AC1063" s="0" t="s">
        <v>7164</v>
      </c>
      <c r="AE1063" s="0" t="s">
        <v>79</v>
      </c>
      <c r="AF1063" s="3" t="s">
        <v>48</v>
      </c>
      <c r="AG1063" s="3" t="s">
        <v>49</v>
      </c>
      <c r="AR1063" s="0" t="s">
        <v>7161</v>
      </c>
    </row>
    <row r="1064" customFormat="false" ht="15" hidden="false" customHeight="false" outlineLevel="0" collapsed="false">
      <c r="A1064" s="0" t="n">
        <v>1063</v>
      </c>
      <c r="B1064" s="0" t="s">
        <v>7165</v>
      </c>
      <c r="C1064" s="0" t="s">
        <v>88</v>
      </c>
      <c r="E1064" s="0" t="s">
        <v>7166</v>
      </c>
      <c r="H1064" s="0" t="s">
        <v>7167</v>
      </c>
      <c r="I1064" s="0" t="s">
        <v>154</v>
      </c>
      <c r="N1064" s="3" t="s">
        <v>95</v>
      </c>
      <c r="O1064" s="3" t="s">
        <v>95</v>
      </c>
      <c r="P1064" s="0" t="s">
        <v>96</v>
      </c>
      <c r="AA1064" s="0" t="s">
        <v>47</v>
      </c>
      <c r="AB1064" s="0" t="s">
        <v>7168</v>
      </c>
      <c r="AC1064" s="0" t="s">
        <v>7169</v>
      </c>
      <c r="AD1064" s="0" t="s">
        <v>7170</v>
      </c>
      <c r="AE1064" s="0" t="s">
        <v>79</v>
      </c>
      <c r="AF1064" s="3" t="s">
        <v>48</v>
      </c>
      <c r="AG1064" s="3" t="s">
        <v>49</v>
      </c>
      <c r="AL1064" s="0" t="s">
        <v>7171</v>
      </c>
      <c r="AM1064" s="0" t="s">
        <v>7172</v>
      </c>
      <c r="AO1064" s="0" t="s">
        <v>7173</v>
      </c>
      <c r="AP1064" s="0" t="s">
        <v>7173</v>
      </c>
      <c r="AR1064" s="0" t="s">
        <v>7174</v>
      </c>
    </row>
    <row r="1065" customFormat="false" ht="15" hidden="false" customHeight="false" outlineLevel="0" collapsed="false">
      <c r="A1065" s="0" t="n">
        <v>1064</v>
      </c>
      <c r="B1065" s="0" t="s">
        <v>7175</v>
      </c>
      <c r="C1065" s="0" t="s">
        <v>394</v>
      </c>
      <c r="D1065" s="0" t="s">
        <v>7176</v>
      </c>
      <c r="F1065" s="0" t="s">
        <v>44</v>
      </c>
      <c r="H1065" s="0" t="s">
        <v>5736</v>
      </c>
      <c r="I1065" s="0" t="s">
        <v>115</v>
      </c>
      <c r="J1065" s="3" t="s">
        <v>66</v>
      </c>
      <c r="K1065" s="0" t="s">
        <v>5737</v>
      </c>
      <c r="M1065" s="0" t="n">
        <v>1945</v>
      </c>
      <c r="N1065" s="0" t="s">
        <v>118</v>
      </c>
      <c r="O1065" s="3" t="s">
        <v>1624</v>
      </c>
      <c r="P1065" s="0" t="s">
        <v>55</v>
      </c>
      <c r="R1065" s="0" t="n">
        <v>18100</v>
      </c>
      <c r="S1065" s="0" t="n">
        <v>2025</v>
      </c>
      <c r="T1065" s="0" t="s">
        <v>72</v>
      </c>
      <c r="U1065" s="0" t="s">
        <v>115</v>
      </c>
      <c r="V1065" s="0" t="n">
        <v>4026</v>
      </c>
      <c r="W1065" s="0" t="s">
        <v>5739</v>
      </c>
      <c r="X1065" s="0" t="s">
        <v>764</v>
      </c>
      <c r="Y1065" s="0" t="s">
        <v>72</v>
      </c>
      <c r="Z1065" s="0" t="s">
        <v>115</v>
      </c>
      <c r="AA1065" s="0" t="s">
        <v>75</v>
      </c>
      <c r="AB1065" s="0" t="s">
        <v>5740</v>
      </c>
      <c r="AC1065" s="0" t="s">
        <v>5741</v>
      </c>
      <c r="AD1065" s="0" t="s">
        <v>5742</v>
      </c>
      <c r="AE1065" s="0" t="s">
        <v>115</v>
      </c>
      <c r="AF1065" s="3" t="s">
        <v>108</v>
      </c>
      <c r="AG1065" s="3" t="s">
        <v>404</v>
      </c>
      <c r="AH1065" s="0" t="n">
        <v>2026</v>
      </c>
      <c r="AI1065" s="0" t="s">
        <v>7177</v>
      </c>
      <c r="AJ1065" s="0" t="s">
        <v>7178</v>
      </c>
      <c r="AK1065" s="0" t="s">
        <v>5745</v>
      </c>
      <c r="AL1065" s="0" t="s">
        <v>5746</v>
      </c>
      <c r="AN1065" s="0" t="s">
        <v>5747</v>
      </c>
      <c r="AP1065" s="0" t="s">
        <v>5748</v>
      </c>
      <c r="AR1065" s="0" t="s">
        <v>7179</v>
      </c>
    </row>
    <row r="1066" customFormat="false" ht="15" hidden="false" customHeight="false" outlineLevel="0" collapsed="false">
      <c r="A1066" s="0" t="n">
        <v>1065</v>
      </c>
      <c r="B1066" s="0" t="s">
        <v>7180</v>
      </c>
      <c r="C1066" s="0" t="s">
        <v>52</v>
      </c>
      <c r="D1066" s="0" t="s">
        <v>7181</v>
      </c>
      <c r="N1066" s="3" t="s">
        <v>1568</v>
      </c>
      <c r="O1066" s="3" t="s">
        <v>1568</v>
      </c>
      <c r="P1066" s="0" t="s">
        <v>55</v>
      </c>
      <c r="AA1066" s="0" t="s">
        <v>47</v>
      </c>
      <c r="AB1066" s="0" t="s">
        <v>7182</v>
      </c>
      <c r="AC1066" s="0" t="s">
        <v>7183</v>
      </c>
      <c r="AD1066" s="0" t="s">
        <v>7184</v>
      </c>
      <c r="AE1066" s="0" t="s">
        <v>59</v>
      </c>
      <c r="AF1066" s="3" t="s">
        <v>48</v>
      </c>
      <c r="AG1066" s="3" t="s">
        <v>49</v>
      </c>
      <c r="AR1066" s="0" t="s">
        <v>7181</v>
      </c>
    </row>
    <row r="1067" customFormat="false" ht="15" hidden="false" customHeight="false" outlineLevel="0" collapsed="false">
      <c r="A1067" s="0" t="n">
        <v>1066</v>
      </c>
      <c r="B1067" s="0" t="s">
        <v>7185</v>
      </c>
      <c r="C1067" s="0" t="s">
        <v>52</v>
      </c>
      <c r="D1067" s="0" t="s">
        <v>7186</v>
      </c>
      <c r="H1067" s="0" t="s">
        <v>7187</v>
      </c>
      <c r="I1067" s="0" t="s">
        <v>154</v>
      </c>
      <c r="N1067" s="3" t="s">
        <v>104</v>
      </c>
      <c r="O1067" s="3" t="s">
        <v>104</v>
      </c>
      <c r="P1067" s="0" t="s">
        <v>55</v>
      </c>
      <c r="AA1067" s="0" t="s">
        <v>47</v>
      </c>
      <c r="AB1067" s="0" t="s">
        <v>7188</v>
      </c>
      <c r="AC1067" s="0" t="s">
        <v>7189</v>
      </c>
      <c r="AD1067" s="0" t="s">
        <v>7190</v>
      </c>
      <c r="AE1067" s="0" t="s">
        <v>59</v>
      </c>
      <c r="AF1067" s="3" t="s">
        <v>48</v>
      </c>
      <c r="AG1067" s="3" t="s">
        <v>49</v>
      </c>
      <c r="AM1067" s="0" t="s">
        <v>7191</v>
      </c>
      <c r="AO1067" s="0" t="s">
        <v>7192</v>
      </c>
      <c r="AP1067" s="0" t="s">
        <v>7192</v>
      </c>
      <c r="AR1067" s="0" t="s">
        <v>7193</v>
      </c>
    </row>
    <row r="1068" customFormat="false" ht="15" hidden="false" customHeight="false" outlineLevel="0" collapsed="false">
      <c r="A1068" s="0" t="n">
        <v>1067</v>
      </c>
      <c r="B1068" s="0" t="s">
        <v>7194</v>
      </c>
      <c r="C1068" s="0" t="s">
        <v>244</v>
      </c>
      <c r="E1068" s="0" t="s">
        <v>7195</v>
      </c>
      <c r="F1068" s="0" t="s">
        <v>44</v>
      </c>
      <c r="H1068" s="0" t="s">
        <v>7196</v>
      </c>
      <c r="I1068" s="0" t="s">
        <v>154</v>
      </c>
      <c r="N1068" s="3" t="s">
        <v>186</v>
      </c>
      <c r="O1068" s="3" t="s">
        <v>186</v>
      </c>
      <c r="P1068" s="0" t="s">
        <v>96</v>
      </c>
      <c r="AA1068" s="0" t="s">
        <v>47</v>
      </c>
      <c r="AB1068" s="0" t="s">
        <v>7197</v>
      </c>
      <c r="AC1068" s="0" t="s">
        <v>7198</v>
      </c>
      <c r="AD1068" s="0" t="s">
        <v>7199</v>
      </c>
      <c r="AE1068" s="0" t="s">
        <v>79</v>
      </c>
      <c r="AF1068" s="3" t="s">
        <v>149</v>
      </c>
      <c r="AG1068" s="3" t="s">
        <v>81</v>
      </c>
      <c r="AK1068" s="0" t="s">
        <v>7200</v>
      </c>
      <c r="AL1068" s="0" t="s">
        <v>7201</v>
      </c>
      <c r="AM1068" s="0" t="s">
        <v>7202</v>
      </c>
      <c r="AO1068" s="0" t="s">
        <v>7203</v>
      </c>
      <c r="AP1068" s="0" t="s">
        <v>7203</v>
      </c>
      <c r="AR1068" s="0" t="s">
        <v>7204</v>
      </c>
    </row>
    <row r="1069" customFormat="false" ht="15" hidden="false" customHeight="false" outlineLevel="0" collapsed="false">
      <c r="A1069" s="0" t="n">
        <v>1068</v>
      </c>
      <c r="B1069" s="0" t="s">
        <v>7205</v>
      </c>
      <c r="C1069" s="0" t="s">
        <v>88</v>
      </c>
      <c r="E1069" s="0" t="s">
        <v>7206</v>
      </c>
      <c r="N1069" s="3" t="s">
        <v>119</v>
      </c>
      <c r="O1069" s="3" t="s">
        <v>119</v>
      </c>
      <c r="P1069" s="0" t="s">
        <v>96</v>
      </c>
      <c r="AA1069" s="0" t="s">
        <v>47</v>
      </c>
      <c r="AB1069" s="0" t="s">
        <v>7207</v>
      </c>
      <c r="AC1069" s="0" t="s">
        <v>7208</v>
      </c>
      <c r="AE1069" s="0" t="s">
        <v>79</v>
      </c>
      <c r="AF1069" s="3" t="s">
        <v>48</v>
      </c>
      <c r="AG1069" s="3" t="s">
        <v>49</v>
      </c>
      <c r="AR1069" s="0" t="s">
        <v>7206</v>
      </c>
    </row>
    <row r="1070" customFormat="false" ht="15" hidden="false" customHeight="false" outlineLevel="0" collapsed="false">
      <c r="A1070" s="0" t="n">
        <v>1069</v>
      </c>
      <c r="B1070" s="0" t="s">
        <v>7209</v>
      </c>
      <c r="C1070" s="0" t="s">
        <v>88</v>
      </c>
      <c r="E1070" s="0" t="s">
        <v>7210</v>
      </c>
      <c r="AA1070" s="0" t="s">
        <v>47</v>
      </c>
      <c r="AF1070" s="3" t="s">
        <v>48</v>
      </c>
      <c r="AG1070" s="3" t="s">
        <v>49</v>
      </c>
      <c r="AR1070" s="0" t="s">
        <v>7210</v>
      </c>
    </row>
    <row r="1071" customFormat="false" ht="15" hidden="false" customHeight="false" outlineLevel="0" collapsed="false">
      <c r="A1071" s="0" t="n">
        <v>1070</v>
      </c>
      <c r="B1071" s="0" t="s">
        <v>7211</v>
      </c>
      <c r="C1071" s="0" t="s">
        <v>52</v>
      </c>
      <c r="D1071" s="0" t="s">
        <v>7212</v>
      </c>
      <c r="H1071" s="0" t="s">
        <v>7213</v>
      </c>
      <c r="I1071" s="0" t="s">
        <v>154</v>
      </c>
      <c r="N1071" s="3" t="s">
        <v>762</v>
      </c>
      <c r="O1071" s="3" t="s">
        <v>762</v>
      </c>
      <c r="P1071" s="0" t="s">
        <v>55</v>
      </c>
      <c r="AA1071" s="0" t="s">
        <v>47</v>
      </c>
      <c r="AB1071" s="0" t="s">
        <v>7214</v>
      </c>
      <c r="AC1071" s="0" t="s">
        <v>7215</v>
      </c>
      <c r="AD1071" s="0" t="s">
        <v>7216</v>
      </c>
      <c r="AE1071" s="0" t="s">
        <v>59</v>
      </c>
      <c r="AF1071" s="3" t="s">
        <v>108</v>
      </c>
      <c r="AG1071" s="3" t="s">
        <v>49</v>
      </c>
      <c r="AH1071" s="0" t="n">
        <v>2026</v>
      </c>
      <c r="AI1071" s="0" t="s">
        <v>2751</v>
      </c>
      <c r="AJ1071" s="0" t="s">
        <v>2752</v>
      </c>
      <c r="AL1071" s="0" t="s">
        <v>7217</v>
      </c>
      <c r="AO1071" s="0" t="s">
        <v>7218</v>
      </c>
      <c r="AP1071" s="0" t="s">
        <v>7218</v>
      </c>
      <c r="AR1071" s="0" t="s">
        <v>7219</v>
      </c>
    </row>
    <row r="1072" customFormat="false" ht="15" hidden="false" customHeight="false" outlineLevel="0" collapsed="false">
      <c r="A1072" s="0" t="n">
        <v>1071</v>
      </c>
      <c r="B1072" s="0" t="s">
        <v>7220</v>
      </c>
      <c r="C1072" s="0" t="s">
        <v>88</v>
      </c>
      <c r="E1072" s="0" t="s">
        <v>7221</v>
      </c>
      <c r="H1072" s="0" t="s">
        <v>7222</v>
      </c>
      <c r="I1072" s="0" t="s">
        <v>46</v>
      </c>
      <c r="N1072" s="3" t="s">
        <v>186</v>
      </c>
      <c r="O1072" s="3" t="s">
        <v>186</v>
      </c>
      <c r="P1072" s="0" t="s">
        <v>96</v>
      </c>
      <c r="AA1072" s="0" t="s">
        <v>47</v>
      </c>
      <c r="AB1072" s="0" t="s">
        <v>7223</v>
      </c>
      <c r="AC1072" s="0" t="s">
        <v>7224</v>
      </c>
      <c r="AD1072" s="0" t="s">
        <v>7225</v>
      </c>
      <c r="AE1072" s="0" t="s">
        <v>79</v>
      </c>
      <c r="AF1072" s="3" t="s">
        <v>48</v>
      </c>
      <c r="AG1072" s="3" t="s">
        <v>49</v>
      </c>
      <c r="AR1072" s="0" t="s">
        <v>7221</v>
      </c>
    </row>
    <row r="1073" customFormat="false" ht="15" hidden="false" customHeight="false" outlineLevel="0" collapsed="false">
      <c r="A1073" s="0" t="n">
        <v>1072</v>
      </c>
      <c r="B1073" s="0" t="s">
        <v>7226</v>
      </c>
      <c r="C1073" s="0" t="s">
        <v>43</v>
      </c>
      <c r="F1073" s="0" t="s">
        <v>44</v>
      </c>
      <c r="H1073" s="0" t="s">
        <v>7227</v>
      </c>
      <c r="I1073" s="0" t="s">
        <v>154</v>
      </c>
      <c r="AA1073" s="0" t="s">
        <v>47</v>
      </c>
      <c r="AF1073" s="3" t="s">
        <v>48</v>
      </c>
      <c r="AG1073" s="3" t="s">
        <v>49</v>
      </c>
      <c r="AL1073" s="0" t="s">
        <v>7228</v>
      </c>
      <c r="AM1073" s="0" t="s">
        <v>7229</v>
      </c>
      <c r="AO1073" s="0" t="s">
        <v>7230</v>
      </c>
      <c r="AP1073" s="0" t="s">
        <v>7230</v>
      </c>
      <c r="AR1073" s="0" t="s">
        <v>7231</v>
      </c>
    </row>
    <row r="1074" customFormat="false" ht="15" hidden="false" customHeight="false" outlineLevel="0" collapsed="false">
      <c r="A1074" s="0" t="n">
        <v>1073</v>
      </c>
      <c r="B1074" s="0" t="s">
        <v>7232</v>
      </c>
      <c r="C1074" s="0" t="s">
        <v>88</v>
      </c>
      <c r="E1074" s="0" t="s">
        <v>7233</v>
      </c>
      <c r="N1074" s="3" t="s">
        <v>119</v>
      </c>
      <c r="O1074" s="3" t="s">
        <v>119</v>
      </c>
      <c r="P1074" s="0" t="s">
        <v>96</v>
      </c>
      <c r="AA1074" s="0" t="s">
        <v>47</v>
      </c>
      <c r="AB1074" s="0" t="s">
        <v>7234</v>
      </c>
      <c r="AC1074" s="0" t="s">
        <v>7235</v>
      </c>
      <c r="AD1074" s="0" t="s">
        <v>7236</v>
      </c>
      <c r="AE1074" s="0" t="s">
        <v>79</v>
      </c>
      <c r="AF1074" s="3" t="s">
        <v>48</v>
      </c>
      <c r="AG1074" s="3" t="s">
        <v>49</v>
      </c>
      <c r="AR1074" s="0" t="s">
        <v>7233</v>
      </c>
    </row>
    <row r="1075" customFormat="false" ht="15" hidden="false" customHeight="false" outlineLevel="0" collapsed="false">
      <c r="A1075" s="0" t="n">
        <v>1074</v>
      </c>
      <c r="B1075" s="0" t="s">
        <v>7237</v>
      </c>
      <c r="C1075" s="0" t="s">
        <v>88</v>
      </c>
      <c r="E1075" s="0" t="s">
        <v>7238</v>
      </c>
      <c r="H1075" s="0" t="s">
        <v>7239</v>
      </c>
      <c r="I1075" s="0" t="s">
        <v>94</v>
      </c>
      <c r="N1075" s="3" t="s">
        <v>186</v>
      </c>
      <c r="O1075" s="3" t="s">
        <v>186</v>
      </c>
      <c r="P1075" s="0" t="s">
        <v>96</v>
      </c>
      <c r="AA1075" s="0" t="s">
        <v>47</v>
      </c>
      <c r="AB1075" s="0" t="s">
        <v>7240</v>
      </c>
      <c r="AC1075" s="0" t="s">
        <v>7241</v>
      </c>
      <c r="AD1075" s="0" t="s">
        <v>7242</v>
      </c>
      <c r="AE1075" s="0" t="s">
        <v>79</v>
      </c>
      <c r="AF1075" s="3" t="s">
        <v>48</v>
      </c>
      <c r="AG1075" s="3" t="s">
        <v>49</v>
      </c>
      <c r="AL1075" s="0" t="s">
        <v>7243</v>
      </c>
      <c r="AM1075" s="0" t="s">
        <v>7244</v>
      </c>
      <c r="AO1075" s="0" t="s">
        <v>7245</v>
      </c>
      <c r="AP1075" s="0" t="s">
        <v>7245</v>
      </c>
      <c r="AR1075" s="0" t="s">
        <v>7246</v>
      </c>
    </row>
    <row r="1076" customFormat="false" ht="15" hidden="false" customHeight="false" outlineLevel="0" collapsed="false">
      <c r="A1076" s="0" t="n">
        <v>1075</v>
      </c>
      <c r="B1076" s="0" t="s">
        <v>7247</v>
      </c>
      <c r="C1076" s="0" t="s">
        <v>88</v>
      </c>
      <c r="E1076" s="0" t="s">
        <v>7248</v>
      </c>
      <c r="AA1076" s="0" t="s">
        <v>47</v>
      </c>
      <c r="AF1076" s="3" t="s">
        <v>48</v>
      </c>
      <c r="AG1076" s="3" t="s">
        <v>49</v>
      </c>
      <c r="AR1076" s="0" t="s">
        <v>7248</v>
      </c>
    </row>
    <row r="1077" customFormat="false" ht="15" hidden="false" customHeight="false" outlineLevel="0" collapsed="false">
      <c r="A1077" s="0" t="n">
        <v>1076</v>
      </c>
      <c r="B1077" s="0" t="s">
        <v>7249</v>
      </c>
      <c r="C1077" s="0" t="s">
        <v>88</v>
      </c>
      <c r="E1077" s="0" t="s">
        <v>7250</v>
      </c>
      <c r="N1077" s="3" t="s">
        <v>186</v>
      </c>
      <c r="O1077" s="3" t="s">
        <v>186</v>
      </c>
      <c r="P1077" s="0" t="s">
        <v>96</v>
      </c>
      <c r="AA1077" s="0" t="s">
        <v>47</v>
      </c>
      <c r="AB1077" s="0" t="s">
        <v>7251</v>
      </c>
      <c r="AC1077" s="0" t="s">
        <v>7252</v>
      </c>
      <c r="AD1077" s="0" t="s">
        <v>7253</v>
      </c>
      <c r="AE1077" s="0" t="s">
        <v>79</v>
      </c>
      <c r="AF1077" s="3" t="s">
        <v>48</v>
      </c>
      <c r="AG1077" s="3" t="s">
        <v>49</v>
      </c>
      <c r="AR1077" s="0" t="s">
        <v>7250</v>
      </c>
    </row>
    <row r="1078" customFormat="false" ht="15" hidden="false" customHeight="false" outlineLevel="0" collapsed="false">
      <c r="A1078" s="0" t="n">
        <v>1077</v>
      </c>
      <c r="B1078" s="0" t="s">
        <v>7254</v>
      </c>
      <c r="C1078" s="0" t="s">
        <v>43</v>
      </c>
      <c r="F1078" s="0" t="s">
        <v>44</v>
      </c>
      <c r="AA1078" s="0" t="s">
        <v>47</v>
      </c>
      <c r="AF1078" s="3" t="s">
        <v>48</v>
      </c>
      <c r="AG1078" s="3" t="s">
        <v>49</v>
      </c>
      <c r="AR1078" s="0" t="s">
        <v>50</v>
      </c>
    </row>
    <row r="1079" customFormat="false" ht="15" hidden="false" customHeight="false" outlineLevel="0" collapsed="false">
      <c r="A1079" s="0" t="n">
        <v>1078</v>
      </c>
      <c r="B1079" s="0" t="s">
        <v>7255</v>
      </c>
      <c r="C1079" s="0" t="s">
        <v>244</v>
      </c>
      <c r="E1079" s="0" t="s">
        <v>7256</v>
      </c>
      <c r="F1079" s="0" t="s">
        <v>44</v>
      </c>
      <c r="H1079" s="0" t="s">
        <v>7257</v>
      </c>
      <c r="I1079" s="0" t="s">
        <v>46</v>
      </c>
      <c r="N1079" s="3" t="s">
        <v>119</v>
      </c>
      <c r="O1079" s="3" t="s">
        <v>119</v>
      </c>
      <c r="P1079" s="0" t="s">
        <v>96</v>
      </c>
      <c r="AA1079" s="0" t="s">
        <v>47</v>
      </c>
      <c r="AB1079" s="0" t="s">
        <v>7258</v>
      </c>
      <c r="AC1079" s="0" t="s">
        <v>7259</v>
      </c>
      <c r="AD1079" s="0" t="s">
        <v>7260</v>
      </c>
      <c r="AE1079" s="0" t="s">
        <v>79</v>
      </c>
      <c r="AF1079" s="3" t="s">
        <v>149</v>
      </c>
      <c r="AG1079" s="3" t="s">
        <v>81</v>
      </c>
      <c r="AK1079" s="0" t="s">
        <v>7261</v>
      </c>
      <c r="AR1079" s="0" t="s">
        <v>7262</v>
      </c>
    </row>
    <row r="1080" customFormat="false" ht="15" hidden="false" customHeight="false" outlineLevel="0" collapsed="false">
      <c r="A1080" s="0" t="n">
        <v>1079</v>
      </c>
      <c r="B1080" s="0" t="s">
        <v>7263</v>
      </c>
      <c r="C1080" s="0" t="s">
        <v>88</v>
      </c>
      <c r="E1080" s="0" t="s">
        <v>7264</v>
      </c>
      <c r="H1080" s="0" t="s">
        <v>7265</v>
      </c>
      <c r="I1080" s="0" t="s">
        <v>154</v>
      </c>
      <c r="AA1080" s="0" t="s">
        <v>47</v>
      </c>
      <c r="AF1080" s="3" t="s">
        <v>48</v>
      </c>
      <c r="AG1080" s="3" t="s">
        <v>49</v>
      </c>
      <c r="AL1080" s="0" t="s">
        <v>7266</v>
      </c>
      <c r="AM1080" s="0" t="s">
        <v>7267</v>
      </c>
      <c r="AO1080" s="0" t="s">
        <v>7268</v>
      </c>
      <c r="AP1080" s="0" t="s">
        <v>7268</v>
      </c>
      <c r="AR1080" s="0" t="s">
        <v>7269</v>
      </c>
    </row>
    <row r="1081" customFormat="false" ht="15" hidden="false" customHeight="false" outlineLevel="0" collapsed="false">
      <c r="A1081" s="0" t="n">
        <v>1080</v>
      </c>
      <c r="B1081" s="0" t="s">
        <v>7270</v>
      </c>
      <c r="C1081" s="0" t="s">
        <v>61</v>
      </c>
      <c r="D1081" s="0" t="s">
        <v>7271</v>
      </c>
      <c r="E1081" s="0" t="s">
        <v>7272</v>
      </c>
      <c r="H1081" s="0" t="s">
        <v>7273</v>
      </c>
      <c r="I1081" s="0" t="s">
        <v>94</v>
      </c>
      <c r="J1081" s="3" t="s">
        <v>694</v>
      </c>
      <c r="K1081" s="0" t="s">
        <v>7274</v>
      </c>
      <c r="L1081" s="0" t="s">
        <v>7275</v>
      </c>
      <c r="M1081" s="0" t="n">
        <v>1959</v>
      </c>
      <c r="N1081" s="0" t="s">
        <v>7276</v>
      </c>
      <c r="O1081" s="3" t="s">
        <v>54</v>
      </c>
      <c r="P1081" s="0" t="s">
        <v>55</v>
      </c>
      <c r="R1081" s="0" t="n">
        <v>1300</v>
      </c>
      <c r="S1081" s="0" t="n">
        <v>2025</v>
      </c>
      <c r="T1081" s="0" t="s">
        <v>72</v>
      </c>
      <c r="U1081" s="0" t="s">
        <v>115</v>
      </c>
      <c r="V1081" s="0" t="n">
        <v>330</v>
      </c>
      <c r="W1081" s="0" t="s">
        <v>7277</v>
      </c>
      <c r="X1081" s="0" t="s">
        <v>7278</v>
      </c>
      <c r="Y1081" s="0" t="s">
        <v>72</v>
      </c>
      <c r="Z1081" s="0" t="s">
        <v>115</v>
      </c>
      <c r="AA1081" s="0" t="s">
        <v>75</v>
      </c>
      <c r="AB1081" s="0" t="s">
        <v>7279</v>
      </c>
      <c r="AC1081" s="0" t="s">
        <v>7280</v>
      </c>
      <c r="AD1081" s="0" t="s">
        <v>7281</v>
      </c>
      <c r="AE1081" s="0" t="s">
        <v>115</v>
      </c>
      <c r="AF1081" s="3" t="s">
        <v>108</v>
      </c>
      <c r="AG1081" s="3" t="s">
        <v>81</v>
      </c>
      <c r="AH1081" s="0" t="n">
        <v>2026</v>
      </c>
      <c r="AI1081" s="0" t="s">
        <v>7282</v>
      </c>
      <c r="AJ1081" s="0" t="s">
        <v>7283</v>
      </c>
      <c r="AK1081" s="3" t="s">
        <v>7284</v>
      </c>
      <c r="AL1081" s="0" t="s">
        <v>7285</v>
      </c>
      <c r="AM1081" s="0" t="s">
        <v>7286</v>
      </c>
      <c r="AN1081" s="0" t="s">
        <v>7287</v>
      </c>
      <c r="AO1081" s="0" t="s">
        <v>7288</v>
      </c>
      <c r="AP1081" s="0" t="s">
        <v>7288</v>
      </c>
      <c r="AR1081" s="0" t="s">
        <v>7289</v>
      </c>
    </row>
    <row r="1082" customFormat="false" ht="15" hidden="false" customHeight="false" outlineLevel="0" collapsed="false">
      <c r="A1082" s="0" t="n">
        <v>1081</v>
      </c>
      <c r="B1082" s="0" t="s">
        <v>7290</v>
      </c>
      <c r="C1082" s="0" t="s">
        <v>52</v>
      </c>
      <c r="D1082" s="0" t="s">
        <v>7291</v>
      </c>
      <c r="H1082" s="0" t="s">
        <v>7292</v>
      </c>
      <c r="I1082" s="0" t="s">
        <v>94</v>
      </c>
      <c r="J1082" s="3" t="s">
        <v>66</v>
      </c>
      <c r="K1082" s="0" t="s">
        <v>6672</v>
      </c>
      <c r="L1082" s="0" t="s">
        <v>6673</v>
      </c>
      <c r="M1082" s="0" t="n">
        <v>1937</v>
      </c>
      <c r="N1082" s="0" t="s">
        <v>697</v>
      </c>
      <c r="O1082" s="3" t="s">
        <v>54</v>
      </c>
      <c r="P1082" s="0" t="s">
        <v>55</v>
      </c>
      <c r="R1082" s="0" t="n">
        <v>6000</v>
      </c>
      <c r="S1082" s="0" t="n">
        <v>2022</v>
      </c>
      <c r="T1082" s="0" t="s">
        <v>72</v>
      </c>
      <c r="U1082" s="0" t="s">
        <v>115</v>
      </c>
      <c r="V1082" s="0" t="n">
        <v>1300</v>
      </c>
      <c r="W1082" s="0" t="s">
        <v>6674</v>
      </c>
      <c r="X1082" s="0" t="s">
        <v>6675</v>
      </c>
      <c r="Y1082" s="0" t="s">
        <v>698</v>
      </c>
      <c r="Z1082" s="0" t="s">
        <v>115</v>
      </c>
      <c r="AA1082" s="0" t="s">
        <v>1022</v>
      </c>
      <c r="AB1082" s="0" t="s">
        <v>6676</v>
      </c>
      <c r="AC1082" s="0" t="s">
        <v>6677</v>
      </c>
      <c r="AD1082" s="0" t="s">
        <v>6678</v>
      </c>
      <c r="AE1082" s="0" t="s">
        <v>115</v>
      </c>
      <c r="AF1082" s="3" t="s">
        <v>80</v>
      </c>
      <c r="AG1082" s="3" t="s">
        <v>404</v>
      </c>
      <c r="AH1082" s="0" t="n">
        <v>2026</v>
      </c>
      <c r="AI1082" s="0" t="s">
        <v>7293</v>
      </c>
      <c r="AJ1082" s="0" t="s">
        <v>7294</v>
      </c>
      <c r="AK1082" s="0" t="s">
        <v>6681</v>
      </c>
      <c r="AL1082" s="0" t="s">
        <v>6682</v>
      </c>
      <c r="AM1082" s="0" t="s">
        <v>6683</v>
      </c>
      <c r="AN1082" s="0" t="s">
        <v>6672</v>
      </c>
      <c r="AP1082" s="0" t="s">
        <v>6685</v>
      </c>
      <c r="AR1082" s="0" t="s">
        <v>7295</v>
      </c>
    </row>
    <row r="1083" customFormat="false" ht="15" hidden="false" customHeight="false" outlineLevel="0" collapsed="false">
      <c r="A1083" s="0" t="n">
        <v>1082</v>
      </c>
      <c r="B1083" s="0" t="s">
        <v>7296</v>
      </c>
      <c r="C1083" s="0" t="s">
        <v>88</v>
      </c>
      <c r="E1083" s="0" t="s">
        <v>7297</v>
      </c>
      <c r="N1083" s="3" t="s">
        <v>1248</v>
      </c>
      <c r="O1083" s="3" t="s">
        <v>1248</v>
      </c>
      <c r="P1083" s="0" t="s">
        <v>96</v>
      </c>
      <c r="AA1083" s="0" t="s">
        <v>47</v>
      </c>
      <c r="AB1083" s="0" t="s">
        <v>7298</v>
      </c>
      <c r="AC1083" s="0" t="s">
        <v>7299</v>
      </c>
      <c r="AD1083" s="0" t="s">
        <v>7300</v>
      </c>
      <c r="AE1083" s="0" t="s">
        <v>79</v>
      </c>
      <c r="AF1083" s="3" t="s">
        <v>48</v>
      </c>
      <c r="AG1083" s="3" t="s">
        <v>49</v>
      </c>
      <c r="AR1083" s="0" t="s">
        <v>7297</v>
      </c>
    </row>
    <row r="1084" customFormat="false" ht="15" hidden="false" customHeight="false" outlineLevel="0" collapsed="false">
      <c r="A1084" s="0" t="n">
        <v>1083</v>
      </c>
      <c r="B1084" s="0" t="s">
        <v>7301</v>
      </c>
      <c r="C1084" s="0" t="s">
        <v>244</v>
      </c>
      <c r="E1084" s="0" t="s">
        <v>7302</v>
      </c>
      <c r="F1084" s="0" t="s">
        <v>44</v>
      </c>
      <c r="H1084" s="0" t="s">
        <v>7303</v>
      </c>
      <c r="I1084" s="0" t="s">
        <v>154</v>
      </c>
      <c r="N1084" s="3" t="s">
        <v>147</v>
      </c>
      <c r="O1084" s="3" t="s">
        <v>147</v>
      </c>
      <c r="P1084" s="0" t="s">
        <v>96</v>
      </c>
      <c r="AA1084" s="0" t="s">
        <v>47</v>
      </c>
      <c r="AB1084" s="0" t="s">
        <v>3792</v>
      </c>
      <c r="AC1084" s="0" t="s">
        <v>7304</v>
      </c>
      <c r="AD1084" s="0" t="s">
        <v>7305</v>
      </c>
      <c r="AE1084" s="0" t="s">
        <v>79</v>
      </c>
      <c r="AF1084" s="3" t="s">
        <v>149</v>
      </c>
      <c r="AG1084" s="3" t="s">
        <v>81</v>
      </c>
      <c r="AK1084" s="0" t="s">
        <v>7306</v>
      </c>
      <c r="AL1084" s="0" t="s">
        <v>7307</v>
      </c>
      <c r="AM1084" s="0" t="s">
        <v>7308</v>
      </c>
      <c r="AO1084" s="0" t="s">
        <v>7309</v>
      </c>
      <c r="AP1084" s="0" t="s">
        <v>7309</v>
      </c>
      <c r="AR1084" s="0" t="s">
        <v>7310</v>
      </c>
    </row>
    <row r="1085" customFormat="false" ht="15" hidden="false" customHeight="false" outlineLevel="0" collapsed="false">
      <c r="A1085" s="0" t="n">
        <v>1084</v>
      </c>
      <c r="B1085" s="0" t="s">
        <v>7311</v>
      </c>
      <c r="C1085" s="0" t="s">
        <v>88</v>
      </c>
      <c r="E1085" s="0" t="s">
        <v>7312</v>
      </c>
      <c r="N1085" s="3" t="s">
        <v>186</v>
      </c>
      <c r="O1085" s="3" t="s">
        <v>186</v>
      </c>
      <c r="P1085" s="0" t="s">
        <v>96</v>
      </c>
      <c r="AA1085" s="0" t="s">
        <v>47</v>
      </c>
      <c r="AB1085" s="0" t="s">
        <v>7313</v>
      </c>
      <c r="AC1085" s="0" t="s">
        <v>7314</v>
      </c>
      <c r="AD1085" s="0" t="s">
        <v>7315</v>
      </c>
      <c r="AE1085" s="0" t="s">
        <v>79</v>
      </c>
      <c r="AF1085" s="3" t="s">
        <v>48</v>
      </c>
      <c r="AG1085" s="3" t="s">
        <v>49</v>
      </c>
      <c r="AR1085" s="0" t="s">
        <v>7312</v>
      </c>
    </row>
    <row r="1086" customFormat="false" ht="15" hidden="false" customHeight="false" outlineLevel="0" collapsed="false">
      <c r="A1086" s="0" t="n">
        <v>1085</v>
      </c>
      <c r="B1086" s="0" t="s">
        <v>7316</v>
      </c>
      <c r="C1086" s="0" t="s">
        <v>88</v>
      </c>
      <c r="E1086" s="0" t="s">
        <v>7317</v>
      </c>
      <c r="H1086" s="0" t="s">
        <v>7318</v>
      </c>
      <c r="I1086" s="0" t="s">
        <v>154</v>
      </c>
      <c r="AA1086" s="0" t="s">
        <v>47</v>
      </c>
      <c r="AF1086" s="3" t="s">
        <v>48</v>
      </c>
      <c r="AG1086" s="3" t="s">
        <v>49</v>
      </c>
      <c r="AO1086" s="0" t="s">
        <v>7319</v>
      </c>
      <c r="AP1086" s="0" t="s">
        <v>7319</v>
      </c>
      <c r="AR1086" s="0" t="s">
        <v>7320</v>
      </c>
    </row>
    <row r="1087" customFormat="false" ht="15" hidden="false" customHeight="false" outlineLevel="0" collapsed="false">
      <c r="A1087" s="0" t="n">
        <v>1086</v>
      </c>
      <c r="B1087" s="0" t="s">
        <v>7321</v>
      </c>
      <c r="C1087" s="0" t="s">
        <v>52</v>
      </c>
      <c r="D1087" s="0" t="s">
        <v>7322</v>
      </c>
      <c r="H1087" s="0" t="s">
        <v>7323</v>
      </c>
      <c r="I1087" s="0" t="s">
        <v>46</v>
      </c>
      <c r="N1087" s="3" t="s">
        <v>1624</v>
      </c>
      <c r="O1087" s="3" t="s">
        <v>1624</v>
      </c>
      <c r="P1087" s="0" t="s">
        <v>55</v>
      </c>
      <c r="AA1087" s="0" t="s">
        <v>47</v>
      </c>
      <c r="AB1087" s="0" t="s">
        <v>7324</v>
      </c>
      <c r="AC1087" s="0" t="s">
        <v>7325</v>
      </c>
      <c r="AD1087" s="0" t="s">
        <v>7326</v>
      </c>
      <c r="AE1087" s="0" t="s">
        <v>59</v>
      </c>
      <c r="AF1087" s="3" t="s">
        <v>48</v>
      </c>
      <c r="AG1087" s="3" t="s">
        <v>49</v>
      </c>
      <c r="AR1087" s="0" t="s">
        <v>7322</v>
      </c>
    </row>
    <row r="1088" customFormat="false" ht="15" hidden="false" customHeight="false" outlineLevel="0" collapsed="false">
      <c r="A1088" s="0" t="n">
        <v>1087</v>
      </c>
      <c r="B1088" s="0" t="s">
        <v>7327</v>
      </c>
      <c r="C1088" s="0" t="s">
        <v>88</v>
      </c>
      <c r="E1088" s="0" t="s">
        <v>7328</v>
      </c>
      <c r="N1088" s="3" t="s">
        <v>202</v>
      </c>
      <c r="O1088" s="3" t="s">
        <v>202</v>
      </c>
      <c r="P1088" s="0" t="s">
        <v>96</v>
      </c>
      <c r="AA1088" s="0" t="s">
        <v>47</v>
      </c>
      <c r="AB1088" s="0" t="s">
        <v>7329</v>
      </c>
      <c r="AC1088" s="0" t="s">
        <v>7330</v>
      </c>
      <c r="AD1088" s="0" t="s">
        <v>7331</v>
      </c>
      <c r="AE1088" s="0" t="s">
        <v>79</v>
      </c>
      <c r="AF1088" s="3" t="s">
        <v>48</v>
      </c>
      <c r="AG1088" s="3" t="s">
        <v>49</v>
      </c>
      <c r="AR1088" s="0" t="s">
        <v>7328</v>
      </c>
    </row>
    <row r="1089" customFormat="false" ht="15" hidden="false" customHeight="false" outlineLevel="0" collapsed="false">
      <c r="A1089" s="0" t="n">
        <v>1088</v>
      </c>
      <c r="B1089" s="0" t="s">
        <v>7332</v>
      </c>
      <c r="C1089" s="0" t="s">
        <v>43</v>
      </c>
      <c r="F1089" s="0" t="s">
        <v>44</v>
      </c>
      <c r="H1089" s="0" t="s">
        <v>7333</v>
      </c>
      <c r="I1089" s="0" t="s">
        <v>115</v>
      </c>
      <c r="J1089" s="3" t="s">
        <v>1808</v>
      </c>
      <c r="K1089" s="0" t="s">
        <v>7334</v>
      </c>
      <c r="L1089" s="0" t="s">
        <v>7335</v>
      </c>
      <c r="M1089" s="0" t="n">
        <v>1968</v>
      </c>
      <c r="N1089" s="0" t="s">
        <v>1169</v>
      </c>
      <c r="O1089" s="3" t="s">
        <v>119</v>
      </c>
      <c r="P1089" s="0" t="s">
        <v>96</v>
      </c>
      <c r="R1089" s="0" t="n">
        <v>103249</v>
      </c>
      <c r="S1089" s="0" t="n">
        <v>2024</v>
      </c>
      <c r="T1089" s="0" t="s">
        <v>1741</v>
      </c>
      <c r="U1089" s="0" t="s">
        <v>115</v>
      </c>
      <c r="V1089" s="0" t="n">
        <v>16205</v>
      </c>
      <c r="W1089" s="0" t="s">
        <v>7336</v>
      </c>
      <c r="X1089" s="0" t="s">
        <v>764</v>
      </c>
      <c r="Y1089" s="0" t="s">
        <v>1142</v>
      </c>
      <c r="Z1089" s="0" t="s">
        <v>115</v>
      </c>
      <c r="AA1089" s="0" t="s">
        <v>75</v>
      </c>
      <c r="AB1089" s="0" t="s">
        <v>7337</v>
      </c>
      <c r="AC1089" s="0" t="s">
        <v>7338</v>
      </c>
      <c r="AD1089" s="0" t="s">
        <v>7339</v>
      </c>
      <c r="AE1089" s="0" t="s">
        <v>115</v>
      </c>
      <c r="AF1089" s="3" t="s">
        <v>7340</v>
      </c>
      <c r="AG1089" s="3" t="s">
        <v>404</v>
      </c>
      <c r="AH1089" s="0" t="n">
        <v>2026</v>
      </c>
      <c r="AI1089" s="0" t="s">
        <v>7341</v>
      </c>
      <c r="AJ1089" s="0" t="s">
        <v>7342</v>
      </c>
      <c r="AK1089" s="0" t="s">
        <v>7343</v>
      </c>
      <c r="AL1089" s="0" t="s">
        <v>7344</v>
      </c>
      <c r="AN1089" s="0" t="s">
        <v>7345</v>
      </c>
      <c r="AO1089" s="0" t="s">
        <v>7346</v>
      </c>
      <c r="AP1089" s="0" t="s">
        <v>7347</v>
      </c>
      <c r="AR1089" s="0" t="s">
        <v>7348</v>
      </c>
    </row>
    <row r="1090" customFormat="false" ht="15" hidden="false" customHeight="false" outlineLevel="0" collapsed="false">
      <c r="A1090" s="0" t="n">
        <v>1089</v>
      </c>
      <c r="B1090" s="0" t="s">
        <v>7349</v>
      </c>
      <c r="C1090" s="0" t="s">
        <v>88</v>
      </c>
      <c r="E1090" s="0" t="s">
        <v>7350</v>
      </c>
      <c r="H1090" s="0" t="s">
        <v>7333</v>
      </c>
      <c r="I1090" s="0" t="s">
        <v>115</v>
      </c>
      <c r="J1090" s="3" t="s">
        <v>1808</v>
      </c>
      <c r="K1090" s="0" t="s">
        <v>7334</v>
      </c>
      <c r="L1090" s="0" t="s">
        <v>7335</v>
      </c>
      <c r="M1090" s="0" t="n">
        <v>1968</v>
      </c>
      <c r="N1090" s="0" t="s">
        <v>1169</v>
      </c>
      <c r="O1090" s="3" t="s">
        <v>119</v>
      </c>
      <c r="P1090" s="0" t="s">
        <v>96</v>
      </c>
      <c r="R1090" s="0" t="n">
        <v>103249</v>
      </c>
      <c r="S1090" s="0" t="n">
        <v>2024</v>
      </c>
      <c r="T1090" s="0" t="s">
        <v>1741</v>
      </c>
      <c r="U1090" s="0" t="s">
        <v>115</v>
      </c>
      <c r="V1090" s="0" t="n">
        <v>16205</v>
      </c>
      <c r="W1090" s="0" t="s">
        <v>7336</v>
      </c>
      <c r="X1090" s="0" t="s">
        <v>764</v>
      </c>
      <c r="Y1090" s="0" t="s">
        <v>1142</v>
      </c>
      <c r="Z1090" s="0" t="s">
        <v>115</v>
      </c>
      <c r="AA1090" s="0" t="s">
        <v>75</v>
      </c>
      <c r="AB1090" s="0" t="s">
        <v>7337</v>
      </c>
      <c r="AC1090" s="0" t="s">
        <v>7338</v>
      </c>
      <c r="AD1090" s="0" t="s">
        <v>7339</v>
      </c>
      <c r="AE1090" s="0" t="s">
        <v>115</v>
      </c>
      <c r="AF1090" s="3" t="s">
        <v>7340</v>
      </c>
      <c r="AG1090" s="3" t="s">
        <v>404</v>
      </c>
      <c r="AH1090" s="0" t="n">
        <v>2026</v>
      </c>
      <c r="AI1090" s="0" t="s">
        <v>7341</v>
      </c>
      <c r="AJ1090" s="0" t="s">
        <v>7342</v>
      </c>
      <c r="AK1090" s="0" t="s">
        <v>7343</v>
      </c>
      <c r="AL1090" s="0" t="s">
        <v>7344</v>
      </c>
      <c r="AN1090" s="0" t="s">
        <v>7345</v>
      </c>
      <c r="AO1090" s="0" t="s">
        <v>7346</v>
      </c>
      <c r="AP1090" s="0" t="s">
        <v>7347</v>
      </c>
      <c r="AR1090" s="0" t="s">
        <v>7351</v>
      </c>
    </row>
    <row r="1091" customFormat="false" ht="15" hidden="false" customHeight="false" outlineLevel="0" collapsed="false">
      <c r="A1091" s="0" t="n">
        <v>1090</v>
      </c>
      <c r="B1091" s="0" t="s">
        <v>7352</v>
      </c>
      <c r="C1091" s="0" t="s">
        <v>52</v>
      </c>
      <c r="D1091" s="0" t="s">
        <v>7353</v>
      </c>
      <c r="H1091" s="0" t="s">
        <v>7354</v>
      </c>
      <c r="I1091" s="0" t="s">
        <v>94</v>
      </c>
      <c r="N1091" s="3" t="s">
        <v>104</v>
      </c>
      <c r="O1091" s="3" t="s">
        <v>104</v>
      </c>
      <c r="P1091" s="0" t="s">
        <v>55</v>
      </c>
      <c r="AA1091" s="0" t="s">
        <v>47</v>
      </c>
      <c r="AB1091" s="0" t="s">
        <v>7355</v>
      </c>
      <c r="AC1091" s="0" t="s">
        <v>7356</v>
      </c>
      <c r="AD1091" s="0" t="s">
        <v>7357</v>
      </c>
      <c r="AE1091" s="0" t="s">
        <v>59</v>
      </c>
      <c r="AF1091" s="3" t="s">
        <v>48</v>
      </c>
      <c r="AG1091" s="3" t="s">
        <v>49</v>
      </c>
      <c r="AL1091" s="0" t="s">
        <v>7358</v>
      </c>
      <c r="AO1091" s="0" t="s">
        <v>7359</v>
      </c>
      <c r="AP1091" s="0" t="s">
        <v>7359</v>
      </c>
      <c r="AR1091" s="0" t="s">
        <v>7360</v>
      </c>
    </row>
    <row r="1092" customFormat="false" ht="15" hidden="false" customHeight="false" outlineLevel="0" collapsed="false">
      <c r="A1092" s="0" t="n">
        <v>1091</v>
      </c>
      <c r="B1092" s="0" t="s">
        <v>7361</v>
      </c>
      <c r="C1092" s="0" t="s">
        <v>244</v>
      </c>
      <c r="E1092" s="0" t="s">
        <v>7362</v>
      </c>
      <c r="F1092" s="0" t="s">
        <v>44</v>
      </c>
      <c r="N1092" s="3" t="s">
        <v>186</v>
      </c>
      <c r="O1092" s="3" t="s">
        <v>186</v>
      </c>
      <c r="P1092" s="0" t="s">
        <v>96</v>
      </c>
      <c r="AA1092" s="0" t="s">
        <v>47</v>
      </c>
      <c r="AB1092" s="0" t="s">
        <v>7363</v>
      </c>
      <c r="AC1092" s="0" t="s">
        <v>7364</v>
      </c>
      <c r="AD1092" s="0" t="s">
        <v>7365</v>
      </c>
      <c r="AE1092" s="0" t="s">
        <v>79</v>
      </c>
      <c r="AF1092" s="3" t="s">
        <v>108</v>
      </c>
      <c r="AG1092" s="3" t="s">
        <v>49</v>
      </c>
      <c r="AH1092" s="0" t="n">
        <v>2026</v>
      </c>
      <c r="AI1092" s="0" t="s">
        <v>829</v>
      </c>
      <c r="AJ1092" s="0" t="s">
        <v>830</v>
      </c>
      <c r="AK1092" s="0" t="s">
        <v>7366</v>
      </c>
      <c r="AR1092" s="0" t="s">
        <v>7367</v>
      </c>
    </row>
    <row r="1093" customFormat="false" ht="15" hidden="false" customHeight="false" outlineLevel="0" collapsed="false">
      <c r="A1093" s="0" t="n">
        <v>1092</v>
      </c>
      <c r="B1093" s="0" t="s">
        <v>7368</v>
      </c>
      <c r="C1093" s="0" t="s">
        <v>43</v>
      </c>
      <c r="F1093" s="0" t="s">
        <v>44</v>
      </c>
      <c r="H1093" s="0" t="s">
        <v>7369</v>
      </c>
      <c r="I1093" s="0" t="s">
        <v>154</v>
      </c>
      <c r="AA1093" s="0" t="s">
        <v>47</v>
      </c>
      <c r="AF1093" s="3" t="s">
        <v>48</v>
      </c>
      <c r="AG1093" s="3" t="s">
        <v>49</v>
      </c>
      <c r="AL1093" s="0" t="s">
        <v>7370</v>
      </c>
      <c r="AM1093" s="0" t="s">
        <v>7371</v>
      </c>
      <c r="AO1093" s="0" t="s">
        <v>7372</v>
      </c>
      <c r="AP1093" s="0" t="s">
        <v>7372</v>
      </c>
      <c r="AR1093" s="0" t="s">
        <v>7373</v>
      </c>
    </row>
    <row r="1094" customFormat="false" ht="15" hidden="false" customHeight="false" outlineLevel="0" collapsed="false">
      <c r="A1094" s="0" t="n">
        <v>1093</v>
      </c>
      <c r="B1094" s="0" t="s">
        <v>7374</v>
      </c>
      <c r="C1094" s="0" t="s">
        <v>43</v>
      </c>
      <c r="F1094" s="0" t="s">
        <v>44</v>
      </c>
      <c r="H1094" s="0" t="s">
        <v>7375</v>
      </c>
      <c r="I1094" s="0" t="s">
        <v>65</v>
      </c>
      <c r="J1094" s="3" t="s">
        <v>66</v>
      </c>
      <c r="K1094" s="0" t="s">
        <v>7376</v>
      </c>
      <c r="M1094" s="0" t="s">
        <v>71</v>
      </c>
      <c r="N1094" s="3" t="s">
        <v>186</v>
      </c>
      <c r="O1094" s="3" t="s">
        <v>186</v>
      </c>
      <c r="P1094" s="0" t="s">
        <v>96</v>
      </c>
      <c r="Q1094" s="0" t="s">
        <v>7377</v>
      </c>
      <c r="AA1094" s="0" t="s">
        <v>47</v>
      </c>
      <c r="AF1094" s="3" t="s">
        <v>48</v>
      </c>
      <c r="AG1094" s="3" t="s">
        <v>49</v>
      </c>
      <c r="AN1094" s="0" t="s">
        <v>7376</v>
      </c>
      <c r="AO1094" s="0" t="s">
        <v>7378</v>
      </c>
      <c r="AP1094" s="0" t="s">
        <v>7378</v>
      </c>
      <c r="AQ1094" s="0" t="s">
        <v>7379</v>
      </c>
      <c r="AR1094" s="0" t="s">
        <v>7380</v>
      </c>
    </row>
    <row r="1095" customFormat="false" ht="15" hidden="false" customHeight="false" outlineLevel="0" collapsed="false">
      <c r="A1095" s="0" t="n">
        <v>1094</v>
      </c>
      <c r="B1095" s="0" t="s">
        <v>7381</v>
      </c>
      <c r="C1095" s="0" t="s">
        <v>88</v>
      </c>
      <c r="E1095" s="0" t="s">
        <v>7382</v>
      </c>
      <c r="H1095" s="0" t="s">
        <v>7383</v>
      </c>
      <c r="I1095" s="0" t="s">
        <v>94</v>
      </c>
      <c r="J1095" s="3" t="s">
        <v>664</v>
      </c>
      <c r="K1095" s="0" t="s">
        <v>7384</v>
      </c>
      <c r="M1095" s="0" t="s">
        <v>7385</v>
      </c>
      <c r="N1095" s="0" t="s">
        <v>7386</v>
      </c>
      <c r="O1095" s="3" t="s">
        <v>226</v>
      </c>
      <c r="P1095" s="0" t="s">
        <v>96</v>
      </c>
      <c r="AA1095" s="0" t="s">
        <v>47</v>
      </c>
      <c r="AB1095" s="0" t="s">
        <v>7387</v>
      </c>
      <c r="AC1095" s="0" t="s">
        <v>7388</v>
      </c>
      <c r="AE1095" s="0" t="s">
        <v>79</v>
      </c>
      <c r="AF1095" s="3" t="s">
        <v>108</v>
      </c>
      <c r="AG1095" s="3" t="s">
        <v>49</v>
      </c>
      <c r="AH1095" s="0" t="n">
        <v>2026</v>
      </c>
      <c r="AI1095" s="0" t="s">
        <v>3997</v>
      </c>
      <c r="AJ1095" s="0" t="s">
        <v>3998</v>
      </c>
      <c r="AL1095" s="0" t="s">
        <v>7389</v>
      </c>
      <c r="AM1095" s="0" t="s">
        <v>7390</v>
      </c>
      <c r="AN1095" s="0" t="s">
        <v>7384</v>
      </c>
      <c r="AP1095" s="0" t="s">
        <v>7391</v>
      </c>
      <c r="AQ1095" s="0" t="s">
        <v>7392</v>
      </c>
      <c r="AR1095" s="0" t="s">
        <v>7393</v>
      </c>
    </row>
    <row r="1096" customFormat="false" ht="15" hidden="false" customHeight="false" outlineLevel="0" collapsed="false">
      <c r="A1096" s="0" t="n">
        <v>1095</v>
      </c>
      <c r="B1096" s="0" t="s">
        <v>7394</v>
      </c>
      <c r="C1096" s="0" t="s">
        <v>88</v>
      </c>
      <c r="E1096" s="0" t="s">
        <v>7395</v>
      </c>
      <c r="N1096" s="3" t="s">
        <v>147</v>
      </c>
      <c r="O1096" s="3" t="s">
        <v>147</v>
      </c>
      <c r="P1096" s="0" t="s">
        <v>96</v>
      </c>
      <c r="AA1096" s="0" t="s">
        <v>47</v>
      </c>
      <c r="AB1096" s="0" t="s">
        <v>7396</v>
      </c>
      <c r="AC1096" s="0" t="s">
        <v>7397</v>
      </c>
      <c r="AD1096" s="0" t="s">
        <v>7398</v>
      </c>
      <c r="AE1096" s="0" t="s">
        <v>79</v>
      </c>
      <c r="AF1096" s="3" t="s">
        <v>48</v>
      </c>
      <c r="AG1096" s="3" t="s">
        <v>49</v>
      </c>
      <c r="AR1096" s="0" t="s">
        <v>7395</v>
      </c>
    </row>
    <row r="1097" customFormat="false" ht="15" hidden="false" customHeight="false" outlineLevel="0" collapsed="false">
      <c r="A1097" s="0" t="n">
        <v>1096</v>
      </c>
      <c r="B1097" s="0" t="s">
        <v>7399</v>
      </c>
      <c r="C1097" s="0" t="s">
        <v>88</v>
      </c>
      <c r="E1097" s="0" t="s">
        <v>7400</v>
      </c>
      <c r="N1097" s="3" t="s">
        <v>202</v>
      </c>
      <c r="O1097" s="3" t="s">
        <v>202</v>
      </c>
      <c r="P1097" s="0" t="s">
        <v>96</v>
      </c>
      <c r="AA1097" s="0" t="s">
        <v>47</v>
      </c>
      <c r="AB1097" s="0" t="s">
        <v>7401</v>
      </c>
      <c r="AC1097" s="0" t="s">
        <v>7402</v>
      </c>
      <c r="AE1097" s="0" t="s">
        <v>79</v>
      </c>
      <c r="AF1097" s="3" t="s">
        <v>48</v>
      </c>
      <c r="AG1097" s="3" t="s">
        <v>49</v>
      </c>
      <c r="AR1097" s="0" t="s">
        <v>7400</v>
      </c>
    </row>
    <row r="1098" customFormat="false" ht="15" hidden="false" customHeight="false" outlineLevel="0" collapsed="false">
      <c r="A1098" s="0" t="n">
        <v>1097</v>
      </c>
      <c r="B1098" s="0" t="s">
        <v>7403</v>
      </c>
      <c r="C1098" s="0" t="s">
        <v>88</v>
      </c>
      <c r="E1098" s="0" t="s">
        <v>7404</v>
      </c>
      <c r="H1098" s="0" t="s">
        <v>7405</v>
      </c>
      <c r="I1098" s="0" t="s">
        <v>46</v>
      </c>
      <c r="N1098" s="3" t="s">
        <v>95</v>
      </c>
      <c r="O1098" s="3" t="s">
        <v>95</v>
      </c>
      <c r="P1098" s="0" t="s">
        <v>96</v>
      </c>
      <c r="AA1098" s="0" t="s">
        <v>47</v>
      </c>
      <c r="AB1098" s="0" t="s">
        <v>7406</v>
      </c>
      <c r="AC1098" s="0" t="s">
        <v>7407</v>
      </c>
      <c r="AD1098" s="0" t="s">
        <v>7408</v>
      </c>
      <c r="AE1098" s="0" t="s">
        <v>79</v>
      </c>
      <c r="AF1098" s="3" t="s">
        <v>48</v>
      </c>
      <c r="AG1098" s="3" t="s">
        <v>49</v>
      </c>
      <c r="AR1098" s="0" t="s">
        <v>7404</v>
      </c>
    </row>
    <row r="1099" customFormat="false" ht="15" hidden="false" customHeight="false" outlineLevel="0" collapsed="false">
      <c r="A1099" s="0" t="n">
        <v>1098</v>
      </c>
      <c r="B1099" s="0" t="s">
        <v>7409</v>
      </c>
      <c r="C1099" s="0" t="s">
        <v>88</v>
      </c>
      <c r="E1099" s="0" t="s">
        <v>7410</v>
      </c>
      <c r="H1099" s="0" t="s">
        <v>7411</v>
      </c>
      <c r="I1099" s="0" t="s">
        <v>154</v>
      </c>
      <c r="N1099" s="3" t="s">
        <v>202</v>
      </c>
      <c r="O1099" s="3" t="s">
        <v>202</v>
      </c>
      <c r="P1099" s="0" t="s">
        <v>96</v>
      </c>
      <c r="AA1099" s="0" t="s">
        <v>47</v>
      </c>
      <c r="AB1099" s="0" t="s">
        <v>7412</v>
      </c>
      <c r="AC1099" s="0" t="s">
        <v>7413</v>
      </c>
      <c r="AD1099" s="0" t="s">
        <v>7414</v>
      </c>
      <c r="AE1099" s="0" t="s">
        <v>79</v>
      </c>
      <c r="AF1099" s="3" t="s">
        <v>48</v>
      </c>
      <c r="AG1099" s="3" t="s">
        <v>49</v>
      </c>
      <c r="AL1099" s="0" t="s">
        <v>7415</v>
      </c>
      <c r="AM1099" s="0" t="s">
        <v>7416</v>
      </c>
      <c r="AO1099" s="0" t="s">
        <v>7417</v>
      </c>
      <c r="AP1099" s="0" t="s">
        <v>7417</v>
      </c>
      <c r="AR1099" s="0" t="s">
        <v>7418</v>
      </c>
    </row>
    <row r="1100" customFormat="false" ht="15" hidden="false" customHeight="false" outlineLevel="0" collapsed="false">
      <c r="A1100" s="0" t="n">
        <v>1099</v>
      </c>
      <c r="B1100" s="0" t="s">
        <v>7419</v>
      </c>
      <c r="C1100" s="0" t="s">
        <v>88</v>
      </c>
      <c r="E1100" s="0" t="s">
        <v>7420</v>
      </c>
      <c r="N1100" s="3" t="s">
        <v>213</v>
      </c>
      <c r="O1100" s="3" t="s">
        <v>213</v>
      </c>
      <c r="P1100" s="0" t="s">
        <v>96</v>
      </c>
      <c r="AA1100" s="0" t="s">
        <v>47</v>
      </c>
      <c r="AB1100" s="0" t="s">
        <v>7421</v>
      </c>
      <c r="AC1100" s="0" t="s">
        <v>7422</v>
      </c>
      <c r="AD1100" s="0" t="s">
        <v>7423</v>
      </c>
      <c r="AE1100" s="0" t="s">
        <v>79</v>
      </c>
      <c r="AF1100" s="3" t="s">
        <v>48</v>
      </c>
      <c r="AG1100" s="3" t="s">
        <v>49</v>
      </c>
      <c r="AR1100" s="0" t="s">
        <v>7420</v>
      </c>
    </row>
    <row r="1101" customFormat="false" ht="15" hidden="false" customHeight="false" outlineLevel="0" collapsed="false">
      <c r="A1101" s="0" t="n">
        <v>1100</v>
      </c>
      <c r="B1101" s="0" t="s">
        <v>7424</v>
      </c>
      <c r="C1101" s="0" t="s">
        <v>88</v>
      </c>
      <c r="E1101" s="0" t="s">
        <v>7425</v>
      </c>
      <c r="N1101" s="3" t="s">
        <v>1298</v>
      </c>
      <c r="O1101" s="3" t="s">
        <v>1298</v>
      </c>
      <c r="P1101" s="0" t="s">
        <v>96</v>
      </c>
      <c r="AA1101" s="0" t="s">
        <v>47</v>
      </c>
      <c r="AB1101" s="0" t="s">
        <v>7426</v>
      </c>
      <c r="AC1101" s="0" t="s">
        <v>7427</v>
      </c>
      <c r="AD1101" s="0" t="s">
        <v>7428</v>
      </c>
      <c r="AE1101" s="0" t="s">
        <v>79</v>
      </c>
      <c r="AF1101" s="3" t="s">
        <v>48</v>
      </c>
      <c r="AG1101" s="3" t="s">
        <v>49</v>
      </c>
      <c r="AR1101" s="0" t="s">
        <v>7425</v>
      </c>
    </row>
    <row r="1102" customFormat="false" ht="15" hidden="false" customHeight="false" outlineLevel="0" collapsed="false">
      <c r="A1102" s="0" t="n">
        <v>1101</v>
      </c>
      <c r="B1102" s="0" t="s">
        <v>7429</v>
      </c>
      <c r="C1102" s="0" t="s">
        <v>88</v>
      </c>
      <c r="E1102" s="0" t="s">
        <v>7430</v>
      </c>
      <c r="H1102" s="0" t="s">
        <v>7431</v>
      </c>
      <c r="I1102" s="0" t="s">
        <v>46</v>
      </c>
      <c r="N1102" s="3" t="s">
        <v>226</v>
      </c>
      <c r="O1102" s="3" t="s">
        <v>226</v>
      </c>
      <c r="P1102" s="0" t="s">
        <v>96</v>
      </c>
      <c r="AA1102" s="0" t="s">
        <v>47</v>
      </c>
      <c r="AB1102" s="0" t="s">
        <v>7432</v>
      </c>
      <c r="AC1102" s="0" t="s">
        <v>7433</v>
      </c>
      <c r="AD1102" s="0" t="s">
        <v>7434</v>
      </c>
      <c r="AE1102" s="0" t="s">
        <v>79</v>
      </c>
      <c r="AF1102" s="3" t="s">
        <v>48</v>
      </c>
      <c r="AG1102" s="3" t="s">
        <v>49</v>
      </c>
      <c r="AR1102" s="0" t="s">
        <v>7430</v>
      </c>
    </row>
    <row r="1103" customFormat="false" ht="15" hidden="false" customHeight="false" outlineLevel="0" collapsed="false">
      <c r="A1103" s="0" t="n">
        <v>1102</v>
      </c>
      <c r="B1103" s="0" t="s">
        <v>7435</v>
      </c>
      <c r="C1103" s="0" t="s">
        <v>88</v>
      </c>
      <c r="E1103" s="0" t="s">
        <v>7436</v>
      </c>
      <c r="G1103" s="0" t="s">
        <v>1999</v>
      </c>
      <c r="N1103" s="3" t="s">
        <v>95</v>
      </c>
      <c r="O1103" s="3" t="s">
        <v>95</v>
      </c>
      <c r="P1103" s="0" t="s">
        <v>96</v>
      </c>
      <c r="AA1103" s="0" t="s">
        <v>47</v>
      </c>
      <c r="AB1103" s="0" t="s">
        <v>7437</v>
      </c>
      <c r="AC1103" s="0" t="s">
        <v>7438</v>
      </c>
      <c r="AD1103" s="0" t="s">
        <v>7439</v>
      </c>
      <c r="AE1103" s="0" t="s">
        <v>79</v>
      </c>
      <c r="AF1103" s="3" t="s">
        <v>48</v>
      </c>
      <c r="AG1103" s="3" t="s">
        <v>49</v>
      </c>
      <c r="AR1103" s="0" t="s">
        <v>7436</v>
      </c>
    </row>
    <row r="1104" customFormat="false" ht="15" hidden="false" customHeight="false" outlineLevel="0" collapsed="false">
      <c r="A1104" s="0" t="n">
        <v>1103</v>
      </c>
      <c r="B1104" s="0" t="s">
        <v>7440</v>
      </c>
      <c r="C1104" s="0" t="s">
        <v>244</v>
      </c>
      <c r="E1104" s="0" t="s">
        <v>7441</v>
      </c>
      <c r="F1104" s="0" t="s">
        <v>44</v>
      </c>
      <c r="H1104" s="0" t="s">
        <v>7442</v>
      </c>
      <c r="I1104" s="0" t="s">
        <v>94</v>
      </c>
      <c r="N1104" s="3" t="s">
        <v>95</v>
      </c>
      <c r="O1104" s="3" t="s">
        <v>95</v>
      </c>
      <c r="P1104" s="0" t="s">
        <v>96</v>
      </c>
      <c r="AA1104" s="0" t="s">
        <v>47</v>
      </c>
      <c r="AB1104" s="0" t="s">
        <v>7443</v>
      </c>
      <c r="AC1104" s="0" t="s">
        <v>7444</v>
      </c>
      <c r="AD1104" s="0" t="s">
        <v>7445</v>
      </c>
      <c r="AE1104" s="0" t="s">
        <v>79</v>
      </c>
      <c r="AF1104" s="3" t="s">
        <v>149</v>
      </c>
      <c r="AG1104" s="3" t="s">
        <v>81</v>
      </c>
      <c r="AK1104" s="0" t="s">
        <v>7446</v>
      </c>
      <c r="AP1104" s="0" t="s">
        <v>7447</v>
      </c>
      <c r="AR1104" s="0" t="s">
        <v>7448</v>
      </c>
    </row>
    <row r="1105" customFormat="false" ht="15" hidden="false" customHeight="false" outlineLevel="0" collapsed="false">
      <c r="A1105" s="0" t="n">
        <v>1104</v>
      </c>
      <c r="B1105" s="0" t="s">
        <v>7449</v>
      </c>
      <c r="C1105" s="0" t="s">
        <v>88</v>
      </c>
      <c r="E1105" s="0" t="s">
        <v>7450</v>
      </c>
      <c r="AA1105" s="0" t="s">
        <v>47</v>
      </c>
      <c r="AF1105" s="3" t="s">
        <v>48</v>
      </c>
      <c r="AG1105" s="3" t="s">
        <v>49</v>
      </c>
      <c r="AR1105" s="0" t="s">
        <v>7450</v>
      </c>
    </row>
    <row r="1106" customFormat="false" ht="15" hidden="false" customHeight="false" outlineLevel="0" collapsed="false">
      <c r="A1106" s="0" t="n">
        <v>1105</v>
      </c>
      <c r="B1106" s="0" t="s">
        <v>7451</v>
      </c>
      <c r="C1106" s="0" t="s">
        <v>61</v>
      </c>
      <c r="D1106" s="0" t="s">
        <v>7452</v>
      </c>
      <c r="E1106" s="0" t="s">
        <v>7453</v>
      </c>
      <c r="H1106" s="0" t="s">
        <v>7454</v>
      </c>
      <c r="I1106" s="0" t="s">
        <v>46</v>
      </c>
      <c r="N1106" s="3" t="s">
        <v>104</v>
      </c>
      <c r="O1106" s="3" t="s">
        <v>104</v>
      </c>
      <c r="P1106" s="0" t="s">
        <v>55</v>
      </c>
      <c r="AA1106" s="0" t="s">
        <v>47</v>
      </c>
      <c r="AB1106" s="0" t="s">
        <v>7455</v>
      </c>
      <c r="AC1106" s="0" t="s">
        <v>7456</v>
      </c>
      <c r="AD1106" s="0" t="s">
        <v>7457</v>
      </c>
      <c r="AE1106" s="0" t="s">
        <v>79</v>
      </c>
      <c r="AF1106" s="3" t="s">
        <v>149</v>
      </c>
      <c r="AG1106" s="3" t="s">
        <v>81</v>
      </c>
      <c r="AK1106" s="0" t="s">
        <v>7458</v>
      </c>
      <c r="AR1106" s="0" t="s">
        <v>7459</v>
      </c>
    </row>
    <row r="1107" customFormat="false" ht="15" hidden="false" customHeight="false" outlineLevel="0" collapsed="false">
      <c r="A1107" s="0" t="n">
        <v>1106</v>
      </c>
      <c r="B1107" s="0" t="s">
        <v>7460</v>
      </c>
      <c r="C1107" s="0" t="s">
        <v>88</v>
      </c>
      <c r="E1107" s="0" t="s">
        <v>7461</v>
      </c>
      <c r="N1107" s="3" t="s">
        <v>202</v>
      </c>
      <c r="O1107" s="3" t="s">
        <v>202</v>
      </c>
      <c r="P1107" s="0" t="s">
        <v>96</v>
      </c>
      <c r="AA1107" s="0" t="s">
        <v>47</v>
      </c>
      <c r="AB1107" s="0" t="s">
        <v>7462</v>
      </c>
      <c r="AC1107" s="0" t="s">
        <v>7463</v>
      </c>
      <c r="AD1107" s="0" t="s">
        <v>7464</v>
      </c>
      <c r="AE1107" s="0" t="s">
        <v>79</v>
      </c>
      <c r="AF1107" s="3" t="s">
        <v>48</v>
      </c>
      <c r="AG1107" s="3" t="s">
        <v>49</v>
      </c>
      <c r="AR1107" s="0" t="s">
        <v>7461</v>
      </c>
    </row>
    <row r="1108" customFormat="false" ht="15" hidden="false" customHeight="false" outlineLevel="0" collapsed="false">
      <c r="A1108" s="0" t="n">
        <v>1107</v>
      </c>
      <c r="B1108" s="0" t="s">
        <v>7465</v>
      </c>
      <c r="C1108" s="0" t="s">
        <v>88</v>
      </c>
      <c r="E1108" s="0" t="s">
        <v>7466</v>
      </c>
      <c r="N1108" s="3" t="s">
        <v>239</v>
      </c>
      <c r="O1108" s="3" t="s">
        <v>239</v>
      </c>
      <c r="P1108" s="0" t="s">
        <v>96</v>
      </c>
      <c r="AA1108" s="0" t="s">
        <v>47</v>
      </c>
      <c r="AB1108" s="0" t="s">
        <v>7467</v>
      </c>
      <c r="AC1108" s="0" t="s">
        <v>7468</v>
      </c>
      <c r="AE1108" s="0" t="s">
        <v>79</v>
      </c>
      <c r="AF1108" s="3" t="s">
        <v>48</v>
      </c>
      <c r="AG1108" s="3" t="s">
        <v>49</v>
      </c>
      <c r="AR1108" s="0" t="s">
        <v>7466</v>
      </c>
    </row>
    <row r="1109" customFormat="false" ht="15" hidden="false" customHeight="false" outlineLevel="0" collapsed="false">
      <c r="A1109" s="0" t="n">
        <v>1108</v>
      </c>
      <c r="B1109" s="0" t="s">
        <v>7469</v>
      </c>
      <c r="C1109" s="0" t="s">
        <v>43</v>
      </c>
      <c r="F1109" s="0" t="s">
        <v>44</v>
      </c>
      <c r="H1109" s="0" t="s">
        <v>7470</v>
      </c>
      <c r="I1109" s="0" t="s">
        <v>154</v>
      </c>
      <c r="AA1109" s="0" t="s">
        <v>47</v>
      </c>
      <c r="AF1109" s="3" t="s">
        <v>48</v>
      </c>
      <c r="AG1109" s="3" t="s">
        <v>49</v>
      </c>
      <c r="AL1109" s="0" t="s">
        <v>7471</v>
      </c>
      <c r="AM1109" s="0" t="s">
        <v>7472</v>
      </c>
      <c r="AO1109" s="0" t="s">
        <v>7473</v>
      </c>
      <c r="AP1109" s="0" t="s">
        <v>7473</v>
      </c>
      <c r="AR1109" s="0" t="s">
        <v>7474</v>
      </c>
    </row>
    <row r="1110" customFormat="false" ht="15" hidden="false" customHeight="false" outlineLevel="0" collapsed="false">
      <c r="A1110" s="0" t="n">
        <v>1109</v>
      </c>
      <c r="B1110" s="0" t="s">
        <v>7475</v>
      </c>
      <c r="C1110" s="0" t="s">
        <v>61</v>
      </c>
      <c r="D1110" s="0" t="s">
        <v>7476</v>
      </c>
      <c r="E1110" s="0" t="s">
        <v>7477</v>
      </c>
      <c r="H1110" s="0" t="s">
        <v>7478</v>
      </c>
      <c r="I1110" s="0" t="s">
        <v>154</v>
      </c>
      <c r="N1110" s="3" t="s">
        <v>104</v>
      </c>
      <c r="O1110" s="3" t="s">
        <v>104</v>
      </c>
      <c r="P1110" s="0" t="s">
        <v>55</v>
      </c>
      <c r="AA1110" s="0" t="s">
        <v>47</v>
      </c>
      <c r="AB1110" s="0" t="s">
        <v>7479</v>
      </c>
      <c r="AC1110" s="0" t="s">
        <v>7480</v>
      </c>
      <c r="AD1110" s="0" t="s">
        <v>7481</v>
      </c>
      <c r="AE1110" s="0" t="s">
        <v>79</v>
      </c>
      <c r="AF1110" s="3" t="s">
        <v>149</v>
      </c>
      <c r="AG1110" s="3" t="s">
        <v>81</v>
      </c>
      <c r="AK1110" s="0" t="s">
        <v>7482</v>
      </c>
      <c r="AL1110" s="0" t="s">
        <v>7483</v>
      </c>
      <c r="AM1110" s="0" t="s">
        <v>7484</v>
      </c>
      <c r="AO1110" s="0" t="s">
        <v>7485</v>
      </c>
      <c r="AP1110" s="0" t="s">
        <v>7485</v>
      </c>
      <c r="AR1110" s="0" t="s">
        <v>7486</v>
      </c>
    </row>
    <row r="1111" customFormat="false" ht="15" hidden="false" customHeight="false" outlineLevel="0" collapsed="false">
      <c r="A1111" s="0" t="n">
        <v>1110</v>
      </c>
      <c r="B1111" s="0" t="s">
        <v>7487</v>
      </c>
      <c r="C1111" s="0" t="s">
        <v>88</v>
      </c>
      <c r="E1111" s="0" t="s">
        <v>7488</v>
      </c>
      <c r="N1111" s="3" t="s">
        <v>202</v>
      </c>
      <c r="O1111" s="3" t="s">
        <v>202</v>
      </c>
      <c r="P1111" s="0" t="s">
        <v>96</v>
      </c>
      <c r="AA1111" s="0" t="s">
        <v>47</v>
      </c>
      <c r="AB1111" s="0" t="s">
        <v>7489</v>
      </c>
      <c r="AC1111" s="0" t="s">
        <v>7490</v>
      </c>
      <c r="AE1111" s="0" t="s">
        <v>79</v>
      </c>
      <c r="AF1111" s="3" t="s">
        <v>48</v>
      </c>
      <c r="AG1111" s="3" t="s">
        <v>49</v>
      </c>
      <c r="AR1111" s="0" t="s">
        <v>7488</v>
      </c>
    </row>
    <row r="1112" customFormat="false" ht="15" hidden="false" customHeight="false" outlineLevel="0" collapsed="false">
      <c r="A1112" s="0" t="n">
        <v>1111</v>
      </c>
      <c r="B1112" s="0" t="s">
        <v>7491</v>
      </c>
      <c r="C1112" s="0" t="s">
        <v>61</v>
      </c>
      <c r="D1112" s="0" t="s">
        <v>7492</v>
      </c>
      <c r="E1112" s="0" t="s">
        <v>7493</v>
      </c>
      <c r="H1112" s="0" t="s">
        <v>7494</v>
      </c>
      <c r="I1112" s="0" t="s">
        <v>154</v>
      </c>
      <c r="N1112" s="0" t="s">
        <v>2590</v>
      </c>
      <c r="O1112" s="0" t="s">
        <v>2590</v>
      </c>
      <c r="P1112" s="0" t="s">
        <v>55</v>
      </c>
      <c r="AA1112" s="0" t="s">
        <v>47</v>
      </c>
      <c r="AB1112" s="0" t="s">
        <v>7495</v>
      </c>
      <c r="AC1112" s="0" t="s">
        <v>7496</v>
      </c>
      <c r="AD1112" s="0" t="s">
        <v>7497</v>
      </c>
      <c r="AE1112" s="0" t="s">
        <v>79</v>
      </c>
      <c r="AF1112" s="3" t="s">
        <v>149</v>
      </c>
      <c r="AG1112" s="3" t="s">
        <v>81</v>
      </c>
      <c r="AK1112" s="0" t="s">
        <v>7498</v>
      </c>
      <c r="AL1112" s="0" t="s">
        <v>7499</v>
      </c>
      <c r="AO1112" s="0" t="s">
        <v>7500</v>
      </c>
      <c r="AP1112" s="0" t="s">
        <v>7500</v>
      </c>
      <c r="AR1112" s="0" t="s">
        <v>7501</v>
      </c>
    </row>
    <row r="1113" customFormat="false" ht="15" hidden="false" customHeight="false" outlineLevel="0" collapsed="false">
      <c r="A1113" s="0" t="n">
        <v>1112</v>
      </c>
      <c r="B1113" s="0" t="s">
        <v>7502</v>
      </c>
      <c r="C1113" s="0" t="s">
        <v>43</v>
      </c>
      <c r="F1113" s="0" t="s">
        <v>44</v>
      </c>
      <c r="H1113" s="0" t="s">
        <v>7503</v>
      </c>
      <c r="I1113" s="0" t="s">
        <v>154</v>
      </c>
      <c r="AA1113" s="0" t="s">
        <v>47</v>
      </c>
      <c r="AF1113" s="3" t="s">
        <v>108</v>
      </c>
      <c r="AG1113" s="3" t="s">
        <v>81</v>
      </c>
      <c r="AH1113" s="0" t="n">
        <v>2026</v>
      </c>
      <c r="AI1113" s="0" t="s">
        <v>4669</v>
      </c>
      <c r="AJ1113" s="0" t="s">
        <v>4670</v>
      </c>
      <c r="AL1113" s="0" t="s">
        <v>7504</v>
      </c>
      <c r="AM1113" s="0" t="s">
        <v>7505</v>
      </c>
      <c r="AO1113" s="0" t="s">
        <v>7506</v>
      </c>
      <c r="AP1113" s="0" t="s">
        <v>7506</v>
      </c>
      <c r="AR1113" s="0" t="s">
        <v>7507</v>
      </c>
    </row>
    <row r="1114" customFormat="false" ht="15" hidden="false" customHeight="false" outlineLevel="0" collapsed="false">
      <c r="A1114" s="0" t="n">
        <v>1113</v>
      </c>
      <c r="B1114" s="0" t="s">
        <v>7508</v>
      </c>
      <c r="C1114" s="0" t="s">
        <v>914</v>
      </c>
      <c r="E1114" s="0" t="s">
        <v>7509</v>
      </c>
      <c r="F1114" s="0" t="s">
        <v>146</v>
      </c>
      <c r="H1114" s="0" t="s">
        <v>7510</v>
      </c>
      <c r="I1114" s="0" t="s">
        <v>115</v>
      </c>
      <c r="J1114" s="3" t="s">
        <v>694</v>
      </c>
      <c r="K1114" s="0" t="s">
        <v>7511</v>
      </c>
      <c r="M1114" s="0" t="n">
        <v>1961</v>
      </c>
      <c r="N1114" s="0" t="s">
        <v>2435</v>
      </c>
      <c r="O1114" s="3" t="s">
        <v>202</v>
      </c>
      <c r="P1114" s="0" t="s">
        <v>96</v>
      </c>
      <c r="Q1114" s="0" t="s">
        <v>7512</v>
      </c>
      <c r="R1114" s="0" t="n">
        <v>3000</v>
      </c>
      <c r="S1114" s="0" t="n">
        <v>2025</v>
      </c>
      <c r="T1114" s="0" t="s">
        <v>72</v>
      </c>
      <c r="U1114" s="0" t="s">
        <v>115</v>
      </c>
      <c r="V1114" s="0" t="n">
        <v>815</v>
      </c>
      <c r="W1114" s="0" t="s">
        <v>7513</v>
      </c>
      <c r="X1114" s="0" t="s">
        <v>7514</v>
      </c>
      <c r="Y1114" s="0" t="s">
        <v>698</v>
      </c>
      <c r="Z1114" s="0" t="s">
        <v>115</v>
      </c>
      <c r="AA1114" s="0" t="s">
        <v>1022</v>
      </c>
      <c r="AB1114" s="0" t="s">
        <v>7515</v>
      </c>
      <c r="AC1114" s="0" t="s">
        <v>7516</v>
      </c>
      <c r="AD1114" s="0" t="s">
        <v>7517</v>
      </c>
      <c r="AE1114" s="0" t="s">
        <v>115</v>
      </c>
      <c r="AF1114" s="3" t="s">
        <v>108</v>
      </c>
      <c r="AG1114" s="3" t="s">
        <v>404</v>
      </c>
      <c r="AH1114" s="0" t="n">
        <v>2026</v>
      </c>
      <c r="AI1114" s="0" t="s">
        <v>109</v>
      </c>
      <c r="AJ1114" s="0" t="s">
        <v>7518</v>
      </c>
      <c r="AK1114" s="0" t="s">
        <v>7519</v>
      </c>
      <c r="AL1114" s="0" t="s">
        <v>7520</v>
      </c>
      <c r="AM1114" s="0" t="s">
        <v>7521</v>
      </c>
      <c r="AN1114" s="0" t="s">
        <v>7522</v>
      </c>
      <c r="AO1114" s="0" t="s">
        <v>7523</v>
      </c>
      <c r="AP1114" s="0" t="s">
        <v>7523</v>
      </c>
      <c r="AR1114" s="0" t="s">
        <v>7524</v>
      </c>
    </row>
    <row r="1115" customFormat="false" ht="15" hidden="false" customHeight="false" outlineLevel="0" collapsed="false">
      <c r="A1115" s="0" t="n">
        <v>1114</v>
      </c>
      <c r="B1115" s="0" t="s">
        <v>7525</v>
      </c>
      <c r="C1115" s="0" t="s">
        <v>312</v>
      </c>
      <c r="D1115" s="0" t="s">
        <v>7526</v>
      </c>
      <c r="E1115" s="0" t="s">
        <v>7527</v>
      </c>
      <c r="F1115" s="0" t="s">
        <v>44</v>
      </c>
      <c r="H1115" s="0" t="s">
        <v>7528</v>
      </c>
      <c r="I1115" s="0" t="s">
        <v>115</v>
      </c>
      <c r="J1115" s="3" t="s">
        <v>694</v>
      </c>
      <c r="K1115" s="0" t="s">
        <v>7529</v>
      </c>
      <c r="M1115" s="0" t="n">
        <v>1870</v>
      </c>
      <c r="N1115" s="0" t="s">
        <v>2609</v>
      </c>
      <c r="O1115" s="3" t="s">
        <v>104</v>
      </c>
      <c r="P1115" s="0" t="s">
        <v>55</v>
      </c>
      <c r="R1115" s="0" t="n">
        <v>14042</v>
      </c>
      <c r="S1115" s="0" t="n">
        <v>2025</v>
      </c>
      <c r="T1115" s="0" t="s">
        <v>72</v>
      </c>
      <c r="U1115" s="0" t="s">
        <v>115</v>
      </c>
      <c r="V1115" s="0" t="n">
        <v>3892</v>
      </c>
      <c r="W1115" s="0" t="s">
        <v>7530</v>
      </c>
      <c r="X1115" s="0" t="s">
        <v>764</v>
      </c>
      <c r="Y1115" s="0" t="s">
        <v>72</v>
      </c>
      <c r="Z1115" s="0" t="s">
        <v>115</v>
      </c>
      <c r="AA1115" s="0" t="s">
        <v>75</v>
      </c>
      <c r="AB1115" s="0" t="s">
        <v>7531</v>
      </c>
      <c r="AC1115" s="0" t="s">
        <v>7532</v>
      </c>
      <c r="AD1115" s="0" t="s">
        <v>7533</v>
      </c>
      <c r="AE1115" s="0" t="s">
        <v>115</v>
      </c>
      <c r="AF1115" s="3" t="s">
        <v>80</v>
      </c>
      <c r="AG1115" s="3" t="s">
        <v>404</v>
      </c>
      <c r="AH1115" s="0" t="n">
        <v>2026</v>
      </c>
      <c r="AI1115" s="0" t="s">
        <v>7534</v>
      </c>
      <c r="AJ1115" s="0" t="s">
        <v>7535</v>
      </c>
      <c r="AK1115" s="0" t="s">
        <v>7536</v>
      </c>
      <c r="AL1115" s="0" t="s">
        <v>7537</v>
      </c>
      <c r="AM1115" s="0" t="s">
        <v>7538</v>
      </c>
      <c r="AN1115" s="0" t="s">
        <v>7539</v>
      </c>
      <c r="AO1115" s="0" t="s">
        <v>7540</v>
      </c>
      <c r="AP1115" s="0" t="s">
        <v>7541</v>
      </c>
      <c r="AR1115" s="0" t="s">
        <v>7542</v>
      </c>
    </row>
    <row r="1116" customFormat="false" ht="15" hidden="false" customHeight="false" outlineLevel="0" collapsed="false">
      <c r="A1116" s="0" t="n">
        <v>1115</v>
      </c>
      <c r="B1116" s="0" t="s">
        <v>7543</v>
      </c>
      <c r="C1116" s="0" t="s">
        <v>88</v>
      </c>
      <c r="E1116" s="0" t="s">
        <v>7544</v>
      </c>
      <c r="N1116" s="3" t="s">
        <v>202</v>
      </c>
      <c r="O1116" s="3" t="s">
        <v>202</v>
      </c>
      <c r="P1116" s="0" t="s">
        <v>96</v>
      </c>
      <c r="AA1116" s="0" t="s">
        <v>47</v>
      </c>
      <c r="AB1116" s="0" t="s">
        <v>7545</v>
      </c>
      <c r="AC1116" s="0" t="s">
        <v>7546</v>
      </c>
      <c r="AD1116" s="0" t="s">
        <v>7547</v>
      </c>
      <c r="AE1116" s="0" t="s">
        <v>79</v>
      </c>
      <c r="AF1116" s="3" t="s">
        <v>48</v>
      </c>
      <c r="AG1116" s="3" t="s">
        <v>49</v>
      </c>
      <c r="AR1116" s="0" t="s">
        <v>7544</v>
      </c>
    </row>
    <row r="1117" customFormat="false" ht="15" hidden="false" customHeight="false" outlineLevel="0" collapsed="false">
      <c r="A1117" s="0" t="n">
        <v>1116</v>
      </c>
      <c r="B1117" s="0" t="s">
        <v>7548</v>
      </c>
      <c r="C1117" s="0" t="s">
        <v>88</v>
      </c>
      <c r="E1117" s="0" t="s">
        <v>7549</v>
      </c>
      <c r="H1117" s="0" t="s">
        <v>7550</v>
      </c>
      <c r="I1117" s="0" t="s">
        <v>94</v>
      </c>
      <c r="N1117" s="3" t="s">
        <v>95</v>
      </c>
      <c r="O1117" s="3" t="s">
        <v>95</v>
      </c>
      <c r="P1117" s="0" t="s">
        <v>96</v>
      </c>
      <c r="AA1117" s="0" t="s">
        <v>47</v>
      </c>
      <c r="AB1117" s="0" t="s">
        <v>7551</v>
      </c>
      <c r="AC1117" s="0" t="s">
        <v>7552</v>
      </c>
      <c r="AD1117" s="0" t="s">
        <v>7553</v>
      </c>
      <c r="AE1117" s="0" t="s">
        <v>79</v>
      </c>
      <c r="AF1117" s="3" t="s">
        <v>48</v>
      </c>
      <c r="AG1117" s="3" t="s">
        <v>49</v>
      </c>
      <c r="AP1117" s="0" t="s">
        <v>7554</v>
      </c>
      <c r="AR1117" s="0" t="s">
        <v>7555</v>
      </c>
    </row>
    <row r="1118" customFormat="false" ht="15" hidden="false" customHeight="false" outlineLevel="0" collapsed="false">
      <c r="A1118" s="0" t="n">
        <v>1117</v>
      </c>
      <c r="B1118" s="0" t="s">
        <v>7556</v>
      </c>
      <c r="C1118" s="0" t="s">
        <v>88</v>
      </c>
      <c r="E1118" s="0" t="s">
        <v>7557</v>
      </c>
      <c r="H1118" s="0" t="s">
        <v>7558</v>
      </c>
      <c r="I1118" s="0" t="s">
        <v>154</v>
      </c>
      <c r="AA1118" s="0" t="s">
        <v>47</v>
      </c>
      <c r="AF1118" s="3" t="s">
        <v>48</v>
      </c>
      <c r="AG1118" s="3" t="s">
        <v>49</v>
      </c>
      <c r="AL1118" s="0" t="s">
        <v>7559</v>
      </c>
      <c r="AM1118" s="0" t="s">
        <v>7560</v>
      </c>
      <c r="AO1118" s="0" t="s">
        <v>7561</v>
      </c>
      <c r="AP1118" s="0" t="s">
        <v>7561</v>
      </c>
      <c r="AR1118" s="0" t="s">
        <v>7562</v>
      </c>
    </row>
    <row r="1119" customFormat="false" ht="15" hidden="false" customHeight="false" outlineLevel="0" collapsed="false">
      <c r="A1119" s="0" t="n">
        <v>1118</v>
      </c>
      <c r="B1119" s="0" t="s">
        <v>7563</v>
      </c>
      <c r="C1119" s="0" t="s">
        <v>88</v>
      </c>
      <c r="E1119" s="0" t="s">
        <v>7564</v>
      </c>
      <c r="AA1119" s="0" t="s">
        <v>47</v>
      </c>
      <c r="AB1119" s="0" t="s">
        <v>7565</v>
      </c>
      <c r="AC1119" s="0" t="s">
        <v>7566</v>
      </c>
      <c r="AD1119" s="0" t="s">
        <v>7567</v>
      </c>
      <c r="AE1119" s="0" t="s">
        <v>79</v>
      </c>
      <c r="AF1119" s="3" t="s">
        <v>48</v>
      </c>
      <c r="AG1119" s="3" t="s">
        <v>49</v>
      </c>
      <c r="AR1119" s="0" t="s">
        <v>7564</v>
      </c>
    </row>
    <row r="1120" customFormat="false" ht="15" hidden="false" customHeight="false" outlineLevel="0" collapsed="false">
      <c r="A1120" s="0" t="n">
        <v>1119</v>
      </c>
      <c r="B1120" s="0" t="s">
        <v>7568</v>
      </c>
      <c r="C1120" s="0" t="s">
        <v>52</v>
      </c>
      <c r="D1120" s="0" t="s">
        <v>7569</v>
      </c>
      <c r="H1120" s="0" t="s">
        <v>7570</v>
      </c>
      <c r="I1120" s="0" t="s">
        <v>46</v>
      </c>
      <c r="N1120" s="3" t="s">
        <v>69</v>
      </c>
      <c r="O1120" s="3" t="s">
        <v>69</v>
      </c>
      <c r="P1120" s="0" t="s">
        <v>55</v>
      </c>
      <c r="AA1120" s="0" t="s">
        <v>47</v>
      </c>
      <c r="AB1120" s="0" t="s">
        <v>7571</v>
      </c>
      <c r="AC1120" s="0" t="s">
        <v>7572</v>
      </c>
      <c r="AD1120" s="0" t="s">
        <v>7573</v>
      </c>
      <c r="AE1120" s="0" t="s">
        <v>59</v>
      </c>
      <c r="AF1120" s="3" t="s">
        <v>48</v>
      </c>
      <c r="AG1120" s="3" t="s">
        <v>49</v>
      </c>
      <c r="AR1120" s="0" t="s">
        <v>7569</v>
      </c>
    </row>
    <row r="1121" customFormat="false" ht="15" hidden="false" customHeight="false" outlineLevel="0" collapsed="false">
      <c r="A1121" s="0" t="n">
        <v>1120</v>
      </c>
      <c r="B1121" s="0" t="s">
        <v>7574</v>
      </c>
      <c r="C1121" s="0" t="s">
        <v>52</v>
      </c>
      <c r="D1121" s="0" t="s">
        <v>7575</v>
      </c>
      <c r="N1121" s="3" t="s">
        <v>136</v>
      </c>
      <c r="O1121" s="3" t="s">
        <v>136</v>
      </c>
      <c r="P1121" s="0" t="s">
        <v>55</v>
      </c>
      <c r="AA1121" s="0" t="s">
        <v>47</v>
      </c>
      <c r="AB1121" s="0" t="s">
        <v>7576</v>
      </c>
      <c r="AC1121" s="0" t="s">
        <v>7577</v>
      </c>
      <c r="AD1121" s="0" t="s">
        <v>7578</v>
      </c>
      <c r="AE1121" s="0" t="s">
        <v>59</v>
      </c>
      <c r="AF1121" s="3" t="s">
        <v>48</v>
      </c>
      <c r="AG1121" s="3" t="s">
        <v>49</v>
      </c>
      <c r="AR1121" s="0" t="s">
        <v>7575</v>
      </c>
    </row>
    <row r="1122" customFormat="false" ht="15" hidden="false" customHeight="false" outlineLevel="0" collapsed="false">
      <c r="A1122" s="0" t="n">
        <v>1121</v>
      </c>
      <c r="B1122" s="0" t="s">
        <v>7579</v>
      </c>
      <c r="C1122" s="0" t="s">
        <v>88</v>
      </c>
      <c r="E1122" s="0" t="s">
        <v>7580</v>
      </c>
      <c r="AA1122" s="0" t="s">
        <v>47</v>
      </c>
      <c r="AF1122" s="3" t="s">
        <v>48</v>
      </c>
      <c r="AG1122" s="3" t="s">
        <v>49</v>
      </c>
      <c r="AR1122" s="0" t="s">
        <v>7580</v>
      </c>
    </row>
    <row r="1123" customFormat="false" ht="15" hidden="false" customHeight="false" outlineLevel="0" collapsed="false">
      <c r="A1123" s="0" t="n">
        <v>1122</v>
      </c>
      <c r="B1123" s="0" t="s">
        <v>7581</v>
      </c>
      <c r="C1123" s="0" t="s">
        <v>43</v>
      </c>
      <c r="F1123" s="0" t="s">
        <v>44</v>
      </c>
      <c r="H1123" s="0" t="s">
        <v>7582</v>
      </c>
      <c r="I1123" s="0" t="s">
        <v>154</v>
      </c>
      <c r="AA1123" s="0" t="s">
        <v>47</v>
      </c>
      <c r="AF1123" s="3" t="s">
        <v>48</v>
      </c>
      <c r="AG1123" s="3" t="s">
        <v>49</v>
      </c>
      <c r="AL1123" s="0" t="s">
        <v>7583</v>
      </c>
      <c r="AM1123" s="0" t="s">
        <v>7584</v>
      </c>
      <c r="AO1123" s="0" t="s">
        <v>7585</v>
      </c>
      <c r="AP1123" s="0" t="s">
        <v>7585</v>
      </c>
      <c r="AR1123" s="0" t="s">
        <v>7586</v>
      </c>
    </row>
    <row r="1124" customFormat="false" ht="15" hidden="false" customHeight="false" outlineLevel="0" collapsed="false">
      <c r="A1124" s="0" t="n">
        <v>1123</v>
      </c>
      <c r="B1124" s="0" t="s">
        <v>7587</v>
      </c>
      <c r="C1124" s="0" t="s">
        <v>43</v>
      </c>
      <c r="F1124" s="0" t="s">
        <v>44</v>
      </c>
      <c r="H1124" s="0" t="s">
        <v>7588</v>
      </c>
      <c r="I1124" s="0" t="s">
        <v>46</v>
      </c>
      <c r="AA1124" s="0" t="s">
        <v>47</v>
      </c>
      <c r="AF1124" s="3" t="s">
        <v>48</v>
      </c>
      <c r="AG1124" s="3" t="s">
        <v>49</v>
      </c>
      <c r="AR1124" s="0" t="s">
        <v>50</v>
      </c>
    </row>
    <row r="1125" customFormat="false" ht="15" hidden="false" customHeight="false" outlineLevel="0" collapsed="false">
      <c r="A1125" s="0" t="n">
        <v>1124</v>
      </c>
      <c r="B1125" s="0" t="s">
        <v>7589</v>
      </c>
      <c r="C1125" s="0" t="s">
        <v>244</v>
      </c>
      <c r="E1125" s="0" t="s">
        <v>7590</v>
      </c>
      <c r="F1125" s="0" t="s">
        <v>44</v>
      </c>
      <c r="H1125" s="0" t="s">
        <v>7591</v>
      </c>
      <c r="I1125" s="0" t="s">
        <v>154</v>
      </c>
      <c r="N1125" s="3" t="s">
        <v>239</v>
      </c>
      <c r="O1125" s="3" t="s">
        <v>239</v>
      </c>
      <c r="P1125" s="0" t="s">
        <v>96</v>
      </c>
      <c r="AA1125" s="0" t="s">
        <v>47</v>
      </c>
      <c r="AB1125" s="0" t="s">
        <v>7592</v>
      </c>
      <c r="AC1125" s="0" t="s">
        <v>7593</v>
      </c>
      <c r="AD1125" s="0" t="s">
        <v>7594</v>
      </c>
      <c r="AE1125" s="0" t="s">
        <v>79</v>
      </c>
      <c r="AF1125" s="3" t="s">
        <v>108</v>
      </c>
      <c r="AG1125" s="3" t="s">
        <v>49</v>
      </c>
      <c r="AH1125" s="0" t="n">
        <v>2026</v>
      </c>
      <c r="AI1125" s="0" t="s">
        <v>2720</v>
      </c>
      <c r="AJ1125" s="0" t="s">
        <v>2721</v>
      </c>
      <c r="AK1125" s="0" t="s">
        <v>7595</v>
      </c>
      <c r="AL1125" s="0" t="s">
        <v>7596</v>
      </c>
      <c r="AM1125" s="0" t="s">
        <v>7597</v>
      </c>
      <c r="AO1125" s="0" t="s">
        <v>7598</v>
      </c>
      <c r="AP1125" s="0" t="s">
        <v>7598</v>
      </c>
      <c r="AR1125" s="0" t="s">
        <v>7599</v>
      </c>
    </row>
    <row r="1126" customFormat="false" ht="15" hidden="false" customHeight="false" outlineLevel="0" collapsed="false">
      <c r="A1126" s="0" t="n">
        <v>1125</v>
      </c>
      <c r="B1126" s="0" t="s">
        <v>7600</v>
      </c>
      <c r="C1126" s="0" t="s">
        <v>88</v>
      </c>
      <c r="E1126" s="0" t="s">
        <v>7601</v>
      </c>
      <c r="H1126" s="0" t="s">
        <v>7602</v>
      </c>
      <c r="I1126" s="0" t="s">
        <v>154</v>
      </c>
      <c r="N1126" s="3" t="s">
        <v>95</v>
      </c>
      <c r="O1126" s="3" t="s">
        <v>95</v>
      </c>
      <c r="P1126" s="0" t="s">
        <v>96</v>
      </c>
      <c r="AA1126" s="0" t="s">
        <v>47</v>
      </c>
      <c r="AB1126" s="0" t="s">
        <v>7603</v>
      </c>
      <c r="AC1126" s="0" t="s">
        <v>7604</v>
      </c>
      <c r="AD1126" s="0" t="s">
        <v>7605</v>
      </c>
      <c r="AE1126" s="0" t="s">
        <v>79</v>
      </c>
      <c r="AF1126" s="3" t="s">
        <v>48</v>
      </c>
      <c r="AG1126" s="3" t="s">
        <v>49</v>
      </c>
      <c r="AL1126" s="0" t="s">
        <v>7606</v>
      </c>
      <c r="AO1126" s="0" t="s">
        <v>7607</v>
      </c>
      <c r="AP1126" s="0" t="s">
        <v>7607</v>
      </c>
      <c r="AR1126" s="0" t="s">
        <v>7608</v>
      </c>
    </row>
    <row r="1127" customFormat="false" ht="15" hidden="false" customHeight="false" outlineLevel="0" collapsed="false">
      <c r="A1127" s="0" t="n">
        <v>1126</v>
      </c>
      <c r="B1127" s="0" t="s">
        <v>7609</v>
      </c>
      <c r="C1127" s="0" t="s">
        <v>244</v>
      </c>
      <c r="E1127" s="0" t="s">
        <v>7610</v>
      </c>
      <c r="F1127" s="0" t="s">
        <v>44</v>
      </c>
      <c r="H1127" s="0" t="s">
        <v>7611</v>
      </c>
      <c r="I1127" s="0" t="s">
        <v>46</v>
      </c>
      <c r="N1127" s="3" t="s">
        <v>202</v>
      </c>
      <c r="O1127" s="3" t="s">
        <v>202</v>
      </c>
      <c r="P1127" s="0" t="s">
        <v>96</v>
      </c>
      <c r="AA1127" s="0" t="s">
        <v>47</v>
      </c>
      <c r="AB1127" s="0" t="s">
        <v>7612</v>
      </c>
      <c r="AC1127" s="0" t="s">
        <v>7613</v>
      </c>
      <c r="AD1127" s="0" t="s">
        <v>7614</v>
      </c>
      <c r="AE1127" s="0" t="s">
        <v>79</v>
      </c>
      <c r="AF1127" s="3" t="s">
        <v>149</v>
      </c>
      <c r="AG1127" s="3" t="s">
        <v>81</v>
      </c>
      <c r="AK1127" s="0" t="s">
        <v>7615</v>
      </c>
      <c r="AR1127" s="0" t="s">
        <v>7616</v>
      </c>
    </row>
    <row r="1128" customFormat="false" ht="15" hidden="false" customHeight="false" outlineLevel="0" collapsed="false">
      <c r="A1128" s="0" t="n">
        <v>1127</v>
      </c>
      <c r="B1128" s="0" t="s">
        <v>7617</v>
      </c>
      <c r="C1128" s="0" t="s">
        <v>88</v>
      </c>
      <c r="E1128" s="0" t="s">
        <v>7618</v>
      </c>
      <c r="N1128" s="3" t="s">
        <v>202</v>
      </c>
      <c r="O1128" s="3" t="s">
        <v>202</v>
      </c>
      <c r="P1128" s="0" t="s">
        <v>96</v>
      </c>
      <c r="AA1128" s="0" t="s">
        <v>47</v>
      </c>
      <c r="AB1128" s="0" t="s">
        <v>7619</v>
      </c>
      <c r="AC1128" s="0" t="s">
        <v>7620</v>
      </c>
      <c r="AD1128" s="0" t="s">
        <v>7621</v>
      </c>
      <c r="AE1128" s="0" t="s">
        <v>79</v>
      </c>
      <c r="AF1128" s="3" t="s">
        <v>48</v>
      </c>
      <c r="AG1128" s="3" t="s">
        <v>49</v>
      </c>
      <c r="AR1128" s="0" t="s">
        <v>7618</v>
      </c>
    </row>
    <row r="1129" customFormat="false" ht="15" hidden="false" customHeight="false" outlineLevel="0" collapsed="false">
      <c r="A1129" s="0" t="n">
        <v>1128</v>
      </c>
      <c r="B1129" s="0" t="s">
        <v>7622</v>
      </c>
      <c r="C1129" s="0" t="s">
        <v>88</v>
      </c>
      <c r="E1129" s="0" t="s">
        <v>7623</v>
      </c>
      <c r="N1129" s="3" t="s">
        <v>213</v>
      </c>
      <c r="O1129" s="3" t="s">
        <v>213</v>
      </c>
      <c r="P1129" s="0" t="s">
        <v>96</v>
      </c>
      <c r="AA1129" s="0" t="s">
        <v>47</v>
      </c>
      <c r="AB1129" s="0" t="s">
        <v>7624</v>
      </c>
      <c r="AC1129" s="0" t="s">
        <v>7625</v>
      </c>
      <c r="AD1129" s="0" t="s">
        <v>7626</v>
      </c>
      <c r="AE1129" s="0" t="s">
        <v>79</v>
      </c>
      <c r="AF1129" s="3" t="s">
        <v>48</v>
      </c>
      <c r="AG1129" s="3" t="s">
        <v>49</v>
      </c>
      <c r="AR1129" s="0" t="s">
        <v>7623</v>
      </c>
    </row>
    <row r="1130" customFormat="false" ht="15" hidden="false" customHeight="false" outlineLevel="0" collapsed="false">
      <c r="A1130" s="0" t="n">
        <v>1129</v>
      </c>
      <c r="B1130" s="0" t="s">
        <v>7627</v>
      </c>
      <c r="C1130" s="0" t="s">
        <v>88</v>
      </c>
      <c r="E1130" s="0" t="s">
        <v>7628</v>
      </c>
      <c r="H1130" s="0" t="s">
        <v>7629</v>
      </c>
      <c r="I1130" s="0" t="s">
        <v>46</v>
      </c>
      <c r="N1130" s="3" t="s">
        <v>186</v>
      </c>
      <c r="O1130" s="3" t="s">
        <v>186</v>
      </c>
      <c r="P1130" s="0" t="s">
        <v>96</v>
      </c>
      <c r="AA1130" s="0" t="s">
        <v>47</v>
      </c>
      <c r="AB1130" s="0" t="s">
        <v>7630</v>
      </c>
      <c r="AC1130" s="0" t="s">
        <v>7631</v>
      </c>
      <c r="AD1130" s="0" t="s">
        <v>7632</v>
      </c>
      <c r="AE1130" s="0" t="s">
        <v>79</v>
      </c>
      <c r="AF1130" s="3" t="s">
        <v>108</v>
      </c>
      <c r="AG1130" s="3" t="s">
        <v>49</v>
      </c>
      <c r="AH1130" s="0" t="n">
        <v>2026</v>
      </c>
      <c r="AI1130" s="0" t="s">
        <v>1545</v>
      </c>
      <c r="AJ1130" s="0" t="s">
        <v>1546</v>
      </c>
      <c r="AR1130" s="0" t="s">
        <v>7633</v>
      </c>
    </row>
    <row r="1131" customFormat="false" ht="15" hidden="false" customHeight="false" outlineLevel="0" collapsed="false">
      <c r="A1131" s="0" t="n">
        <v>1130</v>
      </c>
      <c r="B1131" s="0" t="s">
        <v>7634</v>
      </c>
      <c r="C1131" s="0" t="s">
        <v>88</v>
      </c>
      <c r="E1131" s="0" t="s">
        <v>7635</v>
      </c>
      <c r="N1131" s="3" t="s">
        <v>202</v>
      </c>
      <c r="O1131" s="3" t="s">
        <v>202</v>
      </c>
      <c r="P1131" s="0" t="s">
        <v>96</v>
      </c>
      <c r="AA1131" s="0" t="s">
        <v>47</v>
      </c>
      <c r="AB1131" s="0" t="s">
        <v>7636</v>
      </c>
      <c r="AC1131" s="0" t="s">
        <v>7637</v>
      </c>
      <c r="AD1131" s="0" t="s">
        <v>7638</v>
      </c>
      <c r="AE1131" s="0" t="s">
        <v>79</v>
      </c>
      <c r="AF1131" s="3" t="s">
        <v>48</v>
      </c>
      <c r="AG1131" s="3" t="s">
        <v>49</v>
      </c>
      <c r="AR1131" s="0" t="s">
        <v>7635</v>
      </c>
    </row>
    <row r="1132" customFormat="false" ht="15" hidden="false" customHeight="false" outlineLevel="0" collapsed="false">
      <c r="A1132" s="0" t="n">
        <v>1131</v>
      </c>
      <c r="B1132" s="0" t="s">
        <v>7639</v>
      </c>
      <c r="C1132" s="0" t="s">
        <v>88</v>
      </c>
      <c r="E1132" s="0" t="s">
        <v>7640</v>
      </c>
      <c r="H1132" s="0" t="s">
        <v>7641</v>
      </c>
      <c r="I1132" s="0" t="s">
        <v>154</v>
      </c>
      <c r="N1132" s="3" t="s">
        <v>213</v>
      </c>
      <c r="O1132" s="3" t="s">
        <v>213</v>
      </c>
      <c r="P1132" s="0" t="s">
        <v>96</v>
      </c>
      <c r="AA1132" s="0" t="s">
        <v>47</v>
      </c>
      <c r="AB1132" s="0" t="s">
        <v>7642</v>
      </c>
      <c r="AC1132" s="0" t="s">
        <v>7643</v>
      </c>
      <c r="AD1132" s="0" t="s">
        <v>7644</v>
      </c>
      <c r="AE1132" s="0" t="s">
        <v>79</v>
      </c>
      <c r="AF1132" s="3" t="s">
        <v>48</v>
      </c>
      <c r="AG1132" s="3" t="s">
        <v>49</v>
      </c>
      <c r="AL1132" s="0" t="s">
        <v>7645</v>
      </c>
      <c r="AM1132" s="0" t="s">
        <v>7646</v>
      </c>
      <c r="AO1132" s="0" t="s">
        <v>7647</v>
      </c>
      <c r="AP1132" s="0" t="s">
        <v>7647</v>
      </c>
      <c r="AR1132" s="0" t="s">
        <v>7648</v>
      </c>
    </row>
    <row r="1133" customFormat="false" ht="15" hidden="false" customHeight="false" outlineLevel="0" collapsed="false">
      <c r="A1133" s="0" t="n">
        <v>1132</v>
      </c>
      <c r="B1133" s="0" t="s">
        <v>7649</v>
      </c>
      <c r="C1133" s="0" t="s">
        <v>88</v>
      </c>
      <c r="E1133" s="0" t="s">
        <v>7650</v>
      </c>
      <c r="N1133" s="3" t="s">
        <v>202</v>
      </c>
      <c r="O1133" s="3" t="s">
        <v>202</v>
      </c>
      <c r="P1133" s="0" t="s">
        <v>96</v>
      </c>
      <c r="AA1133" s="0" t="s">
        <v>47</v>
      </c>
      <c r="AB1133" s="0" t="s">
        <v>7651</v>
      </c>
      <c r="AC1133" s="0" t="s">
        <v>7652</v>
      </c>
      <c r="AD1133" s="0" t="s">
        <v>7653</v>
      </c>
      <c r="AE1133" s="0" t="s">
        <v>79</v>
      </c>
      <c r="AF1133" s="3" t="s">
        <v>48</v>
      </c>
      <c r="AG1133" s="3" t="s">
        <v>49</v>
      </c>
      <c r="AR1133" s="0" t="s">
        <v>7650</v>
      </c>
    </row>
    <row r="1134" customFormat="false" ht="15" hidden="false" customHeight="false" outlineLevel="0" collapsed="false">
      <c r="A1134" s="0" t="n">
        <v>1133</v>
      </c>
      <c r="B1134" s="0" t="s">
        <v>7654</v>
      </c>
      <c r="C1134" s="0" t="s">
        <v>52</v>
      </c>
      <c r="D1134" s="0" t="s">
        <v>7655</v>
      </c>
      <c r="H1134" s="0" t="s">
        <v>7656</v>
      </c>
      <c r="I1134" s="0" t="s">
        <v>94</v>
      </c>
      <c r="AA1134" s="0" t="s">
        <v>47</v>
      </c>
      <c r="AB1134" s="0" t="s">
        <v>7657</v>
      </c>
      <c r="AC1134" s="0" t="s">
        <v>7658</v>
      </c>
      <c r="AD1134" s="0" t="s">
        <v>7659</v>
      </c>
      <c r="AE1134" s="0" t="s">
        <v>59</v>
      </c>
      <c r="AF1134" s="3" t="s">
        <v>48</v>
      </c>
      <c r="AG1134" s="3" t="s">
        <v>49</v>
      </c>
      <c r="AR1134" s="0" t="s">
        <v>7655</v>
      </c>
    </row>
    <row r="1135" customFormat="false" ht="15" hidden="false" customHeight="false" outlineLevel="0" collapsed="false">
      <c r="A1135" s="0" t="n">
        <v>1134</v>
      </c>
      <c r="B1135" s="0" t="s">
        <v>7660</v>
      </c>
      <c r="C1135" s="0" t="s">
        <v>88</v>
      </c>
      <c r="E1135" s="0" t="s">
        <v>7661</v>
      </c>
      <c r="H1135" s="0" t="s">
        <v>7662</v>
      </c>
      <c r="I1135" s="0" t="s">
        <v>154</v>
      </c>
      <c r="N1135" s="3" t="s">
        <v>186</v>
      </c>
      <c r="O1135" s="3" t="s">
        <v>186</v>
      </c>
      <c r="P1135" s="0" t="s">
        <v>96</v>
      </c>
      <c r="AA1135" s="0" t="s">
        <v>47</v>
      </c>
      <c r="AB1135" s="0" t="s">
        <v>7663</v>
      </c>
      <c r="AC1135" s="0" t="s">
        <v>7664</v>
      </c>
      <c r="AD1135" s="0" t="s">
        <v>7665</v>
      </c>
      <c r="AE1135" s="0" t="s">
        <v>79</v>
      </c>
      <c r="AF1135" s="3" t="s">
        <v>48</v>
      </c>
      <c r="AG1135" s="3" t="s">
        <v>49</v>
      </c>
      <c r="AL1135" s="0" t="s">
        <v>7666</v>
      </c>
      <c r="AM1135" s="0" t="s">
        <v>7667</v>
      </c>
      <c r="AO1135" s="0" t="s">
        <v>7668</v>
      </c>
      <c r="AP1135" s="0" t="s">
        <v>7668</v>
      </c>
      <c r="AR1135" s="0" t="s">
        <v>7669</v>
      </c>
    </row>
    <row r="1136" customFormat="false" ht="15" hidden="false" customHeight="false" outlineLevel="0" collapsed="false">
      <c r="A1136" s="0" t="n">
        <v>1135</v>
      </c>
      <c r="B1136" s="0" t="s">
        <v>7670</v>
      </c>
      <c r="C1136" s="0" t="s">
        <v>88</v>
      </c>
      <c r="E1136" s="0" t="s">
        <v>7671</v>
      </c>
      <c r="H1136" s="0" t="s">
        <v>7672</v>
      </c>
      <c r="I1136" s="0" t="s">
        <v>46</v>
      </c>
      <c r="N1136" s="3" t="s">
        <v>239</v>
      </c>
      <c r="O1136" s="3" t="s">
        <v>239</v>
      </c>
      <c r="P1136" s="0" t="s">
        <v>96</v>
      </c>
      <c r="AA1136" s="0" t="s">
        <v>47</v>
      </c>
      <c r="AB1136" s="0" t="s">
        <v>7673</v>
      </c>
      <c r="AC1136" s="0" t="s">
        <v>7674</v>
      </c>
      <c r="AE1136" s="0" t="s">
        <v>79</v>
      </c>
      <c r="AF1136" s="3" t="s">
        <v>48</v>
      </c>
      <c r="AG1136" s="3" t="s">
        <v>49</v>
      </c>
      <c r="AR1136" s="0" t="s">
        <v>7671</v>
      </c>
    </row>
    <row r="1137" customFormat="false" ht="15" hidden="false" customHeight="false" outlineLevel="0" collapsed="false">
      <c r="A1137" s="0" t="n">
        <v>1136</v>
      </c>
      <c r="B1137" s="0" t="s">
        <v>7675</v>
      </c>
      <c r="C1137" s="0" t="s">
        <v>43</v>
      </c>
      <c r="F1137" s="0" t="s">
        <v>44</v>
      </c>
      <c r="H1137" s="0" t="s">
        <v>7676</v>
      </c>
      <c r="I1137" s="0" t="s">
        <v>154</v>
      </c>
      <c r="AA1137" s="0" t="s">
        <v>47</v>
      </c>
      <c r="AF1137" s="3" t="s">
        <v>108</v>
      </c>
      <c r="AG1137" s="3" t="s">
        <v>49</v>
      </c>
      <c r="AH1137" s="0" t="n">
        <v>2026</v>
      </c>
      <c r="AI1137" s="0" t="s">
        <v>284</v>
      </c>
      <c r="AJ1137" s="0" t="s">
        <v>285</v>
      </c>
      <c r="AL1137" s="0" t="s">
        <v>7677</v>
      </c>
      <c r="AM1137" s="0" t="s">
        <v>7678</v>
      </c>
      <c r="AO1137" s="0" t="s">
        <v>7679</v>
      </c>
      <c r="AP1137" s="0" t="s">
        <v>7679</v>
      </c>
      <c r="AR1137" s="0" t="s">
        <v>7680</v>
      </c>
    </row>
    <row r="1138" customFormat="false" ht="15" hidden="false" customHeight="false" outlineLevel="0" collapsed="false">
      <c r="A1138" s="0" t="n">
        <v>1137</v>
      </c>
      <c r="B1138" s="0" t="s">
        <v>7681</v>
      </c>
      <c r="C1138" s="0" t="s">
        <v>52</v>
      </c>
      <c r="D1138" s="0" t="s">
        <v>7682</v>
      </c>
      <c r="H1138" s="0" t="s">
        <v>7683</v>
      </c>
      <c r="I1138" s="0" t="s">
        <v>94</v>
      </c>
      <c r="N1138" s="0" t="s">
        <v>7684</v>
      </c>
      <c r="O1138" s="0" t="s">
        <v>7684</v>
      </c>
      <c r="P1138" s="0" t="s">
        <v>55</v>
      </c>
      <c r="AA1138" s="0" t="s">
        <v>47</v>
      </c>
      <c r="AB1138" s="0" t="s">
        <v>7685</v>
      </c>
      <c r="AC1138" s="0" t="s">
        <v>7686</v>
      </c>
      <c r="AD1138" s="0" t="s">
        <v>7687</v>
      </c>
      <c r="AE1138" s="0" t="s">
        <v>59</v>
      </c>
      <c r="AF1138" s="3" t="s">
        <v>48</v>
      </c>
      <c r="AG1138" s="3" t="s">
        <v>49</v>
      </c>
      <c r="AL1138" s="0" t="s">
        <v>7688</v>
      </c>
      <c r="AO1138" s="0" t="s">
        <v>7689</v>
      </c>
      <c r="AP1138" s="0" t="s">
        <v>7689</v>
      </c>
      <c r="AR1138" s="0" t="s">
        <v>7690</v>
      </c>
    </row>
    <row r="1139" customFormat="false" ht="15" hidden="false" customHeight="false" outlineLevel="0" collapsed="false">
      <c r="A1139" s="0" t="n">
        <v>1138</v>
      </c>
      <c r="B1139" s="0" t="s">
        <v>7691</v>
      </c>
      <c r="C1139" s="0" t="s">
        <v>244</v>
      </c>
      <c r="E1139" s="0" t="s">
        <v>7692</v>
      </c>
      <c r="F1139" s="0" t="s">
        <v>44</v>
      </c>
      <c r="H1139" s="0" t="s">
        <v>7693</v>
      </c>
      <c r="I1139" s="0" t="s">
        <v>154</v>
      </c>
      <c r="N1139" s="3" t="s">
        <v>95</v>
      </c>
      <c r="O1139" s="3" t="s">
        <v>95</v>
      </c>
      <c r="P1139" s="0" t="s">
        <v>96</v>
      </c>
      <c r="AA1139" s="0" t="s">
        <v>47</v>
      </c>
      <c r="AB1139" s="0" t="s">
        <v>7694</v>
      </c>
      <c r="AC1139" s="0" t="s">
        <v>7695</v>
      </c>
      <c r="AD1139" s="0" t="s">
        <v>7696</v>
      </c>
      <c r="AE1139" s="0" t="s">
        <v>79</v>
      </c>
      <c r="AF1139" s="3" t="s">
        <v>149</v>
      </c>
      <c r="AG1139" s="3" t="s">
        <v>81</v>
      </c>
      <c r="AK1139" s="0" t="s">
        <v>7697</v>
      </c>
      <c r="AL1139" s="0" t="s">
        <v>7698</v>
      </c>
      <c r="AO1139" s="0" t="s">
        <v>7699</v>
      </c>
      <c r="AP1139" s="0" t="s">
        <v>7699</v>
      </c>
      <c r="AR1139" s="0" t="s">
        <v>7700</v>
      </c>
    </row>
    <row r="1140" customFormat="false" ht="15" hidden="false" customHeight="false" outlineLevel="0" collapsed="false">
      <c r="A1140" s="0" t="n">
        <v>1139</v>
      </c>
      <c r="B1140" s="0" t="s">
        <v>7701</v>
      </c>
      <c r="C1140" s="0" t="s">
        <v>52</v>
      </c>
      <c r="D1140" s="0" t="s">
        <v>7702</v>
      </c>
      <c r="H1140" s="0" t="s">
        <v>7703</v>
      </c>
      <c r="I1140" s="0" t="s">
        <v>154</v>
      </c>
      <c r="N1140" s="3" t="s">
        <v>213</v>
      </c>
      <c r="O1140" s="3" t="s">
        <v>213</v>
      </c>
      <c r="P1140" s="0" t="s">
        <v>96</v>
      </c>
      <c r="AA1140" s="0" t="s">
        <v>47</v>
      </c>
      <c r="AB1140" s="0" t="s">
        <v>7704</v>
      </c>
      <c r="AE1140" s="0" t="s">
        <v>59</v>
      </c>
      <c r="AF1140" s="3" t="s">
        <v>108</v>
      </c>
      <c r="AG1140" s="3" t="s">
        <v>49</v>
      </c>
      <c r="AH1140" s="0" t="n">
        <v>2026</v>
      </c>
      <c r="AI1140" s="0" t="s">
        <v>1231</v>
      </c>
      <c r="AJ1140" s="0" t="s">
        <v>1232</v>
      </c>
      <c r="AL1140" s="0" t="s">
        <v>7705</v>
      </c>
      <c r="AO1140" s="0" t="s">
        <v>7706</v>
      </c>
      <c r="AP1140" s="0" t="s">
        <v>7706</v>
      </c>
      <c r="AR1140" s="0" t="s">
        <v>7707</v>
      </c>
    </row>
    <row r="1141" customFormat="false" ht="15" hidden="false" customHeight="false" outlineLevel="0" collapsed="false">
      <c r="A1141" s="0" t="n">
        <v>1140</v>
      </c>
      <c r="B1141" s="0" t="s">
        <v>7708</v>
      </c>
      <c r="C1141" s="0" t="s">
        <v>88</v>
      </c>
      <c r="E1141" s="0" t="s">
        <v>7709</v>
      </c>
      <c r="H1141" s="0" t="s">
        <v>7710</v>
      </c>
      <c r="I1141" s="0" t="s">
        <v>154</v>
      </c>
      <c r="N1141" s="3" t="s">
        <v>119</v>
      </c>
      <c r="O1141" s="3" t="s">
        <v>119</v>
      </c>
      <c r="P1141" s="0" t="s">
        <v>96</v>
      </c>
      <c r="AA1141" s="0" t="s">
        <v>47</v>
      </c>
      <c r="AB1141" s="0" t="s">
        <v>7711</v>
      </c>
      <c r="AC1141" s="0" t="s">
        <v>7712</v>
      </c>
      <c r="AD1141" s="0" t="s">
        <v>7713</v>
      </c>
      <c r="AE1141" s="0" t="s">
        <v>79</v>
      </c>
      <c r="AF1141" s="3" t="s">
        <v>48</v>
      </c>
      <c r="AG1141" s="3" t="s">
        <v>49</v>
      </c>
      <c r="AL1141" s="0" t="s">
        <v>7714</v>
      </c>
      <c r="AM1141" s="0" t="s">
        <v>7715</v>
      </c>
      <c r="AO1141" s="0" t="s">
        <v>7716</v>
      </c>
      <c r="AP1141" s="0" t="s">
        <v>7716</v>
      </c>
      <c r="AR1141" s="0" t="s">
        <v>7717</v>
      </c>
    </row>
    <row r="1142" customFormat="false" ht="15" hidden="false" customHeight="false" outlineLevel="0" collapsed="false">
      <c r="A1142" s="0" t="n">
        <v>1141</v>
      </c>
      <c r="B1142" s="0" t="s">
        <v>7718</v>
      </c>
      <c r="C1142" s="0" t="s">
        <v>88</v>
      </c>
      <c r="E1142" s="0" t="s">
        <v>7719</v>
      </c>
      <c r="H1142" s="0" t="s">
        <v>7720</v>
      </c>
      <c r="I1142" s="0" t="s">
        <v>154</v>
      </c>
      <c r="AA1142" s="0" t="s">
        <v>47</v>
      </c>
      <c r="AF1142" s="3" t="s">
        <v>48</v>
      </c>
      <c r="AG1142" s="3" t="s">
        <v>49</v>
      </c>
      <c r="AL1142" s="0" t="s">
        <v>7721</v>
      </c>
      <c r="AM1142" s="0" t="s">
        <v>7722</v>
      </c>
      <c r="AO1142" s="0" t="s">
        <v>7723</v>
      </c>
      <c r="AP1142" s="0" t="s">
        <v>7723</v>
      </c>
      <c r="AR1142" s="0" t="s">
        <v>7724</v>
      </c>
    </row>
    <row r="1143" customFormat="false" ht="15" hidden="false" customHeight="false" outlineLevel="0" collapsed="false">
      <c r="A1143" s="0" t="n">
        <v>1142</v>
      </c>
      <c r="B1143" s="0" t="s">
        <v>7725</v>
      </c>
      <c r="C1143" s="0" t="s">
        <v>52</v>
      </c>
      <c r="D1143" s="0" t="s">
        <v>7726</v>
      </c>
      <c r="H1143" s="0" t="s">
        <v>7727</v>
      </c>
      <c r="I1143" s="0" t="s">
        <v>94</v>
      </c>
      <c r="N1143" s="3" t="s">
        <v>1568</v>
      </c>
      <c r="O1143" s="3" t="s">
        <v>1568</v>
      </c>
      <c r="P1143" s="0" t="s">
        <v>55</v>
      </c>
      <c r="AA1143" s="0" t="s">
        <v>47</v>
      </c>
      <c r="AB1143" s="0" t="s">
        <v>7728</v>
      </c>
      <c r="AC1143" s="0" t="s">
        <v>7729</v>
      </c>
      <c r="AD1143" s="0" t="s">
        <v>7730</v>
      </c>
      <c r="AE1143" s="0" t="s">
        <v>59</v>
      </c>
      <c r="AF1143" s="3" t="s">
        <v>108</v>
      </c>
      <c r="AG1143" s="3" t="s">
        <v>49</v>
      </c>
      <c r="AH1143" s="0" t="n">
        <v>2026</v>
      </c>
      <c r="AI1143" s="0" t="s">
        <v>7731</v>
      </c>
      <c r="AJ1143" s="0" t="s">
        <v>7732</v>
      </c>
      <c r="AM1143" s="0" t="s">
        <v>7733</v>
      </c>
      <c r="AO1143" s="0" t="s">
        <v>7734</v>
      </c>
      <c r="AP1143" s="0" t="s">
        <v>7734</v>
      </c>
      <c r="AR1143" s="0" t="s">
        <v>7735</v>
      </c>
    </row>
    <row r="1144" customFormat="false" ht="15" hidden="false" customHeight="false" outlineLevel="0" collapsed="false">
      <c r="A1144" s="0" t="n">
        <v>1143</v>
      </c>
      <c r="B1144" s="0" t="s">
        <v>7736</v>
      </c>
      <c r="C1144" s="0" t="s">
        <v>61</v>
      </c>
      <c r="D1144" s="0" t="s">
        <v>7737</v>
      </c>
      <c r="E1144" s="0" t="s">
        <v>7738</v>
      </c>
      <c r="H1144" s="0" t="s">
        <v>7739</v>
      </c>
      <c r="I1144" s="0" t="s">
        <v>46</v>
      </c>
      <c r="N1144" s="3" t="s">
        <v>104</v>
      </c>
      <c r="O1144" s="3" t="s">
        <v>104</v>
      </c>
      <c r="P1144" s="0" t="s">
        <v>55</v>
      </c>
      <c r="AA1144" s="0" t="s">
        <v>47</v>
      </c>
      <c r="AB1144" s="0" t="s">
        <v>7740</v>
      </c>
      <c r="AC1144" s="0" t="s">
        <v>7741</v>
      </c>
      <c r="AD1144" s="0" t="s">
        <v>7742</v>
      </c>
      <c r="AE1144" s="0" t="s">
        <v>79</v>
      </c>
      <c r="AF1144" s="3" t="s">
        <v>149</v>
      </c>
      <c r="AG1144" s="3" t="s">
        <v>81</v>
      </c>
      <c r="AK1144" s="0" t="s">
        <v>7743</v>
      </c>
      <c r="AR1144" s="0" t="s">
        <v>7744</v>
      </c>
    </row>
    <row r="1145" customFormat="false" ht="15" hidden="false" customHeight="false" outlineLevel="0" collapsed="false">
      <c r="A1145" s="0" t="n">
        <v>1144</v>
      </c>
      <c r="B1145" s="0" t="s">
        <v>7745</v>
      </c>
      <c r="C1145" s="0" t="s">
        <v>88</v>
      </c>
      <c r="E1145" s="0" t="s">
        <v>7746</v>
      </c>
      <c r="N1145" s="3" t="s">
        <v>119</v>
      </c>
      <c r="O1145" s="3" t="s">
        <v>119</v>
      </c>
      <c r="P1145" s="0" t="s">
        <v>96</v>
      </c>
      <c r="AA1145" s="0" t="s">
        <v>47</v>
      </c>
      <c r="AB1145" s="0" t="s">
        <v>7747</v>
      </c>
      <c r="AC1145" s="0" t="s">
        <v>7748</v>
      </c>
      <c r="AD1145" s="0" t="s">
        <v>7749</v>
      </c>
      <c r="AE1145" s="0" t="s">
        <v>79</v>
      </c>
      <c r="AF1145" s="3" t="s">
        <v>48</v>
      </c>
      <c r="AG1145" s="3" t="s">
        <v>49</v>
      </c>
      <c r="AR1145" s="0" t="s">
        <v>7746</v>
      </c>
    </row>
    <row r="1146" customFormat="false" ht="15" hidden="false" customHeight="false" outlineLevel="0" collapsed="false">
      <c r="A1146" s="0" t="n">
        <v>1145</v>
      </c>
      <c r="B1146" s="0" t="s">
        <v>7750</v>
      </c>
      <c r="C1146" s="0" t="s">
        <v>43</v>
      </c>
      <c r="F1146" s="0" t="s">
        <v>44</v>
      </c>
      <c r="AA1146" s="0" t="s">
        <v>47</v>
      </c>
      <c r="AF1146" s="3" t="s">
        <v>48</v>
      </c>
      <c r="AG1146" s="3" t="s">
        <v>49</v>
      </c>
      <c r="AR1146" s="0" t="s">
        <v>50</v>
      </c>
    </row>
    <row r="1147" customFormat="false" ht="15" hidden="false" customHeight="false" outlineLevel="0" collapsed="false">
      <c r="A1147" s="0" t="n">
        <v>1146</v>
      </c>
      <c r="B1147" s="0" t="s">
        <v>7751</v>
      </c>
      <c r="C1147" s="0" t="s">
        <v>88</v>
      </c>
      <c r="E1147" s="0" t="s">
        <v>7752</v>
      </c>
      <c r="N1147" s="3" t="s">
        <v>226</v>
      </c>
      <c r="O1147" s="3" t="s">
        <v>226</v>
      </c>
      <c r="P1147" s="0" t="s">
        <v>96</v>
      </c>
      <c r="AA1147" s="0" t="s">
        <v>47</v>
      </c>
      <c r="AB1147" s="0" t="s">
        <v>7753</v>
      </c>
      <c r="AC1147" s="0" t="s">
        <v>7754</v>
      </c>
      <c r="AD1147" s="0" t="s">
        <v>7755</v>
      </c>
      <c r="AE1147" s="0" t="s">
        <v>79</v>
      </c>
      <c r="AF1147" s="3" t="s">
        <v>48</v>
      </c>
      <c r="AG1147" s="3" t="s">
        <v>49</v>
      </c>
      <c r="AR1147" s="0" t="s">
        <v>7752</v>
      </c>
    </row>
    <row r="1148" customFormat="false" ht="15" hidden="false" customHeight="false" outlineLevel="0" collapsed="false">
      <c r="A1148" s="0" t="n">
        <v>1147</v>
      </c>
      <c r="B1148" s="0" t="s">
        <v>7756</v>
      </c>
      <c r="C1148" s="0" t="s">
        <v>88</v>
      </c>
      <c r="E1148" s="0" t="s">
        <v>7757</v>
      </c>
      <c r="H1148" s="0" t="s">
        <v>7758</v>
      </c>
      <c r="I1148" s="0" t="s">
        <v>94</v>
      </c>
      <c r="AA1148" s="0" t="s">
        <v>47</v>
      </c>
      <c r="AF1148" s="3" t="s">
        <v>48</v>
      </c>
      <c r="AG1148" s="3" t="s">
        <v>49</v>
      </c>
      <c r="AR1148" s="0" t="s">
        <v>7757</v>
      </c>
    </row>
    <row r="1149" customFormat="false" ht="15" hidden="false" customHeight="false" outlineLevel="0" collapsed="false">
      <c r="A1149" s="0" t="n">
        <v>1148</v>
      </c>
      <c r="B1149" s="0" t="s">
        <v>7759</v>
      </c>
      <c r="C1149" s="0" t="s">
        <v>88</v>
      </c>
      <c r="E1149" s="0" t="s">
        <v>7760</v>
      </c>
      <c r="N1149" s="3" t="s">
        <v>213</v>
      </c>
      <c r="O1149" s="3" t="s">
        <v>213</v>
      </c>
      <c r="P1149" s="0" t="s">
        <v>96</v>
      </c>
      <c r="AA1149" s="0" t="s">
        <v>47</v>
      </c>
      <c r="AB1149" s="0" t="s">
        <v>7761</v>
      </c>
      <c r="AC1149" s="0" t="s">
        <v>7762</v>
      </c>
      <c r="AD1149" s="0" t="s">
        <v>7763</v>
      </c>
      <c r="AE1149" s="0" t="s">
        <v>79</v>
      </c>
      <c r="AF1149" s="3" t="s">
        <v>108</v>
      </c>
      <c r="AG1149" s="3" t="s">
        <v>49</v>
      </c>
      <c r="AH1149" s="0" t="n">
        <v>2026</v>
      </c>
      <c r="AI1149" s="0" t="s">
        <v>1530</v>
      </c>
      <c r="AJ1149" s="0" t="s">
        <v>1531</v>
      </c>
      <c r="AR1149" s="0" t="s">
        <v>7764</v>
      </c>
    </row>
    <row r="1150" customFormat="false" ht="15" hidden="false" customHeight="false" outlineLevel="0" collapsed="false">
      <c r="A1150" s="0" t="n">
        <v>1149</v>
      </c>
      <c r="B1150" s="0" t="s">
        <v>7765</v>
      </c>
      <c r="C1150" s="0" t="s">
        <v>88</v>
      </c>
      <c r="E1150" s="0" t="s">
        <v>7766</v>
      </c>
      <c r="H1150" s="0" t="s">
        <v>7767</v>
      </c>
      <c r="I1150" s="0" t="s">
        <v>154</v>
      </c>
      <c r="AA1150" s="0" t="s">
        <v>47</v>
      </c>
      <c r="AF1150" s="3" t="s">
        <v>48</v>
      </c>
      <c r="AG1150" s="3" t="s">
        <v>49</v>
      </c>
      <c r="AL1150" s="0" t="s">
        <v>7768</v>
      </c>
      <c r="AM1150" s="0" t="s">
        <v>7769</v>
      </c>
      <c r="AO1150" s="0" t="s">
        <v>7770</v>
      </c>
      <c r="AP1150" s="0" t="s">
        <v>7770</v>
      </c>
      <c r="AR1150" s="0" t="s">
        <v>7771</v>
      </c>
    </row>
    <row r="1151" customFormat="false" ht="15" hidden="false" customHeight="false" outlineLevel="0" collapsed="false">
      <c r="A1151" s="0" t="n">
        <v>1150</v>
      </c>
      <c r="B1151" s="0" t="s">
        <v>7772</v>
      </c>
      <c r="C1151" s="0" t="s">
        <v>52</v>
      </c>
      <c r="D1151" s="0" t="s">
        <v>7773</v>
      </c>
      <c r="H1151" s="0" t="s">
        <v>7774</v>
      </c>
      <c r="I1151" s="0" t="s">
        <v>154</v>
      </c>
      <c r="N1151" s="0" t="s">
        <v>7775</v>
      </c>
      <c r="O1151" s="0" t="s">
        <v>7775</v>
      </c>
      <c r="P1151" s="0" t="s">
        <v>55</v>
      </c>
      <c r="AA1151" s="0" t="s">
        <v>47</v>
      </c>
      <c r="AB1151" s="0" t="s">
        <v>7776</v>
      </c>
      <c r="AC1151" s="0" t="s">
        <v>7777</v>
      </c>
      <c r="AD1151" s="0" t="s">
        <v>7778</v>
      </c>
      <c r="AE1151" s="0" t="s">
        <v>59</v>
      </c>
      <c r="AF1151" s="3" t="s">
        <v>48</v>
      </c>
      <c r="AG1151" s="3" t="s">
        <v>49</v>
      </c>
      <c r="AL1151" s="0" t="s">
        <v>7779</v>
      </c>
      <c r="AM1151" s="0" t="s">
        <v>7780</v>
      </c>
      <c r="AO1151" s="0" t="s">
        <v>7781</v>
      </c>
      <c r="AP1151" s="0" t="s">
        <v>7781</v>
      </c>
      <c r="AR1151" s="0" t="s">
        <v>7782</v>
      </c>
    </row>
    <row r="1152" customFormat="false" ht="15" hidden="false" customHeight="false" outlineLevel="0" collapsed="false">
      <c r="A1152" s="0" t="n">
        <v>1151</v>
      </c>
      <c r="B1152" s="0" t="s">
        <v>7783</v>
      </c>
      <c r="C1152" s="0" t="s">
        <v>88</v>
      </c>
      <c r="E1152" s="0" t="s">
        <v>7784</v>
      </c>
      <c r="AA1152" s="0" t="s">
        <v>47</v>
      </c>
      <c r="AB1152" s="0" t="s">
        <v>7785</v>
      </c>
      <c r="AC1152" s="0" t="s">
        <v>7786</v>
      </c>
      <c r="AD1152" s="0" t="s">
        <v>7787</v>
      </c>
      <c r="AE1152" s="0" t="s">
        <v>79</v>
      </c>
      <c r="AF1152" s="3" t="s">
        <v>48</v>
      </c>
      <c r="AG1152" s="3" t="s">
        <v>49</v>
      </c>
      <c r="AR1152" s="0" t="s">
        <v>7784</v>
      </c>
    </row>
    <row r="1153" customFormat="false" ht="15" hidden="false" customHeight="false" outlineLevel="0" collapsed="false">
      <c r="A1153" s="0" t="n">
        <v>1152</v>
      </c>
      <c r="B1153" s="0" t="s">
        <v>7788</v>
      </c>
      <c r="C1153" s="0" t="s">
        <v>88</v>
      </c>
      <c r="E1153" s="0" t="s">
        <v>7789</v>
      </c>
      <c r="H1153" s="0" t="s">
        <v>7790</v>
      </c>
      <c r="I1153" s="0" t="s">
        <v>154</v>
      </c>
      <c r="N1153" s="3" t="s">
        <v>213</v>
      </c>
      <c r="O1153" s="3" t="s">
        <v>213</v>
      </c>
      <c r="P1153" s="0" t="s">
        <v>96</v>
      </c>
      <c r="AA1153" s="0" t="s">
        <v>47</v>
      </c>
      <c r="AB1153" s="0" t="s">
        <v>7791</v>
      </c>
      <c r="AC1153" s="0" t="s">
        <v>7792</v>
      </c>
      <c r="AD1153" s="0" t="s">
        <v>7793</v>
      </c>
      <c r="AE1153" s="0" t="s">
        <v>79</v>
      </c>
      <c r="AF1153" s="3" t="s">
        <v>48</v>
      </c>
      <c r="AG1153" s="3" t="s">
        <v>49</v>
      </c>
      <c r="AL1153" s="0" t="s">
        <v>7794</v>
      </c>
      <c r="AM1153" s="0" t="s">
        <v>7795</v>
      </c>
      <c r="AO1153" s="0" t="s">
        <v>7796</v>
      </c>
      <c r="AP1153" s="0" t="s">
        <v>7796</v>
      </c>
      <c r="AR1153" s="0" t="s">
        <v>7797</v>
      </c>
    </row>
    <row r="1154" customFormat="false" ht="15" hidden="false" customHeight="false" outlineLevel="0" collapsed="false">
      <c r="A1154" s="0" t="n">
        <v>1153</v>
      </c>
      <c r="B1154" s="0" t="s">
        <v>7798</v>
      </c>
      <c r="C1154" s="0" t="s">
        <v>88</v>
      </c>
      <c r="E1154" s="0" t="s">
        <v>7799</v>
      </c>
      <c r="AA1154" s="0" t="s">
        <v>47</v>
      </c>
      <c r="AB1154" s="0" t="s">
        <v>7800</v>
      </c>
      <c r="AC1154" s="0" t="s">
        <v>7801</v>
      </c>
      <c r="AD1154" s="0" t="s">
        <v>7802</v>
      </c>
      <c r="AE1154" s="0" t="s">
        <v>79</v>
      </c>
      <c r="AF1154" s="3" t="s">
        <v>48</v>
      </c>
      <c r="AG1154" s="3" t="s">
        <v>49</v>
      </c>
      <c r="AR1154" s="0" t="s">
        <v>7799</v>
      </c>
    </row>
    <row r="1155" customFormat="false" ht="15" hidden="false" customHeight="false" outlineLevel="0" collapsed="false">
      <c r="A1155" s="0" t="n">
        <v>1154</v>
      </c>
      <c r="B1155" s="0" t="s">
        <v>7803</v>
      </c>
      <c r="C1155" s="0" t="s">
        <v>61</v>
      </c>
      <c r="D1155" s="0" t="s">
        <v>7804</v>
      </c>
      <c r="E1155" s="0" t="s">
        <v>7805</v>
      </c>
      <c r="H1155" s="0" t="s">
        <v>7806</v>
      </c>
      <c r="I1155" s="0" t="s">
        <v>154</v>
      </c>
      <c r="N1155" s="0" t="s">
        <v>7807</v>
      </c>
      <c r="O1155" s="0" t="s">
        <v>7807</v>
      </c>
      <c r="P1155" s="0" t="s">
        <v>55</v>
      </c>
      <c r="AA1155" s="0" t="s">
        <v>47</v>
      </c>
      <c r="AB1155" s="0" t="s">
        <v>7808</v>
      </c>
      <c r="AC1155" s="0" t="s">
        <v>7809</v>
      </c>
      <c r="AD1155" s="0" t="s">
        <v>7810</v>
      </c>
      <c r="AE1155" s="0" t="s">
        <v>79</v>
      </c>
      <c r="AF1155" s="3" t="s">
        <v>149</v>
      </c>
      <c r="AG1155" s="3" t="s">
        <v>81</v>
      </c>
      <c r="AK1155" s="0" t="s">
        <v>7811</v>
      </c>
      <c r="AL1155" s="0" t="s">
        <v>7812</v>
      </c>
      <c r="AM1155" s="0" t="s">
        <v>7813</v>
      </c>
      <c r="AO1155" s="0" t="s">
        <v>7814</v>
      </c>
      <c r="AP1155" s="0" t="s">
        <v>7814</v>
      </c>
      <c r="AR1155" s="0" t="s">
        <v>7815</v>
      </c>
    </row>
    <row r="1156" customFormat="false" ht="15" hidden="false" customHeight="false" outlineLevel="0" collapsed="false">
      <c r="A1156" s="0" t="n">
        <v>1155</v>
      </c>
      <c r="B1156" s="0" t="s">
        <v>7816</v>
      </c>
      <c r="C1156" s="0" t="s">
        <v>88</v>
      </c>
      <c r="E1156" s="0" t="s">
        <v>7817</v>
      </c>
      <c r="N1156" s="3" t="s">
        <v>226</v>
      </c>
      <c r="O1156" s="3" t="s">
        <v>226</v>
      </c>
      <c r="P1156" s="0" t="s">
        <v>96</v>
      </c>
      <c r="AA1156" s="0" t="s">
        <v>47</v>
      </c>
      <c r="AB1156" s="0" t="s">
        <v>7818</v>
      </c>
      <c r="AC1156" s="0" t="s">
        <v>7819</v>
      </c>
      <c r="AD1156" s="0" t="s">
        <v>7820</v>
      </c>
      <c r="AE1156" s="0" t="s">
        <v>79</v>
      </c>
      <c r="AF1156" s="3" t="s">
        <v>48</v>
      </c>
      <c r="AG1156" s="3" t="s">
        <v>49</v>
      </c>
      <c r="AR1156" s="0" t="s">
        <v>7817</v>
      </c>
    </row>
    <row r="1157" customFormat="false" ht="15" hidden="false" customHeight="false" outlineLevel="0" collapsed="false">
      <c r="A1157" s="0" t="n">
        <v>1156</v>
      </c>
      <c r="B1157" s="0" t="s">
        <v>7821</v>
      </c>
      <c r="C1157" s="0" t="s">
        <v>88</v>
      </c>
      <c r="E1157" s="0" t="s">
        <v>7822</v>
      </c>
      <c r="H1157" s="0" t="s">
        <v>7823</v>
      </c>
      <c r="I1157" s="0" t="s">
        <v>94</v>
      </c>
      <c r="N1157" s="3" t="s">
        <v>119</v>
      </c>
      <c r="O1157" s="3" t="s">
        <v>119</v>
      </c>
      <c r="P1157" s="0" t="s">
        <v>96</v>
      </c>
      <c r="AA1157" s="0" t="s">
        <v>47</v>
      </c>
      <c r="AB1157" s="0" t="s">
        <v>7824</v>
      </c>
      <c r="AC1157" s="0" t="s">
        <v>7825</v>
      </c>
      <c r="AD1157" s="0" t="s">
        <v>7826</v>
      </c>
      <c r="AE1157" s="0" t="s">
        <v>79</v>
      </c>
      <c r="AF1157" s="3" t="s">
        <v>48</v>
      </c>
      <c r="AG1157" s="3" t="s">
        <v>49</v>
      </c>
      <c r="AL1157" s="0" t="s">
        <v>1221</v>
      </c>
      <c r="AO1157" s="0" t="s">
        <v>1222</v>
      </c>
      <c r="AP1157" s="0" t="s">
        <v>1222</v>
      </c>
      <c r="AR1157" s="0" t="s">
        <v>7827</v>
      </c>
    </row>
    <row r="1158" customFormat="false" ht="15" hidden="false" customHeight="false" outlineLevel="0" collapsed="false">
      <c r="A1158" s="0" t="n">
        <v>1157</v>
      </c>
      <c r="B1158" s="0" t="s">
        <v>7828</v>
      </c>
      <c r="C1158" s="0" t="s">
        <v>43</v>
      </c>
      <c r="F1158" s="0" t="s">
        <v>44</v>
      </c>
      <c r="AA1158" s="0" t="s">
        <v>47</v>
      </c>
      <c r="AF1158" s="3" t="s">
        <v>48</v>
      </c>
      <c r="AG1158" s="3" t="s">
        <v>49</v>
      </c>
      <c r="AR1158" s="0" t="s">
        <v>50</v>
      </c>
    </row>
    <row r="1159" customFormat="false" ht="15" hidden="false" customHeight="false" outlineLevel="0" collapsed="false">
      <c r="A1159" s="0" t="n">
        <v>1158</v>
      </c>
      <c r="B1159" s="0" t="s">
        <v>7829</v>
      </c>
      <c r="C1159" s="0" t="s">
        <v>88</v>
      </c>
      <c r="E1159" s="0" t="s">
        <v>7830</v>
      </c>
      <c r="H1159" s="0" t="s">
        <v>7831</v>
      </c>
      <c r="I1159" s="0" t="s">
        <v>46</v>
      </c>
      <c r="AA1159" s="0" t="s">
        <v>47</v>
      </c>
      <c r="AF1159" s="3" t="s">
        <v>48</v>
      </c>
      <c r="AG1159" s="3" t="s">
        <v>49</v>
      </c>
      <c r="AR1159" s="0" t="s">
        <v>7830</v>
      </c>
    </row>
    <row r="1160" customFormat="false" ht="15" hidden="false" customHeight="false" outlineLevel="0" collapsed="false">
      <c r="A1160" s="0" t="n">
        <v>1159</v>
      </c>
      <c r="B1160" s="0" t="s">
        <v>7832</v>
      </c>
      <c r="C1160" s="0" t="s">
        <v>88</v>
      </c>
      <c r="E1160" s="0" t="s">
        <v>7833</v>
      </c>
      <c r="AA1160" s="0" t="s">
        <v>47</v>
      </c>
      <c r="AF1160" s="3" t="s">
        <v>48</v>
      </c>
      <c r="AG1160" s="3" t="s">
        <v>49</v>
      </c>
      <c r="AR1160" s="0" t="s">
        <v>7833</v>
      </c>
    </row>
    <row r="1161" customFormat="false" ht="15" hidden="false" customHeight="false" outlineLevel="0" collapsed="false">
      <c r="A1161" s="0" t="n">
        <v>1160</v>
      </c>
      <c r="B1161" s="0" t="s">
        <v>7834</v>
      </c>
      <c r="C1161" s="0" t="s">
        <v>88</v>
      </c>
      <c r="E1161" s="0" t="s">
        <v>7835</v>
      </c>
      <c r="H1161" s="0" t="s">
        <v>7836</v>
      </c>
      <c r="I1161" s="0" t="s">
        <v>154</v>
      </c>
      <c r="N1161" s="3" t="s">
        <v>95</v>
      </c>
      <c r="O1161" s="3" t="s">
        <v>95</v>
      </c>
      <c r="P1161" s="0" t="s">
        <v>96</v>
      </c>
      <c r="AA1161" s="0" t="s">
        <v>47</v>
      </c>
      <c r="AB1161" s="0" t="s">
        <v>7837</v>
      </c>
      <c r="AC1161" s="0" t="s">
        <v>7838</v>
      </c>
      <c r="AD1161" s="0" t="s">
        <v>7839</v>
      </c>
      <c r="AE1161" s="0" t="s">
        <v>79</v>
      </c>
      <c r="AF1161" s="3" t="s">
        <v>48</v>
      </c>
      <c r="AG1161" s="3" t="s">
        <v>49</v>
      </c>
      <c r="AP1161" s="0" t="s">
        <v>7840</v>
      </c>
      <c r="AR1161" s="0" t="s">
        <v>7841</v>
      </c>
    </row>
    <row r="1162" customFormat="false" ht="15" hidden="false" customHeight="false" outlineLevel="0" collapsed="false">
      <c r="A1162" s="0" t="n">
        <v>1161</v>
      </c>
      <c r="B1162" s="0" t="s">
        <v>7842</v>
      </c>
      <c r="C1162" s="0" t="s">
        <v>88</v>
      </c>
      <c r="E1162" s="0" t="s">
        <v>7843</v>
      </c>
      <c r="H1162" s="0" t="s">
        <v>7844</v>
      </c>
      <c r="I1162" s="0" t="s">
        <v>154</v>
      </c>
      <c r="AA1162" s="0" t="s">
        <v>47</v>
      </c>
      <c r="AB1162" s="0" t="s">
        <v>7845</v>
      </c>
      <c r="AC1162" s="0" t="s">
        <v>7846</v>
      </c>
      <c r="AD1162" s="0" t="s">
        <v>7847</v>
      </c>
      <c r="AE1162" s="0" t="s">
        <v>79</v>
      </c>
      <c r="AF1162" s="3" t="s">
        <v>48</v>
      </c>
      <c r="AG1162" s="3" t="s">
        <v>49</v>
      </c>
      <c r="AL1162" s="0" t="s">
        <v>7848</v>
      </c>
      <c r="AM1162" s="0" t="s">
        <v>7849</v>
      </c>
      <c r="AO1162" s="0" t="s">
        <v>7850</v>
      </c>
      <c r="AP1162" s="0" t="s">
        <v>7850</v>
      </c>
      <c r="AR1162" s="0" t="s">
        <v>7851</v>
      </c>
    </row>
    <row r="1163" customFormat="false" ht="15" hidden="false" customHeight="false" outlineLevel="0" collapsed="false">
      <c r="A1163" s="0" t="n">
        <v>1162</v>
      </c>
      <c r="B1163" s="0" t="s">
        <v>7852</v>
      </c>
      <c r="C1163" s="0" t="s">
        <v>61</v>
      </c>
      <c r="D1163" s="0" t="s">
        <v>7853</v>
      </c>
      <c r="E1163" s="0" t="s">
        <v>7854</v>
      </c>
      <c r="H1163" s="0" t="s">
        <v>7855</v>
      </c>
      <c r="I1163" s="0" t="s">
        <v>94</v>
      </c>
      <c r="N1163" s="3" t="s">
        <v>104</v>
      </c>
      <c r="O1163" s="3" t="s">
        <v>104</v>
      </c>
      <c r="P1163" s="0" t="s">
        <v>55</v>
      </c>
      <c r="AA1163" s="0" t="s">
        <v>47</v>
      </c>
      <c r="AB1163" s="0" t="s">
        <v>7856</v>
      </c>
      <c r="AC1163" s="0" t="s">
        <v>7857</v>
      </c>
      <c r="AD1163" s="0" t="s">
        <v>7858</v>
      </c>
      <c r="AE1163" s="0" t="s">
        <v>79</v>
      </c>
      <c r="AF1163" s="3" t="s">
        <v>149</v>
      </c>
      <c r="AG1163" s="3" t="s">
        <v>81</v>
      </c>
      <c r="AK1163" s="0" t="s">
        <v>7859</v>
      </c>
      <c r="AL1163" s="0" t="s">
        <v>7860</v>
      </c>
      <c r="AM1163" s="0" t="s">
        <v>7861</v>
      </c>
      <c r="AO1163" s="0" t="s">
        <v>7862</v>
      </c>
      <c r="AP1163" s="0" t="s">
        <v>7862</v>
      </c>
      <c r="AR1163" s="0" t="s">
        <v>7863</v>
      </c>
    </row>
    <row r="1164" customFormat="false" ht="15" hidden="false" customHeight="false" outlineLevel="0" collapsed="false">
      <c r="A1164" s="0" t="n">
        <v>1163</v>
      </c>
      <c r="B1164" s="0" t="s">
        <v>7864</v>
      </c>
      <c r="C1164" s="0" t="s">
        <v>43</v>
      </c>
      <c r="F1164" s="0" t="s">
        <v>44</v>
      </c>
      <c r="H1164" s="0" t="s">
        <v>7865</v>
      </c>
      <c r="I1164" s="0" t="s">
        <v>154</v>
      </c>
      <c r="AA1164" s="0" t="s">
        <v>47</v>
      </c>
      <c r="AF1164" s="3" t="s">
        <v>108</v>
      </c>
      <c r="AG1164" s="3" t="s">
        <v>49</v>
      </c>
      <c r="AH1164" s="0" t="n">
        <v>2026</v>
      </c>
      <c r="AI1164" s="0" t="s">
        <v>829</v>
      </c>
      <c r="AJ1164" s="0" t="s">
        <v>830</v>
      </c>
      <c r="AL1164" s="0" t="s">
        <v>7866</v>
      </c>
      <c r="AO1164" s="0" t="s">
        <v>7867</v>
      </c>
      <c r="AP1164" s="0" t="s">
        <v>7867</v>
      </c>
      <c r="AR1164" s="0" t="s">
        <v>7868</v>
      </c>
    </row>
    <row r="1165" customFormat="false" ht="15" hidden="false" customHeight="false" outlineLevel="0" collapsed="false">
      <c r="A1165" s="0" t="n">
        <v>1164</v>
      </c>
      <c r="B1165" s="0" t="s">
        <v>7869</v>
      </c>
      <c r="C1165" s="0" t="s">
        <v>244</v>
      </c>
      <c r="E1165" s="0" t="s">
        <v>7870</v>
      </c>
      <c r="F1165" s="0" t="s">
        <v>44</v>
      </c>
      <c r="H1165" s="0" t="s">
        <v>7871</v>
      </c>
      <c r="I1165" s="0" t="s">
        <v>94</v>
      </c>
      <c r="N1165" s="3" t="s">
        <v>202</v>
      </c>
      <c r="O1165" s="3" t="s">
        <v>202</v>
      </c>
      <c r="P1165" s="0" t="s">
        <v>96</v>
      </c>
      <c r="AA1165" s="0" t="s">
        <v>47</v>
      </c>
      <c r="AB1165" s="0" t="s">
        <v>7872</v>
      </c>
      <c r="AC1165" s="0" t="s">
        <v>7873</v>
      </c>
      <c r="AD1165" s="0" t="s">
        <v>7874</v>
      </c>
      <c r="AE1165" s="0" t="s">
        <v>79</v>
      </c>
      <c r="AF1165" s="3" t="s">
        <v>149</v>
      </c>
      <c r="AG1165" s="3" t="s">
        <v>81</v>
      </c>
      <c r="AK1165" s="0" t="s">
        <v>7875</v>
      </c>
      <c r="AR1165" s="0" t="s">
        <v>7876</v>
      </c>
    </row>
    <row r="1166" customFormat="false" ht="15" hidden="false" customHeight="false" outlineLevel="0" collapsed="false">
      <c r="A1166" s="0" t="n">
        <v>1165</v>
      </c>
      <c r="B1166" s="0" t="s">
        <v>7877</v>
      </c>
      <c r="C1166" s="0" t="s">
        <v>88</v>
      </c>
      <c r="E1166" s="0" t="s">
        <v>7878</v>
      </c>
      <c r="AA1166" s="0" t="s">
        <v>47</v>
      </c>
      <c r="AF1166" s="3" t="s">
        <v>48</v>
      </c>
      <c r="AG1166" s="3" t="s">
        <v>49</v>
      </c>
      <c r="AR1166" s="0" t="s">
        <v>7878</v>
      </c>
    </row>
    <row r="1167" customFormat="false" ht="15" hidden="false" customHeight="false" outlineLevel="0" collapsed="false">
      <c r="A1167" s="0" t="n">
        <v>1166</v>
      </c>
      <c r="B1167" s="0" t="s">
        <v>7879</v>
      </c>
      <c r="C1167" s="0" t="s">
        <v>88</v>
      </c>
      <c r="E1167" s="0" t="s">
        <v>7880</v>
      </c>
      <c r="H1167" s="0" t="s">
        <v>7881</v>
      </c>
      <c r="I1167" s="0" t="s">
        <v>94</v>
      </c>
      <c r="N1167" s="3" t="s">
        <v>239</v>
      </c>
      <c r="O1167" s="3" t="s">
        <v>239</v>
      </c>
      <c r="P1167" s="0" t="s">
        <v>96</v>
      </c>
      <c r="AA1167" s="0" t="s">
        <v>47</v>
      </c>
      <c r="AB1167" s="0" t="s">
        <v>7882</v>
      </c>
      <c r="AC1167" s="0" t="s">
        <v>7883</v>
      </c>
      <c r="AD1167" s="0" t="s">
        <v>7884</v>
      </c>
      <c r="AE1167" s="0" t="s">
        <v>79</v>
      </c>
      <c r="AF1167" s="3" t="s">
        <v>48</v>
      </c>
      <c r="AG1167" s="3" t="s">
        <v>49</v>
      </c>
      <c r="AM1167" s="0" t="s">
        <v>7885</v>
      </c>
      <c r="AO1167" s="0" t="s">
        <v>7886</v>
      </c>
      <c r="AP1167" s="0" t="s">
        <v>7886</v>
      </c>
      <c r="AR1167" s="0" t="s">
        <v>7887</v>
      </c>
    </row>
    <row r="1168" customFormat="false" ht="15" hidden="false" customHeight="false" outlineLevel="0" collapsed="false">
      <c r="A1168" s="0" t="n">
        <v>1167</v>
      </c>
      <c r="B1168" s="0" t="s">
        <v>7888</v>
      </c>
      <c r="C1168" s="0" t="s">
        <v>43</v>
      </c>
      <c r="F1168" s="0" t="s">
        <v>44</v>
      </c>
      <c r="AA1168" s="0" t="s">
        <v>47</v>
      </c>
      <c r="AF1168" s="3" t="s">
        <v>48</v>
      </c>
      <c r="AG1168" s="3" t="s">
        <v>49</v>
      </c>
      <c r="AR1168" s="0" t="s">
        <v>50</v>
      </c>
    </row>
    <row r="1169" customFormat="false" ht="15" hidden="false" customHeight="false" outlineLevel="0" collapsed="false">
      <c r="A1169" s="0" t="n">
        <v>1168</v>
      </c>
      <c r="B1169" s="0" t="s">
        <v>7889</v>
      </c>
      <c r="C1169" s="0" t="s">
        <v>4334</v>
      </c>
      <c r="F1169" s="0" t="s">
        <v>4335</v>
      </c>
      <c r="H1169" s="0" t="s">
        <v>7890</v>
      </c>
      <c r="I1169" s="0" t="s">
        <v>154</v>
      </c>
      <c r="Q1169" s="0" t="s">
        <v>7891</v>
      </c>
      <c r="AA1169" s="0" t="s">
        <v>47</v>
      </c>
      <c r="AF1169" s="3" t="s">
        <v>48</v>
      </c>
      <c r="AG1169" s="3" t="s">
        <v>49</v>
      </c>
      <c r="AL1169" s="0" t="s">
        <v>7892</v>
      </c>
      <c r="AM1169" s="0" t="s">
        <v>7893</v>
      </c>
      <c r="AO1169" s="0" t="s">
        <v>7894</v>
      </c>
      <c r="AP1169" s="0" t="s">
        <v>7894</v>
      </c>
      <c r="AR1169" s="0" t="s">
        <v>7895</v>
      </c>
    </row>
    <row r="1170" customFormat="false" ht="15" hidden="false" customHeight="false" outlineLevel="0" collapsed="false">
      <c r="A1170" s="0" t="n">
        <v>1169</v>
      </c>
      <c r="B1170" s="0" t="s">
        <v>7896</v>
      </c>
      <c r="C1170" s="0" t="s">
        <v>52</v>
      </c>
      <c r="D1170" s="0" t="s">
        <v>7897</v>
      </c>
      <c r="H1170" s="0" t="s">
        <v>7898</v>
      </c>
      <c r="I1170" s="0" t="s">
        <v>94</v>
      </c>
      <c r="N1170" s="3" t="s">
        <v>104</v>
      </c>
      <c r="O1170" s="3" t="s">
        <v>104</v>
      </c>
      <c r="P1170" s="0" t="s">
        <v>55</v>
      </c>
      <c r="AA1170" s="0" t="s">
        <v>47</v>
      </c>
      <c r="AB1170" s="0" t="s">
        <v>7899</v>
      </c>
      <c r="AC1170" s="0" t="s">
        <v>7900</v>
      </c>
      <c r="AD1170" s="0" t="s">
        <v>7901</v>
      </c>
      <c r="AE1170" s="0" t="s">
        <v>59</v>
      </c>
      <c r="AF1170" s="3" t="s">
        <v>48</v>
      </c>
      <c r="AG1170" s="3" t="s">
        <v>49</v>
      </c>
      <c r="AL1170" s="0" t="s">
        <v>7902</v>
      </c>
      <c r="AO1170" s="0" t="s">
        <v>7903</v>
      </c>
      <c r="AP1170" s="0" t="s">
        <v>7903</v>
      </c>
      <c r="AR1170" s="0" t="s">
        <v>7904</v>
      </c>
    </row>
    <row r="1171" customFormat="false" ht="15" hidden="false" customHeight="false" outlineLevel="0" collapsed="false">
      <c r="A1171" s="0" t="n">
        <v>1170</v>
      </c>
      <c r="B1171" s="0" t="s">
        <v>7905</v>
      </c>
      <c r="C1171" s="0" t="s">
        <v>88</v>
      </c>
      <c r="E1171" s="0" t="s">
        <v>7906</v>
      </c>
      <c r="AA1171" s="0" t="s">
        <v>47</v>
      </c>
      <c r="AF1171" s="3" t="s">
        <v>48</v>
      </c>
      <c r="AG1171" s="3" t="s">
        <v>49</v>
      </c>
      <c r="AR1171" s="0" t="s">
        <v>7906</v>
      </c>
    </row>
    <row r="1172" customFormat="false" ht="15" hidden="false" customHeight="false" outlineLevel="0" collapsed="false">
      <c r="A1172" s="0" t="n">
        <v>1171</v>
      </c>
      <c r="B1172" s="0" t="s">
        <v>7907</v>
      </c>
      <c r="C1172" s="0" t="s">
        <v>88</v>
      </c>
      <c r="E1172" s="0" t="s">
        <v>7908</v>
      </c>
      <c r="H1172" s="0" t="s">
        <v>7909</v>
      </c>
      <c r="I1172" s="0" t="s">
        <v>154</v>
      </c>
      <c r="AA1172" s="0" t="s">
        <v>47</v>
      </c>
      <c r="AF1172" s="3" t="s">
        <v>48</v>
      </c>
      <c r="AG1172" s="3" t="s">
        <v>49</v>
      </c>
      <c r="AL1172" s="0" t="s">
        <v>7910</v>
      </c>
      <c r="AM1172" s="0" t="s">
        <v>7911</v>
      </c>
      <c r="AO1172" s="0" t="s">
        <v>7912</v>
      </c>
      <c r="AP1172" s="0" t="s">
        <v>7912</v>
      </c>
      <c r="AR1172" s="0" t="s">
        <v>7913</v>
      </c>
    </row>
    <row r="1173" customFormat="false" ht="15" hidden="false" customHeight="false" outlineLevel="0" collapsed="false">
      <c r="A1173" s="0" t="n">
        <v>1172</v>
      </c>
      <c r="B1173" s="0" t="s">
        <v>7914</v>
      </c>
      <c r="C1173" s="0" t="s">
        <v>88</v>
      </c>
      <c r="E1173" s="0" t="s">
        <v>7915</v>
      </c>
      <c r="H1173" s="0" t="s">
        <v>7916</v>
      </c>
      <c r="I1173" s="0" t="s">
        <v>154</v>
      </c>
      <c r="AA1173" s="0" t="s">
        <v>47</v>
      </c>
      <c r="AB1173" s="0" t="s">
        <v>7917</v>
      </c>
      <c r="AC1173" s="0" t="s">
        <v>7918</v>
      </c>
      <c r="AE1173" s="0" t="s">
        <v>79</v>
      </c>
      <c r="AF1173" s="3" t="s">
        <v>48</v>
      </c>
      <c r="AG1173" s="3" t="s">
        <v>49</v>
      </c>
      <c r="AL1173" s="0" t="s">
        <v>7919</v>
      </c>
      <c r="AO1173" s="0" t="s">
        <v>7920</v>
      </c>
      <c r="AP1173" s="0" t="s">
        <v>7920</v>
      </c>
      <c r="AR1173" s="0" t="s">
        <v>7921</v>
      </c>
    </row>
    <row r="1174" customFormat="false" ht="15" hidden="false" customHeight="false" outlineLevel="0" collapsed="false">
      <c r="A1174" s="0" t="n">
        <v>1173</v>
      </c>
      <c r="B1174" s="0" t="s">
        <v>7922</v>
      </c>
      <c r="C1174" s="0" t="s">
        <v>88</v>
      </c>
      <c r="E1174" s="0" t="s">
        <v>7923</v>
      </c>
      <c r="AA1174" s="0" t="s">
        <v>47</v>
      </c>
      <c r="AF1174" s="3" t="s">
        <v>48</v>
      </c>
      <c r="AG1174" s="3" t="s">
        <v>49</v>
      </c>
      <c r="AR1174" s="0" t="s">
        <v>7923</v>
      </c>
    </row>
    <row r="1175" customFormat="false" ht="15" hidden="false" customHeight="false" outlineLevel="0" collapsed="false">
      <c r="A1175" s="0" t="n">
        <v>1174</v>
      </c>
      <c r="B1175" s="0" t="s">
        <v>7924</v>
      </c>
      <c r="C1175" s="0" t="s">
        <v>88</v>
      </c>
      <c r="E1175" s="0" t="s">
        <v>7925</v>
      </c>
      <c r="N1175" s="3" t="s">
        <v>202</v>
      </c>
      <c r="O1175" s="3" t="s">
        <v>202</v>
      </c>
      <c r="P1175" s="0" t="s">
        <v>96</v>
      </c>
      <c r="AA1175" s="0" t="s">
        <v>47</v>
      </c>
      <c r="AB1175" s="0" t="s">
        <v>7926</v>
      </c>
      <c r="AC1175" s="0" t="s">
        <v>7927</v>
      </c>
      <c r="AD1175" s="0" t="s">
        <v>7928</v>
      </c>
      <c r="AE1175" s="0" t="s">
        <v>79</v>
      </c>
      <c r="AF1175" s="3" t="s">
        <v>48</v>
      </c>
      <c r="AG1175" s="3" t="s">
        <v>49</v>
      </c>
      <c r="AR1175" s="0" t="s">
        <v>7925</v>
      </c>
    </row>
    <row r="1176" customFormat="false" ht="15" hidden="false" customHeight="false" outlineLevel="0" collapsed="false">
      <c r="A1176" s="0" t="n">
        <v>1175</v>
      </c>
      <c r="B1176" s="0" t="s">
        <v>7929</v>
      </c>
      <c r="C1176" s="0" t="s">
        <v>88</v>
      </c>
      <c r="E1176" s="0" t="s">
        <v>7930</v>
      </c>
      <c r="N1176" s="3" t="s">
        <v>213</v>
      </c>
      <c r="O1176" s="3" t="s">
        <v>213</v>
      </c>
      <c r="P1176" s="0" t="s">
        <v>96</v>
      </c>
      <c r="AA1176" s="0" t="s">
        <v>47</v>
      </c>
      <c r="AB1176" s="0" t="s">
        <v>7931</v>
      </c>
      <c r="AC1176" s="0" t="s">
        <v>7932</v>
      </c>
      <c r="AD1176" s="0" t="s">
        <v>7933</v>
      </c>
      <c r="AE1176" s="0" t="s">
        <v>79</v>
      </c>
      <c r="AF1176" s="3" t="s">
        <v>48</v>
      </c>
      <c r="AG1176" s="3" t="s">
        <v>49</v>
      </c>
      <c r="AR1176" s="0" t="s">
        <v>7930</v>
      </c>
    </row>
    <row r="1177" customFormat="false" ht="15" hidden="false" customHeight="false" outlineLevel="0" collapsed="false">
      <c r="A1177" s="0" t="n">
        <v>1176</v>
      </c>
      <c r="B1177" s="0" t="s">
        <v>7934</v>
      </c>
      <c r="C1177" s="0" t="s">
        <v>61</v>
      </c>
      <c r="D1177" s="0" t="s">
        <v>7935</v>
      </c>
      <c r="E1177" s="0" t="s">
        <v>7936</v>
      </c>
      <c r="H1177" s="0" t="s">
        <v>7937</v>
      </c>
      <c r="I1177" s="0" t="s">
        <v>154</v>
      </c>
      <c r="J1177" s="3" t="s">
        <v>664</v>
      </c>
      <c r="M1177" s="0" t="s">
        <v>7938</v>
      </c>
      <c r="N1177" s="3" t="s">
        <v>1624</v>
      </c>
      <c r="O1177" s="3" t="s">
        <v>1624</v>
      </c>
      <c r="P1177" s="0" t="s">
        <v>55</v>
      </c>
      <c r="AA1177" s="0" t="s">
        <v>47</v>
      </c>
      <c r="AB1177" s="0" t="s">
        <v>7939</v>
      </c>
      <c r="AC1177" s="0" t="s">
        <v>7940</v>
      </c>
      <c r="AD1177" s="0" t="s">
        <v>7941</v>
      </c>
      <c r="AE1177" s="0" t="s">
        <v>59</v>
      </c>
      <c r="AF1177" s="3" t="s">
        <v>149</v>
      </c>
      <c r="AG1177" s="3" t="s">
        <v>81</v>
      </c>
      <c r="AK1177" s="0" t="s">
        <v>7942</v>
      </c>
      <c r="AL1177" s="0" t="s">
        <v>7943</v>
      </c>
      <c r="AO1177" s="0" t="s">
        <v>7944</v>
      </c>
      <c r="AP1177" s="0" t="s">
        <v>7944</v>
      </c>
      <c r="AQ1177" s="0" t="s">
        <v>7945</v>
      </c>
      <c r="AR1177" s="0" t="s">
        <v>7946</v>
      </c>
    </row>
    <row r="1178" customFormat="false" ht="15" hidden="false" customHeight="false" outlineLevel="0" collapsed="false">
      <c r="A1178" s="0" t="n">
        <v>1177</v>
      </c>
      <c r="B1178" s="0" t="s">
        <v>7947</v>
      </c>
      <c r="C1178" s="0" t="s">
        <v>88</v>
      </c>
      <c r="E1178" s="0" t="s">
        <v>7948</v>
      </c>
      <c r="N1178" s="3" t="s">
        <v>119</v>
      </c>
      <c r="O1178" s="3" t="s">
        <v>119</v>
      </c>
      <c r="P1178" s="0" t="s">
        <v>96</v>
      </c>
      <c r="AA1178" s="0" t="s">
        <v>47</v>
      </c>
      <c r="AB1178" s="0" t="s">
        <v>7949</v>
      </c>
      <c r="AC1178" s="0" t="s">
        <v>7950</v>
      </c>
      <c r="AE1178" s="0" t="s">
        <v>79</v>
      </c>
      <c r="AF1178" s="3" t="s">
        <v>48</v>
      </c>
      <c r="AG1178" s="3" t="s">
        <v>49</v>
      </c>
      <c r="AR1178" s="0" t="s">
        <v>7948</v>
      </c>
    </row>
    <row r="1179" customFormat="false" ht="15" hidden="false" customHeight="false" outlineLevel="0" collapsed="false">
      <c r="A1179" s="0" t="n">
        <v>1178</v>
      </c>
      <c r="B1179" s="0" t="s">
        <v>7951</v>
      </c>
      <c r="C1179" s="0" t="s">
        <v>88</v>
      </c>
      <c r="E1179" s="0" t="s">
        <v>7952</v>
      </c>
      <c r="AA1179" s="0" t="s">
        <v>47</v>
      </c>
      <c r="AB1179" s="0" t="s">
        <v>7953</v>
      </c>
      <c r="AC1179" s="0" t="s">
        <v>7954</v>
      </c>
      <c r="AE1179" s="0" t="s">
        <v>79</v>
      </c>
      <c r="AF1179" s="3" t="s">
        <v>48</v>
      </c>
      <c r="AG1179" s="3" t="s">
        <v>49</v>
      </c>
      <c r="AR1179" s="0" t="s">
        <v>7952</v>
      </c>
    </row>
    <row r="1180" customFormat="false" ht="15" hidden="false" customHeight="false" outlineLevel="0" collapsed="false">
      <c r="A1180" s="0" t="n">
        <v>1179</v>
      </c>
      <c r="B1180" s="0" t="s">
        <v>7955</v>
      </c>
      <c r="C1180" s="0" t="s">
        <v>88</v>
      </c>
      <c r="E1180" s="0" t="s">
        <v>7956</v>
      </c>
      <c r="H1180" s="0" t="s">
        <v>7957</v>
      </c>
      <c r="I1180" s="0" t="s">
        <v>46</v>
      </c>
      <c r="J1180" s="3" t="s">
        <v>664</v>
      </c>
      <c r="M1180" s="0" t="s">
        <v>71</v>
      </c>
      <c r="N1180" s="3" t="s">
        <v>202</v>
      </c>
      <c r="O1180" s="3" t="s">
        <v>202</v>
      </c>
      <c r="P1180" s="0" t="s">
        <v>96</v>
      </c>
      <c r="AA1180" s="0" t="s">
        <v>47</v>
      </c>
      <c r="AB1180" s="0" t="s">
        <v>7958</v>
      </c>
      <c r="AC1180" s="0" t="s">
        <v>7959</v>
      </c>
      <c r="AD1180" s="0" t="s">
        <v>7960</v>
      </c>
      <c r="AE1180" s="0" t="s">
        <v>79</v>
      </c>
      <c r="AF1180" s="3" t="s">
        <v>48</v>
      </c>
      <c r="AG1180" s="3" t="s">
        <v>49</v>
      </c>
      <c r="AQ1180" s="0" t="s">
        <v>7961</v>
      </c>
      <c r="AR1180" s="0" t="s">
        <v>7962</v>
      </c>
    </row>
    <row r="1181" customFormat="false" ht="15" hidden="false" customHeight="false" outlineLevel="0" collapsed="false">
      <c r="A1181" s="0" t="n">
        <v>1180</v>
      </c>
      <c r="B1181" s="0" t="s">
        <v>7963</v>
      </c>
      <c r="C1181" s="0" t="s">
        <v>43</v>
      </c>
      <c r="F1181" s="0" t="s">
        <v>44</v>
      </c>
      <c r="AA1181" s="0" t="s">
        <v>47</v>
      </c>
      <c r="AF1181" s="3" t="s">
        <v>48</v>
      </c>
      <c r="AG1181" s="3" t="s">
        <v>49</v>
      </c>
      <c r="AR1181" s="0" t="s">
        <v>50</v>
      </c>
    </row>
    <row r="1182" customFormat="false" ht="15" hidden="false" customHeight="false" outlineLevel="0" collapsed="false">
      <c r="A1182" s="0" t="n">
        <v>1181</v>
      </c>
      <c r="B1182" s="0" t="s">
        <v>7964</v>
      </c>
      <c r="C1182" s="0" t="s">
        <v>88</v>
      </c>
      <c r="E1182" s="0" t="s">
        <v>7965</v>
      </c>
      <c r="H1182" s="0" t="s">
        <v>7966</v>
      </c>
      <c r="I1182" s="0" t="s">
        <v>46</v>
      </c>
      <c r="N1182" s="3" t="s">
        <v>119</v>
      </c>
      <c r="O1182" s="3" t="s">
        <v>119</v>
      </c>
      <c r="P1182" s="0" t="s">
        <v>96</v>
      </c>
      <c r="AA1182" s="0" t="s">
        <v>47</v>
      </c>
      <c r="AB1182" s="0" t="s">
        <v>7967</v>
      </c>
      <c r="AC1182" s="0" t="s">
        <v>7968</v>
      </c>
      <c r="AD1182" s="0" t="s">
        <v>7969</v>
      </c>
      <c r="AE1182" s="0" t="s">
        <v>79</v>
      </c>
      <c r="AF1182" s="3" t="s">
        <v>48</v>
      </c>
      <c r="AG1182" s="3" t="s">
        <v>49</v>
      </c>
      <c r="AR1182" s="0" t="s">
        <v>7965</v>
      </c>
    </row>
    <row r="1183" customFormat="false" ht="15" hidden="false" customHeight="false" outlineLevel="0" collapsed="false">
      <c r="A1183" s="0" t="n">
        <v>1182</v>
      </c>
      <c r="B1183" s="0" t="s">
        <v>7970</v>
      </c>
      <c r="C1183" s="0" t="s">
        <v>52</v>
      </c>
      <c r="D1183" s="0" t="s">
        <v>7971</v>
      </c>
      <c r="H1183" s="0" t="s">
        <v>7972</v>
      </c>
      <c r="I1183" s="0" t="s">
        <v>154</v>
      </c>
      <c r="N1183" s="0" t="s">
        <v>1556</v>
      </c>
      <c r="O1183" s="0" t="s">
        <v>1556</v>
      </c>
      <c r="P1183" s="0" t="s">
        <v>55</v>
      </c>
      <c r="AA1183" s="0" t="s">
        <v>47</v>
      </c>
      <c r="AB1183" s="0" t="s">
        <v>7973</v>
      </c>
      <c r="AC1183" s="0" t="s">
        <v>7974</v>
      </c>
      <c r="AD1183" s="0" t="s">
        <v>7975</v>
      </c>
      <c r="AE1183" s="0" t="s">
        <v>59</v>
      </c>
      <c r="AF1183" s="3" t="s">
        <v>48</v>
      </c>
      <c r="AG1183" s="3" t="s">
        <v>49</v>
      </c>
      <c r="AL1183" s="0" t="s">
        <v>7976</v>
      </c>
      <c r="AM1183" s="0" t="s">
        <v>7977</v>
      </c>
      <c r="AO1183" s="0" t="s">
        <v>7978</v>
      </c>
      <c r="AP1183" s="0" t="s">
        <v>7978</v>
      </c>
      <c r="AR1183" s="0" t="s">
        <v>7979</v>
      </c>
    </row>
    <row r="1184" customFormat="false" ht="15" hidden="false" customHeight="false" outlineLevel="0" collapsed="false">
      <c r="A1184" s="0" t="n">
        <v>1183</v>
      </c>
      <c r="B1184" s="0" t="s">
        <v>7980</v>
      </c>
      <c r="C1184" s="0" t="s">
        <v>52</v>
      </c>
      <c r="D1184" s="0" t="s">
        <v>7981</v>
      </c>
      <c r="N1184" s="3" t="s">
        <v>762</v>
      </c>
      <c r="O1184" s="3" t="s">
        <v>762</v>
      </c>
      <c r="P1184" s="0" t="s">
        <v>55</v>
      </c>
      <c r="AA1184" s="0" t="s">
        <v>47</v>
      </c>
      <c r="AB1184" s="0" t="s">
        <v>7982</v>
      </c>
      <c r="AC1184" s="0" t="s">
        <v>7983</v>
      </c>
      <c r="AD1184" s="0" t="s">
        <v>7984</v>
      </c>
      <c r="AE1184" s="0" t="s">
        <v>59</v>
      </c>
      <c r="AF1184" s="3" t="s">
        <v>48</v>
      </c>
      <c r="AG1184" s="3" t="s">
        <v>49</v>
      </c>
      <c r="AR1184" s="0" t="s">
        <v>7981</v>
      </c>
    </row>
    <row r="1185" customFormat="false" ht="15" hidden="false" customHeight="false" outlineLevel="0" collapsed="false">
      <c r="A1185" s="0" t="n">
        <v>1184</v>
      </c>
      <c r="B1185" s="0" t="s">
        <v>7985</v>
      </c>
      <c r="C1185" s="0" t="s">
        <v>88</v>
      </c>
      <c r="E1185" s="0" t="s">
        <v>7986</v>
      </c>
      <c r="N1185" s="3" t="s">
        <v>202</v>
      </c>
      <c r="O1185" s="3" t="s">
        <v>202</v>
      </c>
      <c r="P1185" s="0" t="s">
        <v>96</v>
      </c>
      <c r="AA1185" s="0" t="s">
        <v>47</v>
      </c>
      <c r="AB1185" s="0" t="s">
        <v>7987</v>
      </c>
      <c r="AC1185" s="0" t="s">
        <v>7988</v>
      </c>
      <c r="AD1185" s="0" t="s">
        <v>7989</v>
      </c>
      <c r="AE1185" s="0" t="s">
        <v>79</v>
      </c>
      <c r="AF1185" s="3" t="s">
        <v>48</v>
      </c>
      <c r="AG1185" s="3" t="s">
        <v>49</v>
      </c>
      <c r="AR1185" s="0" t="s">
        <v>7986</v>
      </c>
    </row>
    <row r="1186" customFormat="false" ht="15" hidden="false" customHeight="false" outlineLevel="0" collapsed="false">
      <c r="A1186" s="0" t="n">
        <v>1185</v>
      </c>
      <c r="B1186" s="0" t="s">
        <v>7990</v>
      </c>
      <c r="C1186" s="0" t="s">
        <v>88</v>
      </c>
      <c r="E1186" s="0" t="s">
        <v>7991</v>
      </c>
      <c r="H1186" s="0" t="s">
        <v>7992</v>
      </c>
      <c r="I1186" s="0" t="s">
        <v>154</v>
      </c>
      <c r="N1186" s="3" t="s">
        <v>213</v>
      </c>
      <c r="O1186" s="3" t="s">
        <v>213</v>
      </c>
      <c r="P1186" s="0" t="s">
        <v>96</v>
      </c>
      <c r="AA1186" s="0" t="s">
        <v>47</v>
      </c>
      <c r="AB1186" s="0" t="s">
        <v>7993</v>
      </c>
      <c r="AC1186" s="0" t="s">
        <v>7994</v>
      </c>
      <c r="AD1186" s="0" t="s">
        <v>7995</v>
      </c>
      <c r="AE1186" s="0" t="s">
        <v>79</v>
      </c>
      <c r="AF1186" s="3" t="s">
        <v>48</v>
      </c>
      <c r="AG1186" s="3" t="s">
        <v>49</v>
      </c>
      <c r="AL1186" s="0" t="s">
        <v>7996</v>
      </c>
      <c r="AM1186" s="0" t="s">
        <v>7997</v>
      </c>
      <c r="AO1186" s="0" t="s">
        <v>7998</v>
      </c>
      <c r="AP1186" s="0" t="s">
        <v>7998</v>
      </c>
      <c r="AR1186" s="0" t="s">
        <v>7999</v>
      </c>
    </row>
    <row r="1187" customFormat="false" ht="15" hidden="false" customHeight="false" outlineLevel="0" collapsed="false">
      <c r="A1187" s="0" t="n">
        <v>1186</v>
      </c>
      <c r="B1187" s="0" t="s">
        <v>8000</v>
      </c>
      <c r="C1187" s="0" t="s">
        <v>88</v>
      </c>
      <c r="E1187" s="0" t="s">
        <v>8001</v>
      </c>
      <c r="H1187" s="0" t="s">
        <v>8002</v>
      </c>
      <c r="I1187" s="0" t="s">
        <v>154</v>
      </c>
      <c r="AA1187" s="0" t="s">
        <v>47</v>
      </c>
      <c r="AB1187" s="0" t="s">
        <v>8003</v>
      </c>
      <c r="AC1187" s="0" t="s">
        <v>8004</v>
      </c>
      <c r="AE1187" s="0" t="s">
        <v>79</v>
      </c>
      <c r="AF1187" s="3" t="s">
        <v>48</v>
      </c>
      <c r="AG1187" s="3" t="s">
        <v>49</v>
      </c>
      <c r="AL1187" s="0" t="s">
        <v>8005</v>
      </c>
      <c r="AO1187" s="0" t="s">
        <v>8006</v>
      </c>
      <c r="AP1187" s="0" t="s">
        <v>8006</v>
      </c>
      <c r="AR1187" s="0" t="s">
        <v>8007</v>
      </c>
    </row>
    <row r="1188" customFormat="false" ht="15" hidden="false" customHeight="false" outlineLevel="0" collapsed="false">
      <c r="A1188" s="0" t="n">
        <v>1187</v>
      </c>
      <c r="B1188" s="0" t="s">
        <v>8008</v>
      </c>
      <c r="C1188" s="0" t="s">
        <v>88</v>
      </c>
      <c r="E1188" s="0" t="s">
        <v>8009</v>
      </c>
      <c r="H1188" s="0" t="s">
        <v>8010</v>
      </c>
      <c r="I1188" s="0" t="s">
        <v>154</v>
      </c>
      <c r="N1188" s="3" t="s">
        <v>202</v>
      </c>
      <c r="O1188" s="3" t="s">
        <v>202</v>
      </c>
      <c r="P1188" s="0" t="s">
        <v>96</v>
      </c>
      <c r="AA1188" s="0" t="s">
        <v>47</v>
      </c>
      <c r="AB1188" s="0" t="s">
        <v>8011</v>
      </c>
      <c r="AC1188" s="0" t="s">
        <v>8012</v>
      </c>
      <c r="AD1188" s="0" t="s">
        <v>8013</v>
      </c>
      <c r="AE1188" s="0" t="s">
        <v>79</v>
      </c>
      <c r="AF1188" s="3" t="s">
        <v>108</v>
      </c>
      <c r="AG1188" s="3" t="s">
        <v>49</v>
      </c>
      <c r="AH1188" s="0" t="n">
        <v>2026</v>
      </c>
      <c r="AI1188" s="0" t="s">
        <v>921</v>
      </c>
      <c r="AJ1188" s="0" t="s">
        <v>922</v>
      </c>
      <c r="AL1188" s="0" t="s">
        <v>8014</v>
      </c>
      <c r="AM1188" s="0" t="s">
        <v>8015</v>
      </c>
      <c r="AO1188" s="0" t="s">
        <v>8016</v>
      </c>
      <c r="AP1188" s="0" t="s">
        <v>8016</v>
      </c>
      <c r="AR1188" s="0" t="s">
        <v>8017</v>
      </c>
    </row>
    <row r="1189" customFormat="false" ht="15" hidden="false" customHeight="false" outlineLevel="0" collapsed="false">
      <c r="A1189" s="0" t="n">
        <v>1188</v>
      </c>
      <c r="B1189" s="0" t="s">
        <v>8018</v>
      </c>
      <c r="C1189" s="0" t="s">
        <v>52</v>
      </c>
      <c r="D1189" s="0" t="s">
        <v>8019</v>
      </c>
      <c r="N1189" s="3" t="s">
        <v>69</v>
      </c>
      <c r="O1189" s="3" t="s">
        <v>69</v>
      </c>
      <c r="P1189" s="0" t="s">
        <v>55</v>
      </c>
      <c r="AA1189" s="0" t="s">
        <v>47</v>
      </c>
      <c r="AB1189" s="0" t="s">
        <v>8020</v>
      </c>
      <c r="AC1189" s="0" t="s">
        <v>8021</v>
      </c>
      <c r="AD1189" s="0" t="s">
        <v>8022</v>
      </c>
      <c r="AE1189" s="0" t="s">
        <v>59</v>
      </c>
      <c r="AF1189" s="3" t="s">
        <v>48</v>
      </c>
      <c r="AG1189" s="3" t="s">
        <v>49</v>
      </c>
      <c r="AR1189" s="0" t="s">
        <v>8019</v>
      </c>
    </row>
    <row r="1190" customFormat="false" ht="15" hidden="false" customHeight="false" outlineLevel="0" collapsed="false">
      <c r="A1190" s="0" t="n">
        <v>1189</v>
      </c>
      <c r="B1190" s="0" t="s">
        <v>8023</v>
      </c>
      <c r="C1190" s="0" t="s">
        <v>244</v>
      </c>
      <c r="E1190" s="0" t="s">
        <v>8024</v>
      </c>
      <c r="F1190" s="0" t="s">
        <v>44</v>
      </c>
      <c r="H1190" s="0" t="s">
        <v>8025</v>
      </c>
      <c r="I1190" s="0" t="s">
        <v>46</v>
      </c>
      <c r="AA1190" s="0" t="s">
        <v>47</v>
      </c>
      <c r="AB1190" s="0" t="s">
        <v>8026</v>
      </c>
      <c r="AC1190" s="0" t="s">
        <v>8027</v>
      </c>
      <c r="AD1190" s="0" t="s">
        <v>8028</v>
      </c>
      <c r="AE1190" s="0" t="s">
        <v>79</v>
      </c>
      <c r="AF1190" s="3" t="s">
        <v>149</v>
      </c>
      <c r="AG1190" s="3" t="s">
        <v>81</v>
      </c>
      <c r="AK1190" s="0" t="s">
        <v>8029</v>
      </c>
      <c r="AR1190" s="0" t="s">
        <v>8030</v>
      </c>
    </row>
    <row r="1191" customFormat="false" ht="15" hidden="false" customHeight="false" outlineLevel="0" collapsed="false">
      <c r="A1191" s="0" t="n">
        <v>1190</v>
      </c>
      <c r="B1191" s="0" t="s">
        <v>8031</v>
      </c>
      <c r="C1191" s="0" t="s">
        <v>8032</v>
      </c>
      <c r="E1191" s="0" t="s">
        <v>8033</v>
      </c>
      <c r="F1191" s="0" t="s">
        <v>4335</v>
      </c>
      <c r="H1191" s="0" t="s">
        <v>8034</v>
      </c>
      <c r="I1191" s="0" t="s">
        <v>154</v>
      </c>
      <c r="N1191" s="3" t="s">
        <v>202</v>
      </c>
      <c r="O1191" s="3" t="s">
        <v>202</v>
      </c>
      <c r="P1191" s="0" t="s">
        <v>96</v>
      </c>
      <c r="Q1191" s="0" t="s">
        <v>8035</v>
      </c>
      <c r="AA1191" s="0" t="s">
        <v>47</v>
      </c>
      <c r="AB1191" s="0" t="s">
        <v>8036</v>
      </c>
      <c r="AC1191" s="0" t="s">
        <v>8037</v>
      </c>
      <c r="AD1191" s="0" t="s">
        <v>8038</v>
      </c>
      <c r="AE1191" s="0" t="s">
        <v>79</v>
      </c>
      <c r="AF1191" s="3" t="s">
        <v>149</v>
      </c>
      <c r="AG1191" s="3" t="s">
        <v>81</v>
      </c>
      <c r="AK1191" s="0" t="s">
        <v>8039</v>
      </c>
      <c r="AL1191" s="0" t="s">
        <v>8040</v>
      </c>
      <c r="AO1191" s="0" t="s">
        <v>8041</v>
      </c>
      <c r="AP1191" s="0" t="s">
        <v>8041</v>
      </c>
      <c r="AR1191" s="0" t="s">
        <v>8042</v>
      </c>
    </row>
    <row r="1192" customFormat="false" ht="15" hidden="false" customHeight="false" outlineLevel="0" collapsed="false">
      <c r="A1192" s="0" t="n">
        <v>1191</v>
      </c>
      <c r="B1192" s="0" t="s">
        <v>8043</v>
      </c>
      <c r="C1192" s="0" t="s">
        <v>88</v>
      </c>
      <c r="E1192" s="0" t="s">
        <v>8044</v>
      </c>
      <c r="N1192" s="3" t="s">
        <v>202</v>
      </c>
      <c r="O1192" s="3" t="s">
        <v>202</v>
      </c>
      <c r="P1192" s="0" t="s">
        <v>96</v>
      </c>
      <c r="AA1192" s="0" t="s">
        <v>47</v>
      </c>
      <c r="AB1192" s="0" t="s">
        <v>8045</v>
      </c>
      <c r="AC1192" s="0" t="s">
        <v>8046</v>
      </c>
      <c r="AD1192" s="0" t="s">
        <v>8047</v>
      </c>
      <c r="AE1192" s="0" t="s">
        <v>79</v>
      </c>
      <c r="AF1192" s="3" t="s">
        <v>48</v>
      </c>
      <c r="AG1192" s="3" t="s">
        <v>49</v>
      </c>
      <c r="AR1192" s="0" t="s">
        <v>8044</v>
      </c>
    </row>
    <row r="1193" customFormat="false" ht="15" hidden="false" customHeight="false" outlineLevel="0" collapsed="false">
      <c r="A1193" s="0" t="n">
        <v>1192</v>
      </c>
      <c r="B1193" s="0" t="s">
        <v>8048</v>
      </c>
      <c r="C1193" s="0" t="s">
        <v>88</v>
      </c>
      <c r="E1193" s="0" t="s">
        <v>8049</v>
      </c>
      <c r="H1193" s="0" t="s">
        <v>8050</v>
      </c>
      <c r="I1193" s="0" t="s">
        <v>154</v>
      </c>
      <c r="N1193" s="3" t="s">
        <v>1248</v>
      </c>
      <c r="O1193" s="3" t="s">
        <v>1248</v>
      </c>
      <c r="P1193" s="0" t="s">
        <v>96</v>
      </c>
      <c r="AA1193" s="0" t="s">
        <v>47</v>
      </c>
      <c r="AB1193" s="0" t="s">
        <v>8051</v>
      </c>
      <c r="AC1193" s="0" t="s">
        <v>8052</v>
      </c>
      <c r="AD1193" s="0" t="s">
        <v>8053</v>
      </c>
      <c r="AE1193" s="0" t="s">
        <v>79</v>
      </c>
      <c r="AF1193" s="3" t="s">
        <v>48</v>
      </c>
      <c r="AG1193" s="3" t="s">
        <v>49</v>
      </c>
      <c r="AL1193" s="0" t="s">
        <v>8054</v>
      </c>
      <c r="AM1193" s="0" t="s">
        <v>8055</v>
      </c>
      <c r="AO1193" s="0" t="s">
        <v>8056</v>
      </c>
      <c r="AP1193" s="0" t="s">
        <v>8056</v>
      </c>
      <c r="AR1193" s="0" t="s">
        <v>8057</v>
      </c>
    </row>
    <row r="1194" customFormat="false" ht="15" hidden="false" customHeight="false" outlineLevel="0" collapsed="false">
      <c r="A1194" s="0" t="n">
        <v>1193</v>
      </c>
      <c r="B1194" s="0" t="s">
        <v>8058</v>
      </c>
      <c r="C1194" s="0" t="s">
        <v>88</v>
      </c>
      <c r="E1194" s="0" t="s">
        <v>8059</v>
      </c>
      <c r="H1194" s="0" t="s">
        <v>8060</v>
      </c>
      <c r="I1194" s="0" t="s">
        <v>94</v>
      </c>
      <c r="N1194" s="3" t="s">
        <v>239</v>
      </c>
      <c r="O1194" s="3" t="s">
        <v>239</v>
      </c>
      <c r="P1194" s="0" t="s">
        <v>96</v>
      </c>
      <c r="AA1194" s="0" t="s">
        <v>47</v>
      </c>
      <c r="AB1194" s="0" t="s">
        <v>8061</v>
      </c>
      <c r="AC1194" s="0" t="s">
        <v>8062</v>
      </c>
      <c r="AD1194" s="0" t="s">
        <v>8063</v>
      </c>
      <c r="AE1194" s="0" t="s">
        <v>79</v>
      </c>
      <c r="AF1194" s="3" t="s">
        <v>48</v>
      </c>
      <c r="AG1194" s="3" t="s">
        <v>49</v>
      </c>
      <c r="AL1194" s="0" t="s">
        <v>8064</v>
      </c>
      <c r="AM1194" s="0" t="s">
        <v>8065</v>
      </c>
      <c r="AO1194" s="0" t="s">
        <v>8066</v>
      </c>
      <c r="AP1194" s="0" t="s">
        <v>8066</v>
      </c>
      <c r="AR1194" s="0" t="s">
        <v>8067</v>
      </c>
    </row>
    <row r="1195" customFormat="false" ht="15" hidden="false" customHeight="false" outlineLevel="0" collapsed="false">
      <c r="A1195" s="0" t="n">
        <v>1194</v>
      </c>
      <c r="B1195" s="0" t="s">
        <v>8068</v>
      </c>
      <c r="C1195" s="0" t="s">
        <v>52</v>
      </c>
      <c r="D1195" s="0" t="s">
        <v>8069</v>
      </c>
      <c r="H1195" s="0" t="s">
        <v>8070</v>
      </c>
      <c r="I1195" s="0" t="s">
        <v>46</v>
      </c>
      <c r="N1195" s="0" t="s">
        <v>8071</v>
      </c>
      <c r="O1195" s="0" t="s">
        <v>8071</v>
      </c>
      <c r="P1195" s="0" t="s">
        <v>55</v>
      </c>
      <c r="AA1195" s="0" t="s">
        <v>47</v>
      </c>
      <c r="AB1195" s="0" t="s">
        <v>8072</v>
      </c>
      <c r="AC1195" s="0" t="s">
        <v>8073</v>
      </c>
      <c r="AD1195" s="0" t="s">
        <v>8074</v>
      </c>
      <c r="AE1195" s="0" t="s">
        <v>59</v>
      </c>
      <c r="AF1195" s="3" t="s">
        <v>48</v>
      </c>
      <c r="AG1195" s="3" t="s">
        <v>49</v>
      </c>
      <c r="AR1195" s="0" t="s">
        <v>8069</v>
      </c>
    </row>
    <row r="1196" customFormat="false" ht="15" hidden="false" customHeight="false" outlineLevel="0" collapsed="false">
      <c r="A1196" s="0" t="n">
        <v>1195</v>
      </c>
      <c r="B1196" s="0" t="s">
        <v>8075</v>
      </c>
      <c r="C1196" s="0" t="s">
        <v>244</v>
      </c>
      <c r="E1196" s="0" t="s">
        <v>8076</v>
      </c>
      <c r="F1196" s="0" t="s">
        <v>44</v>
      </c>
      <c r="H1196" s="0" t="s">
        <v>8077</v>
      </c>
      <c r="I1196" s="0" t="s">
        <v>94</v>
      </c>
      <c r="N1196" s="3" t="s">
        <v>186</v>
      </c>
      <c r="O1196" s="3" t="s">
        <v>186</v>
      </c>
      <c r="P1196" s="0" t="s">
        <v>96</v>
      </c>
      <c r="AA1196" s="0" t="s">
        <v>47</v>
      </c>
      <c r="AB1196" s="0" t="s">
        <v>8078</v>
      </c>
      <c r="AC1196" s="0" t="s">
        <v>8079</v>
      </c>
      <c r="AD1196" s="0" t="s">
        <v>8080</v>
      </c>
      <c r="AE1196" s="0" t="s">
        <v>79</v>
      </c>
      <c r="AF1196" s="3" t="s">
        <v>1210</v>
      </c>
      <c r="AG1196" s="3" t="s">
        <v>81</v>
      </c>
      <c r="AK1196" s="0" t="s">
        <v>8081</v>
      </c>
      <c r="AR1196" s="0" t="s">
        <v>8082</v>
      </c>
    </row>
    <row r="1197" customFormat="false" ht="15" hidden="false" customHeight="false" outlineLevel="0" collapsed="false">
      <c r="A1197" s="0" t="n">
        <v>1196</v>
      </c>
      <c r="B1197" s="0" t="s">
        <v>8083</v>
      </c>
      <c r="C1197" s="0" t="s">
        <v>88</v>
      </c>
      <c r="E1197" s="0" t="s">
        <v>8084</v>
      </c>
      <c r="N1197" s="3" t="s">
        <v>202</v>
      </c>
      <c r="O1197" s="3" t="s">
        <v>202</v>
      </c>
      <c r="P1197" s="0" t="s">
        <v>96</v>
      </c>
      <c r="AA1197" s="0" t="s">
        <v>47</v>
      </c>
      <c r="AB1197" s="0" t="s">
        <v>8085</v>
      </c>
      <c r="AC1197" s="0" t="s">
        <v>8086</v>
      </c>
      <c r="AD1197" s="0" t="s">
        <v>8087</v>
      </c>
      <c r="AE1197" s="0" t="s">
        <v>79</v>
      </c>
      <c r="AF1197" s="3" t="s">
        <v>48</v>
      </c>
      <c r="AG1197" s="3" t="s">
        <v>49</v>
      </c>
      <c r="AR1197" s="0" t="s">
        <v>8084</v>
      </c>
    </row>
    <row r="1198" customFormat="false" ht="15" hidden="false" customHeight="false" outlineLevel="0" collapsed="false">
      <c r="A1198" s="0" t="n">
        <v>1197</v>
      </c>
      <c r="B1198" s="0" t="s">
        <v>8088</v>
      </c>
      <c r="C1198" s="0" t="s">
        <v>88</v>
      </c>
      <c r="E1198" s="0" t="s">
        <v>8089</v>
      </c>
      <c r="H1198" s="0" t="s">
        <v>8090</v>
      </c>
      <c r="I1198" s="0" t="s">
        <v>154</v>
      </c>
      <c r="N1198" s="3" t="s">
        <v>119</v>
      </c>
      <c r="O1198" s="3" t="s">
        <v>119</v>
      </c>
      <c r="P1198" s="0" t="s">
        <v>96</v>
      </c>
      <c r="AA1198" s="0" t="s">
        <v>47</v>
      </c>
      <c r="AB1198" s="0" t="s">
        <v>8091</v>
      </c>
      <c r="AC1198" s="0" t="s">
        <v>8092</v>
      </c>
      <c r="AD1198" s="0" t="s">
        <v>8093</v>
      </c>
      <c r="AE1198" s="0" t="s">
        <v>79</v>
      </c>
      <c r="AF1198" s="3" t="s">
        <v>48</v>
      </c>
      <c r="AG1198" s="3" t="s">
        <v>49</v>
      </c>
      <c r="AL1198" s="0" t="s">
        <v>8094</v>
      </c>
      <c r="AM1198" s="0" t="s">
        <v>8095</v>
      </c>
      <c r="AO1198" s="0" t="s">
        <v>8096</v>
      </c>
      <c r="AP1198" s="0" t="s">
        <v>8096</v>
      </c>
      <c r="AR1198" s="0" t="s">
        <v>8097</v>
      </c>
    </row>
    <row r="1199" customFormat="false" ht="15" hidden="false" customHeight="false" outlineLevel="0" collapsed="false">
      <c r="A1199" s="0" t="n">
        <v>1198</v>
      </c>
      <c r="B1199" s="0" t="s">
        <v>8098</v>
      </c>
      <c r="C1199" s="0" t="s">
        <v>88</v>
      </c>
      <c r="E1199" s="0" t="s">
        <v>8099</v>
      </c>
      <c r="AA1199" s="0" t="s">
        <v>47</v>
      </c>
      <c r="AF1199" s="3" t="s">
        <v>48</v>
      </c>
      <c r="AG1199" s="3" t="s">
        <v>49</v>
      </c>
      <c r="AR1199" s="0" t="s">
        <v>8099</v>
      </c>
    </row>
    <row r="1200" customFormat="false" ht="15" hidden="false" customHeight="false" outlineLevel="0" collapsed="false">
      <c r="A1200" s="0" t="n">
        <v>1199</v>
      </c>
      <c r="B1200" s="0" t="s">
        <v>8100</v>
      </c>
      <c r="C1200" s="0" t="s">
        <v>244</v>
      </c>
      <c r="E1200" s="0" t="s">
        <v>8101</v>
      </c>
      <c r="F1200" s="0" t="s">
        <v>44</v>
      </c>
      <c r="N1200" s="3" t="s">
        <v>147</v>
      </c>
      <c r="O1200" s="3" t="s">
        <v>147</v>
      </c>
      <c r="P1200" s="0" t="s">
        <v>96</v>
      </c>
      <c r="AA1200" s="0" t="s">
        <v>47</v>
      </c>
      <c r="AB1200" s="0" t="s">
        <v>8102</v>
      </c>
      <c r="AC1200" s="0" t="s">
        <v>8103</v>
      </c>
      <c r="AD1200" s="0" t="s">
        <v>8104</v>
      </c>
      <c r="AE1200" s="0" t="s">
        <v>79</v>
      </c>
      <c r="AF1200" s="3" t="s">
        <v>149</v>
      </c>
      <c r="AG1200" s="3" t="s">
        <v>81</v>
      </c>
      <c r="AK1200" s="0" t="s">
        <v>8105</v>
      </c>
      <c r="AR1200" s="0" t="s">
        <v>8106</v>
      </c>
    </row>
    <row r="1201" customFormat="false" ht="15" hidden="false" customHeight="false" outlineLevel="0" collapsed="false">
      <c r="A1201" s="0" t="n">
        <v>1200</v>
      </c>
      <c r="B1201" s="0" t="s">
        <v>8107</v>
      </c>
      <c r="C1201" s="0" t="s">
        <v>244</v>
      </c>
      <c r="E1201" s="0" t="s">
        <v>8108</v>
      </c>
      <c r="F1201" s="0" t="s">
        <v>44</v>
      </c>
      <c r="H1201" s="0" t="s">
        <v>8109</v>
      </c>
      <c r="I1201" s="0" t="s">
        <v>154</v>
      </c>
      <c r="N1201" s="3" t="s">
        <v>213</v>
      </c>
      <c r="O1201" s="3" t="s">
        <v>213</v>
      </c>
      <c r="P1201" s="0" t="s">
        <v>96</v>
      </c>
      <c r="AA1201" s="0" t="s">
        <v>47</v>
      </c>
      <c r="AB1201" s="0" t="s">
        <v>8110</v>
      </c>
      <c r="AC1201" s="0" t="s">
        <v>8111</v>
      </c>
      <c r="AD1201" s="0" t="s">
        <v>8112</v>
      </c>
      <c r="AE1201" s="0" t="s">
        <v>79</v>
      </c>
      <c r="AF1201" s="3" t="s">
        <v>149</v>
      </c>
      <c r="AG1201" s="3" t="s">
        <v>81</v>
      </c>
      <c r="AK1201" s="0" t="s">
        <v>8113</v>
      </c>
      <c r="AL1201" s="0" t="s">
        <v>8114</v>
      </c>
      <c r="AO1201" s="0" t="s">
        <v>8115</v>
      </c>
      <c r="AP1201" s="0" t="s">
        <v>8115</v>
      </c>
      <c r="AR1201" s="0" t="s">
        <v>8116</v>
      </c>
    </row>
    <row r="1202" customFormat="false" ht="15" hidden="false" customHeight="false" outlineLevel="0" collapsed="false">
      <c r="A1202" s="0" t="n">
        <v>1201</v>
      </c>
      <c r="B1202" s="0" t="s">
        <v>8117</v>
      </c>
      <c r="C1202" s="0" t="s">
        <v>88</v>
      </c>
      <c r="E1202" s="0" t="s">
        <v>8118</v>
      </c>
      <c r="N1202" s="3" t="s">
        <v>186</v>
      </c>
      <c r="O1202" s="3" t="s">
        <v>186</v>
      </c>
      <c r="P1202" s="0" t="s">
        <v>96</v>
      </c>
      <c r="AA1202" s="0" t="s">
        <v>47</v>
      </c>
      <c r="AB1202" s="0" t="s">
        <v>8119</v>
      </c>
      <c r="AC1202" s="0" t="s">
        <v>8120</v>
      </c>
      <c r="AE1202" s="0" t="s">
        <v>79</v>
      </c>
      <c r="AF1202" s="3" t="s">
        <v>48</v>
      </c>
      <c r="AG1202" s="3" t="s">
        <v>49</v>
      </c>
      <c r="AR1202" s="0" t="s">
        <v>8118</v>
      </c>
    </row>
    <row r="1203" customFormat="false" ht="15" hidden="false" customHeight="false" outlineLevel="0" collapsed="false">
      <c r="A1203" s="0" t="n">
        <v>1202</v>
      </c>
      <c r="B1203" s="0" t="s">
        <v>8121</v>
      </c>
      <c r="C1203" s="0" t="s">
        <v>52</v>
      </c>
      <c r="D1203" s="0" t="s">
        <v>8122</v>
      </c>
      <c r="N1203" s="3" t="s">
        <v>104</v>
      </c>
      <c r="O1203" s="3" t="s">
        <v>104</v>
      </c>
      <c r="P1203" s="0" t="s">
        <v>55</v>
      </c>
      <c r="AA1203" s="0" t="s">
        <v>47</v>
      </c>
      <c r="AB1203" s="0" t="s">
        <v>8123</v>
      </c>
      <c r="AC1203" s="0" t="s">
        <v>8124</v>
      </c>
      <c r="AD1203" s="0" t="s">
        <v>8125</v>
      </c>
      <c r="AE1203" s="0" t="s">
        <v>59</v>
      </c>
      <c r="AF1203" s="3" t="s">
        <v>48</v>
      </c>
      <c r="AG1203" s="3" t="s">
        <v>49</v>
      </c>
      <c r="AR1203" s="0" t="s">
        <v>8122</v>
      </c>
    </row>
    <row r="1204" customFormat="false" ht="15" hidden="false" customHeight="false" outlineLevel="0" collapsed="false">
      <c r="A1204" s="0" t="n">
        <v>1203</v>
      </c>
      <c r="B1204" s="0" t="s">
        <v>8126</v>
      </c>
      <c r="C1204" s="0" t="s">
        <v>88</v>
      </c>
      <c r="E1204" s="0" t="s">
        <v>8127</v>
      </c>
      <c r="H1204" s="0" t="s">
        <v>8128</v>
      </c>
      <c r="I1204" s="0" t="s">
        <v>94</v>
      </c>
      <c r="AA1204" s="0" t="s">
        <v>47</v>
      </c>
      <c r="AF1204" s="3" t="s">
        <v>48</v>
      </c>
      <c r="AG1204" s="3" t="s">
        <v>49</v>
      </c>
      <c r="AO1204" s="0" t="s">
        <v>8129</v>
      </c>
      <c r="AP1204" s="0" t="s">
        <v>8129</v>
      </c>
      <c r="AR1204" s="0" t="s">
        <v>8130</v>
      </c>
    </row>
    <row r="1205" customFormat="false" ht="15" hidden="false" customHeight="false" outlineLevel="0" collapsed="false">
      <c r="A1205" s="0" t="n">
        <v>1204</v>
      </c>
      <c r="B1205" s="0" t="s">
        <v>8131</v>
      </c>
      <c r="C1205" s="0" t="s">
        <v>88</v>
      </c>
      <c r="E1205" s="0" t="s">
        <v>8132</v>
      </c>
      <c r="H1205" s="0" t="s">
        <v>8133</v>
      </c>
      <c r="I1205" s="0" t="s">
        <v>94</v>
      </c>
      <c r="N1205" s="3" t="s">
        <v>202</v>
      </c>
      <c r="O1205" s="3" t="s">
        <v>202</v>
      </c>
      <c r="P1205" s="0" t="s">
        <v>96</v>
      </c>
      <c r="AA1205" s="0" t="s">
        <v>47</v>
      </c>
      <c r="AB1205" s="0" t="s">
        <v>8134</v>
      </c>
      <c r="AC1205" s="0" t="s">
        <v>8135</v>
      </c>
      <c r="AD1205" s="0" t="s">
        <v>8136</v>
      </c>
      <c r="AE1205" s="0" t="s">
        <v>79</v>
      </c>
      <c r="AF1205" s="3" t="s">
        <v>48</v>
      </c>
      <c r="AG1205" s="3" t="s">
        <v>49</v>
      </c>
      <c r="AL1205" s="0" t="s">
        <v>8137</v>
      </c>
      <c r="AM1205" s="0" t="s">
        <v>8138</v>
      </c>
      <c r="AO1205" s="0" t="s">
        <v>8139</v>
      </c>
      <c r="AP1205" s="0" t="s">
        <v>8139</v>
      </c>
      <c r="AR1205" s="0" t="s">
        <v>8140</v>
      </c>
    </row>
    <row r="1206" customFormat="false" ht="15" hidden="false" customHeight="false" outlineLevel="0" collapsed="false">
      <c r="A1206" s="0" t="n">
        <v>1205</v>
      </c>
      <c r="B1206" s="0" t="s">
        <v>8141</v>
      </c>
      <c r="C1206" s="0" t="s">
        <v>88</v>
      </c>
      <c r="E1206" s="0" t="s">
        <v>8142</v>
      </c>
      <c r="AA1206" s="0" t="s">
        <v>47</v>
      </c>
      <c r="AF1206" s="3" t="s">
        <v>48</v>
      </c>
      <c r="AG1206" s="3" t="s">
        <v>49</v>
      </c>
      <c r="AR1206" s="0" t="s">
        <v>8142</v>
      </c>
    </row>
    <row r="1207" customFormat="false" ht="15" hidden="false" customHeight="false" outlineLevel="0" collapsed="false">
      <c r="A1207" s="0" t="n">
        <v>1206</v>
      </c>
      <c r="B1207" s="0" t="s">
        <v>8143</v>
      </c>
      <c r="C1207" s="0" t="s">
        <v>43</v>
      </c>
      <c r="F1207" s="0" t="s">
        <v>44</v>
      </c>
      <c r="H1207" s="0" t="s">
        <v>8144</v>
      </c>
      <c r="I1207" s="0" t="s">
        <v>154</v>
      </c>
      <c r="AA1207" s="0" t="s">
        <v>47</v>
      </c>
      <c r="AF1207" s="3" t="s">
        <v>48</v>
      </c>
      <c r="AG1207" s="3" t="s">
        <v>49</v>
      </c>
      <c r="AP1207" s="0" t="s">
        <v>8145</v>
      </c>
      <c r="AR1207" s="0" t="s">
        <v>8146</v>
      </c>
    </row>
    <row r="1208" customFormat="false" ht="15" hidden="false" customHeight="false" outlineLevel="0" collapsed="false">
      <c r="A1208" s="0" t="n">
        <v>1207</v>
      </c>
      <c r="B1208" s="0" t="s">
        <v>8147</v>
      </c>
      <c r="C1208" s="0" t="s">
        <v>88</v>
      </c>
      <c r="E1208" s="0" t="s">
        <v>8148</v>
      </c>
      <c r="N1208" s="3" t="s">
        <v>119</v>
      </c>
      <c r="O1208" s="3" t="s">
        <v>119</v>
      </c>
      <c r="P1208" s="0" t="s">
        <v>96</v>
      </c>
      <c r="AA1208" s="0" t="s">
        <v>47</v>
      </c>
      <c r="AB1208" s="0" t="s">
        <v>8149</v>
      </c>
      <c r="AC1208" s="0" t="s">
        <v>8150</v>
      </c>
      <c r="AD1208" s="0" t="s">
        <v>8151</v>
      </c>
      <c r="AE1208" s="0" t="s">
        <v>79</v>
      </c>
      <c r="AF1208" s="3" t="s">
        <v>48</v>
      </c>
      <c r="AG1208" s="3" t="s">
        <v>49</v>
      </c>
      <c r="AR1208" s="0" t="s">
        <v>8148</v>
      </c>
    </row>
    <row r="1209" customFormat="false" ht="15" hidden="false" customHeight="false" outlineLevel="0" collapsed="false">
      <c r="A1209" s="0" t="n">
        <v>1208</v>
      </c>
      <c r="B1209" s="0" t="s">
        <v>8152</v>
      </c>
      <c r="C1209" s="0" t="s">
        <v>88</v>
      </c>
      <c r="E1209" s="0" t="s">
        <v>8153</v>
      </c>
      <c r="H1209" s="0" t="s">
        <v>8154</v>
      </c>
      <c r="I1209" s="0" t="s">
        <v>154</v>
      </c>
      <c r="N1209" s="3" t="s">
        <v>1298</v>
      </c>
      <c r="O1209" s="3" t="s">
        <v>1298</v>
      </c>
      <c r="P1209" s="0" t="s">
        <v>96</v>
      </c>
      <c r="AA1209" s="0" t="s">
        <v>47</v>
      </c>
      <c r="AB1209" s="0" t="s">
        <v>8155</v>
      </c>
      <c r="AC1209" s="0" t="s">
        <v>8156</v>
      </c>
      <c r="AD1209" s="0" t="s">
        <v>8157</v>
      </c>
      <c r="AE1209" s="0" t="s">
        <v>79</v>
      </c>
      <c r="AF1209" s="3" t="s">
        <v>48</v>
      </c>
      <c r="AG1209" s="3" t="s">
        <v>49</v>
      </c>
      <c r="AL1209" s="0" t="s">
        <v>8158</v>
      </c>
      <c r="AO1209" s="0" t="s">
        <v>8159</v>
      </c>
      <c r="AP1209" s="0" t="s">
        <v>8159</v>
      </c>
      <c r="AR1209" s="0" t="s">
        <v>8160</v>
      </c>
    </row>
    <row r="1210" customFormat="false" ht="15" hidden="false" customHeight="false" outlineLevel="0" collapsed="false">
      <c r="A1210" s="0" t="n">
        <v>1209</v>
      </c>
      <c r="B1210" s="0" t="s">
        <v>8161</v>
      </c>
      <c r="C1210" s="0" t="s">
        <v>88</v>
      </c>
      <c r="E1210" s="0" t="s">
        <v>8162</v>
      </c>
      <c r="H1210" s="0" t="s">
        <v>8163</v>
      </c>
      <c r="I1210" s="0" t="s">
        <v>154</v>
      </c>
      <c r="N1210" s="3" t="s">
        <v>202</v>
      </c>
      <c r="O1210" s="3" t="s">
        <v>202</v>
      </c>
      <c r="P1210" s="0" t="s">
        <v>96</v>
      </c>
      <c r="AA1210" s="0" t="s">
        <v>47</v>
      </c>
      <c r="AB1210" s="0" t="s">
        <v>8164</v>
      </c>
      <c r="AC1210" s="0" t="s">
        <v>2337</v>
      </c>
      <c r="AD1210" s="0" t="s">
        <v>8165</v>
      </c>
      <c r="AE1210" s="0" t="s">
        <v>79</v>
      </c>
      <c r="AF1210" s="3" t="s">
        <v>48</v>
      </c>
      <c r="AG1210" s="3" t="s">
        <v>49</v>
      </c>
      <c r="AL1210" s="0" t="s">
        <v>8166</v>
      </c>
      <c r="AP1210" s="0" t="s">
        <v>8167</v>
      </c>
      <c r="AR1210" s="0" t="s">
        <v>8168</v>
      </c>
    </row>
    <row r="1211" customFormat="false" ht="15" hidden="false" customHeight="false" outlineLevel="0" collapsed="false">
      <c r="A1211" s="0" t="n">
        <v>1210</v>
      </c>
      <c r="B1211" s="0" t="s">
        <v>8169</v>
      </c>
      <c r="C1211" s="0" t="s">
        <v>43</v>
      </c>
      <c r="F1211" s="0" t="s">
        <v>44</v>
      </c>
      <c r="H1211" s="0" t="s">
        <v>8170</v>
      </c>
      <c r="I1211" s="0" t="s">
        <v>154</v>
      </c>
      <c r="AA1211" s="0" t="s">
        <v>47</v>
      </c>
      <c r="AF1211" s="3" t="s">
        <v>108</v>
      </c>
      <c r="AG1211" s="3" t="s">
        <v>81</v>
      </c>
      <c r="AH1211" s="0" t="n">
        <v>2026</v>
      </c>
      <c r="AI1211" s="0" t="s">
        <v>4669</v>
      </c>
      <c r="AJ1211" s="0" t="s">
        <v>4670</v>
      </c>
      <c r="AL1211" s="0" t="s">
        <v>8171</v>
      </c>
      <c r="AM1211" s="0" t="s">
        <v>8172</v>
      </c>
      <c r="AO1211" s="0" t="s">
        <v>8173</v>
      </c>
      <c r="AP1211" s="0" t="s">
        <v>8173</v>
      </c>
      <c r="AR1211" s="0" t="s">
        <v>8174</v>
      </c>
    </row>
    <row r="1212" customFormat="false" ht="15" hidden="false" customHeight="false" outlineLevel="0" collapsed="false">
      <c r="A1212" s="0" t="n">
        <v>1211</v>
      </c>
      <c r="B1212" s="0" t="s">
        <v>8175</v>
      </c>
      <c r="C1212" s="0" t="s">
        <v>52</v>
      </c>
      <c r="D1212" s="0" t="s">
        <v>8176</v>
      </c>
      <c r="H1212" s="0" t="s">
        <v>8177</v>
      </c>
      <c r="I1212" s="0" t="s">
        <v>154</v>
      </c>
      <c r="N1212" s="3" t="s">
        <v>104</v>
      </c>
      <c r="O1212" s="3" t="s">
        <v>104</v>
      </c>
      <c r="P1212" s="0" t="s">
        <v>55</v>
      </c>
      <c r="AA1212" s="0" t="s">
        <v>47</v>
      </c>
      <c r="AB1212" s="0" t="s">
        <v>8178</v>
      </c>
      <c r="AC1212" s="0" t="s">
        <v>8179</v>
      </c>
      <c r="AD1212" s="0" t="s">
        <v>8180</v>
      </c>
      <c r="AE1212" s="0" t="s">
        <v>59</v>
      </c>
      <c r="AF1212" s="3" t="s">
        <v>48</v>
      </c>
      <c r="AG1212" s="3" t="s">
        <v>49</v>
      </c>
      <c r="AL1212" s="0" t="s">
        <v>8181</v>
      </c>
      <c r="AM1212" s="0" t="s">
        <v>8182</v>
      </c>
      <c r="AO1212" s="0" t="s">
        <v>8183</v>
      </c>
      <c r="AP1212" s="0" t="s">
        <v>8183</v>
      </c>
      <c r="AR1212" s="0" t="s">
        <v>8184</v>
      </c>
    </row>
    <row r="1213" customFormat="false" ht="15" hidden="false" customHeight="false" outlineLevel="0" collapsed="false">
      <c r="A1213" s="0" t="n">
        <v>1212</v>
      </c>
      <c r="B1213" s="0" t="s">
        <v>8185</v>
      </c>
      <c r="C1213" s="0" t="s">
        <v>88</v>
      </c>
      <c r="E1213" s="0" t="s">
        <v>8186</v>
      </c>
      <c r="H1213" s="0" t="s">
        <v>8187</v>
      </c>
      <c r="I1213" s="0" t="s">
        <v>154</v>
      </c>
      <c r="N1213" s="3" t="s">
        <v>95</v>
      </c>
      <c r="O1213" s="3" t="s">
        <v>95</v>
      </c>
      <c r="P1213" s="0" t="s">
        <v>96</v>
      </c>
      <c r="AA1213" s="0" t="s">
        <v>47</v>
      </c>
      <c r="AB1213" s="0" t="s">
        <v>8188</v>
      </c>
      <c r="AC1213" s="0" t="s">
        <v>8189</v>
      </c>
      <c r="AD1213" s="0" t="s">
        <v>8190</v>
      </c>
      <c r="AE1213" s="0" t="s">
        <v>79</v>
      </c>
      <c r="AF1213" s="3" t="s">
        <v>48</v>
      </c>
      <c r="AG1213" s="3" t="s">
        <v>49</v>
      </c>
      <c r="AL1213" s="0" t="s">
        <v>8191</v>
      </c>
      <c r="AO1213" s="0" t="s">
        <v>8192</v>
      </c>
      <c r="AP1213" s="0" t="s">
        <v>8192</v>
      </c>
      <c r="AR1213" s="0" t="s">
        <v>8193</v>
      </c>
    </row>
    <row r="1214" customFormat="false" ht="15" hidden="false" customHeight="false" outlineLevel="0" collapsed="false">
      <c r="A1214" s="0" t="n">
        <v>1213</v>
      </c>
      <c r="B1214" s="0" t="s">
        <v>8194</v>
      </c>
      <c r="C1214" s="0" t="s">
        <v>244</v>
      </c>
      <c r="E1214" s="0" t="s">
        <v>8195</v>
      </c>
      <c r="F1214" s="0" t="s">
        <v>44</v>
      </c>
      <c r="H1214" s="0" t="s">
        <v>8196</v>
      </c>
      <c r="I1214" s="0" t="s">
        <v>154</v>
      </c>
      <c r="N1214" s="3" t="s">
        <v>202</v>
      </c>
      <c r="O1214" s="3" t="s">
        <v>202</v>
      </c>
      <c r="P1214" s="0" t="s">
        <v>96</v>
      </c>
      <c r="AA1214" s="0" t="s">
        <v>47</v>
      </c>
      <c r="AB1214" s="0" t="s">
        <v>8197</v>
      </c>
      <c r="AC1214" s="0" t="s">
        <v>8198</v>
      </c>
      <c r="AD1214" s="0" t="s">
        <v>8199</v>
      </c>
      <c r="AE1214" s="0" t="s">
        <v>79</v>
      </c>
      <c r="AF1214" s="3" t="s">
        <v>149</v>
      </c>
      <c r="AG1214" s="3" t="s">
        <v>81</v>
      </c>
      <c r="AK1214" s="0" t="s">
        <v>8200</v>
      </c>
      <c r="AL1214" s="0" t="s">
        <v>8201</v>
      </c>
      <c r="AM1214" s="0" t="s">
        <v>8202</v>
      </c>
      <c r="AO1214" s="0" t="s">
        <v>8203</v>
      </c>
      <c r="AP1214" s="0" t="s">
        <v>8203</v>
      </c>
      <c r="AR1214" s="0" t="s">
        <v>8204</v>
      </c>
    </row>
    <row r="1215" customFormat="false" ht="15" hidden="false" customHeight="false" outlineLevel="0" collapsed="false">
      <c r="A1215" s="0" t="n">
        <v>1214</v>
      </c>
      <c r="B1215" s="0" t="s">
        <v>8205</v>
      </c>
      <c r="C1215" s="0" t="s">
        <v>88</v>
      </c>
      <c r="E1215" s="0" t="s">
        <v>8206</v>
      </c>
      <c r="H1215" s="0" t="s">
        <v>8207</v>
      </c>
      <c r="I1215" s="0" t="s">
        <v>94</v>
      </c>
      <c r="N1215" s="3" t="s">
        <v>213</v>
      </c>
      <c r="O1215" s="3" t="s">
        <v>213</v>
      </c>
      <c r="P1215" s="0" t="s">
        <v>96</v>
      </c>
      <c r="AA1215" s="0" t="s">
        <v>47</v>
      </c>
      <c r="AB1215" s="0" t="s">
        <v>8208</v>
      </c>
      <c r="AC1215" s="0" t="s">
        <v>8209</v>
      </c>
      <c r="AE1215" s="0" t="s">
        <v>79</v>
      </c>
      <c r="AF1215" s="3" t="s">
        <v>48</v>
      </c>
      <c r="AG1215" s="3" t="s">
        <v>49</v>
      </c>
      <c r="AP1215" s="0" t="s">
        <v>8210</v>
      </c>
      <c r="AR1215" s="0" t="s">
        <v>8211</v>
      </c>
    </row>
    <row r="1216" customFormat="false" ht="15" hidden="false" customHeight="false" outlineLevel="0" collapsed="false">
      <c r="A1216" s="0" t="n">
        <v>1215</v>
      </c>
      <c r="B1216" s="0" t="s">
        <v>8212</v>
      </c>
      <c r="C1216" s="0" t="s">
        <v>43</v>
      </c>
      <c r="F1216" s="0" t="s">
        <v>44</v>
      </c>
      <c r="H1216" s="0" t="s">
        <v>8213</v>
      </c>
      <c r="I1216" s="0" t="s">
        <v>46</v>
      </c>
      <c r="AA1216" s="0" t="s">
        <v>47</v>
      </c>
      <c r="AF1216" s="3" t="s">
        <v>48</v>
      </c>
      <c r="AG1216" s="3" t="s">
        <v>49</v>
      </c>
      <c r="AR1216" s="0" t="s">
        <v>50</v>
      </c>
    </row>
    <row r="1217" customFormat="false" ht="15" hidden="false" customHeight="false" outlineLevel="0" collapsed="false">
      <c r="A1217" s="0" t="n">
        <v>1216</v>
      </c>
      <c r="B1217" s="0" t="s">
        <v>8214</v>
      </c>
      <c r="C1217" s="0" t="s">
        <v>88</v>
      </c>
      <c r="E1217" s="0" t="s">
        <v>8215</v>
      </c>
      <c r="AA1217" s="0" t="s">
        <v>47</v>
      </c>
      <c r="AF1217" s="3" t="s">
        <v>48</v>
      </c>
      <c r="AG1217" s="3" t="s">
        <v>49</v>
      </c>
      <c r="AR1217" s="0" t="s">
        <v>8215</v>
      </c>
    </row>
    <row r="1218" customFormat="false" ht="15" hidden="false" customHeight="false" outlineLevel="0" collapsed="false">
      <c r="A1218" s="0" t="n">
        <v>1217</v>
      </c>
      <c r="B1218" s="0" t="s">
        <v>8216</v>
      </c>
      <c r="C1218" s="0" t="s">
        <v>88</v>
      </c>
      <c r="E1218" s="0" t="s">
        <v>8217</v>
      </c>
      <c r="H1218" s="0" t="s">
        <v>8218</v>
      </c>
      <c r="I1218" s="0" t="s">
        <v>46</v>
      </c>
      <c r="N1218" s="3" t="s">
        <v>239</v>
      </c>
      <c r="O1218" s="3" t="s">
        <v>239</v>
      </c>
      <c r="P1218" s="0" t="s">
        <v>96</v>
      </c>
      <c r="AA1218" s="0" t="s">
        <v>47</v>
      </c>
      <c r="AB1218" s="0" t="s">
        <v>8219</v>
      </c>
      <c r="AC1218" s="0" t="s">
        <v>8220</v>
      </c>
      <c r="AE1218" s="0" t="s">
        <v>79</v>
      </c>
      <c r="AF1218" s="3" t="s">
        <v>48</v>
      </c>
      <c r="AG1218" s="3" t="s">
        <v>49</v>
      </c>
      <c r="AR1218" s="0" t="s">
        <v>8217</v>
      </c>
    </row>
    <row r="1219" customFormat="false" ht="15" hidden="false" customHeight="false" outlineLevel="0" collapsed="false">
      <c r="A1219" s="0" t="n">
        <v>1218</v>
      </c>
      <c r="B1219" s="0" t="s">
        <v>8221</v>
      </c>
      <c r="C1219" s="0" t="s">
        <v>43</v>
      </c>
      <c r="F1219" s="0" t="s">
        <v>44</v>
      </c>
      <c r="AA1219" s="0" t="s">
        <v>47</v>
      </c>
      <c r="AF1219" s="3" t="s">
        <v>48</v>
      </c>
      <c r="AG1219" s="3" t="s">
        <v>49</v>
      </c>
      <c r="AR1219" s="0" t="s">
        <v>50</v>
      </c>
    </row>
    <row r="1220" customFormat="false" ht="15" hidden="false" customHeight="false" outlineLevel="0" collapsed="false">
      <c r="A1220" s="0" t="n">
        <v>1219</v>
      </c>
      <c r="B1220" s="0" t="s">
        <v>8222</v>
      </c>
      <c r="C1220" s="0" t="s">
        <v>61</v>
      </c>
      <c r="D1220" s="0" t="s">
        <v>8223</v>
      </c>
      <c r="E1220" s="0" t="s">
        <v>8224</v>
      </c>
      <c r="H1220" s="0" t="s">
        <v>2311</v>
      </c>
      <c r="I1220" s="0" t="s">
        <v>115</v>
      </c>
      <c r="J1220" s="3" t="s">
        <v>66</v>
      </c>
      <c r="K1220" s="0" t="s">
        <v>2312</v>
      </c>
      <c r="L1220" s="0" t="s">
        <v>2313</v>
      </c>
      <c r="M1220" s="0" t="n">
        <v>1955</v>
      </c>
      <c r="N1220" s="0" t="s">
        <v>986</v>
      </c>
      <c r="O1220" s="3" t="s">
        <v>54</v>
      </c>
      <c r="P1220" s="0" t="s">
        <v>55</v>
      </c>
      <c r="R1220" s="0" t="n">
        <v>2000</v>
      </c>
      <c r="S1220" s="0" t="n">
        <v>2024</v>
      </c>
      <c r="T1220" s="0" t="s">
        <v>698</v>
      </c>
      <c r="U1220" s="0" t="s">
        <v>115</v>
      </c>
      <c r="V1220" s="0" t="n">
        <v>400</v>
      </c>
      <c r="W1220" s="0" t="s">
        <v>2315</v>
      </c>
      <c r="X1220" s="0" t="s">
        <v>2316</v>
      </c>
      <c r="Y1220" s="0" t="s">
        <v>698</v>
      </c>
      <c r="Z1220" s="0" t="s">
        <v>115</v>
      </c>
      <c r="AA1220" s="0" t="s">
        <v>698</v>
      </c>
      <c r="AB1220" s="0" t="s">
        <v>2317</v>
      </c>
      <c r="AC1220" s="0" t="s">
        <v>2318</v>
      </c>
      <c r="AD1220" s="0" t="s">
        <v>2319</v>
      </c>
      <c r="AE1220" s="0" t="s">
        <v>115</v>
      </c>
      <c r="AF1220" s="3" t="s">
        <v>108</v>
      </c>
      <c r="AG1220" s="3" t="s">
        <v>404</v>
      </c>
      <c r="AH1220" s="0" t="n">
        <v>2026</v>
      </c>
      <c r="AI1220" s="0" t="s">
        <v>2320</v>
      </c>
      <c r="AJ1220" s="0" t="s">
        <v>2321</v>
      </c>
      <c r="AK1220" s="0" t="s">
        <v>2322</v>
      </c>
      <c r="AL1220" s="0" t="s">
        <v>2323</v>
      </c>
      <c r="AM1220" s="0" t="s">
        <v>2324</v>
      </c>
      <c r="AN1220" s="0" t="s">
        <v>2325</v>
      </c>
      <c r="AP1220" s="0" t="s">
        <v>2326</v>
      </c>
      <c r="AR1220" s="0" t="s">
        <v>8225</v>
      </c>
    </row>
    <row r="1221" customFormat="false" ht="15" hidden="false" customHeight="false" outlineLevel="0" collapsed="false">
      <c r="A1221" s="0" t="n">
        <v>1220</v>
      </c>
      <c r="B1221" s="0" t="s">
        <v>8226</v>
      </c>
      <c r="C1221" s="0" t="s">
        <v>43</v>
      </c>
      <c r="F1221" s="0" t="s">
        <v>44</v>
      </c>
      <c r="AA1221" s="0" t="s">
        <v>47</v>
      </c>
      <c r="AF1221" s="3" t="s">
        <v>48</v>
      </c>
      <c r="AG1221" s="3" t="s">
        <v>49</v>
      </c>
      <c r="AR1221" s="0" t="s">
        <v>50</v>
      </c>
    </row>
    <row r="1222" customFormat="false" ht="15" hidden="false" customHeight="false" outlineLevel="0" collapsed="false">
      <c r="A1222" s="0" t="n">
        <v>1221</v>
      </c>
      <c r="B1222" s="0" t="s">
        <v>8227</v>
      </c>
      <c r="C1222" s="0" t="s">
        <v>88</v>
      </c>
      <c r="E1222" s="0" t="s">
        <v>8228</v>
      </c>
      <c r="N1222" s="3" t="s">
        <v>202</v>
      </c>
      <c r="O1222" s="3" t="s">
        <v>202</v>
      </c>
      <c r="P1222" s="0" t="s">
        <v>96</v>
      </c>
      <c r="AA1222" s="0" t="s">
        <v>47</v>
      </c>
      <c r="AB1222" s="0" t="s">
        <v>8229</v>
      </c>
      <c r="AC1222" s="0" t="s">
        <v>8230</v>
      </c>
      <c r="AD1222" s="0" t="s">
        <v>8231</v>
      </c>
      <c r="AE1222" s="0" t="s">
        <v>79</v>
      </c>
      <c r="AF1222" s="3" t="s">
        <v>48</v>
      </c>
      <c r="AG1222" s="3" t="s">
        <v>49</v>
      </c>
      <c r="AR1222" s="0" t="s">
        <v>8228</v>
      </c>
    </row>
    <row r="1223" customFormat="false" ht="15" hidden="false" customHeight="false" outlineLevel="0" collapsed="false">
      <c r="A1223" s="0" t="n">
        <v>1222</v>
      </c>
      <c r="B1223" s="0" t="s">
        <v>8232</v>
      </c>
      <c r="C1223" s="0" t="s">
        <v>88</v>
      </c>
      <c r="E1223" s="0" t="s">
        <v>8233</v>
      </c>
      <c r="AA1223" s="0" t="s">
        <v>47</v>
      </c>
      <c r="AF1223" s="3" t="s">
        <v>48</v>
      </c>
      <c r="AG1223" s="3" t="s">
        <v>49</v>
      </c>
      <c r="AR1223" s="0" t="s">
        <v>8233</v>
      </c>
    </row>
    <row r="1224" customFormat="false" ht="15" hidden="false" customHeight="false" outlineLevel="0" collapsed="false">
      <c r="A1224" s="0" t="n">
        <v>1223</v>
      </c>
      <c r="B1224" s="0" t="s">
        <v>8234</v>
      </c>
      <c r="C1224" s="0" t="s">
        <v>244</v>
      </c>
      <c r="E1224" s="0" t="s">
        <v>8235</v>
      </c>
      <c r="F1224" s="0" t="s">
        <v>44</v>
      </c>
      <c r="H1224" s="0" t="s">
        <v>8236</v>
      </c>
      <c r="I1224" s="0" t="s">
        <v>94</v>
      </c>
      <c r="N1224" s="3" t="s">
        <v>95</v>
      </c>
      <c r="O1224" s="3" t="s">
        <v>95</v>
      </c>
      <c r="P1224" s="0" t="s">
        <v>96</v>
      </c>
      <c r="AA1224" s="0" t="s">
        <v>47</v>
      </c>
      <c r="AB1224" s="0" t="s">
        <v>8237</v>
      </c>
      <c r="AC1224" s="0" t="s">
        <v>8238</v>
      </c>
      <c r="AD1224" s="0" t="s">
        <v>8239</v>
      </c>
      <c r="AE1224" s="0" t="s">
        <v>79</v>
      </c>
      <c r="AF1224" s="3" t="s">
        <v>48</v>
      </c>
      <c r="AG1224" s="3" t="s">
        <v>49</v>
      </c>
      <c r="AL1224" s="0" t="s">
        <v>8240</v>
      </c>
      <c r="AO1224" s="0" t="s">
        <v>8241</v>
      </c>
      <c r="AP1224" s="0" t="s">
        <v>8241</v>
      </c>
      <c r="AR1224" s="0" t="s">
        <v>8242</v>
      </c>
    </row>
    <row r="1225" customFormat="false" ht="15" hidden="false" customHeight="false" outlineLevel="0" collapsed="false">
      <c r="A1225" s="0" t="n">
        <v>1224</v>
      </c>
      <c r="B1225" s="0" t="s">
        <v>8243</v>
      </c>
      <c r="C1225" s="0" t="s">
        <v>88</v>
      </c>
      <c r="E1225" s="0" t="s">
        <v>8244</v>
      </c>
      <c r="N1225" s="3" t="s">
        <v>95</v>
      </c>
      <c r="O1225" s="3" t="s">
        <v>95</v>
      </c>
      <c r="P1225" s="0" t="s">
        <v>96</v>
      </c>
      <c r="AA1225" s="0" t="s">
        <v>47</v>
      </c>
      <c r="AB1225" s="0" t="s">
        <v>8245</v>
      </c>
      <c r="AC1225" s="0" t="s">
        <v>8246</v>
      </c>
      <c r="AE1225" s="0" t="s">
        <v>79</v>
      </c>
      <c r="AF1225" s="3" t="s">
        <v>48</v>
      </c>
      <c r="AG1225" s="3" t="s">
        <v>49</v>
      </c>
      <c r="AR1225" s="0" t="s">
        <v>8244</v>
      </c>
    </row>
    <row r="1226" customFormat="false" ht="15" hidden="false" customHeight="false" outlineLevel="0" collapsed="false">
      <c r="A1226" s="0" t="n">
        <v>1225</v>
      </c>
      <c r="B1226" s="0" t="s">
        <v>8247</v>
      </c>
      <c r="C1226" s="0" t="s">
        <v>88</v>
      </c>
      <c r="E1226" s="0" t="s">
        <v>8248</v>
      </c>
      <c r="N1226" s="3" t="s">
        <v>95</v>
      </c>
      <c r="O1226" s="3" t="s">
        <v>95</v>
      </c>
      <c r="P1226" s="0" t="s">
        <v>96</v>
      </c>
      <c r="AA1226" s="0" t="s">
        <v>47</v>
      </c>
      <c r="AB1226" s="0" t="s">
        <v>8249</v>
      </c>
      <c r="AC1226" s="0" t="s">
        <v>8250</v>
      </c>
      <c r="AD1226" s="0" t="s">
        <v>8251</v>
      </c>
      <c r="AE1226" s="0" t="s">
        <v>79</v>
      </c>
      <c r="AF1226" s="3" t="s">
        <v>48</v>
      </c>
      <c r="AG1226" s="3" t="s">
        <v>49</v>
      </c>
      <c r="AR1226" s="0" t="s">
        <v>8248</v>
      </c>
    </row>
    <row r="1227" customFormat="false" ht="15" hidden="false" customHeight="false" outlineLevel="0" collapsed="false">
      <c r="A1227" s="0" t="n">
        <v>1226</v>
      </c>
      <c r="B1227" s="0" t="s">
        <v>8252</v>
      </c>
      <c r="C1227" s="0" t="s">
        <v>88</v>
      </c>
      <c r="E1227" s="0" t="s">
        <v>8253</v>
      </c>
      <c r="H1227" s="0" t="s">
        <v>8254</v>
      </c>
      <c r="I1227" s="0" t="s">
        <v>94</v>
      </c>
      <c r="N1227" s="3" t="s">
        <v>202</v>
      </c>
      <c r="O1227" s="3" t="s">
        <v>202</v>
      </c>
      <c r="P1227" s="0" t="s">
        <v>96</v>
      </c>
      <c r="AA1227" s="0" t="s">
        <v>47</v>
      </c>
      <c r="AB1227" s="0" t="s">
        <v>8255</v>
      </c>
      <c r="AC1227" s="0" t="s">
        <v>8256</v>
      </c>
      <c r="AD1227" s="0" t="s">
        <v>8257</v>
      </c>
      <c r="AE1227" s="0" t="s">
        <v>79</v>
      </c>
      <c r="AF1227" s="3" t="s">
        <v>48</v>
      </c>
      <c r="AG1227" s="3" t="s">
        <v>49</v>
      </c>
      <c r="AP1227" s="0" t="s">
        <v>8258</v>
      </c>
      <c r="AR1227" s="0" t="s">
        <v>8259</v>
      </c>
    </row>
    <row r="1228" customFormat="false" ht="15" hidden="false" customHeight="false" outlineLevel="0" collapsed="false">
      <c r="A1228" s="0" t="n">
        <v>1227</v>
      </c>
      <c r="B1228" s="0" t="s">
        <v>8260</v>
      </c>
      <c r="C1228" s="0" t="s">
        <v>52</v>
      </c>
      <c r="D1228" s="0" t="s">
        <v>8261</v>
      </c>
      <c r="H1228" s="0" t="s">
        <v>8262</v>
      </c>
      <c r="I1228" s="0" t="s">
        <v>46</v>
      </c>
      <c r="N1228" s="3" t="s">
        <v>239</v>
      </c>
      <c r="O1228" s="3" t="s">
        <v>239</v>
      </c>
      <c r="P1228" s="0" t="s">
        <v>96</v>
      </c>
      <c r="AA1228" s="0" t="s">
        <v>47</v>
      </c>
      <c r="AB1228" s="0" t="s">
        <v>8263</v>
      </c>
      <c r="AC1228" s="0" t="s">
        <v>8264</v>
      </c>
      <c r="AD1228" s="0" t="s">
        <v>8265</v>
      </c>
      <c r="AE1228" s="0" t="s">
        <v>59</v>
      </c>
      <c r="AF1228" s="3" t="s">
        <v>48</v>
      </c>
      <c r="AG1228" s="3" t="s">
        <v>49</v>
      </c>
      <c r="AR1228" s="0" t="s">
        <v>8261</v>
      </c>
    </row>
    <row r="1229" customFormat="false" ht="15" hidden="false" customHeight="false" outlineLevel="0" collapsed="false">
      <c r="A1229" s="0" t="n">
        <v>1228</v>
      </c>
      <c r="B1229" s="0" t="s">
        <v>8266</v>
      </c>
      <c r="C1229" s="0" t="s">
        <v>88</v>
      </c>
      <c r="E1229" s="0" t="s">
        <v>8267</v>
      </c>
      <c r="H1229" s="0" t="s">
        <v>8268</v>
      </c>
      <c r="I1229" s="0" t="s">
        <v>154</v>
      </c>
      <c r="AA1229" s="0" t="s">
        <v>47</v>
      </c>
      <c r="AB1229" s="0" t="s">
        <v>8269</v>
      </c>
      <c r="AC1229" s="0" t="s">
        <v>8270</v>
      </c>
      <c r="AE1229" s="0" t="s">
        <v>79</v>
      </c>
      <c r="AF1229" s="3" t="s">
        <v>48</v>
      </c>
      <c r="AG1229" s="3" t="s">
        <v>49</v>
      </c>
      <c r="AL1229" s="0" t="s">
        <v>8271</v>
      </c>
      <c r="AO1229" s="0" t="s">
        <v>8272</v>
      </c>
      <c r="AP1229" s="0" t="s">
        <v>8272</v>
      </c>
      <c r="AR1229" s="0" t="s">
        <v>8273</v>
      </c>
    </row>
    <row r="1230" customFormat="false" ht="15" hidden="false" customHeight="false" outlineLevel="0" collapsed="false">
      <c r="A1230" s="0" t="n">
        <v>1229</v>
      </c>
      <c r="B1230" s="0" t="s">
        <v>8274</v>
      </c>
      <c r="C1230" s="0" t="s">
        <v>145</v>
      </c>
      <c r="F1230" s="0" t="s">
        <v>146</v>
      </c>
      <c r="H1230" s="0" t="s">
        <v>8275</v>
      </c>
      <c r="I1230" s="0" t="s">
        <v>154</v>
      </c>
      <c r="N1230" s="3" t="s">
        <v>239</v>
      </c>
      <c r="O1230" s="3" t="s">
        <v>239</v>
      </c>
      <c r="P1230" s="0" t="s">
        <v>96</v>
      </c>
      <c r="Q1230" s="0" t="s">
        <v>8276</v>
      </c>
      <c r="AA1230" s="0" t="s">
        <v>47</v>
      </c>
      <c r="AF1230" s="3" t="s">
        <v>149</v>
      </c>
      <c r="AG1230" s="3" t="s">
        <v>81</v>
      </c>
      <c r="AK1230" s="0" t="s">
        <v>8277</v>
      </c>
      <c r="AL1230" s="0" t="s">
        <v>8278</v>
      </c>
      <c r="AO1230" s="0" t="s">
        <v>8279</v>
      </c>
      <c r="AP1230" s="0" t="s">
        <v>8279</v>
      </c>
      <c r="AR1230" s="0" t="s">
        <v>8280</v>
      </c>
    </row>
    <row r="1231" customFormat="false" ht="15" hidden="false" customHeight="false" outlineLevel="0" collapsed="false">
      <c r="A1231" s="0" t="n">
        <v>1230</v>
      </c>
      <c r="B1231" s="0" t="s">
        <v>8281</v>
      </c>
      <c r="C1231" s="0" t="s">
        <v>88</v>
      </c>
      <c r="E1231" s="0" t="s">
        <v>8282</v>
      </c>
      <c r="AA1231" s="0" t="s">
        <v>47</v>
      </c>
      <c r="AF1231" s="3" t="s">
        <v>48</v>
      </c>
      <c r="AG1231" s="3" t="s">
        <v>49</v>
      </c>
      <c r="AR1231" s="0" t="s">
        <v>8282</v>
      </c>
    </row>
    <row r="1232" customFormat="false" ht="15" hidden="false" customHeight="false" outlineLevel="0" collapsed="false">
      <c r="A1232" s="0" t="n">
        <v>1231</v>
      </c>
      <c r="B1232" s="0" t="s">
        <v>8283</v>
      </c>
      <c r="C1232" s="0" t="s">
        <v>88</v>
      </c>
      <c r="E1232" s="0" t="s">
        <v>8284</v>
      </c>
      <c r="AA1232" s="0" t="s">
        <v>47</v>
      </c>
      <c r="AF1232" s="3" t="s">
        <v>48</v>
      </c>
      <c r="AG1232" s="3" t="s">
        <v>49</v>
      </c>
      <c r="AR1232" s="0" t="s">
        <v>8284</v>
      </c>
    </row>
    <row r="1233" customFormat="false" ht="15" hidden="false" customHeight="false" outlineLevel="0" collapsed="false">
      <c r="A1233" s="0" t="n">
        <v>1232</v>
      </c>
      <c r="B1233" s="0" t="s">
        <v>8285</v>
      </c>
      <c r="C1233" s="0" t="s">
        <v>43</v>
      </c>
      <c r="F1233" s="0" t="s">
        <v>44</v>
      </c>
      <c r="H1233" s="0" t="s">
        <v>8286</v>
      </c>
      <c r="I1233" s="0" t="s">
        <v>46</v>
      </c>
      <c r="AA1233" s="0" t="s">
        <v>47</v>
      </c>
      <c r="AF1233" s="3" t="s">
        <v>108</v>
      </c>
      <c r="AG1233" s="3" t="s">
        <v>49</v>
      </c>
      <c r="AH1233" s="0" t="n">
        <v>2026</v>
      </c>
      <c r="AI1233" s="0" t="s">
        <v>1593</v>
      </c>
      <c r="AJ1233" s="0" t="s">
        <v>1594</v>
      </c>
      <c r="AR1233" s="0" t="s">
        <v>8287</v>
      </c>
    </row>
    <row r="1234" customFormat="false" ht="15" hidden="false" customHeight="false" outlineLevel="0" collapsed="false">
      <c r="A1234" s="0" t="n">
        <v>1233</v>
      </c>
      <c r="B1234" s="0" t="s">
        <v>8288</v>
      </c>
      <c r="C1234" s="0" t="s">
        <v>88</v>
      </c>
      <c r="E1234" s="0" t="s">
        <v>8289</v>
      </c>
      <c r="N1234" s="3" t="s">
        <v>147</v>
      </c>
      <c r="O1234" s="3" t="s">
        <v>147</v>
      </c>
      <c r="P1234" s="0" t="s">
        <v>96</v>
      </c>
      <c r="AA1234" s="0" t="s">
        <v>47</v>
      </c>
      <c r="AB1234" s="0" t="s">
        <v>8290</v>
      </c>
      <c r="AC1234" s="0" t="s">
        <v>8291</v>
      </c>
      <c r="AD1234" s="0" t="s">
        <v>8292</v>
      </c>
      <c r="AE1234" s="0" t="s">
        <v>79</v>
      </c>
      <c r="AF1234" s="3" t="s">
        <v>48</v>
      </c>
      <c r="AG1234" s="3" t="s">
        <v>49</v>
      </c>
      <c r="AR1234" s="0" t="s">
        <v>8289</v>
      </c>
    </row>
    <row r="1235" customFormat="false" ht="15" hidden="false" customHeight="false" outlineLevel="0" collapsed="false">
      <c r="A1235" s="0" t="n">
        <v>1234</v>
      </c>
      <c r="B1235" s="0" t="s">
        <v>8293</v>
      </c>
      <c r="C1235" s="0" t="s">
        <v>88</v>
      </c>
      <c r="E1235" s="0" t="s">
        <v>8294</v>
      </c>
      <c r="N1235" s="3" t="s">
        <v>119</v>
      </c>
      <c r="O1235" s="3" t="s">
        <v>119</v>
      </c>
      <c r="P1235" s="0" t="s">
        <v>96</v>
      </c>
      <c r="AA1235" s="0" t="s">
        <v>47</v>
      </c>
      <c r="AB1235" s="0" t="s">
        <v>8295</v>
      </c>
      <c r="AC1235" s="0" t="s">
        <v>8296</v>
      </c>
      <c r="AD1235" s="0" t="s">
        <v>8297</v>
      </c>
      <c r="AE1235" s="0" t="s">
        <v>79</v>
      </c>
      <c r="AF1235" s="3" t="s">
        <v>48</v>
      </c>
      <c r="AG1235" s="3" t="s">
        <v>49</v>
      </c>
      <c r="AR1235" s="0" t="s">
        <v>8294</v>
      </c>
    </row>
    <row r="1236" customFormat="false" ht="15" hidden="false" customHeight="false" outlineLevel="0" collapsed="false">
      <c r="A1236" s="0" t="n">
        <v>1235</v>
      </c>
      <c r="B1236" s="0" t="s">
        <v>8298</v>
      </c>
      <c r="C1236" s="0" t="s">
        <v>43</v>
      </c>
      <c r="F1236" s="0" t="s">
        <v>44</v>
      </c>
      <c r="AA1236" s="0" t="s">
        <v>47</v>
      </c>
      <c r="AF1236" s="3" t="s">
        <v>108</v>
      </c>
      <c r="AG1236" s="3" t="s">
        <v>49</v>
      </c>
      <c r="AH1236" s="0" t="n">
        <v>2026</v>
      </c>
      <c r="AI1236" s="0" t="s">
        <v>2751</v>
      </c>
      <c r="AJ1236" s="0" t="s">
        <v>2752</v>
      </c>
      <c r="AR1236" s="0" t="s">
        <v>8299</v>
      </c>
    </row>
    <row r="1237" customFormat="false" ht="15" hidden="false" customHeight="false" outlineLevel="0" collapsed="false">
      <c r="A1237" s="0" t="n">
        <v>1236</v>
      </c>
      <c r="B1237" s="0" t="s">
        <v>8300</v>
      </c>
      <c r="C1237" s="0" t="s">
        <v>88</v>
      </c>
      <c r="E1237" s="0" t="s">
        <v>8301</v>
      </c>
      <c r="H1237" s="0" t="s">
        <v>8302</v>
      </c>
      <c r="I1237" s="0" t="s">
        <v>154</v>
      </c>
      <c r="AA1237" s="0" t="s">
        <v>47</v>
      </c>
      <c r="AF1237" s="3" t="s">
        <v>48</v>
      </c>
      <c r="AG1237" s="3" t="s">
        <v>49</v>
      </c>
      <c r="AL1237" s="0" t="s">
        <v>8303</v>
      </c>
      <c r="AO1237" s="0" t="s">
        <v>8304</v>
      </c>
      <c r="AP1237" s="0" t="s">
        <v>8304</v>
      </c>
      <c r="AR1237" s="0" t="s">
        <v>8305</v>
      </c>
    </row>
    <row r="1238" customFormat="false" ht="15" hidden="false" customHeight="false" outlineLevel="0" collapsed="false">
      <c r="A1238" s="0" t="n">
        <v>1237</v>
      </c>
      <c r="B1238" s="0" t="s">
        <v>8306</v>
      </c>
      <c r="C1238" s="0" t="s">
        <v>312</v>
      </c>
      <c r="D1238" s="0" t="s">
        <v>8307</v>
      </c>
      <c r="E1238" s="0" t="s">
        <v>8308</v>
      </c>
      <c r="F1238" s="0" t="s">
        <v>44</v>
      </c>
      <c r="H1238" s="0" t="s">
        <v>8309</v>
      </c>
      <c r="I1238" s="0" t="s">
        <v>115</v>
      </c>
      <c r="J1238" s="3" t="s">
        <v>1808</v>
      </c>
      <c r="K1238" s="0" t="s">
        <v>8310</v>
      </c>
      <c r="M1238" s="0" t="n">
        <v>1980</v>
      </c>
      <c r="N1238" s="0" t="s">
        <v>1740</v>
      </c>
      <c r="O1238" s="3" t="s">
        <v>1624</v>
      </c>
      <c r="P1238" s="0" t="s">
        <v>55</v>
      </c>
      <c r="R1238" s="0" t="n">
        <v>3300</v>
      </c>
      <c r="S1238" s="0" t="n">
        <v>2024</v>
      </c>
      <c r="T1238" s="0" t="s">
        <v>72</v>
      </c>
      <c r="U1238" s="0" t="s">
        <v>115</v>
      </c>
      <c r="V1238" s="0" t="n">
        <v>1033</v>
      </c>
      <c r="W1238" s="0" t="s">
        <v>8311</v>
      </c>
      <c r="X1238" s="0" t="s">
        <v>764</v>
      </c>
      <c r="Y1238" s="0" t="s">
        <v>72</v>
      </c>
      <c r="Z1238" s="0" t="s">
        <v>115</v>
      </c>
      <c r="AA1238" s="0" t="s">
        <v>75</v>
      </c>
      <c r="AB1238" s="0" t="s">
        <v>8312</v>
      </c>
      <c r="AC1238" s="0" t="s">
        <v>8313</v>
      </c>
      <c r="AD1238" s="0" t="s">
        <v>8314</v>
      </c>
      <c r="AE1238" s="0" t="s">
        <v>115</v>
      </c>
      <c r="AF1238" s="3" t="s">
        <v>108</v>
      </c>
      <c r="AG1238" s="3" t="s">
        <v>404</v>
      </c>
      <c r="AH1238" s="0" t="n">
        <v>2026</v>
      </c>
      <c r="AI1238" s="0" t="s">
        <v>8315</v>
      </c>
      <c r="AJ1238" s="0" t="s">
        <v>8316</v>
      </c>
      <c r="AK1238" s="0" t="s">
        <v>8317</v>
      </c>
      <c r="AL1238" s="0" t="s">
        <v>8318</v>
      </c>
      <c r="AM1238" s="0" t="s">
        <v>8319</v>
      </c>
      <c r="AN1238" s="0" t="s">
        <v>8320</v>
      </c>
      <c r="AO1238" s="0" t="s">
        <v>8321</v>
      </c>
      <c r="AP1238" s="0" t="s">
        <v>8322</v>
      </c>
      <c r="AR1238" s="0" t="s">
        <v>8323</v>
      </c>
    </row>
    <row r="1239" customFormat="false" ht="15" hidden="false" customHeight="false" outlineLevel="0" collapsed="false">
      <c r="A1239" s="0" t="n">
        <v>1238</v>
      </c>
      <c r="B1239" s="0" t="s">
        <v>8324</v>
      </c>
      <c r="C1239" s="0" t="s">
        <v>61</v>
      </c>
      <c r="D1239" s="0" t="s">
        <v>8325</v>
      </c>
      <c r="E1239" s="0" t="s">
        <v>8326</v>
      </c>
      <c r="H1239" s="0" t="s">
        <v>2311</v>
      </c>
      <c r="I1239" s="0" t="s">
        <v>115</v>
      </c>
      <c r="J1239" s="3" t="s">
        <v>66</v>
      </c>
      <c r="K1239" s="0" t="s">
        <v>2312</v>
      </c>
      <c r="L1239" s="0" t="s">
        <v>2313</v>
      </c>
      <c r="M1239" s="0" t="n">
        <v>1955</v>
      </c>
      <c r="N1239" s="0" t="s">
        <v>986</v>
      </c>
      <c r="O1239" s="3" t="s">
        <v>54</v>
      </c>
      <c r="P1239" s="0" t="s">
        <v>55</v>
      </c>
      <c r="R1239" s="0" t="n">
        <v>2000</v>
      </c>
      <c r="S1239" s="0" t="n">
        <v>2024</v>
      </c>
      <c r="T1239" s="0" t="s">
        <v>698</v>
      </c>
      <c r="U1239" s="0" t="s">
        <v>115</v>
      </c>
      <c r="V1239" s="0" t="n">
        <v>400</v>
      </c>
      <c r="W1239" s="0" t="s">
        <v>2315</v>
      </c>
      <c r="X1239" s="0" t="s">
        <v>2316</v>
      </c>
      <c r="Y1239" s="0" t="s">
        <v>698</v>
      </c>
      <c r="Z1239" s="0" t="s">
        <v>115</v>
      </c>
      <c r="AA1239" s="0" t="s">
        <v>698</v>
      </c>
      <c r="AB1239" s="0" t="s">
        <v>2317</v>
      </c>
      <c r="AC1239" s="0" t="s">
        <v>2318</v>
      </c>
      <c r="AD1239" s="0" t="s">
        <v>2319</v>
      </c>
      <c r="AE1239" s="0" t="s">
        <v>115</v>
      </c>
      <c r="AF1239" s="3" t="s">
        <v>108</v>
      </c>
      <c r="AG1239" s="3" t="s">
        <v>404</v>
      </c>
      <c r="AH1239" s="0" t="n">
        <v>2026</v>
      </c>
      <c r="AI1239" s="0" t="s">
        <v>2320</v>
      </c>
      <c r="AJ1239" s="0" t="s">
        <v>2321</v>
      </c>
      <c r="AK1239" s="0" t="s">
        <v>2322</v>
      </c>
      <c r="AL1239" s="0" t="s">
        <v>2323</v>
      </c>
      <c r="AM1239" s="0" t="s">
        <v>2324</v>
      </c>
      <c r="AN1239" s="0" t="s">
        <v>2325</v>
      </c>
      <c r="AP1239" s="0" t="s">
        <v>2326</v>
      </c>
      <c r="AR1239" s="0" t="s">
        <v>8327</v>
      </c>
    </row>
    <row r="1240" customFormat="false" ht="15" hidden="false" customHeight="false" outlineLevel="0" collapsed="false">
      <c r="A1240" s="0" t="n">
        <v>1239</v>
      </c>
      <c r="B1240" s="0" t="s">
        <v>8328</v>
      </c>
      <c r="C1240" s="0" t="s">
        <v>88</v>
      </c>
      <c r="E1240" s="0" t="s">
        <v>8329</v>
      </c>
      <c r="H1240" s="0" t="s">
        <v>8330</v>
      </c>
      <c r="I1240" s="0" t="s">
        <v>94</v>
      </c>
      <c r="N1240" s="3" t="s">
        <v>202</v>
      </c>
      <c r="O1240" s="3" t="s">
        <v>202</v>
      </c>
      <c r="P1240" s="0" t="s">
        <v>96</v>
      </c>
      <c r="AA1240" s="0" t="s">
        <v>47</v>
      </c>
      <c r="AB1240" s="0" t="s">
        <v>8331</v>
      </c>
      <c r="AC1240" s="0" t="s">
        <v>8332</v>
      </c>
      <c r="AE1240" s="0" t="s">
        <v>79</v>
      </c>
      <c r="AF1240" s="3" t="s">
        <v>48</v>
      </c>
      <c r="AG1240" s="3" t="s">
        <v>49</v>
      </c>
      <c r="AP1240" s="0" t="s">
        <v>8333</v>
      </c>
      <c r="AR1240" s="0" t="s">
        <v>8334</v>
      </c>
    </row>
    <row r="1241" customFormat="false" ht="15" hidden="false" customHeight="false" outlineLevel="0" collapsed="false">
      <c r="A1241" s="0" t="n">
        <v>1240</v>
      </c>
      <c r="B1241" s="0" t="s">
        <v>8335</v>
      </c>
      <c r="C1241" s="0" t="s">
        <v>88</v>
      </c>
      <c r="E1241" s="0" t="s">
        <v>8336</v>
      </c>
      <c r="N1241" s="3" t="s">
        <v>95</v>
      </c>
      <c r="O1241" s="3" t="s">
        <v>95</v>
      </c>
      <c r="P1241" s="0" t="s">
        <v>96</v>
      </c>
      <c r="AA1241" s="0" t="s">
        <v>47</v>
      </c>
      <c r="AB1241" s="0" t="s">
        <v>8337</v>
      </c>
      <c r="AC1241" s="0" t="s">
        <v>8338</v>
      </c>
      <c r="AD1241" s="0" t="s">
        <v>8339</v>
      </c>
      <c r="AE1241" s="0" t="s">
        <v>79</v>
      </c>
      <c r="AF1241" s="3" t="s">
        <v>48</v>
      </c>
      <c r="AG1241" s="3" t="s">
        <v>49</v>
      </c>
      <c r="AR1241" s="0" t="s">
        <v>8336</v>
      </c>
    </row>
    <row r="1242" customFormat="false" ht="15" hidden="false" customHeight="false" outlineLevel="0" collapsed="false">
      <c r="A1242" s="0" t="n">
        <v>1241</v>
      </c>
      <c r="B1242" s="0" t="s">
        <v>8340</v>
      </c>
      <c r="C1242" s="0" t="s">
        <v>88</v>
      </c>
      <c r="E1242" s="0" t="s">
        <v>8341</v>
      </c>
      <c r="H1242" s="0" t="s">
        <v>8342</v>
      </c>
      <c r="I1242" s="0" t="s">
        <v>154</v>
      </c>
      <c r="AA1242" s="0" t="s">
        <v>47</v>
      </c>
      <c r="AF1242" s="3" t="s">
        <v>48</v>
      </c>
      <c r="AG1242" s="3" t="s">
        <v>49</v>
      </c>
      <c r="AL1242" s="0" t="s">
        <v>8343</v>
      </c>
      <c r="AO1242" s="0" t="s">
        <v>8344</v>
      </c>
      <c r="AP1242" s="0" t="s">
        <v>8344</v>
      </c>
      <c r="AR1242" s="0" t="s">
        <v>8345</v>
      </c>
    </row>
    <row r="1243" customFormat="false" ht="15" hidden="false" customHeight="false" outlineLevel="0" collapsed="false">
      <c r="A1243" s="0" t="n">
        <v>1242</v>
      </c>
      <c r="B1243" s="0" t="s">
        <v>8346</v>
      </c>
      <c r="C1243" s="0" t="s">
        <v>88</v>
      </c>
      <c r="E1243" s="0" t="s">
        <v>8347</v>
      </c>
      <c r="H1243" s="0" t="s">
        <v>8348</v>
      </c>
      <c r="I1243" s="0" t="s">
        <v>154</v>
      </c>
      <c r="AA1243" s="0" t="s">
        <v>47</v>
      </c>
      <c r="AF1243" s="3" t="s">
        <v>48</v>
      </c>
      <c r="AG1243" s="3" t="s">
        <v>49</v>
      </c>
      <c r="AL1243" s="0" t="s">
        <v>8349</v>
      </c>
      <c r="AO1243" s="0" t="s">
        <v>8350</v>
      </c>
      <c r="AP1243" s="0" t="s">
        <v>8350</v>
      </c>
      <c r="AR1243" s="0" t="s">
        <v>8351</v>
      </c>
    </row>
    <row r="1244" customFormat="false" ht="15" hidden="false" customHeight="false" outlineLevel="0" collapsed="false">
      <c r="A1244" s="0" t="n">
        <v>1243</v>
      </c>
      <c r="B1244" s="0" t="s">
        <v>8352</v>
      </c>
      <c r="C1244" s="0" t="s">
        <v>88</v>
      </c>
      <c r="E1244" s="0" t="s">
        <v>8353</v>
      </c>
      <c r="N1244" s="3" t="s">
        <v>202</v>
      </c>
      <c r="O1244" s="3" t="s">
        <v>202</v>
      </c>
      <c r="P1244" s="0" t="s">
        <v>96</v>
      </c>
      <c r="AA1244" s="0" t="s">
        <v>47</v>
      </c>
      <c r="AB1244" s="0" t="s">
        <v>8354</v>
      </c>
      <c r="AC1244" s="0" t="s">
        <v>8355</v>
      </c>
      <c r="AD1244" s="0" t="s">
        <v>8356</v>
      </c>
      <c r="AE1244" s="0" t="s">
        <v>79</v>
      </c>
      <c r="AF1244" s="3" t="s">
        <v>48</v>
      </c>
      <c r="AG1244" s="3" t="s">
        <v>49</v>
      </c>
      <c r="AR1244" s="0" t="s">
        <v>8353</v>
      </c>
    </row>
    <row r="1245" customFormat="false" ht="15" hidden="false" customHeight="false" outlineLevel="0" collapsed="false">
      <c r="A1245" s="0" t="n">
        <v>1244</v>
      </c>
      <c r="B1245" s="0" t="s">
        <v>8357</v>
      </c>
      <c r="C1245" s="0" t="s">
        <v>244</v>
      </c>
      <c r="E1245" s="0" t="s">
        <v>8358</v>
      </c>
      <c r="F1245" s="0" t="s">
        <v>44</v>
      </c>
      <c r="H1245" s="0" t="s">
        <v>8359</v>
      </c>
      <c r="I1245" s="0" t="s">
        <v>94</v>
      </c>
      <c r="N1245" s="3" t="s">
        <v>1298</v>
      </c>
      <c r="O1245" s="3" t="s">
        <v>1298</v>
      </c>
      <c r="P1245" s="0" t="s">
        <v>96</v>
      </c>
      <c r="AA1245" s="0" t="s">
        <v>47</v>
      </c>
      <c r="AB1245" s="0" t="s">
        <v>8360</v>
      </c>
      <c r="AC1245" s="0" t="s">
        <v>8361</v>
      </c>
      <c r="AD1245" s="0" t="s">
        <v>8362</v>
      </c>
      <c r="AE1245" s="0" t="s">
        <v>79</v>
      </c>
      <c r="AF1245" s="3" t="s">
        <v>149</v>
      </c>
      <c r="AG1245" s="3" t="s">
        <v>81</v>
      </c>
      <c r="AK1245" s="0" t="s">
        <v>8363</v>
      </c>
      <c r="AL1245" s="0" t="s">
        <v>8364</v>
      </c>
      <c r="AM1245" s="0" t="s">
        <v>8365</v>
      </c>
      <c r="AO1245" s="0" t="s">
        <v>8366</v>
      </c>
      <c r="AP1245" s="0" t="s">
        <v>8366</v>
      </c>
      <c r="AR1245" s="0" t="s">
        <v>8367</v>
      </c>
    </row>
    <row r="1246" customFormat="false" ht="15" hidden="false" customHeight="false" outlineLevel="0" collapsed="false">
      <c r="A1246" s="0" t="n">
        <v>1245</v>
      </c>
      <c r="B1246" s="0" t="s">
        <v>8368</v>
      </c>
      <c r="C1246" s="0" t="s">
        <v>61</v>
      </c>
      <c r="D1246" s="0" t="s">
        <v>8369</v>
      </c>
      <c r="E1246" s="0" t="s">
        <v>8370</v>
      </c>
      <c r="H1246" s="0" t="s">
        <v>8371</v>
      </c>
      <c r="I1246" s="0" t="s">
        <v>154</v>
      </c>
      <c r="N1246" s="0" t="s">
        <v>738</v>
      </c>
      <c r="O1246" s="0" t="s">
        <v>738</v>
      </c>
      <c r="P1246" s="0" t="s">
        <v>55</v>
      </c>
      <c r="AA1246" s="0" t="s">
        <v>47</v>
      </c>
      <c r="AB1246" s="0" t="s">
        <v>8372</v>
      </c>
      <c r="AC1246" s="0" t="s">
        <v>8373</v>
      </c>
      <c r="AD1246" s="0" t="s">
        <v>8374</v>
      </c>
      <c r="AE1246" s="0" t="s">
        <v>79</v>
      </c>
      <c r="AF1246" s="3" t="s">
        <v>149</v>
      </c>
      <c r="AG1246" s="3" t="s">
        <v>81</v>
      </c>
      <c r="AK1246" s="0" t="s">
        <v>8375</v>
      </c>
      <c r="AL1246" s="0" t="s">
        <v>8376</v>
      </c>
      <c r="AM1246" s="0" t="s">
        <v>8377</v>
      </c>
      <c r="AO1246" s="0" t="s">
        <v>8378</v>
      </c>
      <c r="AP1246" s="0" t="s">
        <v>8378</v>
      </c>
      <c r="AR1246" s="0" t="s">
        <v>8379</v>
      </c>
    </row>
    <row r="1247" customFormat="false" ht="15" hidden="false" customHeight="false" outlineLevel="0" collapsed="false">
      <c r="A1247" s="0" t="n">
        <v>1246</v>
      </c>
      <c r="B1247" s="0" t="s">
        <v>8380</v>
      </c>
      <c r="C1247" s="0" t="s">
        <v>88</v>
      </c>
      <c r="E1247" s="0" t="s">
        <v>8381</v>
      </c>
      <c r="H1247" s="0" t="s">
        <v>8382</v>
      </c>
      <c r="I1247" s="0" t="s">
        <v>46</v>
      </c>
      <c r="N1247" s="3" t="s">
        <v>213</v>
      </c>
      <c r="O1247" s="3" t="s">
        <v>213</v>
      </c>
      <c r="P1247" s="0" t="s">
        <v>96</v>
      </c>
      <c r="AA1247" s="0" t="s">
        <v>47</v>
      </c>
      <c r="AB1247" s="0" t="s">
        <v>8383</v>
      </c>
      <c r="AC1247" s="0" t="s">
        <v>8384</v>
      </c>
      <c r="AD1247" s="0" t="s">
        <v>8385</v>
      </c>
      <c r="AE1247" s="0" t="s">
        <v>79</v>
      </c>
      <c r="AF1247" s="3" t="s">
        <v>48</v>
      </c>
      <c r="AG1247" s="3" t="s">
        <v>49</v>
      </c>
      <c r="AR1247" s="0" t="s">
        <v>8381</v>
      </c>
    </row>
    <row r="1248" customFormat="false" ht="15" hidden="false" customHeight="false" outlineLevel="0" collapsed="false">
      <c r="A1248" s="0" t="n">
        <v>1247</v>
      </c>
      <c r="B1248" s="0" t="s">
        <v>8386</v>
      </c>
      <c r="C1248" s="0" t="s">
        <v>88</v>
      </c>
      <c r="E1248" s="0" t="s">
        <v>8387</v>
      </c>
      <c r="H1248" s="0" t="s">
        <v>8388</v>
      </c>
      <c r="I1248" s="0" t="s">
        <v>154</v>
      </c>
      <c r="N1248" s="3" t="s">
        <v>226</v>
      </c>
      <c r="O1248" s="3" t="s">
        <v>226</v>
      </c>
      <c r="P1248" s="0" t="s">
        <v>96</v>
      </c>
      <c r="AA1248" s="0" t="s">
        <v>47</v>
      </c>
      <c r="AB1248" s="0" t="s">
        <v>8389</v>
      </c>
      <c r="AC1248" s="0" t="s">
        <v>8390</v>
      </c>
      <c r="AD1248" s="0" t="s">
        <v>8391</v>
      </c>
      <c r="AE1248" s="0" t="s">
        <v>79</v>
      </c>
      <c r="AF1248" s="3" t="s">
        <v>48</v>
      </c>
      <c r="AG1248" s="3" t="s">
        <v>49</v>
      </c>
      <c r="AP1248" s="0" t="s">
        <v>8392</v>
      </c>
      <c r="AR1248" s="0" t="s">
        <v>8393</v>
      </c>
    </row>
    <row r="1249" customFormat="false" ht="15" hidden="false" customHeight="false" outlineLevel="0" collapsed="false">
      <c r="A1249" s="0" t="n">
        <v>1248</v>
      </c>
      <c r="B1249" s="0" t="s">
        <v>8394</v>
      </c>
      <c r="C1249" s="0" t="s">
        <v>52</v>
      </c>
      <c r="D1249" s="0" t="s">
        <v>8395</v>
      </c>
      <c r="H1249" s="0" t="s">
        <v>8396</v>
      </c>
      <c r="I1249" s="0" t="s">
        <v>46</v>
      </c>
      <c r="N1249" s="0" t="s">
        <v>8397</v>
      </c>
      <c r="O1249" s="0" t="s">
        <v>8397</v>
      </c>
      <c r="P1249" s="0" t="s">
        <v>55</v>
      </c>
      <c r="AA1249" s="0" t="s">
        <v>47</v>
      </c>
      <c r="AB1249" s="0" t="s">
        <v>8398</v>
      </c>
      <c r="AC1249" s="0" t="s">
        <v>8399</v>
      </c>
      <c r="AD1249" s="0" t="s">
        <v>8400</v>
      </c>
      <c r="AE1249" s="0" t="s">
        <v>59</v>
      </c>
      <c r="AF1249" s="3" t="s">
        <v>108</v>
      </c>
      <c r="AG1249" s="3" t="s">
        <v>49</v>
      </c>
      <c r="AH1249" s="0" t="n">
        <v>2026</v>
      </c>
      <c r="AI1249" s="0" t="s">
        <v>8401</v>
      </c>
      <c r="AJ1249" s="0" t="s">
        <v>8402</v>
      </c>
      <c r="AR1249" s="0" t="s">
        <v>8403</v>
      </c>
    </row>
    <row r="1250" customFormat="false" ht="15" hidden="false" customHeight="false" outlineLevel="0" collapsed="false">
      <c r="A1250" s="0" t="n">
        <v>1249</v>
      </c>
      <c r="B1250" s="0" t="s">
        <v>8404</v>
      </c>
      <c r="C1250" s="0" t="s">
        <v>88</v>
      </c>
      <c r="E1250" s="0" t="s">
        <v>8405</v>
      </c>
      <c r="N1250" s="3" t="s">
        <v>95</v>
      </c>
      <c r="O1250" s="3" t="s">
        <v>95</v>
      </c>
      <c r="P1250" s="0" t="s">
        <v>96</v>
      </c>
      <c r="AA1250" s="0" t="s">
        <v>47</v>
      </c>
      <c r="AB1250" s="0" t="s">
        <v>8406</v>
      </c>
      <c r="AC1250" s="0" t="s">
        <v>8407</v>
      </c>
      <c r="AD1250" s="0" t="s">
        <v>8408</v>
      </c>
      <c r="AE1250" s="0" t="s">
        <v>79</v>
      </c>
      <c r="AF1250" s="3" t="s">
        <v>48</v>
      </c>
      <c r="AG1250" s="3" t="s">
        <v>49</v>
      </c>
      <c r="AR1250" s="0" t="s">
        <v>8405</v>
      </c>
    </row>
    <row r="1251" customFormat="false" ht="15" hidden="false" customHeight="false" outlineLevel="0" collapsed="false">
      <c r="A1251" s="0" t="n">
        <v>1250</v>
      </c>
      <c r="B1251" s="0" t="s">
        <v>8409</v>
      </c>
      <c r="C1251" s="0" t="s">
        <v>52</v>
      </c>
      <c r="D1251" s="0" t="s">
        <v>8410</v>
      </c>
      <c r="H1251" s="0" t="s">
        <v>8411</v>
      </c>
      <c r="I1251" s="0" t="s">
        <v>94</v>
      </c>
      <c r="N1251" s="3" t="s">
        <v>136</v>
      </c>
      <c r="O1251" s="3" t="s">
        <v>136</v>
      </c>
      <c r="P1251" s="0" t="s">
        <v>55</v>
      </c>
      <c r="AA1251" s="0" t="s">
        <v>47</v>
      </c>
      <c r="AB1251" s="0" t="s">
        <v>8412</v>
      </c>
      <c r="AC1251" s="0" t="s">
        <v>8413</v>
      </c>
      <c r="AD1251" s="0" t="s">
        <v>8414</v>
      </c>
      <c r="AE1251" s="0" t="s">
        <v>59</v>
      </c>
      <c r="AF1251" s="3" t="s">
        <v>48</v>
      </c>
      <c r="AG1251" s="3" t="s">
        <v>49</v>
      </c>
      <c r="AR1251" s="0" t="s">
        <v>8410</v>
      </c>
    </row>
    <row r="1252" customFormat="false" ht="15" hidden="false" customHeight="false" outlineLevel="0" collapsed="false">
      <c r="A1252" s="0" t="n">
        <v>1251</v>
      </c>
      <c r="B1252" s="0" t="s">
        <v>8415</v>
      </c>
      <c r="C1252" s="0" t="s">
        <v>88</v>
      </c>
      <c r="E1252" s="0" t="s">
        <v>8416</v>
      </c>
      <c r="AA1252" s="0" t="s">
        <v>47</v>
      </c>
      <c r="AF1252" s="3" t="s">
        <v>48</v>
      </c>
      <c r="AG1252" s="3" t="s">
        <v>49</v>
      </c>
      <c r="AR1252" s="0" t="s">
        <v>8416</v>
      </c>
    </row>
    <row r="1253" customFormat="false" ht="15" hidden="false" customHeight="false" outlineLevel="0" collapsed="false">
      <c r="A1253" s="0" t="n">
        <v>1252</v>
      </c>
      <c r="B1253" s="0" t="s">
        <v>8417</v>
      </c>
      <c r="C1253" s="0" t="s">
        <v>88</v>
      </c>
      <c r="E1253" s="0" t="s">
        <v>8418</v>
      </c>
      <c r="N1253" s="3" t="s">
        <v>226</v>
      </c>
      <c r="O1253" s="3" t="s">
        <v>226</v>
      </c>
      <c r="P1253" s="0" t="s">
        <v>96</v>
      </c>
      <c r="AA1253" s="0" t="s">
        <v>47</v>
      </c>
      <c r="AB1253" s="0" t="s">
        <v>8419</v>
      </c>
      <c r="AC1253" s="0" t="s">
        <v>8420</v>
      </c>
      <c r="AD1253" s="0" t="s">
        <v>8421</v>
      </c>
      <c r="AE1253" s="0" t="s">
        <v>79</v>
      </c>
      <c r="AF1253" s="3" t="s">
        <v>48</v>
      </c>
      <c r="AG1253" s="3" t="s">
        <v>49</v>
      </c>
      <c r="AR1253" s="0" t="s">
        <v>8418</v>
      </c>
    </row>
    <row r="1254" customFormat="false" ht="15" hidden="false" customHeight="false" outlineLevel="0" collapsed="false">
      <c r="A1254" s="0" t="n">
        <v>1253</v>
      </c>
      <c r="B1254" s="0" t="s">
        <v>8422</v>
      </c>
      <c r="C1254" s="0" t="s">
        <v>88</v>
      </c>
      <c r="E1254" s="0" t="s">
        <v>8423</v>
      </c>
      <c r="H1254" s="0" t="s">
        <v>8424</v>
      </c>
      <c r="I1254" s="0" t="s">
        <v>46</v>
      </c>
      <c r="AA1254" s="0" t="s">
        <v>47</v>
      </c>
      <c r="AF1254" s="3" t="s">
        <v>48</v>
      </c>
      <c r="AG1254" s="3" t="s">
        <v>49</v>
      </c>
      <c r="AR1254" s="0" t="s">
        <v>8423</v>
      </c>
    </row>
    <row r="1255" customFormat="false" ht="15" hidden="false" customHeight="false" outlineLevel="0" collapsed="false">
      <c r="A1255" s="0" t="n">
        <v>1254</v>
      </c>
      <c r="B1255" s="0" t="s">
        <v>8425</v>
      </c>
      <c r="C1255" s="0" t="s">
        <v>88</v>
      </c>
      <c r="E1255" s="0" t="s">
        <v>8426</v>
      </c>
      <c r="H1255" s="0" t="s">
        <v>8427</v>
      </c>
      <c r="I1255" s="0" t="s">
        <v>94</v>
      </c>
      <c r="N1255" s="3" t="s">
        <v>119</v>
      </c>
      <c r="O1255" s="3" t="s">
        <v>119</v>
      </c>
      <c r="P1255" s="0" t="s">
        <v>96</v>
      </c>
      <c r="AA1255" s="0" t="s">
        <v>47</v>
      </c>
      <c r="AB1255" s="0" t="s">
        <v>8428</v>
      </c>
      <c r="AC1255" s="0" t="s">
        <v>8429</v>
      </c>
      <c r="AD1255" s="0" t="s">
        <v>8430</v>
      </c>
      <c r="AE1255" s="0" t="s">
        <v>79</v>
      </c>
      <c r="AF1255" s="3" t="s">
        <v>48</v>
      </c>
      <c r="AG1255" s="3" t="s">
        <v>49</v>
      </c>
      <c r="AL1255" s="0" t="s">
        <v>8431</v>
      </c>
      <c r="AM1255" s="0" t="s">
        <v>8432</v>
      </c>
      <c r="AO1255" s="0" t="s">
        <v>8433</v>
      </c>
      <c r="AP1255" s="0" t="s">
        <v>8433</v>
      </c>
      <c r="AR1255" s="0" t="s">
        <v>8434</v>
      </c>
    </row>
    <row r="1256" customFormat="false" ht="15" hidden="false" customHeight="false" outlineLevel="0" collapsed="false">
      <c r="A1256" s="0" t="n">
        <v>1255</v>
      </c>
      <c r="B1256" s="0" t="s">
        <v>8435</v>
      </c>
      <c r="C1256" s="0" t="s">
        <v>61</v>
      </c>
      <c r="D1256" s="0" t="s">
        <v>8436</v>
      </c>
      <c r="E1256" s="0" t="s">
        <v>8437</v>
      </c>
      <c r="H1256" s="0" t="s">
        <v>6089</v>
      </c>
      <c r="I1256" s="0" t="s">
        <v>115</v>
      </c>
      <c r="J1256" s="3" t="s">
        <v>66</v>
      </c>
      <c r="K1256" s="0" t="s">
        <v>6090</v>
      </c>
      <c r="M1256" s="0" t="n">
        <v>1956</v>
      </c>
      <c r="N1256" s="0" t="s">
        <v>398</v>
      </c>
      <c r="O1256" s="3" t="s">
        <v>54</v>
      </c>
      <c r="P1256" s="0" t="s">
        <v>55</v>
      </c>
      <c r="R1256" s="0" t="n">
        <v>125000</v>
      </c>
      <c r="S1256" s="0" t="n">
        <v>2025</v>
      </c>
      <c r="T1256" s="0" t="s">
        <v>72</v>
      </c>
      <c r="U1256" s="0" t="s">
        <v>115</v>
      </c>
      <c r="V1256" s="0" t="n">
        <v>44560</v>
      </c>
      <c r="W1256" s="0" t="s">
        <v>6091</v>
      </c>
      <c r="X1256" s="0" t="s">
        <v>764</v>
      </c>
      <c r="Y1256" s="0" t="s">
        <v>72</v>
      </c>
      <c r="Z1256" s="0" t="s">
        <v>115</v>
      </c>
      <c r="AA1256" s="0" t="s">
        <v>75</v>
      </c>
      <c r="AB1256" s="0" t="s">
        <v>6092</v>
      </c>
      <c r="AC1256" s="0" t="s">
        <v>6093</v>
      </c>
      <c r="AD1256" s="0" t="s">
        <v>6094</v>
      </c>
      <c r="AE1256" s="0" t="s">
        <v>115</v>
      </c>
      <c r="AF1256" s="3" t="s">
        <v>80</v>
      </c>
      <c r="AG1256" s="3" t="s">
        <v>404</v>
      </c>
      <c r="AH1256" s="0" t="n">
        <v>2026</v>
      </c>
      <c r="AI1256" s="0" t="s">
        <v>8438</v>
      </c>
      <c r="AJ1256" s="0" t="s">
        <v>8439</v>
      </c>
      <c r="AK1256" s="0" t="s">
        <v>6097</v>
      </c>
      <c r="AL1256" s="0" t="s">
        <v>6098</v>
      </c>
      <c r="AN1256" s="0" t="s">
        <v>6090</v>
      </c>
      <c r="AO1256" s="0" t="s">
        <v>6099</v>
      </c>
      <c r="AP1256" s="0" t="s">
        <v>6100</v>
      </c>
      <c r="AR1256" s="0" t="s">
        <v>8440</v>
      </c>
    </row>
    <row r="1257" customFormat="false" ht="15" hidden="false" customHeight="false" outlineLevel="0" collapsed="false">
      <c r="A1257" s="0" t="n">
        <v>1256</v>
      </c>
      <c r="B1257" s="0" t="s">
        <v>8441</v>
      </c>
      <c r="C1257" s="0" t="s">
        <v>88</v>
      </c>
      <c r="E1257" s="0" t="s">
        <v>8442</v>
      </c>
      <c r="N1257" s="3" t="s">
        <v>202</v>
      </c>
      <c r="O1257" s="3" t="s">
        <v>202</v>
      </c>
      <c r="P1257" s="0" t="s">
        <v>96</v>
      </c>
      <c r="AA1257" s="0" t="s">
        <v>47</v>
      </c>
      <c r="AB1257" s="0" t="s">
        <v>8443</v>
      </c>
      <c r="AC1257" s="0" t="s">
        <v>8444</v>
      </c>
      <c r="AD1257" s="0" t="s">
        <v>8445</v>
      </c>
      <c r="AE1257" s="0" t="s">
        <v>79</v>
      </c>
      <c r="AF1257" s="3" t="s">
        <v>48</v>
      </c>
      <c r="AG1257" s="3" t="s">
        <v>49</v>
      </c>
      <c r="AR1257" s="0" t="s">
        <v>8442</v>
      </c>
    </row>
    <row r="1258" customFormat="false" ht="15" hidden="false" customHeight="false" outlineLevel="0" collapsed="false">
      <c r="A1258" s="0" t="n">
        <v>1257</v>
      </c>
      <c r="B1258" s="0" t="s">
        <v>8446</v>
      </c>
      <c r="C1258" s="0" t="s">
        <v>88</v>
      </c>
      <c r="E1258" s="0" t="s">
        <v>8447</v>
      </c>
      <c r="AA1258" s="0" t="s">
        <v>47</v>
      </c>
      <c r="AB1258" s="0" t="s">
        <v>8448</v>
      </c>
      <c r="AC1258" s="0" t="s">
        <v>8449</v>
      </c>
      <c r="AD1258" s="0" t="s">
        <v>8450</v>
      </c>
      <c r="AE1258" s="0" t="s">
        <v>79</v>
      </c>
      <c r="AF1258" s="3" t="s">
        <v>48</v>
      </c>
      <c r="AG1258" s="3" t="s">
        <v>49</v>
      </c>
      <c r="AR1258" s="0" t="s">
        <v>8447</v>
      </c>
    </row>
    <row r="1259" customFormat="false" ht="15" hidden="false" customHeight="false" outlineLevel="0" collapsed="false">
      <c r="A1259" s="0" t="n">
        <v>1258</v>
      </c>
      <c r="B1259" s="0" t="s">
        <v>8451</v>
      </c>
      <c r="C1259" s="0" t="s">
        <v>88</v>
      </c>
      <c r="E1259" s="0" t="s">
        <v>8452</v>
      </c>
      <c r="N1259" s="3" t="s">
        <v>202</v>
      </c>
      <c r="O1259" s="3" t="s">
        <v>202</v>
      </c>
      <c r="P1259" s="0" t="s">
        <v>96</v>
      </c>
      <c r="AA1259" s="0" t="s">
        <v>47</v>
      </c>
      <c r="AB1259" s="0" t="s">
        <v>8453</v>
      </c>
      <c r="AC1259" s="0" t="s">
        <v>8454</v>
      </c>
      <c r="AD1259" s="0" t="s">
        <v>8455</v>
      </c>
      <c r="AE1259" s="0" t="s">
        <v>79</v>
      </c>
      <c r="AF1259" s="3" t="s">
        <v>48</v>
      </c>
      <c r="AG1259" s="3" t="s">
        <v>49</v>
      </c>
      <c r="AR1259" s="0" t="s">
        <v>8452</v>
      </c>
    </row>
    <row r="1260" customFormat="false" ht="15" hidden="false" customHeight="false" outlineLevel="0" collapsed="false">
      <c r="A1260" s="0" t="n">
        <v>1259</v>
      </c>
      <c r="B1260" s="0" t="s">
        <v>8456</v>
      </c>
      <c r="C1260" s="0" t="s">
        <v>88</v>
      </c>
      <c r="E1260" s="0" t="s">
        <v>8457</v>
      </c>
      <c r="H1260" s="0" t="s">
        <v>6089</v>
      </c>
      <c r="I1260" s="0" t="s">
        <v>115</v>
      </c>
      <c r="J1260" s="3" t="s">
        <v>66</v>
      </c>
      <c r="K1260" s="0" t="s">
        <v>6090</v>
      </c>
      <c r="M1260" s="0" t="n">
        <v>1956</v>
      </c>
      <c r="N1260" s="0" t="s">
        <v>398</v>
      </c>
      <c r="O1260" s="3" t="s">
        <v>202</v>
      </c>
      <c r="P1260" s="0" t="s">
        <v>96</v>
      </c>
      <c r="R1260" s="0" t="n">
        <v>125000</v>
      </c>
      <c r="S1260" s="0" t="n">
        <v>2025</v>
      </c>
      <c r="T1260" s="0" t="s">
        <v>72</v>
      </c>
      <c r="U1260" s="0" t="s">
        <v>115</v>
      </c>
      <c r="V1260" s="0" t="n">
        <v>44560</v>
      </c>
      <c r="W1260" s="0" t="s">
        <v>6091</v>
      </c>
      <c r="X1260" s="0" t="s">
        <v>764</v>
      </c>
      <c r="Y1260" s="0" t="s">
        <v>72</v>
      </c>
      <c r="Z1260" s="0" t="s">
        <v>115</v>
      </c>
      <c r="AA1260" s="0" t="s">
        <v>75</v>
      </c>
      <c r="AB1260" s="0" t="s">
        <v>6092</v>
      </c>
      <c r="AC1260" s="0" t="s">
        <v>6093</v>
      </c>
      <c r="AD1260" s="0" t="s">
        <v>6094</v>
      </c>
      <c r="AE1260" s="0" t="s">
        <v>115</v>
      </c>
      <c r="AF1260" s="3" t="s">
        <v>80</v>
      </c>
      <c r="AG1260" s="3" t="s">
        <v>404</v>
      </c>
      <c r="AH1260" s="0" t="n">
        <v>2026</v>
      </c>
      <c r="AI1260" s="0" t="s">
        <v>6095</v>
      </c>
      <c r="AJ1260" s="0" t="s">
        <v>6096</v>
      </c>
      <c r="AK1260" s="0" t="s">
        <v>6097</v>
      </c>
      <c r="AL1260" s="0" t="s">
        <v>6098</v>
      </c>
      <c r="AN1260" s="0" t="s">
        <v>6090</v>
      </c>
      <c r="AO1260" s="0" t="s">
        <v>6099</v>
      </c>
      <c r="AP1260" s="0" t="s">
        <v>6100</v>
      </c>
      <c r="AR1260" s="0" t="s">
        <v>8458</v>
      </c>
    </row>
    <row r="1261" customFormat="false" ht="15" hidden="false" customHeight="false" outlineLevel="0" collapsed="false">
      <c r="A1261" s="0" t="n">
        <v>1260</v>
      </c>
      <c r="B1261" s="0" t="s">
        <v>8459</v>
      </c>
      <c r="C1261" s="0" t="s">
        <v>88</v>
      </c>
      <c r="E1261" s="0" t="s">
        <v>8460</v>
      </c>
      <c r="N1261" s="3" t="s">
        <v>202</v>
      </c>
      <c r="O1261" s="3" t="s">
        <v>202</v>
      </c>
      <c r="P1261" s="0" t="s">
        <v>96</v>
      </c>
      <c r="AA1261" s="0" t="s">
        <v>47</v>
      </c>
      <c r="AB1261" s="0" t="s">
        <v>8461</v>
      </c>
      <c r="AC1261" s="0" t="s">
        <v>8462</v>
      </c>
      <c r="AD1261" s="0" t="s">
        <v>8463</v>
      </c>
      <c r="AE1261" s="0" t="s">
        <v>79</v>
      </c>
      <c r="AF1261" s="3" t="s">
        <v>48</v>
      </c>
      <c r="AG1261" s="3" t="s">
        <v>49</v>
      </c>
      <c r="AR1261" s="0" t="s">
        <v>8460</v>
      </c>
    </row>
    <row r="1262" customFormat="false" ht="15" hidden="false" customHeight="false" outlineLevel="0" collapsed="false">
      <c r="A1262" s="0" t="n">
        <v>1261</v>
      </c>
      <c r="B1262" s="0" t="s">
        <v>8464</v>
      </c>
      <c r="C1262" s="0" t="s">
        <v>88</v>
      </c>
      <c r="E1262" s="0" t="s">
        <v>8465</v>
      </c>
      <c r="H1262" s="0" t="s">
        <v>6089</v>
      </c>
      <c r="I1262" s="0" t="s">
        <v>115</v>
      </c>
      <c r="J1262" s="3" t="s">
        <v>66</v>
      </c>
      <c r="K1262" s="0" t="s">
        <v>6090</v>
      </c>
      <c r="M1262" s="0" t="n">
        <v>1956</v>
      </c>
      <c r="N1262" s="0" t="s">
        <v>398</v>
      </c>
      <c r="O1262" s="3" t="s">
        <v>202</v>
      </c>
      <c r="P1262" s="0" t="s">
        <v>96</v>
      </c>
      <c r="R1262" s="0" t="n">
        <v>125000</v>
      </c>
      <c r="S1262" s="0" t="n">
        <v>2025</v>
      </c>
      <c r="T1262" s="0" t="s">
        <v>72</v>
      </c>
      <c r="U1262" s="0" t="s">
        <v>115</v>
      </c>
      <c r="V1262" s="0" t="n">
        <v>44560</v>
      </c>
      <c r="W1262" s="0" t="s">
        <v>6091</v>
      </c>
      <c r="X1262" s="0" t="s">
        <v>764</v>
      </c>
      <c r="Y1262" s="0" t="s">
        <v>72</v>
      </c>
      <c r="Z1262" s="0" t="s">
        <v>115</v>
      </c>
      <c r="AA1262" s="0" t="s">
        <v>75</v>
      </c>
      <c r="AB1262" s="0" t="s">
        <v>6092</v>
      </c>
      <c r="AC1262" s="0" t="s">
        <v>6093</v>
      </c>
      <c r="AD1262" s="0" t="s">
        <v>6094</v>
      </c>
      <c r="AE1262" s="0" t="s">
        <v>115</v>
      </c>
      <c r="AF1262" s="3" t="s">
        <v>80</v>
      </c>
      <c r="AG1262" s="3" t="s">
        <v>404</v>
      </c>
      <c r="AH1262" s="0" t="n">
        <v>2026</v>
      </c>
      <c r="AI1262" s="0" t="s">
        <v>6095</v>
      </c>
      <c r="AJ1262" s="0" t="s">
        <v>6096</v>
      </c>
      <c r="AK1262" s="0" t="s">
        <v>6097</v>
      </c>
      <c r="AL1262" s="0" t="s">
        <v>6098</v>
      </c>
      <c r="AN1262" s="0" t="s">
        <v>6090</v>
      </c>
      <c r="AO1262" s="0" t="s">
        <v>6099</v>
      </c>
      <c r="AP1262" s="0" t="s">
        <v>6100</v>
      </c>
      <c r="AR1262" s="0" t="s">
        <v>8466</v>
      </c>
    </row>
    <row r="1263" customFormat="false" ht="15" hidden="false" customHeight="false" outlineLevel="0" collapsed="false">
      <c r="A1263" s="0" t="n">
        <v>1262</v>
      </c>
      <c r="B1263" s="0" t="s">
        <v>8467</v>
      </c>
      <c r="C1263" s="0" t="s">
        <v>88</v>
      </c>
      <c r="E1263" s="0" t="s">
        <v>8468</v>
      </c>
      <c r="N1263" s="3" t="s">
        <v>202</v>
      </c>
      <c r="O1263" s="3" t="s">
        <v>202</v>
      </c>
      <c r="P1263" s="0" t="s">
        <v>96</v>
      </c>
      <c r="AA1263" s="0" t="s">
        <v>47</v>
      </c>
      <c r="AB1263" s="0" t="s">
        <v>8469</v>
      </c>
      <c r="AC1263" s="0" t="s">
        <v>8470</v>
      </c>
      <c r="AD1263" s="0" t="s">
        <v>8471</v>
      </c>
      <c r="AE1263" s="0" t="s">
        <v>79</v>
      </c>
      <c r="AF1263" s="3" t="s">
        <v>48</v>
      </c>
      <c r="AG1263" s="3" t="s">
        <v>49</v>
      </c>
      <c r="AR1263" s="0" t="s">
        <v>8468</v>
      </c>
    </row>
    <row r="1264" customFormat="false" ht="15" hidden="false" customHeight="false" outlineLevel="0" collapsed="false">
      <c r="A1264" s="0" t="n">
        <v>1263</v>
      </c>
      <c r="B1264" s="0" t="s">
        <v>8472</v>
      </c>
      <c r="C1264" s="0" t="s">
        <v>88</v>
      </c>
      <c r="E1264" s="0" t="s">
        <v>8473</v>
      </c>
      <c r="N1264" s="3" t="s">
        <v>213</v>
      </c>
      <c r="O1264" s="3" t="s">
        <v>213</v>
      </c>
      <c r="P1264" s="0" t="s">
        <v>96</v>
      </c>
      <c r="AA1264" s="0" t="s">
        <v>47</v>
      </c>
      <c r="AB1264" s="0" t="s">
        <v>8474</v>
      </c>
      <c r="AC1264" s="0" t="s">
        <v>8475</v>
      </c>
      <c r="AD1264" s="0" t="s">
        <v>8476</v>
      </c>
      <c r="AE1264" s="0" t="s">
        <v>79</v>
      </c>
      <c r="AF1264" s="3" t="s">
        <v>108</v>
      </c>
      <c r="AG1264" s="3" t="s">
        <v>49</v>
      </c>
      <c r="AH1264" s="0" t="n">
        <v>2026</v>
      </c>
      <c r="AI1264" s="0" t="s">
        <v>8477</v>
      </c>
      <c r="AJ1264" s="0" t="s">
        <v>8478</v>
      </c>
      <c r="AR1264" s="0" t="s">
        <v>8479</v>
      </c>
    </row>
    <row r="1265" customFormat="false" ht="15" hidden="false" customHeight="false" outlineLevel="0" collapsed="false">
      <c r="A1265" s="0" t="n">
        <v>1264</v>
      </c>
      <c r="B1265" s="0" t="s">
        <v>8480</v>
      </c>
      <c r="C1265" s="0" t="s">
        <v>88</v>
      </c>
      <c r="E1265" s="0" t="s">
        <v>8481</v>
      </c>
      <c r="AA1265" s="0" t="s">
        <v>47</v>
      </c>
      <c r="AF1265" s="3" t="s">
        <v>48</v>
      </c>
      <c r="AG1265" s="3" t="s">
        <v>49</v>
      </c>
      <c r="AR1265" s="0" t="s">
        <v>8481</v>
      </c>
    </row>
    <row r="1266" customFormat="false" ht="15" hidden="false" customHeight="false" outlineLevel="0" collapsed="false">
      <c r="A1266" s="0" t="n">
        <v>1265</v>
      </c>
      <c r="B1266" s="0" t="s">
        <v>8482</v>
      </c>
      <c r="C1266" s="0" t="s">
        <v>88</v>
      </c>
      <c r="E1266" s="0" t="s">
        <v>8483</v>
      </c>
      <c r="N1266" s="3" t="s">
        <v>119</v>
      </c>
      <c r="O1266" s="3" t="s">
        <v>119</v>
      </c>
      <c r="P1266" s="0" t="s">
        <v>96</v>
      </c>
      <c r="AA1266" s="0" t="s">
        <v>47</v>
      </c>
      <c r="AB1266" s="0" t="s">
        <v>8484</v>
      </c>
      <c r="AC1266" s="0" t="s">
        <v>8485</v>
      </c>
      <c r="AD1266" s="0" t="s">
        <v>8486</v>
      </c>
      <c r="AE1266" s="0" t="s">
        <v>79</v>
      </c>
      <c r="AF1266" s="3" t="s">
        <v>48</v>
      </c>
      <c r="AG1266" s="3" t="s">
        <v>49</v>
      </c>
      <c r="AR1266" s="0" t="s">
        <v>8483</v>
      </c>
    </row>
    <row r="1267" customFormat="false" ht="15" hidden="false" customHeight="false" outlineLevel="0" collapsed="false">
      <c r="A1267" s="0" t="n">
        <v>1266</v>
      </c>
      <c r="B1267" s="0" t="s">
        <v>8487</v>
      </c>
      <c r="C1267" s="0" t="s">
        <v>88</v>
      </c>
      <c r="E1267" s="0" t="s">
        <v>8488</v>
      </c>
      <c r="N1267" s="3" t="s">
        <v>202</v>
      </c>
      <c r="O1267" s="3" t="s">
        <v>202</v>
      </c>
      <c r="P1267" s="0" t="s">
        <v>96</v>
      </c>
      <c r="AA1267" s="0" t="s">
        <v>47</v>
      </c>
      <c r="AB1267" s="0" t="s">
        <v>8489</v>
      </c>
      <c r="AC1267" s="0" t="s">
        <v>8490</v>
      </c>
      <c r="AD1267" s="0" t="s">
        <v>8491</v>
      </c>
      <c r="AE1267" s="0" t="s">
        <v>79</v>
      </c>
      <c r="AF1267" s="3" t="s">
        <v>48</v>
      </c>
      <c r="AG1267" s="3" t="s">
        <v>49</v>
      </c>
      <c r="AR1267" s="0" t="s">
        <v>8488</v>
      </c>
    </row>
    <row r="1268" customFormat="false" ht="15" hidden="false" customHeight="false" outlineLevel="0" collapsed="false">
      <c r="A1268" s="0" t="n">
        <v>1267</v>
      </c>
      <c r="B1268" s="0" t="s">
        <v>8492</v>
      </c>
      <c r="C1268" s="0" t="s">
        <v>88</v>
      </c>
      <c r="E1268" s="0" t="s">
        <v>8493</v>
      </c>
      <c r="H1268" s="0" t="s">
        <v>8494</v>
      </c>
      <c r="I1268" s="0" t="s">
        <v>154</v>
      </c>
      <c r="AA1268" s="0" t="s">
        <v>47</v>
      </c>
      <c r="AF1268" s="3" t="s">
        <v>48</v>
      </c>
      <c r="AG1268" s="3" t="s">
        <v>49</v>
      </c>
      <c r="AL1268" s="0" t="s">
        <v>8495</v>
      </c>
      <c r="AM1268" s="0" t="s">
        <v>8496</v>
      </c>
      <c r="AO1268" s="0" t="s">
        <v>8497</v>
      </c>
      <c r="AP1268" s="0" t="s">
        <v>8497</v>
      </c>
      <c r="AR1268" s="0" t="s">
        <v>8498</v>
      </c>
    </row>
    <row r="1269" customFormat="false" ht="15" hidden="false" customHeight="false" outlineLevel="0" collapsed="false">
      <c r="A1269" s="0" t="n">
        <v>1268</v>
      </c>
      <c r="B1269" s="0" t="s">
        <v>8499</v>
      </c>
      <c r="C1269" s="0" t="s">
        <v>88</v>
      </c>
      <c r="E1269" s="0" t="s">
        <v>8500</v>
      </c>
      <c r="H1269" s="0" t="s">
        <v>8501</v>
      </c>
      <c r="I1269" s="0" t="s">
        <v>94</v>
      </c>
      <c r="N1269" s="3" t="s">
        <v>202</v>
      </c>
      <c r="O1269" s="3" t="s">
        <v>202</v>
      </c>
      <c r="P1269" s="0" t="s">
        <v>96</v>
      </c>
      <c r="AA1269" s="0" t="s">
        <v>47</v>
      </c>
      <c r="AB1269" s="0" t="s">
        <v>8502</v>
      </c>
      <c r="AC1269" s="0" t="s">
        <v>8503</v>
      </c>
      <c r="AD1269" s="0" t="s">
        <v>8504</v>
      </c>
      <c r="AE1269" s="0" t="s">
        <v>79</v>
      </c>
      <c r="AF1269" s="3" t="s">
        <v>48</v>
      </c>
      <c r="AG1269" s="3" t="s">
        <v>49</v>
      </c>
      <c r="AL1269" s="0" t="s">
        <v>8505</v>
      </c>
      <c r="AO1269" s="0" t="s">
        <v>8506</v>
      </c>
      <c r="AP1269" s="0" t="s">
        <v>8506</v>
      </c>
      <c r="AR1269" s="0" t="s">
        <v>8507</v>
      </c>
    </row>
    <row r="1270" customFormat="false" ht="15" hidden="false" customHeight="false" outlineLevel="0" collapsed="false">
      <c r="A1270" s="0" t="n">
        <v>1269</v>
      </c>
      <c r="B1270" s="0" t="s">
        <v>8508</v>
      </c>
      <c r="C1270" s="0" t="s">
        <v>244</v>
      </c>
      <c r="E1270" s="0" t="s">
        <v>8509</v>
      </c>
      <c r="F1270" s="0" t="s">
        <v>44</v>
      </c>
      <c r="N1270" s="3" t="s">
        <v>186</v>
      </c>
      <c r="O1270" s="3" t="s">
        <v>186</v>
      </c>
      <c r="P1270" s="0" t="s">
        <v>96</v>
      </c>
      <c r="AA1270" s="0" t="s">
        <v>47</v>
      </c>
      <c r="AB1270" s="0" t="s">
        <v>8510</v>
      </c>
      <c r="AC1270" s="0" t="s">
        <v>8511</v>
      </c>
      <c r="AD1270" s="0" t="s">
        <v>8512</v>
      </c>
      <c r="AE1270" s="0" t="s">
        <v>79</v>
      </c>
      <c r="AF1270" s="3" t="s">
        <v>149</v>
      </c>
      <c r="AG1270" s="3" t="s">
        <v>81</v>
      </c>
      <c r="AK1270" s="0" t="s">
        <v>8513</v>
      </c>
      <c r="AR1270" s="0" t="s">
        <v>8514</v>
      </c>
    </row>
    <row r="1271" customFormat="false" ht="15" hidden="false" customHeight="false" outlineLevel="0" collapsed="false">
      <c r="A1271" s="0" t="n">
        <v>1270</v>
      </c>
      <c r="B1271" s="0" t="s">
        <v>8515</v>
      </c>
      <c r="C1271" s="0" t="s">
        <v>88</v>
      </c>
      <c r="E1271" s="0" t="s">
        <v>8516</v>
      </c>
      <c r="G1271" s="0" t="s">
        <v>1999</v>
      </c>
      <c r="H1271" s="0" t="s">
        <v>8517</v>
      </c>
      <c r="I1271" s="0" t="s">
        <v>46</v>
      </c>
      <c r="N1271" s="3" t="s">
        <v>202</v>
      </c>
      <c r="O1271" s="3" t="s">
        <v>202</v>
      </c>
      <c r="P1271" s="0" t="s">
        <v>96</v>
      </c>
      <c r="AA1271" s="0" t="s">
        <v>47</v>
      </c>
      <c r="AB1271" s="0" t="s">
        <v>8518</v>
      </c>
      <c r="AC1271" s="0" t="s">
        <v>8519</v>
      </c>
      <c r="AD1271" s="0" t="s">
        <v>8520</v>
      </c>
      <c r="AE1271" s="0" t="s">
        <v>79</v>
      </c>
      <c r="AF1271" s="3" t="s">
        <v>48</v>
      </c>
      <c r="AG1271" s="3" t="s">
        <v>49</v>
      </c>
      <c r="AR1271" s="0" t="s">
        <v>8516</v>
      </c>
    </row>
    <row r="1272" customFormat="false" ht="15" hidden="false" customHeight="false" outlineLevel="0" collapsed="false">
      <c r="A1272" s="0" t="n">
        <v>1271</v>
      </c>
      <c r="B1272" s="0" t="s">
        <v>8521</v>
      </c>
      <c r="C1272" s="0" t="s">
        <v>88</v>
      </c>
      <c r="E1272" s="0" t="s">
        <v>8522</v>
      </c>
      <c r="N1272" s="3" t="s">
        <v>95</v>
      </c>
      <c r="O1272" s="3" t="s">
        <v>95</v>
      </c>
      <c r="P1272" s="0" t="s">
        <v>96</v>
      </c>
      <c r="AA1272" s="0" t="s">
        <v>47</v>
      </c>
      <c r="AB1272" s="0" t="s">
        <v>8523</v>
      </c>
      <c r="AC1272" s="0" t="s">
        <v>8524</v>
      </c>
      <c r="AD1272" s="0" t="s">
        <v>8525</v>
      </c>
      <c r="AE1272" s="0" t="s">
        <v>79</v>
      </c>
      <c r="AF1272" s="3" t="s">
        <v>48</v>
      </c>
      <c r="AG1272" s="3" t="s">
        <v>49</v>
      </c>
      <c r="AR1272" s="0" t="s">
        <v>8522</v>
      </c>
    </row>
    <row r="1273" customFormat="false" ht="15" hidden="false" customHeight="false" outlineLevel="0" collapsed="false">
      <c r="A1273" s="0" t="n">
        <v>1272</v>
      </c>
      <c r="B1273" s="0" t="s">
        <v>8526</v>
      </c>
      <c r="C1273" s="0" t="s">
        <v>88</v>
      </c>
      <c r="E1273" s="0" t="s">
        <v>8527</v>
      </c>
      <c r="H1273" s="0" t="s">
        <v>8528</v>
      </c>
      <c r="I1273" s="0" t="s">
        <v>154</v>
      </c>
      <c r="N1273" s="3" t="s">
        <v>202</v>
      </c>
      <c r="O1273" s="3" t="s">
        <v>202</v>
      </c>
      <c r="P1273" s="0" t="s">
        <v>96</v>
      </c>
      <c r="AA1273" s="0" t="s">
        <v>47</v>
      </c>
      <c r="AB1273" s="0" t="s">
        <v>8529</v>
      </c>
      <c r="AC1273" s="0" t="s">
        <v>8530</v>
      </c>
      <c r="AD1273" s="0" t="s">
        <v>8531</v>
      </c>
      <c r="AE1273" s="0" t="s">
        <v>79</v>
      </c>
      <c r="AF1273" s="3" t="s">
        <v>48</v>
      </c>
      <c r="AG1273" s="3" t="s">
        <v>49</v>
      </c>
      <c r="AL1273" s="0" t="s">
        <v>8532</v>
      </c>
      <c r="AO1273" s="0" t="s">
        <v>8533</v>
      </c>
      <c r="AP1273" s="0" t="s">
        <v>8533</v>
      </c>
      <c r="AR1273" s="0" t="s">
        <v>8534</v>
      </c>
    </row>
    <row r="1274" customFormat="false" ht="15" hidden="false" customHeight="false" outlineLevel="0" collapsed="false">
      <c r="A1274" s="0" t="n">
        <v>1273</v>
      </c>
      <c r="B1274" s="0" t="s">
        <v>8535</v>
      </c>
      <c r="C1274" s="0" t="s">
        <v>88</v>
      </c>
      <c r="E1274" s="0" t="s">
        <v>8536</v>
      </c>
      <c r="H1274" s="0" t="s">
        <v>8537</v>
      </c>
      <c r="I1274" s="0" t="s">
        <v>154</v>
      </c>
      <c r="AA1274" s="0" t="s">
        <v>47</v>
      </c>
      <c r="AF1274" s="3" t="s">
        <v>48</v>
      </c>
      <c r="AG1274" s="3" t="s">
        <v>49</v>
      </c>
      <c r="AL1274" s="0" t="s">
        <v>8538</v>
      </c>
      <c r="AM1274" s="0" t="s">
        <v>8539</v>
      </c>
      <c r="AO1274" s="0" t="s">
        <v>8540</v>
      </c>
      <c r="AP1274" s="0" t="s">
        <v>8540</v>
      </c>
      <c r="AR1274" s="0" t="s">
        <v>8541</v>
      </c>
    </row>
    <row r="1275" customFormat="false" ht="15" hidden="false" customHeight="false" outlineLevel="0" collapsed="false">
      <c r="A1275" s="0" t="n">
        <v>1274</v>
      </c>
      <c r="B1275" s="0" t="s">
        <v>8542</v>
      </c>
      <c r="C1275" s="0" t="s">
        <v>88</v>
      </c>
      <c r="E1275" s="0" t="s">
        <v>8543</v>
      </c>
      <c r="N1275" s="3" t="s">
        <v>95</v>
      </c>
      <c r="O1275" s="3" t="s">
        <v>95</v>
      </c>
      <c r="P1275" s="0" t="s">
        <v>96</v>
      </c>
      <c r="AA1275" s="0" t="s">
        <v>47</v>
      </c>
      <c r="AB1275" s="0" t="s">
        <v>8544</v>
      </c>
      <c r="AC1275" s="0" t="s">
        <v>8545</v>
      </c>
      <c r="AD1275" s="0" t="s">
        <v>8546</v>
      </c>
      <c r="AE1275" s="0" t="s">
        <v>79</v>
      </c>
      <c r="AF1275" s="3" t="s">
        <v>48</v>
      </c>
      <c r="AG1275" s="3" t="s">
        <v>49</v>
      </c>
      <c r="AR1275" s="0" t="s">
        <v>8543</v>
      </c>
    </row>
    <row r="1276" customFormat="false" ht="15" hidden="false" customHeight="false" outlineLevel="0" collapsed="false">
      <c r="A1276" s="0" t="n">
        <v>1275</v>
      </c>
      <c r="B1276" s="0" t="s">
        <v>8547</v>
      </c>
      <c r="C1276" s="0" t="s">
        <v>88</v>
      </c>
      <c r="E1276" s="0" t="s">
        <v>8548</v>
      </c>
      <c r="N1276" s="3" t="s">
        <v>119</v>
      </c>
      <c r="O1276" s="3" t="s">
        <v>119</v>
      </c>
      <c r="P1276" s="0" t="s">
        <v>96</v>
      </c>
      <c r="AA1276" s="0" t="s">
        <v>47</v>
      </c>
      <c r="AB1276" s="0" t="s">
        <v>8549</v>
      </c>
      <c r="AC1276" s="0" t="s">
        <v>8550</v>
      </c>
      <c r="AD1276" s="0" t="s">
        <v>8551</v>
      </c>
      <c r="AE1276" s="0" t="s">
        <v>79</v>
      </c>
      <c r="AF1276" s="3" t="s">
        <v>48</v>
      </c>
      <c r="AG1276" s="3" t="s">
        <v>49</v>
      </c>
      <c r="AR1276" s="0" t="s">
        <v>8548</v>
      </c>
    </row>
    <row r="1277" customFormat="false" ht="15" hidden="false" customHeight="false" outlineLevel="0" collapsed="false">
      <c r="A1277" s="0" t="n">
        <v>1276</v>
      </c>
      <c r="B1277" s="0" t="s">
        <v>8552</v>
      </c>
      <c r="C1277" s="0" t="s">
        <v>43</v>
      </c>
      <c r="F1277" s="0" t="s">
        <v>44</v>
      </c>
      <c r="H1277" s="0" t="s">
        <v>6334</v>
      </c>
      <c r="I1277" s="0" t="s">
        <v>115</v>
      </c>
      <c r="J1277" s="3" t="s">
        <v>66</v>
      </c>
      <c r="K1277" s="0" t="s">
        <v>6335</v>
      </c>
      <c r="M1277" s="0" t="n">
        <v>1976</v>
      </c>
      <c r="N1277" s="0" t="s">
        <v>1362</v>
      </c>
      <c r="O1277" s="3" t="s">
        <v>186</v>
      </c>
      <c r="P1277" s="0" t="s">
        <v>96</v>
      </c>
      <c r="R1277" s="0" t="n">
        <v>3100</v>
      </c>
      <c r="S1277" s="0" t="n">
        <v>2025</v>
      </c>
      <c r="T1277" s="0" t="s">
        <v>72</v>
      </c>
      <c r="U1277" s="0" t="s">
        <v>115</v>
      </c>
      <c r="V1277" s="0" t="n">
        <v>1220</v>
      </c>
      <c r="W1277" s="0" t="s">
        <v>6336</v>
      </c>
      <c r="X1277" s="0" t="s">
        <v>6337</v>
      </c>
      <c r="Y1277" s="0" t="s">
        <v>72</v>
      </c>
      <c r="Z1277" s="0" t="s">
        <v>115</v>
      </c>
      <c r="AA1277" s="0" t="s">
        <v>75</v>
      </c>
      <c r="AB1277" s="0" t="s">
        <v>6338</v>
      </c>
      <c r="AC1277" s="0" t="s">
        <v>6339</v>
      </c>
      <c r="AD1277" s="0" t="s">
        <v>6340</v>
      </c>
      <c r="AE1277" s="0" t="s">
        <v>115</v>
      </c>
      <c r="AF1277" s="3" t="s">
        <v>108</v>
      </c>
      <c r="AG1277" s="3" t="s">
        <v>81</v>
      </c>
      <c r="AH1277" s="0" t="n">
        <v>2026</v>
      </c>
      <c r="AI1277" s="0" t="s">
        <v>6341</v>
      </c>
      <c r="AJ1277" s="0" t="s">
        <v>6342</v>
      </c>
      <c r="AK1277" s="3" t="s">
        <v>6343</v>
      </c>
      <c r="AL1277" s="0" t="s">
        <v>6344</v>
      </c>
      <c r="AM1277" s="0" t="s">
        <v>6345</v>
      </c>
      <c r="AN1277" s="0" t="s">
        <v>6346</v>
      </c>
      <c r="AO1277" s="0" t="s">
        <v>6347</v>
      </c>
      <c r="AP1277" s="0" t="s">
        <v>6347</v>
      </c>
      <c r="AR1277" s="0" t="s">
        <v>6348</v>
      </c>
    </row>
    <row r="1278" customFormat="false" ht="15" hidden="false" customHeight="false" outlineLevel="0" collapsed="false">
      <c r="A1278" s="0" t="n">
        <v>1277</v>
      </c>
      <c r="B1278" s="0" t="s">
        <v>8553</v>
      </c>
      <c r="C1278" s="0" t="s">
        <v>43</v>
      </c>
      <c r="F1278" s="0" t="s">
        <v>44</v>
      </c>
      <c r="AA1278" s="0" t="s">
        <v>47</v>
      </c>
      <c r="AF1278" s="3" t="s">
        <v>48</v>
      </c>
      <c r="AG1278" s="3" t="s">
        <v>49</v>
      </c>
      <c r="AR1278" s="0" t="s">
        <v>50</v>
      </c>
    </row>
    <row r="1279" customFormat="false" ht="15" hidden="false" customHeight="false" outlineLevel="0" collapsed="false">
      <c r="A1279" s="0" t="n">
        <v>1278</v>
      </c>
      <c r="B1279" s="0" t="s">
        <v>8554</v>
      </c>
      <c r="C1279" s="0" t="s">
        <v>52</v>
      </c>
      <c r="D1279" s="0" t="s">
        <v>8555</v>
      </c>
      <c r="H1279" s="0" t="s">
        <v>8556</v>
      </c>
      <c r="I1279" s="0" t="s">
        <v>154</v>
      </c>
      <c r="N1279" s="3" t="s">
        <v>69</v>
      </c>
      <c r="O1279" s="3" t="s">
        <v>69</v>
      </c>
      <c r="P1279" s="0" t="s">
        <v>55</v>
      </c>
      <c r="AA1279" s="0" t="s">
        <v>47</v>
      </c>
      <c r="AB1279" s="0" t="s">
        <v>8557</v>
      </c>
      <c r="AC1279" s="0" t="s">
        <v>8558</v>
      </c>
      <c r="AD1279" s="0" t="s">
        <v>8559</v>
      </c>
      <c r="AE1279" s="0" t="s">
        <v>59</v>
      </c>
      <c r="AF1279" s="3" t="s">
        <v>48</v>
      </c>
      <c r="AG1279" s="3" t="s">
        <v>49</v>
      </c>
      <c r="AL1279" s="0" t="s">
        <v>8560</v>
      </c>
      <c r="AO1279" s="0" t="s">
        <v>8561</v>
      </c>
      <c r="AP1279" s="0" t="s">
        <v>8561</v>
      </c>
      <c r="AR1279" s="0" t="s">
        <v>8562</v>
      </c>
    </row>
    <row r="1280" customFormat="false" ht="15" hidden="false" customHeight="false" outlineLevel="0" collapsed="false">
      <c r="A1280" s="0" t="n">
        <v>1279</v>
      </c>
      <c r="B1280" s="0" t="s">
        <v>8563</v>
      </c>
      <c r="C1280" s="0" t="s">
        <v>43</v>
      </c>
      <c r="F1280" s="0" t="s">
        <v>44</v>
      </c>
      <c r="AA1280" s="0" t="s">
        <v>47</v>
      </c>
      <c r="AF1280" s="3" t="s">
        <v>48</v>
      </c>
      <c r="AG1280" s="3" t="s">
        <v>49</v>
      </c>
      <c r="AR1280" s="0" t="s">
        <v>50</v>
      </c>
    </row>
    <row r="1281" customFormat="false" ht="15" hidden="false" customHeight="false" outlineLevel="0" collapsed="false">
      <c r="A1281" s="0" t="n">
        <v>1280</v>
      </c>
      <c r="B1281" s="0" t="s">
        <v>8564</v>
      </c>
      <c r="C1281" s="0" t="s">
        <v>88</v>
      </c>
      <c r="E1281" s="0" t="s">
        <v>8565</v>
      </c>
      <c r="H1281" s="0" t="s">
        <v>8566</v>
      </c>
      <c r="I1281" s="0" t="s">
        <v>154</v>
      </c>
      <c r="N1281" s="3" t="s">
        <v>213</v>
      </c>
      <c r="O1281" s="3" t="s">
        <v>213</v>
      </c>
      <c r="P1281" s="0" t="s">
        <v>96</v>
      </c>
      <c r="AA1281" s="0" t="s">
        <v>47</v>
      </c>
      <c r="AB1281" s="0" t="s">
        <v>8567</v>
      </c>
      <c r="AC1281" s="0" t="s">
        <v>8568</v>
      </c>
      <c r="AD1281" s="0" t="s">
        <v>8569</v>
      </c>
      <c r="AE1281" s="0" t="s">
        <v>79</v>
      </c>
      <c r="AF1281" s="3" t="s">
        <v>48</v>
      </c>
      <c r="AG1281" s="3" t="s">
        <v>49</v>
      </c>
      <c r="AL1281" s="0" t="s">
        <v>8570</v>
      </c>
      <c r="AM1281" s="0" t="s">
        <v>8571</v>
      </c>
      <c r="AO1281" s="0" t="s">
        <v>8572</v>
      </c>
      <c r="AP1281" s="0" t="s">
        <v>8572</v>
      </c>
      <c r="AR1281" s="0" t="s">
        <v>8573</v>
      </c>
    </row>
    <row r="1282" customFormat="false" ht="15" hidden="false" customHeight="false" outlineLevel="0" collapsed="false">
      <c r="A1282" s="0" t="n">
        <v>1281</v>
      </c>
      <c r="B1282" s="0" t="s">
        <v>8574</v>
      </c>
      <c r="C1282" s="0" t="s">
        <v>52</v>
      </c>
      <c r="D1282" s="0" t="s">
        <v>8575</v>
      </c>
      <c r="H1282" s="0" t="s">
        <v>8576</v>
      </c>
      <c r="I1282" s="0" t="s">
        <v>94</v>
      </c>
      <c r="N1282" s="3" t="s">
        <v>600</v>
      </c>
      <c r="O1282" s="3" t="s">
        <v>600</v>
      </c>
      <c r="P1282" s="0" t="s">
        <v>55</v>
      </c>
      <c r="AA1282" s="0" t="s">
        <v>47</v>
      </c>
      <c r="AB1282" s="0" t="s">
        <v>8577</v>
      </c>
      <c r="AC1282" s="0" t="s">
        <v>8578</v>
      </c>
      <c r="AD1282" s="0" t="s">
        <v>8579</v>
      </c>
      <c r="AE1282" s="0" t="s">
        <v>59</v>
      </c>
      <c r="AF1282" s="3" t="s">
        <v>48</v>
      </c>
      <c r="AG1282" s="3" t="s">
        <v>49</v>
      </c>
      <c r="AL1282" s="0" t="s">
        <v>8580</v>
      </c>
      <c r="AO1282" s="0" t="s">
        <v>8581</v>
      </c>
      <c r="AP1282" s="0" t="s">
        <v>8581</v>
      </c>
      <c r="AR1282" s="0" t="s">
        <v>8582</v>
      </c>
    </row>
    <row r="1283" customFormat="false" ht="15" hidden="false" customHeight="false" outlineLevel="0" collapsed="false">
      <c r="A1283" s="0" t="n">
        <v>1282</v>
      </c>
      <c r="B1283" s="0" t="s">
        <v>8583</v>
      </c>
      <c r="C1283" s="0" t="s">
        <v>52</v>
      </c>
      <c r="D1283" s="0" t="s">
        <v>8584</v>
      </c>
      <c r="H1283" s="0" t="s">
        <v>8585</v>
      </c>
      <c r="I1283" s="0" t="s">
        <v>154</v>
      </c>
      <c r="N1283" s="3" t="s">
        <v>104</v>
      </c>
      <c r="O1283" s="3" t="s">
        <v>104</v>
      </c>
      <c r="P1283" s="0" t="s">
        <v>55</v>
      </c>
      <c r="AA1283" s="0" t="s">
        <v>47</v>
      </c>
      <c r="AB1283" s="0" t="s">
        <v>8586</v>
      </c>
      <c r="AC1283" s="0" t="s">
        <v>8587</v>
      </c>
      <c r="AD1283" s="0" t="s">
        <v>8588</v>
      </c>
      <c r="AE1283" s="0" t="s">
        <v>59</v>
      </c>
      <c r="AF1283" s="3" t="s">
        <v>108</v>
      </c>
      <c r="AG1283" s="3" t="s">
        <v>49</v>
      </c>
      <c r="AH1283" s="0" t="n">
        <v>2026</v>
      </c>
      <c r="AI1283" s="0" t="s">
        <v>1423</v>
      </c>
      <c r="AJ1283" s="0" t="s">
        <v>1424</v>
      </c>
      <c r="AO1283" s="0" t="s">
        <v>8589</v>
      </c>
      <c r="AP1283" s="0" t="s">
        <v>8589</v>
      </c>
      <c r="AR1283" s="0" t="s">
        <v>8590</v>
      </c>
    </row>
    <row r="1284" customFormat="false" ht="15" hidden="false" customHeight="false" outlineLevel="0" collapsed="false">
      <c r="A1284" s="0" t="n">
        <v>1283</v>
      </c>
      <c r="B1284" s="0" t="s">
        <v>8591</v>
      </c>
      <c r="C1284" s="0" t="s">
        <v>88</v>
      </c>
      <c r="E1284" s="0" t="s">
        <v>8592</v>
      </c>
      <c r="N1284" s="3" t="s">
        <v>147</v>
      </c>
      <c r="O1284" s="3" t="s">
        <v>147</v>
      </c>
      <c r="P1284" s="0" t="s">
        <v>96</v>
      </c>
      <c r="AA1284" s="0" t="s">
        <v>47</v>
      </c>
      <c r="AB1284" s="0" t="s">
        <v>8593</v>
      </c>
      <c r="AC1284" s="0" t="s">
        <v>8594</v>
      </c>
      <c r="AD1284" s="0" t="s">
        <v>8595</v>
      </c>
      <c r="AE1284" s="0" t="s">
        <v>79</v>
      </c>
      <c r="AF1284" s="3" t="s">
        <v>48</v>
      </c>
      <c r="AG1284" s="3" t="s">
        <v>49</v>
      </c>
      <c r="AR1284" s="0" t="s">
        <v>8592</v>
      </c>
    </row>
    <row r="1285" customFormat="false" ht="15" hidden="false" customHeight="false" outlineLevel="0" collapsed="false">
      <c r="A1285" s="0" t="n">
        <v>1284</v>
      </c>
      <c r="B1285" s="0" t="s">
        <v>8596</v>
      </c>
      <c r="C1285" s="0" t="s">
        <v>88</v>
      </c>
      <c r="E1285" s="0" t="s">
        <v>8597</v>
      </c>
      <c r="H1285" s="0" t="s">
        <v>8598</v>
      </c>
      <c r="I1285" s="0" t="s">
        <v>94</v>
      </c>
      <c r="N1285" s="3" t="s">
        <v>95</v>
      </c>
      <c r="O1285" s="3" t="s">
        <v>95</v>
      </c>
      <c r="P1285" s="0" t="s">
        <v>96</v>
      </c>
      <c r="AA1285" s="0" t="s">
        <v>47</v>
      </c>
      <c r="AB1285" s="0" t="s">
        <v>8599</v>
      </c>
      <c r="AC1285" s="0" t="s">
        <v>8600</v>
      </c>
      <c r="AD1285" s="0" t="s">
        <v>8601</v>
      </c>
      <c r="AE1285" s="0" t="s">
        <v>79</v>
      </c>
      <c r="AF1285" s="3" t="s">
        <v>48</v>
      </c>
      <c r="AG1285" s="3" t="s">
        <v>49</v>
      </c>
      <c r="AL1285" s="0" t="s">
        <v>8602</v>
      </c>
      <c r="AO1285" s="0" t="s">
        <v>8603</v>
      </c>
      <c r="AP1285" s="0" t="s">
        <v>8603</v>
      </c>
      <c r="AR1285" s="0" t="s">
        <v>8604</v>
      </c>
    </row>
    <row r="1286" customFormat="false" ht="15" hidden="false" customHeight="false" outlineLevel="0" collapsed="false">
      <c r="A1286" s="0" t="n">
        <v>1285</v>
      </c>
      <c r="B1286" s="0" t="s">
        <v>8605</v>
      </c>
      <c r="C1286" s="0" t="s">
        <v>52</v>
      </c>
      <c r="D1286" s="0" t="s">
        <v>8606</v>
      </c>
      <c r="N1286" s="3" t="s">
        <v>1624</v>
      </c>
      <c r="O1286" s="3" t="s">
        <v>1624</v>
      </c>
      <c r="P1286" s="0" t="s">
        <v>55</v>
      </c>
      <c r="AA1286" s="0" t="s">
        <v>47</v>
      </c>
      <c r="AB1286" s="0" t="s">
        <v>8607</v>
      </c>
      <c r="AC1286" s="0" t="s">
        <v>8608</v>
      </c>
      <c r="AD1286" s="0" t="s">
        <v>8609</v>
      </c>
      <c r="AE1286" s="0" t="s">
        <v>59</v>
      </c>
      <c r="AF1286" s="3" t="s">
        <v>48</v>
      </c>
      <c r="AG1286" s="3" t="s">
        <v>49</v>
      </c>
      <c r="AR1286" s="0" t="s">
        <v>8606</v>
      </c>
    </row>
    <row r="1287" customFormat="false" ht="15" hidden="false" customHeight="false" outlineLevel="0" collapsed="false">
      <c r="A1287" s="0" t="n">
        <v>1286</v>
      </c>
      <c r="B1287" s="0" t="s">
        <v>8610</v>
      </c>
      <c r="C1287" s="0" t="s">
        <v>88</v>
      </c>
      <c r="E1287" s="0" t="s">
        <v>8611</v>
      </c>
      <c r="H1287" s="0" t="s">
        <v>8612</v>
      </c>
      <c r="I1287" s="0" t="s">
        <v>154</v>
      </c>
      <c r="N1287" s="3" t="s">
        <v>202</v>
      </c>
      <c r="O1287" s="3" t="s">
        <v>202</v>
      </c>
      <c r="P1287" s="0" t="s">
        <v>96</v>
      </c>
      <c r="AA1287" s="0" t="s">
        <v>47</v>
      </c>
      <c r="AB1287" s="0" t="s">
        <v>8613</v>
      </c>
      <c r="AC1287" s="0" t="s">
        <v>8614</v>
      </c>
      <c r="AD1287" s="0" t="s">
        <v>8615</v>
      </c>
      <c r="AE1287" s="0" t="s">
        <v>79</v>
      </c>
      <c r="AF1287" s="3" t="s">
        <v>48</v>
      </c>
      <c r="AG1287" s="3" t="s">
        <v>49</v>
      </c>
      <c r="AL1287" s="0" t="s">
        <v>8616</v>
      </c>
      <c r="AM1287" s="0" t="s">
        <v>8617</v>
      </c>
      <c r="AO1287" s="0" t="s">
        <v>8618</v>
      </c>
      <c r="AP1287" s="0" t="s">
        <v>8618</v>
      </c>
      <c r="AR1287" s="0" t="s">
        <v>8619</v>
      </c>
    </row>
    <row r="1288" customFormat="false" ht="15" hidden="false" customHeight="false" outlineLevel="0" collapsed="false">
      <c r="A1288" s="0" t="n">
        <v>1287</v>
      </c>
      <c r="B1288" s="0" t="s">
        <v>8620</v>
      </c>
      <c r="C1288" s="0" t="s">
        <v>43</v>
      </c>
      <c r="F1288" s="0" t="s">
        <v>44</v>
      </c>
      <c r="AA1288" s="0" t="s">
        <v>47</v>
      </c>
      <c r="AF1288" s="3" t="s">
        <v>48</v>
      </c>
      <c r="AG1288" s="3" t="s">
        <v>49</v>
      </c>
      <c r="AR1288" s="0" t="s">
        <v>50</v>
      </c>
    </row>
    <row r="1289" customFormat="false" ht="15" hidden="false" customHeight="false" outlineLevel="0" collapsed="false">
      <c r="A1289" s="0" t="n">
        <v>1288</v>
      </c>
      <c r="B1289" s="0" t="s">
        <v>8621</v>
      </c>
      <c r="C1289" s="0" t="s">
        <v>43</v>
      </c>
      <c r="F1289" s="0" t="s">
        <v>44</v>
      </c>
      <c r="H1289" s="0" t="s">
        <v>8622</v>
      </c>
      <c r="I1289" s="0" t="s">
        <v>154</v>
      </c>
      <c r="AA1289" s="0" t="s">
        <v>47</v>
      </c>
      <c r="AF1289" s="3" t="s">
        <v>48</v>
      </c>
      <c r="AG1289" s="3" t="s">
        <v>49</v>
      </c>
      <c r="AL1289" s="0" t="s">
        <v>8623</v>
      </c>
      <c r="AO1289" s="0" t="s">
        <v>8624</v>
      </c>
      <c r="AP1289" s="0" t="s">
        <v>8624</v>
      </c>
      <c r="AR1289" s="0" t="s">
        <v>8625</v>
      </c>
    </row>
    <row r="1290" customFormat="false" ht="15" hidden="false" customHeight="false" outlineLevel="0" collapsed="false">
      <c r="A1290" s="0" t="n">
        <v>1289</v>
      </c>
      <c r="B1290" s="0" t="s">
        <v>8626</v>
      </c>
      <c r="C1290" s="0" t="s">
        <v>312</v>
      </c>
      <c r="D1290" s="0" t="s">
        <v>8627</v>
      </c>
      <c r="E1290" s="0" t="s">
        <v>8628</v>
      </c>
      <c r="F1290" s="0" t="s">
        <v>44</v>
      </c>
      <c r="H1290" s="0" t="s">
        <v>8629</v>
      </c>
      <c r="I1290" s="0" t="s">
        <v>94</v>
      </c>
      <c r="N1290" s="3" t="s">
        <v>104</v>
      </c>
      <c r="O1290" s="3" t="s">
        <v>104</v>
      </c>
      <c r="P1290" s="0" t="s">
        <v>55</v>
      </c>
      <c r="AA1290" s="0" t="s">
        <v>47</v>
      </c>
      <c r="AB1290" s="0" t="s">
        <v>8630</v>
      </c>
      <c r="AC1290" s="0" t="s">
        <v>8631</v>
      </c>
      <c r="AD1290" s="0" t="s">
        <v>8632</v>
      </c>
      <c r="AE1290" s="0" t="s">
        <v>79</v>
      </c>
      <c r="AF1290" s="3" t="s">
        <v>149</v>
      </c>
      <c r="AG1290" s="3" t="s">
        <v>81</v>
      </c>
      <c r="AK1290" s="0" t="s">
        <v>8633</v>
      </c>
      <c r="AL1290" s="0" t="s">
        <v>8634</v>
      </c>
      <c r="AM1290" s="0" t="s">
        <v>8635</v>
      </c>
      <c r="AO1290" s="0" t="s">
        <v>8636</v>
      </c>
      <c r="AP1290" s="0" t="s">
        <v>8636</v>
      </c>
      <c r="AR1290" s="0" t="s">
        <v>8637</v>
      </c>
    </row>
    <row r="1291" customFormat="false" ht="15" hidden="false" customHeight="false" outlineLevel="0" collapsed="false">
      <c r="A1291" s="0" t="n">
        <v>1290</v>
      </c>
      <c r="B1291" s="0" t="s">
        <v>8638</v>
      </c>
      <c r="C1291" s="0" t="s">
        <v>52</v>
      </c>
      <c r="D1291" s="0" t="s">
        <v>8639</v>
      </c>
      <c r="H1291" s="0" t="s">
        <v>8640</v>
      </c>
      <c r="I1291" s="0" t="s">
        <v>154</v>
      </c>
      <c r="N1291" s="3" t="s">
        <v>69</v>
      </c>
      <c r="O1291" s="3" t="s">
        <v>69</v>
      </c>
      <c r="P1291" s="0" t="s">
        <v>55</v>
      </c>
      <c r="AA1291" s="0" t="s">
        <v>47</v>
      </c>
      <c r="AB1291" s="0" t="s">
        <v>8641</v>
      </c>
      <c r="AC1291" s="0" t="s">
        <v>8642</v>
      </c>
      <c r="AD1291" s="0" t="s">
        <v>8643</v>
      </c>
      <c r="AE1291" s="0" t="s">
        <v>59</v>
      </c>
      <c r="AF1291" s="3" t="s">
        <v>48</v>
      </c>
      <c r="AG1291" s="3" t="s">
        <v>49</v>
      </c>
      <c r="AL1291" s="0" t="s">
        <v>8644</v>
      </c>
      <c r="AO1291" s="0" t="s">
        <v>8645</v>
      </c>
      <c r="AP1291" s="0" t="s">
        <v>8645</v>
      </c>
      <c r="AR1291" s="0" t="s">
        <v>8646</v>
      </c>
    </row>
    <row r="1292" customFormat="false" ht="15" hidden="false" customHeight="false" outlineLevel="0" collapsed="false">
      <c r="A1292" s="0" t="n">
        <v>1291</v>
      </c>
      <c r="B1292" s="0" t="s">
        <v>8647</v>
      </c>
      <c r="C1292" s="0" t="s">
        <v>244</v>
      </c>
      <c r="E1292" s="0" t="s">
        <v>8648</v>
      </c>
      <c r="F1292" s="0" t="s">
        <v>44</v>
      </c>
      <c r="H1292" s="0" t="s">
        <v>8649</v>
      </c>
      <c r="I1292" s="0" t="s">
        <v>154</v>
      </c>
      <c r="N1292" s="3" t="s">
        <v>95</v>
      </c>
      <c r="O1292" s="3" t="s">
        <v>95</v>
      </c>
      <c r="P1292" s="0" t="s">
        <v>96</v>
      </c>
      <c r="AA1292" s="0" t="s">
        <v>47</v>
      </c>
      <c r="AB1292" s="0" t="s">
        <v>8650</v>
      </c>
      <c r="AC1292" s="0" t="s">
        <v>8651</v>
      </c>
      <c r="AD1292" s="0" t="s">
        <v>8652</v>
      </c>
      <c r="AE1292" s="0" t="s">
        <v>79</v>
      </c>
      <c r="AF1292" s="3" t="s">
        <v>108</v>
      </c>
      <c r="AG1292" s="3" t="s">
        <v>49</v>
      </c>
      <c r="AH1292" s="0" t="n">
        <v>2026</v>
      </c>
      <c r="AI1292" s="0" t="s">
        <v>968</v>
      </c>
      <c r="AJ1292" s="0" t="s">
        <v>969</v>
      </c>
      <c r="AK1292" s="0" t="s">
        <v>8653</v>
      </c>
      <c r="AL1292" s="0" t="s">
        <v>8654</v>
      </c>
      <c r="AM1292" s="0" t="s">
        <v>8655</v>
      </c>
      <c r="AO1292" s="0" t="s">
        <v>8656</v>
      </c>
      <c r="AP1292" s="0" t="s">
        <v>8656</v>
      </c>
      <c r="AR1292" s="0" t="s">
        <v>8657</v>
      </c>
    </row>
    <row r="1293" customFormat="false" ht="15" hidden="false" customHeight="false" outlineLevel="0" collapsed="false">
      <c r="A1293" s="0" t="n">
        <v>1292</v>
      </c>
      <c r="B1293" s="0" t="s">
        <v>8658</v>
      </c>
      <c r="C1293" s="0" t="s">
        <v>244</v>
      </c>
      <c r="E1293" s="0" t="s">
        <v>8659</v>
      </c>
      <c r="F1293" s="0" t="s">
        <v>44</v>
      </c>
      <c r="H1293" s="0" t="s">
        <v>8660</v>
      </c>
      <c r="I1293" s="0" t="s">
        <v>46</v>
      </c>
      <c r="N1293" s="3" t="s">
        <v>119</v>
      </c>
      <c r="O1293" s="3" t="s">
        <v>119</v>
      </c>
      <c r="P1293" s="0" t="s">
        <v>96</v>
      </c>
      <c r="AA1293" s="0" t="s">
        <v>47</v>
      </c>
      <c r="AB1293" s="0" t="s">
        <v>8661</v>
      </c>
      <c r="AC1293" s="0" t="s">
        <v>8662</v>
      </c>
      <c r="AD1293" s="0" t="s">
        <v>8663</v>
      </c>
      <c r="AE1293" s="0" t="s">
        <v>79</v>
      </c>
      <c r="AF1293" s="3" t="s">
        <v>149</v>
      </c>
      <c r="AG1293" s="3" t="s">
        <v>81</v>
      </c>
      <c r="AK1293" s="0" t="s">
        <v>8664</v>
      </c>
      <c r="AR1293" s="0" t="s">
        <v>8665</v>
      </c>
    </row>
    <row r="1294" customFormat="false" ht="15" hidden="false" customHeight="false" outlineLevel="0" collapsed="false">
      <c r="A1294" s="0" t="n">
        <v>1293</v>
      </c>
      <c r="B1294" s="0" t="s">
        <v>8666</v>
      </c>
      <c r="C1294" s="0" t="s">
        <v>88</v>
      </c>
      <c r="E1294" s="0" t="s">
        <v>8667</v>
      </c>
      <c r="H1294" s="0" t="s">
        <v>8668</v>
      </c>
      <c r="I1294" s="0" t="s">
        <v>46</v>
      </c>
      <c r="N1294" s="3" t="s">
        <v>95</v>
      </c>
      <c r="O1294" s="3" t="s">
        <v>95</v>
      </c>
      <c r="P1294" s="0" t="s">
        <v>96</v>
      </c>
      <c r="AA1294" s="0" t="s">
        <v>47</v>
      </c>
      <c r="AB1294" s="0" t="s">
        <v>8669</v>
      </c>
      <c r="AC1294" s="0" t="s">
        <v>8670</v>
      </c>
      <c r="AD1294" s="0" t="s">
        <v>8671</v>
      </c>
      <c r="AE1294" s="0" t="s">
        <v>79</v>
      </c>
      <c r="AF1294" s="3" t="s">
        <v>48</v>
      </c>
      <c r="AG1294" s="3" t="s">
        <v>49</v>
      </c>
      <c r="AR1294" s="0" t="s">
        <v>8667</v>
      </c>
    </row>
    <row r="1295" customFormat="false" ht="15" hidden="false" customHeight="false" outlineLevel="0" collapsed="false">
      <c r="A1295" s="0" t="n">
        <v>1294</v>
      </c>
      <c r="B1295" s="0" t="s">
        <v>8672</v>
      </c>
      <c r="C1295" s="0" t="s">
        <v>88</v>
      </c>
      <c r="E1295" s="0" t="s">
        <v>8673</v>
      </c>
      <c r="AA1295" s="0" t="s">
        <v>47</v>
      </c>
      <c r="AF1295" s="3" t="s">
        <v>48</v>
      </c>
      <c r="AG1295" s="3" t="s">
        <v>49</v>
      </c>
      <c r="AR1295" s="0" t="s">
        <v>8673</v>
      </c>
    </row>
    <row r="1296" customFormat="false" ht="15" hidden="false" customHeight="false" outlineLevel="0" collapsed="false">
      <c r="A1296" s="0" t="n">
        <v>1295</v>
      </c>
      <c r="B1296" s="0" t="s">
        <v>8674</v>
      </c>
      <c r="C1296" s="0" t="s">
        <v>88</v>
      </c>
      <c r="E1296" s="0" t="s">
        <v>8675</v>
      </c>
      <c r="AA1296" s="0" t="s">
        <v>47</v>
      </c>
      <c r="AF1296" s="3" t="s">
        <v>48</v>
      </c>
      <c r="AG1296" s="3" t="s">
        <v>49</v>
      </c>
      <c r="AR1296" s="0" t="s">
        <v>8675</v>
      </c>
    </row>
    <row r="1297" customFormat="false" ht="15" hidden="false" customHeight="false" outlineLevel="0" collapsed="false">
      <c r="A1297" s="0" t="n">
        <v>1296</v>
      </c>
      <c r="B1297" s="0" t="s">
        <v>8676</v>
      </c>
      <c r="C1297" s="0" t="s">
        <v>88</v>
      </c>
      <c r="E1297" s="0" t="s">
        <v>8677</v>
      </c>
      <c r="H1297" s="0" t="s">
        <v>8678</v>
      </c>
      <c r="I1297" s="0" t="s">
        <v>46</v>
      </c>
      <c r="AA1297" s="0" t="s">
        <v>47</v>
      </c>
      <c r="AF1297" s="3" t="s">
        <v>48</v>
      </c>
      <c r="AG1297" s="3" t="s">
        <v>49</v>
      </c>
      <c r="AR1297" s="0" t="s">
        <v>8677</v>
      </c>
    </row>
    <row r="1298" customFormat="false" ht="15" hidden="false" customHeight="false" outlineLevel="0" collapsed="false">
      <c r="A1298" s="0" t="n">
        <v>1297</v>
      </c>
      <c r="B1298" s="0" t="s">
        <v>8679</v>
      </c>
      <c r="C1298" s="0" t="s">
        <v>88</v>
      </c>
      <c r="E1298" s="0" t="s">
        <v>8680</v>
      </c>
      <c r="H1298" s="0" t="s">
        <v>8681</v>
      </c>
      <c r="I1298" s="0" t="s">
        <v>154</v>
      </c>
      <c r="N1298" s="3" t="s">
        <v>239</v>
      </c>
      <c r="O1298" s="3" t="s">
        <v>239</v>
      </c>
      <c r="P1298" s="0" t="s">
        <v>96</v>
      </c>
      <c r="AA1298" s="0" t="s">
        <v>47</v>
      </c>
      <c r="AB1298" s="0" t="s">
        <v>8682</v>
      </c>
      <c r="AC1298" s="0" t="s">
        <v>8683</v>
      </c>
      <c r="AD1298" s="0" t="s">
        <v>8684</v>
      </c>
      <c r="AE1298" s="0" t="s">
        <v>79</v>
      </c>
      <c r="AF1298" s="3" t="s">
        <v>48</v>
      </c>
      <c r="AG1298" s="3" t="s">
        <v>49</v>
      </c>
      <c r="AL1298" s="0" t="s">
        <v>8685</v>
      </c>
      <c r="AM1298" s="0" t="s">
        <v>8686</v>
      </c>
      <c r="AO1298" s="0" t="s">
        <v>8687</v>
      </c>
      <c r="AP1298" s="0" t="s">
        <v>8687</v>
      </c>
      <c r="AR1298" s="0" t="s">
        <v>8688</v>
      </c>
    </row>
    <row r="1299" customFormat="false" ht="15" hidden="false" customHeight="false" outlineLevel="0" collapsed="false">
      <c r="A1299" s="0" t="n">
        <v>1298</v>
      </c>
      <c r="B1299" s="0" t="s">
        <v>8689</v>
      </c>
      <c r="C1299" s="0" t="s">
        <v>88</v>
      </c>
      <c r="E1299" s="0" t="s">
        <v>8690</v>
      </c>
      <c r="AA1299" s="0" t="s">
        <v>47</v>
      </c>
      <c r="AF1299" s="3" t="s">
        <v>48</v>
      </c>
      <c r="AG1299" s="3" t="s">
        <v>49</v>
      </c>
      <c r="AR1299" s="0" t="s">
        <v>8690</v>
      </c>
    </row>
    <row r="1300" customFormat="false" ht="15" hidden="false" customHeight="false" outlineLevel="0" collapsed="false">
      <c r="A1300" s="0" t="n">
        <v>1299</v>
      </c>
      <c r="B1300" s="0" t="s">
        <v>8691</v>
      </c>
      <c r="C1300" s="0" t="s">
        <v>61</v>
      </c>
      <c r="D1300" s="0" t="s">
        <v>8692</v>
      </c>
      <c r="E1300" s="0" t="s">
        <v>8693</v>
      </c>
      <c r="H1300" s="0" t="s">
        <v>8694</v>
      </c>
      <c r="I1300" s="0" t="s">
        <v>94</v>
      </c>
      <c r="N1300" s="3" t="s">
        <v>54</v>
      </c>
      <c r="O1300" s="3" t="s">
        <v>54</v>
      </c>
      <c r="P1300" s="0" t="s">
        <v>55</v>
      </c>
      <c r="AA1300" s="0" t="s">
        <v>47</v>
      </c>
      <c r="AB1300" s="0" t="s">
        <v>8695</v>
      </c>
      <c r="AC1300" s="0" t="s">
        <v>8696</v>
      </c>
      <c r="AD1300" s="0" t="s">
        <v>8697</v>
      </c>
      <c r="AE1300" s="0" t="s">
        <v>79</v>
      </c>
      <c r="AF1300" s="3" t="s">
        <v>80</v>
      </c>
      <c r="AG1300" s="3" t="s">
        <v>81</v>
      </c>
      <c r="AH1300" s="0" t="n">
        <v>2026</v>
      </c>
      <c r="AI1300" s="0" t="s">
        <v>8691</v>
      </c>
      <c r="AJ1300" s="0" t="s">
        <v>8698</v>
      </c>
      <c r="AK1300" s="0" t="s">
        <v>8699</v>
      </c>
      <c r="AP1300" s="0" t="s">
        <v>8700</v>
      </c>
      <c r="AR1300" s="0" t="s">
        <v>8701</v>
      </c>
    </row>
    <row r="1301" customFormat="false" ht="15" hidden="false" customHeight="false" outlineLevel="0" collapsed="false">
      <c r="A1301" s="0" t="n">
        <v>1300</v>
      </c>
      <c r="B1301" s="0" t="s">
        <v>8702</v>
      </c>
      <c r="C1301" s="0" t="s">
        <v>88</v>
      </c>
      <c r="E1301" s="0" t="s">
        <v>8703</v>
      </c>
      <c r="N1301" s="3" t="s">
        <v>202</v>
      </c>
      <c r="O1301" s="3" t="s">
        <v>202</v>
      </c>
      <c r="P1301" s="0" t="s">
        <v>96</v>
      </c>
      <c r="AA1301" s="0" t="s">
        <v>47</v>
      </c>
      <c r="AB1301" s="0" t="s">
        <v>8704</v>
      </c>
      <c r="AC1301" s="0" t="s">
        <v>8705</v>
      </c>
      <c r="AD1301" s="0" t="s">
        <v>8706</v>
      </c>
      <c r="AE1301" s="0" t="s">
        <v>79</v>
      </c>
      <c r="AF1301" s="3" t="s">
        <v>48</v>
      </c>
      <c r="AG1301" s="3" t="s">
        <v>49</v>
      </c>
      <c r="AR1301" s="0" t="s">
        <v>8703</v>
      </c>
    </row>
    <row r="1302" customFormat="false" ht="15" hidden="false" customHeight="false" outlineLevel="0" collapsed="false">
      <c r="A1302" s="0" t="n">
        <v>1301</v>
      </c>
      <c r="B1302" s="0" t="s">
        <v>8707</v>
      </c>
      <c r="C1302" s="0" t="s">
        <v>88</v>
      </c>
      <c r="E1302" s="0" t="s">
        <v>8708</v>
      </c>
      <c r="H1302" s="0" t="s">
        <v>8709</v>
      </c>
      <c r="I1302" s="0" t="s">
        <v>46</v>
      </c>
      <c r="AA1302" s="0" t="s">
        <v>47</v>
      </c>
      <c r="AF1302" s="3" t="s">
        <v>48</v>
      </c>
      <c r="AG1302" s="3" t="s">
        <v>49</v>
      </c>
      <c r="AR1302" s="0" t="s">
        <v>8708</v>
      </c>
    </row>
    <row r="1303" customFormat="false" ht="15" hidden="false" customHeight="false" outlineLevel="0" collapsed="false">
      <c r="A1303" s="0" t="n">
        <v>1302</v>
      </c>
      <c r="B1303" s="0" t="s">
        <v>8710</v>
      </c>
      <c r="C1303" s="0" t="s">
        <v>244</v>
      </c>
      <c r="E1303" s="0" t="s">
        <v>8711</v>
      </c>
      <c r="F1303" s="0" t="s">
        <v>44</v>
      </c>
      <c r="H1303" s="0" t="s">
        <v>8712</v>
      </c>
      <c r="I1303" s="0" t="s">
        <v>154</v>
      </c>
      <c r="N1303" s="3" t="s">
        <v>226</v>
      </c>
      <c r="O1303" s="3" t="s">
        <v>226</v>
      </c>
      <c r="P1303" s="0" t="s">
        <v>96</v>
      </c>
      <c r="AA1303" s="0" t="s">
        <v>47</v>
      </c>
      <c r="AB1303" s="0" t="s">
        <v>8713</v>
      </c>
      <c r="AC1303" s="0" t="s">
        <v>8714</v>
      </c>
      <c r="AD1303" s="0" t="s">
        <v>8715</v>
      </c>
      <c r="AE1303" s="0" t="s">
        <v>79</v>
      </c>
      <c r="AF1303" s="3" t="s">
        <v>48</v>
      </c>
      <c r="AG1303" s="3" t="s">
        <v>49</v>
      </c>
      <c r="AL1303" s="0" t="s">
        <v>8716</v>
      </c>
      <c r="AM1303" s="0" t="s">
        <v>8717</v>
      </c>
      <c r="AO1303" s="0" t="s">
        <v>8718</v>
      </c>
      <c r="AP1303" s="0" t="s">
        <v>8718</v>
      </c>
      <c r="AR1303" s="0" t="s">
        <v>8719</v>
      </c>
    </row>
    <row r="1304" customFormat="false" ht="15" hidden="false" customHeight="false" outlineLevel="0" collapsed="false">
      <c r="A1304" s="0" t="n">
        <v>1303</v>
      </c>
      <c r="B1304" s="0" t="s">
        <v>8720</v>
      </c>
      <c r="C1304" s="0" t="s">
        <v>88</v>
      </c>
      <c r="E1304" s="0" t="s">
        <v>8721</v>
      </c>
      <c r="N1304" s="3" t="s">
        <v>213</v>
      </c>
      <c r="O1304" s="3" t="s">
        <v>213</v>
      </c>
      <c r="P1304" s="0" t="s">
        <v>96</v>
      </c>
      <c r="AA1304" s="0" t="s">
        <v>47</v>
      </c>
      <c r="AB1304" s="0" t="s">
        <v>8722</v>
      </c>
      <c r="AC1304" s="0" t="s">
        <v>8723</v>
      </c>
      <c r="AE1304" s="0" t="s">
        <v>79</v>
      </c>
      <c r="AF1304" s="3" t="s">
        <v>48</v>
      </c>
      <c r="AG1304" s="3" t="s">
        <v>49</v>
      </c>
      <c r="AR1304" s="0" t="s">
        <v>8721</v>
      </c>
    </row>
    <row r="1305" customFormat="false" ht="15" hidden="false" customHeight="false" outlineLevel="0" collapsed="false">
      <c r="A1305" s="0" t="n">
        <v>1304</v>
      </c>
      <c r="B1305" s="0" t="s">
        <v>8724</v>
      </c>
      <c r="C1305" s="0" t="s">
        <v>88</v>
      </c>
      <c r="E1305" s="0" t="s">
        <v>8725</v>
      </c>
      <c r="H1305" s="0" t="s">
        <v>8726</v>
      </c>
      <c r="I1305" s="0" t="s">
        <v>94</v>
      </c>
      <c r="N1305" s="3" t="s">
        <v>226</v>
      </c>
      <c r="O1305" s="3" t="s">
        <v>226</v>
      </c>
      <c r="P1305" s="0" t="s">
        <v>96</v>
      </c>
      <c r="AA1305" s="0" t="s">
        <v>47</v>
      </c>
      <c r="AB1305" s="0" t="s">
        <v>8727</v>
      </c>
      <c r="AC1305" s="0" t="s">
        <v>8728</v>
      </c>
      <c r="AD1305" s="0" t="s">
        <v>8729</v>
      </c>
      <c r="AE1305" s="0" t="s">
        <v>79</v>
      </c>
      <c r="AF1305" s="3" t="s">
        <v>48</v>
      </c>
      <c r="AG1305" s="3" t="s">
        <v>49</v>
      </c>
      <c r="AL1305" s="0" t="s">
        <v>8730</v>
      </c>
      <c r="AM1305" s="0" t="s">
        <v>8731</v>
      </c>
      <c r="AO1305" s="0" t="s">
        <v>8732</v>
      </c>
      <c r="AP1305" s="0" t="s">
        <v>8732</v>
      </c>
      <c r="AR1305" s="0" t="s">
        <v>8733</v>
      </c>
    </row>
    <row r="1306" customFormat="false" ht="15" hidden="false" customHeight="false" outlineLevel="0" collapsed="false">
      <c r="A1306" s="0" t="n">
        <v>1305</v>
      </c>
      <c r="B1306" s="0" t="s">
        <v>8734</v>
      </c>
      <c r="C1306" s="0" t="s">
        <v>88</v>
      </c>
      <c r="E1306" s="0" t="s">
        <v>8735</v>
      </c>
      <c r="AA1306" s="0" t="s">
        <v>47</v>
      </c>
      <c r="AB1306" s="0" t="s">
        <v>8736</v>
      </c>
      <c r="AC1306" s="0" t="s">
        <v>8737</v>
      </c>
      <c r="AD1306" s="0" t="s">
        <v>8738</v>
      </c>
      <c r="AE1306" s="0" t="s">
        <v>79</v>
      </c>
      <c r="AF1306" s="3" t="s">
        <v>48</v>
      </c>
      <c r="AG1306" s="3" t="s">
        <v>49</v>
      </c>
      <c r="AR1306" s="0" t="s">
        <v>8735</v>
      </c>
    </row>
    <row r="1307" customFormat="false" ht="15" hidden="false" customHeight="false" outlineLevel="0" collapsed="false">
      <c r="A1307" s="0" t="n">
        <v>1306</v>
      </c>
      <c r="B1307" s="0" t="s">
        <v>8739</v>
      </c>
      <c r="C1307" s="0" t="s">
        <v>88</v>
      </c>
      <c r="E1307" s="0" t="s">
        <v>8740</v>
      </c>
      <c r="N1307" s="3" t="s">
        <v>213</v>
      </c>
      <c r="O1307" s="3" t="s">
        <v>213</v>
      </c>
      <c r="P1307" s="0" t="s">
        <v>96</v>
      </c>
      <c r="AA1307" s="0" t="s">
        <v>47</v>
      </c>
      <c r="AB1307" s="0" t="s">
        <v>8741</v>
      </c>
      <c r="AC1307" s="0" t="s">
        <v>8742</v>
      </c>
      <c r="AD1307" s="0" t="s">
        <v>8743</v>
      </c>
      <c r="AE1307" s="0" t="s">
        <v>79</v>
      </c>
      <c r="AF1307" s="3" t="s">
        <v>48</v>
      </c>
      <c r="AG1307" s="3" t="s">
        <v>49</v>
      </c>
      <c r="AR1307" s="0" t="s">
        <v>8740</v>
      </c>
    </row>
    <row r="1308" customFormat="false" ht="15" hidden="false" customHeight="false" outlineLevel="0" collapsed="false">
      <c r="A1308" s="0" t="n">
        <v>1307</v>
      </c>
      <c r="B1308" s="0" t="s">
        <v>8744</v>
      </c>
      <c r="C1308" s="0" t="s">
        <v>88</v>
      </c>
      <c r="E1308" s="0" t="s">
        <v>8745</v>
      </c>
      <c r="AA1308" s="0" t="s">
        <v>47</v>
      </c>
      <c r="AF1308" s="3" t="s">
        <v>48</v>
      </c>
      <c r="AG1308" s="3" t="s">
        <v>49</v>
      </c>
      <c r="AR1308" s="0" t="s">
        <v>8745</v>
      </c>
    </row>
    <row r="1309" customFormat="false" ht="15" hidden="false" customHeight="false" outlineLevel="0" collapsed="false">
      <c r="A1309" s="0" t="n">
        <v>1308</v>
      </c>
      <c r="B1309" s="0" t="s">
        <v>8746</v>
      </c>
      <c r="C1309" s="0" t="s">
        <v>244</v>
      </c>
      <c r="E1309" s="0" t="s">
        <v>8747</v>
      </c>
      <c r="F1309" s="0" t="s">
        <v>44</v>
      </c>
      <c r="N1309" s="3" t="s">
        <v>202</v>
      </c>
      <c r="O1309" s="3" t="s">
        <v>202</v>
      </c>
      <c r="P1309" s="0" t="s">
        <v>96</v>
      </c>
      <c r="AA1309" s="0" t="s">
        <v>47</v>
      </c>
      <c r="AB1309" s="0" t="s">
        <v>8748</v>
      </c>
      <c r="AC1309" s="0" t="s">
        <v>8749</v>
      </c>
      <c r="AD1309" s="0" t="s">
        <v>8750</v>
      </c>
      <c r="AE1309" s="0" t="s">
        <v>79</v>
      </c>
      <c r="AF1309" s="3" t="s">
        <v>149</v>
      </c>
      <c r="AG1309" s="3" t="s">
        <v>81</v>
      </c>
      <c r="AK1309" s="0" t="s">
        <v>8751</v>
      </c>
      <c r="AR1309" s="0" t="s">
        <v>8752</v>
      </c>
    </row>
    <row r="1310" customFormat="false" ht="15" hidden="false" customHeight="false" outlineLevel="0" collapsed="false">
      <c r="A1310" s="0" t="n">
        <v>1309</v>
      </c>
      <c r="B1310" s="0" t="s">
        <v>8753</v>
      </c>
      <c r="C1310" s="0" t="s">
        <v>43</v>
      </c>
      <c r="F1310" s="0" t="s">
        <v>44</v>
      </c>
      <c r="H1310" s="0" t="s">
        <v>8754</v>
      </c>
      <c r="I1310" s="0" t="s">
        <v>46</v>
      </c>
      <c r="AA1310" s="0" t="s">
        <v>47</v>
      </c>
      <c r="AF1310" s="3" t="s">
        <v>48</v>
      </c>
      <c r="AG1310" s="3" t="s">
        <v>49</v>
      </c>
      <c r="AR1310" s="0" t="s">
        <v>50</v>
      </c>
    </row>
    <row r="1311" customFormat="false" ht="15" hidden="false" customHeight="false" outlineLevel="0" collapsed="false">
      <c r="A1311" s="0" t="n">
        <v>1310</v>
      </c>
      <c r="B1311" s="0" t="s">
        <v>8755</v>
      </c>
      <c r="C1311" s="0" t="s">
        <v>88</v>
      </c>
      <c r="E1311" s="0" t="s">
        <v>8756</v>
      </c>
      <c r="AA1311" s="0" t="s">
        <v>47</v>
      </c>
      <c r="AF1311" s="3" t="s">
        <v>48</v>
      </c>
      <c r="AG1311" s="3" t="s">
        <v>49</v>
      </c>
      <c r="AR1311" s="0" t="s">
        <v>8756</v>
      </c>
    </row>
    <row r="1312" customFormat="false" ht="15" hidden="false" customHeight="false" outlineLevel="0" collapsed="false">
      <c r="A1312" s="0" t="n">
        <v>1311</v>
      </c>
      <c r="B1312" s="0" t="s">
        <v>8757</v>
      </c>
      <c r="C1312" s="0" t="s">
        <v>88</v>
      </c>
      <c r="E1312" s="0" t="s">
        <v>8758</v>
      </c>
      <c r="N1312" s="3" t="s">
        <v>95</v>
      </c>
      <c r="O1312" s="3" t="s">
        <v>95</v>
      </c>
      <c r="P1312" s="0" t="s">
        <v>96</v>
      </c>
      <c r="AA1312" s="0" t="s">
        <v>47</v>
      </c>
      <c r="AB1312" s="0" t="s">
        <v>8759</v>
      </c>
      <c r="AC1312" s="0" t="s">
        <v>8760</v>
      </c>
      <c r="AD1312" s="0" t="s">
        <v>8761</v>
      </c>
      <c r="AE1312" s="0" t="s">
        <v>79</v>
      </c>
      <c r="AF1312" s="3" t="s">
        <v>48</v>
      </c>
      <c r="AG1312" s="3" t="s">
        <v>49</v>
      </c>
      <c r="AR1312" s="0" t="s">
        <v>8758</v>
      </c>
    </row>
    <row r="1313" customFormat="false" ht="15" hidden="false" customHeight="false" outlineLevel="0" collapsed="false">
      <c r="A1313" s="0" t="n">
        <v>1312</v>
      </c>
      <c r="B1313" s="0" t="s">
        <v>8762</v>
      </c>
      <c r="C1313" s="0" t="s">
        <v>88</v>
      </c>
      <c r="E1313" s="0" t="s">
        <v>8763</v>
      </c>
      <c r="AA1313" s="0" t="s">
        <v>47</v>
      </c>
      <c r="AF1313" s="3" t="s">
        <v>48</v>
      </c>
      <c r="AG1313" s="3" t="s">
        <v>49</v>
      </c>
      <c r="AR1313" s="0" t="s">
        <v>8763</v>
      </c>
    </row>
    <row r="1314" customFormat="false" ht="15" hidden="false" customHeight="false" outlineLevel="0" collapsed="false">
      <c r="A1314" s="0" t="n">
        <v>1313</v>
      </c>
      <c r="B1314" s="0" t="s">
        <v>8764</v>
      </c>
      <c r="C1314" s="0" t="s">
        <v>88</v>
      </c>
      <c r="E1314" s="0" t="s">
        <v>8765</v>
      </c>
      <c r="H1314" s="0" t="s">
        <v>8766</v>
      </c>
      <c r="I1314" s="0" t="s">
        <v>154</v>
      </c>
      <c r="N1314" s="3" t="s">
        <v>239</v>
      </c>
      <c r="O1314" s="3" t="s">
        <v>239</v>
      </c>
      <c r="P1314" s="0" t="s">
        <v>96</v>
      </c>
      <c r="AA1314" s="0" t="s">
        <v>47</v>
      </c>
      <c r="AB1314" s="0" t="s">
        <v>8767</v>
      </c>
      <c r="AC1314" s="0" t="s">
        <v>8768</v>
      </c>
      <c r="AE1314" s="0" t="s">
        <v>79</v>
      </c>
      <c r="AF1314" s="3" t="s">
        <v>48</v>
      </c>
      <c r="AG1314" s="3" t="s">
        <v>49</v>
      </c>
      <c r="AL1314" s="0" t="s">
        <v>8769</v>
      </c>
      <c r="AM1314" s="0" t="s">
        <v>8770</v>
      </c>
      <c r="AO1314" s="0" t="s">
        <v>8771</v>
      </c>
      <c r="AP1314" s="0" t="s">
        <v>8771</v>
      </c>
      <c r="AR1314" s="0" t="s">
        <v>8772</v>
      </c>
    </row>
    <row r="1315" customFormat="false" ht="15" hidden="false" customHeight="false" outlineLevel="0" collapsed="false">
      <c r="A1315" s="0" t="n">
        <v>1314</v>
      </c>
      <c r="B1315" s="0" t="s">
        <v>8773</v>
      </c>
      <c r="C1315" s="0" t="s">
        <v>88</v>
      </c>
      <c r="E1315" s="0" t="s">
        <v>8774</v>
      </c>
      <c r="N1315" s="3" t="s">
        <v>186</v>
      </c>
      <c r="O1315" s="3" t="s">
        <v>186</v>
      </c>
      <c r="P1315" s="0" t="s">
        <v>96</v>
      </c>
      <c r="AA1315" s="0" t="s">
        <v>47</v>
      </c>
      <c r="AB1315" s="0" t="s">
        <v>8775</v>
      </c>
      <c r="AC1315" s="0" t="s">
        <v>8776</v>
      </c>
      <c r="AD1315" s="0" t="s">
        <v>8777</v>
      </c>
      <c r="AE1315" s="0" t="s">
        <v>79</v>
      </c>
      <c r="AF1315" s="3" t="s">
        <v>48</v>
      </c>
      <c r="AG1315" s="3" t="s">
        <v>49</v>
      </c>
      <c r="AR1315" s="0" t="s">
        <v>8774</v>
      </c>
    </row>
    <row r="1316" customFormat="false" ht="15" hidden="false" customHeight="false" outlineLevel="0" collapsed="false">
      <c r="A1316" s="0" t="n">
        <v>1315</v>
      </c>
      <c r="B1316" s="0" t="s">
        <v>8778</v>
      </c>
      <c r="C1316" s="0" t="s">
        <v>61</v>
      </c>
      <c r="D1316" s="0" t="s">
        <v>8779</v>
      </c>
      <c r="E1316" s="0" t="s">
        <v>8780</v>
      </c>
      <c r="N1316" s="0" t="s">
        <v>738</v>
      </c>
      <c r="O1316" s="0" t="s">
        <v>738</v>
      </c>
      <c r="P1316" s="0" t="s">
        <v>55</v>
      </c>
      <c r="AA1316" s="0" t="s">
        <v>47</v>
      </c>
      <c r="AB1316" s="0" t="s">
        <v>8781</v>
      </c>
      <c r="AC1316" s="0" t="s">
        <v>8782</v>
      </c>
      <c r="AD1316" s="0" t="s">
        <v>8783</v>
      </c>
      <c r="AE1316" s="0" t="s">
        <v>79</v>
      </c>
      <c r="AF1316" s="3" t="s">
        <v>149</v>
      </c>
      <c r="AG1316" s="3" t="s">
        <v>81</v>
      </c>
      <c r="AK1316" s="0" t="s">
        <v>8784</v>
      </c>
      <c r="AR1316" s="0" t="s">
        <v>8785</v>
      </c>
    </row>
    <row r="1317" customFormat="false" ht="15" hidden="false" customHeight="false" outlineLevel="0" collapsed="false">
      <c r="A1317" s="0" t="n">
        <v>1316</v>
      </c>
      <c r="B1317" s="0" t="s">
        <v>8786</v>
      </c>
      <c r="C1317" s="0" t="s">
        <v>88</v>
      </c>
      <c r="E1317" s="0" t="s">
        <v>8787</v>
      </c>
      <c r="N1317" s="3" t="s">
        <v>95</v>
      </c>
      <c r="O1317" s="3" t="s">
        <v>95</v>
      </c>
      <c r="P1317" s="0" t="s">
        <v>96</v>
      </c>
      <c r="AA1317" s="0" t="s">
        <v>47</v>
      </c>
      <c r="AB1317" s="0" t="s">
        <v>8788</v>
      </c>
      <c r="AC1317" s="0" t="s">
        <v>8789</v>
      </c>
      <c r="AD1317" s="0" t="s">
        <v>8790</v>
      </c>
      <c r="AE1317" s="0" t="s">
        <v>79</v>
      </c>
      <c r="AF1317" s="3" t="s">
        <v>48</v>
      </c>
      <c r="AG1317" s="3" t="s">
        <v>49</v>
      </c>
      <c r="AR1317" s="0" t="s">
        <v>8787</v>
      </c>
    </row>
    <row r="1318" customFormat="false" ht="15" hidden="false" customHeight="false" outlineLevel="0" collapsed="false">
      <c r="A1318" s="0" t="n">
        <v>1317</v>
      </c>
      <c r="B1318" s="0" t="s">
        <v>8791</v>
      </c>
      <c r="C1318" s="0" t="s">
        <v>52</v>
      </c>
      <c r="D1318" s="0" t="s">
        <v>8792</v>
      </c>
      <c r="H1318" s="0" t="s">
        <v>8793</v>
      </c>
      <c r="I1318" s="0" t="s">
        <v>154</v>
      </c>
      <c r="N1318" s="3" t="s">
        <v>54</v>
      </c>
      <c r="O1318" s="3" t="s">
        <v>54</v>
      </c>
      <c r="P1318" s="0" t="s">
        <v>55</v>
      </c>
      <c r="AA1318" s="0" t="s">
        <v>47</v>
      </c>
      <c r="AB1318" s="0" t="s">
        <v>8794</v>
      </c>
      <c r="AC1318" s="0" t="s">
        <v>8795</v>
      </c>
      <c r="AD1318" s="0" t="s">
        <v>8796</v>
      </c>
      <c r="AE1318" s="0" t="s">
        <v>59</v>
      </c>
      <c r="AF1318" s="3" t="s">
        <v>108</v>
      </c>
      <c r="AG1318" s="3" t="s">
        <v>49</v>
      </c>
      <c r="AH1318" s="0" t="n">
        <v>2026</v>
      </c>
      <c r="AI1318" s="0" t="s">
        <v>921</v>
      </c>
      <c r="AJ1318" s="0" t="s">
        <v>922</v>
      </c>
      <c r="AM1318" s="0" t="s">
        <v>8797</v>
      </c>
      <c r="AO1318" s="0" t="s">
        <v>8798</v>
      </c>
      <c r="AP1318" s="0" t="s">
        <v>8798</v>
      </c>
      <c r="AR1318" s="0" t="s">
        <v>8799</v>
      </c>
    </row>
    <row r="1319" customFormat="false" ht="15" hidden="false" customHeight="false" outlineLevel="0" collapsed="false">
      <c r="A1319" s="0" t="n">
        <v>1318</v>
      </c>
      <c r="B1319" s="0" t="s">
        <v>8800</v>
      </c>
      <c r="C1319" s="0" t="s">
        <v>52</v>
      </c>
      <c r="D1319" s="0" t="s">
        <v>8801</v>
      </c>
      <c r="H1319" s="0" t="s">
        <v>8802</v>
      </c>
      <c r="I1319" s="0" t="s">
        <v>154</v>
      </c>
      <c r="N1319" s="3" t="s">
        <v>54</v>
      </c>
      <c r="O1319" s="3" t="s">
        <v>54</v>
      </c>
      <c r="P1319" s="0" t="s">
        <v>55</v>
      </c>
      <c r="AA1319" s="0" t="s">
        <v>47</v>
      </c>
      <c r="AB1319" s="0" t="s">
        <v>8803</v>
      </c>
      <c r="AC1319" s="0" t="s">
        <v>8804</v>
      </c>
      <c r="AD1319" s="0" t="s">
        <v>8805</v>
      </c>
      <c r="AE1319" s="0" t="s">
        <v>59</v>
      </c>
      <c r="AF1319" s="3" t="s">
        <v>108</v>
      </c>
      <c r="AG1319" s="3" t="s">
        <v>49</v>
      </c>
      <c r="AH1319" s="0" t="n">
        <v>2026</v>
      </c>
      <c r="AI1319" s="0" t="s">
        <v>3060</v>
      </c>
      <c r="AJ1319" s="0" t="s">
        <v>3061</v>
      </c>
      <c r="AL1319" s="0" t="s">
        <v>8806</v>
      </c>
      <c r="AM1319" s="0" t="s">
        <v>8807</v>
      </c>
      <c r="AO1319" s="0" t="s">
        <v>8808</v>
      </c>
      <c r="AP1319" s="0" t="s">
        <v>8808</v>
      </c>
      <c r="AR1319" s="0" t="s">
        <v>8809</v>
      </c>
    </row>
    <row r="1320" customFormat="false" ht="15" hidden="false" customHeight="false" outlineLevel="0" collapsed="false">
      <c r="A1320" s="0" t="n">
        <v>1319</v>
      </c>
      <c r="B1320" s="0" t="s">
        <v>8810</v>
      </c>
      <c r="C1320" s="0" t="s">
        <v>88</v>
      </c>
      <c r="E1320" s="0" t="s">
        <v>8811</v>
      </c>
      <c r="H1320" s="0" t="s">
        <v>8812</v>
      </c>
      <c r="I1320" s="0" t="s">
        <v>154</v>
      </c>
      <c r="N1320" s="3" t="s">
        <v>95</v>
      </c>
      <c r="O1320" s="3" t="s">
        <v>95</v>
      </c>
      <c r="P1320" s="0" t="s">
        <v>96</v>
      </c>
      <c r="AA1320" s="0" t="s">
        <v>47</v>
      </c>
      <c r="AB1320" s="0" t="s">
        <v>8813</v>
      </c>
      <c r="AC1320" s="0" t="s">
        <v>8814</v>
      </c>
      <c r="AD1320" s="0" t="s">
        <v>8815</v>
      </c>
      <c r="AE1320" s="0" t="s">
        <v>79</v>
      </c>
      <c r="AF1320" s="3" t="s">
        <v>48</v>
      </c>
      <c r="AG1320" s="3" t="s">
        <v>49</v>
      </c>
      <c r="AO1320" s="0" t="s">
        <v>8816</v>
      </c>
      <c r="AP1320" s="0" t="s">
        <v>8816</v>
      </c>
      <c r="AR1320" s="0" t="s">
        <v>8817</v>
      </c>
    </row>
    <row r="1321" customFormat="false" ht="15" hidden="false" customHeight="false" outlineLevel="0" collapsed="false">
      <c r="A1321" s="0" t="n">
        <v>1320</v>
      </c>
      <c r="B1321" s="0" t="s">
        <v>8818</v>
      </c>
      <c r="C1321" s="0" t="s">
        <v>88</v>
      </c>
      <c r="E1321" s="0" t="s">
        <v>8819</v>
      </c>
      <c r="H1321" s="0" t="s">
        <v>8820</v>
      </c>
      <c r="I1321" s="0" t="s">
        <v>154</v>
      </c>
      <c r="N1321" s="3" t="s">
        <v>95</v>
      </c>
      <c r="O1321" s="3" t="s">
        <v>95</v>
      </c>
      <c r="P1321" s="0" t="s">
        <v>96</v>
      </c>
      <c r="AA1321" s="0" t="s">
        <v>47</v>
      </c>
      <c r="AB1321" s="0" t="s">
        <v>8821</v>
      </c>
      <c r="AC1321" s="0" t="s">
        <v>8822</v>
      </c>
      <c r="AD1321" s="0" t="s">
        <v>8823</v>
      </c>
      <c r="AE1321" s="0" t="s">
        <v>79</v>
      </c>
      <c r="AF1321" s="3" t="s">
        <v>48</v>
      </c>
      <c r="AG1321" s="3" t="s">
        <v>49</v>
      </c>
      <c r="AL1321" s="0" t="s">
        <v>8824</v>
      </c>
      <c r="AO1321" s="0" t="s">
        <v>8825</v>
      </c>
      <c r="AP1321" s="0" t="s">
        <v>8825</v>
      </c>
      <c r="AR1321" s="0" t="s">
        <v>8826</v>
      </c>
    </row>
    <row r="1322" customFormat="false" ht="15" hidden="false" customHeight="false" outlineLevel="0" collapsed="false">
      <c r="A1322" s="0" t="n">
        <v>1321</v>
      </c>
      <c r="B1322" s="0" t="s">
        <v>8827</v>
      </c>
      <c r="C1322" s="0" t="s">
        <v>244</v>
      </c>
      <c r="E1322" s="0" t="s">
        <v>8828</v>
      </c>
      <c r="F1322" s="0" t="s">
        <v>44</v>
      </c>
      <c r="H1322" s="0" t="s">
        <v>8829</v>
      </c>
      <c r="I1322" s="0" t="s">
        <v>154</v>
      </c>
      <c r="N1322" s="3" t="s">
        <v>186</v>
      </c>
      <c r="O1322" s="3" t="s">
        <v>186</v>
      </c>
      <c r="P1322" s="0" t="s">
        <v>96</v>
      </c>
      <c r="AA1322" s="0" t="s">
        <v>47</v>
      </c>
      <c r="AB1322" s="0" t="s">
        <v>8830</v>
      </c>
      <c r="AC1322" s="0" t="s">
        <v>8831</v>
      </c>
      <c r="AD1322" s="0" t="s">
        <v>8832</v>
      </c>
      <c r="AE1322" s="0" t="s">
        <v>79</v>
      </c>
      <c r="AF1322" s="3" t="s">
        <v>149</v>
      </c>
      <c r="AG1322" s="3" t="s">
        <v>81</v>
      </c>
      <c r="AK1322" s="0" t="s">
        <v>8833</v>
      </c>
      <c r="AL1322" s="0" t="s">
        <v>8834</v>
      </c>
      <c r="AM1322" s="0" t="s">
        <v>8835</v>
      </c>
      <c r="AO1322" s="0" t="s">
        <v>8836</v>
      </c>
      <c r="AP1322" s="0" t="s">
        <v>8836</v>
      </c>
      <c r="AR1322" s="0" t="s">
        <v>8837</v>
      </c>
    </row>
    <row r="1323" customFormat="false" ht="15" hidden="false" customHeight="false" outlineLevel="0" collapsed="false">
      <c r="A1323" s="0" t="n">
        <v>1322</v>
      </c>
      <c r="B1323" s="0" t="s">
        <v>8838</v>
      </c>
      <c r="C1323" s="0" t="s">
        <v>88</v>
      </c>
      <c r="E1323" s="0" t="s">
        <v>8839</v>
      </c>
      <c r="N1323" s="3" t="s">
        <v>119</v>
      </c>
      <c r="O1323" s="3" t="s">
        <v>119</v>
      </c>
      <c r="P1323" s="0" t="s">
        <v>96</v>
      </c>
      <c r="AA1323" s="0" t="s">
        <v>47</v>
      </c>
      <c r="AB1323" s="0" t="s">
        <v>8840</v>
      </c>
      <c r="AC1323" s="0" t="s">
        <v>8841</v>
      </c>
      <c r="AD1323" s="0" t="s">
        <v>8842</v>
      </c>
      <c r="AE1323" s="0" t="s">
        <v>79</v>
      </c>
      <c r="AF1323" s="3" t="s">
        <v>48</v>
      </c>
      <c r="AG1323" s="3" t="s">
        <v>49</v>
      </c>
      <c r="AR1323" s="0" t="s">
        <v>8839</v>
      </c>
    </row>
    <row r="1324" customFormat="false" ht="15" hidden="false" customHeight="false" outlineLevel="0" collapsed="false">
      <c r="A1324" s="0" t="n">
        <v>1323</v>
      </c>
      <c r="B1324" s="0" t="s">
        <v>8843</v>
      </c>
      <c r="C1324" s="0" t="s">
        <v>43</v>
      </c>
      <c r="F1324" s="0" t="s">
        <v>44</v>
      </c>
      <c r="H1324" s="0" t="s">
        <v>8844</v>
      </c>
      <c r="I1324" s="0" t="s">
        <v>154</v>
      </c>
      <c r="AA1324" s="0" t="s">
        <v>47</v>
      </c>
      <c r="AF1324" s="3" t="s">
        <v>48</v>
      </c>
      <c r="AG1324" s="3" t="s">
        <v>49</v>
      </c>
      <c r="AL1324" s="0" t="s">
        <v>8845</v>
      </c>
      <c r="AM1324" s="0" t="s">
        <v>8846</v>
      </c>
      <c r="AP1324" s="0" t="s">
        <v>8847</v>
      </c>
      <c r="AR1324" s="0" t="s">
        <v>8848</v>
      </c>
    </row>
    <row r="1325" customFormat="false" ht="15" hidden="false" customHeight="false" outlineLevel="0" collapsed="false">
      <c r="A1325" s="0" t="n">
        <v>1324</v>
      </c>
      <c r="B1325" s="0" t="s">
        <v>8849</v>
      </c>
      <c r="C1325" s="0" t="s">
        <v>43</v>
      </c>
      <c r="F1325" s="0" t="s">
        <v>44</v>
      </c>
      <c r="H1325" s="0" t="s">
        <v>8850</v>
      </c>
      <c r="I1325" s="0" t="s">
        <v>46</v>
      </c>
      <c r="AA1325" s="0" t="s">
        <v>47</v>
      </c>
      <c r="AF1325" s="3" t="s">
        <v>108</v>
      </c>
      <c r="AG1325" s="3" t="s">
        <v>49</v>
      </c>
      <c r="AH1325" s="0" t="n">
        <v>2026</v>
      </c>
      <c r="AI1325" s="0" t="s">
        <v>167</v>
      </c>
      <c r="AJ1325" s="0" t="s">
        <v>168</v>
      </c>
      <c r="AR1325" s="0" t="s">
        <v>5908</v>
      </c>
    </row>
    <row r="1326" customFormat="false" ht="15" hidden="false" customHeight="false" outlineLevel="0" collapsed="false">
      <c r="A1326" s="0" t="n">
        <v>1325</v>
      </c>
      <c r="B1326" s="0" t="s">
        <v>8851</v>
      </c>
      <c r="C1326" s="0" t="s">
        <v>88</v>
      </c>
      <c r="E1326" s="0" t="s">
        <v>8852</v>
      </c>
      <c r="N1326" s="3" t="s">
        <v>202</v>
      </c>
      <c r="O1326" s="3" t="s">
        <v>202</v>
      </c>
      <c r="P1326" s="0" t="s">
        <v>96</v>
      </c>
      <c r="AA1326" s="0" t="s">
        <v>47</v>
      </c>
      <c r="AB1326" s="0" t="s">
        <v>8853</v>
      </c>
      <c r="AC1326" s="0" t="s">
        <v>8854</v>
      </c>
      <c r="AD1326" s="0" t="s">
        <v>8855</v>
      </c>
      <c r="AE1326" s="0" t="s">
        <v>79</v>
      </c>
      <c r="AF1326" s="3" t="s">
        <v>48</v>
      </c>
      <c r="AG1326" s="3" t="s">
        <v>49</v>
      </c>
      <c r="AR1326" s="0" t="s">
        <v>8852</v>
      </c>
    </row>
    <row r="1327" customFormat="false" ht="15" hidden="false" customHeight="false" outlineLevel="0" collapsed="false">
      <c r="A1327" s="0" t="n">
        <v>1326</v>
      </c>
      <c r="B1327" s="0" t="s">
        <v>8856</v>
      </c>
      <c r="C1327" s="0" t="s">
        <v>88</v>
      </c>
      <c r="E1327" s="0" t="s">
        <v>8857</v>
      </c>
      <c r="H1327" s="0" t="s">
        <v>8858</v>
      </c>
      <c r="I1327" s="0" t="s">
        <v>154</v>
      </c>
      <c r="N1327" s="3" t="s">
        <v>202</v>
      </c>
      <c r="O1327" s="3" t="s">
        <v>202</v>
      </c>
      <c r="P1327" s="0" t="s">
        <v>96</v>
      </c>
      <c r="AA1327" s="0" t="s">
        <v>47</v>
      </c>
      <c r="AB1327" s="0" t="s">
        <v>8859</v>
      </c>
      <c r="AC1327" s="0" t="s">
        <v>8860</v>
      </c>
      <c r="AD1327" s="0" t="s">
        <v>8861</v>
      </c>
      <c r="AE1327" s="0" t="s">
        <v>79</v>
      </c>
      <c r="AF1327" s="3" t="s">
        <v>48</v>
      </c>
      <c r="AG1327" s="3" t="s">
        <v>49</v>
      </c>
      <c r="AL1327" s="0" t="s">
        <v>8862</v>
      </c>
      <c r="AM1327" s="0" t="s">
        <v>8863</v>
      </c>
      <c r="AO1327" s="0" t="s">
        <v>8864</v>
      </c>
      <c r="AP1327" s="0" t="s">
        <v>8864</v>
      </c>
      <c r="AR1327" s="0" t="s">
        <v>8865</v>
      </c>
    </row>
    <row r="1328" customFormat="false" ht="15" hidden="false" customHeight="false" outlineLevel="0" collapsed="false">
      <c r="A1328" s="0" t="n">
        <v>1327</v>
      </c>
      <c r="B1328" s="0" t="s">
        <v>8866</v>
      </c>
      <c r="C1328" s="0" t="s">
        <v>61</v>
      </c>
      <c r="D1328" s="0" t="s">
        <v>8867</v>
      </c>
      <c r="E1328" s="0" t="s">
        <v>8868</v>
      </c>
      <c r="H1328" s="0" t="s">
        <v>8869</v>
      </c>
      <c r="I1328" s="0" t="s">
        <v>115</v>
      </c>
      <c r="J1328" s="3" t="s">
        <v>8870</v>
      </c>
      <c r="K1328" s="0" t="s">
        <v>8871</v>
      </c>
      <c r="M1328" s="0" t="n">
        <v>1983</v>
      </c>
      <c r="N1328" s="0" t="s">
        <v>1325</v>
      </c>
      <c r="O1328" s="3" t="s">
        <v>54</v>
      </c>
      <c r="P1328" s="0" t="s">
        <v>55</v>
      </c>
      <c r="R1328" s="0" t="n">
        <v>200</v>
      </c>
      <c r="S1328" s="0" t="n">
        <v>2024</v>
      </c>
      <c r="T1328" s="0" t="s">
        <v>698</v>
      </c>
      <c r="U1328" s="0" t="s">
        <v>115</v>
      </c>
      <c r="V1328" s="0" t="n">
        <v>25.6</v>
      </c>
      <c r="W1328" s="0" t="s">
        <v>8872</v>
      </c>
      <c r="X1328" s="0" t="s">
        <v>1541</v>
      </c>
      <c r="Y1328" s="0" t="s">
        <v>72</v>
      </c>
      <c r="Z1328" s="0" t="s">
        <v>115</v>
      </c>
      <c r="AA1328" s="0" t="s">
        <v>75</v>
      </c>
      <c r="AB1328" s="0" t="s">
        <v>8873</v>
      </c>
      <c r="AC1328" s="0" t="s">
        <v>8874</v>
      </c>
      <c r="AD1328" s="0" t="s">
        <v>8875</v>
      </c>
      <c r="AE1328" s="0" t="s">
        <v>115</v>
      </c>
      <c r="AF1328" s="3" t="s">
        <v>108</v>
      </c>
      <c r="AG1328" s="3" t="s">
        <v>404</v>
      </c>
      <c r="AH1328" s="0" t="n">
        <v>2026</v>
      </c>
      <c r="AI1328" s="0" t="s">
        <v>8876</v>
      </c>
      <c r="AJ1328" s="0" t="s">
        <v>8877</v>
      </c>
      <c r="AK1328" s="0" t="s">
        <v>8878</v>
      </c>
      <c r="AL1328" s="0" t="s">
        <v>8879</v>
      </c>
      <c r="AN1328" s="0" t="s">
        <v>8880</v>
      </c>
      <c r="AO1328" s="0" t="s">
        <v>8881</v>
      </c>
      <c r="AP1328" s="0" t="s">
        <v>8881</v>
      </c>
      <c r="AR1328" s="0" t="s">
        <v>8882</v>
      </c>
    </row>
    <row r="1329" customFormat="false" ht="15" hidden="false" customHeight="false" outlineLevel="0" collapsed="false">
      <c r="A1329" s="0" t="n">
        <v>1328</v>
      </c>
      <c r="B1329" s="0" t="s">
        <v>8883</v>
      </c>
      <c r="C1329" s="0" t="s">
        <v>43</v>
      </c>
      <c r="F1329" s="0" t="s">
        <v>44</v>
      </c>
      <c r="H1329" s="0" t="s">
        <v>8869</v>
      </c>
      <c r="I1329" s="0" t="s">
        <v>115</v>
      </c>
      <c r="J1329" s="3" t="s">
        <v>8870</v>
      </c>
      <c r="K1329" s="0" t="s">
        <v>8871</v>
      </c>
      <c r="M1329" s="0" t="n">
        <v>1983</v>
      </c>
      <c r="N1329" s="0" t="s">
        <v>1325</v>
      </c>
      <c r="O1329" s="3" t="s">
        <v>213</v>
      </c>
      <c r="P1329" s="0" t="s">
        <v>96</v>
      </c>
      <c r="R1329" s="0" t="n">
        <v>200</v>
      </c>
      <c r="S1329" s="0" t="n">
        <v>2024</v>
      </c>
      <c r="T1329" s="0" t="s">
        <v>698</v>
      </c>
      <c r="U1329" s="0" t="s">
        <v>115</v>
      </c>
      <c r="V1329" s="0" t="n">
        <v>25.6</v>
      </c>
      <c r="W1329" s="0" t="s">
        <v>8872</v>
      </c>
      <c r="X1329" s="0" t="s">
        <v>1541</v>
      </c>
      <c r="Y1329" s="0" t="s">
        <v>72</v>
      </c>
      <c r="Z1329" s="0" t="s">
        <v>115</v>
      </c>
      <c r="AA1329" s="0" t="s">
        <v>75</v>
      </c>
      <c r="AB1329" s="0" t="s">
        <v>8873</v>
      </c>
      <c r="AC1329" s="0" t="s">
        <v>8874</v>
      </c>
      <c r="AD1329" s="0" t="s">
        <v>8875</v>
      </c>
      <c r="AE1329" s="0" t="s">
        <v>115</v>
      </c>
      <c r="AF1329" s="3" t="s">
        <v>108</v>
      </c>
      <c r="AG1329" s="3" t="s">
        <v>404</v>
      </c>
      <c r="AH1329" s="0" t="n">
        <v>2026</v>
      </c>
      <c r="AI1329" s="0" t="s">
        <v>8876</v>
      </c>
      <c r="AJ1329" s="0" t="s">
        <v>8877</v>
      </c>
      <c r="AK1329" s="0" t="s">
        <v>8878</v>
      </c>
      <c r="AL1329" s="0" t="s">
        <v>8879</v>
      </c>
      <c r="AN1329" s="0" t="s">
        <v>8880</v>
      </c>
      <c r="AO1329" s="0" t="s">
        <v>8881</v>
      </c>
      <c r="AP1329" s="0" t="s">
        <v>8881</v>
      </c>
      <c r="AR1329" s="0" t="s">
        <v>8884</v>
      </c>
    </row>
    <row r="1330" customFormat="false" ht="15" hidden="false" customHeight="false" outlineLevel="0" collapsed="false">
      <c r="A1330" s="0" t="n">
        <v>1329</v>
      </c>
      <c r="B1330" s="0" t="s">
        <v>8885</v>
      </c>
      <c r="C1330" s="0" t="s">
        <v>88</v>
      </c>
      <c r="E1330" s="0" t="s">
        <v>8886</v>
      </c>
      <c r="H1330" s="0" t="s">
        <v>8887</v>
      </c>
      <c r="I1330" s="0" t="s">
        <v>154</v>
      </c>
      <c r="N1330" s="3" t="s">
        <v>95</v>
      </c>
      <c r="O1330" s="3" t="s">
        <v>95</v>
      </c>
      <c r="P1330" s="0" t="s">
        <v>96</v>
      </c>
      <c r="AA1330" s="0" t="s">
        <v>47</v>
      </c>
      <c r="AB1330" s="0" t="s">
        <v>8888</v>
      </c>
      <c r="AC1330" s="0" t="s">
        <v>8889</v>
      </c>
      <c r="AD1330" s="0" t="s">
        <v>8890</v>
      </c>
      <c r="AE1330" s="0" t="s">
        <v>79</v>
      </c>
      <c r="AF1330" s="3" t="s">
        <v>48</v>
      </c>
      <c r="AG1330" s="3" t="s">
        <v>49</v>
      </c>
      <c r="AL1330" s="0" t="s">
        <v>8891</v>
      </c>
      <c r="AM1330" s="0" t="s">
        <v>8892</v>
      </c>
      <c r="AO1330" s="0" t="s">
        <v>8893</v>
      </c>
      <c r="AP1330" s="0" t="s">
        <v>8893</v>
      </c>
      <c r="AR1330" s="0" t="s">
        <v>8894</v>
      </c>
    </row>
    <row r="1331" customFormat="false" ht="15" hidden="false" customHeight="false" outlineLevel="0" collapsed="false">
      <c r="A1331" s="0" t="n">
        <v>1330</v>
      </c>
      <c r="B1331" s="0" t="s">
        <v>8895</v>
      </c>
      <c r="C1331" s="0" t="s">
        <v>52</v>
      </c>
      <c r="D1331" s="0" t="s">
        <v>8896</v>
      </c>
      <c r="N1331" s="3" t="s">
        <v>202</v>
      </c>
      <c r="O1331" s="3" t="s">
        <v>202</v>
      </c>
      <c r="P1331" s="0" t="s">
        <v>96</v>
      </c>
      <c r="AA1331" s="0" t="s">
        <v>47</v>
      </c>
      <c r="AB1331" s="0" t="s">
        <v>8897</v>
      </c>
      <c r="AC1331" s="0" t="s">
        <v>8898</v>
      </c>
      <c r="AD1331" s="0" t="s">
        <v>8899</v>
      </c>
      <c r="AE1331" s="0" t="s">
        <v>59</v>
      </c>
      <c r="AF1331" s="3" t="s">
        <v>48</v>
      </c>
      <c r="AG1331" s="3" t="s">
        <v>49</v>
      </c>
      <c r="AR1331" s="0" t="s">
        <v>8896</v>
      </c>
    </row>
    <row r="1332" customFormat="false" ht="15" hidden="false" customHeight="false" outlineLevel="0" collapsed="false">
      <c r="A1332" s="0" t="n">
        <v>1331</v>
      </c>
      <c r="B1332" s="0" t="s">
        <v>8900</v>
      </c>
      <c r="C1332" s="0" t="s">
        <v>88</v>
      </c>
      <c r="E1332" s="0" t="s">
        <v>8901</v>
      </c>
      <c r="N1332" s="3" t="s">
        <v>202</v>
      </c>
      <c r="O1332" s="3" t="s">
        <v>202</v>
      </c>
      <c r="P1332" s="0" t="s">
        <v>96</v>
      </c>
      <c r="AA1332" s="0" t="s">
        <v>47</v>
      </c>
      <c r="AB1332" s="0" t="s">
        <v>8902</v>
      </c>
      <c r="AC1332" s="0" t="s">
        <v>8903</v>
      </c>
      <c r="AE1332" s="0" t="s">
        <v>79</v>
      </c>
      <c r="AF1332" s="3" t="s">
        <v>48</v>
      </c>
      <c r="AG1332" s="3" t="s">
        <v>49</v>
      </c>
      <c r="AR1332" s="0" t="s">
        <v>8901</v>
      </c>
    </row>
    <row r="1333" customFormat="false" ht="15" hidden="false" customHeight="false" outlineLevel="0" collapsed="false">
      <c r="A1333" s="0" t="n">
        <v>1332</v>
      </c>
      <c r="B1333" s="0" t="s">
        <v>8904</v>
      </c>
      <c r="C1333" s="0" t="s">
        <v>88</v>
      </c>
      <c r="E1333" s="0" t="s">
        <v>8905</v>
      </c>
      <c r="N1333" s="3" t="s">
        <v>202</v>
      </c>
      <c r="O1333" s="3" t="s">
        <v>202</v>
      </c>
      <c r="P1333" s="0" t="s">
        <v>96</v>
      </c>
      <c r="AA1333" s="0" t="s">
        <v>47</v>
      </c>
      <c r="AB1333" s="0" t="s">
        <v>8906</v>
      </c>
      <c r="AC1333" s="0" t="s">
        <v>8907</v>
      </c>
      <c r="AE1333" s="0" t="s">
        <v>79</v>
      </c>
      <c r="AF1333" s="3" t="s">
        <v>48</v>
      </c>
      <c r="AG1333" s="3" t="s">
        <v>49</v>
      </c>
      <c r="AR1333" s="0" t="s">
        <v>8905</v>
      </c>
    </row>
    <row r="1334" customFormat="false" ht="15" hidden="false" customHeight="false" outlineLevel="0" collapsed="false">
      <c r="A1334" s="0" t="n">
        <v>1333</v>
      </c>
      <c r="B1334" s="0" t="s">
        <v>8908</v>
      </c>
      <c r="C1334" s="0" t="s">
        <v>88</v>
      </c>
      <c r="E1334" s="0" t="s">
        <v>8909</v>
      </c>
      <c r="H1334" s="0" t="s">
        <v>8910</v>
      </c>
      <c r="I1334" s="0" t="s">
        <v>154</v>
      </c>
      <c r="N1334" s="3" t="s">
        <v>186</v>
      </c>
      <c r="O1334" s="3" t="s">
        <v>186</v>
      </c>
      <c r="P1334" s="0" t="s">
        <v>96</v>
      </c>
      <c r="AA1334" s="0" t="s">
        <v>47</v>
      </c>
      <c r="AB1334" s="0" t="s">
        <v>8911</v>
      </c>
      <c r="AC1334" s="0" t="s">
        <v>8912</v>
      </c>
      <c r="AE1334" s="0" t="s">
        <v>79</v>
      </c>
      <c r="AF1334" s="3" t="s">
        <v>48</v>
      </c>
      <c r="AG1334" s="3" t="s">
        <v>49</v>
      </c>
      <c r="AL1334" s="0" t="s">
        <v>8913</v>
      </c>
      <c r="AO1334" s="0" t="s">
        <v>8914</v>
      </c>
      <c r="AP1334" s="0" t="s">
        <v>8914</v>
      </c>
      <c r="AR1334" s="0" t="s">
        <v>8915</v>
      </c>
    </row>
    <row r="1335" customFormat="false" ht="15" hidden="false" customHeight="false" outlineLevel="0" collapsed="false">
      <c r="A1335" s="0" t="n">
        <v>1334</v>
      </c>
      <c r="B1335" s="0" t="s">
        <v>8916</v>
      </c>
      <c r="C1335" s="0" t="s">
        <v>88</v>
      </c>
      <c r="E1335" s="0" t="s">
        <v>8917</v>
      </c>
      <c r="H1335" s="0" t="s">
        <v>8918</v>
      </c>
      <c r="I1335" s="0" t="s">
        <v>46</v>
      </c>
      <c r="AA1335" s="0" t="s">
        <v>47</v>
      </c>
      <c r="AB1335" s="0" t="s">
        <v>8919</v>
      </c>
      <c r="AC1335" s="0" t="s">
        <v>8920</v>
      </c>
      <c r="AD1335" s="0" t="s">
        <v>8921</v>
      </c>
      <c r="AE1335" s="0" t="s">
        <v>79</v>
      </c>
      <c r="AF1335" s="3" t="s">
        <v>48</v>
      </c>
      <c r="AG1335" s="3" t="s">
        <v>49</v>
      </c>
      <c r="AR1335" s="0" t="s">
        <v>8917</v>
      </c>
    </row>
    <row r="1336" customFormat="false" ht="15" hidden="false" customHeight="false" outlineLevel="0" collapsed="false">
      <c r="A1336" s="0" t="n">
        <v>1335</v>
      </c>
      <c r="B1336" s="0" t="s">
        <v>8922</v>
      </c>
      <c r="C1336" s="0" t="s">
        <v>88</v>
      </c>
      <c r="E1336" s="0" t="s">
        <v>8923</v>
      </c>
      <c r="N1336" s="3" t="s">
        <v>147</v>
      </c>
      <c r="O1336" s="3" t="s">
        <v>147</v>
      </c>
      <c r="P1336" s="0" t="s">
        <v>96</v>
      </c>
      <c r="AA1336" s="0" t="s">
        <v>47</v>
      </c>
      <c r="AB1336" s="0" t="s">
        <v>8924</v>
      </c>
      <c r="AC1336" s="0" t="s">
        <v>8925</v>
      </c>
      <c r="AD1336" s="0" t="s">
        <v>8926</v>
      </c>
      <c r="AE1336" s="0" t="s">
        <v>79</v>
      </c>
      <c r="AF1336" s="3" t="s">
        <v>48</v>
      </c>
      <c r="AG1336" s="3" t="s">
        <v>49</v>
      </c>
      <c r="AR1336" s="0" t="s">
        <v>8923</v>
      </c>
    </row>
    <row r="1337" customFormat="false" ht="15" hidden="false" customHeight="false" outlineLevel="0" collapsed="false">
      <c r="A1337" s="0" t="n">
        <v>1336</v>
      </c>
      <c r="B1337" s="0" t="s">
        <v>8927</v>
      </c>
      <c r="C1337" s="0" t="s">
        <v>88</v>
      </c>
      <c r="E1337" s="0" t="s">
        <v>8928</v>
      </c>
      <c r="N1337" s="3" t="s">
        <v>202</v>
      </c>
      <c r="O1337" s="3" t="s">
        <v>202</v>
      </c>
      <c r="P1337" s="0" t="s">
        <v>96</v>
      </c>
      <c r="AA1337" s="0" t="s">
        <v>47</v>
      </c>
      <c r="AB1337" s="0" t="s">
        <v>8929</v>
      </c>
      <c r="AC1337" s="0" t="s">
        <v>8930</v>
      </c>
      <c r="AD1337" s="0" t="s">
        <v>8931</v>
      </c>
      <c r="AE1337" s="0" t="s">
        <v>79</v>
      </c>
      <c r="AF1337" s="3" t="s">
        <v>48</v>
      </c>
      <c r="AG1337" s="3" t="s">
        <v>49</v>
      </c>
      <c r="AR1337" s="0" t="s">
        <v>8928</v>
      </c>
    </row>
    <row r="1338" customFormat="false" ht="15" hidden="false" customHeight="false" outlineLevel="0" collapsed="false">
      <c r="A1338" s="0" t="n">
        <v>1337</v>
      </c>
      <c r="B1338" s="0" t="s">
        <v>8932</v>
      </c>
      <c r="C1338" s="0" t="s">
        <v>88</v>
      </c>
      <c r="E1338" s="0" t="s">
        <v>8933</v>
      </c>
      <c r="N1338" s="3" t="s">
        <v>202</v>
      </c>
      <c r="O1338" s="3" t="s">
        <v>202</v>
      </c>
      <c r="P1338" s="0" t="s">
        <v>96</v>
      </c>
      <c r="AA1338" s="0" t="s">
        <v>47</v>
      </c>
      <c r="AB1338" s="0" t="s">
        <v>8934</v>
      </c>
      <c r="AC1338" s="0" t="s">
        <v>8935</v>
      </c>
      <c r="AD1338" s="0" t="s">
        <v>8936</v>
      </c>
      <c r="AE1338" s="0" t="s">
        <v>79</v>
      </c>
      <c r="AF1338" s="3" t="s">
        <v>48</v>
      </c>
      <c r="AG1338" s="3" t="s">
        <v>49</v>
      </c>
      <c r="AR1338" s="0" t="s">
        <v>8933</v>
      </c>
    </row>
    <row r="1339" customFormat="false" ht="15" hidden="false" customHeight="false" outlineLevel="0" collapsed="false">
      <c r="A1339" s="0" t="n">
        <v>1338</v>
      </c>
      <c r="B1339" s="0" t="s">
        <v>8937</v>
      </c>
      <c r="C1339" s="0" t="s">
        <v>43</v>
      </c>
      <c r="F1339" s="0" t="s">
        <v>44</v>
      </c>
      <c r="AA1339" s="0" t="s">
        <v>47</v>
      </c>
      <c r="AF1339" s="3" t="s">
        <v>48</v>
      </c>
      <c r="AG1339" s="3" t="s">
        <v>49</v>
      </c>
      <c r="AR1339" s="0" t="s">
        <v>50</v>
      </c>
    </row>
    <row r="1340" customFormat="false" ht="15" hidden="false" customHeight="false" outlineLevel="0" collapsed="false">
      <c r="A1340" s="0" t="n">
        <v>1339</v>
      </c>
      <c r="B1340" s="0" t="s">
        <v>8938</v>
      </c>
      <c r="C1340" s="0" t="s">
        <v>88</v>
      </c>
      <c r="E1340" s="0" t="s">
        <v>8939</v>
      </c>
      <c r="N1340" s="3" t="s">
        <v>202</v>
      </c>
      <c r="O1340" s="3" t="s">
        <v>202</v>
      </c>
      <c r="P1340" s="0" t="s">
        <v>96</v>
      </c>
      <c r="AA1340" s="0" t="s">
        <v>47</v>
      </c>
      <c r="AB1340" s="0" t="s">
        <v>8940</v>
      </c>
      <c r="AC1340" s="0" t="s">
        <v>8941</v>
      </c>
      <c r="AE1340" s="0" t="s">
        <v>79</v>
      </c>
      <c r="AF1340" s="3" t="s">
        <v>48</v>
      </c>
      <c r="AG1340" s="3" t="s">
        <v>49</v>
      </c>
      <c r="AR1340" s="0" t="s">
        <v>8939</v>
      </c>
    </row>
    <row r="1341" customFormat="false" ht="15" hidden="false" customHeight="false" outlineLevel="0" collapsed="false">
      <c r="A1341" s="0" t="n">
        <v>1340</v>
      </c>
      <c r="B1341" s="0" t="s">
        <v>8942</v>
      </c>
      <c r="C1341" s="0" t="s">
        <v>88</v>
      </c>
      <c r="E1341" s="0" t="s">
        <v>8943</v>
      </c>
      <c r="AA1341" s="0" t="s">
        <v>47</v>
      </c>
      <c r="AF1341" s="3" t="s">
        <v>48</v>
      </c>
      <c r="AG1341" s="3" t="s">
        <v>49</v>
      </c>
      <c r="AR1341" s="0" t="s">
        <v>8943</v>
      </c>
    </row>
    <row r="1342" customFormat="false" ht="15" hidden="false" customHeight="false" outlineLevel="0" collapsed="false">
      <c r="A1342" s="0" t="n">
        <v>1341</v>
      </c>
      <c r="B1342" s="0" t="s">
        <v>8944</v>
      </c>
      <c r="C1342" s="0" t="s">
        <v>88</v>
      </c>
      <c r="E1342" s="0" t="s">
        <v>8945</v>
      </c>
      <c r="N1342" s="3" t="s">
        <v>119</v>
      </c>
      <c r="O1342" s="3" t="s">
        <v>119</v>
      </c>
      <c r="P1342" s="0" t="s">
        <v>96</v>
      </c>
      <c r="AA1342" s="0" t="s">
        <v>47</v>
      </c>
      <c r="AB1342" s="0" t="s">
        <v>8946</v>
      </c>
      <c r="AC1342" s="0" t="s">
        <v>8947</v>
      </c>
      <c r="AD1342" s="0" t="s">
        <v>8948</v>
      </c>
      <c r="AE1342" s="0" t="s">
        <v>79</v>
      </c>
      <c r="AF1342" s="3" t="s">
        <v>48</v>
      </c>
      <c r="AG1342" s="3" t="s">
        <v>49</v>
      </c>
      <c r="AR1342" s="0" t="s">
        <v>8945</v>
      </c>
    </row>
    <row r="1343" customFormat="false" ht="15" hidden="false" customHeight="false" outlineLevel="0" collapsed="false">
      <c r="A1343" s="0" t="n">
        <v>1342</v>
      </c>
      <c r="B1343" s="0" t="s">
        <v>8949</v>
      </c>
      <c r="C1343" s="0" t="s">
        <v>88</v>
      </c>
      <c r="E1343" s="0" t="s">
        <v>8950</v>
      </c>
      <c r="H1343" s="0" t="s">
        <v>8951</v>
      </c>
      <c r="I1343" s="0" t="s">
        <v>154</v>
      </c>
      <c r="N1343" s="3" t="s">
        <v>239</v>
      </c>
      <c r="O1343" s="3" t="s">
        <v>239</v>
      </c>
      <c r="P1343" s="0" t="s">
        <v>96</v>
      </c>
      <c r="AA1343" s="0" t="s">
        <v>47</v>
      </c>
      <c r="AB1343" s="0" t="s">
        <v>8952</v>
      </c>
      <c r="AC1343" s="0" t="s">
        <v>8953</v>
      </c>
      <c r="AD1343" s="0" t="s">
        <v>8954</v>
      </c>
      <c r="AE1343" s="0" t="s">
        <v>79</v>
      </c>
      <c r="AF1343" s="3" t="s">
        <v>48</v>
      </c>
      <c r="AG1343" s="3" t="s">
        <v>49</v>
      </c>
      <c r="AL1343" s="0" t="s">
        <v>8955</v>
      </c>
      <c r="AO1343" s="0" t="s">
        <v>8956</v>
      </c>
      <c r="AP1343" s="0" t="s">
        <v>8956</v>
      </c>
      <c r="AR1343" s="0" t="s">
        <v>8957</v>
      </c>
    </row>
    <row r="1344" customFormat="false" ht="15" hidden="false" customHeight="false" outlineLevel="0" collapsed="false">
      <c r="A1344" s="0" t="n">
        <v>1343</v>
      </c>
      <c r="B1344" s="0" t="s">
        <v>8958</v>
      </c>
      <c r="C1344" s="0" t="s">
        <v>88</v>
      </c>
      <c r="E1344" s="0" t="s">
        <v>8959</v>
      </c>
      <c r="N1344" s="3" t="s">
        <v>202</v>
      </c>
      <c r="O1344" s="3" t="s">
        <v>202</v>
      </c>
      <c r="P1344" s="0" t="s">
        <v>96</v>
      </c>
      <c r="AA1344" s="0" t="s">
        <v>47</v>
      </c>
      <c r="AB1344" s="0" t="s">
        <v>8960</v>
      </c>
      <c r="AC1344" s="0" t="s">
        <v>8961</v>
      </c>
      <c r="AD1344" s="0" t="s">
        <v>8962</v>
      </c>
      <c r="AE1344" s="0" t="s">
        <v>79</v>
      </c>
      <c r="AF1344" s="3" t="s">
        <v>48</v>
      </c>
      <c r="AG1344" s="3" t="s">
        <v>49</v>
      </c>
      <c r="AR1344" s="0" t="s">
        <v>8959</v>
      </c>
    </row>
    <row r="1345" customFormat="false" ht="15" hidden="false" customHeight="false" outlineLevel="0" collapsed="false">
      <c r="A1345" s="0" t="n">
        <v>1344</v>
      </c>
      <c r="B1345" s="0" t="s">
        <v>8963</v>
      </c>
      <c r="C1345" s="0" t="s">
        <v>88</v>
      </c>
      <c r="E1345" s="0" t="s">
        <v>8964</v>
      </c>
      <c r="H1345" s="0" t="s">
        <v>8965</v>
      </c>
      <c r="I1345" s="0" t="s">
        <v>154</v>
      </c>
      <c r="AA1345" s="0" t="s">
        <v>47</v>
      </c>
      <c r="AF1345" s="3" t="s">
        <v>48</v>
      </c>
      <c r="AG1345" s="3" t="s">
        <v>49</v>
      </c>
      <c r="AL1345" s="0" t="s">
        <v>8966</v>
      </c>
      <c r="AM1345" s="0" t="s">
        <v>8967</v>
      </c>
      <c r="AO1345" s="0" t="s">
        <v>8968</v>
      </c>
      <c r="AP1345" s="0" t="s">
        <v>8968</v>
      </c>
      <c r="AR1345" s="0" t="s">
        <v>8969</v>
      </c>
    </row>
    <row r="1346" customFormat="false" ht="15" hidden="false" customHeight="false" outlineLevel="0" collapsed="false">
      <c r="A1346" s="0" t="n">
        <v>1345</v>
      </c>
      <c r="B1346" s="0" t="s">
        <v>8970</v>
      </c>
      <c r="C1346" s="0" t="s">
        <v>88</v>
      </c>
      <c r="E1346" s="0" t="s">
        <v>8971</v>
      </c>
      <c r="H1346" s="0" t="s">
        <v>8972</v>
      </c>
      <c r="I1346" s="0" t="s">
        <v>115</v>
      </c>
      <c r="J1346" s="3" t="s">
        <v>66</v>
      </c>
      <c r="K1346" s="0" t="s">
        <v>8973</v>
      </c>
      <c r="M1346" s="0" t="n">
        <v>1958</v>
      </c>
      <c r="N1346" s="0" t="s">
        <v>697</v>
      </c>
      <c r="O1346" s="3" t="s">
        <v>119</v>
      </c>
      <c r="P1346" s="0" t="s">
        <v>96</v>
      </c>
      <c r="R1346" s="0" t="n">
        <v>7900</v>
      </c>
      <c r="S1346" s="0" t="n">
        <v>2025</v>
      </c>
      <c r="T1346" s="0" t="s">
        <v>72</v>
      </c>
      <c r="U1346" s="0" t="s">
        <v>115</v>
      </c>
      <c r="V1346" s="0" t="n">
        <v>3165</v>
      </c>
      <c r="W1346" s="0" t="s">
        <v>8974</v>
      </c>
      <c r="X1346" s="0" t="s">
        <v>764</v>
      </c>
      <c r="Y1346" s="0" t="s">
        <v>72</v>
      </c>
      <c r="Z1346" s="0" t="s">
        <v>115</v>
      </c>
      <c r="AA1346" s="0" t="s">
        <v>75</v>
      </c>
      <c r="AB1346" s="0" t="s">
        <v>8975</v>
      </c>
      <c r="AC1346" s="0" t="s">
        <v>8976</v>
      </c>
      <c r="AD1346" s="0" t="s">
        <v>8977</v>
      </c>
      <c r="AE1346" s="0" t="s">
        <v>115</v>
      </c>
      <c r="AF1346" s="3" t="s">
        <v>80</v>
      </c>
      <c r="AG1346" s="3" t="s">
        <v>81</v>
      </c>
      <c r="AH1346" s="0" t="n">
        <v>2024</v>
      </c>
      <c r="AI1346" s="0" t="s">
        <v>8978</v>
      </c>
      <c r="AJ1346" s="0" t="s">
        <v>8979</v>
      </c>
      <c r="AK1346" s="3" t="s">
        <v>8980</v>
      </c>
      <c r="AL1346" s="0" t="s">
        <v>8981</v>
      </c>
      <c r="AN1346" s="0" t="s">
        <v>8982</v>
      </c>
      <c r="AP1346" s="0" t="s">
        <v>8983</v>
      </c>
      <c r="AR1346" s="0" t="s">
        <v>8984</v>
      </c>
    </row>
    <row r="1347" customFormat="false" ht="15" hidden="false" customHeight="false" outlineLevel="0" collapsed="false">
      <c r="A1347" s="0" t="n">
        <v>1346</v>
      </c>
      <c r="B1347" s="0" t="s">
        <v>8985</v>
      </c>
      <c r="C1347" s="0" t="s">
        <v>88</v>
      </c>
      <c r="E1347" s="0" t="s">
        <v>8986</v>
      </c>
      <c r="J1347" s="3" t="s">
        <v>664</v>
      </c>
      <c r="K1347" s="0" t="s">
        <v>8987</v>
      </c>
      <c r="M1347" s="0" t="s">
        <v>8988</v>
      </c>
      <c r="N1347" s="0" t="s">
        <v>666</v>
      </c>
      <c r="O1347" s="3" t="s">
        <v>202</v>
      </c>
      <c r="P1347" s="0" t="s">
        <v>96</v>
      </c>
      <c r="AA1347" s="0" t="s">
        <v>47</v>
      </c>
      <c r="AB1347" s="0" t="s">
        <v>8989</v>
      </c>
      <c r="AC1347" s="0" t="s">
        <v>8990</v>
      </c>
      <c r="AD1347" s="0" t="s">
        <v>8991</v>
      </c>
      <c r="AE1347" s="0" t="s">
        <v>79</v>
      </c>
      <c r="AF1347" s="3" t="s">
        <v>48</v>
      </c>
      <c r="AG1347" s="3" t="s">
        <v>49</v>
      </c>
      <c r="AN1347" s="0" t="s">
        <v>8987</v>
      </c>
      <c r="AQ1347" s="0" t="s">
        <v>8992</v>
      </c>
      <c r="AR1347" s="0" t="s">
        <v>8993</v>
      </c>
    </row>
    <row r="1348" customFormat="false" ht="15" hidden="false" customHeight="false" outlineLevel="0" collapsed="false">
      <c r="A1348" s="0" t="n">
        <v>1347</v>
      </c>
      <c r="B1348" s="0" t="s">
        <v>8994</v>
      </c>
      <c r="C1348" s="0" t="s">
        <v>88</v>
      </c>
      <c r="E1348" s="0" t="s">
        <v>8995</v>
      </c>
      <c r="H1348" s="0" t="s">
        <v>8996</v>
      </c>
      <c r="I1348" s="0" t="s">
        <v>46</v>
      </c>
      <c r="AA1348" s="0" t="s">
        <v>47</v>
      </c>
      <c r="AF1348" s="3" t="s">
        <v>48</v>
      </c>
      <c r="AG1348" s="3" t="s">
        <v>49</v>
      </c>
      <c r="AR1348" s="0" t="s">
        <v>8995</v>
      </c>
    </row>
    <row r="1349" customFormat="false" ht="15" hidden="false" customHeight="false" outlineLevel="0" collapsed="false">
      <c r="A1349" s="0" t="n">
        <v>1348</v>
      </c>
      <c r="B1349" s="0" t="s">
        <v>8997</v>
      </c>
      <c r="C1349" s="0" t="s">
        <v>88</v>
      </c>
      <c r="E1349" s="0" t="s">
        <v>8998</v>
      </c>
      <c r="H1349" s="0" t="s">
        <v>8999</v>
      </c>
      <c r="I1349" s="0" t="s">
        <v>154</v>
      </c>
      <c r="AA1349" s="0" t="s">
        <v>47</v>
      </c>
      <c r="AB1349" s="0" t="s">
        <v>9000</v>
      </c>
      <c r="AC1349" s="0" t="s">
        <v>9001</v>
      </c>
      <c r="AD1349" s="0" t="s">
        <v>9002</v>
      </c>
      <c r="AE1349" s="0" t="s">
        <v>79</v>
      </c>
      <c r="AF1349" s="3" t="s">
        <v>48</v>
      </c>
      <c r="AG1349" s="3" t="s">
        <v>49</v>
      </c>
      <c r="AL1349" s="0" t="s">
        <v>9003</v>
      </c>
      <c r="AM1349" s="0" t="s">
        <v>9004</v>
      </c>
      <c r="AO1349" s="0" t="s">
        <v>9005</v>
      </c>
      <c r="AP1349" s="0" t="s">
        <v>9005</v>
      </c>
      <c r="AR1349" s="0" t="s">
        <v>9006</v>
      </c>
    </row>
    <row r="1350" customFormat="false" ht="15" hidden="false" customHeight="false" outlineLevel="0" collapsed="false">
      <c r="A1350" s="0" t="n">
        <v>1349</v>
      </c>
      <c r="B1350" s="0" t="s">
        <v>9007</v>
      </c>
      <c r="C1350" s="0" t="s">
        <v>61</v>
      </c>
      <c r="D1350" s="0" t="s">
        <v>9008</v>
      </c>
      <c r="E1350" s="0" t="s">
        <v>9009</v>
      </c>
      <c r="H1350" s="0" t="s">
        <v>9010</v>
      </c>
      <c r="I1350" s="0" t="s">
        <v>94</v>
      </c>
      <c r="N1350" s="3" t="s">
        <v>54</v>
      </c>
      <c r="O1350" s="3" t="s">
        <v>54</v>
      </c>
      <c r="P1350" s="0" t="s">
        <v>55</v>
      </c>
      <c r="AA1350" s="0" t="s">
        <v>47</v>
      </c>
      <c r="AB1350" s="0" t="s">
        <v>9011</v>
      </c>
      <c r="AC1350" s="0" t="s">
        <v>9012</v>
      </c>
      <c r="AD1350" s="0" t="s">
        <v>9013</v>
      </c>
      <c r="AE1350" s="0" t="s">
        <v>79</v>
      </c>
      <c r="AF1350" s="3" t="s">
        <v>149</v>
      </c>
      <c r="AG1350" s="3" t="s">
        <v>81</v>
      </c>
      <c r="AK1350" s="0" t="s">
        <v>9014</v>
      </c>
      <c r="AR1350" s="0" t="s">
        <v>9015</v>
      </c>
    </row>
    <row r="1351" customFormat="false" ht="15" hidden="false" customHeight="false" outlineLevel="0" collapsed="false">
      <c r="A1351" s="0" t="n">
        <v>1350</v>
      </c>
      <c r="B1351" s="0" t="s">
        <v>9016</v>
      </c>
      <c r="C1351" s="0" t="s">
        <v>43</v>
      </c>
      <c r="F1351" s="0" t="s">
        <v>44</v>
      </c>
      <c r="H1351" s="0" t="s">
        <v>9017</v>
      </c>
      <c r="I1351" s="0" t="s">
        <v>154</v>
      </c>
      <c r="AA1351" s="0" t="s">
        <v>47</v>
      </c>
      <c r="AF1351" s="3" t="s">
        <v>48</v>
      </c>
      <c r="AG1351" s="3" t="s">
        <v>49</v>
      </c>
      <c r="AL1351" s="0" t="s">
        <v>9018</v>
      </c>
      <c r="AO1351" s="0" t="s">
        <v>9019</v>
      </c>
      <c r="AP1351" s="0" t="s">
        <v>9019</v>
      </c>
      <c r="AR1351" s="0" t="s">
        <v>9020</v>
      </c>
    </row>
    <row r="1352" customFormat="false" ht="15" hidden="false" customHeight="false" outlineLevel="0" collapsed="false">
      <c r="A1352" s="0" t="n">
        <v>1351</v>
      </c>
      <c r="B1352" s="0" t="s">
        <v>9021</v>
      </c>
      <c r="C1352" s="0" t="s">
        <v>88</v>
      </c>
      <c r="E1352" s="0" t="s">
        <v>9022</v>
      </c>
      <c r="H1352" s="0" t="s">
        <v>9023</v>
      </c>
      <c r="I1352" s="0" t="s">
        <v>154</v>
      </c>
      <c r="N1352" s="3" t="s">
        <v>95</v>
      </c>
      <c r="O1352" s="3" t="s">
        <v>95</v>
      </c>
      <c r="P1352" s="0" t="s">
        <v>96</v>
      </c>
      <c r="AA1352" s="0" t="s">
        <v>47</v>
      </c>
      <c r="AB1352" s="0" t="s">
        <v>9024</v>
      </c>
      <c r="AC1352" s="0" t="s">
        <v>9025</v>
      </c>
      <c r="AD1352" s="0" t="s">
        <v>9026</v>
      </c>
      <c r="AE1352" s="0" t="s">
        <v>79</v>
      </c>
      <c r="AF1352" s="3" t="s">
        <v>48</v>
      </c>
      <c r="AG1352" s="3" t="s">
        <v>49</v>
      </c>
      <c r="AL1352" s="0" t="s">
        <v>9027</v>
      </c>
      <c r="AO1352" s="0" t="s">
        <v>9028</v>
      </c>
      <c r="AP1352" s="0" t="s">
        <v>9028</v>
      </c>
      <c r="AR1352" s="0" t="s">
        <v>9029</v>
      </c>
    </row>
    <row r="1353" customFormat="false" ht="15" hidden="false" customHeight="false" outlineLevel="0" collapsed="false">
      <c r="A1353" s="0" t="n">
        <v>1352</v>
      </c>
      <c r="B1353" s="0" t="s">
        <v>9030</v>
      </c>
      <c r="C1353" s="0" t="s">
        <v>88</v>
      </c>
      <c r="E1353" s="0" t="s">
        <v>9031</v>
      </c>
      <c r="H1353" s="0" t="s">
        <v>9032</v>
      </c>
      <c r="I1353" s="0" t="s">
        <v>46</v>
      </c>
      <c r="AA1353" s="0" t="s">
        <v>47</v>
      </c>
      <c r="AB1353" s="0" t="s">
        <v>9033</v>
      </c>
      <c r="AC1353" s="0" t="s">
        <v>9034</v>
      </c>
      <c r="AD1353" s="0" t="s">
        <v>9035</v>
      </c>
      <c r="AE1353" s="0" t="s">
        <v>79</v>
      </c>
      <c r="AF1353" s="3" t="s">
        <v>48</v>
      </c>
      <c r="AG1353" s="3" t="s">
        <v>49</v>
      </c>
      <c r="AR1353" s="0" t="s">
        <v>9031</v>
      </c>
    </row>
    <row r="1354" customFormat="false" ht="15" hidden="false" customHeight="false" outlineLevel="0" collapsed="false">
      <c r="A1354" s="0" t="n">
        <v>1353</v>
      </c>
      <c r="B1354" s="0" t="s">
        <v>9036</v>
      </c>
      <c r="C1354" s="0" t="s">
        <v>88</v>
      </c>
      <c r="E1354" s="0" t="s">
        <v>9037</v>
      </c>
      <c r="H1354" s="0" t="s">
        <v>9038</v>
      </c>
      <c r="I1354" s="0" t="s">
        <v>94</v>
      </c>
      <c r="AA1354" s="0" t="s">
        <v>47</v>
      </c>
      <c r="AF1354" s="3" t="s">
        <v>48</v>
      </c>
      <c r="AG1354" s="3" t="s">
        <v>49</v>
      </c>
      <c r="AP1354" s="0" t="s">
        <v>9039</v>
      </c>
      <c r="AR1354" s="0" t="s">
        <v>9040</v>
      </c>
    </row>
    <row r="1355" customFormat="false" ht="15" hidden="false" customHeight="false" outlineLevel="0" collapsed="false">
      <c r="A1355" s="0" t="n">
        <v>1354</v>
      </c>
      <c r="B1355" s="0" t="s">
        <v>9041</v>
      </c>
      <c r="C1355" s="0" t="s">
        <v>88</v>
      </c>
      <c r="E1355" s="0" t="s">
        <v>9042</v>
      </c>
      <c r="H1355" s="0" t="s">
        <v>9043</v>
      </c>
      <c r="I1355" s="0" t="s">
        <v>154</v>
      </c>
      <c r="N1355" s="3" t="s">
        <v>202</v>
      </c>
      <c r="O1355" s="3" t="s">
        <v>202</v>
      </c>
      <c r="P1355" s="0" t="s">
        <v>96</v>
      </c>
      <c r="AA1355" s="0" t="s">
        <v>47</v>
      </c>
      <c r="AB1355" s="0" t="s">
        <v>9044</v>
      </c>
      <c r="AC1355" s="0" t="s">
        <v>9045</v>
      </c>
      <c r="AD1355" s="0" t="s">
        <v>9046</v>
      </c>
      <c r="AE1355" s="0" t="s">
        <v>79</v>
      </c>
      <c r="AF1355" s="3" t="s">
        <v>48</v>
      </c>
      <c r="AG1355" s="3" t="s">
        <v>49</v>
      </c>
      <c r="AL1355" s="0" t="s">
        <v>9047</v>
      </c>
      <c r="AO1355" s="0" t="s">
        <v>9048</v>
      </c>
      <c r="AP1355" s="0" t="s">
        <v>9048</v>
      </c>
      <c r="AR1355" s="0" t="s">
        <v>9049</v>
      </c>
    </row>
    <row r="1356" customFormat="false" ht="15" hidden="false" customHeight="false" outlineLevel="0" collapsed="false">
      <c r="A1356" s="0" t="n">
        <v>1355</v>
      </c>
      <c r="B1356" s="0" t="s">
        <v>9050</v>
      </c>
      <c r="C1356" s="0" t="s">
        <v>52</v>
      </c>
      <c r="D1356" s="0" t="s">
        <v>9051</v>
      </c>
      <c r="H1356" s="0" t="s">
        <v>2821</v>
      </c>
      <c r="I1356" s="0" t="s">
        <v>115</v>
      </c>
      <c r="J1356" s="3" t="s">
        <v>694</v>
      </c>
      <c r="K1356" s="0" t="s">
        <v>2822</v>
      </c>
      <c r="L1356" s="0" t="s">
        <v>2823</v>
      </c>
      <c r="M1356" s="0" t="n">
        <v>2017</v>
      </c>
      <c r="N1356" s="0" t="s">
        <v>2435</v>
      </c>
      <c r="O1356" s="3" t="s">
        <v>104</v>
      </c>
      <c r="P1356" s="0" t="s">
        <v>55</v>
      </c>
      <c r="R1356" s="0" t="n">
        <v>1800</v>
      </c>
      <c r="S1356" s="0" t="n">
        <v>2025</v>
      </c>
      <c r="T1356" s="0" t="s">
        <v>72</v>
      </c>
      <c r="U1356" s="0" t="s">
        <v>115</v>
      </c>
      <c r="V1356" s="0" t="n">
        <v>106</v>
      </c>
      <c r="W1356" s="0" t="s">
        <v>2824</v>
      </c>
      <c r="X1356" s="0" t="s">
        <v>2825</v>
      </c>
      <c r="Y1356" s="0" t="s">
        <v>698</v>
      </c>
      <c r="Z1356" s="0" t="s">
        <v>115</v>
      </c>
      <c r="AA1356" s="0" t="s">
        <v>1022</v>
      </c>
      <c r="AB1356" s="0" t="s">
        <v>2826</v>
      </c>
      <c r="AC1356" s="0" t="s">
        <v>2827</v>
      </c>
      <c r="AD1356" s="0" t="s">
        <v>2828</v>
      </c>
      <c r="AE1356" s="0" t="s">
        <v>115</v>
      </c>
      <c r="AF1356" s="3" t="s">
        <v>108</v>
      </c>
      <c r="AG1356" s="3" t="s">
        <v>81</v>
      </c>
      <c r="AH1356" s="0" t="n">
        <v>2026</v>
      </c>
      <c r="AI1356" s="0" t="s">
        <v>2829</v>
      </c>
      <c r="AJ1356" s="0" t="s">
        <v>2830</v>
      </c>
      <c r="AK1356" s="3" t="s">
        <v>2831</v>
      </c>
      <c r="AL1356" s="0" t="s">
        <v>2832</v>
      </c>
      <c r="AN1356" s="0" t="s">
        <v>2833</v>
      </c>
      <c r="AO1356" s="0" t="s">
        <v>2834</v>
      </c>
      <c r="AP1356" s="0" t="s">
        <v>2835</v>
      </c>
      <c r="AR1356" s="0" t="s">
        <v>9052</v>
      </c>
    </row>
    <row r="1357" customFormat="false" ht="15" hidden="false" customHeight="false" outlineLevel="0" collapsed="false">
      <c r="A1357" s="0" t="n">
        <v>1356</v>
      </c>
      <c r="B1357" s="0" t="s">
        <v>9053</v>
      </c>
      <c r="C1357" s="0" t="s">
        <v>88</v>
      </c>
      <c r="E1357" s="0" t="s">
        <v>9054</v>
      </c>
      <c r="H1357" s="0" t="s">
        <v>9055</v>
      </c>
      <c r="I1357" s="0" t="s">
        <v>154</v>
      </c>
      <c r="N1357" s="3" t="s">
        <v>202</v>
      </c>
      <c r="O1357" s="3" t="s">
        <v>202</v>
      </c>
      <c r="P1357" s="0" t="s">
        <v>96</v>
      </c>
      <c r="AA1357" s="0" t="s">
        <v>47</v>
      </c>
      <c r="AB1357" s="0" t="s">
        <v>9056</v>
      </c>
      <c r="AC1357" s="0" t="s">
        <v>9057</v>
      </c>
      <c r="AD1357" s="0" t="s">
        <v>9058</v>
      </c>
      <c r="AE1357" s="0" t="s">
        <v>79</v>
      </c>
      <c r="AF1357" s="3" t="s">
        <v>48</v>
      </c>
      <c r="AG1357" s="3" t="s">
        <v>49</v>
      </c>
      <c r="AL1357" s="0" t="s">
        <v>9059</v>
      </c>
      <c r="AO1357" s="0" t="s">
        <v>9060</v>
      </c>
      <c r="AP1357" s="0" t="s">
        <v>9060</v>
      </c>
      <c r="AR1357" s="0" t="s">
        <v>9061</v>
      </c>
    </row>
    <row r="1358" customFormat="false" ht="15" hidden="false" customHeight="false" outlineLevel="0" collapsed="false">
      <c r="A1358" s="0" t="n">
        <v>1357</v>
      </c>
      <c r="B1358" s="0" t="s">
        <v>9062</v>
      </c>
      <c r="C1358" s="0" t="s">
        <v>244</v>
      </c>
      <c r="E1358" s="0" t="s">
        <v>9063</v>
      </c>
      <c r="F1358" s="0" t="s">
        <v>44</v>
      </c>
      <c r="AA1358" s="0" t="s">
        <v>47</v>
      </c>
      <c r="AF1358" s="3" t="s">
        <v>48</v>
      </c>
      <c r="AG1358" s="3" t="s">
        <v>49</v>
      </c>
      <c r="AR1358" s="0" t="s">
        <v>9064</v>
      </c>
    </row>
    <row r="1359" customFormat="false" ht="15" hidden="false" customHeight="false" outlineLevel="0" collapsed="false">
      <c r="A1359" s="0" t="n">
        <v>1358</v>
      </c>
      <c r="B1359" s="0" t="s">
        <v>9065</v>
      </c>
      <c r="C1359" s="0" t="s">
        <v>88</v>
      </c>
      <c r="E1359" s="0" t="s">
        <v>9066</v>
      </c>
      <c r="H1359" s="0" t="s">
        <v>9067</v>
      </c>
      <c r="I1359" s="0" t="s">
        <v>46</v>
      </c>
      <c r="N1359" s="3" t="s">
        <v>202</v>
      </c>
      <c r="O1359" s="3" t="s">
        <v>202</v>
      </c>
      <c r="P1359" s="0" t="s">
        <v>96</v>
      </c>
      <c r="AA1359" s="0" t="s">
        <v>47</v>
      </c>
      <c r="AB1359" s="0" t="s">
        <v>9068</v>
      </c>
      <c r="AC1359" s="0" t="s">
        <v>9069</v>
      </c>
      <c r="AD1359" s="0" t="s">
        <v>9070</v>
      </c>
      <c r="AE1359" s="0" t="s">
        <v>79</v>
      </c>
      <c r="AF1359" s="3" t="s">
        <v>48</v>
      </c>
      <c r="AG1359" s="3" t="s">
        <v>49</v>
      </c>
      <c r="AR1359" s="0" t="s">
        <v>9066</v>
      </c>
    </row>
    <row r="1360" customFormat="false" ht="15" hidden="false" customHeight="false" outlineLevel="0" collapsed="false">
      <c r="A1360" s="0" t="n">
        <v>1359</v>
      </c>
      <c r="B1360" s="0" t="s">
        <v>9071</v>
      </c>
      <c r="C1360" s="0" t="s">
        <v>88</v>
      </c>
      <c r="E1360" s="0" t="s">
        <v>9072</v>
      </c>
      <c r="N1360" s="3" t="s">
        <v>213</v>
      </c>
      <c r="O1360" s="3" t="s">
        <v>213</v>
      </c>
      <c r="P1360" s="0" t="s">
        <v>96</v>
      </c>
      <c r="AA1360" s="0" t="s">
        <v>47</v>
      </c>
      <c r="AB1360" s="0" t="s">
        <v>9073</v>
      </c>
      <c r="AC1360" s="0" t="s">
        <v>9074</v>
      </c>
      <c r="AD1360" s="0" t="s">
        <v>9075</v>
      </c>
      <c r="AE1360" s="0" t="s">
        <v>79</v>
      </c>
      <c r="AF1360" s="3" t="s">
        <v>48</v>
      </c>
      <c r="AG1360" s="3" t="s">
        <v>49</v>
      </c>
      <c r="AR1360" s="0" t="s">
        <v>9072</v>
      </c>
    </row>
    <row r="1361" customFormat="false" ht="15" hidden="false" customHeight="false" outlineLevel="0" collapsed="false">
      <c r="A1361" s="0" t="n">
        <v>1360</v>
      </c>
      <c r="B1361" s="0" t="s">
        <v>9076</v>
      </c>
      <c r="C1361" s="0" t="s">
        <v>61</v>
      </c>
      <c r="D1361" s="0" t="s">
        <v>9077</v>
      </c>
      <c r="E1361" s="0" t="s">
        <v>9078</v>
      </c>
      <c r="N1361" s="3" t="s">
        <v>54</v>
      </c>
      <c r="O1361" s="3" t="s">
        <v>54</v>
      </c>
      <c r="P1361" s="0" t="s">
        <v>55</v>
      </c>
      <c r="AA1361" s="0" t="s">
        <v>47</v>
      </c>
      <c r="AB1361" s="0" t="s">
        <v>9079</v>
      </c>
      <c r="AC1361" s="0" t="s">
        <v>9080</v>
      </c>
      <c r="AD1361" s="0" t="s">
        <v>9081</v>
      </c>
      <c r="AE1361" s="0" t="s">
        <v>79</v>
      </c>
      <c r="AF1361" s="3" t="s">
        <v>149</v>
      </c>
      <c r="AG1361" s="3" t="s">
        <v>81</v>
      </c>
      <c r="AK1361" s="0" t="s">
        <v>9082</v>
      </c>
      <c r="AR1361" s="0" t="s">
        <v>9083</v>
      </c>
    </row>
    <row r="1362" customFormat="false" ht="15" hidden="false" customHeight="false" outlineLevel="0" collapsed="false">
      <c r="A1362" s="0" t="n">
        <v>1361</v>
      </c>
      <c r="B1362" s="0" t="s">
        <v>9084</v>
      </c>
      <c r="C1362" s="0" t="s">
        <v>88</v>
      </c>
      <c r="E1362" s="0" t="s">
        <v>9085</v>
      </c>
      <c r="AA1362" s="0" t="s">
        <v>47</v>
      </c>
      <c r="AF1362" s="3" t="s">
        <v>48</v>
      </c>
      <c r="AG1362" s="3" t="s">
        <v>49</v>
      </c>
      <c r="AR1362" s="0" t="s">
        <v>9085</v>
      </c>
    </row>
    <row r="1363" customFormat="false" ht="15" hidden="false" customHeight="false" outlineLevel="0" collapsed="false">
      <c r="A1363" s="0" t="n">
        <v>1362</v>
      </c>
      <c r="B1363" s="0" t="s">
        <v>9086</v>
      </c>
      <c r="C1363" s="0" t="s">
        <v>88</v>
      </c>
      <c r="E1363" s="0" t="s">
        <v>9087</v>
      </c>
      <c r="H1363" s="0" t="s">
        <v>9088</v>
      </c>
      <c r="I1363" s="0" t="s">
        <v>46</v>
      </c>
      <c r="N1363" s="3" t="s">
        <v>202</v>
      </c>
      <c r="O1363" s="3" t="s">
        <v>202</v>
      </c>
      <c r="P1363" s="0" t="s">
        <v>96</v>
      </c>
      <c r="AA1363" s="0" t="s">
        <v>47</v>
      </c>
      <c r="AB1363" s="0" t="s">
        <v>9089</v>
      </c>
      <c r="AC1363" s="0" t="s">
        <v>9090</v>
      </c>
      <c r="AD1363" s="0" t="s">
        <v>9091</v>
      </c>
      <c r="AE1363" s="0" t="s">
        <v>79</v>
      </c>
      <c r="AF1363" s="3" t="s">
        <v>48</v>
      </c>
      <c r="AG1363" s="3" t="s">
        <v>49</v>
      </c>
      <c r="AR1363" s="0" t="s">
        <v>9087</v>
      </c>
    </row>
    <row r="1364" customFormat="false" ht="15" hidden="false" customHeight="false" outlineLevel="0" collapsed="false">
      <c r="A1364" s="0" t="n">
        <v>1363</v>
      </c>
      <c r="B1364" s="0" t="s">
        <v>9092</v>
      </c>
      <c r="C1364" s="0" t="s">
        <v>43</v>
      </c>
      <c r="F1364" s="0" t="s">
        <v>44</v>
      </c>
      <c r="H1364" s="0" t="s">
        <v>9093</v>
      </c>
      <c r="I1364" s="0" t="s">
        <v>154</v>
      </c>
      <c r="AA1364" s="0" t="s">
        <v>47</v>
      </c>
      <c r="AF1364" s="3" t="s">
        <v>108</v>
      </c>
      <c r="AG1364" s="3" t="s">
        <v>81</v>
      </c>
      <c r="AH1364" s="0" t="n">
        <v>2026</v>
      </c>
      <c r="AI1364" s="0" t="s">
        <v>4669</v>
      </c>
      <c r="AJ1364" s="0" t="s">
        <v>4670</v>
      </c>
      <c r="AL1364" s="0" t="s">
        <v>9094</v>
      </c>
      <c r="AP1364" s="0" t="s">
        <v>9095</v>
      </c>
      <c r="AR1364" s="0" t="s">
        <v>9096</v>
      </c>
    </row>
    <row r="1365" customFormat="false" ht="15" hidden="false" customHeight="false" outlineLevel="0" collapsed="false">
      <c r="A1365" s="0" t="n">
        <v>1364</v>
      </c>
      <c r="B1365" s="0" t="s">
        <v>9097</v>
      </c>
      <c r="C1365" s="0" t="s">
        <v>52</v>
      </c>
      <c r="D1365" s="0" t="s">
        <v>9098</v>
      </c>
      <c r="N1365" s="3" t="s">
        <v>104</v>
      </c>
      <c r="O1365" s="3" t="s">
        <v>104</v>
      </c>
      <c r="P1365" s="0" t="s">
        <v>55</v>
      </c>
      <c r="AA1365" s="0" t="s">
        <v>47</v>
      </c>
      <c r="AB1365" s="0" t="s">
        <v>9099</v>
      </c>
      <c r="AC1365" s="0" t="s">
        <v>9100</v>
      </c>
      <c r="AD1365" s="0" t="s">
        <v>9101</v>
      </c>
      <c r="AE1365" s="0" t="s">
        <v>59</v>
      </c>
      <c r="AF1365" s="3" t="s">
        <v>108</v>
      </c>
      <c r="AG1365" s="3" t="s">
        <v>49</v>
      </c>
      <c r="AH1365" s="0" t="n">
        <v>2026</v>
      </c>
      <c r="AI1365" s="0" t="s">
        <v>3385</v>
      </c>
      <c r="AJ1365" s="0" t="s">
        <v>3386</v>
      </c>
      <c r="AR1365" s="0" t="s">
        <v>9102</v>
      </c>
    </row>
    <row r="1366" customFormat="false" ht="15" hidden="false" customHeight="false" outlineLevel="0" collapsed="false">
      <c r="A1366" s="0" t="n">
        <v>1365</v>
      </c>
      <c r="B1366" s="0" t="s">
        <v>9103</v>
      </c>
      <c r="C1366" s="0" t="s">
        <v>88</v>
      </c>
      <c r="E1366" s="0" t="s">
        <v>9104</v>
      </c>
      <c r="H1366" s="0" t="s">
        <v>9105</v>
      </c>
      <c r="I1366" s="0" t="s">
        <v>46</v>
      </c>
      <c r="N1366" s="3" t="s">
        <v>119</v>
      </c>
      <c r="O1366" s="3" t="s">
        <v>119</v>
      </c>
      <c r="P1366" s="0" t="s">
        <v>96</v>
      </c>
      <c r="AA1366" s="0" t="s">
        <v>47</v>
      </c>
      <c r="AB1366" s="0" t="s">
        <v>9106</v>
      </c>
      <c r="AC1366" s="0" t="s">
        <v>9107</v>
      </c>
      <c r="AD1366" s="0" t="s">
        <v>9108</v>
      </c>
      <c r="AE1366" s="0" t="s">
        <v>79</v>
      </c>
      <c r="AF1366" s="3" t="s">
        <v>108</v>
      </c>
      <c r="AG1366" s="3" t="s">
        <v>49</v>
      </c>
      <c r="AH1366" s="0" t="n">
        <v>2026</v>
      </c>
      <c r="AI1366" s="0" t="s">
        <v>2751</v>
      </c>
      <c r="AJ1366" s="0" t="s">
        <v>2752</v>
      </c>
      <c r="AR1366" s="0" t="s">
        <v>9109</v>
      </c>
    </row>
    <row r="1367" customFormat="false" ht="15" hidden="false" customHeight="false" outlineLevel="0" collapsed="false">
      <c r="A1367" s="0" t="n">
        <v>1366</v>
      </c>
      <c r="B1367" s="0" t="s">
        <v>9110</v>
      </c>
      <c r="C1367" s="0" t="s">
        <v>88</v>
      </c>
      <c r="E1367" s="0" t="s">
        <v>9111</v>
      </c>
      <c r="H1367" s="0" t="s">
        <v>9112</v>
      </c>
      <c r="I1367" s="0" t="s">
        <v>154</v>
      </c>
      <c r="N1367" s="3" t="s">
        <v>202</v>
      </c>
      <c r="O1367" s="3" t="s">
        <v>202</v>
      </c>
      <c r="P1367" s="0" t="s">
        <v>96</v>
      </c>
      <c r="AA1367" s="0" t="s">
        <v>47</v>
      </c>
      <c r="AB1367" s="0" t="s">
        <v>9113</v>
      </c>
      <c r="AC1367" s="0" t="s">
        <v>9114</v>
      </c>
      <c r="AD1367" s="0" t="s">
        <v>9115</v>
      </c>
      <c r="AE1367" s="0" t="s">
        <v>79</v>
      </c>
      <c r="AF1367" s="3" t="s">
        <v>48</v>
      </c>
      <c r="AG1367" s="3" t="s">
        <v>49</v>
      </c>
      <c r="AL1367" s="0" t="s">
        <v>9116</v>
      </c>
      <c r="AM1367" s="0" t="s">
        <v>9117</v>
      </c>
      <c r="AO1367" s="0" t="s">
        <v>9118</v>
      </c>
      <c r="AP1367" s="0" t="s">
        <v>9118</v>
      </c>
      <c r="AR1367" s="0" t="s">
        <v>9119</v>
      </c>
    </row>
    <row r="1368" customFormat="false" ht="15" hidden="false" customHeight="false" outlineLevel="0" collapsed="false">
      <c r="A1368" s="0" t="n">
        <v>1367</v>
      </c>
      <c r="B1368" s="0" t="s">
        <v>9120</v>
      </c>
      <c r="C1368" s="0" t="s">
        <v>88</v>
      </c>
      <c r="E1368" s="0" t="s">
        <v>9121</v>
      </c>
      <c r="AA1368" s="0" t="s">
        <v>47</v>
      </c>
      <c r="AB1368" s="0" t="s">
        <v>9122</v>
      </c>
      <c r="AC1368" s="0" t="s">
        <v>9123</v>
      </c>
      <c r="AD1368" s="0" t="s">
        <v>9124</v>
      </c>
      <c r="AE1368" s="0" t="s">
        <v>79</v>
      </c>
      <c r="AF1368" s="3" t="s">
        <v>48</v>
      </c>
      <c r="AG1368" s="3" t="s">
        <v>49</v>
      </c>
      <c r="AR1368" s="0" t="s">
        <v>9121</v>
      </c>
    </row>
    <row r="1369" customFormat="false" ht="15" hidden="false" customHeight="false" outlineLevel="0" collapsed="false">
      <c r="A1369" s="0" t="n">
        <v>1368</v>
      </c>
      <c r="B1369" s="0" t="s">
        <v>9125</v>
      </c>
      <c r="C1369" s="0" t="s">
        <v>88</v>
      </c>
      <c r="E1369" s="0" t="s">
        <v>9126</v>
      </c>
      <c r="AA1369" s="0" t="s">
        <v>47</v>
      </c>
      <c r="AB1369" s="0" t="s">
        <v>9127</v>
      </c>
      <c r="AC1369" s="0" t="s">
        <v>9128</v>
      </c>
      <c r="AE1369" s="0" t="s">
        <v>79</v>
      </c>
      <c r="AF1369" s="3" t="s">
        <v>48</v>
      </c>
      <c r="AG1369" s="3" t="s">
        <v>49</v>
      </c>
      <c r="AR1369" s="0" t="s">
        <v>9126</v>
      </c>
    </row>
    <row r="1370" customFormat="false" ht="15" hidden="false" customHeight="false" outlineLevel="0" collapsed="false">
      <c r="A1370" s="0" t="n">
        <v>1369</v>
      </c>
      <c r="B1370" s="0" t="s">
        <v>9129</v>
      </c>
      <c r="C1370" s="0" t="s">
        <v>88</v>
      </c>
      <c r="E1370" s="0" t="s">
        <v>9130</v>
      </c>
      <c r="N1370" s="3" t="s">
        <v>95</v>
      </c>
      <c r="O1370" s="3" t="s">
        <v>95</v>
      </c>
      <c r="P1370" s="0" t="s">
        <v>96</v>
      </c>
      <c r="AA1370" s="0" t="s">
        <v>47</v>
      </c>
      <c r="AB1370" s="0" t="s">
        <v>2078</v>
      </c>
      <c r="AC1370" s="0" t="s">
        <v>9131</v>
      </c>
      <c r="AD1370" s="0" t="s">
        <v>9132</v>
      </c>
      <c r="AE1370" s="0" t="s">
        <v>79</v>
      </c>
      <c r="AF1370" s="3" t="s">
        <v>48</v>
      </c>
      <c r="AG1370" s="3" t="s">
        <v>49</v>
      </c>
      <c r="AR1370" s="0" t="s">
        <v>9130</v>
      </c>
    </row>
    <row r="1371" customFormat="false" ht="15" hidden="false" customHeight="false" outlineLevel="0" collapsed="false">
      <c r="A1371" s="0" t="n">
        <v>1370</v>
      </c>
      <c r="B1371" s="0" t="s">
        <v>9133</v>
      </c>
      <c r="C1371" s="0" t="s">
        <v>52</v>
      </c>
      <c r="D1371" s="0" t="s">
        <v>9134</v>
      </c>
      <c r="H1371" s="0" t="s">
        <v>9135</v>
      </c>
      <c r="I1371" s="0" t="s">
        <v>154</v>
      </c>
      <c r="N1371" s="3" t="s">
        <v>119</v>
      </c>
      <c r="O1371" s="3" t="s">
        <v>119</v>
      </c>
      <c r="P1371" s="0" t="s">
        <v>96</v>
      </c>
      <c r="AA1371" s="0" t="s">
        <v>47</v>
      </c>
      <c r="AB1371" s="0" t="s">
        <v>9136</v>
      </c>
      <c r="AC1371" s="0" t="s">
        <v>9137</v>
      </c>
      <c r="AD1371" s="0" t="s">
        <v>9138</v>
      </c>
      <c r="AE1371" s="0" t="s">
        <v>59</v>
      </c>
      <c r="AF1371" s="3" t="s">
        <v>48</v>
      </c>
      <c r="AG1371" s="3" t="s">
        <v>49</v>
      </c>
      <c r="AO1371" s="0" t="s">
        <v>3263</v>
      </c>
      <c r="AP1371" s="0" t="s">
        <v>3263</v>
      </c>
      <c r="AR1371" s="0" t="s">
        <v>9139</v>
      </c>
    </row>
    <row r="1372" customFormat="false" ht="15" hidden="false" customHeight="false" outlineLevel="0" collapsed="false">
      <c r="A1372" s="0" t="n">
        <v>1371</v>
      </c>
      <c r="B1372" s="0" t="s">
        <v>9140</v>
      </c>
      <c r="C1372" s="0" t="s">
        <v>88</v>
      </c>
      <c r="E1372" s="0" t="s">
        <v>9141</v>
      </c>
      <c r="H1372" s="0" t="s">
        <v>9142</v>
      </c>
      <c r="I1372" s="0" t="s">
        <v>115</v>
      </c>
      <c r="J1372" s="3" t="s">
        <v>116</v>
      </c>
      <c r="K1372" s="0" t="s">
        <v>9143</v>
      </c>
      <c r="M1372" s="0" t="n">
        <v>1889</v>
      </c>
      <c r="N1372" s="0" t="s">
        <v>1325</v>
      </c>
      <c r="O1372" s="3" t="s">
        <v>213</v>
      </c>
      <c r="P1372" s="0" t="s">
        <v>96</v>
      </c>
      <c r="R1372" s="0" t="n">
        <v>776</v>
      </c>
      <c r="S1372" s="0" t="n">
        <v>2025</v>
      </c>
      <c r="T1372" s="0" t="s">
        <v>72</v>
      </c>
      <c r="U1372" s="0" t="s">
        <v>115</v>
      </c>
      <c r="V1372" s="0" t="n">
        <v>293</v>
      </c>
      <c r="W1372" s="0" t="s">
        <v>9144</v>
      </c>
      <c r="X1372" s="0" t="s">
        <v>9145</v>
      </c>
      <c r="Y1372" s="0" t="s">
        <v>72</v>
      </c>
      <c r="Z1372" s="0" t="s">
        <v>115</v>
      </c>
      <c r="AA1372" s="0" t="s">
        <v>75</v>
      </c>
      <c r="AB1372" s="0" t="s">
        <v>9146</v>
      </c>
      <c r="AC1372" s="0" t="s">
        <v>9147</v>
      </c>
      <c r="AD1372" s="0" t="s">
        <v>9148</v>
      </c>
      <c r="AE1372" s="0" t="s">
        <v>115</v>
      </c>
      <c r="AF1372" s="3" t="s">
        <v>108</v>
      </c>
      <c r="AG1372" s="3" t="s">
        <v>81</v>
      </c>
      <c r="AH1372" s="0" t="n">
        <v>2018</v>
      </c>
      <c r="AI1372" s="0" t="s">
        <v>1765</v>
      </c>
      <c r="AJ1372" s="0" t="s">
        <v>9149</v>
      </c>
      <c r="AK1372" s="3" t="s">
        <v>9150</v>
      </c>
      <c r="AL1372" s="0" t="s">
        <v>9151</v>
      </c>
      <c r="AN1372" s="0" t="s">
        <v>9152</v>
      </c>
      <c r="AO1372" s="0" t="s">
        <v>9153</v>
      </c>
      <c r="AP1372" s="0" t="s">
        <v>9154</v>
      </c>
      <c r="AR1372" s="0" t="s">
        <v>9155</v>
      </c>
    </row>
    <row r="1373" customFormat="false" ht="15" hidden="false" customHeight="false" outlineLevel="0" collapsed="false">
      <c r="A1373" s="0" t="n">
        <v>1372</v>
      </c>
      <c r="B1373" s="0" t="s">
        <v>9156</v>
      </c>
      <c r="C1373" s="0" t="s">
        <v>43</v>
      </c>
      <c r="F1373" s="0" t="s">
        <v>44</v>
      </c>
      <c r="H1373" s="0" t="s">
        <v>9142</v>
      </c>
      <c r="I1373" s="0" t="s">
        <v>115</v>
      </c>
      <c r="J1373" s="3" t="s">
        <v>116</v>
      </c>
      <c r="K1373" s="0" t="s">
        <v>9143</v>
      </c>
      <c r="M1373" s="0" t="n">
        <v>1889</v>
      </c>
      <c r="N1373" s="0" t="s">
        <v>1325</v>
      </c>
      <c r="O1373" s="3" t="s">
        <v>213</v>
      </c>
      <c r="P1373" s="0" t="s">
        <v>96</v>
      </c>
      <c r="R1373" s="0" t="n">
        <v>776</v>
      </c>
      <c r="S1373" s="0" t="n">
        <v>2025</v>
      </c>
      <c r="T1373" s="0" t="s">
        <v>72</v>
      </c>
      <c r="U1373" s="0" t="s">
        <v>115</v>
      </c>
      <c r="V1373" s="0" t="n">
        <v>293</v>
      </c>
      <c r="W1373" s="0" t="s">
        <v>9144</v>
      </c>
      <c r="X1373" s="0" t="s">
        <v>9145</v>
      </c>
      <c r="Y1373" s="0" t="s">
        <v>72</v>
      </c>
      <c r="Z1373" s="0" t="s">
        <v>115</v>
      </c>
      <c r="AA1373" s="0" t="s">
        <v>75</v>
      </c>
      <c r="AB1373" s="0" t="s">
        <v>9146</v>
      </c>
      <c r="AC1373" s="0" t="s">
        <v>9147</v>
      </c>
      <c r="AD1373" s="0" t="s">
        <v>9148</v>
      </c>
      <c r="AE1373" s="0" t="s">
        <v>115</v>
      </c>
      <c r="AF1373" s="3" t="s">
        <v>108</v>
      </c>
      <c r="AG1373" s="3" t="s">
        <v>81</v>
      </c>
      <c r="AH1373" s="0" t="n">
        <v>2018</v>
      </c>
      <c r="AI1373" s="0" t="s">
        <v>1765</v>
      </c>
      <c r="AJ1373" s="0" t="s">
        <v>9149</v>
      </c>
      <c r="AK1373" s="3" t="s">
        <v>9150</v>
      </c>
      <c r="AL1373" s="0" t="s">
        <v>9151</v>
      </c>
      <c r="AN1373" s="0" t="s">
        <v>9152</v>
      </c>
      <c r="AO1373" s="0" t="s">
        <v>9153</v>
      </c>
      <c r="AP1373" s="0" t="s">
        <v>9154</v>
      </c>
      <c r="AR1373" s="0" t="s">
        <v>9157</v>
      </c>
    </row>
    <row r="1374" customFormat="false" ht="15" hidden="false" customHeight="false" outlineLevel="0" collapsed="false">
      <c r="A1374" s="0" t="n">
        <v>1373</v>
      </c>
      <c r="B1374" s="0" t="s">
        <v>9158</v>
      </c>
      <c r="C1374" s="0" t="s">
        <v>88</v>
      </c>
      <c r="E1374" s="0" t="s">
        <v>9159</v>
      </c>
      <c r="N1374" s="3" t="s">
        <v>119</v>
      </c>
      <c r="O1374" s="3" t="s">
        <v>119</v>
      </c>
      <c r="P1374" s="0" t="s">
        <v>96</v>
      </c>
      <c r="AA1374" s="0" t="s">
        <v>47</v>
      </c>
      <c r="AB1374" s="0" t="s">
        <v>9160</v>
      </c>
      <c r="AC1374" s="0" t="s">
        <v>9161</v>
      </c>
      <c r="AD1374" s="0" t="s">
        <v>9162</v>
      </c>
      <c r="AE1374" s="0" t="s">
        <v>79</v>
      </c>
      <c r="AF1374" s="3" t="s">
        <v>48</v>
      </c>
      <c r="AG1374" s="3" t="s">
        <v>49</v>
      </c>
      <c r="AR1374" s="0" t="s">
        <v>9159</v>
      </c>
    </row>
    <row r="1375" customFormat="false" ht="15" hidden="false" customHeight="false" outlineLevel="0" collapsed="false">
      <c r="A1375" s="0" t="n">
        <v>1374</v>
      </c>
      <c r="B1375" s="0" t="s">
        <v>9163</v>
      </c>
      <c r="C1375" s="0" t="s">
        <v>88</v>
      </c>
      <c r="E1375" s="0" t="s">
        <v>9164</v>
      </c>
      <c r="H1375" s="0" t="s">
        <v>9165</v>
      </c>
      <c r="I1375" s="0" t="s">
        <v>154</v>
      </c>
      <c r="N1375" s="3" t="s">
        <v>119</v>
      </c>
      <c r="O1375" s="3" t="s">
        <v>119</v>
      </c>
      <c r="P1375" s="0" t="s">
        <v>96</v>
      </c>
      <c r="AA1375" s="0" t="s">
        <v>47</v>
      </c>
      <c r="AB1375" s="0" t="s">
        <v>9166</v>
      </c>
      <c r="AC1375" s="0" t="s">
        <v>9167</v>
      </c>
      <c r="AD1375" s="0" t="s">
        <v>9168</v>
      </c>
      <c r="AE1375" s="0" t="s">
        <v>79</v>
      </c>
      <c r="AF1375" s="3" t="s">
        <v>48</v>
      </c>
      <c r="AG1375" s="3" t="s">
        <v>49</v>
      </c>
      <c r="AL1375" s="0" t="s">
        <v>9169</v>
      </c>
      <c r="AO1375" s="0" t="s">
        <v>9170</v>
      </c>
      <c r="AP1375" s="0" t="s">
        <v>9170</v>
      </c>
      <c r="AR1375" s="0" t="s">
        <v>9171</v>
      </c>
    </row>
    <row r="1376" customFormat="false" ht="15" hidden="false" customHeight="false" outlineLevel="0" collapsed="false">
      <c r="A1376" s="0" t="n">
        <v>1375</v>
      </c>
      <c r="B1376" s="0" t="s">
        <v>9172</v>
      </c>
      <c r="C1376" s="0" t="s">
        <v>88</v>
      </c>
      <c r="E1376" s="0" t="s">
        <v>9173</v>
      </c>
      <c r="H1376" s="0" t="s">
        <v>9174</v>
      </c>
      <c r="I1376" s="0" t="s">
        <v>154</v>
      </c>
      <c r="AA1376" s="0" t="s">
        <v>47</v>
      </c>
      <c r="AF1376" s="3" t="s">
        <v>48</v>
      </c>
      <c r="AG1376" s="3" t="s">
        <v>49</v>
      </c>
      <c r="AL1376" s="0" t="s">
        <v>9175</v>
      </c>
      <c r="AM1376" s="0" t="s">
        <v>9176</v>
      </c>
      <c r="AO1376" s="0" t="s">
        <v>9177</v>
      </c>
      <c r="AP1376" s="0" t="s">
        <v>9177</v>
      </c>
      <c r="AR1376" s="0" t="s">
        <v>9178</v>
      </c>
    </row>
    <row r="1377" customFormat="false" ht="15" hidden="false" customHeight="false" outlineLevel="0" collapsed="false">
      <c r="A1377" s="0" t="n">
        <v>1376</v>
      </c>
      <c r="B1377" s="0" t="s">
        <v>9179</v>
      </c>
      <c r="C1377" s="0" t="s">
        <v>88</v>
      </c>
      <c r="E1377" s="0" t="s">
        <v>9180</v>
      </c>
      <c r="H1377" s="0" t="s">
        <v>9181</v>
      </c>
      <c r="I1377" s="0" t="s">
        <v>94</v>
      </c>
      <c r="AA1377" s="0" t="s">
        <v>47</v>
      </c>
      <c r="AF1377" s="3" t="s">
        <v>48</v>
      </c>
      <c r="AG1377" s="3" t="s">
        <v>49</v>
      </c>
      <c r="AL1377" s="0" t="s">
        <v>9182</v>
      </c>
      <c r="AM1377" s="0" t="s">
        <v>9183</v>
      </c>
      <c r="AO1377" s="0" t="s">
        <v>9184</v>
      </c>
      <c r="AP1377" s="0" t="s">
        <v>9184</v>
      </c>
      <c r="AR1377" s="0" t="s">
        <v>9185</v>
      </c>
    </row>
    <row r="1378" customFormat="false" ht="15" hidden="false" customHeight="false" outlineLevel="0" collapsed="false">
      <c r="A1378" s="0" t="n">
        <v>1377</v>
      </c>
      <c r="B1378" s="0" t="s">
        <v>9186</v>
      </c>
      <c r="C1378" s="0" t="s">
        <v>88</v>
      </c>
      <c r="E1378" s="0" t="s">
        <v>9187</v>
      </c>
      <c r="H1378" s="0" t="s">
        <v>9188</v>
      </c>
      <c r="I1378" s="0" t="s">
        <v>154</v>
      </c>
      <c r="N1378" s="3" t="s">
        <v>186</v>
      </c>
      <c r="O1378" s="3" t="s">
        <v>186</v>
      </c>
      <c r="P1378" s="0" t="s">
        <v>96</v>
      </c>
      <c r="AA1378" s="0" t="s">
        <v>47</v>
      </c>
      <c r="AB1378" s="0" t="s">
        <v>9189</v>
      </c>
      <c r="AC1378" s="0" t="s">
        <v>9190</v>
      </c>
      <c r="AD1378" s="0" t="s">
        <v>9191</v>
      </c>
      <c r="AE1378" s="0" t="s">
        <v>79</v>
      </c>
      <c r="AF1378" s="3" t="s">
        <v>48</v>
      </c>
      <c r="AG1378" s="3" t="s">
        <v>49</v>
      </c>
      <c r="AL1378" s="0" t="s">
        <v>4152</v>
      </c>
      <c r="AO1378" s="0" t="s">
        <v>4153</v>
      </c>
      <c r="AP1378" s="0" t="s">
        <v>4153</v>
      </c>
      <c r="AR1378" s="0" t="s">
        <v>9192</v>
      </c>
    </row>
    <row r="1379" customFormat="false" ht="15" hidden="false" customHeight="false" outlineLevel="0" collapsed="false">
      <c r="A1379" s="0" t="n">
        <v>1378</v>
      </c>
      <c r="B1379" s="0" t="s">
        <v>9193</v>
      </c>
      <c r="C1379" s="0" t="s">
        <v>88</v>
      </c>
      <c r="E1379" s="0" t="s">
        <v>9194</v>
      </c>
      <c r="AA1379" s="0" t="s">
        <v>47</v>
      </c>
      <c r="AF1379" s="3" t="s">
        <v>48</v>
      </c>
      <c r="AG1379" s="3" t="s">
        <v>49</v>
      </c>
      <c r="AR1379" s="0" t="s">
        <v>9194</v>
      </c>
    </row>
    <row r="1380" customFormat="false" ht="15" hidden="false" customHeight="false" outlineLevel="0" collapsed="false">
      <c r="A1380" s="0" t="n">
        <v>1379</v>
      </c>
      <c r="B1380" s="0" t="s">
        <v>9195</v>
      </c>
      <c r="C1380" s="0" t="s">
        <v>88</v>
      </c>
      <c r="E1380" s="0" t="s">
        <v>9196</v>
      </c>
      <c r="H1380" s="0" t="s">
        <v>9197</v>
      </c>
      <c r="I1380" s="0" t="s">
        <v>94</v>
      </c>
      <c r="AA1380" s="0" t="s">
        <v>47</v>
      </c>
      <c r="AF1380" s="3" t="s">
        <v>48</v>
      </c>
      <c r="AG1380" s="3" t="s">
        <v>49</v>
      </c>
      <c r="AL1380" s="0" t="s">
        <v>9198</v>
      </c>
      <c r="AO1380" s="0" t="s">
        <v>9199</v>
      </c>
      <c r="AP1380" s="0" t="s">
        <v>9199</v>
      </c>
      <c r="AR1380" s="0" t="s">
        <v>9200</v>
      </c>
    </row>
    <row r="1381" customFormat="false" ht="15" hidden="false" customHeight="false" outlineLevel="0" collapsed="false">
      <c r="A1381" s="0" t="n">
        <v>1380</v>
      </c>
      <c r="B1381" s="0" t="s">
        <v>9201</v>
      </c>
      <c r="C1381" s="0" t="s">
        <v>52</v>
      </c>
      <c r="D1381" s="0" t="s">
        <v>9202</v>
      </c>
      <c r="H1381" s="0" t="s">
        <v>9203</v>
      </c>
      <c r="I1381" s="0" t="s">
        <v>94</v>
      </c>
      <c r="N1381" s="3" t="s">
        <v>136</v>
      </c>
      <c r="O1381" s="3" t="s">
        <v>136</v>
      </c>
      <c r="P1381" s="0" t="s">
        <v>55</v>
      </c>
      <c r="AA1381" s="0" t="s">
        <v>47</v>
      </c>
      <c r="AB1381" s="0" t="s">
        <v>9204</v>
      </c>
      <c r="AC1381" s="0" t="s">
        <v>9205</v>
      </c>
      <c r="AD1381" s="0" t="s">
        <v>9206</v>
      </c>
      <c r="AE1381" s="0" t="s">
        <v>59</v>
      </c>
      <c r="AF1381" s="3" t="s">
        <v>48</v>
      </c>
      <c r="AG1381" s="3" t="s">
        <v>49</v>
      </c>
      <c r="AO1381" s="0" t="s">
        <v>9207</v>
      </c>
      <c r="AP1381" s="0" t="s">
        <v>9207</v>
      </c>
      <c r="AR1381" s="0" t="s">
        <v>9208</v>
      </c>
    </row>
    <row r="1382" customFormat="false" ht="15" hidden="false" customHeight="false" outlineLevel="0" collapsed="false">
      <c r="A1382" s="0" t="n">
        <v>1381</v>
      </c>
      <c r="B1382" s="0" t="s">
        <v>9209</v>
      </c>
      <c r="C1382" s="0" t="s">
        <v>244</v>
      </c>
      <c r="E1382" s="0" t="s">
        <v>9210</v>
      </c>
      <c r="F1382" s="0" t="s">
        <v>44</v>
      </c>
      <c r="N1382" s="3" t="s">
        <v>186</v>
      </c>
      <c r="O1382" s="3" t="s">
        <v>186</v>
      </c>
      <c r="P1382" s="0" t="s">
        <v>96</v>
      </c>
      <c r="AA1382" s="0" t="s">
        <v>47</v>
      </c>
      <c r="AB1382" s="0" t="s">
        <v>9211</v>
      </c>
      <c r="AC1382" s="0" t="s">
        <v>9212</v>
      </c>
      <c r="AD1382" s="0" t="s">
        <v>9213</v>
      </c>
      <c r="AE1382" s="0" t="s">
        <v>79</v>
      </c>
      <c r="AF1382" s="3" t="s">
        <v>108</v>
      </c>
      <c r="AG1382" s="3" t="s">
        <v>49</v>
      </c>
      <c r="AH1382" s="0" t="n">
        <v>2026</v>
      </c>
      <c r="AI1382" s="0" t="s">
        <v>167</v>
      </c>
      <c r="AJ1382" s="0" t="s">
        <v>168</v>
      </c>
      <c r="AK1382" s="0" t="s">
        <v>9214</v>
      </c>
      <c r="AR1382" s="0" t="s">
        <v>9215</v>
      </c>
    </row>
  </sheetData>
  <autoFilter ref="A1:A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34"/>
    <col collapsed="false" customWidth="true" hidden="false" outlineLevel="0" max="4" min="4" style="0" width="22"/>
    <col collapsed="false" customWidth="true" hidden="false" outlineLevel="0" max="5" min="5" style="0" width="10"/>
    <col collapsed="false" customWidth="true" hidden="false" outlineLevel="0" max="6" min="6" style="0" width="36"/>
    <col collapsed="false" customWidth="true" hidden="false" outlineLevel="0" max="7" min="7" style="0" width="28"/>
    <col collapsed="false" customWidth="true" hidden="false" outlineLevel="0" max="8" min="8" style="0" width="16"/>
    <col collapsed="false" customWidth="true" hidden="false" outlineLevel="0" max="9" min="9" style="0" width="26"/>
    <col collapsed="false" customWidth="true" hidden="false" outlineLevel="0" max="10" min="10" style="0" width="36"/>
    <col collapsed="false" customWidth="true" hidden="false" outlineLevel="0" max="11" min="11" style="0" width="30"/>
    <col collapsed="false" customWidth="true" hidden="false" outlineLevel="0" max="12" min="12" style="0" width="8"/>
    <col collapsed="false" customWidth="true" hidden="false" outlineLevel="0" max="13" min="13" style="0" width="10"/>
    <col collapsed="false" customWidth="true" hidden="false" outlineLevel="0" max="14" min="14" style="0" width="18"/>
    <col collapsed="false" customWidth="true" hidden="false" outlineLevel="0" max="15" min="15" style="0" width="9"/>
    <col collapsed="false" customWidth="true" hidden="false" outlineLevel="0" max="16" min="16" style="0" width="60"/>
  </cols>
  <sheetData>
    <row r="1" customFormat="false" ht="37.3" hidden="false" customHeight="false" outlineLevel="0" collapsed="false">
      <c r="A1" s="1" t="s">
        <v>9216</v>
      </c>
      <c r="B1" s="2" t="s">
        <v>1</v>
      </c>
      <c r="C1" s="2" t="s">
        <v>9217</v>
      </c>
      <c r="D1" s="2" t="s">
        <v>9218</v>
      </c>
      <c r="E1" s="2" t="s">
        <v>9219</v>
      </c>
      <c r="F1" s="2" t="s">
        <v>19</v>
      </c>
      <c r="G1" s="2" t="s">
        <v>7</v>
      </c>
      <c r="H1" s="2" t="s">
        <v>35</v>
      </c>
      <c r="I1" s="2" t="s">
        <v>36</v>
      </c>
      <c r="J1" s="2" t="s">
        <v>37</v>
      </c>
      <c r="K1" s="2" t="s">
        <v>38</v>
      </c>
      <c r="L1" s="2" t="s">
        <v>31</v>
      </c>
      <c r="M1" s="2" t="s">
        <v>9220</v>
      </c>
      <c r="N1" s="2" t="s">
        <v>9221</v>
      </c>
      <c r="O1" s="2" t="s">
        <v>9222</v>
      </c>
      <c r="P1" s="2" t="s">
        <v>20</v>
      </c>
    </row>
    <row r="2" customFormat="false" ht="15" hidden="false" customHeight="false" outlineLevel="0" collapsed="false">
      <c r="A2" s="0" t="n">
        <v>3</v>
      </c>
      <c r="B2" s="0" t="s">
        <v>60</v>
      </c>
      <c r="C2" s="0" t="s">
        <v>82</v>
      </c>
      <c r="D2" s="0" t="s">
        <v>9223</v>
      </c>
      <c r="E2" s="3" t="s">
        <v>9224</v>
      </c>
      <c r="F2" s="0" t="s">
        <v>9225</v>
      </c>
      <c r="L2" s="0" t="n">
        <v>2015</v>
      </c>
      <c r="M2" s="3" t="s">
        <v>9226</v>
      </c>
      <c r="N2" s="0" t="s">
        <v>9227</v>
      </c>
      <c r="O2" s="0" t="s">
        <v>9228</v>
      </c>
      <c r="P2" s="0" t="s">
        <v>9229</v>
      </c>
    </row>
    <row r="3" customFormat="false" ht="15" hidden="false" customHeight="false" outlineLevel="0" collapsed="false">
      <c r="A3" s="0" t="n">
        <v>6</v>
      </c>
      <c r="B3" s="0" t="s">
        <v>100</v>
      </c>
      <c r="C3" s="0" t="s">
        <v>109</v>
      </c>
      <c r="D3" s="3" t="s">
        <v>9230</v>
      </c>
      <c r="E3" s="3" t="s">
        <v>9231</v>
      </c>
      <c r="F3" s="0" t="s">
        <v>9232</v>
      </c>
      <c r="G3" s="0" t="s">
        <v>9233</v>
      </c>
      <c r="H3" s="0" t="s">
        <v>9234</v>
      </c>
      <c r="I3" s="0" t="s">
        <v>9235</v>
      </c>
      <c r="J3" s="0" t="s">
        <v>9236</v>
      </c>
      <c r="L3" s="0" t="n">
        <v>2026</v>
      </c>
      <c r="M3" s="3" t="s">
        <v>9237</v>
      </c>
      <c r="N3" s="0" t="s">
        <v>9238</v>
      </c>
      <c r="O3" s="0" t="s">
        <v>9239</v>
      </c>
      <c r="P3" s="0" t="s">
        <v>9240</v>
      </c>
    </row>
    <row r="4" customFormat="false" ht="15" hidden="false" customHeight="false" outlineLevel="0" collapsed="false">
      <c r="A4" s="0" t="n">
        <v>14</v>
      </c>
      <c r="B4" s="0" t="s">
        <v>152</v>
      </c>
      <c r="C4" s="0" t="s">
        <v>155</v>
      </c>
      <c r="D4" s="3" t="s">
        <v>9241</v>
      </c>
      <c r="E4" s="3" t="s">
        <v>9231</v>
      </c>
      <c r="F4" s="0" t="s">
        <v>9232</v>
      </c>
      <c r="G4" s="0" t="s">
        <v>9242</v>
      </c>
      <c r="H4" s="0" t="s">
        <v>9243</v>
      </c>
      <c r="I4" s="0" t="s">
        <v>9244</v>
      </c>
      <c r="L4" s="0" t="n">
        <v>2026</v>
      </c>
      <c r="M4" s="3" t="s">
        <v>9237</v>
      </c>
      <c r="N4" s="0" t="s">
        <v>9238</v>
      </c>
      <c r="O4" s="0" t="s">
        <v>9239</v>
      </c>
      <c r="P4" s="0" t="s">
        <v>9245</v>
      </c>
    </row>
    <row r="5" customFormat="false" ht="15" hidden="false" customHeight="false" outlineLevel="0" collapsed="false">
      <c r="A5" s="0" t="n">
        <v>15</v>
      </c>
      <c r="B5" s="0" t="s">
        <v>160</v>
      </c>
      <c r="C5" s="0" t="s">
        <v>167</v>
      </c>
      <c r="D5" s="3" t="s">
        <v>9246</v>
      </c>
      <c r="E5" s="3" t="s">
        <v>9231</v>
      </c>
      <c r="F5" s="0" t="s">
        <v>9232</v>
      </c>
      <c r="G5" s="0" t="s">
        <v>9247</v>
      </c>
      <c r="H5" s="0" t="s">
        <v>9248</v>
      </c>
      <c r="I5" s="0" t="s">
        <v>9249</v>
      </c>
      <c r="J5" s="0" t="s">
        <v>9250</v>
      </c>
      <c r="L5" s="0" t="n">
        <v>2026</v>
      </c>
      <c r="M5" s="3" t="s">
        <v>9237</v>
      </c>
      <c r="N5" s="0" t="s">
        <v>9238</v>
      </c>
      <c r="O5" s="0" t="s">
        <v>9239</v>
      </c>
      <c r="P5" s="0" t="s">
        <v>9251</v>
      </c>
    </row>
    <row r="6" customFormat="false" ht="15" hidden="false" customHeight="false" outlineLevel="0" collapsed="false">
      <c r="A6" s="0" t="n">
        <v>16</v>
      </c>
      <c r="B6" s="0" t="s">
        <v>171</v>
      </c>
      <c r="C6" s="0" t="s">
        <v>829</v>
      </c>
      <c r="D6" s="3" t="s">
        <v>9252</v>
      </c>
      <c r="E6" s="3" t="s">
        <v>9231</v>
      </c>
      <c r="F6" s="0" t="s">
        <v>9232</v>
      </c>
      <c r="G6" s="0" t="s">
        <v>9253</v>
      </c>
      <c r="H6" s="0" t="s">
        <v>9254</v>
      </c>
      <c r="I6" s="0" t="s">
        <v>9255</v>
      </c>
      <c r="J6" s="0" t="s">
        <v>9256</v>
      </c>
      <c r="L6" s="0" t="n">
        <v>2026</v>
      </c>
      <c r="M6" s="3" t="s">
        <v>9237</v>
      </c>
      <c r="N6" s="0" t="s">
        <v>9238</v>
      </c>
      <c r="O6" s="0" t="s">
        <v>9239</v>
      </c>
      <c r="P6" s="0" t="s">
        <v>9257</v>
      </c>
    </row>
    <row r="7" customFormat="false" ht="15" hidden="false" customHeight="false" outlineLevel="0" collapsed="false">
      <c r="A7" s="0" t="n">
        <v>16</v>
      </c>
      <c r="B7" s="0" t="s">
        <v>171</v>
      </c>
      <c r="C7" s="0" t="s">
        <v>6947</v>
      </c>
      <c r="D7" s="3" t="s">
        <v>9258</v>
      </c>
      <c r="E7" s="3" t="s">
        <v>9231</v>
      </c>
      <c r="F7" s="0" t="s">
        <v>9232</v>
      </c>
      <c r="G7" s="0" t="s">
        <v>9259</v>
      </c>
      <c r="H7" s="0" t="s">
        <v>9260</v>
      </c>
      <c r="I7" s="0" t="s">
        <v>9261</v>
      </c>
      <c r="J7" s="0" t="s">
        <v>9262</v>
      </c>
      <c r="K7" s="0" t="s">
        <v>9263</v>
      </c>
      <c r="L7" s="0" t="n">
        <v>2026</v>
      </c>
      <c r="M7" s="3" t="s">
        <v>9237</v>
      </c>
      <c r="N7" s="0" t="s">
        <v>9238</v>
      </c>
      <c r="O7" s="0" t="s">
        <v>9239</v>
      </c>
      <c r="P7" s="0" t="s">
        <v>9264</v>
      </c>
    </row>
    <row r="8" customFormat="false" ht="15" hidden="false" customHeight="false" outlineLevel="0" collapsed="false">
      <c r="A8" s="0" t="n">
        <v>16</v>
      </c>
      <c r="B8" s="0" t="s">
        <v>171</v>
      </c>
      <c r="C8" s="0" t="s">
        <v>155</v>
      </c>
      <c r="D8" s="3" t="s">
        <v>9241</v>
      </c>
      <c r="E8" s="3" t="s">
        <v>9231</v>
      </c>
      <c r="F8" s="0" t="s">
        <v>9232</v>
      </c>
      <c r="G8" s="0" t="s">
        <v>9242</v>
      </c>
      <c r="H8" s="0" t="s">
        <v>9243</v>
      </c>
      <c r="I8" s="0" t="s">
        <v>9244</v>
      </c>
      <c r="L8" s="0" t="n">
        <v>2026</v>
      </c>
      <c r="M8" s="3" t="s">
        <v>9237</v>
      </c>
      <c r="N8" s="0" t="s">
        <v>9238</v>
      </c>
      <c r="O8" s="0" t="s">
        <v>9239</v>
      </c>
      <c r="P8" s="0" t="s">
        <v>9245</v>
      </c>
    </row>
    <row r="9" customFormat="false" ht="15" hidden="false" customHeight="false" outlineLevel="0" collapsed="false">
      <c r="A9" s="0" t="n">
        <v>31</v>
      </c>
      <c r="B9" s="0" t="s">
        <v>264</v>
      </c>
      <c r="C9" s="0" t="s">
        <v>155</v>
      </c>
      <c r="D9" s="3" t="s">
        <v>9241</v>
      </c>
      <c r="E9" s="3" t="s">
        <v>9231</v>
      </c>
      <c r="F9" s="0" t="s">
        <v>9232</v>
      </c>
      <c r="G9" s="0" t="s">
        <v>9242</v>
      </c>
      <c r="H9" s="0" t="s">
        <v>9243</v>
      </c>
      <c r="I9" s="0" t="s">
        <v>9244</v>
      </c>
      <c r="L9" s="0" t="n">
        <v>2026</v>
      </c>
      <c r="M9" s="3" t="s">
        <v>9237</v>
      </c>
      <c r="N9" s="0" t="s">
        <v>9238</v>
      </c>
      <c r="O9" s="0" t="s">
        <v>9239</v>
      </c>
      <c r="P9" s="0" t="s">
        <v>9245</v>
      </c>
    </row>
    <row r="10" customFormat="false" ht="15" hidden="false" customHeight="false" outlineLevel="0" collapsed="false">
      <c r="A10" s="0" t="n">
        <v>34</v>
      </c>
      <c r="B10" s="0" t="s">
        <v>279</v>
      </c>
      <c r="C10" s="0" t="s">
        <v>284</v>
      </c>
      <c r="D10" s="3" t="s">
        <v>9265</v>
      </c>
      <c r="E10" s="3" t="s">
        <v>9231</v>
      </c>
      <c r="F10" s="0" t="s">
        <v>9232</v>
      </c>
      <c r="G10" s="0" t="s">
        <v>9266</v>
      </c>
      <c r="H10" s="0" t="s">
        <v>9267</v>
      </c>
      <c r="I10" s="0" t="s">
        <v>9268</v>
      </c>
      <c r="L10" s="0" t="n">
        <v>2026</v>
      </c>
      <c r="M10" s="3" t="s">
        <v>9237</v>
      </c>
      <c r="N10" s="0" t="s">
        <v>9238</v>
      </c>
      <c r="O10" s="0" t="s">
        <v>9239</v>
      </c>
      <c r="P10" s="0" t="s">
        <v>9269</v>
      </c>
    </row>
    <row r="11" customFormat="false" ht="15" hidden="false" customHeight="false" outlineLevel="0" collapsed="false">
      <c r="A11" s="0" t="n">
        <v>41</v>
      </c>
      <c r="B11" s="0" t="s">
        <v>325</v>
      </c>
      <c r="C11" s="0" t="s">
        <v>109</v>
      </c>
      <c r="D11" s="3" t="s">
        <v>9230</v>
      </c>
      <c r="E11" s="3" t="s">
        <v>9231</v>
      </c>
      <c r="F11" s="0" t="s">
        <v>9232</v>
      </c>
      <c r="G11" s="0" t="s">
        <v>9233</v>
      </c>
      <c r="H11" s="0" t="s">
        <v>9234</v>
      </c>
      <c r="I11" s="0" t="s">
        <v>9235</v>
      </c>
      <c r="J11" s="0" t="s">
        <v>9236</v>
      </c>
      <c r="L11" s="0" t="n">
        <v>2026</v>
      </c>
      <c r="M11" s="3" t="s">
        <v>9237</v>
      </c>
      <c r="N11" s="0" t="s">
        <v>9238</v>
      </c>
      <c r="O11" s="0" t="s">
        <v>9239</v>
      </c>
      <c r="P11" s="0" t="s">
        <v>9240</v>
      </c>
    </row>
    <row r="12" customFormat="false" ht="15" hidden="false" customHeight="false" outlineLevel="0" collapsed="false">
      <c r="A12" s="0" t="n">
        <v>53</v>
      </c>
      <c r="B12" s="0" t="s">
        <v>393</v>
      </c>
      <c r="C12" s="0" t="s">
        <v>425</v>
      </c>
      <c r="D12" s="3" t="s">
        <v>9270</v>
      </c>
      <c r="E12" s="3" t="s">
        <v>9231</v>
      </c>
      <c r="F12" s="0" t="s">
        <v>9271</v>
      </c>
      <c r="G12" s="0" t="s">
        <v>9272</v>
      </c>
      <c r="H12" s="0" t="s">
        <v>9273</v>
      </c>
      <c r="I12" s="0" t="s">
        <v>9274</v>
      </c>
      <c r="J12" s="0" t="s">
        <v>9275</v>
      </c>
      <c r="L12" s="0" t="n">
        <v>2026</v>
      </c>
      <c r="M12" s="3" t="s">
        <v>9237</v>
      </c>
      <c r="N12" s="0" t="s">
        <v>9276</v>
      </c>
      <c r="P12" s="0" t="s">
        <v>9277</v>
      </c>
    </row>
    <row r="13" customFormat="false" ht="15" hidden="false" customHeight="false" outlineLevel="0" collapsed="false">
      <c r="A13" s="0" t="n">
        <v>53</v>
      </c>
      <c r="B13" s="0" t="s">
        <v>393</v>
      </c>
      <c r="C13" s="0" t="s">
        <v>4094</v>
      </c>
      <c r="D13" s="3" t="s">
        <v>9278</v>
      </c>
      <c r="E13" s="3" t="s">
        <v>9231</v>
      </c>
      <c r="F13" s="0" t="s">
        <v>9232</v>
      </c>
      <c r="G13" s="0" t="s">
        <v>9279</v>
      </c>
      <c r="H13" s="0" t="s">
        <v>9280</v>
      </c>
      <c r="I13" s="0" t="s">
        <v>9281</v>
      </c>
      <c r="J13" s="0" t="s">
        <v>9282</v>
      </c>
      <c r="L13" s="0" t="n">
        <v>2026</v>
      </c>
      <c r="M13" s="3" t="s">
        <v>9237</v>
      </c>
      <c r="N13" s="0" t="s">
        <v>9238</v>
      </c>
      <c r="O13" s="0" t="s">
        <v>9283</v>
      </c>
      <c r="P13" s="0" t="s">
        <v>9284</v>
      </c>
    </row>
    <row r="14" customFormat="false" ht="15" hidden="false" customHeight="false" outlineLevel="0" collapsed="false">
      <c r="A14" s="0" t="n">
        <v>56</v>
      </c>
      <c r="B14" s="0" t="s">
        <v>423</v>
      </c>
      <c r="C14" s="0" t="s">
        <v>425</v>
      </c>
      <c r="D14" s="3" t="s">
        <v>9270</v>
      </c>
      <c r="E14" s="3" t="s">
        <v>9231</v>
      </c>
      <c r="F14" s="0" t="s">
        <v>9271</v>
      </c>
      <c r="G14" s="0" t="s">
        <v>9272</v>
      </c>
      <c r="H14" s="0" t="s">
        <v>9273</v>
      </c>
      <c r="I14" s="0" t="s">
        <v>9274</v>
      </c>
      <c r="J14" s="0" t="s">
        <v>9275</v>
      </c>
      <c r="L14" s="0" t="n">
        <v>2026</v>
      </c>
      <c r="M14" s="3" t="s">
        <v>9237</v>
      </c>
      <c r="N14" s="0" t="s">
        <v>9276</v>
      </c>
      <c r="P14" s="0" t="s">
        <v>9277</v>
      </c>
    </row>
    <row r="15" customFormat="false" ht="15" hidden="false" customHeight="false" outlineLevel="0" collapsed="false">
      <c r="A15" s="0" t="n">
        <v>88</v>
      </c>
      <c r="B15" s="0" t="s">
        <v>622</v>
      </c>
      <c r="C15" s="0" t="s">
        <v>155</v>
      </c>
      <c r="D15" s="3" t="s">
        <v>9241</v>
      </c>
      <c r="E15" s="3" t="s">
        <v>9231</v>
      </c>
      <c r="F15" s="0" t="s">
        <v>9232</v>
      </c>
      <c r="G15" s="0" t="s">
        <v>9242</v>
      </c>
      <c r="H15" s="0" t="s">
        <v>9243</v>
      </c>
      <c r="I15" s="0" t="s">
        <v>9244</v>
      </c>
      <c r="L15" s="0" t="n">
        <v>2026</v>
      </c>
      <c r="M15" s="3" t="s">
        <v>9237</v>
      </c>
      <c r="N15" s="0" t="s">
        <v>9238</v>
      </c>
      <c r="O15" s="0" t="s">
        <v>9239</v>
      </c>
      <c r="P15" s="0" t="s">
        <v>9245</v>
      </c>
    </row>
    <row r="16" customFormat="false" ht="15" hidden="false" customHeight="false" outlineLevel="0" collapsed="false">
      <c r="A16" s="0" t="n">
        <v>96</v>
      </c>
      <c r="B16" s="0" t="s">
        <v>672</v>
      </c>
      <c r="C16" s="0" t="s">
        <v>284</v>
      </c>
      <c r="D16" s="3" t="s">
        <v>9265</v>
      </c>
      <c r="E16" s="3" t="s">
        <v>9231</v>
      </c>
      <c r="F16" s="0" t="s">
        <v>9232</v>
      </c>
      <c r="G16" s="0" t="s">
        <v>9266</v>
      </c>
      <c r="H16" s="0" t="s">
        <v>9267</v>
      </c>
      <c r="I16" s="0" t="s">
        <v>9268</v>
      </c>
      <c r="L16" s="0" t="n">
        <v>2026</v>
      </c>
      <c r="M16" s="3" t="s">
        <v>9237</v>
      </c>
      <c r="N16" s="0" t="s">
        <v>9238</v>
      </c>
      <c r="O16" s="0" t="s">
        <v>9239</v>
      </c>
      <c r="P16" s="0" t="s">
        <v>9269</v>
      </c>
    </row>
    <row r="17" customFormat="false" ht="15" hidden="false" customHeight="false" outlineLevel="0" collapsed="false">
      <c r="A17" s="0" t="n">
        <v>99</v>
      </c>
      <c r="B17" s="0" t="s">
        <v>691</v>
      </c>
      <c r="C17" s="0" t="s">
        <v>9285</v>
      </c>
      <c r="E17" s="3" t="s">
        <v>9231</v>
      </c>
      <c r="F17" s="0" t="s">
        <v>9286</v>
      </c>
      <c r="G17" s="0" t="s">
        <v>9287</v>
      </c>
      <c r="H17" s="0" t="s">
        <v>9288</v>
      </c>
      <c r="I17" s="0" t="s">
        <v>9289</v>
      </c>
      <c r="J17" s="0" t="s">
        <v>9290</v>
      </c>
      <c r="L17" s="0" t="n">
        <v>2026</v>
      </c>
      <c r="M17" s="3" t="s">
        <v>9237</v>
      </c>
      <c r="N17" s="0" t="s">
        <v>9276</v>
      </c>
      <c r="P17" s="0" t="s">
        <v>9291</v>
      </c>
    </row>
    <row r="18" customFormat="false" ht="15" hidden="false" customHeight="false" outlineLevel="0" collapsed="false">
      <c r="A18" s="0" t="n">
        <v>99</v>
      </c>
      <c r="B18" s="0" t="s">
        <v>691</v>
      </c>
      <c r="C18" s="0" t="s">
        <v>9292</v>
      </c>
      <c r="E18" s="3" t="s">
        <v>9231</v>
      </c>
      <c r="F18" s="0" t="s">
        <v>9293</v>
      </c>
      <c r="G18" s="0" t="s">
        <v>9294</v>
      </c>
      <c r="H18" s="0" t="s">
        <v>9234</v>
      </c>
      <c r="J18" s="0" t="s">
        <v>9236</v>
      </c>
      <c r="L18" s="0" t="n">
        <v>2026</v>
      </c>
      <c r="M18" s="3" t="s">
        <v>9237</v>
      </c>
      <c r="N18" s="0" t="s">
        <v>9276</v>
      </c>
      <c r="P18" s="0" t="s">
        <v>9295</v>
      </c>
    </row>
    <row r="19" customFormat="false" ht="15" hidden="false" customHeight="false" outlineLevel="0" collapsed="false">
      <c r="A19" s="0" t="n">
        <v>99</v>
      </c>
      <c r="B19" s="0" t="s">
        <v>691</v>
      </c>
      <c r="C19" s="0" t="s">
        <v>9296</v>
      </c>
      <c r="D19" s="3" t="s">
        <v>9278</v>
      </c>
      <c r="E19" s="3" t="s">
        <v>9231</v>
      </c>
      <c r="F19" s="0" t="s">
        <v>9297</v>
      </c>
      <c r="G19" s="0" t="s">
        <v>9279</v>
      </c>
      <c r="H19" s="0" t="s">
        <v>9280</v>
      </c>
      <c r="J19" s="0" t="s">
        <v>9282</v>
      </c>
      <c r="L19" s="0" t="n">
        <v>2026</v>
      </c>
      <c r="M19" s="3" t="s">
        <v>9237</v>
      </c>
      <c r="N19" s="0" t="s">
        <v>9276</v>
      </c>
      <c r="P19" s="0" t="s">
        <v>9298</v>
      </c>
    </row>
    <row r="20" customFormat="false" ht="15" hidden="false" customHeight="false" outlineLevel="0" collapsed="false">
      <c r="A20" s="0" t="n">
        <v>107</v>
      </c>
      <c r="B20" s="0" t="s">
        <v>749</v>
      </c>
      <c r="C20" s="0" t="s">
        <v>167</v>
      </c>
      <c r="D20" s="3" t="s">
        <v>9246</v>
      </c>
      <c r="E20" s="3" t="s">
        <v>9231</v>
      </c>
      <c r="F20" s="0" t="s">
        <v>9232</v>
      </c>
      <c r="G20" s="0" t="s">
        <v>9247</v>
      </c>
      <c r="H20" s="0" t="s">
        <v>9248</v>
      </c>
      <c r="I20" s="0" t="s">
        <v>9249</v>
      </c>
      <c r="J20" s="0" t="s">
        <v>9250</v>
      </c>
      <c r="L20" s="0" t="n">
        <v>2026</v>
      </c>
      <c r="M20" s="3" t="s">
        <v>9237</v>
      </c>
      <c r="N20" s="0" t="s">
        <v>9238</v>
      </c>
      <c r="O20" s="0" t="s">
        <v>9239</v>
      </c>
      <c r="P20" s="0" t="s">
        <v>9251</v>
      </c>
    </row>
    <row r="21" customFormat="false" ht="15" hidden="false" customHeight="false" outlineLevel="0" collapsed="false">
      <c r="A21" s="0" t="n">
        <v>108</v>
      </c>
      <c r="B21" s="0" t="s">
        <v>755</v>
      </c>
      <c r="C21" s="0" t="s">
        <v>768</v>
      </c>
      <c r="D21" s="3" t="s">
        <v>9299</v>
      </c>
      <c r="E21" s="3" t="s">
        <v>9231</v>
      </c>
      <c r="F21" s="0" t="s">
        <v>9300</v>
      </c>
      <c r="G21" s="0" t="s">
        <v>9301</v>
      </c>
      <c r="L21" s="0" t="n">
        <v>2026</v>
      </c>
      <c r="M21" s="3" t="s">
        <v>9237</v>
      </c>
      <c r="N21" s="0" t="s">
        <v>9276</v>
      </c>
      <c r="P21" s="0" t="s">
        <v>9302</v>
      </c>
    </row>
    <row r="22" customFormat="false" ht="15" hidden="false" customHeight="false" outlineLevel="0" collapsed="false">
      <c r="A22" s="0" t="n">
        <v>119</v>
      </c>
      <c r="B22" s="0" t="s">
        <v>827</v>
      </c>
      <c r="C22" s="0" t="s">
        <v>829</v>
      </c>
      <c r="D22" s="3" t="s">
        <v>9252</v>
      </c>
      <c r="E22" s="3" t="s">
        <v>9231</v>
      </c>
      <c r="F22" s="0" t="s">
        <v>9232</v>
      </c>
      <c r="G22" s="0" t="s">
        <v>9253</v>
      </c>
      <c r="H22" s="0" t="s">
        <v>9254</v>
      </c>
      <c r="I22" s="0" t="s">
        <v>9255</v>
      </c>
      <c r="J22" s="0" t="s">
        <v>9256</v>
      </c>
      <c r="L22" s="0" t="n">
        <v>2026</v>
      </c>
      <c r="M22" s="3" t="s">
        <v>9237</v>
      </c>
      <c r="N22" s="0" t="s">
        <v>9238</v>
      </c>
      <c r="O22" s="0" t="s">
        <v>9239</v>
      </c>
      <c r="P22" s="0" t="s">
        <v>9257</v>
      </c>
    </row>
    <row r="23" customFormat="false" ht="15" hidden="false" customHeight="false" outlineLevel="0" collapsed="false">
      <c r="A23" s="0" t="n">
        <v>133</v>
      </c>
      <c r="B23" s="0" t="s">
        <v>913</v>
      </c>
      <c r="C23" s="0" t="s">
        <v>921</v>
      </c>
      <c r="D23" s="3" t="s">
        <v>9303</v>
      </c>
      <c r="E23" s="3" t="s">
        <v>9231</v>
      </c>
      <c r="F23" s="0" t="s">
        <v>9232</v>
      </c>
      <c r="G23" s="0" t="s">
        <v>9304</v>
      </c>
      <c r="H23" s="0" t="s">
        <v>9305</v>
      </c>
      <c r="I23" s="0" t="s">
        <v>9306</v>
      </c>
      <c r="J23" s="0" t="s">
        <v>9307</v>
      </c>
      <c r="L23" s="0" t="n">
        <v>2026</v>
      </c>
      <c r="M23" s="3" t="s">
        <v>9237</v>
      </c>
      <c r="N23" s="0" t="s">
        <v>9238</v>
      </c>
      <c r="O23" s="0" t="s">
        <v>9239</v>
      </c>
      <c r="P23" s="0" t="s">
        <v>9308</v>
      </c>
    </row>
    <row r="24" customFormat="false" ht="15" hidden="false" customHeight="false" outlineLevel="0" collapsed="false">
      <c r="A24" s="0" t="n">
        <v>134</v>
      </c>
      <c r="B24" s="0" t="s">
        <v>925</v>
      </c>
      <c r="C24" s="0" t="s">
        <v>829</v>
      </c>
      <c r="D24" s="3" t="s">
        <v>9252</v>
      </c>
      <c r="E24" s="3" t="s">
        <v>9231</v>
      </c>
      <c r="F24" s="0" t="s">
        <v>9232</v>
      </c>
      <c r="G24" s="0" t="s">
        <v>9253</v>
      </c>
      <c r="H24" s="0" t="s">
        <v>9254</v>
      </c>
      <c r="I24" s="0" t="s">
        <v>9255</v>
      </c>
      <c r="J24" s="0" t="s">
        <v>9256</v>
      </c>
      <c r="L24" s="0" t="n">
        <v>2026</v>
      </c>
      <c r="M24" s="3" t="s">
        <v>9237</v>
      </c>
      <c r="N24" s="0" t="s">
        <v>9238</v>
      </c>
      <c r="O24" s="0" t="s">
        <v>9239</v>
      </c>
      <c r="P24" s="0" t="s">
        <v>9257</v>
      </c>
    </row>
    <row r="25" customFormat="false" ht="15" hidden="false" customHeight="false" outlineLevel="0" collapsed="false">
      <c r="A25" s="0" t="n">
        <v>142</v>
      </c>
      <c r="B25" s="0" t="s">
        <v>961</v>
      </c>
      <c r="C25" s="0" t="s">
        <v>968</v>
      </c>
      <c r="D25" s="3" t="s">
        <v>9309</v>
      </c>
      <c r="E25" s="3" t="s">
        <v>9231</v>
      </c>
      <c r="F25" s="0" t="s">
        <v>9232</v>
      </c>
      <c r="G25" s="0" t="s">
        <v>9310</v>
      </c>
      <c r="H25" s="0" t="s">
        <v>9311</v>
      </c>
      <c r="I25" s="0" t="s">
        <v>9312</v>
      </c>
      <c r="L25" s="0" t="n">
        <v>2026</v>
      </c>
      <c r="M25" s="3" t="s">
        <v>9237</v>
      </c>
      <c r="N25" s="0" t="s">
        <v>9238</v>
      </c>
      <c r="O25" s="0" t="s">
        <v>9239</v>
      </c>
      <c r="P25" s="0" t="s">
        <v>9313</v>
      </c>
    </row>
    <row r="26" customFormat="false" ht="15" hidden="false" customHeight="false" outlineLevel="0" collapsed="false">
      <c r="A26" s="0" t="n">
        <v>149</v>
      </c>
      <c r="B26" s="0" t="s">
        <v>1016</v>
      </c>
      <c r="C26" s="0" t="s">
        <v>9314</v>
      </c>
      <c r="E26" s="3" t="s">
        <v>9231</v>
      </c>
      <c r="F26" s="0" t="s">
        <v>9315</v>
      </c>
      <c r="G26" s="0" t="s">
        <v>9316</v>
      </c>
      <c r="H26" s="0" t="s">
        <v>9317</v>
      </c>
      <c r="J26" s="0" t="s">
        <v>9318</v>
      </c>
      <c r="L26" s="0" t="n">
        <v>2026</v>
      </c>
      <c r="M26" s="3" t="s">
        <v>9237</v>
      </c>
      <c r="N26" s="0" t="s">
        <v>9276</v>
      </c>
      <c r="P26" s="0" t="s">
        <v>9319</v>
      </c>
    </row>
    <row r="27" customFormat="false" ht="15" hidden="false" customHeight="false" outlineLevel="0" collapsed="false">
      <c r="A27" s="0" t="n">
        <v>149</v>
      </c>
      <c r="B27" s="0" t="s">
        <v>1016</v>
      </c>
      <c r="C27" s="0" t="s">
        <v>109</v>
      </c>
      <c r="D27" s="3" t="s">
        <v>9320</v>
      </c>
      <c r="E27" s="3" t="s">
        <v>9231</v>
      </c>
      <c r="F27" s="0" t="s">
        <v>9321</v>
      </c>
      <c r="G27" s="0" t="s">
        <v>9233</v>
      </c>
      <c r="H27" s="0" t="s">
        <v>9234</v>
      </c>
      <c r="J27" s="0" t="s">
        <v>9236</v>
      </c>
      <c r="L27" s="0" t="n">
        <v>2026</v>
      </c>
      <c r="M27" s="3" t="s">
        <v>9237</v>
      </c>
      <c r="N27" s="0" t="s">
        <v>9276</v>
      </c>
      <c r="P27" s="0" t="s">
        <v>9240</v>
      </c>
    </row>
    <row r="28" customFormat="false" ht="15" hidden="false" customHeight="false" outlineLevel="0" collapsed="false">
      <c r="A28" s="0" t="n">
        <v>150</v>
      </c>
      <c r="B28" s="0" t="s">
        <v>1033</v>
      </c>
      <c r="C28" s="0" t="s">
        <v>9314</v>
      </c>
      <c r="E28" s="3" t="s">
        <v>9231</v>
      </c>
      <c r="F28" s="0" t="s">
        <v>9315</v>
      </c>
      <c r="G28" s="0" t="s">
        <v>9316</v>
      </c>
      <c r="H28" s="0" t="s">
        <v>9317</v>
      </c>
      <c r="J28" s="0" t="s">
        <v>9318</v>
      </c>
      <c r="L28" s="0" t="n">
        <v>2026</v>
      </c>
      <c r="M28" s="3" t="s">
        <v>9237</v>
      </c>
      <c r="N28" s="0" t="s">
        <v>9276</v>
      </c>
      <c r="P28" s="0" t="s">
        <v>9319</v>
      </c>
    </row>
    <row r="29" customFormat="false" ht="15" hidden="false" customHeight="false" outlineLevel="0" collapsed="false">
      <c r="A29" s="0" t="n">
        <v>150</v>
      </c>
      <c r="B29" s="0" t="s">
        <v>1033</v>
      </c>
      <c r="C29" s="0" t="s">
        <v>109</v>
      </c>
      <c r="D29" s="3" t="s">
        <v>9320</v>
      </c>
      <c r="E29" s="3" t="s">
        <v>9231</v>
      </c>
      <c r="F29" s="0" t="s">
        <v>9321</v>
      </c>
      <c r="G29" s="0" t="s">
        <v>9233</v>
      </c>
      <c r="H29" s="0" t="s">
        <v>9234</v>
      </c>
      <c r="J29" s="0" t="s">
        <v>9236</v>
      </c>
      <c r="L29" s="0" t="n">
        <v>2026</v>
      </c>
      <c r="M29" s="3" t="s">
        <v>9237</v>
      </c>
      <c r="N29" s="0" t="s">
        <v>9276</v>
      </c>
      <c r="P29" s="0" t="s">
        <v>9240</v>
      </c>
    </row>
    <row r="30" customFormat="false" ht="15" hidden="false" customHeight="false" outlineLevel="0" collapsed="false">
      <c r="A30" s="0" t="n">
        <v>153</v>
      </c>
      <c r="B30" s="0" t="s">
        <v>1047</v>
      </c>
      <c r="C30" s="0" t="s">
        <v>968</v>
      </c>
      <c r="D30" s="3" t="s">
        <v>9309</v>
      </c>
      <c r="E30" s="3" t="s">
        <v>9231</v>
      </c>
      <c r="F30" s="0" t="s">
        <v>9232</v>
      </c>
      <c r="G30" s="0" t="s">
        <v>9310</v>
      </c>
      <c r="H30" s="0" t="s">
        <v>9311</v>
      </c>
      <c r="I30" s="0" t="s">
        <v>9312</v>
      </c>
      <c r="L30" s="0" t="n">
        <v>2026</v>
      </c>
      <c r="M30" s="3" t="s">
        <v>9237</v>
      </c>
      <c r="N30" s="0" t="s">
        <v>9238</v>
      </c>
      <c r="O30" s="0" t="s">
        <v>9239</v>
      </c>
      <c r="P30" s="0" t="s">
        <v>9313</v>
      </c>
    </row>
    <row r="31" customFormat="false" ht="15" hidden="false" customHeight="false" outlineLevel="0" collapsed="false">
      <c r="A31" s="0" t="n">
        <v>157</v>
      </c>
      <c r="B31" s="0" t="s">
        <v>1081</v>
      </c>
      <c r="C31" s="0" t="s">
        <v>829</v>
      </c>
      <c r="D31" s="3" t="s">
        <v>9252</v>
      </c>
      <c r="E31" s="3" t="s">
        <v>9231</v>
      </c>
      <c r="F31" s="0" t="s">
        <v>9232</v>
      </c>
      <c r="G31" s="0" t="s">
        <v>9253</v>
      </c>
      <c r="H31" s="0" t="s">
        <v>9254</v>
      </c>
      <c r="I31" s="0" t="s">
        <v>9255</v>
      </c>
      <c r="J31" s="0" t="s">
        <v>9256</v>
      </c>
      <c r="L31" s="0" t="n">
        <v>2026</v>
      </c>
      <c r="M31" s="3" t="s">
        <v>9237</v>
      </c>
      <c r="N31" s="0" t="s">
        <v>9238</v>
      </c>
      <c r="O31" s="0" t="s">
        <v>9239</v>
      </c>
      <c r="P31" s="0" t="s">
        <v>9257</v>
      </c>
    </row>
    <row r="32" customFormat="false" ht="15" hidden="false" customHeight="false" outlineLevel="0" collapsed="false">
      <c r="A32" s="0" t="n">
        <v>165</v>
      </c>
      <c r="B32" s="0" t="s">
        <v>1135</v>
      </c>
      <c r="C32" s="0" t="s">
        <v>9322</v>
      </c>
      <c r="E32" s="3" t="s">
        <v>9224</v>
      </c>
      <c r="F32" s="0" t="s">
        <v>9323</v>
      </c>
      <c r="G32" s="0" t="s">
        <v>8972</v>
      </c>
      <c r="L32" s="0" t="n">
        <v>2026</v>
      </c>
      <c r="M32" s="3" t="s">
        <v>9237</v>
      </c>
      <c r="N32" s="0" t="s">
        <v>9276</v>
      </c>
      <c r="P32" s="0" t="s">
        <v>9324</v>
      </c>
    </row>
    <row r="33" customFormat="false" ht="15" hidden="false" customHeight="false" outlineLevel="0" collapsed="false">
      <c r="A33" s="0" t="n">
        <v>165</v>
      </c>
      <c r="B33" s="0" t="s">
        <v>1135</v>
      </c>
      <c r="C33" s="0" t="s">
        <v>9325</v>
      </c>
      <c r="E33" s="3" t="s">
        <v>9224</v>
      </c>
      <c r="F33" s="0" t="s">
        <v>9326</v>
      </c>
      <c r="G33" s="0" t="s">
        <v>9327</v>
      </c>
      <c r="J33" s="0" t="s">
        <v>9328</v>
      </c>
      <c r="L33" s="0" t="n">
        <v>2026</v>
      </c>
      <c r="M33" s="3" t="s">
        <v>9237</v>
      </c>
      <c r="N33" s="0" t="s">
        <v>9276</v>
      </c>
      <c r="P33" s="0" t="s">
        <v>9329</v>
      </c>
    </row>
    <row r="34" customFormat="false" ht="15" hidden="false" customHeight="false" outlineLevel="0" collapsed="false">
      <c r="A34" s="0" t="n">
        <v>165</v>
      </c>
      <c r="B34" s="0" t="s">
        <v>1135</v>
      </c>
      <c r="C34" s="0" t="s">
        <v>9330</v>
      </c>
      <c r="D34" s="3" t="s">
        <v>9331</v>
      </c>
      <c r="E34" s="3" t="s">
        <v>9231</v>
      </c>
      <c r="F34" s="0" t="s">
        <v>9332</v>
      </c>
      <c r="G34" s="0" t="s">
        <v>9333</v>
      </c>
      <c r="H34" s="0" t="s">
        <v>9334</v>
      </c>
      <c r="I34" s="0" t="s">
        <v>9335</v>
      </c>
      <c r="J34" s="0" t="s">
        <v>9336</v>
      </c>
      <c r="M34" s="3" t="s">
        <v>9226</v>
      </c>
      <c r="N34" s="0" t="s">
        <v>9276</v>
      </c>
      <c r="P34" s="0" t="s">
        <v>9337</v>
      </c>
    </row>
    <row r="35" customFormat="false" ht="15" hidden="false" customHeight="false" outlineLevel="0" collapsed="false">
      <c r="A35" s="0" t="n">
        <v>168</v>
      </c>
      <c r="B35" s="0" t="s">
        <v>1164</v>
      </c>
      <c r="C35" s="0" t="s">
        <v>9338</v>
      </c>
      <c r="D35" s="3" t="s">
        <v>9339</v>
      </c>
      <c r="E35" s="3" t="s">
        <v>9231</v>
      </c>
      <c r="F35" s="0" t="s">
        <v>9340</v>
      </c>
      <c r="G35" s="0" t="s">
        <v>9341</v>
      </c>
      <c r="H35" s="0" t="s">
        <v>9342</v>
      </c>
      <c r="J35" s="0" t="s">
        <v>9343</v>
      </c>
      <c r="L35" s="0" t="n">
        <v>2026</v>
      </c>
      <c r="M35" s="3" t="s">
        <v>9237</v>
      </c>
      <c r="N35" s="0" t="s">
        <v>9276</v>
      </c>
      <c r="P35" s="0" t="s">
        <v>9344</v>
      </c>
    </row>
    <row r="36" customFormat="false" ht="15" hidden="false" customHeight="false" outlineLevel="0" collapsed="false">
      <c r="A36" s="0" t="n">
        <v>168</v>
      </c>
      <c r="B36" s="0" t="s">
        <v>1164</v>
      </c>
      <c r="C36" s="0" t="s">
        <v>9345</v>
      </c>
      <c r="E36" s="3" t="s">
        <v>9224</v>
      </c>
      <c r="F36" s="0" t="s">
        <v>9346</v>
      </c>
      <c r="L36" s="0" t="n">
        <v>2026</v>
      </c>
      <c r="M36" s="3" t="s">
        <v>9347</v>
      </c>
      <c r="N36" s="0" t="s">
        <v>9276</v>
      </c>
      <c r="P36" s="0" t="s">
        <v>9348</v>
      </c>
    </row>
    <row r="37" customFormat="false" ht="15" hidden="false" customHeight="false" outlineLevel="0" collapsed="false">
      <c r="A37" s="0" t="n">
        <v>172</v>
      </c>
      <c r="B37" s="0" t="s">
        <v>1196</v>
      </c>
      <c r="C37" s="0" t="s">
        <v>1231</v>
      </c>
      <c r="D37" s="3" t="s">
        <v>9349</v>
      </c>
      <c r="E37" s="3" t="s">
        <v>9231</v>
      </c>
      <c r="F37" s="0" t="s">
        <v>9232</v>
      </c>
      <c r="G37" s="0" t="s">
        <v>9350</v>
      </c>
      <c r="H37" s="0" t="s">
        <v>9351</v>
      </c>
      <c r="I37" s="0" t="s">
        <v>9352</v>
      </c>
      <c r="J37" s="0" t="s">
        <v>9353</v>
      </c>
      <c r="K37" s="0" t="s">
        <v>9354</v>
      </c>
      <c r="L37" s="0" t="n">
        <v>2026</v>
      </c>
      <c r="M37" s="3" t="s">
        <v>9237</v>
      </c>
      <c r="N37" s="0" t="s">
        <v>9238</v>
      </c>
      <c r="O37" s="0" t="s">
        <v>9239</v>
      </c>
      <c r="P37" s="0" t="s">
        <v>9355</v>
      </c>
    </row>
    <row r="38" customFormat="false" ht="15" hidden="false" customHeight="false" outlineLevel="0" collapsed="false">
      <c r="A38" s="0" t="n">
        <v>172</v>
      </c>
      <c r="B38" s="0" t="s">
        <v>1196</v>
      </c>
      <c r="C38" s="0" t="s">
        <v>9356</v>
      </c>
      <c r="D38" s="3" t="s">
        <v>9357</v>
      </c>
      <c r="E38" s="3" t="s">
        <v>9231</v>
      </c>
      <c r="F38" s="0" t="s">
        <v>9232</v>
      </c>
      <c r="G38" s="0" t="s">
        <v>9358</v>
      </c>
      <c r="H38" s="0" t="s">
        <v>9359</v>
      </c>
      <c r="I38" s="0" t="s">
        <v>9360</v>
      </c>
      <c r="J38" s="0" t="s">
        <v>9361</v>
      </c>
      <c r="L38" s="0" t="n">
        <v>2026</v>
      </c>
      <c r="M38" s="3" t="s">
        <v>9237</v>
      </c>
      <c r="N38" s="0" t="s">
        <v>9238</v>
      </c>
      <c r="O38" s="0" t="s">
        <v>9239</v>
      </c>
      <c r="P38" s="0" t="s">
        <v>9362</v>
      </c>
    </row>
    <row r="39" customFormat="false" ht="15" hidden="false" customHeight="false" outlineLevel="0" collapsed="false">
      <c r="A39" s="0" t="n">
        <v>176</v>
      </c>
      <c r="B39" s="0" t="s">
        <v>1225</v>
      </c>
      <c r="C39" s="0" t="s">
        <v>1231</v>
      </c>
      <c r="D39" s="3" t="s">
        <v>9349</v>
      </c>
      <c r="E39" s="3" t="s">
        <v>9231</v>
      </c>
      <c r="F39" s="0" t="s">
        <v>9232</v>
      </c>
      <c r="G39" s="0" t="s">
        <v>9350</v>
      </c>
      <c r="H39" s="0" t="s">
        <v>9351</v>
      </c>
      <c r="I39" s="0" t="s">
        <v>9352</v>
      </c>
      <c r="J39" s="0" t="s">
        <v>9353</v>
      </c>
      <c r="K39" s="0" t="s">
        <v>9354</v>
      </c>
      <c r="L39" s="0" t="n">
        <v>2026</v>
      </c>
      <c r="M39" s="3" t="s">
        <v>9237</v>
      </c>
      <c r="N39" s="0" t="s">
        <v>9238</v>
      </c>
      <c r="O39" s="0" t="s">
        <v>9283</v>
      </c>
      <c r="P39" s="0" t="s">
        <v>9355</v>
      </c>
    </row>
    <row r="40" customFormat="false" ht="15" hidden="false" customHeight="false" outlineLevel="0" collapsed="false">
      <c r="A40" s="0" t="n">
        <v>177</v>
      </c>
      <c r="B40" s="0" t="s">
        <v>1234</v>
      </c>
      <c r="C40" s="0" t="s">
        <v>1231</v>
      </c>
      <c r="D40" s="3" t="s">
        <v>9349</v>
      </c>
      <c r="E40" s="3" t="s">
        <v>9231</v>
      </c>
      <c r="F40" s="0" t="s">
        <v>9232</v>
      </c>
      <c r="G40" s="0" t="s">
        <v>9350</v>
      </c>
      <c r="H40" s="0" t="s">
        <v>9351</v>
      </c>
      <c r="I40" s="0" t="s">
        <v>9352</v>
      </c>
      <c r="J40" s="0" t="s">
        <v>9353</v>
      </c>
      <c r="K40" s="0" t="s">
        <v>9354</v>
      </c>
      <c r="L40" s="0" t="n">
        <v>2026</v>
      </c>
      <c r="M40" s="3" t="s">
        <v>9237</v>
      </c>
      <c r="N40" s="0" t="s">
        <v>9238</v>
      </c>
      <c r="O40" s="0" t="s">
        <v>9239</v>
      </c>
      <c r="P40" s="0" t="s">
        <v>9355</v>
      </c>
    </row>
    <row r="41" customFormat="false" ht="15" hidden="false" customHeight="false" outlineLevel="0" collapsed="false">
      <c r="A41" s="0" t="n">
        <v>182</v>
      </c>
      <c r="B41" s="0" t="s">
        <v>1279</v>
      </c>
      <c r="C41" s="0" t="s">
        <v>109</v>
      </c>
      <c r="D41" s="3" t="s">
        <v>9230</v>
      </c>
      <c r="E41" s="3" t="s">
        <v>9231</v>
      </c>
      <c r="F41" s="0" t="s">
        <v>9232</v>
      </c>
      <c r="G41" s="0" t="s">
        <v>9233</v>
      </c>
      <c r="H41" s="0" t="s">
        <v>9234</v>
      </c>
      <c r="I41" s="0" t="s">
        <v>9235</v>
      </c>
      <c r="J41" s="0" t="s">
        <v>9236</v>
      </c>
      <c r="L41" s="0" t="n">
        <v>2026</v>
      </c>
      <c r="M41" s="3" t="s">
        <v>9237</v>
      </c>
      <c r="N41" s="0" t="s">
        <v>9238</v>
      </c>
      <c r="O41" s="0" t="s">
        <v>9239</v>
      </c>
      <c r="P41" s="0" t="s">
        <v>9240</v>
      </c>
    </row>
    <row r="42" customFormat="false" ht="15" hidden="false" customHeight="false" outlineLevel="0" collapsed="false">
      <c r="A42" s="0" t="n">
        <v>189</v>
      </c>
      <c r="B42" s="0" t="s">
        <v>1320</v>
      </c>
      <c r="C42" s="0" t="s">
        <v>1331</v>
      </c>
      <c r="D42" s="3" t="s">
        <v>9363</v>
      </c>
      <c r="E42" s="3" t="s">
        <v>9231</v>
      </c>
      <c r="F42" s="0" t="s">
        <v>9364</v>
      </c>
      <c r="G42" s="0" t="s">
        <v>9365</v>
      </c>
      <c r="H42" s="0" t="s">
        <v>9366</v>
      </c>
      <c r="I42" s="0" t="s">
        <v>9367</v>
      </c>
      <c r="J42" s="0" t="s">
        <v>9368</v>
      </c>
      <c r="K42" s="0" t="s">
        <v>9369</v>
      </c>
      <c r="L42" s="0" t="n">
        <v>2026</v>
      </c>
      <c r="M42" s="3" t="s">
        <v>9237</v>
      </c>
      <c r="N42" s="0" t="s">
        <v>9276</v>
      </c>
      <c r="P42" s="0" t="s">
        <v>9370</v>
      </c>
    </row>
    <row r="43" customFormat="false" ht="15" hidden="false" customHeight="false" outlineLevel="0" collapsed="false">
      <c r="A43" s="0" t="n">
        <v>190</v>
      </c>
      <c r="B43" s="0" t="s">
        <v>1339</v>
      </c>
      <c r="C43" s="0" t="s">
        <v>1344</v>
      </c>
      <c r="D43" s="3" t="s">
        <v>9371</v>
      </c>
      <c r="E43" s="3" t="s">
        <v>9231</v>
      </c>
      <c r="F43" s="0" t="s">
        <v>9372</v>
      </c>
      <c r="G43" s="0" t="s">
        <v>9373</v>
      </c>
      <c r="J43" s="0" t="s">
        <v>9374</v>
      </c>
      <c r="L43" s="0" t="n">
        <v>2026</v>
      </c>
      <c r="M43" s="3" t="s">
        <v>9237</v>
      </c>
      <c r="N43" s="0" t="s">
        <v>9227</v>
      </c>
      <c r="O43" s="0" t="s">
        <v>9228</v>
      </c>
      <c r="P43" s="0" t="s">
        <v>9375</v>
      </c>
    </row>
    <row r="44" customFormat="false" ht="15" hidden="false" customHeight="false" outlineLevel="0" collapsed="false">
      <c r="A44" s="0" t="n">
        <v>192</v>
      </c>
      <c r="B44" s="0" t="s">
        <v>1359</v>
      </c>
      <c r="C44" s="0" t="s">
        <v>9376</v>
      </c>
      <c r="D44" s="3" t="s">
        <v>9377</v>
      </c>
      <c r="E44" s="3" t="s">
        <v>9224</v>
      </c>
      <c r="F44" s="0" t="s">
        <v>9378</v>
      </c>
      <c r="G44" s="0" t="s">
        <v>1360</v>
      </c>
      <c r="J44" s="0" t="s">
        <v>9379</v>
      </c>
      <c r="K44" s="0" t="s">
        <v>1371</v>
      </c>
      <c r="N44" s="0" t="s">
        <v>9276</v>
      </c>
      <c r="P44" s="0" t="s">
        <v>9380</v>
      </c>
    </row>
    <row r="45" customFormat="false" ht="15" hidden="false" customHeight="false" outlineLevel="0" collapsed="false">
      <c r="A45" s="0" t="n">
        <v>192</v>
      </c>
      <c r="B45" s="0" t="s">
        <v>1359</v>
      </c>
      <c r="C45" s="0" t="s">
        <v>9381</v>
      </c>
      <c r="D45" s="3" t="s">
        <v>9382</v>
      </c>
      <c r="E45" s="3" t="s">
        <v>9224</v>
      </c>
      <c r="F45" s="0" t="s">
        <v>9383</v>
      </c>
      <c r="G45" s="0" t="s">
        <v>1360</v>
      </c>
      <c r="J45" s="0" t="s">
        <v>9379</v>
      </c>
      <c r="K45" s="0" t="s">
        <v>1371</v>
      </c>
      <c r="L45" s="0" t="n">
        <v>2006</v>
      </c>
      <c r="M45" s="3" t="s">
        <v>9226</v>
      </c>
      <c r="N45" s="0" t="s">
        <v>9276</v>
      </c>
      <c r="P45" s="0" t="s">
        <v>9384</v>
      </c>
    </row>
    <row r="46" customFormat="false" ht="15" hidden="false" customHeight="false" outlineLevel="0" collapsed="false">
      <c r="A46" s="0" t="n">
        <v>192</v>
      </c>
      <c r="B46" s="0" t="s">
        <v>1359</v>
      </c>
      <c r="C46" s="0" t="s">
        <v>829</v>
      </c>
      <c r="D46" s="3" t="s">
        <v>9252</v>
      </c>
      <c r="E46" s="3" t="s">
        <v>9231</v>
      </c>
      <c r="F46" s="0" t="s">
        <v>9232</v>
      </c>
      <c r="G46" s="0" t="s">
        <v>9253</v>
      </c>
      <c r="H46" s="0" t="s">
        <v>9254</v>
      </c>
      <c r="I46" s="0" t="s">
        <v>9255</v>
      </c>
      <c r="J46" s="0" t="s">
        <v>9256</v>
      </c>
      <c r="L46" s="0" t="n">
        <v>2026</v>
      </c>
      <c r="M46" s="3" t="s">
        <v>9237</v>
      </c>
      <c r="N46" s="0" t="s">
        <v>9238</v>
      </c>
      <c r="O46" s="0" t="s">
        <v>9239</v>
      </c>
      <c r="P46" s="0" t="s">
        <v>9257</v>
      </c>
    </row>
    <row r="47" customFormat="false" ht="15" hidden="false" customHeight="false" outlineLevel="0" collapsed="false">
      <c r="A47" s="0" t="n">
        <v>193</v>
      </c>
      <c r="B47" s="0" t="s">
        <v>1374</v>
      </c>
      <c r="C47" s="0" t="s">
        <v>829</v>
      </c>
      <c r="D47" s="3" t="s">
        <v>9252</v>
      </c>
      <c r="E47" s="3" t="s">
        <v>9231</v>
      </c>
      <c r="F47" s="0" t="s">
        <v>9232</v>
      </c>
      <c r="G47" s="0" t="s">
        <v>9253</v>
      </c>
      <c r="H47" s="0" t="s">
        <v>9254</v>
      </c>
      <c r="I47" s="0" t="s">
        <v>9255</v>
      </c>
      <c r="J47" s="0" t="s">
        <v>9256</v>
      </c>
      <c r="L47" s="0" t="n">
        <v>2026</v>
      </c>
      <c r="M47" s="3" t="s">
        <v>9237</v>
      </c>
      <c r="N47" s="0" t="s">
        <v>9238</v>
      </c>
      <c r="O47" s="0" t="s">
        <v>9239</v>
      </c>
      <c r="P47" s="0" t="s">
        <v>9257</v>
      </c>
    </row>
    <row r="48" customFormat="false" ht="15" hidden="false" customHeight="false" outlineLevel="0" collapsed="false">
      <c r="A48" s="0" t="n">
        <v>196</v>
      </c>
      <c r="B48" s="0" t="s">
        <v>1392</v>
      </c>
      <c r="C48" s="0" t="s">
        <v>1231</v>
      </c>
      <c r="D48" s="3" t="s">
        <v>9349</v>
      </c>
      <c r="E48" s="3" t="s">
        <v>9231</v>
      </c>
      <c r="F48" s="0" t="s">
        <v>9232</v>
      </c>
      <c r="G48" s="0" t="s">
        <v>9350</v>
      </c>
      <c r="H48" s="0" t="s">
        <v>9351</v>
      </c>
      <c r="I48" s="0" t="s">
        <v>9352</v>
      </c>
      <c r="J48" s="0" t="s">
        <v>9353</v>
      </c>
      <c r="K48" s="0" t="s">
        <v>9354</v>
      </c>
      <c r="L48" s="0" t="n">
        <v>2026</v>
      </c>
      <c r="M48" s="3" t="s">
        <v>9237</v>
      </c>
      <c r="N48" s="0" t="s">
        <v>9238</v>
      </c>
      <c r="O48" s="0" t="s">
        <v>9283</v>
      </c>
      <c r="P48" s="0" t="s">
        <v>9355</v>
      </c>
    </row>
    <row r="49" customFormat="false" ht="15" hidden="false" customHeight="false" outlineLevel="0" collapsed="false">
      <c r="A49" s="0" t="n">
        <v>199</v>
      </c>
      <c r="B49" s="0" t="s">
        <v>1408</v>
      </c>
      <c r="C49" s="0" t="s">
        <v>109</v>
      </c>
      <c r="D49" s="3" t="s">
        <v>9230</v>
      </c>
      <c r="E49" s="3" t="s">
        <v>9231</v>
      </c>
      <c r="F49" s="0" t="s">
        <v>9232</v>
      </c>
      <c r="G49" s="0" t="s">
        <v>9233</v>
      </c>
      <c r="H49" s="0" t="s">
        <v>9234</v>
      </c>
      <c r="I49" s="0" t="s">
        <v>9235</v>
      </c>
      <c r="J49" s="0" t="s">
        <v>9236</v>
      </c>
      <c r="L49" s="0" t="n">
        <v>2026</v>
      </c>
      <c r="M49" s="3" t="s">
        <v>9237</v>
      </c>
      <c r="N49" s="0" t="s">
        <v>9238</v>
      </c>
      <c r="O49" s="0" t="s">
        <v>9239</v>
      </c>
      <c r="P49" s="0" t="s">
        <v>9240</v>
      </c>
    </row>
    <row r="50" customFormat="false" ht="15" hidden="false" customHeight="false" outlineLevel="0" collapsed="false">
      <c r="A50" s="0" t="n">
        <v>202</v>
      </c>
      <c r="B50" s="0" t="s">
        <v>1421</v>
      </c>
      <c r="C50" s="0" t="s">
        <v>1423</v>
      </c>
      <c r="D50" s="3" t="s">
        <v>9385</v>
      </c>
      <c r="E50" s="3" t="s">
        <v>9231</v>
      </c>
      <c r="F50" s="0" t="s">
        <v>9232</v>
      </c>
      <c r="G50" s="0" t="s">
        <v>9287</v>
      </c>
      <c r="H50" s="0" t="s">
        <v>9288</v>
      </c>
      <c r="I50" s="0" t="s">
        <v>9289</v>
      </c>
      <c r="J50" s="0" t="s">
        <v>9290</v>
      </c>
      <c r="L50" s="0" t="n">
        <v>2026</v>
      </c>
      <c r="M50" s="3" t="s">
        <v>9237</v>
      </c>
      <c r="N50" s="0" t="s">
        <v>9238</v>
      </c>
      <c r="O50" s="0" t="s">
        <v>9239</v>
      </c>
      <c r="P50" s="0" t="s">
        <v>9386</v>
      </c>
    </row>
    <row r="51" customFormat="false" ht="15" hidden="false" customHeight="false" outlineLevel="0" collapsed="false">
      <c r="A51" s="0" t="n">
        <v>210</v>
      </c>
      <c r="B51" s="0" t="s">
        <v>1476</v>
      </c>
      <c r="C51" s="0" t="s">
        <v>1231</v>
      </c>
      <c r="D51" s="3" t="s">
        <v>9349</v>
      </c>
      <c r="E51" s="3" t="s">
        <v>9231</v>
      </c>
      <c r="F51" s="0" t="s">
        <v>9232</v>
      </c>
      <c r="G51" s="0" t="s">
        <v>9350</v>
      </c>
      <c r="H51" s="0" t="s">
        <v>9351</v>
      </c>
      <c r="I51" s="0" t="s">
        <v>9352</v>
      </c>
      <c r="J51" s="0" t="s">
        <v>9353</v>
      </c>
      <c r="K51" s="0" t="s">
        <v>9354</v>
      </c>
      <c r="L51" s="0" t="n">
        <v>2026</v>
      </c>
      <c r="M51" s="3" t="s">
        <v>9237</v>
      </c>
      <c r="N51" s="0" t="s">
        <v>9238</v>
      </c>
      <c r="O51" s="0" t="s">
        <v>9239</v>
      </c>
      <c r="P51" s="0" t="s">
        <v>9355</v>
      </c>
    </row>
    <row r="52" customFormat="false" ht="15" hidden="false" customHeight="false" outlineLevel="0" collapsed="false">
      <c r="A52" s="0" t="n">
        <v>212</v>
      </c>
      <c r="B52" s="0" t="s">
        <v>1494</v>
      </c>
      <c r="C52" s="0" t="s">
        <v>155</v>
      </c>
      <c r="D52" s="3" t="s">
        <v>9241</v>
      </c>
      <c r="E52" s="3" t="s">
        <v>9231</v>
      </c>
      <c r="F52" s="0" t="s">
        <v>9232</v>
      </c>
      <c r="G52" s="0" t="s">
        <v>9242</v>
      </c>
      <c r="H52" s="0" t="s">
        <v>9243</v>
      </c>
      <c r="I52" s="0" t="s">
        <v>9244</v>
      </c>
      <c r="L52" s="0" t="n">
        <v>2026</v>
      </c>
      <c r="M52" s="3" t="s">
        <v>9237</v>
      </c>
      <c r="N52" s="0" t="s">
        <v>9238</v>
      </c>
      <c r="O52" s="0" t="s">
        <v>9239</v>
      </c>
      <c r="P52" s="0" t="s">
        <v>9245</v>
      </c>
    </row>
    <row r="53" customFormat="false" ht="15" hidden="false" customHeight="false" outlineLevel="0" collapsed="false">
      <c r="A53" s="0" t="n">
        <v>216</v>
      </c>
      <c r="B53" s="0" t="s">
        <v>1523</v>
      </c>
      <c r="C53" s="0" t="s">
        <v>1530</v>
      </c>
      <c r="D53" s="3" t="s">
        <v>9387</v>
      </c>
      <c r="E53" s="3" t="s">
        <v>9231</v>
      </c>
      <c r="F53" s="0" t="s">
        <v>9232</v>
      </c>
      <c r="G53" s="0" t="s">
        <v>9388</v>
      </c>
      <c r="H53" s="0" t="s">
        <v>9389</v>
      </c>
      <c r="I53" s="0" t="s">
        <v>9390</v>
      </c>
      <c r="J53" s="0" t="s">
        <v>9391</v>
      </c>
      <c r="L53" s="0" t="n">
        <v>2026</v>
      </c>
      <c r="M53" s="3" t="s">
        <v>9237</v>
      </c>
      <c r="N53" s="0" t="s">
        <v>9238</v>
      </c>
      <c r="O53" s="0" t="s">
        <v>9283</v>
      </c>
      <c r="P53" s="0" t="s">
        <v>9392</v>
      </c>
    </row>
    <row r="54" customFormat="false" ht="15" hidden="false" customHeight="false" outlineLevel="0" collapsed="false">
      <c r="A54" s="0" t="n">
        <v>217</v>
      </c>
      <c r="B54" s="0" t="s">
        <v>1534</v>
      </c>
      <c r="C54" s="0" t="s">
        <v>1545</v>
      </c>
      <c r="D54" s="3" t="s">
        <v>9393</v>
      </c>
      <c r="E54" s="3" t="s">
        <v>9231</v>
      </c>
      <c r="F54" s="0" t="s">
        <v>9394</v>
      </c>
      <c r="G54" s="0" t="s">
        <v>9395</v>
      </c>
      <c r="H54" s="0" t="s">
        <v>9396</v>
      </c>
      <c r="I54" s="0" t="s">
        <v>9397</v>
      </c>
      <c r="J54" s="0" t="s">
        <v>9398</v>
      </c>
      <c r="L54" s="0" t="n">
        <v>2026</v>
      </c>
      <c r="M54" s="3" t="s">
        <v>9237</v>
      </c>
      <c r="N54" s="0" t="s">
        <v>9276</v>
      </c>
      <c r="P54" s="0" t="s">
        <v>9399</v>
      </c>
    </row>
    <row r="55" customFormat="false" ht="15" hidden="false" customHeight="false" outlineLevel="0" collapsed="false">
      <c r="A55" s="0" t="n">
        <v>219</v>
      </c>
      <c r="B55" s="0" t="s">
        <v>1564</v>
      </c>
      <c r="C55" s="0" t="s">
        <v>9400</v>
      </c>
      <c r="D55" s="3" t="s">
        <v>9241</v>
      </c>
      <c r="E55" s="3" t="s">
        <v>9231</v>
      </c>
      <c r="F55" s="0" t="s">
        <v>9401</v>
      </c>
      <c r="G55" s="0" t="s">
        <v>9402</v>
      </c>
      <c r="H55" s="0" t="s">
        <v>9403</v>
      </c>
      <c r="J55" s="0" t="s">
        <v>9404</v>
      </c>
      <c r="L55" s="0" t="n">
        <v>2026</v>
      </c>
      <c r="M55" s="3" t="s">
        <v>9237</v>
      </c>
      <c r="N55" s="0" t="s">
        <v>9227</v>
      </c>
      <c r="O55" s="0" t="s">
        <v>9228</v>
      </c>
      <c r="P55" s="0" t="s">
        <v>9405</v>
      </c>
    </row>
    <row r="56" customFormat="false" ht="15" hidden="false" customHeight="false" outlineLevel="0" collapsed="false">
      <c r="A56" s="0" t="n">
        <v>219</v>
      </c>
      <c r="B56" s="0" t="s">
        <v>1564</v>
      </c>
      <c r="C56" s="0" t="s">
        <v>4669</v>
      </c>
      <c r="D56" s="3" t="s">
        <v>9252</v>
      </c>
      <c r="E56" s="3" t="s">
        <v>9231</v>
      </c>
      <c r="F56" s="0" t="s">
        <v>9406</v>
      </c>
      <c r="G56" s="0" t="s">
        <v>9407</v>
      </c>
      <c r="L56" s="0" t="n">
        <v>2026</v>
      </c>
      <c r="M56" s="3" t="s">
        <v>9237</v>
      </c>
      <c r="N56" s="0" t="s">
        <v>9227</v>
      </c>
      <c r="O56" s="0" t="s">
        <v>9228</v>
      </c>
      <c r="P56" s="0" t="s">
        <v>9405</v>
      </c>
    </row>
    <row r="57" customFormat="false" ht="15" hidden="false" customHeight="false" outlineLevel="0" collapsed="false">
      <c r="A57" s="0" t="n">
        <v>219</v>
      </c>
      <c r="B57" s="0" t="s">
        <v>1564</v>
      </c>
      <c r="C57" s="0" t="s">
        <v>9408</v>
      </c>
      <c r="D57" s="3" t="s">
        <v>9409</v>
      </c>
      <c r="E57" s="3" t="s">
        <v>9231</v>
      </c>
      <c r="F57" s="0" t="s">
        <v>9410</v>
      </c>
      <c r="G57" s="0" t="s">
        <v>9411</v>
      </c>
      <c r="H57" s="0" t="s">
        <v>9412</v>
      </c>
      <c r="I57" s="0" t="s">
        <v>9413</v>
      </c>
      <c r="J57" s="0" t="s">
        <v>9414</v>
      </c>
      <c r="L57" s="0" t="n">
        <v>2026</v>
      </c>
      <c r="M57" s="3" t="s">
        <v>9237</v>
      </c>
      <c r="N57" s="0" t="s">
        <v>9227</v>
      </c>
      <c r="O57" s="0" t="s">
        <v>9228</v>
      </c>
      <c r="P57" s="0" t="s">
        <v>9405</v>
      </c>
    </row>
    <row r="58" customFormat="false" ht="15" hidden="false" customHeight="false" outlineLevel="0" collapsed="false">
      <c r="A58" s="0" t="n">
        <v>219</v>
      </c>
      <c r="B58" s="0" t="s">
        <v>1564</v>
      </c>
      <c r="C58" s="0" t="s">
        <v>9415</v>
      </c>
      <c r="D58" s="3" t="s">
        <v>9416</v>
      </c>
      <c r="E58" s="3" t="s">
        <v>9231</v>
      </c>
      <c r="F58" s="0" t="s">
        <v>9417</v>
      </c>
      <c r="H58" s="0" t="s">
        <v>9418</v>
      </c>
      <c r="I58" s="0" t="s">
        <v>9419</v>
      </c>
      <c r="J58" s="0" t="s">
        <v>9420</v>
      </c>
      <c r="L58" s="0" t="n">
        <v>2026</v>
      </c>
      <c r="M58" s="3" t="s">
        <v>9237</v>
      </c>
      <c r="N58" s="0" t="s">
        <v>9227</v>
      </c>
      <c r="O58" s="0" t="s">
        <v>9228</v>
      </c>
      <c r="P58" s="0" t="s">
        <v>9405</v>
      </c>
    </row>
    <row r="59" customFormat="false" ht="15" hidden="false" customHeight="false" outlineLevel="0" collapsed="false">
      <c r="A59" s="0" t="n">
        <v>220</v>
      </c>
      <c r="B59" s="0" t="s">
        <v>1576</v>
      </c>
      <c r="C59" s="0" t="s">
        <v>1423</v>
      </c>
      <c r="D59" s="3" t="s">
        <v>9385</v>
      </c>
      <c r="E59" s="3" t="s">
        <v>9231</v>
      </c>
      <c r="F59" s="0" t="s">
        <v>9232</v>
      </c>
      <c r="G59" s="0" t="s">
        <v>9287</v>
      </c>
      <c r="H59" s="0" t="s">
        <v>9288</v>
      </c>
      <c r="I59" s="0" t="s">
        <v>9289</v>
      </c>
      <c r="J59" s="0" t="s">
        <v>9290</v>
      </c>
      <c r="L59" s="0" t="n">
        <v>2026</v>
      </c>
      <c r="M59" s="3" t="s">
        <v>9237</v>
      </c>
      <c r="N59" s="0" t="s">
        <v>9238</v>
      </c>
      <c r="O59" s="0" t="s">
        <v>9239</v>
      </c>
      <c r="P59" s="0" t="s">
        <v>9386</v>
      </c>
    </row>
    <row r="60" customFormat="false" ht="15" hidden="false" customHeight="false" outlineLevel="0" collapsed="false">
      <c r="A60" s="0" t="n">
        <v>222</v>
      </c>
      <c r="B60" s="0" t="s">
        <v>1587</v>
      </c>
      <c r="C60" s="0" t="s">
        <v>155</v>
      </c>
      <c r="D60" s="3" t="s">
        <v>9241</v>
      </c>
      <c r="E60" s="3" t="s">
        <v>9231</v>
      </c>
      <c r="F60" s="0" t="s">
        <v>9232</v>
      </c>
      <c r="G60" s="0" t="s">
        <v>9242</v>
      </c>
      <c r="H60" s="0" t="s">
        <v>9243</v>
      </c>
      <c r="I60" s="0" t="s">
        <v>9244</v>
      </c>
      <c r="L60" s="0" t="n">
        <v>2026</v>
      </c>
      <c r="M60" s="3" t="s">
        <v>9237</v>
      </c>
      <c r="N60" s="0" t="s">
        <v>9238</v>
      </c>
      <c r="O60" s="0" t="s">
        <v>9283</v>
      </c>
      <c r="P60" s="0" t="s">
        <v>9245</v>
      </c>
    </row>
    <row r="61" customFormat="false" ht="15" hidden="false" customHeight="false" outlineLevel="0" collapsed="false">
      <c r="A61" s="0" t="n">
        <v>222</v>
      </c>
      <c r="B61" s="0" t="s">
        <v>1587</v>
      </c>
      <c r="C61" s="0" t="s">
        <v>284</v>
      </c>
      <c r="D61" s="3" t="s">
        <v>9265</v>
      </c>
      <c r="E61" s="3" t="s">
        <v>9231</v>
      </c>
      <c r="F61" s="0" t="s">
        <v>9232</v>
      </c>
      <c r="G61" s="0" t="s">
        <v>9266</v>
      </c>
      <c r="H61" s="0" t="s">
        <v>9267</v>
      </c>
      <c r="I61" s="0" t="s">
        <v>9268</v>
      </c>
      <c r="L61" s="0" t="n">
        <v>2026</v>
      </c>
      <c r="M61" s="3" t="s">
        <v>9237</v>
      </c>
      <c r="N61" s="0" t="s">
        <v>9238</v>
      </c>
      <c r="O61" s="0" t="s">
        <v>9239</v>
      </c>
      <c r="P61" s="0" t="s">
        <v>9269</v>
      </c>
    </row>
    <row r="62" customFormat="false" ht="15" hidden="false" customHeight="false" outlineLevel="0" collapsed="false">
      <c r="A62" s="0" t="n">
        <v>228</v>
      </c>
      <c r="B62" s="0" t="s">
        <v>1621</v>
      </c>
      <c r="C62" s="0" t="s">
        <v>921</v>
      </c>
      <c r="D62" s="3" t="s">
        <v>9303</v>
      </c>
      <c r="E62" s="3" t="s">
        <v>9231</v>
      </c>
      <c r="F62" s="0" t="s">
        <v>9232</v>
      </c>
      <c r="G62" s="0" t="s">
        <v>9304</v>
      </c>
      <c r="H62" s="0" t="s">
        <v>9305</v>
      </c>
      <c r="I62" s="0" t="s">
        <v>9306</v>
      </c>
      <c r="J62" s="0" t="s">
        <v>9307</v>
      </c>
      <c r="L62" s="0" t="n">
        <v>2026</v>
      </c>
      <c r="M62" s="3" t="s">
        <v>9237</v>
      </c>
      <c r="N62" s="0" t="s">
        <v>9238</v>
      </c>
      <c r="O62" s="0" t="s">
        <v>9239</v>
      </c>
      <c r="P62" s="0" t="s">
        <v>9421</v>
      </c>
    </row>
    <row r="63" customFormat="false" ht="15" hidden="false" customHeight="false" outlineLevel="0" collapsed="false">
      <c r="A63" s="0" t="n">
        <v>229</v>
      </c>
      <c r="B63" s="0" t="s">
        <v>1630</v>
      </c>
      <c r="C63" s="0" t="s">
        <v>109</v>
      </c>
      <c r="D63" s="3" t="s">
        <v>9230</v>
      </c>
      <c r="E63" s="3" t="s">
        <v>9231</v>
      </c>
      <c r="F63" s="0" t="s">
        <v>9232</v>
      </c>
      <c r="G63" s="0" t="s">
        <v>9233</v>
      </c>
      <c r="H63" s="0" t="s">
        <v>9234</v>
      </c>
      <c r="I63" s="0" t="s">
        <v>9235</v>
      </c>
      <c r="J63" s="0" t="s">
        <v>9236</v>
      </c>
      <c r="L63" s="0" t="n">
        <v>2026</v>
      </c>
      <c r="M63" s="3" t="s">
        <v>9237</v>
      </c>
      <c r="N63" s="0" t="s">
        <v>9238</v>
      </c>
      <c r="O63" s="0" t="s">
        <v>9239</v>
      </c>
      <c r="P63" s="0" t="s">
        <v>9240</v>
      </c>
    </row>
    <row r="64" customFormat="false" ht="15" hidden="false" customHeight="false" outlineLevel="0" collapsed="false">
      <c r="A64" s="0" t="n">
        <v>236</v>
      </c>
      <c r="B64" s="0" t="s">
        <v>1673</v>
      </c>
      <c r="C64" s="0" t="s">
        <v>155</v>
      </c>
      <c r="D64" s="3" t="s">
        <v>9241</v>
      </c>
      <c r="E64" s="3" t="s">
        <v>9231</v>
      </c>
      <c r="F64" s="0" t="s">
        <v>9232</v>
      </c>
      <c r="G64" s="0" t="s">
        <v>9242</v>
      </c>
      <c r="H64" s="0" t="s">
        <v>9243</v>
      </c>
      <c r="I64" s="0" t="s">
        <v>9244</v>
      </c>
      <c r="L64" s="0" t="n">
        <v>2026</v>
      </c>
      <c r="M64" s="3" t="s">
        <v>9237</v>
      </c>
      <c r="N64" s="0" t="s">
        <v>9238</v>
      </c>
      <c r="O64" s="0" t="s">
        <v>9239</v>
      </c>
      <c r="P64" s="0" t="s">
        <v>9245</v>
      </c>
    </row>
    <row r="65" customFormat="false" ht="15" hidden="false" customHeight="false" outlineLevel="0" collapsed="false">
      <c r="A65" s="0" t="n">
        <v>246</v>
      </c>
      <c r="B65" s="0" t="s">
        <v>1736</v>
      </c>
      <c r="C65" s="0" t="s">
        <v>1331</v>
      </c>
      <c r="D65" s="3" t="s">
        <v>9422</v>
      </c>
      <c r="E65" s="3" t="s">
        <v>9231</v>
      </c>
      <c r="F65" s="0" t="s">
        <v>9423</v>
      </c>
      <c r="G65" s="0" t="s">
        <v>9365</v>
      </c>
      <c r="H65" s="0" t="s">
        <v>9366</v>
      </c>
      <c r="I65" s="0" t="s">
        <v>9367</v>
      </c>
      <c r="J65" s="0" t="s">
        <v>9368</v>
      </c>
      <c r="K65" s="0" t="s">
        <v>9369</v>
      </c>
      <c r="L65" s="0" t="n">
        <v>2026</v>
      </c>
      <c r="M65" s="3" t="s">
        <v>9237</v>
      </c>
      <c r="N65" s="0" t="s">
        <v>9276</v>
      </c>
      <c r="P65" s="0" t="s">
        <v>9424</v>
      </c>
    </row>
    <row r="66" customFormat="false" ht="15" hidden="false" customHeight="false" outlineLevel="0" collapsed="false">
      <c r="A66" s="0" t="n">
        <v>246</v>
      </c>
      <c r="B66" s="0" t="s">
        <v>1736</v>
      </c>
      <c r="C66" s="0" t="s">
        <v>9425</v>
      </c>
      <c r="E66" s="3" t="s">
        <v>9231</v>
      </c>
      <c r="F66" s="0" t="s">
        <v>9426</v>
      </c>
      <c r="L66" s="0" t="n">
        <v>2026</v>
      </c>
      <c r="M66" s="3" t="s">
        <v>9347</v>
      </c>
      <c r="N66" s="0" t="s">
        <v>9276</v>
      </c>
      <c r="P66" s="0" t="s">
        <v>9427</v>
      </c>
    </row>
    <row r="67" customFormat="false" ht="15" hidden="false" customHeight="false" outlineLevel="0" collapsed="false">
      <c r="A67" s="0" t="n">
        <v>247</v>
      </c>
      <c r="B67" s="0" t="s">
        <v>1756</v>
      </c>
      <c r="C67" s="0" t="s">
        <v>1331</v>
      </c>
      <c r="D67" s="3" t="s">
        <v>9422</v>
      </c>
      <c r="E67" s="3" t="s">
        <v>9231</v>
      </c>
      <c r="F67" s="0" t="s">
        <v>9423</v>
      </c>
      <c r="G67" s="0" t="s">
        <v>9365</v>
      </c>
      <c r="H67" s="0" t="s">
        <v>9366</v>
      </c>
      <c r="I67" s="0" t="s">
        <v>9367</v>
      </c>
      <c r="J67" s="0" t="s">
        <v>9368</v>
      </c>
      <c r="K67" s="0" t="s">
        <v>9369</v>
      </c>
      <c r="L67" s="0" t="n">
        <v>2026</v>
      </c>
      <c r="M67" s="3" t="s">
        <v>9237</v>
      </c>
      <c r="N67" s="0" t="s">
        <v>9276</v>
      </c>
      <c r="P67" s="0" t="s">
        <v>9424</v>
      </c>
    </row>
    <row r="68" customFormat="false" ht="15" hidden="false" customHeight="false" outlineLevel="0" collapsed="false">
      <c r="A68" s="0" t="n">
        <v>247</v>
      </c>
      <c r="B68" s="0" t="s">
        <v>1756</v>
      </c>
      <c r="C68" s="0" t="s">
        <v>9425</v>
      </c>
      <c r="E68" s="3" t="s">
        <v>9231</v>
      </c>
      <c r="F68" s="0" t="s">
        <v>9426</v>
      </c>
      <c r="L68" s="0" t="n">
        <v>2026</v>
      </c>
      <c r="M68" s="3" t="s">
        <v>9347</v>
      </c>
      <c r="N68" s="0" t="s">
        <v>9276</v>
      </c>
      <c r="P68" s="0" t="s">
        <v>9427</v>
      </c>
    </row>
    <row r="69" customFormat="false" ht="15" hidden="false" customHeight="false" outlineLevel="0" collapsed="false">
      <c r="A69" s="0" t="n">
        <v>248</v>
      </c>
      <c r="B69" s="0" t="s">
        <v>1760</v>
      </c>
      <c r="C69" s="0" t="s">
        <v>1765</v>
      </c>
      <c r="D69" s="3" t="s">
        <v>9428</v>
      </c>
      <c r="E69" s="3" t="s">
        <v>9231</v>
      </c>
      <c r="F69" s="0" t="s">
        <v>9232</v>
      </c>
      <c r="G69" s="0" t="s">
        <v>9429</v>
      </c>
      <c r="H69" s="0" t="s">
        <v>9430</v>
      </c>
      <c r="I69" s="0" t="s">
        <v>9431</v>
      </c>
      <c r="J69" s="0" t="s">
        <v>9432</v>
      </c>
      <c r="L69" s="0" t="n">
        <v>2026</v>
      </c>
      <c r="M69" s="3" t="s">
        <v>9237</v>
      </c>
      <c r="N69" s="0" t="s">
        <v>9238</v>
      </c>
      <c r="O69" s="0" t="s">
        <v>9239</v>
      </c>
      <c r="P69" s="0" t="s">
        <v>9433</v>
      </c>
    </row>
    <row r="70" customFormat="false" ht="15" hidden="false" customHeight="false" outlineLevel="0" collapsed="false">
      <c r="A70" s="0" t="n">
        <v>257</v>
      </c>
      <c r="B70" s="0" t="s">
        <v>1804</v>
      </c>
      <c r="C70" s="0" t="s">
        <v>1815</v>
      </c>
      <c r="D70" s="3" t="s">
        <v>9434</v>
      </c>
      <c r="E70" s="3" t="s">
        <v>9231</v>
      </c>
      <c r="F70" s="0" t="s">
        <v>9435</v>
      </c>
      <c r="G70" s="0" t="s">
        <v>9436</v>
      </c>
      <c r="H70" s="0" t="s">
        <v>9437</v>
      </c>
      <c r="I70" s="0" t="s">
        <v>9438</v>
      </c>
      <c r="J70" s="0" t="s">
        <v>9439</v>
      </c>
      <c r="L70" s="0" t="n">
        <v>2026</v>
      </c>
      <c r="M70" s="3" t="s">
        <v>9237</v>
      </c>
      <c r="N70" s="0" t="s">
        <v>9276</v>
      </c>
      <c r="P70" s="0" t="s">
        <v>9440</v>
      </c>
    </row>
    <row r="71" customFormat="false" ht="15" hidden="false" customHeight="false" outlineLevel="0" collapsed="false">
      <c r="A71" s="0" t="n">
        <v>270</v>
      </c>
      <c r="B71" s="0" t="s">
        <v>1892</v>
      </c>
      <c r="C71" s="0" t="s">
        <v>284</v>
      </c>
      <c r="D71" s="3" t="s">
        <v>9265</v>
      </c>
      <c r="E71" s="3" t="s">
        <v>9231</v>
      </c>
      <c r="F71" s="0" t="s">
        <v>9232</v>
      </c>
      <c r="G71" s="0" t="s">
        <v>9266</v>
      </c>
      <c r="H71" s="0" t="s">
        <v>9267</v>
      </c>
      <c r="I71" s="0" t="s">
        <v>9268</v>
      </c>
      <c r="L71" s="0" t="n">
        <v>2026</v>
      </c>
      <c r="M71" s="3" t="s">
        <v>9237</v>
      </c>
      <c r="N71" s="0" t="s">
        <v>9238</v>
      </c>
      <c r="O71" s="0" t="s">
        <v>9239</v>
      </c>
      <c r="P71" s="0" t="s">
        <v>9269</v>
      </c>
    </row>
    <row r="72" customFormat="false" ht="15" hidden="false" customHeight="false" outlineLevel="0" collapsed="false">
      <c r="A72" s="0" t="n">
        <v>285</v>
      </c>
      <c r="B72" s="0" t="s">
        <v>1981</v>
      </c>
      <c r="C72" s="0" t="s">
        <v>829</v>
      </c>
      <c r="D72" s="3" t="s">
        <v>9252</v>
      </c>
      <c r="E72" s="3" t="s">
        <v>9231</v>
      </c>
      <c r="F72" s="0" t="s">
        <v>9232</v>
      </c>
      <c r="G72" s="0" t="s">
        <v>9253</v>
      </c>
      <c r="H72" s="0" t="s">
        <v>9254</v>
      </c>
      <c r="I72" s="0" t="s">
        <v>9255</v>
      </c>
      <c r="J72" s="0" t="s">
        <v>9256</v>
      </c>
      <c r="L72" s="0" t="n">
        <v>2026</v>
      </c>
      <c r="M72" s="3" t="s">
        <v>9237</v>
      </c>
      <c r="N72" s="0" t="s">
        <v>9238</v>
      </c>
      <c r="O72" s="0" t="s">
        <v>9239</v>
      </c>
      <c r="P72" s="0" t="s">
        <v>9257</v>
      </c>
    </row>
    <row r="73" customFormat="false" ht="15" hidden="false" customHeight="false" outlineLevel="0" collapsed="false">
      <c r="A73" s="0" t="n">
        <v>294</v>
      </c>
      <c r="B73" s="0" t="s">
        <v>2019</v>
      </c>
      <c r="C73" s="0" t="s">
        <v>921</v>
      </c>
      <c r="D73" s="3" t="s">
        <v>9303</v>
      </c>
      <c r="E73" s="3" t="s">
        <v>9231</v>
      </c>
      <c r="F73" s="0" t="s">
        <v>9441</v>
      </c>
      <c r="G73" s="0" t="s">
        <v>9442</v>
      </c>
      <c r="M73" s="3" t="s">
        <v>9237</v>
      </c>
      <c r="N73" s="0" t="s">
        <v>9227</v>
      </c>
      <c r="P73" s="0" t="s">
        <v>9443</v>
      </c>
    </row>
    <row r="74" customFormat="false" ht="15" hidden="false" customHeight="false" outlineLevel="0" collapsed="false">
      <c r="A74" s="0" t="n">
        <v>295</v>
      </c>
      <c r="B74" s="0" t="s">
        <v>2025</v>
      </c>
      <c r="C74" s="0" t="s">
        <v>155</v>
      </c>
      <c r="D74" s="3" t="s">
        <v>9241</v>
      </c>
      <c r="E74" s="3" t="s">
        <v>9231</v>
      </c>
      <c r="F74" s="0" t="s">
        <v>9232</v>
      </c>
      <c r="G74" s="0" t="s">
        <v>9242</v>
      </c>
      <c r="H74" s="0" t="s">
        <v>9243</v>
      </c>
      <c r="I74" s="0" t="s">
        <v>9244</v>
      </c>
      <c r="L74" s="0" t="n">
        <v>2026</v>
      </c>
      <c r="M74" s="3" t="s">
        <v>9237</v>
      </c>
      <c r="N74" s="0" t="s">
        <v>9238</v>
      </c>
      <c r="O74" s="0" t="s">
        <v>9239</v>
      </c>
      <c r="P74" s="0" t="s">
        <v>9245</v>
      </c>
    </row>
    <row r="75" customFormat="false" ht="15" hidden="false" customHeight="false" outlineLevel="0" collapsed="false">
      <c r="A75" s="0" t="n">
        <v>315</v>
      </c>
      <c r="B75" s="0" t="s">
        <v>2126</v>
      </c>
      <c r="C75" s="0" t="s">
        <v>1765</v>
      </c>
      <c r="D75" s="3" t="s">
        <v>9428</v>
      </c>
      <c r="E75" s="3" t="s">
        <v>9231</v>
      </c>
      <c r="F75" s="0" t="s">
        <v>9232</v>
      </c>
      <c r="G75" s="0" t="s">
        <v>9429</v>
      </c>
      <c r="H75" s="0" t="s">
        <v>9430</v>
      </c>
      <c r="I75" s="0" t="s">
        <v>9431</v>
      </c>
      <c r="J75" s="0" t="s">
        <v>9432</v>
      </c>
      <c r="L75" s="0" t="n">
        <v>2026</v>
      </c>
      <c r="M75" s="3" t="s">
        <v>9237</v>
      </c>
      <c r="N75" s="0" t="s">
        <v>9238</v>
      </c>
      <c r="O75" s="0" t="s">
        <v>9239</v>
      </c>
      <c r="P75" s="0" t="s">
        <v>9433</v>
      </c>
    </row>
    <row r="76" customFormat="false" ht="15" hidden="false" customHeight="false" outlineLevel="0" collapsed="false">
      <c r="A76" s="0" t="n">
        <v>317</v>
      </c>
      <c r="B76" s="0" t="s">
        <v>2138</v>
      </c>
      <c r="C76" s="0" t="s">
        <v>1765</v>
      </c>
      <c r="D76" s="3" t="s">
        <v>9428</v>
      </c>
      <c r="E76" s="3" t="s">
        <v>9231</v>
      </c>
      <c r="F76" s="0" t="s">
        <v>9232</v>
      </c>
      <c r="G76" s="0" t="s">
        <v>9429</v>
      </c>
      <c r="H76" s="0" t="s">
        <v>9430</v>
      </c>
      <c r="I76" s="0" t="s">
        <v>9431</v>
      </c>
      <c r="J76" s="0" t="s">
        <v>9432</v>
      </c>
      <c r="L76" s="0" t="n">
        <v>2026</v>
      </c>
      <c r="M76" s="3" t="s">
        <v>9237</v>
      </c>
      <c r="N76" s="0" t="s">
        <v>9238</v>
      </c>
      <c r="O76" s="0" t="s">
        <v>9239</v>
      </c>
      <c r="P76" s="0" t="s">
        <v>9433</v>
      </c>
    </row>
    <row r="77" customFormat="false" ht="15" hidden="false" customHeight="false" outlineLevel="0" collapsed="false">
      <c r="A77" s="0" t="n">
        <v>333</v>
      </c>
      <c r="B77" s="0" t="s">
        <v>2216</v>
      </c>
      <c r="C77" s="0" t="s">
        <v>2218</v>
      </c>
      <c r="D77" s="3" t="s">
        <v>9444</v>
      </c>
      <c r="E77" s="3" t="s">
        <v>9231</v>
      </c>
      <c r="F77" s="0" t="s">
        <v>9232</v>
      </c>
      <c r="G77" s="0" t="s">
        <v>9316</v>
      </c>
      <c r="H77" s="0" t="s">
        <v>9317</v>
      </c>
      <c r="I77" s="0" t="s">
        <v>9445</v>
      </c>
      <c r="J77" s="0" t="s">
        <v>9318</v>
      </c>
      <c r="L77" s="0" t="n">
        <v>2026</v>
      </c>
      <c r="M77" s="3" t="s">
        <v>9237</v>
      </c>
      <c r="N77" s="0" t="s">
        <v>9238</v>
      </c>
      <c r="O77" s="0" t="s">
        <v>9239</v>
      </c>
      <c r="P77" s="0" t="s">
        <v>9446</v>
      </c>
    </row>
    <row r="78" customFormat="false" ht="15" hidden="false" customHeight="false" outlineLevel="0" collapsed="false">
      <c r="A78" s="0" t="n">
        <v>340</v>
      </c>
      <c r="B78" s="0" t="s">
        <v>2260</v>
      </c>
      <c r="C78" s="0" t="s">
        <v>2720</v>
      </c>
      <c r="D78" s="3" t="s">
        <v>9447</v>
      </c>
      <c r="E78" s="3" t="s">
        <v>9231</v>
      </c>
      <c r="F78" s="0" t="s">
        <v>9232</v>
      </c>
      <c r="G78" s="0" t="s">
        <v>9448</v>
      </c>
      <c r="H78" s="0" t="s">
        <v>9449</v>
      </c>
      <c r="I78" s="0" t="s">
        <v>9450</v>
      </c>
      <c r="J78" s="0" t="s">
        <v>9451</v>
      </c>
      <c r="L78" s="0" t="n">
        <v>2026</v>
      </c>
      <c r="M78" s="3" t="s">
        <v>9237</v>
      </c>
      <c r="N78" s="0" t="s">
        <v>9238</v>
      </c>
      <c r="O78" s="0" t="s">
        <v>9283</v>
      </c>
      <c r="P78" s="0" t="s">
        <v>9452</v>
      </c>
    </row>
    <row r="79" customFormat="false" ht="15" hidden="false" customHeight="false" outlineLevel="0" collapsed="false">
      <c r="A79" s="0" t="n">
        <v>340</v>
      </c>
      <c r="B79" s="0" t="s">
        <v>2260</v>
      </c>
      <c r="C79" s="0" t="s">
        <v>2751</v>
      </c>
      <c r="D79" s="0" t="s">
        <v>9453</v>
      </c>
      <c r="E79" s="3" t="s">
        <v>9231</v>
      </c>
      <c r="F79" s="0" t="s">
        <v>9232</v>
      </c>
      <c r="G79" s="0" t="s">
        <v>9454</v>
      </c>
      <c r="H79" s="0" t="s">
        <v>9455</v>
      </c>
      <c r="I79" s="0" t="s">
        <v>9456</v>
      </c>
      <c r="J79" s="0" t="s">
        <v>9457</v>
      </c>
      <c r="K79" s="0" t="s">
        <v>9458</v>
      </c>
      <c r="L79" s="0" t="n">
        <v>2026</v>
      </c>
      <c r="M79" s="3" t="s">
        <v>9237</v>
      </c>
      <c r="N79" s="0" t="s">
        <v>9238</v>
      </c>
      <c r="O79" s="0" t="s">
        <v>9239</v>
      </c>
      <c r="P79" s="0" t="s">
        <v>9459</v>
      </c>
    </row>
    <row r="80" customFormat="false" ht="15" hidden="false" customHeight="false" outlineLevel="0" collapsed="false">
      <c r="A80" s="0" t="n">
        <v>345</v>
      </c>
      <c r="B80" s="0" t="s">
        <v>2308</v>
      </c>
      <c r="C80" s="0" t="s">
        <v>2320</v>
      </c>
      <c r="D80" s="3" t="s">
        <v>9460</v>
      </c>
      <c r="E80" s="3" t="s">
        <v>9231</v>
      </c>
      <c r="F80" s="0" t="s">
        <v>9461</v>
      </c>
      <c r="G80" s="0" t="s">
        <v>9462</v>
      </c>
      <c r="H80" s="0" t="s">
        <v>9463</v>
      </c>
      <c r="I80" s="0" t="s">
        <v>9464</v>
      </c>
      <c r="J80" s="0" t="s">
        <v>9465</v>
      </c>
      <c r="K80" s="0" t="s">
        <v>9466</v>
      </c>
      <c r="L80" s="0" t="n">
        <v>2026</v>
      </c>
      <c r="M80" s="3" t="s">
        <v>9237</v>
      </c>
      <c r="N80" s="0" t="s">
        <v>9276</v>
      </c>
      <c r="P80" s="0" t="s">
        <v>9467</v>
      </c>
    </row>
    <row r="81" customFormat="false" ht="15" hidden="false" customHeight="false" outlineLevel="0" collapsed="false">
      <c r="A81" s="0" t="n">
        <v>351</v>
      </c>
      <c r="B81" s="0" t="s">
        <v>2361</v>
      </c>
      <c r="C81" s="0" t="s">
        <v>1423</v>
      </c>
      <c r="D81" s="3" t="s">
        <v>9385</v>
      </c>
      <c r="E81" s="3" t="s">
        <v>9231</v>
      </c>
      <c r="F81" s="0" t="s">
        <v>9232</v>
      </c>
      <c r="G81" s="0" t="s">
        <v>9287</v>
      </c>
      <c r="H81" s="0" t="s">
        <v>9288</v>
      </c>
      <c r="I81" s="0" t="s">
        <v>9289</v>
      </c>
      <c r="J81" s="0" t="s">
        <v>9290</v>
      </c>
      <c r="L81" s="0" t="n">
        <v>2026</v>
      </c>
      <c r="M81" s="3" t="s">
        <v>9237</v>
      </c>
      <c r="N81" s="0" t="s">
        <v>9238</v>
      </c>
      <c r="O81" s="0" t="s">
        <v>9239</v>
      </c>
      <c r="P81" s="0" t="s">
        <v>9386</v>
      </c>
    </row>
    <row r="82" customFormat="false" ht="15" hidden="false" customHeight="false" outlineLevel="0" collapsed="false">
      <c r="A82" s="0" t="n">
        <v>362</v>
      </c>
      <c r="B82" s="0" t="s">
        <v>2429</v>
      </c>
      <c r="C82" s="0" t="s">
        <v>9468</v>
      </c>
      <c r="D82" s="3" t="s">
        <v>9469</v>
      </c>
      <c r="E82" s="3" t="s">
        <v>9231</v>
      </c>
      <c r="F82" s="0" t="s">
        <v>9470</v>
      </c>
      <c r="G82" s="0" t="s">
        <v>9471</v>
      </c>
      <c r="H82" s="0" t="s">
        <v>9472</v>
      </c>
      <c r="J82" s="0" t="s">
        <v>9473</v>
      </c>
      <c r="L82" s="0" t="n">
        <v>2026</v>
      </c>
      <c r="M82" s="3" t="s">
        <v>9237</v>
      </c>
      <c r="N82" s="0" t="s">
        <v>9276</v>
      </c>
      <c r="P82" s="0" t="s">
        <v>9474</v>
      </c>
    </row>
    <row r="83" customFormat="false" ht="15" hidden="false" customHeight="false" outlineLevel="0" collapsed="false">
      <c r="A83" s="0" t="n">
        <v>362</v>
      </c>
      <c r="B83" s="0" t="s">
        <v>2429</v>
      </c>
      <c r="C83" s="0" t="s">
        <v>6004</v>
      </c>
      <c r="D83" s="3" t="s">
        <v>9469</v>
      </c>
      <c r="E83" s="3" t="s">
        <v>9231</v>
      </c>
      <c r="F83" s="0" t="s">
        <v>9232</v>
      </c>
      <c r="G83" s="0" t="s">
        <v>9475</v>
      </c>
      <c r="H83" s="0" t="s">
        <v>9472</v>
      </c>
      <c r="I83" s="0" t="s">
        <v>9476</v>
      </c>
      <c r="J83" s="0" t="s">
        <v>9473</v>
      </c>
      <c r="L83" s="0" t="n">
        <v>2026</v>
      </c>
      <c r="M83" s="3" t="s">
        <v>9237</v>
      </c>
      <c r="N83" s="0" t="s">
        <v>9238</v>
      </c>
      <c r="O83" s="0" t="s">
        <v>9239</v>
      </c>
      <c r="P83" s="0" t="s">
        <v>9477</v>
      </c>
    </row>
    <row r="84" customFormat="false" ht="15" hidden="false" customHeight="false" outlineLevel="0" collapsed="false">
      <c r="A84" s="0" t="n">
        <v>383</v>
      </c>
      <c r="B84" s="0" t="s">
        <v>2570</v>
      </c>
      <c r="C84" s="0" t="s">
        <v>284</v>
      </c>
      <c r="D84" s="3" t="s">
        <v>9265</v>
      </c>
      <c r="E84" s="3" t="s">
        <v>9231</v>
      </c>
      <c r="F84" s="0" t="s">
        <v>9232</v>
      </c>
      <c r="G84" s="0" t="s">
        <v>9266</v>
      </c>
      <c r="H84" s="0" t="s">
        <v>9267</v>
      </c>
      <c r="I84" s="0" t="s">
        <v>9268</v>
      </c>
      <c r="L84" s="0" t="n">
        <v>2026</v>
      </c>
      <c r="M84" s="3" t="s">
        <v>9237</v>
      </c>
      <c r="N84" s="0" t="s">
        <v>9238</v>
      </c>
      <c r="O84" s="0" t="s">
        <v>9239</v>
      </c>
      <c r="P84" s="0" t="s">
        <v>9269</v>
      </c>
    </row>
    <row r="85" customFormat="false" ht="15" hidden="false" customHeight="false" outlineLevel="0" collapsed="false">
      <c r="A85" s="0" t="n">
        <v>388</v>
      </c>
      <c r="B85" s="0" t="s">
        <v>2605</v>
      </c>
      <c r="C85" s="0" t="s">
        <v>3213</v>
      </c>
      <c r="E85" s="3" t="s">
        <v>9231</v>
      </c>
      <c r="F85" s="0" t="s">
        <v>9478</v>
      </c>
      <c r="G85" s="0" t="s">
        <v>9350</v>
      </c>
      <c r="H85" s="0" t="s">
        <v>9351</v>
      </c>
      <c r="J85" s="0" t="s">
        <v>9353</v>
      </c>
      <c r="K85" s="0" t="s">
        <v>9354</v>
      </c>
      <c r="L85" s="0" t="n">
        <v>2026</v>
      </c>
      <c r="M85" s="3" t="s">
        <v>9237</v>
      </c>
      <c r="N85" s="0" t="s">
        <v>9276</v>
      </c>
      <c r="P85" s="0" t="s">
        <v>9479</v>
      </c>
    </row>
    <row r="86" customFormat="false" ht="15" hidden="false" customHeight="false" outlineLevel="0" collapsed="false">
      <c r="A86" s="0" t="n">
        <v>388</v>
      </c>
      <c r="B86" s="0" t="s">
        <v>2605</v>
      </c>
      <c r="C86" s="0" t="s">
        <v>1423</v>
      </c>
      <c r="D86" s="3" t="s">
        <v>9385</v>
      </c>
      <c r="E86" s="3" t="s">
        <v>9231</v>
      </c>
      <c r="F86" s="0" t="s">
        <v>9480</v>
      </c>
      <c r="G86" s="0" t="s">
        <v>9287</v>
      </c>
      <c r="H86" s="0" t="s">
        <v>9288</v>
      </c>
      <c r="I86" s="0" t="s">
        <v>9289</v>
      </c>
      <c r="J86" s="0" t="s">
        <v>9290</v>
      </c>
      <c r="M86" s="3" t="s">
        <v>9226</v>
      </c>
      <c r="N86" s="0" t="s">
        <v>9276</v>
      </c>
      <c r="P86" s="0" t="s">
        <v>9481</v>
      </c>
    </row>
    <row r="87" customFormat="false" ht="15" hidden="false" customHeight="false" outlineLevel="0" collapsed="false">
      <c r="A87" s="0" t="n">
        <v>388</v>
      </c>
      <c r="B87" s="0" t="s">
        <v>2605</v>
      </c>
      <c r="C87" s="0" t="s">
        <v>3898</v>
      </c>
      <c r="D87" s="3" t="s">
        <v>9482</v>
      </c>
      <c r="E87" s="3" t="s">
        <v>9231</v>
      </c>
      <c r="F87" s="0" t="s">
        <v>9232</v>
      </c>
      <c r="G87" s="0" t="s">
        <v>9483</v>
      </c>
      <c r="H87" s="0" t="s">
        <v>9484</v>
      </c>
      <c r="J87" s="0" t="s">
        <v>9485</v>
      </c>
      <c r="L87" s="0" t="n">
        <v>2026</v>
      </c>
      <c r="M87" s="3" t="s">
        <v>9237</v>
      </c>
      <c r="N87" s="0" t="s">
        <v>9238</v>
      </c>
      <c r="O87" s="0" t="s">
        <v>9283</v>
      </c>
      <c r="P87" s="0" t="s">
        <v>9486</v>
      </c>
    </row>
    <row r="88" customFormat="false" ht="15" hidden="false" customHeight="false" outlineLevel="0" collapsed="false">
      <c r="A88" s="0" t="n">
        <v>388</v>
      </c>
      <c r="B88" s="0" t="s">
        <v>2605</v>
      </c>
      <c r="C88" s="0" t="s">
        <v>109</v>
      </c>
      <c r="D88" s="3" t="s">
        <v>9230</v>
      </c>
      <c r="E88" s="3" t="s">
        <v>9231</v>
      </c>
      <c r="F88" s="0" t="s">
        <v>9232</v>
      </c>
      <c r="G88" s="0" t="s">
        <v>9233</v>
      </c>
      <c r="H88" s="0" t="s">
        <v>9234</v>
      </c>
      <c r="I88" s="0" t="s">
        <v>9235</v>
      </c>
      <c r="J88" s="0" t="s">
        <v>9236</v>
      </c>
      <c r="L88" s="0" t="n">
        <v>2026</v>
      </c>
      <c r="M88" s="3" t="s">
        <v>9237</v>
      </c>
      <c r="N88" s="0" t="s">
        <v>9238</v>
      </c>
      <c r="O88" s="0" t="s">
        <v>9239</v>
      </c>
      <c r="P88" s="0" t="s">
        <v>9240</v>
      </c>
    </row>
    <row r="89" customFormat="false" ht="15" hidden="false" customHeight="false" outlineLevel="0" collapsed="false">
      <c r="A89" s="0" t="n">
        <v>405</v>
      </c>
      <c r="B89" s="0" t="s">
        <v>2714</v>
      </c>
      <c r="C89" s="0" t="s">
        <v>2720</v>
      </c>
      <c r="D89" s="3" t="s">
        <v>9447</v>
      </c>
      <c r="E89" s="3" t="s">
        <v>9231</v>
      </c>
      <c r="F89" s="0" t="s">
        <v>9232</v>
      </c>
      <c r="G89" s="0" t="s">
        <v>9448</v>
      </c>
      <c r="H89" s="0" t="s">
        <v>9449</v>
      </c>
      <c r="I89" s="0" t="s">
        <v>9450</v>
      </c>
      <c r="J89" s="0" t="s">
        <v>9451</v>
      </c>
      <c r="L89" s="0" t="n">
        <v>2026</v>
      </c>
      <c r="M89" s="3" t="s">
        <v>9237</v>
      </c>
      <c r="N89" s="0" t="s">
        <v>9238</v>
      </c>
      <c r="O89" s="0" t="s">
        <v>9239</v>
      </c>
      <c r="P89" s="0" t="s">
        <v>9487</v>
      </c>
    </row>
    <row r="90" customFormat="false" ht="15" hidden="false" customHeight="false" outlineLevel="0" collapsed="false">
      <c r="A90" s="0" t="n">
        <v>406</v>
      </c>
      <c r="B90" s="0" t="s">
        <v>2725</v>
      </c>
      <c r="C90" s="0" t="s">
        <v>1530</v>
      </c>
      <c r="D90" s="3" t="s">
        <v>9387</v>
      </c>
      <c r="E90" s="3" t="s">
        <v>9231</v>
      </c>
      <c r="F90" s="0" t="s">
        <v>9232</v>
      </c>
      <c r="G90" s="0" t="s">
        <v>9388</v>
      </c>
      <c r="H90" s="0" t="s">
        <v>9389</v>
      </c>
      <c r="I90" s="0" t="s">
        <v>9390</v>
      </c>
      <c r="J90" s="0" t="s">
        <v>9391</v>
      </c>
      <c r="L90" s="0" t="n">
        <v>2026</v>
      </c>
      <c r="M90" s="3" t="s">
        <v>9237</v>
      </c>
      <c r="N90" s="0" t="s">
        <v>9238</v>
      </c>
      <c r="O90" s="0" t="s">
        <v>9239</v>
      </c>
      <c r="P90" s="0" t="s">
        <v>9392</v>
      </c>
    </row>
    <row r="91" customFormat="false" ht="15" hidden="false" customHeight="false" outlineLevel="0" collapsed="false">
      <c r="A91" s="0" t="n">
        <v>409</v>
      </c>
      <c r="B91" s="0" t="s">
        <v>2748</v>
      </c>
      <c r="C91" s="0" t="s">
        <v>2751</v>
      </c>
      <c r="D91" s="0" t="s">
        <v>9453</v>
      </c>
      <c r="E91" s="3" t="s">
        <v>9231</v>
      </c>
      <c r="F91" s="0" t="s">
        <v>9232</v>
      </c>
      <c r="G91" s="0" t="s">
        <v>9454</v>
      </c>
      <c r="H91" s="0" t="s">
        <v>9455</v>
      </c>
      <c r="I91" s="0" t="s">
        <v>9456</v>
      </c>
      <c r="J91" s="0" t="s">
        <v>9457</v>
      </c>
      <c r="K91" s="0" t="s">
        <v>9458</v>
      </c>
      <c r="L91" s="0" t="n">
        <v>2026</v>
      </c>
      <c r="M91" s="3" t="s">
        <v>9237</v>
      </c>
      <c r="N91" s="0" t="s">
        <v>9238</v>
      </c>
      <c r="O91" s="0" t="s">
        <v>9239</v>
      </c>
      <c r="P91" s="0" t="s">
        <v>9459</v>
      </c>
    </row>
    <row r="92" customFormat="false" ht="15" hidden="false" customHeight="false" outlineLevel="0" collapsed="false">
      <c r="A92" s="0" t="n">
        <v>411</v>
      </c>
      <c r="B92" s="0" t="s">
        <v>2761</v>
      </c>
      <c r="C92" s="0" t="s">
        <v>2767</v>
      </c>
      <c r="D92" s="3" t="s">
        <v>9331</v>
      </c>
      <c r="E92" s="3" t="s">
        <v>9231</v>
      </c>
      <c r="F92" s="0" t="s">
        <v>9232</v>
      </c>
      <c r="G92" s="0" t="s">
        <v>9488</v>
      </c>
      <c r="H92" s="0" t="s">
        <v>9334</v>
      </c>
      <c r="I92" s="0" t="s">
        <v>9335</v>
      </c>
      <c r="J92" s="0" t="s">
        <v>9336</v>
      </c>
      <c r="L92" s="0" t="n">
        <v>2026</v>
      </c>
      <c r="M92" s="3" t="s">
        <v>9237</v>
      </c>
      <c r="N92" s="0" t="s">
        <v>9238</v>
      </c>
      <c r="O92" s="0" t="s">
        <v>9239</v>
      </c>
      <c r="P92" s="0" t="s">
        <v>9489</v>
      </c>
    </row>
    <row r="93" customFormat="false" ht="15" hidden="false" customHeight="false" outlineLevel="0" collapsed="false">
      <c r="A93" s="0" t="n">
        <v>418</v>
      </c>
      <c r="B93" s="0" t="s">
        <v>2819</v>
      </c>
      <c r="C93" s="0" t="s">
        <v>2829</v>
      </c>
      <c r="D93" s="3" t="s">
        <v>9349</v>
      </c>
      <c r="E93" s="3" t="s">
        <v>9231</v>
      </c>
      <c r="F93" s="0" t="s">
        <v>9490</v>
      </c>
      <c r="G93" s="0" t="s">
        <v>9350</v>
      </c>
      <c r="H93" s="0" t="s">
        <v>9351</v>
      </c>
      <c r="J93" s="0" t="s">
        <v>9353</v>
      </c>
      <c r="K93" s="0" t="s">
        <v>9354</v>
      </c>
      <c r="L93" s="0" t="n">
        <v>2026</v>
      </c>
      <c r="M93" s="3" t="s">
        <v>9237</v>
      </c>
      <c r="N93" s="0" t="s">
        <v>9276</v>
      </c>
      <c r="P93" s="0" t="s">
        <v>9491</v>
      </c>
    </row>
    <row r="94" customFormat="false" ht="15" hidden="false" customHeight="false" outlineLevel="0" collapsed="false">
      <c r="A94" s="0" t="n">
        <v>422</v>
      </c>
      <c r="B94" s="0" t="s">
        <v>2855</v>
      </c>
      <c r="C94" s="0" t="s">
        <v>2829</v>
      </c>
      <c r="D94" s="3" t="s">
        <v>9349</v>
      </c>
      <c r="E94" s="3" t="s">
        <v>9231</v>
      </c>
      <c r="F94" s="0" t="s">
        <v>9490</v>
      </c>
      <c r="G94" s="0" t="s">
        <v>9350</v>
      </c>
      <c r="H94" s="0" t="s">
        <v>9351</v>
      </c>
      <c r="J94" s="0" t="s">
        <v>9353</v>
      </c>
      <c r="K94" s="0" t="s">
        <v>9354</v>
      </c>
      <c r="L94" s="0" t="n">
        <v>2026</v>
      </c>
      <c r="M94" s="3" t="s">
        <v>9237</v>
      </c>
      <c r="N94" s="0" t="s">
        <v>9276</v>
      </c>
      <c r="P94" s="0" t="s">
        <v>9491</v>
      </c>
    </row>
    <row r="95" customFormat="false" ht="15" hidden="false" customHeight="false" outlineLevel="0" collapsed="false">
      <c r="A95" s="0" t="n">
        <v>443</v>
      </c>
      <c r="B95" s="0" t="s">
        <v>2978</v>
      </c>
      <c r="C95" s="0" t="s">
        <v>1530</v>
      </c>
      <c r="D95" s="3" t="s">
        <v>9387</v>
      </c>
      <c r="E95" s="3" t="s">
        <v>9231</v>
      </c>
      <c r="F95" s="0" t="s">
        <v>9232</v>
      </c>
      <c r="G95" s="0" t="s">
        <v>9388</v>
      </c>
      <c r="H95" s="0" t="s">
        <v>9389</v>
      </c>
      <c r="I95" s="0" t="s">
        <v>9390</v>
      </c>
      <c r="J95" s="0" t="s">
        <v>9391</v>
      </c>
      <c r="L95" s="0" t="n">
        <v>2026</v>
      </c>
      <c r="M95" s="3" t="s">
        <v>9237</v>
      </c>
      <c r="N95" s="0" t="s">
        <v>9238</v>
      </c>
      <c r="O95" s="0" t="s">
        <v>9283</v>
      </c>
      <c r="P95" s="0" t="s">
        <v>9392</v>
      </c>
    </row>
    <row r="96" customFormat="false" ht="15" hidden="false" customHeight="false" outlineLevel="0" collapsed="false">
      <c r="A96" s="0" t="n">
        <v>443</v>
      </c>
      <c r="B96" s="0" t="s">
        <v>2978</v>
      </c>
      <c r="C96" s="0" t="s">
        <v>9356</v>
      </c>
      <c r="D96" s="3" t="s">
        <v>9357</v>
      </c>
      <c r="E96" s="3" t="s">
        <v>9231</v>
      </c>
      <c r="F96" s="0" t="s">
        <v>9232</v>
      </c>
      <c r="G96" s="0" t="s">
        <v>9358</v>
      </c>
      <c r="H96" s="0" t="s">
        <v>9359</v>
      </c>
      <c r="I96" s="0" t="s">
        <v>9360</v>
      </c>
      <c r="J96" s="0" t="s">
        <v>9361</v>
      </c>
      <c r="L96" s="0" t="n">
        <v>2026</v>
      </c>
      <c r="M96" s="3" t="s">
        <v>9237</v>
      </c>
      <c r="N96" s="0" t="s">
        <v>9238</v>
      </c>
      <c r="O96" s="0" t="s">
        <v>9239</v>
      </c>
      <c r="P96" s="0" t="s">
        <v>9492</v>
      </c>
    </row>
    <row r="97" customFormat="false" ht="15" hidden="false" customHeight="false" outlineLevel="0" collapsed="false">
      <c r="A97" s="0" t="n">
        <v>449</v>
      </c>
      <c r="B97" s="0" t="s">
        <v>3022</v>
      </c>
      <c r="C97" s="0" t="s">
        <v>1545</v>
      </c>
      <c r="D97" s="3" t="s">
        <v>9493</v>
      </c>
      <c r="E97" s="3" t="s">
        <v>9231</v>
      </c>
      <c r="F97" s="0" t="s">
        <v>9232</v>
      </c>
      <c r="G97" s="0" t="s">
        <v>9494</v>
      </c>
      <c r="H97" s="0" t="s">
        <v>9396</v>
      </c>
      <c r="I97" s="0" t="s">
        <v>9397</v>
      </c>
      <c r="J97" s="0" t="s">
        <v>9398</v>
      </c>
      <c r="L97" s="0" t="n">
        <v>2026</v>
      </c>
      <c r="M97" s="3" t="s">
        <v>9237</v>
      </c>
      <c r="N97" s="0" t="s">
        <v>9238</v>
      </c>
      <c r="O97" s="0" t="s">
        <v>9239</v>
      </c>
      <c r="P97" s="0" t="s">
        <v>9495</v>
      </c>
    </row>
    <row r="98" customFormat="false" ht="15" hidden="false" customHeight="false" outlineLevel="0" collapsed="false">
      <c r="A98" s="0" t="n">
        <v>449</v>
      </c>
      <c r="B98" s="0" t="s">
        <v>3022</v>
      </c>
      <c r="C98" s="0" t="s">
        <v>9338</v>
      </c>
      <c r="D98" s="3" t="s">
        <v>9339</v>
      </c>
      <c r="E98" s="3" t="s">
        <v>9231</v>
      </c>
      <c r="F98" s="0" t="s">
        <v>9232</v>
      </c>
      <c r="G98" s="0" t="s">
        <v>9341</v>
      </c>
      <c r="H98" s="0" t="s">
        <v>9342</v>
      </c>
      <c r="J98" s="0" t="s">
        <v>9343</v>
      </c>
      <c r="L98" s="0" t="n">
        <v>2026</v>
      </c>
      <c r="M98" s="3" t="s">
        <v>9237</v>
      </c>
      <c r="N98" s="0" t="s">
        <v>9238</v>
      </c>
      <c r="O98" s="0" t="s">
        <v>9239</v>
      </c>
      <c r="P98" s="0" t="s">
        <v>9496</v>
      </c>
    </row>
    <row r="99" customFormat="false" ht="15" hidden="false" customHeight="false" outlineLevel="0" collapsed="false">
      <c r="A99" s="0" t="n">
        <v>449</v>
      </c>
      <c r="B99" s="0" t="s">
        <v>3022</v>
      </c>
      <c r="C99" s="0" t="s">
        <v>829</v>
      </c>
      <c r="D99" s="3" t="s">
        <v>9252</v>
      </c>
      <c r="E99" s="3" t="s">
        <v>9231</v>
      </c>
      <c r="F99" s="0" t="s">
        <v>9232</v>
      </c>
      <c r="G99" s="0" t="s">
        <v>9253</v>
      </c>
      <c r="H99" s="0" t="s">
        <v>9254</v>
      </c>
      <c r="I99" s="0" t="s">
        <v>9255</v>
      </c>
      <c r="J99" s="0" t="s">
        <v>9256</v>
      </c>
      <c r="L99" s="0" t="n">
        <v>2026</v>
      </c>
      <c r="M99" s="3" t="s">
        <v>9237</v>
      </c>
      <c r="N99" s="0" t="s">
        <v>9238</v>
      </c>
      <c r="O99" s="0" t="s">
        <v>9239</v>
      </c>
      <c r="P99" s="0" t="s">
        <v>9253</v>
      </c>
    </row>
    <row r="100" customFormat="false" ht="15" hidden="false" customHeight="false" outlineLevel="0" collapsed="false">
      <c r="A100" s="0" t="n">
        <v>451</v>
      </c>
      <c r="B100" s="0" t="s">
        <v>3032</v>
      </c>
      <c r="C100" s="0" t="s">
        <v>2320</v>
      </c>
      <c r="D100" s="3" t="s">
        <v>9460</v>
      </c>
      <c r="E100" s="3" t="s">
        <v>9231</v>
      </c>
      <c r="F100" s="0" t="s">
        <v>9461</v>
      </c>
      <c r="G100" s="0" t="s">
        <v>9462</v>
      </c>
      <c r="H100" s="0" t="s">
        <v>9463</v>
      </c>
      <c r="I100" s="0" t="s">
        <v>9464</v>
      </c>
      <c r="J100" s="0" t="s">
        <v>9465</v>
      </c>
      <c r="K100" s="0" t="s">
        <v>9466</v>
      </c>
      <c r="L100" s="0" t="n">
        <v>2026</v>
      </c>
      <c r="M100" s="3" t="s">
        <v>9237</v>
      </c>
      <c r="N100" s="0" t="s">
        <v>9276</v>
      </c>
      <c r="P100" s="0" t="s">
        <v>9467</v>
      </c>
    </row>
    <row r="101" customFormat="false" ht="15" hidden="false" customHeight="false" outlineLevel="0" collapsed="false">
      <c r="A101" s="0" t="n">
        <v>455</v>
      </c>
      <c r="B101" s="0" t="s">
        <v>3053</v>
      </c>
      <c r="C101" s="0" t="s">
        <v>3060</v>
      </c>
      <c r="D101" s="3" t="s">
        <v>9363</v>
      </c>
      <c r="E101" s="3" t="s">
        <v>9231</v>
      </c>
      <c r="F101" s="0" t="s">
        <v>9232</v>
      </c>
      <c r="G101" s="0" t="s">
        <v>9365</v>
      </c>
      <c r="H101" s="0" t="s">
        <v>9366</v>
      </c>
      <c r="I101" s="0" t="s">
        <v>9367</v>
      </c>
      <c r="J101" s="0" t="s">
        <v>9368</v>
      </c>
      <c r="K101" s="0" t="s">
        <v>9369</v>
      </c>
      <c r="L101" s="0" t="n">
        <v>2026</v>
      </c>
      <c r="M101" s="3" t="s">
        <v>9237</v>
      </c>
      <c r="N101" s="0" t="s">
        <v>9238</v>
      </c>
      <c r="O101" s="0" t="s">
        <v>9239</v>
      </c>
      <c r="P101" s="0" t="s">
        <v>9497</v>
      </c>
    </row>
    <row r="102" customFormat="false" ht="15" hidden="false" customHeight="false" outlineLevel="0" collapsed="false">
      <c r="A102" s="0" t="n">
        <v>470</v>
      </c>
      <c r="B102" s="0" t="s">
        <v>3150</v>
      </c>
      <c r="C102" s="0" t="s">
        <v>3159</v>
      </c>
      <c r="D102" s="3" t="s">
        <v>9278</v>
      </c>
      <c r="E102" s="3" t="s">
        <v>9231</v>
      </c>
      <c r="F102" s="0" t="s">
        <v>9498</v>
      </c>
      <c r="G102" s="0" t="s">
        <v>9279</v>
      </c>
      <c r="H102" s="0" t="s">
        <v>9280</v>
      </c>
      <c r="J102" s="0" t="s">
        <v>9282</v>
      </c>
      <c r="L102" s="0" t="n">
        <v>2026</v>
      </c>
      <c r="M102" s="3" t="s">
        <v>9237</v>
      </c>
      <c r="N102" s="0" t="s">
        <v>9276</v>
      </c>
      <c r="P102" s="0" t="s">
        <v>9499</v>
      </c>
    </row>
    <row r="103" customFormat="false" ht="15" hidden="false" customHeight="false" outlineLevel="0" collapsed="false">
      <c r="A103" s="0" t="n">
        <v>471</v>
      </c>
      <c r="B103" s="0" t="s">
        <v>3168</v>
      </c>
      <c r="C103" s="0" t="s">
        <v>3175</v>
      </c>
      <c r="D103" s="3" t="s">
        <v>9500</v>
      </c>
      <c r="E103" s="3" t="s">
        <v>9231</v>
      </c>
      <c r="F103" s="0" t="s">
        <v>9232</v>
      </c>
      <c r="G103" s="0" t="s">
        <v>9501</v>
      </c>
      <c r="H103" s="0" t="s">
        <v>9273</v>
      </c>
      <c r="I103" s="0" t="s">
        <v>9274</v>
      </c>
      <c r="J103" s="0" t="s">
        <v>9275</v>
      </c>
      <c r="L103" s="0" t="n">
        <v>2026</v>
      </c>
      <c r="M103" s="3" t="s">
        <v>9237</v>
      </c>
      <c r="N103" s="0" t="s">
        <v>9238</v>
      </c>
      <c r="O103" s="0" t="s">
        <v>9283</v>
      </c>
      <c r="P103" s="0" t="s">
        <v>9501</v>
      </c>
    </row>
    <row r="104" customFormat="false" ht="15" hidden="false" customHeight="false" outlineLevel="0" collapsed="false">
      <c r="A104" s="0" t="n">
        <v>477</v>
      </c>
      <c r="B104" s="0" t="s">
        <v>3203</v>
      </c>
      <c r="C104" s="0" t="s">
        <v>3213</v>
      </c>
      <c r="E104" s="3" t="s">
        <v>9231</v>
      </c>
      <c r="F104" s="0" t="s">
        <v>9502</v>
      </c>
      <c r="G104" s="0" t="s">
        <v>9350</v>
      </c>
      <c r="H104" s="0" t="s">
        <v>9351</v>
      </c>
      <c r="J104" s="0" t="s">
        <v>9353</v>
      </c>
      <c r="K104" s="0" t="s">
        <v>9354</v>
      </c>
      <c r="L104" s="0" t="n">
        <v>2026</v>
      </c>
      <c r="M104" s="3" t="s">
        <v>9237</v>
      </c>
      <c r="N104" s="0" t="s">
        <v>9276</v>
      </c>
      <c r="P104" s="0" t="s">
        <v>9503</v>
      </c>
    </row>
    <row r="105" customFormat="false" ht="15" hidden="false" customHeight="false" outlineLevel="0" collapsed="false">
      <c r="A105" s="0" t="n">
        <v>485</v>
      </c>
      <c r="B105" s="0" t="s">
        <v>3275</v>
      </c>
      <c r="C105" s="0" t="s">
        <v>1231</v>
      </c>
      <c r="D105" s="3" t="s">
        <v>9349</v>
      </c>
      <c r="E105" s="3" t="s">
        <v>9231</v>
      </c>
      <c r="F105" s="0" t="s">
        <v>9232</v>
      </c>
      <c r="G105" s="0" t="s">
        <v>9350</v>
      </c>
      <c r="H105" s="0" t="s">
        <v>9351</v>
      </c>
      <c r="I105" s="0" t="s">
        <v>9352</v>
      </c>
      <c r="J105" s="0" t="s">
        <v>9353</v>
      </c>
      <c r="K105" s="0" t="s">
        <v>9354</v>
      </c>
      <c r="L105" s="0" t="n">
        <v>2026</v>
      </c>
      <c r="M105" s="3" t="s">
        <v>9237</v>
      </c>
      <c r="N105" s="0" t="s">
        <v>9238</v>
      </c>
      <c r="O105" s="0" t="s">
        <v>9239</v>
      </c>
      <c r="P105" s="0" t="s">
        <v>9355</v>
      </c>
    </row>
    <row r="106" customFormat="false" ht="15" hidden="false" customHeight="false" outlineLevel="0" collapsed="false">
      <c r="A106" s="0" t="n">
        <v>493</v>
      </c>
      <c r="B106" s="0" t="s">
        <v>3324</v>
      </c>
      <c r="C106" s="0" t="s">
        <v>284</v>
      </c>
      <c r="D106" s="3" t="s">
        <v>9265</v>
      </c>
      <c r="E106" s="3" t="s">
        <v>9231</v>
      </c>
      <c r="F106" s="0" t="s">
        <v>9232</v>
      </c>
      <c r="G106" s="0" t="s">
        <v>9266</v>
      </c>
      <c r="H106" s="0" t="s">
        <v>9267</v>
      </c>
      <c r="I106" s="0" t="s">
        <v>9268</v>
      </c>
      <c r="L106" s="0" t="n">
        <v>2026</v>
      </c>
      <c r="M106" s="3" t="s">
        <v>9237</v>
      </c>
      <c r="N106" s="0" t="s">
        <v>9238</v>
      </c>
      <c r="O106" s="0" t="s">
        <v>9239</v>
      </c>
      <c r="P106" s="0" t="s">
        <v>9269</v>
      </c>
    </row>
    <row r="107" customFormat="false" ht="15" hidden="false" customHeight="false" outlineLevel="0" collapsed="false">
      <c r="A107" s="0" t="n">
        <v>496</v>
      </c>
      <c r="B107" s="0" t="s">
        <v>2437</v>
      </c>
      <c r="C107" s="0" t="s">
        <v>2767</v>
      </c>
      <c r="D107" s="3" t="s">
        <v>9331</v>
      </c>
      <c r="E107" s="3" t="s">
        <v>9231</v>
      </c>
      <c r="F107" s="0" t="s">
        <v>9232</v>
      </c>
      <c r="G107" s="0" t="s">
        <v>9488</v>
      </c>
      <c r="H107" s="0" t="s">
        <v>9334</v>
      </c>
      <c r="I107" s="0" t="s">
        <v>9335</v>
      </c>
      <c r="J107" s="0" t="s">
        <v>9336</v>
      </c>
      <c r="L107" s="0" t="n">
        <v>2026</v>
      </c>
      <c r="M107" s="3" t="s">
        <v>9237</v>
      </c>
      <c r="N107" s="0" t="s">
        <v>9238</v>
      </c>
      <c r="O107" s="0" t="s">
        <v>9239</v>
      </c>
      <c r="P107" s="0" t="s">
        <v>9489</v>
      </c>
    </row>
    <row r="108" customFormat="false" ht="15" hidden="false" customHeight="false" outlineLevel="0" collapsed="false">
      <c r="A108" s="0" t="n">
        <v>502</v>
      </c>
      <c r="B108" s="0" t="s">
        <v>3383</v>
      </c>
      <c r="C108" s="0" t="s">
        <v>3385</v>
      </c>
      <c r="D108" s="3" t="s">
        <v>9409</v>
      </c>
      <c r="E108" s="3" t="s">
        <v>9231</v>
      </c>
      <c r="F108" s="0" t="s">
        <v>9232</v>
      </c>
      <c r="G108" s="0" t="s">
        <v>9504</v>
      </c>
      <c r="L108" s="0" t="n">
        <v>2026</v>
      </c>
      <c r="M108" s="3" t="s">
        <v>9237</v>
      </c>
      <c r="N108" s="0" t="s">
        <v>9238</v>
      </c>
      <c r="O108" s="0" t="s">
        <v>9239</v>
      </c>
      <c r="P108" s="0" t="s">
        <v>9505</v>
      </c>
    </row>
    <row r="109" customFormat="false" ht="15" hidden="false" customHeight="false" outlineLevel="0" collapsed="false">
      <c r="A109" s="0" t="n">
        <v>512</v>
      </c>
      <c r="B109" s="0" t="s">
        <v>3434</v>
      </c>
      <c r="C109" s="0" t="s">
        <v>1231</v>
      </c>
      <c r="D109" s="3" t="s">
        <v>9349</v>
      </c>
      <c r="E109" s="3" t="s">
        <v>9231</v>
      </c>
      <c r="F109" s="0" t="s">
        <v>9232</v>
      </c>
      <c r="G109" s="0" t="s">
        <v>9350</v>
      </c>
      <c r="H109" s="0" t="s">
        <v>9351</v>
      </c>
      <c r="I109" s="0" t="s">
        <v>9352</v>
      </c>
      <c r="J109" s="0" t="s">
        <v>9353</v>
      </c>
      <c r="K109" s="0" t="s">
        <v>9354</v>
      </c>
      <c r="L109" s="0" t="n">
        <v>2026</v>
      </c>
      <c r="M109" s="3" t="s">
        <v>9237</v>
      </c>
      <c r="N109" s="0" t="s">
        <v>9238</v>
      </c>
      <c r="O109" s="0" t="s">
        <v>9239</v>
      </c>
      <c r="P109" s="0" t="s">
        <v>9355</v>
      </c>
    </row>
    <row r="110" customFormat="false" ht="15" hidden="false" customHeight="false" outlineLevel="0" collapsed="false">
      <c r="A110" s="0" t="n">
        <v>517</v>
      </c>
      <c r="B110" s="0" t="s">
        <v>3484</v>
      </c>
      <c r="C110" s="0" t="s">
        <v>1423</v>
      </c>
      <c r="D110" s="3" t="s">
        <v>9385</v>
      </c>
      <c r="E110" s="3" t="s">
        <v>9231</v>
      </c>
      <c r="F110" s="0" t="s">
        <v>9232</v>
      </c>
      <c r="G110" s="0" t="s">
        <v>9287</v>
      </c>
      <c r="H110" s="0" t="s">
        <v>9288</v>
      </c>
      <c r="I110" s="0" t="s">
        <v>9289</v>
      </c>
      <c r="J110" s="0" t="s">
        <v>9290</v>
      </c>
      <c r="L110" s="0" t="n">
        <v>2026</v>
      </c>
      <c r="M110" s="3" t="s">
        <v>9237</v>
      </c>
      <c r="N110" s="0" t="s">
        <v>9238</v>
      </c>
      <c r="O110" s="0" t="s">
        <v>9239</v>
      </c>
      <c r="P110" s="0" t="s">
        <v>9386</v>
      </c>
    </row>
    <row r="111" customFormat="false" ht="15" hidden="false" customHeight="false" outlineLevel="0" collapsed="false">
      <c r="A111" s="0" t="n">
        <v>525</v>
      </c>
      <c r="B111" s="0" t="s">
        <v>3541</v>
      </c>
      <c r="C111" s="0" t="s">
        <v>3547</v>
      </c>
      <c r="D111" s="3" t="s">
        <v>9309</v>
      </c>
      <c r="E111" s="3" t="s">
        <v>9231</v>
      </c>
      <c r="F111" s="0" t="s">
        <v>9506</v>
      </c>
      <c r="G111" s="0" t="s">
        <v>9507</v>
      </c>
      <c r="L111" s="0" t="n">
        <v>2026</v>
      </c>
      <c r="M111" s="3" t="s">
        <v>9237</v>
      </c>
      <c r="N111" s="0" t="s">
        <v>9227</v>
      </c>
      <c r="O111" s="0" t="s">
        <v>9228</v>
      </c>
      <c r="P111" s="0" t="s">
        <v>9508</v>
      </c>
    </row>
    <row r="112" customFormat="false" ht="15" hidden="false" customHeight="false" outlineLevel="0" collapsed="false">
      <c r="A112" s="0" t="n">
        <v>535</v>
      </c>
      <c r="B112" s="0" t="s">
        <v>3606</v>
      </c>
      <c r="C112" s="0" t="s">
        <v>2720</v>
      </c>
      <c r="D112" s="3" t="s">
        <v>9447</v>
      </c>
      <c r="E112" s="3" t="s">
        <v>9231</v>
      </c>
      <c r="F112" s="0" t="s">
        <v>9232</v>
      </c>
      <c r="G112" s="0" t="s">
        <v>9448</v>
      </c>
      <c r="H112" s="0" t="s">
        <v>9449</v>
      </c>
      <c r="I112" s="0" t="s">
        <v>9450</v>
      </c>
      <c r="J112" s="0" t="s">
        <v>9451</v>
      </c>
      <c r="L112" s="0" t="n">
        <v>2026</v>
      </c>
      <c r="M112" s="3" t="s">
        <v>9237</v>
      </c>
      <c r="N112" s="0" t="s">
        <v>9238</v>
      </c>
      <c r="O112" s="0" t="s">
        <v>9239</v>
      </c>
      <c r="P112" s="0" t="s">
        <v>9487</v>
      </c>
    </row>
    <row r="113" customFormat="false" ht="15" hidden="false" customHeight="false" outlineLevel="0" collapsed="false">
      <c r="A113" s="0" t="n">
        <v>540</v>
      </c>
      <c r="B113" s="0" t="s">
        <v>3629</v>
      </c>
      <c r="C113" s="0" t="s">
        <v>1545</v>
      </c>
      <c r="D113" s="3" t="s">
        <v>9493</v>
      </c>
      <c r="E113" s="3" t="s">
        <v>9231</v>
      </c>
      <c r="F113" s="0" t="s">
        <v>9232</v>
      </c>
      <c r="G113" s="0" t="s">
        <v>9494</v>
      </c>
      <c r="H113" s="0" t="s">
        <v>9396</v>
      </c>
      <c r="I113" s="0" t="s">
        <v>9397</v>
      </c>
      <c r="J113" s="0" t="s">
        <v>9398</v>
      </c>
      <c r="L113" s="0" t="n">
        <v>2026</v>
      </c>
      <c r="M113" s="3" t="s">
        <v>9237</v>
      </c>
      <c r="N113" s="0" t="s">
        <v>9238</v>
      </c>
      <c r="O113" s="0" t="s">
        <v>9239</v>
      </c>
      <c r="P113" s="0" t="s">
        <v>9509</v>
      </c>
    </row>
    <row r="114" customFormat="false" ht="15" hidden="false" customHeight="false" outlineLevel="0" collapsed="false">
      <c r="A114" s="0" t="n">
        <v>542</v>
      </c>
      <c r="B114" s="0" t="s">
        <v>3640</v>
      </c>
      <c r="C114" s="0" t="s">
        <v>1423</v>
      </c>
      <c r="D114" s="3" t="s">
        <v>9385</v>
      </c>
      <c r="E114" s="3" t="s">
        <v>9231</v>
      </c>
      <c r="F114" s="0" t="s">
        <v>9232</v>
      </c>
      <c r="G114" s="0" t="s">
        <v>9287</v>
      </c>
      <c r="H114" s="0" t="s">
        <v>9288</v>
      </c>
      <c r="I114" s="0" t="s">
        <v>9289</v>
      </c>
      <c r="J114" s="0" t="s">
        <v>9290</v>
      </c>
      <c r="L114" s="0" t="n">
        <v>2026</v>
      </c>
      <c r="M114" s="3" t="s">
        <v>9237</v>
      </c>
      <c r="N114" s="0" t="s">
        <v>9238</v>
      </c>
      <c r="O114" s="0" t="s">
        <v>9239</v>
      </c>
      <c r="P114" s="0" t="s">
        <v>9386</v>
      </c>
    </row>
    <row r="115" customFormat="false" ht="15" hidden="false" customHeight="false" outlineLevel="0" collapsed="false">
      <c r="A115" s="0" t="n">
        <v>542</v>
      </c>
      <c r="B115" s="0" t="s">
        <v>3640</v>
      </c>
      <c r="C115" s="0" t="s">
        <v>829</v>
      </c>
      <c r="D115" s="3" t="s">
        <v>9252</v>
      </c>
      <c r="E115" s="3" t="s">
        <v>9231</v>
      </c>
      <c r="F115" s="0" t="s">
        <v>9232</v>
      </c>
      <c r="G115" s="0" t="s">
        <v>9253</v>
      </c>
      <c r="H115" s="0" t="s">
        <v>9254</v>
      </c>
      <c r="I115" s="0" t="s">
        <v>9255</v>
      </c>
      <c r="J115" s="0" t="s">
        <v>9256</v>
      </c>
      <c r="L115" s="0" t="n">
        <v>2026</v>
      </c>
      <c r="M115" s="3" t="s">
        <v>9237</v>
      </c>
      <c r="N115" s="0" t="s">
        <v>9238</v>
      </c>
      <c r="O115" s="0" t="s">
        <v>9239</v>
      </c>
      <c r="P115" s="0" t="s">
        <v>9257</v>
      </c>
    </row>
    <row r="116" customFormat="false" ht="15" hidden="false" customHeight="false" outlineLevel="0" collapsed="false">
      <c r="A116" s="0" t="n">
        <v>545</v>
      </c>
      <c r="B116" s="0" t="s">
        <v>3655</v>
      </c>
      <c r="C116" s="0" t="s">
        <v>968</v>
      </c>
      <c r="D116" s="3" t="s">
        <v>9309</v>
      </c>
      <c r="E116" s="3" t="s">
        <v>9231</v>
      </c>
      <c r="F116" s="0" t="s">
        <v>9232</v>
      </c>
      <c r="G116" s="0" t="s">
        <v>9310</v>
      </c>
      <c r="H116" s="0" t="s">
        <v>9311</v>
      </c>
      <c r="I116" s="0" t="s">
        <v>9312</v>
      </c>
      <c r="L116" s="0" t="n">
        <v>2026</v>
      </c>
      <c r="M116" s="3" t="s">
        <v>9237</v>
      </c>
      <c r="N116" s="0" t="s">
        <v>9238</v>
      </c>
      <c r="O116" s="0" t="s">
        <v>9239</v>
      </c>
      <c r="P116" s="0" t="s">
        <v>9313</v>
      </c>
    </row>
    <row r="117" customFormat="false" ht="15" hidden="false" customHeight="false" outlineLevel="0" collapsed="false">
      <c r="A117" s="0" t="n">
        <v>552</v>
      </c>
      <c r="B117" s="0" t="s">
        <v>3707</v>
      </c>
      <c r="C117" s="0" t="s">
        <v>6315</v>
      </c>
      <c r="D117" s="3" t="s">
        <v>9510</v>
      </c>
      <c r="E117" s="3" t="s">
        <v>9231</v>
      </c>
      <c r="F117" s="0" t="s">
        <v>9511</v>
      </c>
      <c r="G117" s="0" t="s">
        <v>9512</v>
      </c>
      <c r="H117" s="0" t="s">
        <v>9513</v>
      </c>
      <c r="J117" s="0" t="s">
        <v>9514</v>
      </c>
      <c r="K117" s="0" t="s">
        <v>9515</v>
      </c>
      <c r="M117" s="3" t="s">
        <v>9226</v>
      </c>
      <c r="N117" s="0" t="s">
        <v>9276</v>
      </c>
      <c r="P117" s="0" t="s">
        <v>9516</v>
      </c>
    </row>
    <row r="118" customFormat="false" ht="15" hidden="false" customHeight="false" outlineLevel="0" collapsed="false">
      <c r="A118" s="0" t="n">
        <v>552</v>
      </c>
      <c r="B118" s="0" t="s">
        <v>3707</v>
      </c>
      <c r="C118" s="0" t="s">
        <v>1423</v>
      </c>
      <c r="D118" s="3" t="s">
        <v>9385</v>
      </c>
      <c r="E118" s="3" t="s">
        <v>9231</v>
      </c>
      <c r="F118" s="0" t="s">
        <v>9517</v>
      </c>
      <c r="G118" s="0" t="s">
        <v>9287</v>
      </c>
      <c r="H118" s="0" t="s">
        <v>9288</v>
      </c>
      <c r="I118" s="0" t="s">
        <v>9289</v>
      </c>
      <c r="J118" s="0" t="s">
        <v>9290</v>
      </c>
      <c r="L118" s="0" t="n">
        <v>2026</v>
      </c>
      <c r="M118" s="3" t="s">
        <v>9237</v>
      </c>
      <c r="N118" s="0" t="s">
        <v>9276</v>
      </c>
      <c r="P118" s="0" t="s">
        <v>9518</v>
      </c>
    </row>
    <row r="119" customFormat="false" ht="15" hidden="false" customHeight="false" outlineLevel="0" collapsed="false">
      <c r="A119" s="0" t="n">
        <v>558</v>
      </c>
      <c r="B119" s="0" t="s">
        <v>3758</v>
      </c>
      <c r="C119" s="0" t="s">
        <v>968</v>
      </c>
      <c r="D119" s="3" t="s">
        <v>9309</v>
      </c>
      <c r="E119" s="3" t="s">
        <v>9231</v>
      </c>
      <c r="F119" s="0" t="s">
        <v>9232</v>
      </c>
      <c r="G119" s="0" t="s">
        <v>9310</v>
      </c>
      <c r="H119" s="0" t="s">
        <v>9311</v>
      </c>
      <c r="I119" s="0" t="s">
        <v>9312</v>
      </c>
      <c r="L119" s="0" t="n">
        <v>2026</v>
      </c>
      <c r="M119" s="3" t="s">
        <v>9237</v>
      </c>
      <c r="N119" s="0" t="s">
        <v>9238</v>
      </c>
      <c r="O119" s="0" t="s">
        <v>9283</v>
      </c>
      <c r="P119" s="0" t="s">
        <v>9519</v>
      </c>
    </row>
    <row r="120" customFormat="false" ht="15" hidden="false" customHeight="false" outlineLevel="0" collapsed="false">
      <c r="A120" s="0" t="n">
        <v>559</v>
      </c>
      <c r="B120" s="0" t="s">
        <v>3761</v>
      </c>
      <c r="C120" s="0" t="s">
        <v>829</v>
      </c>
      <c r="D120" s="3" t="s">
        <v>9252</v>
      </c>
      <c r="E120" s="3" t="s">
        <v>9231</v>
      </c>
      <c r="F120" s="0" t="s">
        <v>9232</v>
      </c>
      <c r="G120" s="0" t="s">
        <v>9253</v>
      </c>
      <c r="H120" s="0" t="s">
        <v>9254</v>
      </c>
      <c r="I120" s="0" t="s">
        <v>9255</v>
      </c>
      <c r="J120" s="0" t="s">
        <v>9256</v>
      </c>
      <c r="L120" s="0" t="n">
        <v>2026</v>
      </c>
      <c r="M120" s="3" t="s">
        <v>9237</v>
      </c>
      <c r="N120" s="0" t="s">
        <v>9238</v>
      </c>
      <c r="O120" s="0" t="s">
        <v>9239</v>
      </c>
      <c r="P120" s="0" t="s">
        <v>9257</v>
      </c>
    </row>
    <row r="121" customFormat="false" ht="15" hidden="false" customHeight="false" outlineLevel="0" collapsed="false">
      <c r="A121" s="0" t="n">
        <v>573</v>
      </c>
      <c r="B121" s="0" t="s">
        <v>3844</v>
      </c>
      <c r="C121" s="0" t="s">
        <v>2829</v>
      </c>
      <c r="D121" s="3" t="s">
        <v>9349</v>
      </c>
      <c r="E121" s="3" t="s">
        <v>9231</v>
      </c>
      <c r="F121" s="0" t="s">
        <v>9520</v>
      </c>
      <c r="G121" s="0" t="s">
        <v>9350</v>
      </c>
      <c r="H121" s="0" t="s">
        <v>9351</v>
      </c>
      <c r="J121" s="0" t="s">
        <v>9353</v>
      </c>
      <c r="K121" s="0" t="s">
        <v>9354</v>
      </c>
      <c r="L121" s="0" t="n">
        <v>2026</v>
      </c>
      <c r="M121" s="3" t="s">
        <v>9237</v>
      </c>
      <c r="N121" s="0" t="s">
        <v>9276</v>
      </c>
      <c r="P121" s="0" t="s">
        <v>9521</v>
      </c>
    </row>
    <row r="122" customFormat="false" ht="15" hidden="false" customHeight="false" outlineLevel="0" collapsed="false">
      <c r="A122" s="0" t="n">
        <v>579</v>
      </c>
      <c r="B122" s="0" t="s">
        <v>3892</v>
      </c>
      <c r="C122" s="0" t="s">
        <v>3898</v>
      </c>
      <c r="D122" s="3" t="s">
        <v>9482</v>
      </c>
      <c r="E122" s="3" t="s">
        <v>9231</v>
      </c>
      <c r="F122" s="0" t="s">
        <v>9232</v>
      </c>
      <c r="G122" s="0" t="s">
        <v>9483</v>
      </c>
      <c r="H122" s="0" t="s">
        <v>9484</v>
      </c>
      <c r="J122" s="0" t="s">
        <v>9485</v>
      </c>
      <c r="L122" s="0" t="n">
        <v>2026</v>
      </c>
      <c r="M122" s="3" t="s">
        <v>9237</v>
      </c>
      <c r="N122" s="0" t="s">
        <v>9238</v>
      </c>
      <c r="O122" s="0" t="s">
        <v>9239</v>
      </c>
      <c r="P122" s="0" t="s">
        <v>9522</v>
      </c>
    </row>
    <row r="123" customFormat="false" ht="15" hidden="false" customHeight="false" outlineLevel="0" collapsed="false">
      <c r="A123" s="0" t="n">
        <v>584</v>
      </c>
      <c r="B123" s="0" t="s">
        <v>3924</v>
      </c>
      <c r="C123" s="0" t="s">
        <v>3934</v>
      </c>
      <c r="D123" s="3" t="s">
        <v>9523</v>
      </c>
      <c r="E123" s="3" t="s">
        <v>9231</v>
      </c>
      <c r="F123" s="0" t="s">
        <v>9524</v>
      </c>
      <c r="G123" s="0" t="s">
        <v>9525</v>
      </c>
      <c r="H123" s="0" t="s">
        <v>9526</v>
      </c>
      <c r="J123" s="0" t="s">
        <v>9527</v>
      </c>
      <c r="L123" s="0" t="n">
        <v>2026</v>
      </c>
      <c r="M123" s="3" t="s">
        <v>9237</v>
      </c>
      <c r="N123" s="0" t="s">
        <v>9276</v>
      </c>
      <c r="P123" s="0" t="s">
        <v>9528</v>
      </c>
    </row>
    <row r="124" customFormat="false" ht="15" hidden="false" customHeight="false" outlineLevel="0" collapsed="false">
      <c r="A124" s="0" t="n">
        <v>585</v>
      </c>
      <c r="B124" s="0" t="s">
        <v>3942</v>
      </c>
      <c r="C124" s="0" t="s">
        <v>3952</v>
      </c>
      <c r="D124" s="3" t="s">
        <v>9357</v>
      </c>
      <c r="E124" s="3" t="s">
        <v>9231</v>
      </c>
      <c r="F124" s="0" t="s">
        <v>9529</v>
      </c>
      <c r="G124" s="0" t="s">
        <v>9530</v>
      </c>
      <c r="J124" s="0" t="s">
        <v>9361</v>
      </c>
      <c r="L124" s="0" t="n">
        <v>2026</v>
      </c>
      <c r="M124" s="3" t="s">
        <v>9237</v>
      </c>
      <c r="N124" s="0" t="s">
        <v>9276</v>
      </c>
      <c r="P124" s="0" t="s">
        <v>9531</v>
      </c>
    </row>
    <row r="125" customFormat="false" ht="15" hidden="false" customHeight="false" outlineLevel="0" collapsed="false">
      <c r="A125" s="0" t="n">
        <v>587</v>
      </c>
      <c r="B125" s="0" t="s">
        <v>3969</v>
      </c>
      <c r="C125" s="0" t="s">
        <v>2829</v>
      </c>
      <c r="D125" s="3" t="s">
        <v>9349</v>
      </c>
      <c r="E125" s="3" t="s">
        <v>9231</v>
      </c>
      <c r="F125" s="0" t="s">
        <v>9532</v>
      </c>
      <c r="G125" s="0" t="s">
        <v>9350</v>
      </c>
      <c r="H125" s="0" t="s">
        <v>9351</v>
      </c>
      <c r="J125" s="0" t="s">
        <v>9353</v>
      </c>
      <c r="K125" s="0" t="s">
        <v>9354</v>
      </c>
      <c r="L125" s="0" t="n">
        <v>2026</v>
      </c>
      <c r="M125" s="3" t="s">
        <v>9237</v>
      </c>
      <c r="N125" s="0" t="s">
        <v>9276</v>
      </c>
      <c r="P125" s="0" t="s">
        <v>9533</v>
      </c>
    </row>
    <row r="126" customFormat="false" ht="15" hidden="false" customHeight="false" outlineLevel="0" collapsed="false">
      <c r="A126" s="0" t="n">
        <v>587</v>
      </c>
      <c r="B126" s="0" t="s">
        <v>3969</v>
      </c>
      <c r="C126" s="0" t="s">
        <v>4690</v>
      </c>
      <c r="E126" s="3" t="s">
        <v>9231</v>
      </c>
      <c r="F126" s="0" t="s">
        <v>9534</v>
      </c>
      <c r="G126" s="0" t="s">
        <v>9535</v>
      </c>
      <c r="H126" s="0" t="s">
        <v>9536</v>
      </c>
      <c r="J126" s="0" t="s">
        <v>9537</v>
      </c>
      <c r="L126" s="0" t="n">
        <v>2026</v>
      </c>
      <c r="M126" s="3" t="s">
        <v>9347</v>
      </c>
      <c r="N126" s="0" t="s">
        <v>9276</v>
      </c>
      <c r="P126" s="0" t="s">
        <v>9533</v>
      </c>
    </row>
    <row r="127" customFormat="false" ht="15" hidden="false" customHeight="false" outlineLevel="0" collapsed="false">
      <c r="A127" s="0" t="n">
        <v>587</v>
      </c>
      <c r="B127" s="0" t="s">
        <v>3969</v>
      </c>
      <c r="C127" s="0" t="s">
        <v>9538</v>
      </c>
      <c r="E127" s="3" t="s">
        <v>9231</v>
      </c>
      <c r="F127" s="0" t="s">
        <v>9539</v>
      </c>
      <c r="G127" s="0" t="s">
        <v>9540</v>
      </c>
      <c r="L127" s="0" t="n">
        <v>2026</v>
      </c>
      <c r="M127" s="3" t="s">
        <v>9347</v>
      </c>
      <c r="N127" s="0" t="s">
        <v>9276</v>
      </c>
      <c r="P127" s="0" t="s">
        <v>9541</v>
      </c>
    </row>
    <row r="128" customFormat="false" ht="15" hidden="false" customHeight="false" outlineLevel="0" collapsed="false">
      <c r="A128" s="0" t="n">
        <v>587</v>
      </c>
      <c r="B128" s="0" t="s">
        <v>3969</v>
      </c>
      <c r="C128" s="0" t="s">
        <v>8401</v>
      </c>
      <c r="D128" s="3" t="s">
        <v>9542</v>
      </c>
      <c r="E128" s="3" t="s">
        <v>9231</v>
      </c>
      <c r="F128" s="0" t="s">
        <v>9232</v>
      </c>
      <c r="G128" s="0" t="s">
        <v>9543</v>
      </c>
      <c r="H128" s="0" t="s">
        <v>9544</v>
      </c>
      <c r="I128" s="0" t="s">
        <v>9545</v>
      </c>
      <c r="J128" s="0" t="s">
        <v>9546</v>
      </c>
      <c r="L128" s="0" t="n">
        <v>2026</v>
      </c>
      <c r="M128" s="3" t="s">
        <v>9237</v>
      </c>
      <c r="N128" s="0" t="s">
        <v>9238</v>
      </c>
      <c r="O128" s="0" t="s">
        <v>9283</v>
      </c>
      <c r="P128" s="0" t="s">
        <v>9543</v>
      </c>
    </row>
    <row r="129" customFormat="false" ht="15" hidden="false" customHeight="false" outlineLevel="0" collapsed="false">
      <c r="A129" s="0" t="n">
        <v>589</v>
      </c>
      <c r="B129" s="0" t="s">
        <v>3992</v>
      </c>
      <c r="C129" s="0" t="s">
        <v>3997</v>
      </c>
      <c r="D129" s="3" t="s">
        <v>9547</v>
      </c>
      <c r="E129" s="3" t="s">
        <v>9231</v>
      </c>
      <c r="F129" s="0" t="s">
        <v>9232</v>
      </c>
      <c r="G129" s="0" t="s">
        <v>9548</v>
      </c>
      <c r="H129" s="0" t="s">
        <v>9549</v>
      </c>
      <c r="I129" s="0" t="s">
        <v>9550</v>
      </c>
      <c r="J129" s="0" t="s">
        <v>9551</v>
      </c>
      <c r="L129" s="0" t="n">
        <v>2026</v>
      </c>
      <c r="M129" s="3" t="s">
        <v>9237</v>
      </c>
      <c r="N129" s="0" t="s">
        <v>9238</v>
      </c>
      <c r="O129" s="0" t="s">
        <v>9239</v>
      </c>
      <c r="P129" s="0" t="s">
        <v>9552</v>
      </c>
    </row>
    <row r="130" customFormat="false" ht="15" hidden="false" customHeight="false" outlineLevel="0" collapsed="false">
      <c r="A130" s="0" t="n">
        <v>590</v>
      </c>
      <c r="B130" s="0" t="s">
        <v>4000</v>
      </c>
      <c r="C130" s="0" t="s">
        <v>2320</v>
      </c>
      <c r="D130" s="3" t="s">
        <v>9460</v>
      </c>
      <c r="E130" s="3" t="s">
        <v>9231</v>
      </c>
      <c r="F130" s="0" t="s">
        <v>9553</v>
      </c>
      <c r="G130" s="0" t="s">
        <v>9462</v>
      </c>
      <c r="H130" s="0" t="s">
        <v>9463</v>
      </c>
      <c r="I130" s="0" t="s">
        <v>9464</v>
      </c>
      <c r="J130" s="0" t="s">
        <v>9465</v>
      </c>
      <c r="K130" s="0" t="s">
        <v>9466</v>
      </c>
      <c r="L130" s="0" t="n">
        <v>2026</v>
      </c>
      <c r="M130" s="3" t="s">
        <v>9237</v>
      </c>
      <c r="N130" s="0" t="s">
        <v>9276</v>
      </c>
      <c r="P130" s="0" t="s">
        <v>9554</v>
      </c>
    </row>
    <row r="131" customFormat="false" ht="15" hidden="false" customHeight="false" outlineLevel="0" collapsed="false">
      <c r="A131" s="0" t="n">
        <v>590</v>
      </c>
      <c r="B131" s="0" t="s">
        <v>4000</v>
      </c>
      <c r="C131" s="0" t="s">
        <v>9555</v>
      </c>
      <c r="E131" s="3" t="s">
        <v>9231</v>
      </c>
      <c r="F131" s="0" t="s">
        <v>9556</v>
      </c>
      <c r="G131" s="0" t="s">
        <v>9557</v>
      </c>
      <c r="H131" s="0" t="s">
        <v>9558</v>
      </c>
      <c r="J131" s="0" t="s">
        <v>9559</v>
      </c>
      <c r="M131" s="3" t="s">
        <v>9226</v>
      </c>
      <c r="N131" s="0" t="s">
        <v>9276</v>
      </c>
      <c r="P131" s="0" t="s">
        <v>9560</v>
      </c>
    </row>
    <row r="132" customFormat="false" ht="15" hidden="false" customHeight="false" outlineLevel="0" collapsed="false">
      <c r="A132" s="0" t="n">
        <v>590</v>
      </c>
      <c r="B132" s="0" t="s">
        <v>4000</v>
      </c>
      <c r="C132" s="0" t="s">
        <v>9561</v>
      </c>
      <c r="E132" s="3" t="s">
        <v>9231</v>
      </c>
      <c r="F132" s="0" t="s">
        <v>9562</v>
      </c>
      <c r="G132" s="0" t="s">
        <v>9563</v>
      </c>
      <c r="M132" s="3" t="s">
        <v>9226</v>
      </c>
      <c r="N132" s="0" t="s">
        <v>9276</v>
      </c>
      <c r="P132" s="0" t="s">
        <v>9564</v>
      </c>
    </row>
    <row r="133" customFormat="false" ht="15" hidden="false" customHeight="false" outlineLevel="0" collapsed="false">
      <c r="A133" s="0" t="n">
        <v>590</v>
      </c>
      <c r="B133" s="0" t="s">
        <v>4000</v>
      </c>
      <c r="C133" s="0" t="s">
        <v>9565</v>
      </c>
      <c r="D133" s="3" t="s">
        <v>9566</v>
      </c>
      <c r="E133" s="3" t="s">
        <v>9231</v>
      </c>
      <c r="F133" s="0" t="s">
        <v>9567</v>
      </c>
      <c r="G133" s="0" t="s">
        <v>9568</v>
      </c>
      <c r="H133" s="0" t="s">
        <v>9569</v>
      </c>
      <c r="J133" s="0" t="s">
        <v>9570</v>
      </c>
      <c r="K133" s="0" t="s">
        <v>9571</v>
      </c>
      <c r="L133" s="0" t="n">
        <v>2026</v>
      </c>
      <c r="M133" s="3" t="s">
        <v>9347</v>
      </c>
      <c r="N133" s="0" t="s">
        <v>9276</v>
      </c>
      <c r="P133" s="0" t="s">
        <v>9572</v>
      </c>
    </row>
    <row r="134" customFormat="false" ht="15" hidden="false" customHeight="false" outlineLevel="0" collapsed="false">
      <c r="A134" s="0" t="n">
        <v>593</v>
      </c>
      <c r="B134" s="0" t="s">
        <v>4033</v>
      </c>
      <c r="C134" s="0" t="s">
        <v>3385</v>
      </c>
      <c r="D134" s="3" t="s">
        <v>9409</v>
      </c>
      <c r="E134" s="3" t="s">
        <v>9231</v>
      </c>
      <c r="F134" s="0" t="s">
        <v>9232</v>
      </c>
      <c r="G134" s="0" t="s">
        <v>9504</v>
      </c>
      <c r="L134" s="0" t="n">
        <v>2026</v>
      </c>
      <c r="M134" s="3" t="s">
        <v>9237</v>
      </c>
      <c r="N134" s="0" t="s">
        <v>9238</v>
      </c>
      <c r="O134" s="0" t="s">
        <v>9239</v>
      </c>
      <c r="P134" s="0" t="s">
        <v>9505</v>
      </c>
    </row>
    <row r="135" customFormat="false" ht="15" hidden="false" customHeight="false" outlineLevel="0" collapsed="false">
      <c r="A135" s="0" t="n">
        <v>597</v>
      </c>
      <c r="B135" s="0" t="s">
        <v>4069</v>
      </c>
      <c r="C135" s="0" t="s">
        <v>1331</v>
      </c>
      <c r="D135" s="3" t="s">
        <v>9363</v>
      </c>
      <c r="E135" s="3" t="s">
        <v>9231</v>
      </c>
      <c r="F135" s="0" t="s">
        <v>9573</v>
      </c>
      <c r="G135" s="0" t="s">
        <v>9365</v>
      </c>
      <c r="H135" s="0" t="s">
        <v>9366</v>
      </c>
      <c r="I135" s="0" t="s">
        <v>9367</v>
      </c>
      <c r="J135" s="0" t="s">
        <v>9368</v>
      </c>
      <c r="K135" s="0" t="s">
        <v>9369</v>
      </c>
      <c r="L135" s="0" t="n">
        <v>2026</v>
      </c>
      <c r="M135" s="3" t="s">
        <v>9237</v>
      </c>
      <c r="N135" s="0" t="s">
        <v>9276</v>
      </c>
      <c r="P135" s="0" t="s">
        <v>9574</v>
      </c>
    </row>
    <row r="136" customFormat="false" ht="15" hidden="false" customHeight="false" outlineLevel="0" collapsed="false">
      <c r="A136" s="0" t="n">
        <v>598</v>
      </c>
      <c r="B136" s="0" t="s">
        <v>4089</v>
      </c>
      <c r="C136" s="0" t="s">
        <v>4094</v>
      </c>
      <c r="D136" s="3" t="s">
        <v>9278</v>
      </c>
      <c r="E136" s="3" t="s">
        <v>9231</v>
      </c>
      <c r="F136" s="0" t="s">
        <v>9232</v>
      </c>
      <c r="G136" s="0" t="s">
        <v>9279</v>
      </c>
      <c r="H136" s="0" t="s">
        <v>9280</v>
      </c>
      <c r="I136" s="0" t="s">
        <v>9281</v>
      </c>
      <c r="J136" s="0" t="s">
        <v>9282</v>
      </c>
      <c r="L136" s="0" t="n">
        <v>2026</v>
      </c>
      <c r="M136" s="3" t="s">
        <v>9237</v>
      </c>
      <c r="N136" s="0" t="s">
        <v>9238</v>
      </c>
      <c r="O136" s="0" t="s">
        <v>9239</v>
      </c>
      <c r="P136" s="0" t="s">
        <v>9284</v>
      </c>
    </row>
    <row r="137" customFormat="false" ht="15" hidden="false" customHeight="false" outlineLevel="0" collapsed="false">
      <c r="A137" s="0" t="n">
        <v>603</v>
      </c>
      <c r="B137" s="0" t="s">
        <v>4118</v>
      </c>
      <c r="C137" s="0" t="s">
        <v>425</v>
      </c>
      <c r="D137" s="3" t="s">
        <v>9270</v>
      </c>
      <c r="E137" s="3" t="s">
        <v>9231</v>
      </c>
      <c r="F137" s="0" t="s">
        <v>9575</v>
      </c>
      <c r="G137" s="0" t="s">
        <v>9272</v>
      </c>
      <c r="H137" s="0" t="s">
        <v>9273</v>
      </c>
      <c r="I137" s="0" t="s">
        <v>9274</v>
      </c>
      <c r="J137" s="0" t="s">
        <v>9275</v>
      </c>
      <c r="L137" s="0" t="n">
        <v>2026</v>
      </c>
      <c r="M137" s="3" t="s">
        <v>9237</v>
      </c>
      <c r="N137" s="0" t="s">
        <v>9276</v>
      </c>
      <c r="P137" s="0" t="s">
        <v>4131</v>
      </c>
    </row>
    <row r="138" customFormat="false" ht="15" hidden="false" customHeight="false" outlineLevel="0" collapsed="false">
      <c r="A138" s="0" t="n">
        <v>604</v>
      </c>
      <c r="B138" s="0" t="s">
        <v>4134</v>
      </c>
      <c r="C138" s="0" t="s">
        <v>425</v>
      </c>
      <c r="D138" s="3" t="s">
        <v>9270</v>
      </c>
      <c r="E138" s="3" t="s">
        <v>9231</v>
      </c>
      <c r="F138" s="0" t="s">
        <v>9575</v>
      </c>
      <c r="G138" s="0" t="s">
        <v>9272</v>
      </c>
      <c r="H138" s="0" t="s">
        <v>9273</v>
      </c>
      <c r="I138" s="0" t="s">
        <v>9274</v>
      </c>
      <c r="J138" s="0" t="s">
        <v>9275</v>
      </c>
      <c r="L138" s="0" t="n">
        <v>2026</v>
      </c>
      <c r="M138" s="3" t="s">
        <v>9237</v>
      </c>
      <c r="N138" s="0" t="s">
        <v>9276</v>
      </c>
      <c r="P138" s="0" t="s">
        <v>4131</v>
      </c>
    </row>
    <row r="139" customFormat="false" ht="15" hidden="false" customHeight="false" outlineLevel="0" collapsed="false">
      <c r="A139" s="0" t="n">
        <v>626</v>
      </c>
      <c r="B139" s="0" t="s">
        <v>4270</v>
      </c>
      <c r="C139" s="0" t="s">
        <v>1765</v>
      </c>
      <c r="D139" s="3" t="s">
        <v>9576</v>
      </c>
      <c r="E139" s="3" t="s">
        <v>9231</v>
      </c>
      <c r="F139" s="0" t="s">
        <v>9577</v>
      </c>
      <c r="G139" s="0" t="s">
        <v>9429</v>
      </c>
      <c r="H139" s="0" t="s">
        <v>9430</v>
      </c>
      <c r="J139" s="0" t="s">
        <v>9432</v>
      </c>
      <c r="L139" s="0" t="n">
        <v>2026</v>
      </c>
      <c r="M139" s="3" t="s">
        <v>9237</v>
      </c>
      <c r="N139" s="0" t="s">
        <v>9276</v>
      </c>
      <c r="P139" s="0" t="s">
        <v>9578</v>
      </c>
    </row>
    <row r="140" customFormat="false" ht="15" hidden="false" customHeight="false" outlineLevel="0" collapsed="false">
      <c r="A140" s="0" t="n">
        <v>626</v>
      </c>
      <c r="B140" s="0" t="s">
        <v>4270</v>
      </c>
      <c r="C140" s="0" t="s">
        <v>9579</v>
      </c>
      <c r="E140" s="3" t="s">
        <v>9231</v>
      </c>
      <c r="F140" s="0" t="s">
        <v>9580</v>
      </c>
      <c r="G140" s="0" t="s">
        <v>9581</v>
      </c>
      <c r="M140" s="3" t="s">
        <v>9226</v>
      </c>
      <c r="N140" s="0" t="s">
        <v>9276</v>
      </c>
      <c r="P140" s="0" t="s">
        <v>9582</v>
      </c>
    </row>
    <row r="141" customFormat="false" ht="15" hidden="false" customHeight="false" outlineLevel="0" collapsed="false">
      <c r="A141" s="0" t="n">
        <v>647</v>
      </c>
      <c r="B141" s="0" t="s">
        <v>4391</v>
      </c>
      <c r="C141" s="0" t="s">
        <v>2320</v>
      </c>
      <c r="D141" s="3" t="s">
        <v>9460</v>
      </c>
      <c r="E141" s="3" t="s">
        <v>9231</v>
      </c>
      <c r="F141" s="0" t="s">
        <v>9583</v>
      </c>
      <c r="G141" s="0" t="s">
        <v>9462</v>
      </c>
      <c r="H141" s="0" t="s">
        <v>9463</v>
      </c>
      <c r="I141" s="0" t="s">
        <v>9464</v>
      </c>
      <c r="J141" s="0" t="s">
        <v>9465</v>
      </c>
      <c r="K141" s="0" t="s">
        <v>9466</v>
      </c>
      <c r="L141" s="0" t="n">
        <v>2026</v>
      </c>
      <c r="M141" s="3" t="s">
        <v>9237</v>
      </c>
      <c r="N141" s="0" t="s">
        <v>9276</v>
      </c>
      <c r="P141" s="0" t="s">
        <v>9584</v>
      </c>
    </row>
    <row r="142" customFormat="false" ht="15" hidden="false" customHeight="false" outlineLevel="0" collapsed="false">
      <c r="A142" s="0" t="n">
        <v>647</v>
      </c>
      <c r="B142" s="0" t="s">
        <v>4391</v>
      </c>
      <c r="C142" s="0" t="s">
        <v>1331</v>
      </c>
      <c r="D142" s="3" t="s">
        <v>9585</v>
      </c>
      <c r="E142" s="3" t="s">
        <v>9231</v>
      </c>
      <c r="F142" s="0" t="s">
        <v>9586</v>
      </c>
      <c r="G142" s="0" t="s">
        <v>9365</v>
      </c>
      <c r="H142" s="0" t="s">
        <v>9366</v>
      </c>
      <c r="I142" s="0" t="s">
        <v>9367</v>
      </c>
      <c r="J142" s="0" t="s">
        <v>9368</v>
      </c>
      <c r="K142" s="0" t="s">
        <v>9369</v>
      </c>
      <c r="M142" s="3" t="s">
        <v>9226</v>
      </c>
      <c r="N142" s="0" t="s">
        <v>9276</v>
      </c>
      <c r="P142" s="0" t="s">
        <v>9587</v>
      </c>
    </row>
    <row r="143" customFormat="false" ht="15" hidden="false" customHeight="false" outlineLevel="0" collapsed="false">
      <c r="A143" s="0" t="n">
        <v>647</v>
      </c>
      <c r="B143" s="0" t="s">
        <v>4391</v>
      </c>
      <c r="C143" s="0" t="s">
        <v>1765</v>
      </c>
      <c r="D143" s="3" t="s">
        <v>9428</v>
      </c>
      <c r="E143" s="3" t="s">
        <v>9231</v>
      </c>
      <c r="F143" s="0" t="s">
        <v>9232</v>
      </c>
      <c r="G143" s="0" t="s">
        <v>9429</v>
      </c>
      <c r="H143" s="0" t="s">
        <v>9430</v>
      </c>
      <c r="I143" s="0" t="s">
        <v>9431</v>
      </c>
      <c r="J143" s="0" t="s">
        <v>9432</v>
      </c>
      <c r="L143" s="0" t="n">
        <v>2026</v>
      </c>
      <c r="M143" s="3" t="s">
        <v>9237</v>
      </c>
      <c r="N143" s="0" t="s">
        <v>9238</v>
      </c>
      <c r="O143" s="0" t="s">
        <v>9239</v>
      </c>
      <c r="P143" s="0" t="s">
        <v>9588</v>
      </c>
    </row>
    <row r="144" customFormat="false" ht="15" hidden="false" customHeight="false" outlineLevel="0" collapsed="false">
      <c r="A144" s="0" t="n">
        <v>648</v>
      </c>
      <c r="B144" s="0" t="s">
        <v>4407</v>
      </c>
      <c r="C144" s="0" t="s">
        <v>2320</v>
      </c>
      <c r="D144" s="3" t="s">
        <v>9460</v>
      </c>
      <c r="E144" s="3" t="s">
        <v>9231</v>
      </c>
      <c r="F144" s="0" t="s">
        <v>9583</v>
      </c>
      <c r="G144" s="0" t="s">
        <v>9462</v>
      </c>
      <c r="H144" s="0" t="s">
        <v>9463</v>
      </c>
      <c r="I144" s="0" t="s">
        <v>9464</v>
      </c>
      <c r="J144" s="0" t="s">
        <v>9465</v>
      </c>
      <c r="K144" s="0" t="s">
        <v>9466</v>
      </c>
      <c r="L144" s="0" t="n">
        <v>2026</v>
      </c>
      <c r="M144" s="3" t="s">
        <v>9237</v>
      </c>
      <c r="N144" s="0" t="s">
        <v>9276</v>
      </c>
      <c r="P144" s="0" t="s">
        <v>9584</v>
      </c>
    </row>
    <row r="145" customFormat="false" ht="15" hidden="false" customHeight="false" outlineLevel="0" collapsed="false">
      <c r="A145" s="0" t="n">
        <v>648</v>
      </c>
      <c r="B145" s="0" t="s">
        <v>4407</v>
      </c>
      <c r="C145" s="0" t="s">
        <v>1331</v>
      </c>
      <c r="D145" s="3" t="s">
        <v>9585</v>
      </c>
      <c r="E145" s="3" t="s">
        <v>9231</v>
      </c>
      <c r="F145" s="0" t="s">
        <v>9586</v>
      </c>
      <c r="G145" s="0" t="s">
        <v>9365</v>
      </c>
      <c r="H145" s="0" t="s">
        <v>9366</v>
      </c>
      <c r="I145" s="0" t="s">
        <v>9367</v>
      </c>
      <c r="J145" s="0" t="s">
        <v>9368</v>
      </c>
      <c r="K145" s="0" t="s">
        <v>9369</v>
      </c>
      <c r="M145" s="3" t="s">
        <v>9226</v>
      </c>
      <c r="N145" s="0" t="s">
        <v>9276</v>
      </c>
      <c r="P145" s="0" t="s">
        <v>9587</v>
      </c>
    </row>
    <row r="146" customFormat="false" ht="15" hidden="false" customHeight="false" outlineLevel="0" collapsed="false">
      <c r="A146" s="0" t="n">
        <v>666</v>
      </c>
      <c r="B146" s="0" t="s">
        <v>4506</v>
      </c>
      <c r="C146" s="0" t="s">
        <v>3385</v>
      </c>
      <c r="D146" s="3" t="s">
        <v>9409</v>
      </c>
      <c r="E146" s="3" t="s">
        <v>9231</v>
      </c>
      <c r="F146" s="0" t="s">
        <v>9232</v>
      </c>
      <c r="G146" s="0" t="s">
        <v>9504</v>
      </c>
      <c r="L146" s="0" t="n">
        <v>2026</v>
      </c>
      <c r="M146" s="3" t="s">
        <v>9237</v>
      </c>
      <c r="N146" s="0" t="s">
        <v>9238</v>
      </c>
      <c r="O146" s="0" t="s">
        <v>9239</v>
      </c>
      <c r="P146" s="0" t="s">
        <v>9505</v>
      </c>
    </row>
    <row r="147" customFormat="false" ht="15" hidden="false" customHeight="false" outlineLevel="0" collapsed="false">
      <c r="A147" s="0" t="n">
        <v>669</v>
      </c>
      <c r="B147" s="0" t="s">
        <v>4525</v>
      </c>
      <c r="C147" s="0" t="s">
        <v>4533</v>
      </c>
      <c r="E147" s="3" t="s">
        <v>9231</v>
      </c>
      <c r="F147" s="0" t="s">
        <v>9589</v>
      </c>
      <c r="G147" s="0" t="s">
        <v>9462</v>
      </c>
      <c r="H147" s="0" t="s">
        <v>9463</v>
      </c>
      <c r="I147" s="0" t="s">
        <v>9464</v>
      </c>
      <c r="J147" s="0" t="s">
        <v>9465</v>
      </c>
      <c r="K147" s="0" t="s">
        <v>9466</v>
      </c>
      <c r="L147" s="0" t="n">
        <v>2026</v>
      </c>
      <c r="M147" s="3" t="s">
        <v>9237</v>
      </c>
      <c r="N147" s="0" t="s">
        <v>9276</v>
      </c>
      <c r="P147" s="0" t="s">
        <v>9590</v>
      </c>
    </row>
    <row r="148" customFormat="false" ht="15" hidden="false" customHeight="false" outlineLevel="0" collapsed="false">
      <c r="A148" s="0" t="n">
        <v>670</v>
      </c>
      <c r="B148" s="0" t="s">
        <v>4541</v>
      </c>
      <c r="C148" s="0" t="s">
        <v>4533</v>
      </c>
      <c r="E148" s="3" t="s">
        <v>9231</v>
      </c>
      <c r="F148" s="0" t="s">
        <v>9589</v>
      </c>
      <c r="G148" s="0" t="s">
        <v>9462</v>
      </c>
      <c r="H148" s="0" t="s">
        <v>9463</v>
      </c>
      <c r="I148" s="0" t="s">
        <v>9464</v>
      </c>
      <c r="J148" s="0" t="s">
        <v>9465</v>
      </c>
      <c r="K148" s="0" t="s">
        <v>9466</v>
      </c>
      <c r="L148" s="0" t="n">
        <v>2026</v>
      </c>
      <c r="M148" s="3" t="s">
        <v>9237</v>
      </c>
      <c r="N148" s="0" t="s">
        <v>9276</v>
      </c>
      <c r="P148" s="0" t="s">
        <v>9590</v>
      </c>
    </row>
    <row r="149" customFormat="false" ht="15" hidden="false" customHeight="false" outlineLevel="0" collapsed="false">
      <c r="A149" s="0" t="n">
        <v>679</v>
      </c>
      <c r="B149" s="0" t="s">
        <v>4599</v>
      </c>
      <c r="C149" s="0" t="s">
        <v>4094</v>
      </c>
      <c r="D149" s="3" t="s">
        <v>9278</v>
      </c>
      <c r="E149" s="3" t="s">
        <v>9231</v>
      </c>
      <c r="F149" s="0" t="s">
        <v>9232</v>
      </c>
      <c r="G149" s="0" t="s">
        <v>9279</v>
      </c>
      <c r="H149" s="0" t="s">
        <v>9280</v>
      </c>
      <c r="I149" s="0" t="s">
        <v>9281</v>
      </c>
      <c r="J149" s="0" t="s">
        <v>9282</v>
      </c>
      <c r="L149" s="0" t="n">
        <v>2026</v>
      </c>
      <c r="M149" s="3" t="s">
        <v>9237</v>
      </c>
      <c r="N149" s="0" t="s">
        <v>9238</v>
      </c>
      <c r="O149" s="0" t="s">
        <v>9239</v>
      </c>
      <c r="P149" s="0" t="s">
        <v>9284</v>
      </c>
    </row>
    <row r="150" customFormat="false" ht="15" hidden="false" customHeight="false" outlineLevel="0" collapsed="false">
      <c r="A150" s="0" t="n">
        <v>689</v>
      </c>
      <c r="B150" s="0" t="s">
        <v>4663</v>
      </c>
      <c r="C150" s="0" t="s">
        <v>4669</v>
      </c>
      <c r="D150" s="3" t="s">
        <v>9252</v>
      </c>
      <c r="E150" s="3" t="s">
        <v>9231</v>
      </c>
      <c r="F150" s="0" t="s">
        <v>9591</v>
      </c>
      <c r="G150" s="0" t="s">
        <v>9407</v>
      </c>
      <c r="L150" s="0" t="n">
        <v>2026</v>
      </c>
      <c r="M150" s="3" t="s">
        <v>9237</v>
      </c>
      <c r="N150" s="0" t="s">
        <v>9227</v>
      </c>
      <c r="P150" s="0" t="s">
        <v>9592</v>
      </c>
    </row>
    <row r="151" customFormat="false" ht="15" hidden="false" customHeight="false" outlineLevel="0" collapsed="false">
      <c r="A151" s="0" t="n">
        <v>692</v>
      </c>
      <c r="B151" s="0" t="s">
        <v>4681</v>
      </c>
      <c r="C151" s="0" t="s">
        <v>4690</v>
      </c>
      <c r="E151" s="3" t="s">
        <v>9231</v>
      </c>
      <c r="F151" s="0" t="s">
        <v>9593</v>
      </c>
      <c r="G151" s="0" t="s">
        <v>9535</v>
      </c>
      <c r="H151" s="0" t="s">
        <v>9536</v>
      </c>
      <c r="J151" s="0" t="s">
        <v>9537</v>
      </c>
      <c r="L151" s="0" t="n">
        <v>2026</v>
      </c>
      <c r="M151" s="3" t="s">
        <v>9237</v>
      </c>
      <c r="N151" s="0" t="s">
        <v>9276</v>
      </c>
      <c r="P151" s="0" t="s">
        <v>9594</v>
      </c>
    </row>
    <row r="152" customFormat="false" ht="15" hidden="false" customHeight="false" outlineLevel="0" collapsed="false">
      <c r="A152" s="0" t="n">
        <v>695</v>
      </c>
      <c r="B152" s="0" t="s">
        <v>4716</v>
      </c>
      <c r="C152" s="0" t="s">
        <v>2320</v>
      </c>
      <c r="D152" s="3" t="s">
        <v>9460</v>
      </c>
      <c r="E152" s="3" t="s">
        <v>9231</v>
      </c>
      <c r="F152" s="0" t="s">
        <v>9461</v>
      </c>
      <c r="G152" s="0" t="s">
        <v>9462</v>
      </c>
      <c r="H152" s="0" t="s">
        <v>9463</v>
      </c>
      <c r="I152" s="0" t="s">
        <v>9464</v>
      </c>
      <c r="J152" s="0" t="s">
        <v>9465</v>
      </c>
      <c r="K152" s="0" t="s">
        <v>9466</v>
      </c>
      <c r="L152" s="0" t="n">
        <v>2026</v>
      </c>
      <c r="M152" s="3" t="s">
        <v>9237</v>
      </c>
      <c r="N152" s="0" t="s">
        <v>9276</v>
      </c>
      <c r="P152" s="0" t="s">
        <v>9467</v>
      </c>
    </row>
    <row r="153" customFormat="false" ht="15" hidden="false" customHeight="false" outlineLevel="0" collapsed="false">
      <c r="A153" s="0" t="n">
        <v>696</v>
      </c>
      <c r="B153" s="0" t="s">
        <v>4720</v>
      </c>
      <c r="C153" s="0" t="s">
        <v>1545</v>
      </c>
      <c r="D153" s="3" t="s">
        <v>9393</v>
      </c>
      <c r="E153" s="3" t="s">
        <v>9231</v>
      </c>
      <c r="F153" s="0" t="s">
        <v>9595</v>
      </c>
      <c r="G153" s="0" t="s">
        <v>9596</v>
      </c>
      <c r="H153" s="0" t="s">
        <v>9396</v>
      </c>
      <c r="I153" s="0" t="s">
        <v>9397</v>
      </c>
      <c r="J153" s="0" t="s">
        <v>9398</v>
      </c>
      <c r="L153" s="0" t="n">
        <v>2026</v>
      </c>
      <c r="M153" s="3" t="s">
        <v>9237</v>
      </c>
      <c r="N153" s="0" t="s">
        <v>9276</v>
      </c>
      <c r="P153" s="0" t="s">
        <v>9597</v>
      </c>
    </row>
    <row r="154" customFormat="false" ht="15" hidden="false" customHeight="false" outlineLevel="0" collapsed="false">
      <c r="A154" s="0" t="n">
        <v>700</v>
      </c>
      <c r="B154" s="0" t="s">
        <v>4752</v>
      </c>
      <c r="C154" s="0" t="s">
        <v>1331</v>
      </c>
      <c r="D154" s="3" t="s">
        <v>9363</v>
      </c>
      <c r="E154" s="3" t="s">
        <v>9231</v>
      </c>
      <c r="F154" s="0" t="s">
        <v>9598</v>
      </c>
      <c r="G154" s="0" t="s">
        <v>9365</v>
      </c>
      <c r="H154" s="0" t="s">
        <v>9366</v>
      </c>
      <c r="I154" s="0" t="s">
        <v>9367</v>
      </c>
      <c r="J154" s="0" t="s">
        <v>9368</v>
      </c>
      <c r="K154" s="0" t="s">
        <v>9369</v>
      </c>
      <c r="L154" s="0" t="n">
        <v>2026</v>
      </c>
      <c r="M154" s="3" t="s">
        <v>9237</v>
      </c>
      <c r="N154" s="0" t="s">
        <v>9276</v>
      </c>
      <c r="P154" s="0" t="s">
        <v>9574</v>
      </c>
    </row>
    <row r="155" customFormat="false" ht="15" hidden="false" customHeight="false" outlineLevel="0" collapsed="false">
      <c r="A155" s="0" t="n">
        <v>720</v>
      </c>
      <c r="B155" s="0" t="s">
        <v>4885</v>
      </c>
      <c r="C155" s="0" t="s">
        <v>2829</v>
      </c>
      <c r="D155" s="3" t="s">
        <v>9349</v>
      </c>
      <c r="E155" s="3" t="s">
        <v>9231</v>
      </c>
      <c r="F155" s="0" t="s">
        <v>9490</v>
      </c>
      <c r="G155" s="0" t="s">
        <v>9350</v>
      </c>
      <c r="H155" s="0" t="s">
        <v>9351</v>
      </c>
      <c r="J155" s="0" t="s">
        <v>9353</v>
      </c>
      <c r="K155" s="0" t="s">
        <v>9354</v>
      </c>
      <c r="L155" s="0" t="n">
        <v>2026</v>
      </c>
      <c r="M155" s="3" t="s">
        <v>9237</v>
      </c>
      <c r="N155" s="0" t="s">
        <v>9276</v>
      </c>
      <c r="P155" s="0" t="s">
        <v>9491</v>
      </c>
    </row>
    <row r="156" customFormat="false" ht="15" hidden="false" customHeight="false" outlineLevel="0" collapsed="false">
      <c r="A156" s="0" t="n">
        <v>720</v>
      </c>
      <c r="B156" s="0" t="s">
        <v>4885</v>
      </c>
      <c r="C156" s="0" t="s">
        <v>2751</v>
      </c>
      <c r="D156" s="0" t="s">
        <v>9453</v>
      </c>
      <c r="E156" s="3" t="s">
        <v>9231</v>
      </c>
      <c r="F156" s="0" t="s">
        <v>9232</v>
      </c>
      <c r="G156" s="0" t="s">
        <v>9454</v>
      </c>
      <c r="H156" s="0" t="s">
        <v>9455</v>
      </c>
      <c r="I156" s="0" t="s">
        <v>9456</v>
      </c>
      <c r="J156" s="0" t="s">
        <v>9457</v>
      </c>
      <c r="K156" s="0" t="s">
        <v>9458</v>
      </c>
      <c r="L156" s="0" t="n">
        <v>2026</v>
      </c>
      <c r="M156" s="3" t="s">
        <v>9237</v>
      </c>
      <c r="N156" s="0" t="s">
        <v>9238</v>
      </c>
      <c r="O156" s="0" t="s">
        <v>9283</v>
      </c>
      <c r="P156" s="0" t="s">
        <v>9459</v>
      </c>
    </row>
    <row r="157" customFormat="false" ht="15" hidden="false" customHeight="false" outlineLevel="0" collapsed="false">
      <c r="A157" s="0" t="n">
        <v>722</v>
      </c>
      <c r="B157" s="0" t="s">
        <v>4899</v>
      </c>
      <c r="C157" s="0" t="s">
        <v>3060</v>
      </c>
      <c r="D157" s="3" t="s">
        <v>9363</v>
      </c>
      <c r="E157" s="3" t="s">
        <v>9231</v>
      </c>
      <c r="F157" s="0" t="s">
        <v>9232</v>
      </c>
      <c r="G157" s="0" t="s">
        <v>9365</v>
      </c>
      <c r="H157" s="0" t="s">
        <v>9366</v>
      </c>
      <c r="I157" s="0" t="s">
        <v>9367</v>
      </c>
      <c r="J157" s="0" t="s">
        <v>9368</v>
      </c>
      <c r="K157" s="0" t="s">
        <v>9369</v>
      </c>
      <c r="L157" s="0" t="n">
        <v>2026</v>
      </c>
      <c r="M157" s="3" t="s">
        <v>9237</v>
      </c>
      <c r="N157" s="0" t="s">
        <v>9238</v>
      </c>
      <c r="O157" s="0" t="s">
        <v>9239</v>
      </c>
      <c r="P157" s="0" t="s">
        <v>9497</v>
      </c>
    </row>
    <row r="158" customFormat="false" ht="15" hidden="false" customHeight="false" outlineLevel="0" collapsed="false">
      <c r="A158" s="0" t="n">
        <v>727</v>
      </c>
      <c r="B158" s="0" t="s">
        <v>4935</v>
      </c>
      <c r="C158" s="0" t="s">
        <v>1530</v>
      </c>
      <c r="D158" s="3" t="s">
        <v>9387</v>
      </c>
      <c r="E158" s="3" t="s">
        <v>9231</v>
      </c>
      <c r="F158" s="0" t="s">
        <v>9232</v>
      </c>
      <c r="G158" s="0" t="s">
        <v>9388</v>
      </c>
      <c r="H158" s="0" t="s">
        <v>9389</v>
      </c>
      <c r="I158" s="0" t="s">
        <v>9390</v>
      </c>
      <c r="J158" s="0" t="s">
        <v>9391</v>
      </c>
      <c r="L158" s="0" t="n">
        <v>2026</v>
      </c>
      <c r="M158" s="3" t="s">
        <v>9237</v>
      </c>
      <c r="N158" s="0" t="s">
        <v>9238</v>
      </c>
      <c r="O158" s="0" t="s">
        <v>9239</v>
      </c>
      <c r="P158" s="0" t="s">
        <v>9392</v>
      </c>
    </row>
    <row r="159" customFormat="false" ht="15" hidden="false" customHeight="false" outlineLevel="0" collapsed="false">
      <c r="A159" s="0" t="n">
        <v>739</v>
      </c>
      <c r="B159" s="0" t="s">
        <v>5012</v>
      </c>
      <c r="C159" s="0" t="s">
        <v>1331</v>
      </c>
      <c r="D159" s="3" t="s">
        <v>9363</v>
      </c>
      <c r="E159" s="3" t="s">
        <v>9231</v>
      </c>
      <c r="F159" s="0" t="s">
        <v>9599</v>
      </c>
      <c r="G159" s="0" t="s">
        <v>9365</v>
      </c>
      <c r="H159" s="0" t="s">
        <v>9366</v>
      </c>
      <c r="I159" s="0" t="s">
        <v>9367</v>
      </c>
      <c r="J159" s="0" t="s">
        <v>9368</v>
      </c>
      <c r="K159" s="0" t="s">
        <v>9369</v>
      </c>
      <c r="L159" s="0" t="n">
        <v>2026</v>
      </c>
      <c r="M159" s="3" t="s">
        <v>9237</v>
      </c>
      <c r="N159" s="0" t="s">
        <v>9276</v>
      </c>
      <c r="P159" s="0" t="s">
        <v>9574</v>
      </c>
    </row>
    <row r="160" customFormat="false" ht="15" hidden="false" customHeight="false" outlineLevel="0" collapsed="false">
      <c r="A160" s="0" t="n">
        <v>742</v>
      </c>
      <c r="B160" s="0" t="s">
        <v>5035</v>
      </c>
      <c r="C160" s="0" t="s">
        <v>2720</v>
      </c>
      <c r="D160" s="3" t="s">
        <v>9447</v>
      </c>
      <c r="E160" s="3" t="s">
        <v>9231</v>
      </c>
      <c r="F160" s="0" t="s">
        <v>9232</v>
      </c>
      <c r="G160" s="0" t="s">
        <v>9448</v>
      </c>
      <c r="H160" s="0" t="s">
        <v>9449</v>
      </c>
      <c r="I160" s="0" t="s">
        <v>9450</v>
      </c>
      <c r="J160" s="0" t="s">
        <v>9451</v>
      </c>
      <c r="L160" s="0" t="n">
        <v>2026</v>
      </c>
      <c r="M160" s="3" t="s">
        <v>9237</v>
      </c>
      <c r="N160" s="0" t="s">
        <v>9238</v>
      </c>
      <c r="O160" s="0" t="s">
        <v>9239</v>
      </c>
      <c r="P160" s="0" t="s">
        <v>9487</v>
      </c>
    </row>
    <row r="161" customFormat="false" ht="15" hidden="false" customHeight="false" outlineLevel="0" collapsed="false">
      <c r="A161" s="0" t="n">
        <v>751</v>
      </c>
      <c r="B161" s="0" t="s">
        <v>5103</v>
      </c>
      <c r="C161" s="0" t="s">
        <v>2320</v>
      </c>
      <c r="D161" s="3" t="s">
        <v>9460</v>
      </c>
      <c r="E161" s="3" t="s">
        <v>9231</v>
      </c>
      <c r="F161" s="0" t="s">
        <v>9600</v>
      </c>
      <c r="G161" s="0" t="s">
        <v>9462</v>
      </c>
      <c r="H161" s="0" t="s">
        <v>9463</v>
      </c>
      <c r="I161" s="0" t="s">
        <v>9464</v>
      </c>
      <c r="J161" s="0" t="s">
        <v>9465</v>
      </c>
      <c r="K161" s="0" t="s">
        <v>9466</v>
      </c>
      <c r="L161" s="0" t="n">
        <v>2026</v>
      </c>
      <c r="M161" s="3" t="s">
        <v>9237</v>
      </c>
      <c r="N161" s="0" t="s">
        <v>9276</v>
      </c>
      <c r="P161" s="0" t="s">
        <v>9601</v>
      </c>
    </row>
    <row r="162" customFormat="false" ht="15" hidden="false" customHeight="false" outlineLevel="0" collapsed="false">
      <c r="A162" s="0" t="n">
        <v>751</v>
      </c>
      <c r="B162" s="0" t="s">
        <v>5103</v>
      </c>
      <c r="C162" s="0" t="s">
        <v>9602</v>
      </c>
      <c r="D162" s="3" t="s">
        <v>9603</v>
      </c>
      <c r="E162" s="3" t="s">
        <v>9231</v>
      </c>
      <c r="F162" s="0" t="s">
        <v>9604</v>
      </c>
      <c r="G162" s="0" t="s">
        <v>9605</v>
      </c>
      <c r="M162" s="3" t="s">
        <v>9226</v>
      </c>
      <c r="N162" s="0" t="s">
        <v>9276</v>
      </c>
      <c r="P162" s="0" t="s">
        <v>9606</v>
      </c>
    </row>
    <row r="163" customFormat="false" ht="15" hidden="false" customHeight="false" outlineLevel="0" collapsed="false">
      <c r="A163" s="0" t="n">
        <v>751</v>
      </c>
      <c r="B163" s="0" t="s">
        <v>5103</v>
      </c>
      <c r="C163" s="0" t="s">
        <v>9607</v>
      </c>
      <c r="E163" s="3" t="s">
        <v>9231</v>
      </c>
      <c r="F163" s="0" t="s">
        <v>9608</v>
      </c>
      <c r="G163" s="0" t="s">
        <v>9609</v>
      </c>
      <c r="H163" s="0" t="s">
        <v>9610</v>
      </c>
      <c r="I163" s="0" t="s">
        <v>9611</v>
      </c>
      <c r="J163" s="0" t="s">
        <v>9612</v>
      </c>
      <c r="K163" s="0" t="s">
        <v>9613</v>
      </c>
      <c r="L163" s="0" t="n">
        <v>2026</v>
      </c>
      <c r="M163" s="3" t="s">
        <v>9237</v>
      </c>
      <c r="N163" s="0" t="s">
        <v>9276</v>
      </c>
      <c r="P163" s="0" t="s">
        <v>9614</v>
      </c>
    </row>
    <row r="164" customFormat="false" ht="15" hidden="false" customHeight="false" outlineLevel="0" collapsed="false">
      <c r="A164" s="0" t="n">
        <v>757</v>
      </c>
      <c r="B164" s="0" t="s">
        <v>5148</v>
      </c>
      <c r="C164" s="0" t="s">
        <v>9615</v>
      </c>
      <c r="E164" s="3" t="s">
        <v>9231</v>
      </c>
      <c r="F164" s="0" t="s">
        <v>9616</v>
      </c>
      <c r="G164" s="0" t="s">
        <v>9333</v>
      </c>
      <c r="H164" s="0" t="s">
        <v>9334</v>
      </c>
      <c r="I164" s="0" t="s">
        <v>9335</v>
      </c>
      <c r="J164" s="0" t="s">
        <v>9336</v>
      </c>
      <c r="L164" s="0" t="n">
        <v>2026</v>
      </c>
      <c r="M164" s="3" t="s">
        <v>9237</v>
      </c>
      <c r="N164" s="0" t="s">
        <v>9276</v>
      </c>
      <c r="P164" s="0" t="s">
        <v>9337</v>
      </c>
    </row>
    <row r="165" customFormat="false" ht="15" hidden="false" customHeight="false" outlineLevel="0" collapsed="false">
      <c r="A165" s="0" t="n">
        <v>757</v>
      </c>
      <c r="B165" s="0" t="s">
        <v>5148</v>
      </c>
      <c r="C165" s="0" t="s">
        <v>9338</v>
      </c>
      <c r="E165" s="3" t="s">
        <v>9231</v>
      </c>
      <c r="F165" s="0" t="s">
        <v>9617</v>
      </c>
      <c r="G165" s="0" t="s">
        <v>9341</v>
      </c>
      <c r="H165" s="0" t="s">
        <v>9342</v>
      </c>
      <c r="J165" s="0" t="s">
        <v>9343</v>
      </c>
      <c r="L165" s="0" t="n">
        <v>2009</v>
      </c>
      <c r="M165" s="3" t="s">
        <v>9226</v>
      </c>
      <c r="N165" s="0" t="s">
        <v>9276</v>
      </c>
      <c r="P165" s="0" t="s">
        <v>9618</v>
      </c>
    </row>
    <row r="166" customFormat="false" ht="15" hidden="false" customHeight="false" outlineLevel="0" collapsed="false">
      <c r="A166" s="0" t="n">
        <v>776</v>
      </c>
      <c r="B166" s="0" t="s">
        <v>5275</v>
      </c>
      <c r="C166" s="0" t="s">
        <v>155</v>
      </c>
      <c r="D166" s="3" t="s">
        <v>9241</v>
      </c>
      <c r="E166" s="3" t="s">
        <v>9231</v>
      </c>
      <c r="F166" s="0" t="s">
        <v>9232</v>
      </c>
      <c r="G166" s="0" t="s">
        <v>9242</v>
      </c>
      <c r="H166" s="0" t="s">
        <v>9243</v>
      </c>
      <c r="I166" s="0" t="s">
        <v>9244</v>
      </c>
      <c r="L166" s="0" t="n">
        <v>2026</v>
      </c>
      <c r="M166" s="3" t="s">
        <v>9237</v>
      </c>
      <c r="N166" s="0" t="s">
        <v>9238</v>
      </c>
      <c r="O166" s="0" t="s">
        <v>9239</v>
      </c>
      <c r="P166" s="0" t="s">
        <v>9245</v>
      </c>
    </row>
    <row r="167" customFormat="false" ht="15" hidden="false" customHeight="false" outlineLevel="0" collapsed="false">
      <c r="A167" s="0" t="n">
        <v>786</v>
      </c>
      <c r="B167" s="0" t="s">
        <v>5322</v>
      </c>
      <c r="C167" s="0" t="s">
        <v>921</v>
      </c>
      <c r="D167" s="3" t="s">
        <v>9303</v>
      </c>
      <c r="E167" s="3" t="s">
        <v>9231</v>
      </c>
      <c r="F167" s="0" t="s">
        <v>9441</v>
      </c>
      <c r="G167" s="0" t="s">
        <v>9442</v>
      </c>
      <c r="M167" s="3" t="s">
        <v>9237</v>
      </c>
      <c r="N167" s="0" t="s">
        <v>9227</v>
      </c>
      <c r="P167" s="0" t="s">
        <v>9443</v>
      </c>
    </row>
    <row r="168" customFormat="false" ht="15" hidden="false" customHeight="false" outlineLevel="0" collapsed="false">
      <c r="A168" s="0" t="n">
        <v>787</v>
      </c>
      <c r="B168" s="0" t="s">
        <v>5329</v>
      </c>
      <c r="C168" s="0" t="s">
        <v>4094</v>
      </c>
      <c r="D168" s="3" t="s">
        <v>9278</v>
      </c>
      <c r="E168" s="3" t="s">
        <v>9231</v>
      </c>
      <c r="F168" s="0" t="s">
        <v>9232</v>
      </c>
      <c r="G168" s="0" t="s">
        <v>9279</v>
      </c>
      <c r="H168" s="0" t="s">
        <v>9280</v>
      </c>
      <c r="I168" s="0" t="s">
        <v>9281</v>
      </c>
      <c r="J168" s="0" t="s">
        <v>9282</v>
      </c>
      <c r="L168" s="0" t="n">
        <v>2026</v>
      </c>
      <c r="M168" s="3" t="s">
        <v>9237</v>
      </c>
      <c r="N168" s="0" t="s">
        <v>9238</v>
      </c>
      <c r="O168" s="0" t="s">
        <v>9239</v>
      </c>
      <c r="P168" s="0" t="s">
        <v>9284</v>
      </c>
    </row>
    <row r="169" customFormat="false" ht="15" hidden="false" customHeight="false" outlineLevel="0" collapsed="false">
      <c r="A169" s="0" t="n">
        <v>790</v>
      </c>
      <c r="B169" s="0" t="s">
        <v>5355</v>
      </c>
      <c r="C169" s="0" t="s">
        <v>1231</v>
      </c>
      <c r="D169" s="3" t="s">
        <v>9349</v>
      </c>
      <c r="E169" s="3" t="s">
        <v>9231</v>
      </c>
      <c r="F169" s="0" t="s">
        <v>9232</v>
      </c>
      <c r="G169" s="0" t="s">
        <v>9350</v>
      </c>
      <c r="H169" s="0" t="s">
        <v>9351</v>
      </c>
      <c r="I169" s="0" t="s">
        <v>9352</v>
      </c>
      <c r="J169" s="0" t="s">
        <v>9353</v>
      </c>
      <c r="K169" s="0" t="s">
        <v>9354</v>
      </c>
      <c r="L169" s="0" t="n">
        <v>2026</v>
      </c>
      <c r="M169" s="3" t="s">
        <v>9237</v>
      </c>
      <c r="N169" s="0" t="s">
        <v>9238</v>
      </c>
      <c r="O169" s="0" t="s">
        <v>9239</v>
      </c>
      <c r="P169" s="0" t="s">
        <v>9355</v>
      </c>
    </row>
    <row r="170" customFormat="false" ht="15" hidden="false" customHeight="false" outlineLevel="0" collapsed="false">
      <c r="A170" s="0" t="n">
        <v>794</v>
      </c>
      <c r="B170" s="0" t="s">
        <v>5376</v>
      </c>
      <c r="C170" s="0" t="s">
        <v>3898</v>
      </c>
      <c r="D170" s="3" t="s">
        <v>9482</v>
      </c>
      <c r="E170" s="3" t="s">
        <v>9231</v>
      </c>
      <c r="F170" s="0" t="s">
        <v>9232</v>
      </c>
      <c r="G170" s="0" t="s">
        <v>9483</v>
      </c>
      <c r="H170" s="0" t="s">
        <v>9484</v>
      </c>
      <c r="J170" s="0" t="s">
        <v>9485</v>
      </c>
      <c r="L170" s="0" t="n">
        <v>2026</v>
      </c>
      <c r="M170" s="3" t="s">
        <v>9237</v>
      </c>
      <c r="N170" s="0" t="s">
        <v>9238</v>
      </c>
      <c r="O170" s="0" t="s">
        <v>9283</v>
      </c>
      <c r="P170" s="0" t="s">
        <v>9486</v>
      </c>
    </row>
    <row r="171" customFormat="false" ht="15" hidden="false" customHeight="false" outlineLevel="0" collapsed="false">
      <c r="A171" s="0" t="n">
        <v>798</v>
      </c>
      <c r="B171" s="0" t="s">
        <v>5409</v>
      </c>
      <c r="C171" s="0" t="s">
        <v>921</v>
      </c>
      <c r="D171" s="3" t="s">
        <v>9303</v>
      </c>
      <c r="E171" s="3" t="s">
        <v>9231</v>
      </c>
      <c r="F171" s="0" t="s">
        <v>9441</v>
      </c>
      <c r="G171" s="0" t="s">
        <v>9442</v>
      </c>
      <c r="M171" s="3" t="s">
        <v>9237</v>
      </c>
      <c r="N171" s="0" t="s">
        <v>9227</v>
      </c>
      <c r="P171" s="0" t="s">
        <v>9443</v>
      </c>
    </row>
    <row r="172" customFormat="false" ht="15" hidden="false" customHeight="false" outlineLevel="0" collapsed="false">
      <c r="A172" s="0" t="n">
        <v>798</v>
      </c>
      <c r="B172" s="0" t="s">
        <v>5409</v>
      </c>
      <c r="C172" s="0" t="s">
        <v>3175</v>
      </c>
      <c r="D172" s="3" t="s">
        <v>9500</v>
      </c>
      <c r="E172" s="3" t="s">
        <v>9231</v>
      </c>
      <c r="F172" s="0" t="s">
        <v>9232</v>
      </c>
      <c r="G172" s="0" t="s">
        <v>9501</v>
      </c>
      <c r="H172" s="0" t="s">
        <v>9273</v>
      </c>
      <c r="I172" s="0" t="s">
        <v>9274</v>
      </c>
      <c r="J172" s="0" t="s">
        <v>9275</v>
      </c>
      <c r="L172" s="0" t="n">
        <v>2026</v>
      </c>
      <c r="M172" s="3" t="s">
        <v>9237</v>
      </c>
      <c r="N172" s="0" t="s">
        <v>9238</v>
      </c>
      <c r="O172" s="0" t="s">
        <v>9239</v>
      </c>
      <c r="P172" s="0" t="s">
        <v>9619</v>
      </c>
    </row>
    <row r="173" customFormat="false" ht="15" hidden="false" customHeight="false" outlineLevel="0" collapsed="false">
      <c r="A173" s="0" t="n">
        <v>798</v>
      </c>
      <c r="B173" s="0" t="s">
        <v>5409</v>
      </c>
      <c r="C173" s="0" t="s">
        <v>2751</v>
      </c>
      <c r="D173" s="0" t="s">
        <v>9453</v>
      </c>
      <c r="E173" s="3" t="s">
        <v>9231</v>
      </c>
      <c r="F173" s="0" t="s">
        <v>9232</v>
      </c>
      <c r="G173" s="0" t="s">
        <v>9454</v>
      </c>
      <c r="H173" s="0" t="s">
        <v>9455</v>
      </c>
      <c r="I173" s="0" t="s">
        <v>9456</v>
      </c>
      <c r="J173" s="0" t="s">
        <v>9457</v>
      </c>
      <c r="K173" s="0" t="s">
        <v>9458</v>
      </c>
      <c r="L173" s="0" t="n">
        <v>2026</v>
      </c>
      <c r="M173" s="3" t="s">
        <v>9237</v>
      </c>
      <c r="N173" s="0" t="s">
        <v>9238</v>
      </c>
      <c r="O173" s="0" t="s">
        <v>9239</v>
      </c>
      <c r="P173" s="0" t="s">
        <v>9459</v>
      </c>
    </row>
    <row r="174" customFormat="false" ht="15" hidden="false" customHeight="false" outlineLevel="0" collapsed="false">
      <c r="A174" s="0" t="n">
        <v>806</v>
      </c>
      <c r="B174" s="0" t="s">
        <v>5465</v>
      </c>
      <c r="C174" s="0" t="s">
        <v>1231</v>
      </c>
      <c r="D174" s="3" t="s">
        <v>9349</v>
      </c>
      <c r="E174" s="3" t="s">
        <v>9231</v>
      </c>
      <c r="F174" s="0" t="s">
        <v>9232</v>
      </c>
      <c r="G174" s="0" t="s">
        <v>9350</v>
      </c>
      <c r="H174" s="0" t="s">
        <v>9351</v>
      </c>
      <c r="I174" s="0" t="s">
        <v>9352</v>
      </c>
      <c r="J174" s="0" t="s">
        <v>9353</v>
      </c>
      <c r="K174" s="0" t="s">
        <v>9354</v>
      </c>
      <c r="L174" s="0" t="n">
        <v>2026</v>
      </c>
      <c r="M174" s="3" t="s">
        <v>9237</v>
      </c>
      <c r="N174" s="0" t="s">
        <v>9238</v>
      </c>
      <c r="O174" s="0" t="s">
        <v>9283</v>
      </c>
      <c r="P174" s="0" t="s">
        <v>9355</v>
      </c>
    </row>
    <row r="175" customFormat="false" ht="15" hidden="false" customHeight="false" outlineLevel="0" collapsed="false">
      <c r="A175" s="0" t="n">
        <v>820</v>
      </c>
      <c r="B175" s="0" t="s">
        <v>5543</v>
      </c>
      <c r="C175" s="0" t="s">
        <v>829</v>
      </c>
      <c r="D175" s="3" t="s">
        <v>9252</v>
      </c>
      <c r="E175" s="3" t="s">
        <v>9231</v>
      </c>
      <c r="F175" s="0" t="s">
        <v>9232</v>
      </c>
      <c r="G175" s="0" t="s">
        <v>9253</v>
      </c>
      <c r="H175" s="0" t="s">
        <v>9254</v>
      </c>
      <c r="I175" s="0" t="s">
        <v>9255</v>
      </c>
      <c r="J175" s="0" t="s">
        <v>9256</v>
      </c>
      <c r="L175" s="0" t="n">
        <v>2026</v>
      </c>
      <c r="M175" s="3" t="s">
        <v>9237</v>
      </c>
      <c r="N175" s="0" t="s">
        <v>9238</v>
      </c>
      <c r="O175" s="0" t="s">
        <v>9239</v>
      </c>
      <c r="P175" s="0" t="s">
        <v>9257</v>
      </c>
    </row>
    <row r="176" customFormat="false" ht="15" hidden="false" customHeight="false" outlineLevel="0" collapsed="false">
      <c r="A176" s="0" t="n">
        <v>827</v>
      </c>
      <c r="B176" s="0" t="s">
        <v>5588</v>
      </c>
      <c r="C176" s="0" t="s">
        <v>155</v>
      </c>
      <c r="D176" s="3" t="s">
        <v>9241</v>
      </c>
      <c r="E176" s="3" t="s">
        <v>9231</v>
      </c>
      <c r="F176" s="0" t="s">
        <v>9232</v>
      </c>
      <c r="G176" s="0" t="s">
        <v>9242</v>
      </c>
      <c r="H176" s="0" t="s">
        <v>9243</v>
      </c>
      <c r="I176" s="0" t="s">
        <v>9244</v>
      </c>
      <c r="L176" s="0" t="n">
        <v>2026</v>
      </c>
      <c r="M176" s="3" t="s">
        <v>9237</v>
      </c>
      <c r="N176" s="0" t="s">
        <v>9238</v>
      </c>
      <c r="O176" s="0" t="s">
        <v>9239</v>
      </c>
      <c r="P176" s="0" t="s">
        <v>9245</v>
      </c>
    </row>
    <row r="177" customFormat="false" ht="15" hidden="false" customHeight="false" outlineLevel="0" collapsed="false">
      <c r="A177" s="0" t="n">
        <v>832</v>
      </c>
      <c r="B177" s="0" t="s">
        <v>5611</v>
      </c>
      <c r="C177" s="0" t="s">
        <v>2320</v>
      </c>
      <c r="D177" s="3" t="s">
        <v>9460</v>
      </c>
      <c r="E177" s="3" t="s">
        <v>9231</v>
      </c>
      <c r="F177" s="0" t="s">
        <v>9620</v>
      </c>
      <c r="G177" s="0" t="s">
        <v>9462</v>
      </c>
      <c r="H177" s="0" t="s">
        <v>9463</v>
      </c>
      <c r="I177" s="0" t="s">
        <v>9464</v>
      </c>
      <c r="J177" s="0" t="s">
        <v>9465</v>
      </c>
      <c r="K177" s="0" t="s">
        <v>9466</v>
      </c>
      <c r="L177" s="0" t="n">
        <v>2026</v>
      </c>
      <c r="M177" s="3" t="s">
        <v>9237</v>
      </c>
      <c r="N177" s="0" t="s">
        <v>9276</v>
      </c>
      <c r="P177" s="0" t="s">
        <v>9621</v>
      </c>
    </row>
    <row r="178" customFormat="false" ht="15" hidden="false" customHeight="false" outlineLevel="0" collapsed="false">
      <c r="A178" s="0" t="n">
        <v>832</v>
      </c>
      <c r="B178" s="0" t="s">
        <v>5611</v>
      </c>
      <c r="C178" s="0" t="s">
        <v>6072</v>
      </c>
      <c r="D178" s="3" t="s">
        <v>9622</v>
      </c>
      <c r="E178" s="3" t="s">
        <v>9231</v>
      </c>
      <c r="F178" s="0" t="s">
        <v>9232</v>
      </c>
      <c r="G178" s="0" t="s">
        <v>9623</v>
      </c>
      <c r="H178" s="0" t="s">
        <v>9624</v>
      </c>
      <c r="I178" s="0" t="s">
        <v>9625</v>
      </c>
      <c r="J178" s="0" t="s">
        <v>9626</v>
      </c>
      <c r="L178" s="0" t="n">
        <v>2026</v>
      </c>
      <c r="M178" s="3" t="s">
        <v>9237</v>
      </c>
      <c r="N178" s="0" t="s">
        <v>9238</v>
      </c>
      <c r="O178" s="0" t="s">
        <v>9239</v>
      </c>
      <c r="P178" s="0" t="s">
        <v>9627</v>
      </c>
    </row>
    <row r="179" customFormat="false" ht="15" hidden="false" customHeight="false" outlineLevel="0" collapsed="false">
      <c r="A179" s="0" t="n">
        <v>835</v>
      </c>
      <c r="B179" s="0" t="s">
        <v>5642</v>
      </c>
      <c r="C179" s="0" t="s">
        <v>9628</v>
      </c>
      <c r="E179" s="3" t="s">
        <v>9224</v>
      </c>
      <c r="F179" s="0" t="s">
        <v>9629</v>
      </c>
      <c r="G179" s="0" t="s">
        <v>9630</v>
      </c>
      <c r="H179" s="0" t="s">
        <v>9631</v>
      </c>
      <c r="I179" s="0" t="s">
        <v>9632</v>
      </c>
      <c r="J179" s="0" t="s">
        <v>9633</v>
      </c>
      <c r="K179" s="0" t="s">
        <v>9634</v>
      </c>
      <c r="M179" s="3" t="s">
        <v>9226</v>
      </c>
      <c r="N179" s="0" t="s">
        <v>9276</v>
      </c>
      <c r="P179" s="0" t="s">
        <v>9635</v>
      </c>
    </row>
    <row r="180" customFormat="false" ht="15" hidden="false" customHeight="false" outlineLevel="0" collapsed="false">
      <c r="A180" s="0" t="n">
        <v>835</v>
      </c>
      <c r="B180" s="0" t="s">
        <v>5642</v>
      </c>
      <c r="C180" s="0" t="s">
        <v>9636</v>
      </c>
      <c r="D180" s="3" t="s">
        <v>9637</v>
      </c>
      <c r="E180" s="3" t="s">
        <v>9231</v>
      </c>
      <c r="F180" s="0" t="s">
        <v>9638</v>
      </c>
      <c r="G180" s="0" t="s">
        <v>9568</v>
      </c>
      <c r="H180" s="0" t="s">
        <v>9569</v>
      </c>
      <c r="J180" s="0" t="s">
        <v>9570</v>
      </c>
      <c r="K180" s="0" t="s">
        <v>9571</v>
      </c>
      <c r="L180" s="0" t="n">
        <v>2026</v>
      </c>
      <c r="M180" s="3" t="s">
        <v>9237</v>
      </c>
      <c r="N180" s="0" t="s">
        <v>9276</v>
      </c>
      <c r="P180" s="0" t="s">
        <v>9639</v>
      </c>
    </row>
    <row r="181" customFormat="false" ht="15" hidden="false" customHeight="false" outlineLevel="0" collapsed="false">
      <c r="A181" s="0" t="n">
        <v>835</v>
      </c>
      <c r="B181" s="0" t="s">
        <v>5642</v>
      </c>
      <c r="C181" s="0" t="s">
        <v>2751</v>
      </c>
      <c r="D181" s="0" t="s">
        <v>9453</v>
      </c>
      <c r="E181" s="3" t="s">
        <v>9231</v>
      </c>
      <c r="F181" s="0" t="s">
        <v>9232</v>
      </c>
      <c r="G181" s="0" t="s">
        <v>9454</v>
      </c>
      <c r="H181" s="0" t="s">
        <v>9455</v>
      </c>
      <c r="I181" s="0" t="s">
        <v>9456</v>
      </c>
      <c r="J181" s="0" t="s">
        <v>9457</v>
      </c>
      <c r="K181" s="0" t="s">
        <v>9458</v>
      </c>
      <c r="L181" s="0" t="n">
        <v>2026</v>
      </c>
      <c r="M181" s="3" t="s">
        <v>9237</v>
      </c>
      <c r="N181" s="0" t="s">
        <v>9238</v>
      </c>
      <c r="O181" s="0" t="s">
        <v>9239</v>
      </c>
      <c r="P181" s="0" t="s">
        <v>9459</v>
      </c>
    </row>
    <row r="182" customFormat="false" ht="15" hidden="false" customHeight="false" outlineLevel="0" collapsed="false">
      <c r="A182" s="0" t="n">
        <v>846</v>
      </c>
      <c r="B182" s="0" t="s">
        <v>5713</v>
      </c>
      <c r="C182" s="0" t="s">
        <v>9640</v>
      </c>
      <c r="D182" s="0" t="s">
        <v>9641</v>
      </c>
      <c r="E182" s="3" t="s">
        <v>9231</v>
      </c>
      <c r="F182" s="0" t="s">
        <v>9642</v>
      </c>
      <c r="G182" s="0" t="s">
        <v>9643</v>
      </c>
      <c r="H182" s="0" t="s">
        <v>9644</v>
      </c>
      <c r="I182" s="0" t="s">
        <v>9645</v>
      </c>
      <c r="J182" s="0" t="s">
        <v>9646</v>
      </c>
      <c r="L182" s="0" t="n">
        <v>2025</v>
      </c>
      <c r="M182" s="3" t="s">
        <v>9237</v>
      </c>
      <c r="N182" s="0" t="s">
        <v>9276</v>
      </c>
      <c r="P182" s="0" t="s">
        <v>9647</v>
      </c>
    </row>
    <row r="183" customFormat="false" ht="15" hidden="false" customHeight="false" outlineLevel="0" collapsed="false">
      <c r="A183" s="0" t="n">
        <v>846</v>
      </c>
      <c r="B183" s="0" t="s">
        <v>5713</v>
      </c>
      <c r="C183" s="0" t="s">
        <v>2751</v>
      </c>
      <c r="D183" s="0" t="s">
        <v>9453</v>
      </c>
      <c r="E183" s="3" t="s">
        <v>9231</v>
      </c>
      <c r="F183" s="0" t="s">
        <v>9232</v>
      </c>
      <c r="G183" s="0" t="s">
        <v>9454</v>
      </c>
      <c r="H183" s="0" t="s">
        <v>9455</v>
      </c>
      <c r="I183" s="0" t="s">
        <v>9456</v>
      </c>
      <c r="J183" s="0" t="s">
        <v>9457</v>
      </c>
      <c r="K183" s="0" t="s">
        <v>9458</v>
      </c>
      <c r="L183" s="0" t="n">
        <v>2026</v>
      </c>
      <c r="M183" s="3" t="s">
        <v>9237</v>
      </c>
      <c r="N183" s="0" t="s">
        <v>9238</v>
      </c>
      <c r="O183" s="0" t="s">
        <v>9239</v>
      </c>
      <c r="P183" s="0" t="s">
        <v>9459</v>
      </c>
    </row>
    <row r="184" customFormat="false" ht="15" hidden="false" customHeight="false" outlineLevel="0" collapsed="false">
      <c r="A184" s="0" t="n">
        <v>847</v>
      </c>
      <c r="B184" s="0" t="s">
        <v>5733</v>
      </c>
      <c r="C184" s="0" t="s">
        <v>6315</v>
      </c>
      <c r="D184" s="3" t="s">
        <v>9510</v>
      </c>
      <c r="E184" s="3" t="s">
        <v>9231</v>
      </c>
      <c r="F184" s="0" t="s">
        <v>9648</v>
      </c>
      <c r="G184" s="0" t="s">
        <v>9512</v>
      </c>
      <c r="H184" s="0" t="s">
        <v>9513</v>
      </c>
      <c r="J184" s="0" t="s">
        <v>9514</v>
      </c>
      <c r="K184" s="0" t="s">
        <v>9515</v>
      </c>
      <c r="L184" s="0" t="n">
        <v>2026</v>
      </c>
      <c r="M184" s="3" t="s">
        <v>9237</v>
      </c>
      <c r="N184" s="0" t="s">
        <v>9276</v>
      </c>
      <c r="P184" s="0" t="s">
        <v>9649</v>
      </c>
    </row>
    <row r="185" customFormat="false" ht="15" hidden="false" customHeight="false" outlineLevel="0" collapsed="false">
      <c r="A185" s="0" t="n">
        <v>847</v>
      </c>
      <c r="B185" s="0" t="s">
        <v>5733</v>
      </c>
      <c r="C185" s="0" t="s">
        <v>9650</v>
      </c>
      <c r="E185" s="3" t="s">
        <v>9231</v>
      </c>
      <c r="F185" s="0" t="s">
        <v>9651</v>
      </c>
      <c r="G185" s="0" t="s">
        <v>9652</v>
      </c>
      <c r="H185" s="0" t="s">
        <v>9653</v>
      </c>
      <c r="J185" s="0" t="s">
        <v>9654</v>
      </c>
      <c r="M185" s="3" t="s">
        <v>9226</v>
      </c>
      <c r="N185" s="0" t="s">
        <v>9276</v>
      </c>
      <c r="P185" s="0" t="s">
        <v>9655</v>
      </c>
    </row>
    <row r="186" customFormat="false" ht="15" hidden="false" customHeight="false" outlineLevel="0" collapsed="false">
      <c r="A186" s="0" t="n">
        <v>847</v>
      </c>
      <c r="B186" s="0" t="s">
        <v>5733</v>
      </c>
      <c r="C186" s="0" t="s">
        <v>9656</v>
      </c>
      <c r="E186" s="3" t="s">
        <v>9231</v>
      </c>
      <c r="F186" s="0" t="s">
        <v>9657</v>
      </c>
      <c r="M186" s="3" t="s">
        <v>9226</v>
      </c>
      <c r="N186" s="0" t="s">
        <v>9276</v>
      </c>
      <c r="P186" s="0" t="s">
        <v>9655</v>
      </c>
    </row>
    <row r="187" customFormat="false" ht="15" hidden="false" customHeight="false" outlineLevel="0" collapsed="false">
      <c r="A187" s="0" t="n">
        <v>847</v>
      </c>
      <c r="B187" s="0" t="s">
        <v>5733</v>
      </c>
      <c r="C187" s="0" t="s">
        <v>2751</v>
      </c>
      <c r="D187" s="0" t="s">
        <v>9453</v>
      </c>
      <c r="E187" s="3" t="s">
        <v>9231</v>
      </c>
      <c r="F187" s="0" t="s">
        <v>9232</v>
      </c>
      <c r="G187" s="0" t="s">
        <v>9454</v>
      </c>
      <c r="H187" s="0" t="s">
        <v>9455</v>
      </c>
      <c r="I187" s="0" t="s">
        <v>9456</v>
      </c>
      <c r="J187" s="0" t="s">
        <v>9457</v>
      </c>
      <c r="K187" s="0" t="s">
        <v>9458</v>
      </c>
      <c r="L187" s="0" t="n">
        <v>2026</v>
      </c>
      <c r="M187" s="3" t="s">
        <v>9237</v>
      </c>
      <c r="N187" s="0" t="s">
        <v>9238</v>
      </c>
      <c r="O187" s="0" t="s">
        <v>9283</v>
      </c>
      <c r="P187" s="0" t="s">
        <v>9459</v>
      </c>
    </row>
    <row r="188" customFormat="false" ht="15" hidden="false" customHeight="false" outlineLevel="0" collapsed="false">
      <c r="A188" s="0" t="n">
        <v>856</v>
      </c>
      <c r="B188" s="0" t="s">
        <v>5807</v>
      </c>
      <c r="C188" s="0" t="s">
        <v>1231</v>
      </c>
      <c r="D188" s="3" t="s">
        <v>9349</v>
      </c>
      <c r="E188" s="3" t="s">
        <v>9231</v>
      </c>
      <c r="F188" s="0" t="s">
        <v>9232</v>
      </c>
      <c r="G188" s="0" t="s">
        <v>9350</v>
      </c>
      <c r="H188" s="0" t="s">
        <v>9351</v>
      </c>
      <c r="I188" s="0" t="s">
        <v>9352</v>
      </c>
      <c r="J188" s="0" t="s">
        <v>9353</v>
      </c>
      <c r="K188" s="0" t="s">
        <v>9354</v>
      </c>
      <c r="L188" s="0" t="n">
        <v>2026</v>
      </c>
      <c r="M188" s="3" t="s">
        <v>9237</v>
      </c>
      <c r="N188" s="0" t="s">
        <v>9238</v>
      </c>
      <c r="O188" s="0" t="s">
        <v>9239</v>
      </c>
      <c r="P188" s="0" t="s">
        <v>9355</v>
      </c>
    </row>
    <row r="189" customFormat="false" ht="15" hidden="false" customHeight="false" outlineLevel="0" collapsed="false">
      <c r="A189" s="0" t="n">
        <v>862</v>
      </c>
      <c r="B189" s="0" t="s">
        <v>5854</v>
      </c>
      <c r="C189" s="0" t="s">
        <v>968</v>
      </c>
      <c r="D189" s="3" t="s">
        <v>9309</v>
      </c>
      <c r="E189" s="3" t="s">
        <v>9231</v>
      </c>
      <c r="F189" s="0" t="s">
        <v>9232</v>
      </c>
      <c r="G189" s="0" t="s">
        <v>9310</v>
      </c>
      <c r="H189" s="0" t="s">
        <v>9311</v>
      </c>
      <c r="I189" s="0" t="s">
        <v>9312</v>
      </c>
      <c r="L189" s="0" t="n">
        <v>2026</v>
      </c>
      <c r="M189" s="3" t="s">
        <v>9237</v>
      </c>
      <c r="N189" s="0" t="s">
        <v>9238</v>
      </c>
      <c r="O189" s="0" t="s">
        <v>9239</v>
      </c>
      <c r="P189" s="0" t="s">
        <v>9313</v>
      </c>
    </row>
    <row r="190" customFormat="false" ht="15" hidden="false" customHeight="false" outlineLevel="0" collapsed="false">
      <c r="A190" s="0" t="n">
        <v>865</v>
      </c>
      <c r="B190" s="0" t="s">
        <v>5865</v>
      </c>
      <c r="C190" s="0" t="s">
        <v>9628</v>
      </c>
      <c r="E190" s="3" t="s">
        <v>9224</v>
      </c>
      <c r="F190" s="0" t="s">
        <v>9629</v>
      </c>
      <c r="G190" s="0" t="s">
        <v>9630</v>
      </c>
      <c r="H190" s="0" t="s">
        <v>9631</v>
      </c>
      <c r="I190" s="0" t="s">
        <v>9632</v>
      </c>
      <c r="J190" s="0" t="s">
        <v>9633</v>
      </c>
      <c r="K190" s="0" t="s">
        <v>9634</v>
      </c>
      <c r="M190" s="3" t="s">
        <v>9226</v>
      </c>
      <c r="N190" s="0" t="s">
        <v>9276</v>
      </c>
      <c r="P190" s="0" t="s">
        <v>9635</v>
      </c>
    </row>
    <row r="191" customFormat="false" ht="15" hidden="false" customHeight="false" outlineLevel="0" collapsed="false">
      <c r="A191" s="0" t="n">
        <v>865</v>
      </c>
      <c r="B191" s="0" t="s">
        <v>5865</v>
      </c>
      <c r="C191" s="0" t="s">
        <v>9636</v>
      </c>
      <c r="D191" s="3" t="s">
        <v>9637</v>
      </c>
      <c r="E191" s="3" t="s">
        <v>9231</v>
      </c>
      <c r="F191" s="0" t="s">
        <v>9638</v>
      </c>
      <c r="G191" s="0" t="s">
        <v>9568</v>
      </c>
      <c r="H191" s="0" t="s">
        <v>9569</v>
      </c>
      <c r="J191" s="0" t="s">
        <v>9570</v>
      </c>
      <c r="K191" s="0" t="s">
        <v>9571</v>
      </c>
      <c r="L191" s="0" t="n">
        <v>2026</v>
      </c>
      <c r="M191" s="3" t="s">
        <v>9237</v>
      </c>
      <c r="N191" s="0" t="s">
        <v>9276</v>
      </c>
      <c r="P191" s="0" t="s">
        <v>9639</v>
      </c>
    </row>
    <row r="192" customFormat="false" ht="15" hidden="false" customHeight="false" outlineLevel="0" collapsed="false">
      <c r="A192" s="0" t="n">
        <v>870</v>
      </c>
      <c r="B192" s="0" t="s">
        <v>5906</v>
      </c>
      <c r="C192" s="0" t="s">
        <v>167</v>
      </c>
      <c r="D192" s="3" t="s">
        <v>9246</v>
      </c>
      <c r="E192" s="3" t="s">
        <v>9231</v>
      </c>
      <c r="F192" s="0" t="s">
        <v>9232</v>
      </c>
      <c r="G192" s="0" t="s">
        <v>9247</v>
      </c>
      <c r="H192" s="0" t="s">
        <v>9248</v>
      </c>
      <c r="I192" s="0" t="s">
        <v>9249</v>
      </c>
      <c r="J192" s="0" t="s">
        <v>9250</v>
      </c>
      <c r="L192" s="0" t="n">
        <v>2026</v>
      </c>
      <c r="M192" s="3" t="s">
        <v>9237</v>
      </c>
      <c r="N192" s="0" t="s">
        <v>9238</v>
      </c>
      <c r="O192" s="0" t="s">
        <v>9239</v>
      </c>
      <c r="P192" s="0" t="s">
        <v>9251</v>
      </c>
    </row>
    <row r="193" customFormat="false" ht="15" hidden="false" customHeight="false" outlineLevel="0" collapsed="false">
      <c r="A193" s="0" t="n">
        <v>885</v>
      </c>
      <c r="B193" s="0" t="s">
        <v>5987</v>
      </c>
      <c r="C193" s="0" t="s">
        <v>4669</v>
      </c>
      <c r="D193" s="3" t="s">
        <v>9252</v>
      </c>
      <c r="E193" s="3" t="s">
        <v>9231</v>
      </c>
      <c r="F193" s="0" t="s">
        <v>9591</v>
      </c>
      <c r="G193" s="0" t="s">
        <v>9407</v>
      </c>
      <c r="L193" s="0" t="n">
        <v>2026</v>
      </c>
      <c r="M193" s="3" t="s">
        <v>9237</v>
      </c>
      <c r="N193" s="0" t="s">
        <v>9227</v>
      </c>
      <c r="P193" s="0" t="s">
        <v>9592</v>
      </c>
    </row>
    <row r="194" customFormat="false" ht="15" hidden="false" customHeight="false" outlineLevel="0" collapsed="false">
      <c r="A194" s="0" t="n">
        <v>887</v>
      </c>
      <c r="B194" s="0" t="s">
        <v>5999</v>
      </c>
      <c r="C194" s="0" t="s">
        <v>6004</v>
      </c>
      <c r="D194" s="3" t="s">
        <v>9469</v>
      </c>
      <c r="E194" s="3" t="s">
        <v>9231</v>
      </c>
      <c r="F194" s="0" t="s">
        <v>9232</v>
      </c>
      <c r="G194" s="0" t="s">
        <v>9475</v>
      </c>
      <c r="H194" s="0" t="s">
        <v>9472</v>
      </c>
      <c r="I194" s="0" t="s">
        <v>9476</v>
      </c>
      <c r="J194" s="0" t="s">
        <v>9473</v>
      </c>
      <c r="L194" s="0" t="n">
        <v>2026</v>
      </c>
      <c r="M194" s="3" t="s">
        <v>9237</v>
      </c>
      <c r="N194" s="0" t="s">
        <v>9238</v>
      </c>
      <c r="O194" s="0" t="s">
        <v>9239</v>
      </c>
      <c r="P194" s="0" t="s">
        <v>9658</v>
      </c>
    </row>
    <row r="195" customFormat="false" ht="15" hidden="false" customHeight="false" outlineLevel="0" collapsed="false">
      <c r="A195" s="0" t="n">
        <v>888</v>
      </c>
      <c r="B195" s="0" t="s">
        <v>6007</v>
      </c>
      <c r="C195" s="0" t="s">
        <v>3547</v>
      </c>
      <c r="D195" s="3" t="s">
        <v>9309</v>
      </c>
      <c r="E195" s="3" t="s">
        <v>9231</v>
      </c>
      <c r="F195" s="0" t="s">
        <v>9659</v>
      </c>
      <c r="G195" s="0" t="s">
        <v>9507</v>
      </c>
      <c r="M195" s="3" t="s">
        <v>9237</v>
      </c>
      <c r="N195" s="0" t="s">
        <v>9227</v>
      </c>
      <c r="O195" s="0" t="s">
        <v>9228</v>
      </c>
      <c r="P195" s="0" t="s">
        <v>9660</v>
      </c>
    </row>
    <row r="196" customFormat="false" ht="15" hidden="false" customHeight="false" outlineLevel="0" collapsed="false">
      <c r="A196" s="0" t="n">
        <v>898</v>
      </c>
      <c r="B196" s="0" t="s">
        <v>6062</v>
      </c>
      <c r="C196" s="0" t="s">
        <v>6072</v>
      </c>
      <c r="D196" s="3" t="s">
        <v>9661</v>
      </c>
      <c r="E196" s="3" t="s">
        <v>9231</v>
      </c>
      <c r="F196" s="0" t="s">
        <v>9662</v>
      </c>
      <c r="G196" s="0" t="s">
        <v>9623</v>
      </c>
      <c r="H196" s="0" t="s">
        <v>9624</v>
      </c>
      <c r="I196" s="0" t="s">
        <v>9625</v>
      </c>
      <c r="J196" s="0" t="s">
        <v>9626</v>
      </c>
      <c r="L196" s="0" t="n">
        <v>2026</v>
      </c>
      <c r="M196" s="3" t="s">
        <v>9237</v>
      </c>
      <c r="N196" s="0" t="s">
        <v>9276</v>
      </c>
      <c r="P196" s="0" t="s">
        <v>9663</v>
      </c>
    </row>
    <row r="197" customFormat="false" ht="15" hidden="false" customHeight="false" outlineLevel="0" collapsed="false">
      <c r="A197" s="0" t="n">
        <v>900</v>
      </c>
      <c r="B197" s="0" t="s">
        <v>6087</v>
      </c>
      <c r="C197" s="0" t="s">
        <v>9664</v>
      </c>
      <c r="D197" s="3" t="s">
        <v>9665</v>
      </c>
      <c r="E197" s="3" t="s">
        <v>9224</v>
      </c>
      <c r="F197" s="0" t="s">
        <v>9666</v>
      </c>
      <c r="G197" s="0" t="s">
        <v>6089</v>
      </c>
      <c r="H197" s="0" t="s">
        <v>9667</v>
      </c>
      <c r="J197" s="0" t="s">
        <v>9668</v>
      </c>
      <c r="K197" s="0" t="s">
        <v>9669</v>
      </c>
      <c r="N197" s="0" t="s">
        <v>9276</v>
      </c>
      <c r="P197" s="0" t="s">
        <v>9669</v>
      </c>
    </row>
    <row r="198" customFormat="false" ht="15" hidden="false" customHeight="false" outlineLevel="0" collapsed="false">
      <c r="A198" s="0" t="n">
        <v>900</v>
      </c>
      <c r="B198" s="0" t="s">
        <v>6087</v>
      </c>
      <c r="C198" s="0" t="s">
        <v>9670</v>
      </c>
      <c r="D198" s="3" t="s">
        <v>9671</v>
      </c>
      <c r="E198" s="3" t="s">
        <v>9224</v>
      </c>
      <c r="F198" s="0" t="s">
        <v>9672</v>
      </c>
      <c r="G198" s="0" t="s">
        <v>6089</v>
      </c>
      <c r="H198" s="0" t="s">
        <v>9667</v>
      </c>
      <c r="J198" s="0" t="s">
        <v>9668</v>
      </c>
      <c r="K198" s="0" t="s">
        <v>9669</v>
      </c>
      <c r="N198" s="0" t="s">
        <v>9276</v>
      </c>
    </row>
    <row r="199" customFormat="false" ht="15" hidden="false" customHeight="false" outlineLevel="0" collapsed="false">
      <c r="A199" s="0" t="n">
        <v>900</v>
      </c>
      <c r="B199" s="0" t="s">
        <v>6087</v>
      </c>
      <c r="C199" s="0" t="s">
        <v>9338</v>
      </c>
      <c r="D199" s="3" t="s">
        <v>9339</v>
      </c>
      <c r="E199" s="3" t="s">
        <v>9231</v>
      </c>
      <c r="F199" s="0" t="s">
        <v>9673</v>
      </c>
      <c r="G199" s="0" t="s">
        <v>9341</v>
      </c>
      <c r="H199" s="0" t="s">
        <v>9342</v>
      </c>
      <c r="J199" s="0" t="s">
        <v>9343</v>
      </c>
      <c r="L199" s="0" t="n">
        <v>2026</v>
      </c>
      <c r="M199" s="3" t="s">
        <v>9237</v>
      </c>
      <c r="N199" s="0" t="s">
        <v>9276</v>
      </c>
      <c r="P199" s="0" t="s">
        <v>9674</v>
      </c>
    </row>
    <row r="200" customFormat="false" ht="15" hidden="false" customHeight="false" outlineLevel="0" collapsed="false">
      <c r="A200" s="0" t="n">
        <v>900</v>
      </c>
      <c r="B200" s="0" t="s">
        <v>6087</v>
      </c>
      <c r="C200" s="0" t="s">
        <v>9675</v>
      </c>
      <c r="D200" s="3" t="s">
        <v>9676</v>
      </c>
      <c r="E200" s="3" t="s">
        <v>9231</v>
      </c>
      <c r="F200" s="0" t="s">
        <v>9677</v>
      </c>
      <c r="G200" s="0" t="s">
        <v>9678</v>
      </c>
      <c r="H200" s="0" t="s">
        <v>9679</v>
      </c>
      <c r="I200" s="0" t="s">
        <v>9680</v>
      </c>
      <c r="J200" s="0" t="s">
        <v>9681</v>
      </c>
      <c r="L200" s="0" t="n">
        <v>2026</v>
      </c>
      <c r="M200" s="3" t="s">
        <v>9237</v>
      </c>
      <c r="N200" s="0" t="s">
        <v>9276</v>
      </c>
      <c r="P200" s="0" t="s">
        <v>9682</v>
      </c>
    </row>
    <row r="201" customFormat="false" ht="15" hidden="false" customHeight="false" outlineLevel="0" collapsed="false">
      <c r="A201" s="0" t="n">
        <v>900</v>
      </c>
      <c r="B201" s="0" t="s">
        <v>6087</v>
      </c>
      <c r="C201" s="0" t="s">
        <v>1545</v>
      </c>
      <c r="D201" s="3" t="s">
        <v>9683</v>
      </c>
      <c r="E201" s="3" t="s">
        <v>9231</v>
      </c>
      <c r="F201" s="0" t="s">
        <v>9684</v>
      </c>
      <c r="G201" s="0" t="s">
        <v>9395</v>
      </c>
      <c r="H201" s="0" t="s">
        <v>9396</v>
      </c>
      <c r="I201" s="0" t="s">
        <v>9397</v>
      </c>
      <c r="J201" s="0" t="s">
        <v>9398</v>
      </c>
      <c r="L201" s="0" t="n">
        <v>2026</v>
      </c>
      <c r="M201" s="3" t="s">
        <v>9237</v>
      </c>
      <c r="N201" s="0" t="s">
        <v>9276</v>
      </c>
      <c r="P201" s="0" t="s">
        <v>9685</v>
      </c>
    </row>
    <row r="202" customFormat="false" ht="15" hidden="false" customHeight="false" outlineLevel="0" collapsed="false">
      <c r="A202" s="0" t="n">
        <v>900</v>
      </c>
      <c r="B202" s="0" t="s">
        <v>6087</v>
      </c>
      <c r="C202" s="0" t="s">
        <v>1231</v>
      </c>
      <c r="D202" s="3" t="s">
        <v>9349</v>
      </c>
      <c r="E202" s="3" t="s">
        <v>9231</v>
      </c>
      <c r="F202" s="0" t="s">
        <v>9686</v>
      </c>
      <c r="G202" s="0" t="s">
        <v>9350</v>
      </c>
      <c r="H202" s="0" t="s">
        <v>9351</v>
      </c>
      <c r="J202" s="0" t="s">
        <v>9353</v>
      </c>
      <c r="K202" s="0" t="s">
        <v>9354</v>
      </c>
      <c r="L202" s="0" t="n">
        <v>2026</v>
      </c>
      <c r="M202" s="3" t="s">
        <v>9237</v>
      </c>
      <c r="N202" s="0" t="s">
        <v>9276</v>
      </c>
      <c r="P202" s="0" t="s">
        <v>9687</v>
      </c>
    </row>
    <row r="203" customFormat="false" ht="15" hidden="false" customHeight="false" outlineLevel="0" collapsed="false">
      <c r="A203" s="0" t="n">
        <v>900</v>
      </c>
      <c r="B203" s="0" t="s">
        <v>6087</v>
      </c>
      <c r="C203" s="0" t="s">
        <v>9688</v>
      </c>
      <c r="E203" s="3" t="s">
        <v>9689</v>
      </c>
      <c r="F203" s="0" t="s">
        <v>9690</v>
      </c>
      <c r="G203" s="0" t="s">
        <v>6089</v>
      </c>
      <c r="H203" s="0" t="s">
        <v>9667</v>
      </c>
      <c r="J203" s="0" t="s">
        <v>9668</v>
      </c>
      <c r="K203" s="0" t="s">
        <v>9669</v>
      </c>
      <c r="L203" s="0" t="n">
        <v>2026</v>
      </c>
      <c r="M203" s="3" t="s">
        <v>9226</v>
      </c>
      <c r="N203" s="0" t="s">
        <v>9276</v>
      </c>
      <c r="P203" s="0" t="s">
        <v>9691</v>
      </c>
    </row>
    <row r="204" customFormat="false" ht="15" hidden="false" customHeight="false" outlineLevel="0" collapsed="false">
      <c r="A204" s="0" t="n">
        <v>900</v>
      </c>
      <c r="B204" s="0" t="s">
        <v>6087</v>
      </c>
      <c r="C204" s="0" t="s">
        <v>9692</v>
      </c>
      <c r="E204" s="3" t="s">
        <v>9231</v>
      </c>
      <c r="F204" s="0" t="s">
        <v>9693</v>
      </c>
      <c r="L204" s="0" t="n">
        <v>2026</v>
      </c>
      <c r="M204" s="3" t="s">
        <v>9347</v>
      </c>
      <c r="N204" s="0" t="s">
        <v>9276</v>
      </c>
      <c r="P204" s="0" t="s">
        <v>9694</v>
      </c>
    </row>
    <row r="205" customFormat="false" ht="15" hidden="false" customHeight="false" outlineLevel="0" collapsed="false">
      <c r="A205" s="0" t="n">
        <v>900</v>
      </c>
      <c r="B205" s="0" t="s">
        <v>6087</v>
      </c>
      <c r="C205" s="0" t="s">
        <v>9695</v>
      </c>
      <c r="E205" s="3" t="s">
        <v>9231</v>
      </c>
      <c r="F205" s="0" t="s">
        <v>9696</v>
      </c>
      <c r="L205" s="0" t="n">
        <v>2026</v>
      </c>
      <c r="M205" s="3" t="s">
        <v>9347</v>
      </c>
      <c r="N205" s="0" t="s">
        <v>9276</v>
      </c>
      <c r="P205" s="0" t="s">
        <v>9697</v>
      </c>
    </row>
    <row r="206" customFormat="false" ht="15" hidden="false" customHeight="false" outlineLevel="0" collapsed="false">
      <c r="A206" s="0" t="n">
        <v>900</v>
      </c>
      <c r="B206" s="0" t="s">
        <v>6087</v>
      </c>
      <c r="C206" s="0" t="s">
        <v>9698</v>
      </c>
      <c r="E206" s="3" t="s">
        <v>9231</v>
      </c>
      <c r="F206" s="0" t="s">
        <v>9699</v>
      </c>
      <c r="L206" s="0" t="n">
        <v>2026</v>
      </c>
      <c r="M206" s="3" t="s">
        <v>9347</v>
      </c>
      <c r="N206" s="0" t="s">
        <v>9276</v>
      </c>
      <c r="P206" s="0" t="s">
        <v>9700</v>
      </c>
    </row>
    <row r="207" customFormat="false" ht="15" hidden="false" customHeight="false" outlineLevel="0" collapsed="false">
      <c r="A207" s="0" t="n">
        <v>915</v>
      </c>
      <c r="B207" s="0" t="s">
        <v>6186</v>
      </c>
      <c r="C207" s="0" t="s">
        <v>921</v>
      </c>
      <c r="D207" s="3" t="s">
        <v>9303</v>
      </c>
      <c r="E207" s="3" t="s">
        <v>9231</v>
      </c>
      <c r="F207" s="0" t="s">
        <v>9701</v>
      </c>
      <c r="G207" s="0" t="s">
        <v>9442</v>
      </c>
      <c r="H207" s="0" t="s">
        <v>9305</v>
      </c>
      <c r="I207" s="0" t="s">
        <v>9306</v>
      </c>
      <c r="J207" s="0" t="s">
        <v>9307</v>
      </c>
      <c r="L207" s="0" t="n">
        <v>2026</v>
      </c>
      <c r="M207" s="3" t="s">
        <v>9237</v>
      </c>
      <c r="N207" s="0" t="s">
        <v>9276</v>
      </c>
      <c r="P207" s="0" t="s">
        <v>9702</v>
      </c>
    </row>
    <row r="208" customFormat="false" ht="15" hidden="false" customHeight="false" outlineLevel="0" collapsed="false">
      <c r="A208" s="0" t="n">
        <v>921</v>
      </c>
      <c r="B208" s="0" t="s">
        <v>6237</v>
      </c>
      <c r="C208" s="0" t="s">
        <v>921</v>
      </c>
      <c r="D208" s="3" t="s">
        <v>9303</v>
      </c>
      <c r="E208" s="3" t="s">
        <v>9231</v>
      </c>
      <c r="F208" s="0" t="s">
        <v>9232</v>
      </c>
      <c r="G208" s="0" t="s">
        <v>9304</v>
      </c>
      <c r="H208" s="0" t="s">
        <v>9305</v>
      </c>
      <c r="I208" s="0" t="s">
        <v>9306</v>
      </c>
      <c r="J208" s="0" t="s">
        <v>9307</v>
      </c>
      <c r="L208" s="0" t="n">
        <v>2026</v>
      </c>
      <c r="M208" s="3" t="s">
        <v>9237</v>
      </c>
      <c r="N208" s="0" t="s">
        <v>9238</v>
      </c>
      <c r="O208" s="0" t="s">
        <v>9239</v>
      </c>
      <c r="P208" s="0" t="s">
        <v>9421</v>
      </c>
    </row>
    <row r="209" customFormat="false" ht="15" hidden="false" customHeight="false" outlineLevel="0" collapsed="false">
      <c r="A209" s="0" t="n">
        <v>924</v>
      </c>
      <c r="B209" s="0" t="s">
        <v>6254</v>
      </c>
      <c r="C209" s="0" t="s">
        <v>6264</v>
      </c>
      <c r="D209" s="3" t="s">
        <v>9510</v>
      </c>
      <c r="E209" s="3" t="s">
        <v>9231</v>
      </c>
      <c r="F209" s="0" t="s">
        <v>9703</v>
      </c>
      <c r="G209" s="0" t="s">
        <v>9512</v>
      </c>
      <c r="H209" s="0" t="s">
        <v>9513</v>
      </c>
      <c r="J209" s="0" t="s">
        <v>9514</v>
      </c>
      <c r="K209" s="0" t="s">
        <v>9515</v>
      </c>
      <c r="L209" s="0" t="n">
        <v>2026</v>
      </c>
      <c r="M209" s="3" t="s">
        <v>9237</v>
      </c>
      <c r="N209" s="0" t="s">
        <v>9276</v>
      </c>
      <c r="P209" s="0" t="s">
        <v>9704</v>
      </c>
    </row>
    <row r="210" customFormat="false" ht="15" hidden="false" customHeight="false" outlineLevel="0" collapsed="false">
      <c r="A210" s="0" t="n">
        <v>931</v>
      </c>
      <c r="B210" s="0" t="s">
        <v>6310</v>
      </c>
      <c r="C210" s="0" t="s">
        <v>6315</v>
      </c>
      <c r="D210" s="3" t="s">
        <v>9510</v>
      </c>
      <c r="E210" s="3" t="s">
        <v>9231</v>
      </c>
      <c r="F210" s="0" t="s">
        <v>9232</v>
      </c>
      <c r="G210" s="0" t="s">
        <v>9512</v>
      </c>
      <c r="H210" s="0" t="s">
        <v>9513</v>
      </c>
      <c r="I210" s="0" t="s">
        <v>9705</v>
      </c>
      <c r="J210" s="0" t="s">
        <v>9514</v>
      </c>
      <c r="K210" s="0" t="s">
        <v>9515</v>
      </c>
      <c r="L210" s="0" t="n">
        <v>2026</v>
      </c>
      <c r="M210" s="3" t="s">
        <v>9237</v>
      </c>
      <c r="N210" s="0" t="s">
        <v>9238</v>
      </c>
      <c r="O210" s="0" t="s">
        <v>9239</v>
      </c>
      <c r="P210" s="0" t="s">
        <v>9706</v>
      </c>
    </row>
    <row r="211" customFormat="false" ht="15" hidden="false" customHeight="false" outlineLevel="0" collapsed="false">
      <c r="A211" s="0" t="n">
        <v>934</v>
      </c>
      <c r="B211" s="0" t="s">
        <v>6327</v>
      </c>
      <c r="C211" s="0" t="s">
        <v>829</v>
      </c>
      <c r="D211" s="3" t="s">
        <v>9252</v>
      </c>
      <c r="E211" s="3" t="s">
        <v>9231</v>
      </c>
      <c r="F211" s="0" t="s">
        <v>9232</v>
      </c>
      <c r="G211" s="0" t="s">
        <v>9253</v>
      </c>
      <c r="H211" s="0" t="s">
        <v>9254</v>
      </c>
      <c r="I211" s="0" t="s">
        <v>9255</v>
      </c>
      <c r="J211" s="0" t="s">
        <v>9256</v>
      </c>
      <c r="L211" s="0" t="n">
        <v>2026</v>
      </c>
      <c r="M211" s="3" t="s">
        <v>9237</v>
      </c>
      <c r="N211" s="0" t="s">
        <v>9238</v>
      </c>
      <c r="O211" s="0" t="s">
        <v>9239</v>
      </c>
      <c r="P211" s="0" t="s">
        <v>9257</v>
      </c>
    </row>
    <row r="212" customFormat="false" ht="15" hidden="false" customHeight="false" outlineLevel="0" collapsed="false">
      <c r="A212" s="0" t="n">
        <v>935</v>
      </c>
      <c r="B212" s="0" t="s">
        <v>6333</v>
      </c>
      <c r="C212" s="0" t="s">
        <v>6004</v>
      </c>
      <c r="D212" s="3" t="s">
        <v>9707</v>
      </c>
      <c r="E212" s="3" t="s">
        <v>9231</v>
      </c>
      <c r="F212" s="0" t="s">
        <v>9708</v>
      </c>
      <c r="G212" s="0" t="s">
        <v>9471</v>
      </c>
      <c r="H212" s="0" t="s">
        <v>9472</v>
      </c>
      <c r="J212" s="0" t="s">
        <v>9473</v>
      </c>
      <c r="M212" s="3" t="s">
        <v>9226</v>
      </c>
      <c r="N212" s="0" t="s">
        <v>9276</v>
      </c>
      <c r="P212" s="0" t="s">
        <v>9474</v>
      </c>
    </row>
    <row r="213" customFormat="false" ht="15" hidden="false" customHeight="false" outlineLevel="0" collapsed="false">
      <c r="A213" s="0" t="n">
        <v>935</v>
      </c>
      <c r="B213" s="0" t="s">
        <v>6333</v>
      </c>
      <c r="C213" s="0" t="s">
        <v>9709</v>
      </c>
      <c r="E213" s="3" t="s">
        <v>9231</v>
      </c>
      <c r="F213" s="0" t="s">
        <v>9710</v>
      </c>
      <c r="L213" s="0" t="n">
        <v>2026</v>
      </c>
      <c r="M213" s="3" t="s">
        <v>9347</v>
      </c>
      <c r="N213" s="0" t="s">
        <v>9276</v>
      </c>
      <c r="P213" s="0" t="s">
        <v>9711</v>
      </c>
    </row>
    <row r="214" customFormat="false" ht="15" hidden="false" customHeight="false" outlineLevel="0" collapsed="false">
      <c r="A214" s="0" t="n">
        <v>938</v>
      </c>
      <c r="B214" s="0" t="s">
        <v>6363</v>
      </c>
      <c r="C214" s="0" t="s">
        <v>155</v>
      </c>
      <c r="D214" s="3" t="s">
        <v>9241</v>
      </c>
      <c r="E214" s="3" t="s">
        <v>9231</v>
      </c>
      <c r="F214" s="0" t="s">
        <v>9232</v>
      </c>
      <c r="G214" s="0" t="s">
        <v>9242</v>
      </c>
      <c r="H214" s="0" t="s">
        <v>9243</v>
      </c>
      <c r="I214" s="0" t="s">
        <v>9244</v>
      </c>
      <c r="L214" s="0" t="n">
        <v>2026</v>
      </c>
      <c r="M214" s="3" t="s">
        <v>9237</v>
      </c>
      <c r="N214" s="0" t="s">
        <v>9238</v>
      </c>
      <c r="O214" s="0" t="s">
        <v>9239</v>
      </c>
      <c r="P214" s="0" t="s">
        <v>9245</v>
      </c>
    </row>
    <row r="215" customFormat="false" ht="15" hidden="false" customHeight="false" outlineLevel="0" collapsed="false">
      <c r="A215" s="0" t="n">
        <v>939</v>
      </c>
      <c r="B215" s="0" t="s">
        <v>6369</v>
      </c>
      <c r="C215" s="0" t="s">
        <v>109</v>
      </c>
      <c r="D215" s="3" t="s">
        <v>9230</v>
      </c>
      <c r="E215" s="3" t="s">
        <v>9231</v>
      </c>
      <c r="F215" s="0" t="s">
        <v>9232</v>
      </c>
      <c r="G215" s="0" t="s">
        <v>9233</v>
      </c>
      <c r="H215" s="0" t="s">
        <v>9234</v>
      </c>
      <c r="I215" s="0" t="s">
        <v>9235</v>
      </c>
      <c r="J215" s="0" t="s">
        <v>9236</v>
      </c>
      <c r="L215" s="0" t="n">
        <v>2026</v>
      </c>
      <c r="M215" s="3" t="s">
        <v>9237</v>
      </c>
      <c r="N215" s="0" t="s">
        <v>9238</v>
      </c>
      <c r="O215" s="0" t="s">
        <v>9239</v>
      </c>
      <c r="P215" s="0" t="s">
        <v>9240</v>
      </c>
    </row>
    <row r="216" customFormat="false" ht="15" hidden="false" customHeight="false" outlineLevel="0" collapsed="false">
      <c r="A216" s="0" t="n">
        <v>942</v>
      </c>
      <c r="B216" s="0" t="s">
        <v>6382</v>
      </c>
      <c r="C216" s="0" t="s">
        <v>2320</v>
      </c>
      <c r="D216" s="3" t="s">
        <v>9460</v>
      </c>
      <c r="E216" s="3" t="s">
        <v>9231</v>
      </c>
      <c r="F216" s="0" t="s">
        <v>9461</v>
      </c>
      <c r="G216" s="0" t="s">
        <v>9462</v>
      </c>
      <c r="H216" s="0" t="s">
        <v>9463</v>
      </c>
      <c r="I216" s="0" t="s">
        <v>9464</v>
      </c>
      <c r="J216" s="0" t="s">
        <v>9465</v>
      </c>
      <c r="K216" s="0" t="s">
        <v>9466</v>
      </c>
      <c r="L216" s="0" t="n">
        <v>2026</v>
      </c>
      <c r="M216" s="3" t="s">
        <v>9237</v>
      </c>
      <c r="N216" s="0" t="s">
        <v>9276</v>
      </c>
      <c r="P216" s="0" t="s">
        <v>9467</v>
      </c>
    </row>
    <row r="217" customFormat="false" ht="15" hidden="false" customHeight="false" outlineLevel="0" collapsed="false">
      <c r="A217" s="0" t="n">
        <v>942</v>
      </c>
      <c r="B217" s="0" t="s">
        <v>6382</v>
      </c>
      <c r="C217" s="0" t="s">
        <v>1765</v>
      </c>
      <c r="D217" s="3" t="s">
        <v>9428</v>
      </c>
      <c r="E217" s="3" t="s">
        <v>9231</v>
      </c>
      <c r="F217" s="0" t="s">
        <v>9232</v>
      </c>
      <c r="G217" s="0" t="s">
        <v>9429</v>
      </c>
      <c r="H217" s="0" t="s">
        <v>9430</v>
      </c>
      <c r="I217" s="0" t="s">
        <v>9431</v>
      </c>
      <c r="J217" s="0" t="s">
        <v>9432</v>
      </c>
      <c r="L217" s="0" t="n">
        <v>2026</v>
      </c>
      <c r="M217" s="3" t="s">
        <v>9237</v>
      </c>
      <c r="N217" s="0" t="s">
        <v>9238</v>
      </c>
      <c r="O217" s="0" t="s">
        <v>9283</v>
      </c>
      <c r="P217" s="0" t="s">
        <v>9712</v>
      </c>
    </row>
    <row r="218" customFormat="false" ht="15" hidden="false" customHeight="false" outlineLevel="0" collapsed="false">
      <c r="A218" s="0" t="n">
        <v>947</v>
      </c>
      <c r="B218" s="0" t="s">
        <v>6404</v>
      </c>
      <c r="C218" s="0" t="s">
        <v>1331</v>
      </c>
      <c r="D218" s="3" t="s">
        <v>9422</v>
      </c>
      <c r="E218" s="3" t="s">
        <v>9231</v>
      </c>
      <c r="F218" s="0" t="s">
        <v>9713</v>
      </c>
      <c r="G218" s="0" t="s">
        <v>9365</v>
      </c>
      <c r="H218" s="0" t="s">
        <v>9366</v>
      </c>
      <c r="I218" s="0" t="s">
        <v>9367</v>
      </c>
      <c r="J218" s="0" t="s">
        <v>9368</v>
      </c>
      <c r="K218" s="0" t="s">
        <v>9369</v>
      </c>
      <c r="L218" s="0" t="n">
        <v>2026</v>
      </c>
      <c r="M218" s="3" t="s">
        <v>9237</v>
      </c>
      <c r="N218" s="0" t="s">
        <v>9276</v>
      </c>
      <c r="P218" s="0" t="s">
        <v>9714</v>
      </c>
    </row>
    <row r="219" customFormat="false" ht="15" hidden="false" customHeight="false" outlineLevel="0" collapsed="false">
      <c r="A219" s="0" t="n">
        <v>947</v>
      </c>
      <c r="B219" s="0" t="s">
        <v>6404</v>
      </c>
      <c r="C219" s="0" t="s">
        <v>2720</v>
      </c>
      <c r="D219" s="3" t="s">
        <v>9447</v>
      </c>
      <c r="E219" s="3" t="s">
        <v>9231</v>
      </c>
      <c r="F219" s="0" t="s">
        <v>9232</v>
      </c>
      <c r="G219" s="0" t="s">
        <v>9448</v>
      </c>
      <c r="H219" s="0" t="s">
        <v>9449</v>
      </c>
      <c r="I219" s="0" t="s">
        <v>9450</v>
      </c>
      <c r="J219" s="0" t="s">
        <v>9451</v>
      </c>
      <c r="L219" s="0" t="n">
        <v>2026</v>
      </c>
      <c r="M219" s="3" t="s">
        <v>9237</v>
      </c>
      <c r="N219" s="0" t="s">
        <v>9238</v>
      </c>
      <c r="O219" s="0" t="s">
        <v>9239</v>
      </c>
      <c r="P219" s="0" t="s">
        <v>9715</v>
      </c>
    </row>
    <row r="220" customFormat="false" ht="15" hidden="false" customHeight="false" outlineLevel="0" collapsed="false">
      <c r="A220" s="0" t="n">
        <v>947</v>
      </c>
      <c r="B220" s="0" t="s">
        <v>6404</v>
      </c>
      <c r="C220" s="0" t="s">
        <v>968</v>
      </c>
      <c r="D220" s="3" t="s">
        <v>9309</v>
      </c>
      <c r="E220" s="3" t="s">
        <v>9231</v>
      </c>
      <c r="F220" s="0" t="s">
        <v>9232</v>
      </c>
      <c r="G220" s="0" t="s">
        <v>9310</v>
      </c>
      <c r="H220" s="0" t="s">
        <v>9311</v>
      </c>
      <c r="I220" s="0" t="s">
        <v>9312</v>
      </c>
      <c r="L220" s="0" t="n">
        <v>2026</v>
      </c>
      <c r="M220" s="3" t="s">
        <v>9237</v>
      </c>
      <c r="N220" s="0" t="s">
        <v>9238</v>
      </c>
      <c r="O220" s="0" t="s">
        <v>9239</v>
      </c>
      <c r="P220" s="0" t="s">
        <v>9313</v>
      </c>
    </row>
    <row r="221" customFormat="false" ht="15" hidden="false" customHeight="false" outlineLevel="0" collapsed="false">
      <c r="A221" s="0" t="n">
        <v>949</v>
      </c>
      <c r="B221" s="0" t="s">
        <v>6427</v>
      </c>
      <c r="C221" s="0" t="s">
        <v>1231</v>
      </c>
      <c r="D221" s="3" t="s">
        <v>9349</v>
      </c>
      <c r="E221" s="3" t="s">
        <v>9231</v>
      </c>
      <c r="F221" s="0" t="s">
        <v>9232</v>
      </c>
      <c r="G221" s="0" t="s">
        <v>9350</v>
      </c>
      <c r="H221" s="0" t="s">
        <v>9351</v>
      </c>
      <c r="I221" s="0" t="s">
        <v>9352</v>
      </c>
      <c r="J221" s="0" t="s">
        <v>9353</v>
      </c>
      <c r="K221" s="0" t="s">
        <v>9354</v>
      </c>
      <c r="L221" s="0" t="n">
        <v>2026</v>
      </c>
      <c r="M221" s="3" t="s">
        <v>9237</v>
      </c>
      <c r="N221" s="0" t="s">
        <v>9238</v>
      </c>
      <c r="O221" s="0" t="s">
        <v>9239</v>
      </c>
      <c r="P221" s="0" t="s">
        <v>9355</v>
      </c>
    </row>
    <row r="222" customFormat="false" ht="15" hidden="false" customHeight="false" outlineLevel="0" collapsed="false">
      <c r="A222" s="0" t="n">
        <v>950</v>
      </c>
      <c r="B222" s="0" t="s">
        <v>6438</v>
      </c>
      <c r="C222" s="0" t="s">
        <v>3060</v>
      </c>
      <c r="D222" s="3" t="s">
        <v>9363</v>
      </c>
      <c r="E222" s="3" t="s">
        <v>9231</v>
      </c>
      <c r="F222" s="0" t="s">
        <v>9232</v>
      </c>
      <c r="G222" s="0" t="s">
        <v>9365</v>
      </c>
      <c r="H222" s="0" t="s">
        <v>9366</v>
      </c>
      <c r="I222" s="0" t="s">
        <v>9367</v>
      </c>
      <c r="J222" s="0" t="s">
        <v>9368</v>
      </c>
      <c r="K222" s="0" t="s">
        <v>9369</v>
      </c>
      <c r="L222" s="0" t="n">
        <v>2026</v>
      </c>
      <c r="M222" s="3" t="s">
        <v>9237</v>
      </c>
      <c r="N222" s="0" t="s">
        <v>9238</v>
      </c>
      <c r="O222" s="0" t="s">
        <v>9239</v>
      </c>
      <c r="P222" s="0" t="s">
        <v>9497</v>
      </c>
    </row>
    <row r="223" customFormat="false" ht="15" hidden="false" customHeight="false" outlineLevel="0" collapsed="false">
      <c r="A223" s="0" t="n">
        <v>955</v>
      </c>
      <c r="B223" s="0" t="s">
        <v>6458</v>
      </c>
      <c r="C223" s="0" t="s">
        <v>3060</v>
      </c>
      <c r="D223" s="3" t="s">
        <v>9363</v>
      </c>
      <c r="E223" s="3" t="s">
        <v>9231</v>
      </c>
      <c r="F223" s="0" t="s">
        <v>9232</v>
      </c>
      <c r="G223" s="0" t="s">
        <v>9365</v>
      </c>
      <c r="H223" s="0" t="s">
        <v>9366</v>
      </c>
      <c r="I223" s="0" t="s">
        <v>9367</v>
      </c>
      <c r="J223" s="0" t="s">
        <v>9368</v>
      </c>
      <c r="K223" s="0" t="s">
        <v>9369</v>
      </c>
      <c r="L223" s="0" t="n">
        <v>2026</v>
      </c>
      <c r="M223" s="3" t="s">
        <v>9237</v>
      </c>
      <c r="N223" s="0" t="s">
        <v>9238</v>
      </c>
      <c r="O223" s="0" t="s">
        <v>9239</v>
      </c>
      <c r="P223" s="0" t="s">
        <v>9497</v>
      </c>
    </row>
    <row r="224" customFormat="false" ht="15" hidden="false" customHeight="false" outlineLevel="0" collapsed="false">
      <c r="A224" s="0" t="n">
        <v>965</v>
      </c>
      <c r="B224" s="0" t="s">
        <v>6521</v>
      </c>
      <c r="C224" s="0" t="s">
        <v>9716</v>
      </c>
      <c r="E224" s="3" t="s">
        <v>9231</v>
      </c>
      <c r="F224" s="0" t="s">
        <v>9717</v>
      </c>
      <c r="L224" s="0" t="n">
        <v>2012</v>
      </c>
      <c r="M224" s="3" t="s">
        <v>9226</v>
      </c>
      <c r="N224" s="0" t="s">
        <v>9276</v>
      </c>
      <c r="P224" s="0" t="s">
        <v>9718</v>
      </c>
    </row>
    <row r="225" customFormat="false" ht="15" hidden="false" customHeight="false" outlineLevel="0" collapsed="false">
      <c r="A225" s="0" t="n">
        <v>965</v>
      </c>
      <c r="B225" s="0" t="s">
        <v>6521</v>
      </c>
      <c r="C225" s="0" t="s">
        <v>9719</v>
      </c>
      <c r="E225" s="3" t="s">
        <v>9231</v>
      </c>
      <c r="F225" s="0" t="s">
        <v>9720</v>
      </c>
      <c r="G225" s="0" t="s">
        <v>9721</v>
      </c>
      <c r="L225" s="0" t="n">
        <v>2026</v>
      </c>
      <c r="M225" s="3" t="s">
        <v>9347</v>
      </c>
      <c r="N225" s="0" t="s">
        <v>9276</v>
      </c>
      <c r="P225" s="0" t="s">
        <v>9722</v>
      </c>
    </row>
    <row r="226" customFormat="false" ht="15" hidden="false" customHeight="false" outlineLevel="0" collapsed="false">
      <c r="A226" s="0" t="n">
        <v>965</v>
      </c>
      <c r="B226" s="0" t="s">
        <v>6521</v>
      </c>
      <c r="C226" s="0" t="s">
        <v>1545</v>
      </c>
      <c r="D226" s="3" t="s">
        <v>9493</v>
      </c>
      <c r="E226" s="3" t="s">
        <v>9231</v>
      </c>
      <c r="F226" s="0" t="s">
        <v>9232</v>
      </c>
      <c r="G226" s="0" t="s">
        <v>9494</v>
      </c>
      <c r="H226" s="0" t="s">
        <v>9396</v>
      </c>
      <c r="I226" s="0" t="s">
        <v>9397</v>
      </c>
      <c r="J226" s="0" t="s">
        <v>9398</v>
      </c>
      <c r="L226" s="0" t="n">
        <v>2026</v>
      </c>
      <c r="M226" s="3" t="s">
        <v>9237</v>
      </c>
      <c r="N226" s="0" t="s">
        <v>9238</v>
      </c>
      <c r="O226" s="0" t="s">
        <v>9239</v>
      </c>
      <c r="P226" s="0" t="s">
        <v>9509</v>
      </c>
    </row>
    <row r="227" customFormat="false" ht="15" hidden="false" customHeight="false" outlineLevel="0" collapsed="false">
      <c r="A227" s="0" t="n">
        <v>967</v>
      </c>
      <c r="B227" s="0" t="s">
        <v>6546</v>
      </c>
      <c r="C227" s="0" t="s">
        <v>284</v>
      </c>
      <c r="D227" s="3" t="s">
        <v>9265</v>
      </c>
      <c r="E227" s="3" t="s">
        <v>9231</v>
      </c>
      <c r="F227" s="0" t="s">
        <v>9723</v>
      </c>
      <c r="G227" s="0" t="s">
        <v>9724</v>
      </c>
      <c r="I227" s="0" t="s">
        <v>9268</v>
      </c>
      <c r="M227" s="3" t="s">
        <v>9237</v>
      </c>
      <c r="N227" s="0" t="s">
        <v>9227</v>
      </c>
      <c r="P227" s="0" t="s">
        <v>9725</v>
      </c>
    </row>
    <row r="228" customFormat="false" ht="15" hidden="false" customHeight="false" outlineLevel="0" collapsed="false">
      <c r="A228" s="0" t="n">
        <v>971</v>
      </c>
      <c r="B228" s="0" t="s">
        <v>6579</v>
      </c>
      <c r="C228" s="0" t="s">
        <v>968</v>
      </c>
      <c r="D228" s="3" t="s">
        <v>9309</v>
      </c>
      <c r="E228" s="3" t="s">
        <v>9231</v>
      </c>
      <c r="F228" s="0" t="s">
        <v>9232</v>
      </c>
      <c r="G228" s="0" t="s">
        <v>9310</v>
      </c>
      <c r="H228" s="0" t="s">
        <v>9311</v>
      </c>
      <c r="I228" s="0" t="s">
        <v>9312</v>
      </c>
      <c r="L228" s="0" t="n">
        <v>2026</v>
      </c>
      <c r="M228" s="3" t="s">
        <v>9237</v>
      </c>
      <c r="N228" s="0" t="s">
        <v>9238</v>
      </c>
      <c r="O228" s="0" t="s">
        <v>9239</v>
      </c>
      <c r="P228" s="0" t="s">
        <v>9313</v>
      </c>
    </row>
    <row r="229" customFormat="false" ht="15" hidden="false" customHeight="false" outlineLevel="0" collapsed="false">
      <c r="A229" s="0" t="n">
        <v>975</v>
      </c>
      <c r="B229" s="0" t="s">
        <v>6607</v>
      </c>
      <c r="C229" s="0" t="s">
        <v>109</v>
      </c>
      <c r="D229" s="3" t="s">
        <v>9230</v>
      </c>
      <c r="E229" s="3" t="s">
        <v>9231</v>
      </c>
      <c r="F229" s="0" t="s">
        <v>9232</v>
      </c>
      <c r="G229" s="0" t="s">
        <v>9233</v>
      </c>
      <c r="H229" s="0" t="s">
        <v>9234</v>
      </c>
      <c r="I229" s="0" t="s">
        <v>9235</v>
      </c>
      <c r="J229" s="0" t="s">
        <v>9236</v>
      </c>
      <c r="L229" s="0" t="n">
        <v>2026</v>
      </c>
      <c r="M229" s="3" t="s">
        <v>9237</v>
      </c>
      <c r="N229" s="0" t="s">
        <v>9238</v>
      </c>
      <c r="O229" s="0" t="s">
        <v>9239</v>
      </c>
      <c r="P229" s="0" t="s">
        <v>9240</v>
      </c>
    </row>
    <row r="230" customFormat="false" ht="15" hidden="false" customHeight="false" outlineLevel="0" collapsed="false">
      <c r="A230" s="0" t="n">
        <v>978</v>
      </c>
      <c r="B230" s="0" t="s">
        <v>6631</v>
      </c>
      <c r="C230" s="0" t="s">
        <v>3060</v>
      </c>
      <c r="D230" s="3" t="s">
        <v>9363</v>
      </c>
      <c r="E230" s="3" t="s">
        <v>9231</v>
      </c>
      <c r="F230" s="0" t="s">
        <v>9232</v>
      </c>
      <c r="G230" s="0" t="s">
        <v>9365</v>
      </c>
      <c r="H230" s="0" t="s">
        <v>9366</v>
      </c>
      <c r="I230" s="0" t="s">
        <v>9367</v>
      </c>
      <c r="J230" s="0" t="s">
        <v>9368</v>
      </c>
      <c r="K230" s="0" t="s">
        <v>9369</v>
      </c>
      <c r="L230" s="0" t="n">
        <v>2026</v>
      </c>
      <c r="M230" s="3" t="s">
        <v>9237</v>
      </c>
      <c r="N230" s="0" t="s">
        <v>9238</v>
      </c>
      <c r="O230" s="0" t="s">
        <v>9239</v>
      </c>
      <c r="P230" s="0" t="s">
        <v>9497</v>
      </c>
    </row>
    <row r="231" customFormat="false" ht="15" hidden="false" customHeight="false" outlineLevel="0" collapsed="false">
      <c r="A231" s="0" t="n">
        <v>985</v>
      </c>
      <c r="B231" s="0" t="s">
        <v>6669</v>
      </c>
      <c r="C231" s="0" t="s">
        <v>9726</v>
      </c>
      <c r="E231" s="3" t="s">
        <v>9224</v>
      </c>
      <c r="F231" s="0" t="s">
        <v>9727</v>
      </c>
      <c r="G231" s="0" t="s">
        <v>6671</v>
      </c>
      <c r="H231" s="0" t="s">
        <v>9728</v>
      </c>
      <c r="I231" s="0" t="s">
        <v>6683</v>
      </c>
      <c r="J231" s="0" t="s">
        <v>9729</v>
      </c>
      <c r="L231" s="0" t="n">
        <v>2026</v>
      </c>
      <c r="M231" s="3" t="s">
        <v>9237</v>
      </c>
      <c r="N231" s="0" t="s">
        <v>9276</v>
      </c>
      <c r="P231" s="0" t="s">
        <v>9730</v>
      </c>
    </row>
    <row r="232" customFormat="false" ht="15" hidden="false" customHeight="false" outlineLevel="0" collapsed="false">
      <c r="A232" s="0" t="n">
        <v>985</v>
      </c>
      <c r="B232" s="0" t="s">
        <v>6669</v>
      </c>
      <c r="C232" s="0" t="s">
        <v>9731</v>
      </c>
      <c r="E232" s="3" t="s">
        <v>9231</v>
      </c>
      <c r="F232" s="0" t="s">
        <v>9732</v>
      </c>
      <c r="G232" s="0" t="s">
        <v>9643</v>
      </c>
      <c r="H232" s="0" t="s">
        <v>9733</v>
      </c>
      <c r="I232" s="0" t="s">
        <v>9645</v>
      </c>
      <c r="J232" s="0" t="s">
        <v>9646</v>
      </c>
      <c r="M232" s="3" t="s">
        <v>9226</v>
      </c>
      <c r="N232" s="0" t="s">
        <v>9276</v>
      </c>
      <c r="P232" s="0" t="s">
        <v>9734</v>
      </c>
    </row>
    <row r="233" customFormat="false" ht="15" hidden="false" customHeight="false" outlineLevel="0" collapsed="false">
      <c r="A233" s="0" t="n">
        <v>988</v>
      </c>
      <c r="B233" s="0" t="s">
        <v>6698</v>
      </c>
      <c r="C233" s="0" t="s">
        <v>3175</v>
      </c>
      <c r="E233" s="3" t="s">
        <v>9231</v>
      </c>
      <c r="F233" s="0" t="s">
        <v>9735</v>
      </c>
      <c r="G233" s="0" t="s">
        <v>9272</v>
      </c>
      <c r="H233" s="0" t="s">
        <v>9273</v>
      </c>
      <c r="I233" s="0" t="s">
        <v>9274</v>
      </c>
      <c r="J233" s="0" t="s">
        <v>9275</v>
      </c>
      <c r="L233" s="0" t="n">
        <v>2026</v>
      </c>
      <c r="M233" s="3" t="s">
        <v>9237</v>
      </c>
      <c r="N233" s="0" t="s">
        <v>9276</v>
      </c>
      <c r="P233" s="0" t="s">
        <v>9736</v>
      </c>
    </row>
    <row r="234" customFormat="false" ht="15" hidden="false" customHeight="false" outlineLevel="0" collapsed="false">
      <c r="A234" s="0" t="n">
        <v>988</v>
      </c>
      <c r="B234" s="0" t="s">
        <v>6698</v>
      </c>
      <c r="C234" s="0" t="s">
        <v>4094</v>
      </c>
      <c r="D234" s="3" t="s">
        <v>9278</v>
      </c>
      <c r="E234" s="3" t="s">
        <v>9231</v>
      </c>
      <c r="F234" s="0" t="s">
        <v>9737</v>
      </c>
      <c r="G234" s="0" t="s">
        <v>9279</v>
      </c>
      <c r="H234" s="0" t="s">
        <v>9280</v>
      </c>
      <c r="J234" s="0" t="s">
        <v>9282</v>
      </c>
      <c r="L234" s="0" t="n">
        <v>2026</v>
      </c>
      <c r="M234" s="3" t="s">
        <v>9237</v>
      </c>
      <c r="N234" s="0" t="s">
        <v>9276</v>
      </c>
      <c r="P234" s="0" t="s">
        <v>9738</v>
      </c>
    </row>
    <row r="235" customFormat="false" ht="15" hidden="false" customHeight="false" outlineLevel="0" collapsed="false">
      <c r="A235" s="0" t="n">
        <v>989</v>
      </c>
      <c r="B235" s="0" t="s">
        <v>6715</v>
      </c>
      <c r="C235" s="0" t="s">
        <v>3175</v>
      </c>
      <c r="E235" s="3" t="s">
        <v>9231</v>
      </c>
      <c r="F235" s="0" t="s">
        <v>9735</v>
      </c>
      <c r="G235" s="0" t="s">
        <v>9272</v>
      </c>
      <c r="H235" s="0" t="s">
        <v>9273</v>
      </c>
      <c r="I235" s="0" t="s">
        <v>9274</v>
      </c>
      <c r="J235" s="0" t="s">
        <v>9275</v>
      </c>
      <c r="L235" s="0" t="n">
        <v>2026</v>
      </c>
      <c r="M235" s="3" t="s">
        <v>9237</v>
      </c>
      <c r="N235" s="0" t="s">
        <v>9276</v>
      </c>
      <c r="P235" s="0" t="s">
        <v>9736</v>
      </c>
    </row>
    <row r="236" customFormat="false" ht="15" hidden="false" customHeight="false" outlineLevel="0" collapsed="false">
      <c r="A236" s="0" t="n">
        <v>989</v>
      </c>
      <c r="B236" s="0" t="s">
        <v>6715</v>
      </c>
      <c r="C236" s="0" t="s">
        <v>4094</v>
      </c>
      <c r="D236" s="3" t="s">
        <v>9278</v>
      </c>
      <c r="E236" s="3" t="s">
        <v>9231</v>
      </c>
      <c r="F236" s="0" t="s">
        <v>9737</v>
      </c>
      <c r="G236" s="0" t="s">
        <v>9279</v>
      </c>
      <c r="H236" s="0" t="s">
        <v>9280</v>
      </c>
      <c r="J236" s="0" t="s">
        <v>9282</v>
      </c>
      <c r="L236" s="0" t="n">
        <v>2026</v>
      </c>
      <c r="M236" s="3" t="s">
        <v>9237</v>
      </c>
      <c r="N236" s="0" t="s">
        <v>9276</v>
      </c>
      <c r="P236" s="0" t="s">
        <v>9738</v>
      </c>
    </row>
    <row r="237" customFormat="false" ht="15" hidden="false" customHeight="false" outlineLevel="0" collapsed="false">
      <c r="A237" s="0" t="n">
        <v>1027</v>
      </c>
      <c r="B237" s="0" t="s">
        <v>6927</v>
      </c>
      <c r="C237" s="0" t="s">
        <v>1530</v>
      </c>
      <c r="D237" s="3" t="s">
        <v>9387</v>
      </c>
      <c r="E237" s="3" t="s">
        <v>9231</v>
      </c>
      <c r="F237" s="0" t="s">
        <v>9232</v>
      </c>
      <c r="G237" s="0" t="s">
        <v>9388</v>
      </c>
      <c r="H237" s="0" t="s">
        <v>9389</v>
      </c>
      <c r="I237" s="0" t="s">
        <v>9390</v>
      </c>
      <c r="J237" s="0" t="s">
        <v>9391</v>
      </c>
      <c r="L237" s="0" t="n">
        <v>2026</v>
      </c>
      <c r="M237" s="3" t="s">
        <v>9237</v>
      </c>
      <c r="N237" s="0" t="s">
        <v>9238</v>
      </c>
      <c r="O237" s="0" t="s">
        <v>9239</v>
      </c>
      <c r="P237" s="0" t="s">
        <v>9392</v>
      </c>
    </row>
    <row r="238" customFormat="false" ht="15" hidden="false" customHeight="false" outlineLevel="0" collapsed="false">
      <c r="A238" s="0" t="n">
        <v>1029</v>
      </c>
      <c r="B238" s="0" t="s">
        <v>6940</v>
      </c>
      <c r="C238" s="0" t="s">
        <v>6947</v>
      </c>
      <c r="D238" s="3" t="s">
        <v>9258</v>
      </c>
      <c r="E238" s="3" t="s">
        <v>9231</v>
      </c>
      <c r="F238" s="0" t="s">
        <v>9739</v>
      </c>
      <c r="G238" s="0" t="s">
        <v>9259</v>
      </c>
      <c r="H238" s="0" t="s">
        <v>9260</v>
      </c>
      <c r="I238" s="0" t="s">
        <v>9261</v>
      </c>
      <c r="J238" s="0" t="s">
        <v>9262</v>
      </c>
      <c r="K238" s="0" t="s">
        <v>9263</v>
      </c>
      <c r="L238" s="0" t="n">
        <v>2026</v>
      </c>
      <c r="M238" s="3" t="s">
        <v>9237</v>
      </c>
      <c r="N238" s="0" t="s">
        <v>9276</v>
      </c>
      <c r="P238" s="0" t="s">
        <v>9740</v>
      </c>
    </row>
    <row r="239" customFormat="false" ht="15" hidden="false" customHeight="false" outlineLevel="0" collapsed="false">
      <c r="A239" s="0" t="n">
        <v>1030</v>
      </c>
      <c r="B239" s="0" t="s">
        <v>6954</v>
      </c>
      <c r="C239" s="0" t="s">
        <v>3898</v>
      </c>
      <c r="D239" s="3" t="s">
        <v>9482</v>
      </c>
      <c r="E239" s="3" t="s">
        <v>9231</v>
      </c>
      <c r="F239" s="0" t="s">
        <v>9232</v>
      </c>
      <c r="G239" s="0" t="s">
        <v>9483</v>
      </c>
      <c r="H239" s="0" t="s">
        <v>9484</v>
      </c>
      <c r="J239" s="0" t="s">
        <v>9485</v>
      </c>
      <c r="L239" s="0" t="n">
        <v>2026</v>
      </c>
      <c r="M239" s="3" t="s">
        <v>9237</v>
      </c>
      <c r="N239" s="0" t="s">
        <v>9238</v>
      </c>
      <c r="O239" s="0" t="s">
        <v>9239</v>
      </c>
      <c r="P239" s="0" t="s">
        <v>9741</v>
      </c>
    </row>
    <row r="240" customFormat="false" ht="15" hidden="false" customHeight="false" outlineLevel="0" collapsed="false">
      <c r="A240" s="0" t="n">
        <v>1030</v>
      </c>
      <c r="B240" s="0" t="s">
        <v>6954</v>
      </c>
      <c r="C240" s="0" t="s">
        <v>6947</v>
      </c>
      <c r="D240" s="3" t="s">
        <v>9258</v>
      </c>
      <c r="E240" s="3" t="s">
        <v>9231</v>
      </c>
      <c r="F240" s="0" t="s">
        <v>9232</v>
      </c>
      <c r="G240" s="0" t="s">
        <v>9259</v>
      </c>
      <c r="H240" s="0" t="s">
        <v>9260</v>
      </c>
      <c r="I240" s="0" t="s">
        <v>9261</v>
      </c>
      <c r="J240" s="0" t="s">
        <v>9262</v>
      </c>
      <c r="K240" s="0" t="s">
        <v>9263</v>
      </c>
      <c r="L240" s="0" t="n">
        <v>2026</v>
      </c>
      <c r="M240" s="3" t="s">
        <v>9237</v>
      </c>
      <c r="N240" s="0" t="s">
        <v>9238</v>
      </c>
      <c r="O240" s="0" t="s">
        <v>9239</v>
      </c>
      <c r="P240" s="0" t="s">
        <v>9264</v>
      </c>
    </row>
    <row r="241" customFormat="false" ht="15" hidden="false" customHeight="false" outlineLevel="0" collapsed="false">
      <c r="A241" s="0" t="n">
        <v>1032</v>
      </c>
      <c r="B241" s="0" t="s">
        <v>6966</v>
      </c>
      <c r="C241" s="0" t="s">
        <v>829</v>
      </c>
      <c r="D241" s="3" t="s">
        <v>9252</v>
      </c>
      <c r="E241" s="3" t="s">
        <v>9231</v>
      </c>
      <c r="F241" s="0" t="s">
        <v>9232</v>
      </c>
      <c r="G241" s="0" t="s">
        <v>9253</v>
      </c>
      <c r="H241" s="0" t="s">
        <v>9254</v>
      </c>
      <c r="I241" s="0" t="s">
        <v>9255</v>
      </c>
      <c r="J241" s="0" t="s">
        <v>9256</v>
      </c>
      <c r="L241" s="0" t="n">
        <v>2026</v>
      </c>
      <c r="M241" s="3" t="s">
        <v>9237</v>
      </c>
      <c r="N241" s="0" t="s">
        <v>9238</v>
      </c>
      <c r="O241" s="0" t="s">
        <v>9283</v>
      </c>
      <c r="P241" s="0" t="s">
        <v>9257</v>
      </c>
    </row>
    <row r="242" customFormat="false" ht="15" hidden="false" customHeight="false" outlineLevel="0" collapsed="false">
      <c r="A242" s="0" t="n">
        <v>1048</v>
      </c>
      <c r="B242" s="0" t="s">
        <v>7053</v>
      </c>
      <c r="C242" s="0" t="s">
        <v>9742</v>
      </c>
      <c r="E242" s="3" t="s">
        <v>9231</v>
      </c>
      <c r="F242" s="0" t="s">
        <v>9743</v>
      </c>
      <c r="G242" s="0" t="s">
        <v>9744</v>
      </c>
      <c r="H242" s="0" t="s">
        <v>9745</v>
      </c>
      <c r="J242" s="0" t="s">
        <v>9746</v>
      </c>
      <c r="L242" s="0" t="n">
        <v>2026</v>
      </c>
      <c r="M242" s="3" t="s">
        <v>9237</v>
      </c>
      <c r="N242" s="0" t="s">
        <v>9276</v>
      </c>
      <c r="P242" s="0" t="s">
        <v>9747</v>
      </c>
    </row>
    <row r="243" customFormat="false" ht="15" hidden="false" customHeight="false" outlineLevel="0" collapsed="false">
      <c r="A243" s="0" t="n">
        <v>1048</v>
      </c>
      <c r="B243" s="0" t="s">
        <v>7053</v>
      </c>
      <c r="C243" s="0" t="s">
        <v>9748</v>
      </c>
      <c r="E243" s="3" t="s">
        <v>9231</v>
      </c>
      <c r="F243" s="0" t="s">
        <v>9749</v>
      </c>
      <c r="G243" s="0" t="s">
        <v>9750</v>
      </c>
      <c r="H243" s="0" t="s">
        <v>9273</v>
      </c>
      <c r="I243" s="0" t="s">
        <v>9274</v>
      </c>
      <c r="J243" s="0" t="s">
        <v>9275</v>
      </c>
      <c r="L243" s="0" t="n">
        <v>2014</v>
      </c>
      <c r="M243" s="3" t="s">
        <v>9226</v>
      </c>
      <c r="N243" s="0" t="s">
        <v>9276</v>
      </c>
      <c r="P243" s="0" t="s">
        <v>9751</v>
      </c>
    </row>
    <row r="244" customFormat="false" ht="15" hidden="false" customHeight="false" outlineLevel="0" collapsed="false">
      <c r="A244" s="0" t="n">
        <v>1048</v>
      </c>
      <c r="B244" s="0" t="s">
        <v>7053</v>
      </c>
      <c r="C244" s="0" t="s">
        <v>1423</v>
      </c>
      <c r="D244" s="3" t="s">
        <v>9385</v>
      </c>
      <c r="E244" s="3" t="s">
        <v>9231</v>
      </c>
      <c r="F244" s="0" t="s">
        <v>9287</v>
      </c>
      <c r="G244" s="0" t="s">
        <v>9752</v>
      </c>
      <c r="H244" s="0" t="s">
        <v>9288</v>
      </c>
      <c r="I244" s="0" t="s">
        <v>9289</v>
      </c>
      <c r="J244" s="0" t="s">
        <v>9290</v>
      </c>
      <c r="M244" s="3" t="s">
        <v>9226</v>
      </c>
      <c r="N244" s="0" t="s">
        <v>9276</v>
      </c>
      <c r="P244" s="0" t="s">
        <v>9753</v>
      </c>
    </row>
    <row r="245" customFormat="false" ht="15" hidden="false" customHeight="false" outlineLevel="0" collapsed="false">
      <c r="A245" s="0" t="n">
        <v>1053</v>
      </c>
      <c r="B245" s="0" t="s">
        <v>7095</v>
      </c>
      <c r="C245" s="0" t="s">
        <v>4094</v>
      </c>
      <c r="D245" s="3" t="s">
        <v>9278</v>
      </c>
      <c r="E245" s="3" t="s">
        <v>9231</v>
      </c>
      <c r="F245" s="0" t="s">
        <v>9232</v>
      </c>
      <c r="G245" s="0" t="s">
        <v>9279</v>
      </c>
      <c r="H245" s="0" t="s">
        <v>9280</v>
      </c>
      <c r="I245" s="0" t="s">
        <v>9281</v>
      </c>
      <c r="J245" s="0" t="s">
        <v>9282</v>
      </c>
      <c r="L245" s="0" t="n">
        <v>2026</v>
      </c>
      <c r="M245" s="3" t="s">
        <v>9237</v>
      </c>
      <c r="N245" s="0" t="s">
        <v>9238</v>
      </c>
      <c r="O245" s="0" t="s">
        <v>9239</v>
      </c>
      <c r="P245" s="0" t="s">
        <v>9284</v>
      </c>
    </row>
    <row r="246" customFormat="false" ht="15" hidden="false" customHeight="false" outlineLevel="0" collapsed="false">
      <c r="A246" s="0" t="n">
        <v>1057</v>
      </c>
      <c r="B246" s="0" t="s">
        <v>7128</v>
      </c>
      <c r="C246" s="0" t="s">
        <v>829</v>
      </c>
      <c r="D246" s="3" t="s">
        <v>9252</v>
      </c>
      <c r="E246" s="3" t="s">
        <v>9231</v>
      </c>
      <c r="F246" s="0" t="s">
        <v>9232</v>
      </c>
      <c r="G246" s="0" t="s">
        <v>9253</v>
      </c>
      <c r="H246" s="0" t="s">
        <v>9254</v>
      </c>
      <c r="I246" s="0" t="s">
        <v>9255</v>
      </c>
      <c r="J246" s="0" t="s">
        <v>9256</v>
      </c>
      <c r="L246" s="0" t="n">
        <v>2026</v>
      </c>
      <c r="M246" s="3" t="s">
        <v>9237</v>
      </c>
      <c r="N246" s="0" t="s">
        <v>9238</v>
      </c>
      <c r="O246" s="0" t="s">
        <v>9239</v>
      </c>
      <c r="P246" s="0" t="s">
        <v>9257</v>
      </c>
    </row>
    <row r="247" customFormat="false" ht="15" hidden="false" customHeight="false" outlineLevel="0" collapsed="false">
      <c r="A247" s="0" t="n">
        <v>1060</v>
      </c>
      <c r="B247" s="0" t="s">
        <v>7149</v>
      </c>
      <c r="C247" s="0" t="s">
        <v>6004</v>
      </c>
      <c r="D247" s="3" t="s">
        <v>9707</v>
      </c>
      <c r="E247" s="3" t="s">
        <v>9231</v>
      </c>
      <c r="F247" s="0" t="s">
        <v>9708</v>
      </c>
      <c r="G247" s="0" t="s">
        <v>9471</v>
      </c>
      <c r="H247" s="0" t="s">
        <v>9472</v>
      </c>
      <c r="J247" s="0" t="s">
        <v>9473</v>
      </c>
      <c r="M247" s="3" t="s">
        <v>9226</v>
      </c>
      <c r="N247" s="0" t="s">
        <v>9276</v>
      </c>
      <c r="P247" s="0" t="s">
        <v>9474</v>
      </c>
    </row>
    <row r="248" customFormat="false" ht="15" hidden="false" customHeight="false" outlineLevel="0" collapsed="false">
      <c r="A248" s="0" t="n">
        <v>1060</v>
      </c>
      <c r="B248" s="0" t="s">
        <v>7149</v>
      </c>
      <c r="C248" s="0" t="s">
        <v>9709</v>
      </c>
      <c r="E248" s="3" t="s">
        <v>9231</v>
      </c>
      <c r="F248" s="0" t="s">
        <v>9710</v>
      </c>
      <c r="L248" s="0" t="n">
        <v>2026</v>
      </c>
      <c r="M248" s="3" t="s">
        <v>9347</v>
      </c>
      <c r="N248" s="0" t="s">
        <v>9276</v>
      </c>
      <c r="P248" s="0" t="s">
        <v>9711</v>
      </c>
    </row>
    <row r="249" customFormat="false" ht="15" hidden="false" customHeight="false" outlineLevel="0" collapsed="false">
      <c r="A249" s="0" t="n">
        <v>1064</v>
      </c>
      <c r="B249" s="0" t="s">
        <v>7175</v>
      </c>
      <c r="C249" s="0" t="s">
        <v>6315</v>
      </c>
      <c r="D249" s="3" t="s">
        <v>9510</v>
      </c>
      <c r="E249" s="3" t="s">
        <v>9231</v>
      </c>
      <c r="F249" s="0" t="s">
        <v>9648</v>
      </c>
      <c r="G249" s="0" t="s">
        <v>9512</v>
      </c>
      <c r="H249" s="0" t="s">
        <v>9513</v>
      </c>
      <c r="J249" s="0" t="s">
        <v>9514</v>
      </c>
      <c r="K249" s="0" t="s">
        <v>9515</v>
      </c>
      <c r="L249" s="0" t="n">
        <v>2026</v>
      </c>
      <c r="M249" s="3" t="s">
        <v>9237</v>
      </c>
      <c r="N249" s="0" t="s">
        <v>9276</v>
      </c>
      <c r="P249" s="0" t="s">
        <v>9649</v>
      </c>
    </row>
    <row r="250" customFormat="false" ht="15" hidden="false" customHeight="false" outlineLevel="0" collapsed="false">
      <c r="A250" s="0" t="n">
        <v>1064</v>
      </c>
      <c r="B250" s="0" t="s">
        <v>7175</v>
      </c>
      <c r="C250" s="0" t="s">
        <v>9650</v>
      </c>
      <c r="E250" s="3" t="s">
        <v>9231</v>
      </c>
      <c r="F250" s="0" t="s">
        <v>9651</v>
      </c>
      <c r="G250" s="0" t="s">
        <v>9652</v>
      </c>
      <c r="H250" s="0" t="s">
        <v>9653</v>
      </c>
      <c r="J250" s="0" t="s">
        <v>9654</v>
      </c>
      <c r="M250" s="3" t="s">
        <v>9226</v>
      </c>
      <c r="N250" s="0" t="s">
        <v>9276</v>
      </c>
      <c r="P250" s="0" t="s">
        <v>9655</v>
      </c>
    </row>
    <row r="251" customFormat="false" ht="15" hidden="false" customHeight="false" outlineLevel="0" collapsed="false">
      <c r="A251" s="0" t="n">
        <v>1064</v>
      </c>
      <c r="B251" s="0" t="s">
        <v>7175</v>
      </c>
      <c r="C251" s="0" t="s">
        <v>9656</v>
      </c>
      <c r="E251" s="3" t="s">
        <v>9231</v>
      </c>
      <c r="F251" s="0" t="s">
        <v>9657</v>
      </c>
      <c r="M251" s="3" t="s">
        <v>9226</v>
      </c>
      <c r="N251" s="0" t="s">
        <v>9276</v>
      </c>
      <c r="P251" s="0" t="s">
        <v>9655</v>
      </c>
    </row>
    <row r="252" customFormat="false" ht="15" hidden="false" customHeight="false" outlineLevel="0" collapsed="false">
      <c r="A252" s="0" t="n">
        <v>1070</v>
      </c>
      <c r="B252" s="0" t="s">
        <v>7211</v>
      </c>
      <c r="C252" s="0" t="s">
        <v>2751</v>
      </c>
      <c r="D252" s="0" t="s">
        <v>9453</v>
      </c>
      <c r="E252" s="3" t="s">
        <v>9231</v>
      </c>
      <c r="F252" s="0" t="s">
        <v>9232</v>
      </c>
      <c r="G252" s="0" t="s">
        <v>9454</v>
      </c>
      <c r="H252" s="0" t="s">
        <v>9455</v>
      </c>
      <c r="I252" s="0" t="s">
        <v>9456</v>
      </c>
      <c r="J252" s="0" t="s">
        <v>9457</v>
      </c>
      <c r="K252" s="0" t="s">
        <v>9458</v>
      </c>
      <c r="L252" s="0" t="n">
        <v>2026</v>
      </c>
      <c r="M252" s="3" t="s">
        <v>9237</v>
      </c>
      <c r="N252" s="0" t="s">
        <v>9238</v>
      </c>
      <c r="O252" s="0" t="s">
        <v>9239</v>
      </c>
      <c r="P252" s="0" t="s">
        <v>9459</v>
      </c>
    </row>
    <row r="253" customFormat="false" ht="15" hidden="false" customHeight="false" outlineLevel="0" collapsed="false">
      <c r="A253" s="0" t="n">
        <v>1080</v>
      </c>
      <c r="B253" s="0" t="s">
        <v>7270</v>
      </c>
      <c r="C253" s="0" t="s">
        <v>9754</v>
      </c>
      <c r="D253" s="0" t="s">
        <v>9755</v>
      </c>
      <c r="E253" s="3" t="s">
        <v>9231</v>
      </c>
      <c r="F253" s="0" t="s">
        <v>9756</v>
      </c>
      <c r="G253" s="0" t="s">
        <v>9757</v>
      </c>
      <c r="H253" s="0" t="s">
        <v>9758</v>
      </c>
      <c r="J253" s="0" t="s">
        <v>9759</v>
      </c>
      <c r="L253" s="0" t="n">
        <v>2026</v>
      </c>
      <c r="M253" s="3" t="s">
        <v>9237</v>
      </c>
      <c r="N253" s="0" t="s">
        <v>9276</v>
      </c>
      <c r="P253" s="0" t="s">
        <v>9760</v>
      </c>
    </row>
    <row r="254" customFormat="false" ht="15" hidden="false" customHeight="false" outlineLevel="0" collapsed="false">
      <c r="A254" s="0" t="n">
        <v>1080</v>
      </c>
      <c r="B254" s="0" t="s">
        <v>7270</v>
      </c>
      <c r="C254" s="0" t="s">
        <v>9761</v>
      </c>
      <c r="D254" s="3" t="s">
        <v>9762</v>
      </c>
      <c r="E254" s="3" t="s">
        <v>9231</v>
      </c>
      <c r="F254" s="0" t="s">
        <v>9232</v>
      </c>
      <c r="G254" s="0" t="s">
        <v>9609</v>
      </c>
      <c r="H254" s="0" t="s">
        <v>9610</v>
      </c>
      <c r="I254" s="0" t="s">
        <v>9611</v>
      </c>
      <c r="J254" s="0" t="s">
        <v>9612</v>
      </c>
      <c r="K254" s="0" t="s">
        <v>9613</v>
      </c>
      <c r="L254" s="0" t="n">
        <v>2026</v>
      </c>
      <c r="M254" s="3" t="s">
        <v>9237</v>
      </c>
      <c r="N254" s="0" t="s">
        <v>9238</v>
      </c>
      <c r="O254" s="0" t="s">
        <v>9239</v>
      </c>
      <c r="P254" s="0" t="s">
        <v>9763</v>
      </c>
    </row>
    <row r="255" customFormat="false" ht="15" hidden="false" customHeight="false" outlineLevel="0" collapsed="false">
      <c r="A255" s="0" t="n">
        <v>1081</v>
      </c>
      <c r="B255" s="0" t="s">
        <v>7290</v>
      </c>
      <c r="C255" s="0" t="s">
        <v>9726</v>
      </c>
      <c r="E255" s="3" t="s">
        <v>9224</v>
      </c>
      <c r="F255" s="0" t="s">
        <v>9727</v>
      </c>
      <c r="G255" s="0" t="s">
        <v>6671</v>
      </c>
      <c r="H255" s="0" t="s">
        <v>9728</v>
      </c>
      <c r="I255" s="0" t="s">
        <v>6683</v>
      </c>
      <c r="J255" s="0" t="s">
        <v>9729</v>
      </c>
      <c r="L255" s="0" t="n">
        <v>2026</v>
      </c>
      <c r="M255" s="3" t="s">
        <v>9237</v>
      </c>
      <c r="N255" s="0" t="s">
        <v>9276</v>
      </c>
      <c r="P255" s="0" t="s">
        <v>9730</v>
      </c>
    </row>
    <row r="256" customFormat="false" ht="15" hidden="false" customHeight="false" outlineLevel="0" collapsed="false">
      <c r="A256" s="0" t="n">
        <v>1081</v>
      </c>
      <c r="B256" s="0" t="s">
        <v>7290</v>
      </c>
      <c r="C256" s="0" t="s">
        <v>9731</v>
      </c>
      <c r="E256" s="3" t="s">
        <v>9231</v>
      </c>
      <c r="F256" s="0" t="s">
        <v>9732</v>
      </c>
      <c r="G256" s="0" t="s">
        <v>9643</v>
      </c>
      <c r="H256" s="0" t="s">
        <v>9733</v>
      </c>
      <c r="I256" s="0" t="s">
        <v>9645</v>
      </c>
      <c r="J256" s="0" t="s">
        <v>9646</v>
      </c>
      <c r="M256" s="3" t="s">
        <v>9226</v>
      </c>
      <c r="N256" s="0" t="s">
        <v>9276</v>
      </c>
      <c r="P256" s="0" t="s">
        <v>9734</v>
      </c>
    </row>
    <row r="257" customFormat="false" ht="15" hidden="false" customHeight="false" outlineLevel="0" collapsed="false">
      <c r="A257" s="0" t="n">
        <v>1081</v>
      </c>
      <c r="B257" s="0" t="s">
        <v>7290</v>
      </c>
      <c r="C257" s="0" t="s">
        <v>1423</v>
      </c>
      <c r="D257" s="3" t="s">
        <v>9385</v>
      </c>
      <c r="E257" s="3" t="s">
        <v>9231</v>
      </c>
      <c r="F257" s="0" t="s">
        <v>9232</v>
      </c>
      <c r="G257" s="0" t="s">
        <v>9287</v>
      </c>
      <c r="H257" s="0" t="s">
        <v>9288</v>
      </c>
      <c r="I257" s="0" t="s">
        <v>9289</v>
      </c>
      <c r="J257" s="0" t="s">
        <v>9290</v>
      </c>
      <c r="L257" s="0" t="n">
        <v>2026</v>
      </c>
      <c r="M257" s="3" t="s">
        <v>9237</v>
      </c>
      <c r="N257" s="0" t="s">
        <v>9238</v>
      </c>
      <c r="O257" s="0" t="s">
        <v>9239</v>
      </c>
      <c r="P257" s="0" t="s">
        <v>9386</v>
      </c>
    </row>
    <row r="258" customFormat="false" ht="15" hidden="false" customHeight="false" outlineLevel="0" collapsed="false">
      <c r="A258" s="0" t="n">
        <v>1081</v>
      </c>
      <c r="B258" s="0" t="s">
        <v>7290</v>
      </c>
      <c r="C258" s="0" t="s">
        <v>829</v>
      </c>
      <c r="D258" s="3" t="s">
        <v>9252</v>
      </c>
      <c r="E258" s="3" t="s">
        <v>9231</v>
      </c>
      <c r="F258" s="0" t="s">
        <v>9232</v>
      </c>
      <c r="G258" s="0" t="s">
        <v>9253</v>
      </c>
      <c r="H258" s="0" t="s">
        <v>9254</v>
      </c>
      <c r="I258" s="0" t="s">
        <v>9255</v>
      </c>
      <c r="J258" s="0" t="s">
        <v>9256</v>
      </c>
      <c r="L258" s="0" t="n">
        <v>2026</v>
      </c>
      <c r="M258" s="3" t="s">
        <v>9237</v>
      </c>
      <c r="N258" s="0" t="s">
        <v>9238</v>
      </c>
      <c r="O258" s="0" t="s">
        <v>9239</v>
      </c>
      <c r="P258" s="0" t="s">
        <v>9257</v>
      </c>
    </row>
    <row r="259" customFormat="false" ht="15" hidden="false" customHeight="false" outlineLevel="0" collapsed="false">
      <c r="A259" s="0" t="n">
        <v>1088</v>
      </c>
      <c r="B259" s="0" t="s">
        <v>7332</v>
      </c>
      <c r="C259" s="0" t="s">
        <v>9764</v>
      </c>
      <c r="E259" s="3" t="s">
        <v>9224</v>
      </c>
      <c r="F259" s="0" t="s">
        <v>9765</v>
      </c>
      <c r="G259" s="0" t="s">
        <v>9766</v>
      </c>
      <c r="H259" s="0" t="s">
        <v>9767</v>
      </c>
      <c r="J259" s="0" t="s">
        <v>9768</v>
      </c>
      <c r="L259" s="0" t="n">
        <v>2026</v>
      </c>
      <c r="M259" s="3" t="s">
        <v>9237</v>
      </c>
      <c r="N259" s="0" t="s">
        <v>9276</v>
      </c>
      <c r="P259" s="0" t="s">
        <v>9769</v>
      </c>
    </row>
    <row r="260" customFormat="false" ht="15" hidden="false" customHeight="false" outlineLevel="0" collapsed="false">
      <c r="A260" s="0" t="n">
        <v>1088</v>
      </c>
      <c r="B260" s="0" t="s">
        <v>7332</v>
      </c>
      <c r="C260" s="0" t="s">
        <v>9770</v>
      </c>
      <c r="D260" s="3" t="s">
        <v>9771</v>
      </c>
      <c r="E260" s="3" t="s">
        <v>9231</v>
      </c>
      <c r="F260" s="0" t="s">
        <v>9772</v>
      </c>
      <c r="G260" s="0" t="s">
        <v>9773</v>
      </c>
      <c r="H260" s="0" t="s">
        <v>9679</v>
      </c>
      <c r="I260" s="0" t="s">
        <v>9680</v>
      </c>
      <c r="J260" s="0" t="s">
        <v>9681</v>
      </c>
      <c r="L260" s="0" t="n">
        <v>2026</v>
      </c>
      <c r="M260" s="3" t="s">
        <v>9237</v>
      </c>
      <c r="N260" s="0" t="s">
        <v>9276</v>
      </c>
      <c r="P260" s="0" t="s">
        <v>9774</v>
      </c>
    </row>
    <row r="261" customFormat="false" ht="15" hidden="false" customHeight="false" outlineLevel="0" collapsed="false">
      <c r="A261" s="0" t="n">
        <v>1088</v>
      </c>
      <c r="B261" s="0" t="s">
        <v>7332</v>
      </c>
      <c r="C261" s="0" t="s">
        <v>9775</v>
      </c>
      <c r="E261" s="3" t="s">
        <v>9231</v>
      </c>
      <c r="F261" s="0" t="s">
        <v>9776</v>
      </c>
      <c r="G261" s="0" t="s">
        <v>9777</v>
      </c>
      <c r="L261" s="0" t="n">
        <v>2026</v>
      </c>
      <c r="M261" s="3" t="s">
        <v>9237</v>
      </c>
      <c r="N261" s="0" t="s">
        <v>9276</v>
      </c>
      <c r="P261" s="0" t="s">
        <v>9778</v>
      </c>
    </row>
    <row r="262" customFormat="false" ht="15" hidden="false" customHeight="false" outlineLevel="0" collapsed="false">
      <c r="A262" s="0" t="n">
        <v>1089</v>
      </c>
      <c r="B262" s="0" t="s">
        <v>7349</v>
      </c>
      <c r="C262" s="0" t="s">
        <v>9764</v>
      </c>
      <c r="E262" s="3" t="s">
        <v>9224</v>
      </c>
      <c r="F262" s="0" t="s">
        <v>9765</v>
      </c>
      <c r="G262" s="0" t="s">
        <v>9766</v>
      </c>
      <c r="H262" s="0" t="s">
        <v>9767</v>
      </c>
      <c r="J262" s="0" t="s">
        <v>9768</v>
      </c>
      <c r="L262" s="0" t="n">
        <v>2026</v>
      </c>
      <c r="M262" s="3" t="s">
        <v>9237</v>
      </c>
      <c r="N262" s="0" t="s">
        <v>9276</v>
      </c>
      <c r="P262" s="0" t="s">
        <v>9769</v>
      </c>
    </row>
    <row r="263" customFormat="false" ht="15" hidden="false" customHeight="false" outlineLevel="0" collapsed="false">
      <c r="A263" s="0" t="n">
        <v>1089</v>
      </c>
      <c r="B263" s="0" t="s">
        <v>7349</v>
      </c>
      <c r="C263" s="0" t="s">
        <v>9770</v>
      </c>
      <c r="D263" s="3" t="s">
        <v>9771</v>
      </c>
      <c r="E263" s="3" t="s">
        <v>9231</v>
      </c>
      <c r="F263" s="0" t="s">
        <v>9772</v>
      </c>
      <c r="G263" s="0" t="s">
        <v>9773</v>
      </c>
      <c r="H263" s="0" t="s">
        <v>9679</v>
      </c>
      <c r="I263" s="0" t="s">
        <v>9680</v>
      </c>
      <c r="J263" s="0" t="s">
        <v>9681</v>
      </c>
      <c r="L263" s="0" t="n">
        <v>2026</v>
      </c>
      <c r="M263" s="3" t="s">
        <v>9237</v>
      </c>
      <c r="N263" s="0" t="s">
        <v>9276</v>
      </c>
      <c r="P263" s="0" t="s">
        <v>9774</v>
      </c>
    </row>
    <row r="264" customFormat="false" ht="15" hidden="false" customHeight="false" outlineLevel="0" collapsed="false">
      <c r="A264" s="0" t="n">
        <v>1089</v>
      </c>
      <c r="B264" s="0" t="s">
        <v>7349</v>
      </c>
      <c r="C264" s="0" t="s">
        <v>9775</v>
      </c>
      <c r="E264" s="3" t="s">
        <v>9231</v>
      </c>
      <c r="F264" s="0" t="s">
        <v>9776</v>
      </c>
      <c r="G264" s="0" t="s">
        <v>9777</v>
      </c>
      <c r="L264" s="0" t="n">
        <v>2026</v>
      </c>
      <c r="M264" s="3" t="s">
        <v>9237</v>
      </c>
      <c r="N264" s="0" t="s">
        <v>9276</v>
      </c>
      <c r="P264" s="0" t="s">
        <v>9778</v>
      </c>
    </row>
    <row r="265" customFormat="false" ht="15" hidden="false" customHeight="false" outlineLevel="0" collapsed="false">
      <c r="A265" s="0" t="n">
        <v>1091</v>
      </c>
      <c r="B265" s="0" t="s">
        <v>7361</v>
      </c>
      <c r="C265" s="0" t="s">
        <v>829</v>
      </c>
      <c r="D265" s="3" t="s">
        <v>9252</v>
      </c>
      <c r="E265" s="3" t="s">
        <v>9231</v>
      </c>
      <c r="F265" s="0" t="s">
        <v>9232</v>
      </c>
      <c r="G265" s="0" t="s">
        <v>9253</v>
      </c>
      <c r="H265" s="0" t="s">
        <v>9254</v>
      </c>
      <c r="I265" s="0" t="s">
        <v>9255</v>
      </c>
      <c r="J265" s="0" t="s">
        <v>9256</v>
      </c>
      <c r="L265" s="0" t="n">
        <v>2026</v>
      </c>
      <c r="M265" s="3" t="s">
        <v>9237</v>
      </c>
      <c r="N265" s="0" t="s">
        <v>9238</v>
      </c>
      <c r="O265" s="0" t="s">
        <v>9239</v>
      </c>
      <c r="P265" s="0" t="s">
        <v>9257</v>
      </c>
    </row>
    <row r="266" customFormat="false" ht="15" hidden="false" customHeight="false" outlineLevel="0" collapsed="false">
      <c r="A266" s="0" t="n">
        <v>1094</v>
      </c>
      <c r="B266" s="0" t="s">
        <v>7381</v>
      </c>
      <c r="C266" s="0" t="s">
        <v>3997</v>
      </c>
      <c r="D266" s="3" t="s">
        <v>9547</v>
      </c>
      <c r="E266" s="3" t="s">
        <v>9231</v>
      </c>
      <c r="F266" s="0" t="s">
        <v>9232</v>
      </c>
      <c r="G266" s="0" t="s">
        <v>9548</v>
      </c>
      <c r="H266" s="0" t="s">
        <v>9549</v>
      </c>
      <c r="I266" s="0" t="s">
        <v>9550</v>
      </c>
      <c r="J266" s="0" t="s">
        <v>9551</v>
      </c>
      <c r="L266" s="0" t="n">
        <v>2026</v>
      </c>
      <c r="M266" s="3" t="s">
        <v>9237</v>
      </c>
      <c r="N266" s="0" t="s">
        <v>9238</v>
      </c>
      <c r="O266" s="0" t="s">
        <v>9283</v>
      </c>
      <c r="P266" s="0" t="s">
        <v>9552</v>
      </c>
    </row>
    <row r="267" customFormat="false" ht="15" hidden="false" customHeight="false" outlineLevel="0" collapsed="false">
      <c r="A267" s="0" t="n">
        <v>1112</v>
      </c>
      <c r="B267" s="0" t="s">
        <v>7502</v>
      </c>
      <c r="C267" s="0" t="s">
        <v>4669</v>
      </c>
      <c r="D267" s="3" t="s">
        <v>9252</v>
      </c>
      <c r="E267" s="3" t="s">
        <v>9231</v>
      </c>
      <c r="F267" s="0" t="s">
        <v>9591</v>
      </c>
      <c r="G267" s="0" t="s">
        <v>9407</v>
      </c>
      <c r="L267" s="0" t="n">
        <v>2026</v>
      </c>
      <c r="M267" s="3" t="s">
        <v>9237</v>
      </c>
      <c r="N267" s="0" t="s">
        <v>9227</v>
      </c>
      <c r="P267" s="0" t="s">
        <v>9592</v>
      </c>
    </row>
    <row r="268" customFormat="false" ht="15" hidden="false" customHeight="false" outlineLevel="0" collapsed="false">
      <c r="A268" s="0" t="n">
        <v>1113</v>
      </c>
      <c r="B268" s="0" t="s">
        <v>7508</v>
      </c>
      <c r="C268" s="0" t="s">
        <v>109</v>
      </c>
      <c r="D268" s="3" t="s">
        <v>9320</v>
      </c>
      <c r="E268" s="3" t="s">
        <v>9231</v>
      </c>
      <c r="F268" s="0" t="s">
        <v>9779</v>
      </c>
      <c r="G268" s="0" t="s">
        <v>9233</v>
      </c>
      <c r="H268" s="0" t="s">
        <v>9234</v>
      </c>
      <c r="J268" s="0" t="s">
        <v>9236</v>
      </c>
      <c r="L268" s="0" t="n">
        <v>2026</v>
      </c>
      <c r="M268" s="3" t="s">
        <v>9237</v>
      </c>
      <c r="N268" s="0" t="s">
        <v>9276</v>
      </c>
      <c r="P268" s="0" t="s">
        <v>9240</v>
      </c>
    </row>
    <row r="269" customFormat="false" ht="15" hidden="false" customHeight="false" outlineLevel="0" collapsed="false">
      <c r="A269" s="0" t="n">
        <v>1114</v>
      </c>
      <c r="B269" s="0" t="s">
        <v>7525</v>
      </c>
      <c r="C269" s="0" t="s">
        <v>9780</v>
      </c>
      <c r="E269" s="3" t="s">
        <v>9224</v>
      </c>
      <c r="F269" s="0" t="s">
        <v>9781</v>
      </c>
      <c r="G269" s="0" t="s">
        <v>7540</v>
      </c>
      <c r="H269" s="0" t="s">
        <v>9782</v>
      </c>
      <c r="J269" s="0" t="s">
        <v>9783</v>
      </c>
      <c r="K269" s="0" t="s">
        <v>7540</v>
      </c>
      <c r="L269" s="0" t="n">
        <v>2026</v>
      </c>
      <c r="M269" s="3" t="s">
        <v>9237</v>
      </c>
      <c r="N269" s="0" t="s">
        <v>9276</v>
      </c>
      <c r="P269" s="0" t="s">
        <v>7540</v>
      </c>
    </row>
    <row r="270" customFormat="false" ht="15" hidden="false" customHeight="false" outlineLevel="0" collapsed="false">
      <c r="A270" s="0" t="n">
        <v>1114</v>
      </c>
      <c r="B270" s="0" t="s">
        <v>7525</v>
      </c>
      <c r="C270" s="0" t="s">
        <v>9784</v>
      </c>
      <c r="D270" s="3" t="s">
        <v>9422</v>
      </c>
      <c r="E270" s="3" t="s">
        <v>9231</v>
      </c>
      <c r="F270" s="0" t="s">
        <v>9785</v>
      </c>
      <c r="G270" s="0" t="s">
        <v>9365</v>
      </c>
      <c r="H270" s="0" t="s">
        <v>9366</v>
      </c>
      <c r="I270" s="0" t="s">
        <v>9367</v>
      </c>
      <c r="J270" s="0" t="s">
        <v>9368</v>
      </c>
      <c r="K270" s="0" t="s">
        <v>9369</v>
      </c>
      <c r="L270" s="0" t="n">
        <v>2026</v>
      </c>
      <c r="M270" s="3" t="s">
        <v>9237</v>
      </c>
      <c r="N270" s="0" t="s">
        <v>9276</v>
      </c>
      <c r="P270" s="0" t="s">
        <v>9786</v>
      </c>
    </row>
    <row r="271" customFormat="false" ht="15" hidden="false" customHeight="false" outlineLevel="0" collapsed="false">
      <c r="A271" s="0" t="n">
        <v>1124</v>
      </c>
      <c r="B271" s="0" t="s">
        <v>7589</v>
      </c>
      <c r="C271" s="0" t="s">
        <v>2720</v>
      </c>
      <c r="D271" s="3" t="s">
        <v>9447</v>
      </c>
      <c r="E271" s="3" t="s">
        <v>9231</v>
      </c>
      <c r="F271" s="0" t="s">
        <v>9232</v>
      </c>
      <c r="G271" s="0" t="s">
        <v>9448</v>
      </c>
      <c r="H271" s="0" t="s">
        <v>9449</v>
      </c>
      <c r="I271" s="0" t="s">
        <v>9450</v>
      </c>
      <c r="J271" s="0" t="s">
        <v>9451</v>
      </c>
      <c r="L271" s="0" t="n">
        <v>2026</v>
      </c>
      <c r="M271" s="3" t="s">
        <v>9237</v>
      </c>
      <c r="N271" s="0" t="s">
        <v>9238</v>
      </c>
      <c r="O271" s="0" t="s">
        <v>9239</v>
      </c>
      <c r="P271" s="0" t="s">
        <v>9487</v>
      </c>
    </row>
    <row r="272" customFormat="false" ht="15" hidden="false" customHeight="false" outlineLevel="0" collapsed="false">
      <c r="A272" s="0" t="n">
        <v>1129</v>
      </c>
      <c r="B272" s="0" t="s">
        <v>7627</v>
      </c>
      <c r="C272" s="0" t="s">
        <v>1545</v>
      </c>
      <c r="D272" s="3" t="s">
        <v>9493</v>
      </c>
      <c r="E272" s="3" t="s">
        <v>9231</v>
      </c>
      <c r="F272" s="0" t="s">
        <v>9232</v>
      </c>
      <c r="G272" s="0" t="s">
        <v>9494</v>
      </c>
      <c r="H272" s="0" t="s">
        <v>9396</v>
      </c>
      <c r="I272" s="0" t="s">
        <v>9397</v>
      </c>
      <c r="J272" s="0" t="s">
        <v>9398</v>
      </c>
      <c r="L272" s="0" t="n">
        <v>2026</v>
      </c>
      <c r="M272" s="3" t="s">
        <v>9237</v>
      </c>
      <c r="N272" s="0" t="s">
        <v>9238</v>
      </c>
      <c r="O272" s="0" t="s">
        <v>9283</v>
      </c>
      <c r="P272" s="0" t="s">
        <v>9509</v>
      </c>
    </row>
    <row r="273" customFormat="false" ht="15" hidden="false" customHeight="false" outlineLevel="0" collapsed="false">
      <c r="A273" s="0" t="n">
        <v>1136</v>
      </c>
      <c r="B273" s="0" t="s">
        <v>7675</v>
      </c>
      <c r="C273" s="0" t="s">
        <v>284</v>
      </c>
      <c r="D273" s="3" t="s">
        <v>9265</v>
      </c>
      <c r="E273" s="3" t="s">
        <v>9231</v>
      </c>
      <c r="F273" s="0" t="s">
        <v>9232</v>
      </c>
      <c r="G273" s="0" t="s">
        <v>9266</v>
      </c>
      <c r="H273" s="0" t="s">
        <v>9267</v>
      </c>
      <c r="I273" s="0" t="s">
        <v>9268</v>
      </c>
      <c r="L273" s="0" t="n">
        <v>2026</v>
      </c>
      <c r="M273" s="3" t="s">
        <v>9237</v>
      </c>
      <c r="N273" s="0" t="s">
        <v>9238</v>
      </c>
      <c r="O273" s="0" t="s">
        <v>9239</v>
      </c>
      <c r="P273" s="0" t="s">
        <v>9269</v>
      </c>
    </row>
    <row r="274" customFormat="false" ht="15" hidden="false" customHeight="false" outlineLevel="0" collapsed="false">
      <c r="A274" s="0" t="n">
        <v>1139</v>
      </c>
      <c r="B274" s="0" t="s">
        <v>7701</v>
      </c>
      <c r="C274" s="0" t="s">
        <v>1231</v>
      </c>
      <c r="D274" s="3" t="s">
        <v>9349</v>
      </c>
      <c r="E274" s="3" t="s">
        <v>9231</v>
      </c>
      <c r="F274" s="0" t="s">
        <v>9232</v>
      </c>
      <c r="G274" s="0" t="s">
        <v>9350</v>
      </c>
      <c r="H274" s="0" t="s">
        <v>9351</v>
      </c>
      <c r="I274" s="0" t="s">
        <v>9352</v>
      </c>
      <c r="J274" s="0" t="s">
        <v>9353</v>
      </c>
      <c r="K274" s="0" t="s">
        <v>9354</v>
      </c>
      <c r="L274" s="0" t="n">
        <v>2026</v>
      </c>
      <c r="M274" s="3" t="s">
        <v>9237</v>
      </c>
      <c r="N274" s="0" t="s">
        <v>9238</v>
      </c>
      <c r="O274" s="0" t="s">
        <v>9239</v>
      </c>
      <c r="P274" s="0" t="s">
        <v>9355</v>
      </c>
    </row>
    <row r="275" customFormat="false" ht="15" hidden="false" customHeight="false" outlineLevel="0" collapsed="false">
      <c r="A275" s="0" t="n">
        <v>1142</v>
      </c>
      <c r="B275" s="0" t="s">
        <v>7725</v>
      </c>
      <c r="C275" s="0" t="s">
        <v>109</v>
      </c>
      <c r="D275" s="3" t="s">
        <v>9230</v>
      </c>
      <c r="E275" s="3" t="s">
        <v>9231</v>
      </c>
      <c r="F275" s="0" t="s">
        <v>9232</v>
      </c>
      <c r="G275" s="0" t="s">
        <v>9233</v>
      </c>
      <c r="H275" s="0" t="s">
        <v>9234</v>
      </c>
      <c r="I275" s="0" t="s">
        <v>9235</v>
      </c>
      <c r="J275" s="0" t="s">
        <v>9236</v>
      </c>
      <c r="L275" s="0" t="n">
        <v>2026</v>
      </c>
      <c r="M275" s="3" t="s">
        <v>9237</v>
      </c>
      <c r="N275" s="0" t="s">
        <v>9238</v>
      </c>
      <c r="O275" s="0" t="s">
        <v>9239</v>
      </c>
      <c r="P275" s="0" t="s">
        <v>9240</v>
      </c>
    </row>
    <row r="276" customFormat="false" ht="15" hidden="false" customHeight="false" outlineLevel="0" collapsed="false">
      <c r="A276" s="0" t="n">
        <v>1142</v>
      </c>
      <c r="B276" s="0" t="s">
        <v>7725</v>
      </c>
      <c r="C276" s="0" t="s">
        <v>2751</v>
      </c>
      <c r="D276" s="0" t="s">
        <v>9453</v>
      </c>
      <c r="E276" s="3" t="s">
        <v>9231</v>
      </c>
      <c r="F276" s="0" t="s">
        <v>9232</v>
      </c>
      <c r="G276" s="0" t="s">
        <v>9454</v>
      </c>
      <c r="H276" s="0" t="s">
        <v>9455</v>
      </c>
      <c r="I276" s="0" t="s">
        <v>9456</v>
      </c>
      <c r="J276" s="0" t="s">
        <v>9457</v>
      </c>
      <c r="K276" s="0" t="s">
        <v>9458</v>
      </c>
      <c r="L276" s="0" t="n">
        <v>2026</v>
      </c>
      <c r="M276" s="3" t="s">
        <v>9237</v>
      </c>
      <c r="N276" s="0" t="s">
        <v>9238</v>
      </c>
      <c r="O276" s="0" t="s">
        <v>9239</v>
      </c>
      <c r="P276" s="0" t="s">
        <v>9459</v>
      </c>
    </row>
    <row r="277" customFormat="false" ht="15" hidden="false" customHeight="false" outlineLevel="0" collapsed="false">
      <c r="A277" s="0" t="n">
        <v>1148</v>
      </c>
      <c r="B277" s="0" t="s">
        <v>7759</v>
      </c>
      <c r="C277" s="0" t="s">
        <v>1530</v>
      </c>
      <c r="D277" s="3" t="s">
        <v>9387</v>
      </c>
      <c r="E277" s="3" t="s">
        <v>9231</v>
      </c>
      <c r="F277" s="0" t="s">
        <v>9232</v>
      </c>
      <c r="G277" s="0" t="s">
        <v>9388</v>
      </c>
      <c r="H277" s="0" t="s">
        <v>9389</v>
      </c>
      <c r="I277" s="0" t="s">
        <v>9390</v>
      </c>
      <c r="J277" s="0" t="s">
        <v>9391</v>
      </c>
      <c r="L277" s="0" t="n">
        <v>2026</v>
      </c>
      <c r="M277" s="3" t="s">
        <v>9237</v>
      </c>
      <c r="N277" s="0" t="s">
        <v>9238</v>
      </c>
      <c r="O277" s="0" t="s">
        <v>9239</v>
      </c>
      <c r="P277" s="0" t="s">
        <v>9392</v>
      </c>
    </row>
    <row r="278" customFormat="false" ht="15" hidden="false" customHeight="false" outlineLevel="0" collapsed="false">
      <c r="A278" s="0" t="n">
        <v>1163</v>
      </c>
      <c r="B278" s="0" t="s">
        <v>7864</v>
      </c>
      <c r="C278" s="0" t="s">
        <v>829</v>
      </c>
      <c r="D278" s="3" t="s">
        <v>9252</v>
      </c>
      <c r="E278" s="3" t="s">
        <v>9231</v>
      </c>
      <c r="F278" s="0" t="s">
        <v>9232</v>
      </c>
      <c r="G278" s="0" t="s">
        <v>9253</v>
      </c>
      <c r="H278" s="0" t="s">
        <v>9254</v>
      </c>
      <c r="I278" s="0" t="s">
        <v>9255</v>
      </c>
      <c r="J278" s="0" t="s">
        <v>9256</v>
      </c>
      <c r="L278" s="0" t="n">
        <v>2026</v>
      </c>
      <c r="M278" s="3" t="s">
        <v>9237</v>
      </c>
      <c r="N278" s="0" t="s">
        <v>9238</v>
      </c>
      <c r="O278" s="0" t="s">
        <v>9239</v>
      </c>
      <c r="P278" s="0" t="s">
        <v>9257</v>
      </c>
    </row>
    <row r="279" customFormat="false" ht="15" hidden="false" customHeight="false" outlineLevel="0" collapsed="false">
      <c r="A279" s="0" t="n">
        <v>1187</v>
      </c>
      <c r="B279" s="0" t="s">
        <v>8008</v>
      </c>
      <c r="C279" s="0" t="s">
        <v>921</v>
      </c>
      <c r="D279" s="3" t="s">
        <v>9303</v>
      </c>
      <c r="E279" s="3" t="s">
        <v>9231</v>
      </c>
      <c r="F279" s="0" t="s">
        <v>9232</v>
      </c>
      <c r="G279" s="0" t="s">
        <v>9304</v>
      </c>
      <c r="H279" s="0" t="s">
        <v>9305</v>
      </c>
      <c r="I279" s="0" t="s">
        <v>9306</v>
      </c>
      <c r="J279" s="0" t="s">
        <v>9307</v>
      </c>
      <c r="L279" s="0" t="n">
        <v>2026</v>
      </c>
      <c r="M279" s="3" t="s">
        <v>9237</v>
      </c>
      <c r="N279" s="0" t="s">
        <v>9238</v>
      </c>
      <c r="O279" s="0" t="s">
        <v>9239</v>
      </c>
      <c r="P279" s="0" t="s">
        <v>9787</v>
      </c>
    </row>
    <row r="280" customFormat="false" ht="15" hidden="false" customHeight="false" outlineLevel="0" collapsed="false">
      <c r="A280" s="0" t="n">
        <v>1210</v>
      </c>
      <c r="B280" s="0" t="s">
        <v>8169</v>
      </c>
      <c r="C280" s="0" t="s">
        <v>4669</v>
      </c>
      <c r="D280" s="3" t="s">
        <v>9252</v>
      </c>
      <c r="E280" s="3" t="s">
        <v>9231</v>
      </c>
      <c r="F280" s="0" t="s">
        <v>9788</v>
      </c>
      <c r="G280" s="0" t="s">
        <v>9407</v>
      </c>
      <c r="L280" s="0" t="n">
        <v>2026</v>
      </c>
      <c r="M280" s="3" t="s">
        <v>9237</v>
      </c>
      <c r="N280" s="0" t="s">
        <v>9227</v>
      </c>
      <c r="O280" s="0" t="s">
        <v>9283</v>
      </c>
      <c r="P280" s="0" t="s">
        <v>9592</v>
      </c>
    </row>
    <row r="281" customFormat="false" ht="15" hidden="false" customHeight="false" outlineLevel="0" collapsed="false">
      <c r="A281" s="0" t="n">
        <v>1219</v>
      </c>
      <c r="B281" s="0" t="s">
        <v>8222</v>
      </c>
      <c r="C281" s="0" t="s">
        <v>2320</v>
      </c>
      <c r="D281" s="3" t="s">
        <v>9460</v>
      </c>
      <c r="E281" s="3" t="s">
        <v>9231</v>
      </c>
      <c r="F281" s="0" t="s">
        <v>9461</v>
      </c>
      <c r="G281" s="0" t="s">
        <v>9462</v>
      </c>
      <c r="H281" s="0" t="s">
        <v>9463</v>
      </c>
      <c r="I281" s="0" t="s">
        <v>9464</v>
      </c>
      <c r="J281" s="0" t="s">
        <v>9465</v>
      </c>
      <c r="K281" s="0" t="s">
        <v>9466</v>
      </c>
      <c r="L281" s="0" t="n">
        <v>2026</v>
      </c>
      <c r="M281" s="3" t="s">
        <v>9237</v>
      </c>
      <c r="N281" s="0" t="s">
        <v>9276</v>
      </c>
      <c r="P281" s="0" t="s">
        <v>9467</v>
      </c>
    </row>
    <row r="282" customFormat="false" ht="15" hidden="false" customHeight="false" outlineLevel="0" collapsed="false">
      <c r="A282" s="0" t="n">
        <v>1232</v>
      </c>
      <c r="B282" s="0" t="s">
        <v>8285</v>
      </c>
      <c r="C282" s="0" t="s">
        <v>155</v>
      </c>
      <c r="D282" s="3" t="s">
        <v>9241</v>
      </c>
      <c r="E282" s="3" t="s">
        <v>9231</v>
      </c>
      <c r="F282" s="0" t="s">
        <v>9232</v>
      </c>
      <c r="G282" s="0" t="s">
        <v>9242</v>
      </c>
      <c r="H282" s="0" t="s">
        <v>9243</v>
      </c>
      <c r="I282" s="0" t="s">
        <v>9244</v>
      </c>
      <c r="L282" s="0" t="n">
        <v>2026</v>
      </c>
      <c r="M282" s="3" t="s">
        <v>9237</v>
      </c>
      <c r="N282" s="0" t="s">
        <v>9238</v>
      </c>
      <c r="O282" s="0" t="s">
        <v>9239</v>
      </c>
      <c r="P282" s="0" t="s">
        <v>9245</v>
      </c>
    </row>
    <row r="283" customFormat="false" ht="15" hidden="false" customHeight="false" outlineLevel="0" collapsed="false">
      <c r="A283" s="0" t="n">
        <v>1232</v>
      </c>
      <c r="B283" s="0" t="s">
        <v>8285</v>
      </c>
      <c r="C283" s="0" t="s">
        <v>284</v>
      </c>
      <c r="D283" s="3" t="s">
        <v>9265</v>
      </c>
      <c r="E283" s="3" t="s">
        <v>9231</v>
      </c>
      <c r="F283" s="0" t="s">
        <v>9232</v>
      </c>
      <c r="G283" s="0" t="s">
        <v>9266</v>
      </c>
      <c r="H283" s="0" t="s">
        <v>9267</v>
      </c>
      <c r="I283" s="0" t="s">
        <v>9268</v>
      </c>
      <c r="L283" s="0" t="n">
        <v>2026</v>
      </c>
      <c r="M283" s="3" t="s">
        <v>9237</v>
      </c>
      <c r="N283" s="0" t="s">
        <v>9238</v>
      </c>
      <c r="O283" s="0" t="s">
        <v>9239</v>
      </c>
      <c r="P283" s="0" t="s">
        <v>9269</v>
      </c>
    </row>
    <row r="284" customFormat="false" ht="15" hidden="false" customHeight="false" outlineLevel="0" collapsed="false">
      <c r="A284" s="0" t="n">
        <v>1235</v>
      </c>
      <c r="B284" s="0" t="s">
        <v>8298</v>
      </c>
      <c r="C284" s="0" t="s">
        <v>2751</v>
      </c>
      <c r="D284" s="0" t="s">
        <v>9453</v>
      </c>
      <c r="E284" s="3" t="s">
        <v>9231</v>
      </c>
      <c r="F284" s="0" t="s">
        <v>9232</v>
      </c>
      <c r="G284" s="0" t="s">
        <v>9454</v>
      </c>
      <c r="H284" s="0" t="s">
        <v>9455</v>
      </c>
      <c r="I284" s="0" t="s">
        <v>9456</v>
      </c>
      <c r="J284" s="0" t="s">
        <v>9457</v>
      </c>
      <c r="K284" s="0" t="s">
        <v>9458</v>
      </c>
      <c r="L284" s="0" t="n">
        <v>2026</v>
      </c>
      <c r="M284" s="3" t="s">
        <v>9237</v>
      </c>
      <c r="N284" s="0" t="s">
        <v>9238</v>
      </c>
      <c r="O284" s="0" t="s">
        <v>9239</v>
      </c>
      <c r="P284" s="0" t="s">
        <v>9459</v>
      </c>
    </row>
    <row r="285" customFormat="false" ht="15" hidden="false" customHeight="false" outlineLevel="0" collapsed="false">
      <c r="A285" s="0" t="n">
        <v>1237</v>
      </c>
      <c r="B285" s="0" t="s">
        <v>8306</v>
      </c>
      <c r="C285" s="0" t="s">
        <v>9675</v>
      </c>
      <c r="D285" s="3" t="s">
        <v>9676</v>
      </c>
      <c r="E285" s="3" t="s">
        <v>9231</v>
      </c>
      <c r="F285" s="0" t="s">
        <v>9789</v>
      </c>
      <c r="G285" s="0" t="s">
        <v>9678</v>
      </c>
      <c r="H285" s="0" t="s">
        <v>9679</v>
      </c>
      <c r="I285" s="0" t="s">
        <v>9680</v>
      </c>
      <c r="J285" s="0" t="s">
        <v>9681</v>
      </c>
      <c r="L285" s="0" t="n">
        <v>2026</v>
      </c>
      <c r="M285" s="3" t="s">
        <v>9237</v>
      </c>
      <c r="N285" s="0" t="s">
        <v>9276</v>
      </c>
      <c r="P285" s="0" t="s">
        <v>8321</v>
      </c>
    </row>
    <row r="286" customFormat="false" ht="15" hidden="false" customHeight="false" outlineLevel="0" collapsed="false">
      <c r="A286" s="0" t="n">
        <v>1237</v>
      </c>
      <c r="B286" s="0" t="s">
        <v>8306</v>
      </c>
      <c r="C286" s="0" t="s">
        <v>2720</v>
      </c>
      <c r="D286" s="3" t="s">
        <v>9447</v>
      </c>
      <c r="E286" s="3" t="s">
        <v>9231</v>
      </c>
      <c r="F286" s="0" t="s">
        <v>9232</v>
      </c>
      <c r="G286" s="0" t="s">
        <v>9448</v>
      </c>
      <c r="H286" s="0" t="s">
        <v>9449</v>
      </c>
      <c r="I286" s="0" t="s">
        <v>9450</v>
      </c>
      <c r="J286" s="0" t="s">
        <v>9451</v>
      </c>
      <c r="L286" s="0" t="n">
        <v>2026</v>
      </c>
      <c r="M286" s="3" t="s">
        <v>9237</v>
      </c>
      <c r="N286" s="0" t="s">
        <v>9238</v>
      </c>
      <c r="O286" s="0" t="s">
        <v>9239</v>
      </c>
      <c r="P286" s="0" t="s">
        <v>9790</v>
      </c>
    </row>
    <row r="287" customFormat="false" ht="15" hidden="false" customHeight="false" outlineLevel="0" collapsed="false">
      <c r="A287" s="0" t="n">
        <v>1238</v>
      </c>
      <c r="B287" s="0" t="s">
        <v>8324</v>
      </c>
      <c r="C287" s="0" t="s">
        <v>2320</v>
      </c>
      <c r="D287" s="3" t="s">
        <v>9460</v>
      </c>
      <c r="E287" s="3" t="s">
        <v>9231</v>
      </c>
      <c r="F287" s="0" t="s">
        <v>9461</v>
      </c>
      <c r="G287" s="0" t="s">
        <v>9462</v>
      </c>
      <c r="H287" s="0" t="s">
        <v>9463</v>
      </c>
      <c r="I287" s="0" t="s">
        <v>9464</v>
      </c>
      <c r="J287" s="0" t="s">
        <v>9465</v>
      </c>
      <c r="K287" s="0" t="s">
        <v>9466</v>
      </c>
      <c r="L287" s="0" t="n">
        <v>2026</v>
      </c>
      <c r="M287" s="3" t="s">
        <v>9237</v>
      </c>
      <c r="N287" s="0" t="s">
        <v>9276</v>
      </c>
      <c r="P287" s="0" t="s">
        <v>9467</v>
      </c>
    </row>
    <row r="288" customFormat="false" ht="15" hidden="false" customHeight="false" outlineLevel="0" collapsed="false">
      <c r="A288" s="0" t="n">
        <v>1248</v>
      </c>
      <c r="B288" s="0" t="s">
        <v>8394</v>
      </c>
      <c r="C288" s="0" t="s">
        <v>8401</v>
      </c>
      <c r="D288" s="3" t="s">
        <v>9542</v>
      </c>
      <c r="E288" s="3" t="s">
        <v>9231</v>
      </c>
      <c r="F288" s="0" t="s">
        <v>9232</v>
      </c>
      <c r="G288" s="0" t="s">
        <v>9543</v>
      </c>
      <c r="H288" s="0" t="s">
        <v>9544</v>
      </c>
      <c r="I288" s="0" t="s">
        <v>9545</v>
      </c>
      <c r="J288" s="0" t="s">
        <v>9546</v>
      </c>
      <c r="L288" s="0" t="n">
        <v>2026</v>
      </c>
      <c r="M288" s="3" t="s">
        <v>9237</v>
      </c>
      <c r="N288" s="0" t="s">
        <v>9238</v>
      </c>
      <c r="O288" s="0" t="s">
        <v>9283</v>
      </c>
      <c r="P288" s="0" t="s">
        <v>9543</v>
      </c>
    </row>
    <row r="289" customFormat="false" ht="15" hidden="false" customHeight="false" outlineLevel="0" collapsed="false">
      <c r="A289" s="0" t="n">
        <v>1255</v>
      </c>
      <c r="B289" s="0" t="s">
        <v>8435</v>
      </c>
      <c r="C289" s="0" t="s">
        <v>9664</v>
      </c>
      <c r="D289" s="3" t="s">
        <v>9665</v>
      </c>
      <c r="E289" s="3" t="s">
        <v>9224</v>
      </c>
      <c r="F289" s="0" t="s">
        <v>9666</v>
      </c>
      <c r="G289" s="0" t="s">
        <v>6089</v>
      </c>
      <c r="H289" s="0" t="s">
        <v>9667</v>
      </c>
      <c r="J289" s="0" t="s">
        <v>9668</v>
      </c>
      <c r="K289" s="0" t="s">
        <v>9669</v>
      </c>
      <c r="N289" s="0" t="s">
        <v>9276</v>
      </c>
      <c r="P289" s="0" t="s">
        <v>9669</v>
      </c>
    </row>
    <row r="290" customFormat="false" ht="15" hidden="false" customHeight="false" outlineLevel="0" collapsed="false">
      <c r="A290" s="0" t="n">
        <v>1255</v>
      </c>
      <c r="B290" s="0" t="s">
        <v>8435</v>
      </c>
      <c r="C290" s="0" t="s">
        <v>9670</v>
      </c>
      <c r="D290" s="3" t="s">
        <v>9671</v>
      </c>
      <c r="E290" s="3" t="s">
        <v>9224</v>
      </c>
      <c r="F290" s="0" t="s">
        <v>9672</v>
      </c>
      <c r="G290" s="0" t="s">
        <v>6089</v>
      </c>
      <c r="H290" s="0" t="s">
        <v>9667</v>
      </c>
      <c r="J290" s="0" t="s">
        <v>9668</v>
      </c>
      <c r="K290" s="0" t="s">
        <v>9669</v>
      </c>
      <c r="N290" s="0" t="s">
        <v>9276</v>
      </c>
    </row>
    <row r="291" customFormat="false" ht="15" hidden="false" customHeight="false" outlineLevel="0" collapsed="false">
      <c r="A291" s="0" t="n">
        <v>1255</v>
      </c>
      <c r="B291" s="0" t="s">
        <v>8435</v>
      </c>
      <c r="C291" s="0" t="s">
        <v>9338</v>
      </c>
      <c r="D291" s="3" t="s">
        <v>9339</v>
      </c>
      <c r="E291" s="3" t="s">
        <v>9231</v>
      </c>
      <c r="F291" s="0" t="s">
        <v>9673</v>
      </c>
      <c r="G291" s="0" t="s">
        <v>9341</v>
      </c>
      <c r="H291" s="0" t="s">
        <v>9342</v>
      </c>
      <c r="J291" s="0" t="s">
        <v>9343</v>
      </c>
      <c r="L291" s="0" t="n">
        <v>2026</v>
      </c>
      <c r="M291" s="3" t="s">
        <v>9237</v>
      </c>
      <c r="N291" s="0" t="s">
        <v>9276</v>
      </c>
      <c r="P291" s="0" t="s">
        <v>9674</v>
      </c>
    </row>
    <row r="292" customFormat="false" ht="15" hidden="false" customHeight="false" outlineLevel="0" collapsed="false">
      <c r="A292" s="0" t="n">
        <v>1255</v>
      </c>
      <c r="B292" s="0" t="s">
        <v>8435</v>
      </c>
      <c r="C292" s="0" t="s">
        <v>9675</v>
      </c>
      <c r="D292" s="3" t="s">
        <v>9676</v>
      </c>
      <c r="E292" s="3" t="s">
        <v>9231</v>
      </c>
      <c r="F292" s="0" t="s">
        <v>9677</v>
      </c>
      <c r="G292" s="0" t="s">
        <v>9678</v>
      </c>
      <c r="H292" s="0" t="s">
        <v>9679</v>
      </c>
      <c r="I292" s="0" t="s">
        <v>9680</v>
      </c>
      <c r="J292" s="0" t="s">
        <v>9681</v>
      </c>
      <c r="L292" s="0" t="n">
        <v>2026</v>
      </c>
      <c r="M292" s="3" t="s">
        <v>9237</v>
      </c>
      <c r="N292" s="0" t="s">
        <v>9276</v>
      </c>
      <c r="P292" s="0" t="s">
        <v>9682</v>
      </c>
    </row>
    <row r="293" customFormat="false" ht="15" hidden="false" customHeight="false" outlineLevel="0" collapsed="false">
      <c r="A293" s="0" t="n">
        <v>1255</v>
      </c>
      <c r="B293" s="0" t="s">
        <v>8435</v>
      </c>
      <c r="C293" s="0" t="s">
        <v>1545</v>
      </c>
      <c r="D293" s="3" t="s">
        <v>9683</v>
      </c>
      <c r="E293" s="3" t="s">
        <v>9231</v>
      </c>
      <c r="F293" s="0" t="s">
        <v>9684</v>
      </c>
      <c r="G293" s="0" t="s">
        <v>9395</v>
      </c>
      <c r="H293" s="0" t="s">
        <v>9396</v>
      </c>
      <c r="I293" s="0" t="s">
        <v>9397</v>
      </c>
      <c r="J293" s="0" t="s">
        <v>9398</v>
      </c>
      <c r="L293" s="0" t="n">
        <v>2026</v>
      </c>
      <c r="M293" s="3" t="s">
        <v>9237</v>
      </c>
      <c r="N293" s="0" t="s">
        <v>9276</v>
      </c>
      <c r="P293" s="0" t="s">
        <v>9685</v>
      </c>
    </row>
    <row r="294" customFormat="false" ht="15" hidden="false" customHeight="false" outlineLevel="0" collapsed="false">
      <c r="A294" s="0" t="n">
        <v>1255</v>
      </c>
      <c r="B294" s="0" t="s">
        <v>8435</v>
      </c>
      <c r="C294" s="0" t="s">
        <v>1231</v>
      </c>
      <c r="D294" s="3" t="s">
        <v>9349</v>
      </c>
      <c r="E294" s="3" t="s">
        <v>9231</v>
      </c>
      <c r="F294" s="0" t="s">
        <v>9686</v>
      </c>
      <c r="G294" s="0" t="s">
        <v>9350</v>
      </c>
      <c r="H294" s="0" t="s">
        <v>9351</v>
      </c>
      <c r="J294" s="0" t="s">
        <v>9353</v>
      </c>
      <c r="K294" s="0" t="s">
        <v>9354</v>
      </c>
      <c r="L294" s="0" t="n">
        <v>2026</v>
      </c>
      <c r="M294" s="3" t="s">
        <v>9237</v>
      </c>
      <c r="N294" s="0" t="s">
        <v>9276</v>
      </c>
      <c r="P294" s="0" t="s">
        <v>9687</v>
      </c>
    </row>
    <row r="295" customFormat="false" ht="15" hidden="false" customHeight="false" outlineLevel="0" collapsed="false">
      <c r="A295" s="0" t="n">
        <v>1255</v>
      </c>
      <c r="B295" s="0" t="s">
        <v>8435</v>
      </c>
      <c r="C295" s="0" t="s">
        <v>9688</v>
      </c>
      <c r="E295" s="3" t="s">
        <v>9689</v>
      </c>
      <c r="F295" s="0" t="s">
        <v>9690</v>
      </c>
      <c r="G295" s="0" t="s">
        <v>6089</v>
      </c>
      <c r="H295" s="0" t="s">
        <v>9667</v>
      </c>
      <c r="J295" s="0" t="s">
        <v>9668</v>
      </c>
      <c r="K295" s="0" t="s">
        <v>9669</v>
      </c>
      <c r="L295" s="0" t="n">
        <v>2026</v>
      </c>
      <c r="M295" s="3" t="s">
        <v>9226</v>
      </c>
      <c r="N295" s="0" t="s">
        <v>9276</v>
      </c>
      <c r="P295" s="0" t="s">
        <v>9691</v>
      </c>
    </row>
    <row r="296" customFormat="false" ht="15" hidden="false" customHeight="false" outlineLevel="0" collapsed="false">
      <c r="A296" s="0" t="n">
        <v>1255</v>
      </c>
      <c r="B296" s="0" t="s">
        <v>8435</v>
      </c>
      <c r="C296" s="0" t="s">
        <v>9692</v>
      </c>
      <c r="E296" s="3" t="s">
        <v>9231</v>
      </c>
      <c r="F296" s="0" t="s">
        <v>9693</v>
      </c>
      <c r="L296" s="0" t="n">
        <v>2026</v>
      </c>
      <c r="M296" s="3" t="s">
        <v>9347</v>
      </c>
      <c r="N296" s="0" t="s">
        <v>9276</v>
      </c>
      <c r="P296" s="0" t="s">
        <v>9694</v>
      </c>
    </row>
    <row r="297" customFormat="false" ht="15" hidden="false" customHeight="false" outlineLevel="0" collapsed="false">
      <c r="A297" s="0" t="n">
        <v>1255</v>
      </c>
      <c r="B297" s="0" t="s">
        <v>8435</v>
      </c>
      <c r="C297" s="0" t="s">
        <v>9695</v>
      </c>
      <c r="E297" s="3" t="s">
        <v>9231</v>
      </c>
      <c r="F297" s="0" t="s">
        <v>9696</v>
      </c>
      <c r="L297" s="0" t="n">
        <v>2026</v>
      </c>
      <c r="M297" s="3" t="s">
        <v>9347</v>
      </c>
      <c r="N297" s="0" t="s">
        <v>9276</v>
      </c>
      <c r="P297" s="0" t="s">
        <v>9697</v>
      </c>
    </row>
    <row r="298" customFormat="false" ht="15" hidden="false" customHeight="false" outlineLevel="0" collapsed="false">
      <c r="A298" s="0" t="n">
        <v>1255</v>
      </c>
      <c r="B298" s="0" t="s">
        <v>8435</v>
      </c>
      <c r="C298" s="0" t="s">
        <v>9698</v>
      </c>
      <c r="E298" s="3" t="s">
        <v>9231</v>
      </c>
      <c r="F298" s="0" t="s">
        <v>9699</v>
      </c>
      <c r="L298" s="0" t="n">
        <v>2026</v>
      </c>
      <c r="M298" s="3" t="s">
        <v>9347</v>
      </c>
      <c r="N298" s="0" t="s">
        <v>9276</v>
      </c>
      <c r="P298" s="0" t="s">
        <v>9700</v>
      </c>
    </row>
    <row r="299" customFormat="false" ht="15" hidden="false" customHeight="false" outlineLevel="0" collapsed="false">
      <c r="A299" s="0" t="n">
        <v>1255</v>
      </c>
      <c r="B299" s="0" t="s">
        <v>8435</v>
      </c>
      <c r="C299" s="0" t="s">
        <v>2751</v>
      </c>
      <c r="D299" s="0" t="s">
        <v>9453</v>
      </c>
      <c r="E299" s="3" t="s">
        <v>9231</v>
      </c>
      <c r="F299" s="0" t="s">
        <v>9232</v>
      </c>
      <c r="G299" s="0" t="s">
        <v>9454</v>
      </c>
      <c r="H299" s="0" t="s">
        <v>9455</v>
      </c>
      <c r="I299" s="0" t="s">
        <v>9456</v>
      </c>
      <c r="J299" s="0" t="s">
        <v>9457</v>
      </c>
      <c r="K299" s="0" t="s">
        <v>9458</v>
      </c>
      <c r="L299" s="0" t="n">
        <v>2026</v>
      </c>
      <c r="M299" s="3" t="s">
        <v>9237</v>
      </c>
      <c r="N299" s="0" t="s">
        <v>9238</v>
      </c>
      <c r="O299" s="0" t="s">
        <v>9239</v>
      </c>
      <c r="P299" s="0" t="s">
        <v>9459</v>
      </c>
    </row>
    <row r="300" customFormat="false" ht="15" hidden="false" customHeight="false" outlineLevel="0" collapsed="false">
      <c r="A300" s="0" t="n">
        <v>1259</v>
      </c>
      <c r="B300" s="0" t="s">
        <v>8456</v>
      </c>
      <c r="C300" s="0" t="s">
        <v>9664</v>
      </c>
      <c r="D300" s="3" t="s">
        <v>9665</v>
      </c>
      <c r="E300" s="3" t="s">
        <v>9224</v>
      </c>
      <c r="F300" s="0" t="s">
        <v>9666</v>
      </c>
      <c r="G300" s="0" t="s">
        <v>6089</v>
      </c>
      <c r="H300" s="0" t="s">
        <v>9667</v>
      </c>
      <c r="J300" s="0" t="s">
        <v>9668</v>
      </c>
      <c r="K300" s="0" t="s">
        <v>9669</v>
      </c>
      <c r="N300" s="0" t="s">
        <v>9276</v>
      </c>
      <c r="P300" s="0" t="s">
        <v>9669</v>
      </c>
    </row>
    <row r="301" customFormat="false" ht="15" hidden="false" customHeight="false" outlineLevel="0" collapsed="false">
      <c r="A301" s="0" t="n">
        <v>1259</v>
      </c>
      <c r="B301" s="0" t="s">
        <v>8456</v>
      </c>
      <c r="C301" s="0" t="s">
        <v>9670</v>
      </c>
      <c r="D301" s="3" t="s">
        <v>9671</v>
      </c>
      <c r="E301" s="3" t="s">
        <v>9224</v>
      </c>
      <c r="F301" s="0" t="s">
        <v>9672</v>
      </c>
      <c r="G301" s="0" t="s">
        <v>6089</v>
      </c>
      <c r="H301" s="0" t="s">
        <v>9667</v>
      </c>
      <c r="J301" s="0" t="s">
        <v>9668</v>
      </c>
      <c r="K301" s="0" t="s">
        <v>9669</v>
      </c>
      <c r="N301" s="0" t="s">
        <v>9276</v>
      </c>
    </row>
    <row r="302" customFormat="false" ht="15" hidden="false" customHeight="false" outlineLevel="0" collapsed="false">
      <c r="A302" s="0" t="n">
        <v>1259</v>
      </c>
      <c r="B302" s="0" t="s">
        <v>8456</v>
      </c>
      <c r="C302" s="0" t="s">
        <v>9338</v>
      </c>
      <c r="D302" s="3" t="s">
        <v>9339</v>
      </c>
      <c r="E302" s="3" t="s">
        <v>9231</v>
      </c>
      <c r="F302" s="0" t="s">
        <v>9673</v>
      </c>
      <c r="G302" s="0" t="s">
        <v>9341</v>
      </c>
      <c r="H302" s="0" t="s">
        <v>9342</v>
      </c>
      <c r="J302" s="0" t="s">
        <v>9343</v>
      </c>
      <c r="L302" s="0" t="n">
        <v>2026</v>
      </c>
      <c r="M302" s="3" t="s">
        <v>9237</v>
      </c>
      <c r="N302" s="0" t="s">
        <v>9276</v>
      </c>
      <c r="P302" s="0" t="s">
        <v>9674</v>
      </c>
    </row>
    <row r="303" customFormat="false" ht="15" hidden="false" customHeight="false" outlineLevel="0" collapsed="false">
      <c r="A303" s="0" t="n">
        <v>1259</v>
      </c>
      <c r="B303" s="0" t="s">
        <v>8456</v>
      </c>
      <c r="C303" s="0" t="s">
        <v>9675</v>
      </c>
      <c r="D303" s="3" t="s">
        <v>9676</v>
      </c>
      <c r="E303" s="3" t="s">
        <v>9231</v>
      </c>
      <c r="F303" s="0" t="s">
        <v>9677</v>
      </c>
      <c r="G303" s="0" t="s">
        <v>9678</v>
      </c>
      <c r="H303" s="0" t="s">
        <v>9679</v>
      </c>
      <c r="I303" s="0" t="s">
        <v>9680</v>
      </c>
      <c r="J303" s="0" t="s">
        <v>9681</v>
      </c>
      <c r="L303" s="0" t="n">
        <v>2026</v>
      </c>
      <c r="M303" s="3" t="s">
        <v>9237</v>
      </c>
      <c r="N303" s="0" t="s">
        <v>9276</v>
      </c>
      <c r="P303" s="0" t="s">
        <v>9682</v>
      </c>
    </row>
    <row r="304" customFormat="false" ht="15" hidden="false" customHeight="false" outlineLevel="0" collapsed="false">
      <c r="A304" s="0" t="n">
        <v>1259</v>
      </c>
      <c r="B304" s="0" t="s">
        <v>8456</v>
      </c>
      <c r="C304" s="0" t="s">
        <v>1545</v>
      </c>
      <c r="D304" s="3" t="s">
        <v>9683</v>
      </c>
      <c r="E304" s="3" t="s">
        <v>9231</v>
      </c>
      <c r="F304" s="0" t="s">
        <v>9684</v>
      </c>
      <c r="G304" s="0" t="s">
        <v>9395</v>
      </c>
      <c r="H304" s="0" t="s">
        <v>9396</v>
      </c>
      <c r="I304" s="0" t="s">
        <v>9397</v>
      </c>
      <c r="J304" s="0" t="s">
        <v>9398</v>
      </c>
      <c r="L304" s="0" t="n">
        <v>2026</v>
      </c>
      <c r="M304" s="3" t="s">
        <v>9237</v>
      </c>
      <c r="N304" s="0" t="s">
        <v>9276</v>
      </c>
      <c r="P304" s="0" t="s">
        <v>9685</v>
      </c>
    </row>
    <row r="305" customFormat="false" ht="15" hidden="false" customHeight="false" outlineLevel="0" collapsed="false">
      <c r="A305" s="0" t="n">
        <v>1259</v>
      </c>
      <c r="B305" s="0" t="s">
        <v>8456</v>
      </c>
      <c r="C305" s="0" t="s">
        <v>1231</v>
      </c>
      <c r="D305" s="3" t="s">
        <v>9349</v>
      </c>
      <c r="E305" s="3" t="s">
        <v>9231</v>
      </c>
      <c r="F305" s="0" t="s">
        <v>9686</v>
      </c>
      <c r="G305" s="0" t="s">
        <v>9350</v>
      </c>
      <c r="H305" s="0" t="s">
        <v>9351</v>
      </c>
      <c r="J305" s="0" t="s">
        <v>9353</v>
      </c>
      <c r="K305" s="0" t="s">
        <v>9354</v>
      </c>
      <c r="L305" s="0" t="n">
        <v>2026</v>
      </c>
      <c r="M305" s="3" t="s">
        <v>9237</v>
      </c>
      <c r="N305" s="0" t="s">
        <v>9276</v>
      </c>
      <c r="P305" s="0" t="s">
        <v>9687</v>
      </c>
    </row>
    <row r="306" customFormat="false" ht="15" hidden="false" customHeight="false" outlineLevel="0" collapsed="false">
      <c r="A306" s="0" t="n">
        <v>1259</v>
      </c>
      <c r="B306" s="0" t="s">
        <v>8456</v>
      </c>
      <c r="C306" s="0" t="s">
        <v>9688</v>
      </c>
      <c r="E306" s="3" t="s">
        <v>9689</v>
      </c>
      <c r="F306" s="0" t="s">
        <v>9690</v>
      </c>
      <c r="G306" s="0" t="s">
        <v>6089</v>
      </c>
      <c r="H306" s="0" t="s">
        <v>9667</v>
      </c>
      <c r="J306" s="0" t="s">
        <v>9668</v>
      </c>
      <c r="K306" s="0" t="s">
        <v>9669</v>
      </c>
      <c r="L306" s="0" t="n">
        <v>2026</v>
      </c>
      <c r="M306" s="3" t="s">
        <v>9226</v>
      </c>
      <c r="N306" s="0" t="s">
        <v>9276</v>
      </c>
      <c r="P306" s="0" t="s">
        <v>9691</v>
      </c>
    </row>
    <row r="307" customFormat="false" ht="15" hidden="false" customHeight="false" outlineLevel="0" collapsed="false">
      <c r="A307" s="0" t="n">
        <v>1259</v>
      </c>
      <c r="B307" s="0" t="s">
        <v>8456</v>
      </c>
      <c r="C307" s="0" t="s">
        <v>9692</v>
      </c>
      <c r="E307" s="3" t="s">
        <v>9231</v>
      </c>
      <c r="F307" s="0" t="s">
        <v>9693</v>
      </c>
      <c r="L307" s="0" t="n">
        <v>2026</v>
      </c>
      <c r="M307" s="3" t="s">
        <v>9347</v>
      </c>
      <c r="N307" s="0" t="s">
        <v>9276</v>
      </c>
      <c r="P307" s="0" t="s">
        <v>9694</v>
      </c>
    </row>
    <row r="308" customFormat="false" ht="15" hidden="false" customHeight="false" outlineLevel="0" collapsed="false">
      <c r="A308" s="0" t="n">
        <v>1259</v>
      </c>
      <c r="B308" s="0" t="s">
        <v>8456</v>
      </c>
      <c r="C308" s="0" t="s">
        <v>9695</v>
      </c>
      <c r="E308" s="3" t="s">
        <v>9231</v>
      </c>
      <c r="F308" s="0" t="s">
        <v>9696</v>
      </c>
      <c r="L308" s="0" t="n">
        <v>2026</v>
      </c>
      <c r="M308" s="3" t="s">
        <v>9347</v>
      </c>
      <c r="N308" s="0" t="s">
        <v>9276</v>
      </c>
      <c r="P308" s="0" t="s">
        <v>9697</v>
      </c>
    </row>
    <row r="309" customFormat="false" ht="15" hidden="false" customHeight="false" outlineLevel="0" collapsed="false">
      <c r="A309" s="0" t="n">
        <v>1259</v>
      </c>
      <c r="B309" s="0" t="s">
        <v>8456</v>
      </c>
      <c r="C309" s="0" t="s">
        <v>9698</v>
      </c>
      <c r="E309" s="3" t="s">
        <v>9231</v>
      </c>
      <c r="F309" s="0" t="s">
        <v>9699</v>
      </c>
      <c r="L309" s="0" t="n">
        <v>2026</v>
      </c>
      <c r="M309" s="3" t="s">
        <v>9347</v>
      </c>
      <c r="N309" s="0" t="s">
        <v>9276</v>
      </c>
      <c r="P309" s="0" t="s">
        <v>9700</v>
      </c>
    </row>
    <row r="310" customFormat="false" ht="15" hidden="false" customHeight="false" outlineLevel="0" collapsed="false">
      <c r="A310" s="0" t="n">
        <v>1261</v>
      </c>
      <c r="B310" s="0" t="s">
        <v>8464</v>
      </c>
      <c r="C310" s="0" t="s">
        <v>9664</v>
      </c>
      <c r="D310" s="3" t="s">
        <v>9665</v>
      </c>
      <c r="E310" s="3" t="s">
        <v>9224</v>
      </c>
      <c r="F310" s="0" t="s">
        <v>9666</v>
      </c>
      <c r="G310" s="0" t="s">
        <v>6089</v>
      </c>
      <c r="H310" s="0" t="s">
        <v>9667</v>
      </c>
      <c r="J310" s="0" t="s">
        <v>9668</v>
      </c>
      <c r="K310" s="0" t="s">
        <v>9669</v>
      </c>
      <c r="N310" s="0" t="s">
        <v>9276</v>
      </c>
      <c r="P310" s="0" t="s">
        <v>9669</v>
      </c>
    </row>
    <row r="311" customFormat="false" ht="15" hidden="false" customHeight="false" outlineLevel="0" collapsed="false">
      <c r="A311" s="0" t="n">
        <v>1261</v>
      </c>
      <c r="B311" s="0" t="s">
        <v>8464</v>
      </c>
      <c r="C311" s="0" t="s">
        <v>9670</v>
      </c>
      <c r="D311" s="3" t="s">
        <v>9671</v>
      </c>
      <c r="E311" s="3" t="s">
        <v>9224</v>
      </c>
      <c r="F311" s="0" t="s">
        <v>9672</v>
      </c>
      <c r="G311" s="0" t="s">
        <v>6089</v>
      </c>
      <c r="H311" s="0" t="s">
        <v>9667</v>
      </c>
      <c r="J311" s="0" t="s">
        <v>9668</v>
      </c>
      <c r="K311" s="0" t="s">
        <v>9669</v>
      </c>
      <c r="N311" s="0" t="s">
        <v>9276</v>
      </c>
    </row>
    <row r="312" customFormat="false" ht="15" hidden="false" customHeight="false" outlineLevel="0" collapsed="false">
      <c r="A312" s="0" t="n">
        <v>1261</v>
      </c>
      <c r="B312" s="0" t="s">
        <v>8464</v>
      </c>
      <c r="C312" s="0" t="s">
        <v>9338</v>
      </c>
      <c r="D312" s="3" t="s">
        <v>9339</v>
      </c>
      <c r="E312" s="3" t="s">
        <v>9231</v>
      </c>
      <c r="F312" s="0" t="s">
        <v>9673</v>
      </c>
      <c r="G312" s="0" t="s">
        <v>9341</v>
      </c>
      <c r="H312" s="0" t="s">
        <v>9342</v>
      </c>
      <c r="J312" s="0" t="s">
        <v>9343</v>
      </c>
      <c r="L312" s="0" t="n">
        <v>2026</v>
      </c>
      <c r="M312" s="3" t="s">
        <v>9237</v>
      </c>
      <c r="N312" s="0" t="s">
        <v>9276</v>
      </c>
      <c r="P312" s="0" t="s">
        <v>9674</v>
      </c>
    </row>
    <row r="313" customFormat="false" ht="15" hidden="false" customHeight="false" outlineLevel="0" collapsed="false">
      <c r="A313" s="0" t="n">
        <v>1261</v>
      </c>
      <c r="B313" s="0" t="s">
        <v>8464</v>
      </c>
      <c r="C313" s="0" t="s">
        <v>9675</v>
      </c>
      <c r="D313" s="3" t="s">
        <v>9676</v>
      </c>
      <c r="E313" s="3" t="s">
        <v>9231</v>
      </c>
      <c r="F313" s="0" t="s">
        <v>9677</v>
      </c>
      <c r="G313" s="0" t="s">
        <v>9678</v>
      </c>
      <c r="H313" s="0" t="s">
        <v>9679</v>
      </c>
      <c r="I313" s="0" t="s">
        <v>9680</v>
      </c>
      <c r="J313" s="0" t="s">
        <v>9681</v>
      </c>
      <c r="L313" s="0" t="n">
        <v>2026</v>
      </c>
      <c r="M313" s="3" t="s">
        <v>9237</v>
      </c>
      <c r="N313" s="0" t="s">
        <v>9276</v>
      </c>
      <c r="P313" s="0" t="s">
        <v>9682</v>
      </c>
    </row>
    <row r="314" customFormat="false" ht="15" hidden="false" customHeight="false" outlineLevel="0" collapsed="false">
      <c r="A314" s="0" t="n">
        <v>1261</v>
      </c>
      <c r="B314" s="0" t="s">
        <v>8464</v>
      </c>
      <c r="C314" s="0" t="s">
        <v>1545</v>
      </c>
      <c r="D314" s="3" t="s">
        <v>9683</v>
      </c>
      <c r="E314" s="3" t="s">
        <v>9231</v>
      </c>
      <c r="F314" s="0" t="s">
        <v>9684</v>
      </c>
      <c r="G314" s="0" t="s">
        <v>9395</v>
      </c>
      <c r="H314" s="0" t="s">
        <v>9396</v>
      </c>
      <c r="I314" s="0" t="s">
        <v>9397</v>
      </c>
      <c r="J314" s="0" t="s">
        <v>9398</v>
      </c>
      <c r="L314" s="0" t="n">
        <v>2026</v>
      </c>
      <c r="M314" s="3" t="s">
        <v>9237</v>
      </c>
      <c r="N314" s="0" t="s">
        <v>9276</v>
      </c>
      <c r="P314" s="0" t="s">
        <v>9685</v>
      </c>
    </row>
    <row r="315" customFormat="false" ht="15" hidden="false" customHeight="false" outlineLevel="0" collapsed="false">
      <c r="A315" s="0" t="n">
        <v>1261</v>
      </c>
      <c r="B315" s="0" t="s">
        <v>8464</v>
      </c>
      <c r="C315" s="0" t="s">
        <v>1231</v>
      </c>
      <c r="D315" s="3" t="s">
        <v>9349</v>
      </c>
      <c r="E315" s="3" t="s">
        <v>9231</v>
      </c>
      <c r="F315" s="0" t="s">
        <v>9686</v>
      </c>
      <c r="G315" s="0" t="s">
        <v>9350</v>
      </c>
      <c r="H315" s="0" t="s">
        <v>9351</v>
      </c>
      <c r="J315" s="0" t="s">
        <v>9353</v>
      </c>
      <c r="K315" s="0" t="s">
        <v>9354</v>
      </c>
      <c r="L315" s="0" t="n">
        <v>2026</v>
      </c>
      <c r="M315" s="3" t="s">
        <v>9237</v>
      </c>
      <c r="N315" s="0" t="s">
        <v>9276</v>
      </c>
      <c r="P315" s="0" t="s">
        <v>9687</v>
      </c>
    </row>
    <row r="316" customFormat="false" ht="15" hidden="false" customHeight="false" outlineLevel="0" collapsed="false">
      <c r="A316" s="0" t="n">
        <v>1261</v>
      </c>
      <c r="B316" s="0" t="s">
        <v>8464</v>
      </c>
      <c r="C316" s="0" t="s">
        <v>9688</v>
      </c>
      <c r="E316" s="3" t="s">
        <v>9689</v>
      </c>
      <c r="F316" s="0" t="s">
        <v>9690</v>
      </c>
      <c r="G316" s="0" t="s">
        <v>6089</v>
      </c>
      <c r="H316" s="0" t="s">
        <v>9667</v>
      </c>
      <c r="J316" s="0" t="s">
        <v>9668</v>
      </c>
      <c r="K316" s="0" t="s">
        <v>9669</v>
      </c>
      <c r="L316" s="0" t="n">
        <v>2026</v>
      </c>
      <c r="M316" s="3" t="s">
        <v>9226</v>
      </c>
      <c r="N316" s="0" t="s">
        <v>9276</v>
      </c>
      <c r="P316" s="0" t="s">
        <v>9691</v>
      </c>
    </row>
    <row r="317" customFormat="false" ht="15" hidden="false" customHeight="false" outlineLevel="0" collapsed="false">
      <c r="A317" s="0" t="n">
        <v>1261</v>
      </c>
      <c r="B317" s="0" t="s">
        <v>8464</v>
      </c>
      <c r="C317" s="0" t="s">
        <v>9692</v>
      </c>
      <c r="E317" s="3" t="s">
        <v>9231</v>
      </c>
      <c r="F317" s="0" t="s">
        <v>9693</v>
      </c>
      <c r="L317" s="0" t="n">
        <v>2026</v>
      </c>
      <c r="M317" s="3" t="s">
        <v>9347</v>
      </c>
      <c r="N317" s="0" t="s">
        <v>9276</v>
      </c>
      <c r="P317" s="0" t="s">
        <v>9694</v>
      </c>
    </row>
    <row r="318" customFormat="false" ht="15" hidden="false" customHeight="false" outlineLevel="0" collapsed="false">
      <c r="A318" s="0" t="n">
        <v>1261</v>
      </c>
      <c r="B318" s="0" t="s">
        <v>8464</v>
      </c>
      <c r="C318" s="0" t="s">
        <v>9695</v>
      </c>
      <c r="E318" s="3" t="s">
        <v>9231</v>
      </c>
      <c r="F318" s="0" t="s">
        <v>9696</v>
      </c>
      <c r="L318" s="0" t="n">
        <v>2026</v>
      </c>
      <c r="M318" s="3" t="s">
        <v>9347</v>
      </c>
      <c r="N318" s="0" t="s">
        <v>9276</v>
      </c>
      <c r="P318" s="0" t="s">
        <v>9697</v>
      </c>
    </row>
    <row r="319" customFormat="false" ht="15" hidden="false" customHeight="false" outlineLevel="0" collapsed="false">
      <c r="A319" s="0" t="n">
        <v>1261</v>
      </c>
      <c r="B319" s="0" t="s">
        <v>8464</v>
      </c>
      <c r="C319" s="0" t="s">
        <v>9698</v>
      </c>
      <c r="E319" s="3" t="s">
        <v>9231</v>
      </c>
      <c r="F319" s="0" t="s">
        <v>9699</v>
      </c>
      <c r="L319" s="0" t="n">
        <v>2026</v>
      </c>
      <c r="M319" s="3" t="s">
        <v>9347</v>
      </c>
      <c r="N319" s="0" t="s">
        <v>9276</v>
      </c>
      <c r="P319" s="0" t="s">
        <v>9700</v>
      </c>
    </row>
    <row r="320" customFormat="false" ht="15" hidden="false" customHeight="false" outlineLevel="0" collapsed="false">
      <c r="A320" s="0" t="n">
        <v>1263</v>
      </c>
      <c r="B320" s="0" t="s">
        <v>8472</v>
      </c>
      <c r="C320" s="0" t="s">
        <v>8477</v>
      </c>
      <c r="D320" s="3" t="s">
        <v>9791</v>
      </c>
      <c r="E320" s="3" t="s">
        <v>9231</v>
      </c>
      <c r="F320" s="0" t="s">
        <v>9232</v>
      </c>
      <c r="G320" s="0" t="s">
        <v>9605</v>
      </c>
      <c r="H320" s="0" t="s">
        <v>9792</v>
      </c>
      <c r="I320" s="0" t="s">
        <v>9793</v>
      </c>
      <c r="L320" s="0" t="n">
        <v>2026</v>
      </c>
      <c r="M320" s="3" t="s">
        <v>9237</v>
      </c>
      <c r="N320" s="0" t="s">
        <v>9238</v>
      </c>
      <c r="O320" s="0" t="s">
        <v>9283</v>
      </c>
      <c r="P320" s="0" t="s">
        <v>9794</v>
      </c>
    </row>
    <row r="321" customFormat="false" ht="15" hidden="false" customHeight="false" outlineLevel="0" collapsed="false">
      <c r="A321" s="0" t="n">
        <v>1276</v>
      </c>
      <c r="B321" s="0" t="s">
        <v>8552</v>
      </c>
      <c r="C321" s="0" t="s">
        <v>6004</v>
      </c>
      <c r="D321" s="3" t="s">
        <v>9707</v>
      </c>
      <c r="E321" s="3" t="s">
        <v>9231</v>
      </c>
      <c r="F321" s="0" t="s">
        <v>9708</v>
      </c>
      <c r="G321" s="0" t="s">
        <v>9471</v>
      </c>
      <c r="H321" s="0" t="s">
        <v>9472</v>
      </c>
      <c r="J321" s="0" t="s">
        <v>9473</v>
      </c>
      <c r="M321" s="3" t="s">
        <v>9226</v>
      </c>
      <c r="N321" s="0" t="s">
        <v>9276</v>
      </c>
      <c r="P321" s="0" t="s">
        <v>9474</v>
      </c>
    </row>
    <row r="322" customFormat="false" ht="15" hidden="false" customHeight="false" outlineLevel="0" collapsed="false">
      <c r="A322" s="0" t="n">
        <v>1276</v>
      </c>
      <c r="B322" s="0" t="s">
        <v>8552</v>
      </c>
      <c r="C322" s="0" t="s">
        <v>9709</v>
      </c>
      <c r="E322" s="3" t="s">
        <v>9231</v>
      </c>
      <c r="F322" s="0" t="s">
        <v>9710</v>
      </c>
      <c r="L322" s="0" t="n">
        <v>2026</v>
      </c>
      <c r="M322" s="3" t="s">
        <v>9347</v>
      </c>
      <c r="N322" s="0" t="s">
        <v>9276</v>
      </c>
      <c r="P322" s="0" t="s">
        <v>9711</v>
      </c>
    </row>
    <row r="323" customFormat="false" ht="15" hidden="false" customHeight="false" outlineLevel="0" collapsed="false">
      <c r="A323" s="0" t="n">
        <v>1282</v>
      </c>
      <c r="B323" s="0" t="s">
        <v>8583</v>
      </c>
      <c r="C323" s="0" t="s">
        <v>1423</v>
      </c>
      <c r="D323" s="3" t="s">
        <v>9385</v>
      </c>
      <c r="E323" s="3" t="s">
        <v>9231</v>
      </c>
      <c r="F323" s="0" t="s">
        <v>9232</v>
      </c>
      <c r="G323" s="0" t="s">
        <v>9287</v>
      </c>
      <c r="H323" s="0" t="s">
        <v>9288</v>
      </c>
      <c r="I323" s="0" t="s">
        <v>9289</v>
      </c>
      <c r="J323" s="0" t="s">
        <v>9290</v>
      </c>
      <c r="L323" s="0" t="n">
        <v>2026</v>
      </c>
      <c r="M323" s="3" t="s">
        <v>9237</v>
      </c>
      <c r="N323" s="0" t="s">
        <v>9238</v>
      </c>
      <c r="O323" s="0" t="s">
        <v>9239</v>
      </c>
      <c r="P323" s="0" t="s">
        <v>9386</v>
      </c>
    </row>
    <row r="324" customFormat="false" ht="15" hidden="false" customHeight="false" outlineLevel="0" collapsed="false">
      <c r="A324" s="0" t="n">
        <v>1291</v>
      </c>
      <c r="B324" s="0" t="s">
        <v>8647</v>
      </c>
      <c r="C324" s="0" t="s">
        <v>968</v>
      </c>
      <c r="D324" s="3" t="s">
        <v>9309</v>
      </c>
      <c r="E324" s="3" t="s">
        <v>9231</v>
      </c>
      <c r="F324" s="0" t="s">
        <v>9232</v>
      </c>
      <c r="G324" s="0" t="s">
        <v>9310</v>
      </c>
      <c r="H324" s="0" t="s">
        <v>9311</v>
      </c>
      <c r="I324" s="0" t="s">
        <v>9312</v>
      </c>
      <c r="L324" s="0" t="n">
        <v>2026</v>
      </c>
      <c r="M324" s="3" t="s">
        <v>9237</v>
      </c>
      <c r="N324" s="0" t="s">
        <v>9238</v>
      </c>
      <c r="O324" s="0" t="s">
        <v>9239</v>
      </c>
      <c r="P324" s="0" t="s">
        <v>9313</v>
      </c>
    </row>
    <row r="325" customFormat="false" ht="15" hidden="false" customHeight="false" outlineLevel="0" collapsed="false">
      <c r="A325" s="0" t="n">
        <v>1299</v>
      </c>
      <c r="B325" s="0" t="s">
        <v>8691</v>
      </c>
      <c r="C325" s="0" t="s">
        <v>8691</v>
      </c>
      <c r="D325" s="3" t="s">
        <v>9795</v>
      </c>
      <c r="E325" s="3" t="s">
        <v>9224</v>
      </c>
      <c r="F325" s="0" t="s">
        <v>9796</v>
      </c>
      <c r="G325" s="0" t="s">
        <v>8694</v>
      </c>
      <c r="L325" s="0" t="n">
        <v>2026</v>
      </c>
      <c r="M325" s="3" t="s">
        <v>9237</v>
      </c>
      <c r="N325" s="0" t="s">
        <v>9227</v>
      </c>
      <c r="O325" s="0" t="s">
        <v>9228</v>
      </c>
      <c r="P325" s="0" t="s">
        <v>9797</v>
      </c>
    </row>
    <row r="326" customFormat="false" ht="15" hidden="false" customHeight="false" outlineLevel="0" collapsed="false">
      <c r="A326" s="0" t="n">
        <v>1317</v>
      </c>
      <c r="B326" s="0" t="s">
        <v>8791</v>
      </c>
      <c r="C326" s="0" t="s">
        <v>921</v>
      </c>
      <c r="D326" s="3" t="s">
        <v>9303</v>
      </c>
      <c r="E326" s="3" t="s">
        <v>9231</v>
      </c>
      <c r="F326" s="0" t="s">
        <v>9232</v>
      </c>
      <c r="G326" s="0" t="s">
        <v>9304</v>
      </c>
      <c r="H326" s="0" t="s">
        <v>9305</v>
      </c>
      <c r="I326" s="0" t="s">
        <v>9306</v>
      </c>
      <c r="J326" s="0" t="s">
        <v>9307</v>
      </c>
      <c r="L326" s="0" t="n">
        <v>2026</v>
      </c>
      <c r="M326" s="3" t="s">
        <v>9237</v>
      </c>
      <c r="N326" s="0" t="s">
        <v>9238</v>
      </c>
      <c r="O326" s="0" t="s">
        <v>9239</v>
      </c>
      <c r="P326" s="0" t="s">
        <v>9421</v>
      </c>
    </row>
    <row r="327" customFormat="false" ht="15" hidden="false" customHeight="false" outlineLevel="0" collapsed="false">
      <c r="A327" s="0" t="n">
        <v>1318</v>
      </c>
      <c r="B327" s="0" t="s">
        <v>8800</v>
      </c>
      <c r="C327" s="0" t="s">
        <v>3060</v>
      </c>
      <c r="D327" s="3" t="s">
        <v>9363</v>
      </c>
      <c r="E327" s="3" t="s">
        <v>9231</v>
      </c>
      <c r="F327" s="0" t="s">
        <v>9232</v>
      </c>
      <c r="G327" s="0" t="s">
        <v>9365</v>
      </c>
      <c r="H327" s="0" t="s">
        <v>9366</v>
      </c>
      <c r="I327" s="0" t="s">
        <v>9367</v>
      </c>
      <c r="J327" s="0" t="s">
        <v>9368</v>
      </c>
      <c r="K327" s="0" t="s">
        <v>9369</v>
      </c>
      <c r="L327" s="0" t="n">
        <v>2026</v>
      </c>
      <c r="M327" s="3" t="s">
        <v>9237</v>
      </c>
      <c r="N327" s="0" t="s">
        <v>9238</v>
      </c>
      <c r="O327" s="0" t="s">
        <v>9239</v>
      </c>
      <c r="P327" s="0" t="s">
        <v>9497</v>
      </c>
    </row>
    <row r="328" customFormat="false" ht="15" hidden="false" customHeight="false" outlineLevel="0" collapsed="false">
      <c r="A328" s="0" t="n">
        <v>1324</v>
      </c>
      <c r="B328" s="0" t="s">
        <v>8849</v>
      </c>
      <c r="C328" s="0" t="s">
        <v>167</v>
      </c>
      <c r="D328" s="3" t="s">
        <v>9246</v>
      </c>
      <c r="E328" s="3" t="s">
        <v>9231</v>
      </c>
      <c r="F328" s="0" t="s">
        <v>9232</v>
      </c>
      <c r="G328" s="0" t="s">
        <v>9247</v>
      </c>
      <c r="H328" s="0" t="s">
        <v>9248</v>
      </c>
      <c r="I328" s="0" t="s">
        <v>9249</v>
      </c>
      <c r="J328" s="0" t="s">
        <v>9250</v>
      </c>
      <c r="L328" s="0" t="n">
        <v>2026</v>
      </c>
      <c r="M328" s="3" t="s">
        <v>9237</v>
      </c>
      <c r="N328" s="0" t="s">
        <v>9238</v>
      </c>
      <c r="O328" s="0" t="s">
        <v>9239</v>
      </c>
      <c r="P328" s="0" t="s">
        <v>9251</v>
      </c>
    </row>
    <row r="329" customFormat="false" ht="15" hidden="false" customHeight="false" outlineLevel="0" collapsed="false">
      <c r="A329" s="0" t="n">
        <v>1327</v>
      </c>
      <c r="B329" s="0" t="s">
        <v>8866</v>
      </c>
      <c r="C329" s="0" t="s">
        <v>8876</v>
      </c>
      <c r="D329" s="3" t="s">
        <v>9363</v>
      </c>
      <c r="E329" s="3" t="s">
        <v>9231</v>
      </c>
      <c r="F329" s="0" t="s">
        <v>9798</v>
      </c>
      <c r="G329" s="0" t="s">
        <v>9365</v>
      </c>
      <c r="H329" s="0" t="s">
        <v>9366</v>
      </c>
      <c r="I329" s="0" t="s">
        <v>9367</v>
      </c>
      <c r="J329" s="0" t="s">
        <v>9368</v>
      </c>
      <c r="K329" s="0" t="s">
        <v>9369</v>
      </c>
      <c r="L329" s="0" t="n">
        <v>2026</v>
      </c>
      <c r="M329" s="3" t="s">
        <v>9237</v>
      </c>
      <c r="N329" s="0" t="s">
        <v>9276</v>
      </c>
      <c r="P329" s="0" t="s">
        <v>9574</v>
      </c>
    </row>
    <row r="330" customFormat="false" ht="15" hidden="false" customHeight="false" outlineLevel="0" collapsed="false">
      <c r="A330" s="0" t="n">
        <v>1328</v>
      </c>
      <c r="B330" s="0" t="s">
        <v>8883</v>
      </c>
      <c r="C330" s="0" t="s">
        <v>8876</v>
      </c>
      <c r="D330" s="3" t="s">
        <v>9363</v>
      </c>
      <c r="E330" s="3" t="s">
        <v>9231</v>
      </c>
      <c r="F330" s="0" t="s">
        <v>9798</v>
      </c>
      <c r="G330" s="0" t="s">
        <v>9365</v>
      </c>
      <c r="H330" s="0" t="s">
        <v>9366</v>
      </c>
      <c r="I330" s="0" t="s">
        <v>9367</v>
      </c>
      <c r="J330" s="0" t="s">
        <v>9368</v>
      </c>
      <c r="K330" s="0" t="s">
        <v>9369</v>
      </c>
      <c r="L330" s="0" t="n">
        <v>2026</v>
      </c>
      <c r="M330" s="3" t="s">
        <v>9237</v>
      </c>
      <c r="N330" s="0" t="s">
        <v>9276</v>
      </c>
      <c r="P330" s="0" t="s">
        <v>9574</v>
      </c>
    </row>
    <row r="331" customFormat="false" ht="15" hidden="false" customHeight="false" outlineLevel="0" collapsed="false">
      <c r="A331" s="0" t="n">
        <v>1345</v>
      </c>
      <c r="B331" s="0" t="s">
        <v>8970</v>
      </c>
      <c r="C331" s="0" t="s">
        <v>9799</v>
      </c>
      <c r="E331" s="3" t="s">
        <v>9224</v>
      </c>
      <c r="F331" s="0" t="s">
        <v>9800</v>
      </c>
      <c r="G331" s="0" t="s">
        <v>8972</v>
      </c>
      <c r="L331" s="0" t="n">
        <v>2024</v>
      </c>
      <c r="M331" s="3" t="s">
        <v>9237</v>
      </c>
      <c r="N331" s="0" t="s">
        <v>9276</v>
      </c>
      <c r="P331" s="0" t="s">
        <v>9801</v>
      </c>
    </row>
    <row r="332" customFormat="false" ht="15" hidden="false" customHeight="false" outlineLevel="0" collapsed="false">
      <c r="A332" s="0" t="n">
        <v>1345</v>
      </c>
      <c r="B332" s="0" t="s">
        <v>8970</v>
      </c>
      <c r="C332" s="0" t="s">
        <v>1545</v>
      </c>
      <c r="D332" s="3" t="s">
        <v>9683</v>
      </c>
      <c r="E332" s="3" t="s">
        <v>9231</v>
      </c>
      <c r="F332" s="0" t="s">
        <v>9802</v>
      </c>
      <c r="G332" s="0" t="s">
        <v>9395</v>
      </c>
      <c r="H332" s="0" t="s">
        <v>9396</v>
      </c>
      <c r="I332" s="0" t="s">
        <v>9397</v>
      </c>
      <c r="J332" s="0" t="s">
        <v>9398</v>
      </c>
      <c r="M332" s="3" t="s">
        <v>9226</v>
      </c>
      <c r="N332" s="0" t="s">
        <v>9276</v>
      </c>
      <c r="P332" s="0" t="s">
        <v>9803</v>
      </c>
    </row>
    <row r="333" customFormat="false" ht="15" hidden="false" customHeight="false" outlineLevel="0" collapsed="false">
      <c r="A333" s="0" t="n">
        <v>1355</v>
      </c>
      <c r="B333" s="0" t="s">
        <v>9050</v>
      </c>
      <c r="C333" s="0" t="s">
        <v>2829</v>
      </c>
      <c r="D333" s="3" t="s">
        <v>9349</v>
      </c>
      <c r="E333" s="3" t="s">
        <v>9231</v>
      </c>
      <c r="F333" s="0" t="s">
        <v>9490</v>
      </c>
      <c r="G333" s="0" t="s">
        <v>9350</v>
      </c>
      <c r="H333" s="0" t="s">
        <v>9351</v>
      </c>
      <c r="J333" s="0" t="s">
        <v>9353</v>
      </c>
      <c r="K333" s="0" t="s">
        <v>9354</v>
      </c>
      <c r="L333" s="0" t="n">
        <v>2026</v>
      </c>
      <c r="M333" s="3" t="s">
        <v>9237</v>
      </c>
      <c r="N333" s="0" t="s">
        <v>9276</v>
      </c>
      <c r="P333" s="0" t="s">
        <v>9491</v>
      </c>
    </row>
    <row r="334" customFormat="false" ht="15" hidden="false" customHeight="false" outlineLevel="0" collapsed="false">
      <c r="A334" s="0" t="n">
        <v>1363</v>
      </c>
      <c r="B334" s="0" t="s">
        <v>9092</v>
      </c>
      <c r="C334" s="0" t="s">
        <v>4669</v>
      </c>
      <c r="D334" s="3" t="s">
        <v>9252</v>
      </c>
      <c r="E334" s="3" t="s">
        <v>9231</v>
      </c>
      <c r="F334" s="0" t="s">
        <v>9591</v>
      </c>
      <c r="G334" s="0" t="s">
        <v>9407</v>
      </c>
      <c r="L334" s="0" t="n">
        <v>2026</v>
      </c>
      <c r="M334" s="3" t="s">
        <v>9237</v>
      </c>
      <c r="N334" s="0" t="s">
        <v>9227</v>
      </c>
      <c r="P334" s="0" t="s">
        <v>9592</v>
      </c>
    </row>
    <row r="335" customFormat="false" ht="15" hidden="false" customHeight="false" outlineLevel="0" collapsed="false">
      <c r="A335" s="0" t="n">
        <v>1364</v>
      </c>
      <c r="B335" s="0" t="s">
        <v>9097</v>
      </c>
      <c r="C335" s="0" t="s">
        <v>3385</v>
      </c>
      <c r="D335" s="3" t="s">
        <v>9409</v>
      </c>
      <c r="E335" s="3" t="s">
        <v>9231</v>
      </c>
      <c r="F335" s="0" t="s">
        <v>9232</v>
      </c>
      <c r="G335" s="0" t="s">
        <v>9504</v>
      </c>
      <c r="L335" s="0" t="n">
        <v>2026</v>
      </c>
      <c r="M335" s="3" t="s">
        <v>9237</v>
      </c>
      <c r="N335" s="0" t="s">
        <v>9238</v>
      </c>
      <c r="O335" s="0" t="s">
        <v>9239</v>
      </c>
      <c r="P335" s="0" t="s">
        <v>9505</v>
      </c>
    </row>
    <row r="336" customFormat="false" ht="15" hidden="false" customHeight="false" outlineLevel="0" collapsed="false">
      <c r="A336" s="0" t="n">
        <v>1365</v>
      </c>
      <c r="B336" s="0" t="s">
        <v>9103</v>
      </c>
      <c r="C336" s="0" t="s">
        <v>2751</v>
      </c>
      <c r="D336" s="0" t="s">
        <v>9453</v>
      </c>
      <c r="E336" s="3" t="s">
        <v>9231</v>
      </c>
      <c r="F336" s="0" t="s">
        <v>9232</v>
      </c>
      <c r="G336" s="0" t="s">
        <v>9454</v>
      </c>
      <c r="H336" s="0" t="s">
        <v>9455</v>
      </c>
      <c r="I336" s="0" t="s">
        <v>9456</v>
      </c>
      <c r="J336" s="0" t="s">
        <v>9457</v>
      </c>
      <c r="K336" s="0" t="s">
        <v>9458</v>
      </c>
      <c r="L336" s="0" t="n">
        <v>2026</v>
      </c>
      <c r="M336" s="3" t="s">
        <v>9237</v>
      </c>
      <c r="N336" s="0" t="s">
        <v>9238</v>
      </c>
      <c r="O336" s="0" t="s">
        <v>9239</v>
      </c>
      <c r="P336" s="0" t="s">
        <v>9459</v>
      </c>
    </row>
    <row r="337" customFormat="false" ht="15" hidden="false" customHeight="false" outlineLevel="0" collapsed="false">
      <c r="A337" s="0" t="n">
        <v>1371</v>
      </c>
      <c r="B337" s="0" t="s">
        <v>9140</v>
      </c>
      <c r="C337" s="0" t="s">
        <v>1765</v>
      </c>
      <c r="D337" s="3" t="s">
        <v>9576</v>
      </c>
      <c r="E337" s="3" t="s">
        <v>9231</v>
      </c>
      <c r="F337" s="0" t="s">
        <v>9804</v>
      </c>
      <c r="G337" s="0" t="s">
        <v>9429</v>
      </c>
      <c r="H337" s="0" t="s">
        <v>9430</v>
      </c>
      <c r="J337" s="0" t="s">
        <v>9432</v>
      </c>
      <c r="L337" s="0" t="n">
        <v>2018</v>
      </c>
      <c r="M337" s="3" t="s">
        <v>9226</v>
      </c>
      <c r="N337" s="0" t="s">
        <v>9276</v>
      </c>
      <c r="P337" s="0" t="s">
        <v>9805</v>
      </c>
    </row>
    <row r="338" customFormat="false" ht="15" hidden="false" customHeight="false" outlineLevel="0" collapsed="false">
      <c r="A338" s="0" t="n">
        <v>1372</v>
      </c>
      <c r="B338" s="0" t="s">
        <v>9156</v>
      </c>
      <c r="C338" s="0" t="s">
        <v>1765</v>
      </c>
      <c r="D338" s="3" t="s">
        <v>9576</v>
      </c>
      <c r="E338" s="3" t="s">
        <v>9231</v>
      </c>
      <c r="F338" s="0" t="s">
        <v>9804</v>
      </c>
      <c r="G338" s="0" t="s">
        <v>9429</v>
      </c>
      <c r="H338" s="0" t="s">
        <v>9430</v>
      </c>
      <c r="J338" s="0" t="s">
        <v>9432</v>
      </c>
      <c r="L338" s="0" t="n">
        <v>2018</v>
      </c>
      <c r="M338" s="3" t="s">
        <v>9226</v>
      </c>
      <c r="N338" s="0" t="s">
        <v>9276</v>
      </c>
      <c r="P338" s="0" t="s">
        <v>9805</v>
      </c>
    </row>
    <row r="339" customFormat="false" ht="15" hidden="false" customHeight="false" outlineLevel="0" collapsed="false">
      <c r="A339" s="0" t="n">
        <v>1381</v>
      </c>
      <c r="B339" s="0" t="s">
        <v>9209</v>
      </c>
      <c r="C339" s="0" t="s">
        <v>167</v>
      </c>
      <c r="D339" s="3" t="s">
        <v>9246</v>
      </c>
      <c r="E339" s="3" t="s">
        <v>9231</v>
      </c>
      <c r="F339" s="0" t="s">
        <v>9232</v>
      </c>
      <c r="G339" s="0" t="s">
        <v>9247</v>
      </c>
      <c r="H339" s="0" t="s">
        <v>9248</v>
      </c>
      <c r="I339" s="0" t="s">
        <v>9249</v>
      </c>
      <c r="J339" s="0" t="s">
        <v>9250</v>
      </c>
      <c r="L339" s="0" t="n">
        <v>2026</v>
      </c>
      <c r="M339" s="3" t="s">
        <v>9237</v>
      </c>
      <c r="N339" s="0" t="s">
        <v>9238</v>
      </c>
      <c r="O339" s="0" t="s">
        <v>9239</v>
      </c>
      <c r="P339" s="0" t="s">
        <v>9251</v>
      </c>
    </row>
  </sheetData>
  <autoFilter ref="A1:P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0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50"/>
    <col collapsed="false" customWidth="true" hidden="false" outlineLevel="0" max="5" min="5" style="0" width="10"/>
    <col collapsed="false" customWidth="true" hidden="false" outlineLevel="0" max="6" min="6" style="0" width="60"/>
  </cols>
  <sheetData>
    <row r="1" customFormat="false" ht="37.3" hidden="false" customHeight="false" outlineLevel="0" collapsed="false">
      <c r="A1" s="1" t="s">
        <v>9216</v>
      </c>
      <c r="B1" s="2" t="s">
        <v>1</v>
      </c>
      <c r="C1" s="2" t="s">
        <v>9806</v>
      </c>
      <c r="D1" s="2" t="s">
        <v>16</v>
      </c>
      <c r="E1" s="2" t="s">
        <v>20</v>
      </c>
      <c r="F1" s="2" t="s">
        <v>9807</v>
      </c>
    </row>
    <row r="2" customFormat="false" ht="15" hidden="false" customHeight="false" outlineLevel="0" collapsed="false">
      <c r="A2" s="0" t="n">
        <v>2</v>
      </c>
      <c r="B2" s="0" t="s">
        <v>51</v>
      </c>
      <c r="C2" s="0" t="s">
        <v>56</v>
      </c>
      <c r="E2" s="0" t="s">
        <v>59</v>
      </c>
      <c r="F2" s="0" t="s">
        <v>9808</v>
      </c>
    </row>
    <row r="3" customFormat="false" ht="15" hidden="false" customHeight="false" outlineLevel="0" collapsed="false">
      <c r="A3" s="0" t="n">
        <v>2</v>
      </c>
      <c r="B3" s="0" t="s">
        <v>51</v>
      </c>
      <c r="C3" s="0" t="s">
        <v>57</v>
      </c>
      <c r="E3" s="0" t="s">
        <v>59</v>
      </c>
      <c r="F3" s="0" t="s">
        <v>9809</v>
      </c>
    </row>
    <row r="4" customFormat="false" ht="15" hidden="false" customHeight="false" outlineLevel="0" collapsed="false">
      <c r="A4" s="0" t="n">
        <v>2</v>
      </c>
      <c r="B4" s="0" t="s">
        <v>51</v>
      </c>
      <c r="C4" s="0" t="s">
        <v>58</v>
      </c>
      <c r="E4" s="0" t="s">
        <v>59</v>
      </c>
      <c r="F4" s="0" t="s">
        <v>9810</v>
      </c>
    </row>
    <row r="5" customFormat="false" ht="15" hidden="false" customHeight="false" outlineLevel="0" collapsed="false">
      <c r="A5" s="0" t="n">
        <v>2</v>
      </c>
      <c r="B5" s="0" t="s">
        <v>51</v>
      </c>
      <c r="C5" s="0" t="s">
        <v>9811</v>
      </c>
      <c r="E5" s="0" t="s">
        <v>59</v>
      </c>
      <c r="F5" s="0" t="s">
        <v>9812</v>
      </c>
    </row>
    <row r="6" customFormat="false" ht="15" hidden="false" customHeight="false" outlineLevel="0" collapsed="false">
      <c r="A6" s="0" t="n">
        <v>2</v>
      </c>
      <c r="B6" s="0" t="s">
        <v>51</v>
      </c>
      <c r="C6" s="0" t="s">
        <v>9813</v>
      </c>
      <c r="E6" s="0" t="s">
        <v>59</v>
      </c>
      <c r="F6" s="0" t="s">
        <v>9814</v>
      </c>
    </row>
    <row r="7" customFormat="false" ht="15" hidden="false" customHeight="false" outlineLevel="0" collapsed="false">
      <c r="A7" s="0" t="n">
        <v>3</v>
      </c>
      <c r="B7" s="0" t="s">
        <v>60</v>
      </c>
      <c r="C7" s="0" t="s">
        <v>76</v>
      </c>
      <c r="E7" s="0" t="s">
        <v>79</v>
      </c>
      <c r="F7" s="0" t="s">
        <v>9815</v>
      </c>
    </row>
    <row r="8" customFormat="false" ht="15" hidden="false" customHeight="false" outlineLevel="0" collapsed="false">
      <c r="A8" s="0" t="n">
        <v>3</v>
      </c>
      <c r="B8" s="0" t="s">
        <v>60</v>
      </c>
      <c r="C8" s="0" t="s">
        <v>77</v>
      </c>
      <c r="E8" s="0" t="s">
        <v>79</v>
      </c>
      <c r="F8" s="0" t="s">
        <v>9816</v>
      </c>
    </row>
    <row r="9" customFormat="false" ht="15" hidden="false" customHeight="false" outlineLevel="0" collapsed="false">
      <c r="A9" s="0" t="n">
        <v>3</v>
      </c>
      <c r="B9" s="0" t="s">
        <v>60</v>
      </c>
      <c r="C9" s="0" t="s">
        <v>78</v>
      </c>
      <c r="E9" s="0" t="s">
        <v>79</v>
      </c>
      <c r="F9" s="0" t="s">
        <v>9817</v>
      </c>
    </row>
    <row r="10" customFormat="false" ht="15" hidden="false" customHeight="false" outlineLevel="0" collapsed="false">
      <c r="A10" s="0" t="n">
        <v>3</v>
      </c>
      <c r="B10" s="0" t="s">
        <v>60</v>
      </c>
      <c r="C10" s="0" t="s">
        <v>9818</v>
      </c>
      <c r="E10" s="0" t="s">
        <v>79</v>
      </c>
      <c r="F10" s="0" t="s">
        <v>9819</v>
      </c>
    </row>
    <row r="11" customFormat="false" ht="15" hidden="false" customHeight="false" outlineLevel="0" collapsed="false">
      <c r="A11" s="0" t="n">
        <v>3</v>
      </c>
      <c r="B11" s="0" t="s">
        <v>60</v>
      </c>
      <c r="C11" s="0" t="s">
        <v>9820</v>
      </c>
      <c r="E11" s="0" t="s">
        <v>79</v>
      </c>
      <c r="F11" s="0" t="s">
        <v>9821</v>
      </c>
    </row>
    <row r="12" customFormat="false" ht="15" hidden="false" customHeight="false" outlineLevel="0" collapsed="false">
      <c r="A12" s="0" t="n">
        <v>5</v>
      </c>
      <c r="B12" s="0" t="s">
        <v>91</v>
      </c>
      <c r="C12" s="0" t="s">
        <v>97</v>
      </c>
      <c r="E12" s="0" t="s">
        <v>79</v>
      </c>
      <c r="F12" s="0" t="s">
        <v>9822</v>
      </c>
    </row>
    <row r="13" customFormat="false" ht="15" hidden="false" customHeight="false" outlineLevel="0" collapsed="false">
      <c r="A13" s="0" t="n">
        <v>5</v>
      </c>
      <c r="B13" s="0" t="s">
        <v>91</v>
      </c>
      <c r="C13" s="0" t="s">
        <v>98</v>
      </c>
      <c r="E13" s="0" t="s">
        <v>79</v>
      </c>
      <c r="F13" s="0" t="s">
        <v>9823</v>
      </c>
    </row>
    <row r="14" customFormat="false" ht="15" hidden="false" customHeight="false" outlineLevel="0" collapsed="false">
      <c r="A14" s="0" t="n">
        <v>5</v>
      </c>
      <c r="B14" s="0" t="s">
        <v>91</v>
      </c>
      <c r="C14" s="0" t="s">
        <v>99</v>
      </c>
      <c r="E14" s="0" t="s">
        <v>79</v>
      </c>
      <c r="F14" s="0" t="s">
        <v>9824</v>
      </c>
    </row>
    <row r="15" customFormat="false" ht="15" hidden="false" customHeight="false" outlineLevel="0" collapsed="false">
      <c r="A15" s="0" t="n">
        <v>5</v>
      </c>
      <c r="B15" s="0" t="s">
        <v>91</v>
      </c>
      <c r="C15" s="0" t="s">
        <v>9825</v>
      </c>
      <c r="E15" s="0" t="s">
        <v>79</v>
      </c>
      <c r="F15" s="0" t="s">
        <v>9826</v>
      </c>
    </row>
    <row r="16" customFormat="false" ht="15" hidden="false" customHeight="false" outlineLevel="0" collapsed="false">
      <c r="A16" s="0" t="n">
        <v>5</v>
      </c>
      <c r="B16" s="0" t="s">
        <v>91</v>
      </c>
      <c r="C16" s="0" t="s">
        <v>9827</v>
      </c>
      <c r="E16" s="0" t="s">
        <v>79</v>
      </c>
      <c r="F16" s="0" t="s">
        <v>9828</v>
      </c>
    </row>
    <row r="17" customFormat="false" ht="15" hidden="false" customHeight="false" outlineLevel="0" collapsed="false">
      <c r="A17" s="0" t="n">
        <v>6</v>
      </c>
      <c r="B17" s="0" t="s">
        <v>100</v>
      </c>
      <c r="C17" s="0" t="s">
        <v>105</v>
      </c>
      <c r="E17" s="0" t="s">
        <v>79</v>
      </c>
      <c r="F17" s="0" t="s">
        <v>9829</v>
      </c>
    </row>
    <row r="18" customFormat="false" ht="15" hidden="false" customHeight="false" outlineLevel="0" collapsed="false">
      <c r="A18" s="0" t="n">
        <v>6</v>
      </c>
      <c r="B18" s="0" t="s">
        <v>100</v>
      </c>
      <c r="C18" s="0" t="s">
        <v>106</v>
      </c>
      <c r="E18" s="0" t="s">
        <v>79</v>
      </c>
      <c r="F18" s="0" t="s">
        <v>9830</v>
      </c>
    </row>
    <row r="19" customFormat="false" ht="15" hidden="false" customHeight="false" outlineLevel="0" collapsed="false">
      <c r="A19" s="0" t="n">
        <v>6</v>
      </c>
      <c r="B19" s="0" t="s">
        <v>100</v>
      </c>
      <c r="C19" s="0" t="s">
        <v>107</v>
      </c>
      <c r="E19" s="0" t="s">
        <v>79</v>
      </c>
      <c r="F19" s="0" t="s">
        <v>9831</v>
      </c>
    </row>
    <row r="20" customFormat="false" ht="15" hidden="false" customHeight="false" outlineLevel="0" collapsed="false">
      <c r="A20" s="0" t="n">
        <v>6</v>
      </c>
      <c r="B20" s="0" t="s">
        <v>100</v>
      </c>
      <c r="C20" s="0" t="s">
        <v>9832</v>
      </c>
      <c r="E20" s="0" t="s">
        <v>79</v>
      </c>
      <c r="F20" s="0" t="s">
        <v>9833</v>
      </c>
    </row>
    <row r="21" customFormat="false" ht="15" hidden="false" customHeight="false" outlineLevel="0" collapsed="false">
      <c r="A21" s="0" t="n">
        <v>6</v>
      </c>
      <c r="B21" s="0" t="s">
        <v>100</v>
      </c>
      <c r="C21" s="0" t="s">
        <v>9834</v>
      </c>
      <c r="E21" s="0" t="s">
        <v>79</v>
      </c>
      <c r="F21" s="0" t="s">
        <v>9835</v>
      </c>
    </row>
    <row r="22" customFormat="false" ht="15" hidden="false" customHeight="false" outlineLevel="0" collapsed="false">
      <c r="A22" s="0" t="n">
        <v>7</v>
      </c>
      <c r="B22" s="0" t="s">
        <v>113</v>
      </c>
      <c r="C22" s="0" t="s">
        <v>122</v>
      </c>
      <c r="D22" s="0" t="s">
        <v>9836</v>
      </c>
      <c r="E22" s="0" t="s">
        <v>115</v>
      </c>
    </row>
    <row r="23" customFormat="false" ht="15" hidden="false" customHeight="false" outlineLevel="0" collapsed="false">
      <c r="A23" s="0" t="n">
        <v>7</v>
      </c>
      <c r="B23" s="0" t="s">
        <v>113</v>
      </c>
      <c r="C23" s="0" t="s">
        <v>123</v>
      </c>
      <c r="D23" s="0" t="s">
        <v>9837</v>
      </c>
      <c r="E23" s="0" t="s">
        <v>115</v>
      </c>
    </row>
    <row r="24" customFormat="false" ht="15" hidden="false" customHeight="false" outlineLevel="0" collapsed="false">
      <c r="A24" s="0" t="n">
        <v>7</v>
      </c>
      <c r="B24" s="0" t="s">
        <v>113</v>
      </c>
      <c r="C24" s="0" t="s">
        <v>124</v>
      </c>
      <c r="D24" s="0" t="s">
        <v>9838</v>
      </c>
      <c r="E24" s="0" t="s">
        <v>115</v>
      </c>
    </row>
    <row r="25" customFormat="false" ht="15" hidden="false" customHeight="false" outlineLevel="0" collapsed="false">
      <c r="A25" s="0" t="n">
        <v>8</v>
      </c>
      <c r="B25" s="0" t="s">
        <v>131</v>
      </c>
      <c r="C25" s="0" t="s">
        <v>122</v>
      </c>
      <c r="D25" s="0" t="s">
        <v>9836</v>
      </c>
      <c r="E25" s="0" t="s">
        <v>115</v>
      </c>
    </row>
    <row r="26" customFormat="false" ht="15" hidden="false" customHeight="false" outlineLevel="0" collapsed="false">
      <c r="A26" s="0" t="n">
        <v>8</v>
      </c>
      <c r="B26" s="0" t="s">
        <v>131</v>
      </c>
      <c r="C26" s="0" t="s">
        <v>123</v>
      </c>
      <c r="D26" s="0" t="s">
        <v>9837</v>
      </c>
      <c r="E26" s="0" t="s">
        <v>115</v>
      </c>
    </row>
    <row r="27" customFormat="false" ht="15" hidden="false" customHeight="false" outlineLevel="0" collapsed="false">
      <c r="A27" s="0" t="n">
        <v>8</v>
      </c>
      <c r="B27" s="0" t="s">
        <v>131</v>
      </c>
      <c r="C27" s="0" t="s">
        <v>124</v>
      </c>
      <c r="D27" s="0" t="s">
        <v>9838</v>
      </c>
      <c r="E27" s="0" t="s">
        <v>115</v>
      </c>
    </row>
    <row r="28" customFormat="false" ht="15" hidden="false" customHeight="false" outlineLevel="0" collapsed="false">
      <c r="A28" s="0" t="n">
        <v>9</v>
      </c>
      <c r="B28" s="0" t="s">
        <v>134</v>
      </c>
      <c r="C28" s="0" t="s">
        <v>122</v>
      </c>
      <c r="D28" s="0" t="s">
        <v>9836</v>
      </c>
      <c r="E28" s="0" t="s">
        <v>115</v>
      </c>
    </row>
    <row r="29" customFormat="false" ht="15" hidden="false" customHeight="false" outlineLevel="0" collapsed="false">
      <c r="A29" s="0" t="n">
        <v>9</v>
      </c>
      <c r="B29" s="0" t="s">
        <v>134</v>
      </c>
      <c r="C29" s="0" t="s">
        <v>123</v>
      </c>
      <c r="D29" s="0" t="s">
        <v>9837</v>
      </c>
      <c r="E29" s="0" t="s">
        <v>115</v>
      </c>
    </row>
    <row r="30" customFormat="false" ht="15" hidden="false" customHeight="false" outlineLevel="0" collapsed="false">
      <c r="A30" s="0" t="n">
        <v>9</v>
      </c>
      <c r="B30" s="0" t="s">
        <v>134</v>
      </c>
      <c r="C30" s="0" t="s">
        <v>124</v>
      </c>
      <c r="D30" s="0" t="s">
        <v>9838</v>
      </c>
      <c r="E30" s="0" t="s">
        <v>115</v>
      </c>
    </row>
    <row r="31" customFormat="false" ht="15" hidden="false" customHeight="false" outlineLevel="0" collapsed="false">
      <c r="A31" s="0" t="n">
        <v>10</v>
      </c>
      <c r="B31" s="0" t="s">
        <v>138</v>
      </c>
      <c r="C31" s="0" t="s">
        <v>122</v>
      </c>
      <c r="D31" s="0" t="s">
        <v>9836</v>
      </c>
      <c r="E31" s="0" t="s">
        <v>115</v>
      </c>
    </row>
    <row r="32" customFormat="false" ht="15" hidden="false" customHeight="false" outlineLevel="0" collapsed="false">
      <c r="A32" s="0" t="n">
        <v>10</v>
      </c>
      <c r="B32" s="0" t="s">
        <v>138</v>
      </c>
      <c r="C32" s="0" t="s">
        <v>123</v>
      </c>
      <c r="D32" s="0" t="s">
        <v>9837</v>
      </c>
      <c r="E32" s="0" t="s">
        <v>115</v>
      </c>
    </row>
    <row r="33" customFormat="false" ht="15" hidden="false" customHeight="false" outlineLevel="0" collapsed="false">
      <c r="A33" s="0" t="n">
        <v>10</v>
      </c>
      <c r="B33" s="0" t="s">
        <v>138</v>
      </c>
      <c r="C33" s="0" t="s">
        <v>124</v>
      </c>
      <c r="D33" s="0" t="s">
        <v>9838</v>
      </c>
      <c r="E33" s="0" t="s">
        <v>115</v>
      </c>
    </row>
    <row r="34" customFormat="false" ht="15" hidden="false" customHeight="false" outlineLevel="0" collapsed="false">
      <c r="A34" s="0" t="n">
        <v>17</v>
      </c>
      <c r="B34" s="0" t="s">
        <v>175</v>
      </c>
      <c r="C34" s="0" t="s">
        <v>178</v>
      </c>
      <c r="E34" s="0" t="s">
        <v>59</v>
      </c>
      <c r="F34" s="0" t="s">
        <v>9839</v>
      </c>
    </row>
    <row r="35" customFormat="false" ht="15" hidden="false" customHeight="false" outlineLevel="0" collapsed="false">
      <c r="A35" s="0" t="n">
        <v>17</v>
      </c>
      <c r="B35" s="0" t="s">
        <v>175</v>
      </c>
      <c r="C35" s="0" t="s">
        <v>179</v>
      </c>
      <c r="E35" s="0" t="s">
        <v>59</v>
      </c>
      <c r="F35" s="0" t="s">
        <v>9840</v>
      </c>
    </row>
    <row r="36" customFormat="false" ht="15" hidden="false" customHeight="false" outlineLevel="0" collapsed="false">
      <c r="A36" s="0" t="n">
        <v>17</v>
      </c>
      <c r="B36" s="0" t="s">
        <v>175</v>
      </c>
      <c r="C36" s="0" t="s">
        <v>180</v>
      </c>
      <c r="E36" s="0" t="s">
        <v>59</v>
      </c>
      <c r="F36" s="0" t="s">
        <v>9841</v>
      </c>
    </row>
    <row r="37" customFormat="false" ht="15" hidden="false" customHeight="false" outlineLevel="0" collapsed="false">
      <c r="A37" s="0" t="n">
        <v>17</v>
      </c>
      <c r="B37" s="0" t="s">
        <v>175</v>
      </c>
      <c r="C37" s="0" t="s">
        <v>9842</v>
      </c>
      <c r="E37" s="0" t="s">
        <v>59</v>
      </c>
      <c r="F37" s="0" t="s">
        <v>9843</v>
      </c>
    </row>
    <row r="38" customFormat="false" ht="15" hidden="false" customHeight="false" outlineLevel="0" collapsed="false">
      <c r="A38" s="0" t="n">
        <v>17</v>
      </c>
      <c r="B38" s="0" t="s">
        <v>175</v>
      </c>
      <c r="C38" s="0" t="s">
        <v>9844</v>
      </c>
      <c r="E38" s="0" t="s">
        <v>59</v>
      </c>
      <c r="F38" s="0" t="s">
        <v>9845</v>
      </c>
    </row>
    <row r="39" customFormat="false" ht="15" hidden="false" customHeight="false" outlineLevel="0" collapsed="false">
      <c r="A39" s="0" t="n">
        <v>18</v>
      </c>
      <c r="B39" s="0" t="s">
        <v>184</v>
      </c>
      <c r="C39" s="0" t="s">
        <v>187</v>
      </c>
      <c r="E39" s="0" t="s">
        <v>79</v>
      </c>
      <c r="F39" s="0" t="s">
        <v>9846</v>
      </c>
    </row>
    <row r="40" customFormat="false" ht="15" hidden="false" customHeight="false" outlineLevel="0" collapsed="false">
      <c r="A40" s="0" t="n">
        <v>18</v>
      </c>
      <c r="B40" s="0" t="s">
        <v>184</v>
      </c>
      <c r="C40" s="0" t="s">
        <v>188</v>
      </c>
      <c r="E40" s="0" t="s">
        <v>79</v>
      </c>
      <c r="F40" s="0" t="s">
        <v>9847</v>
      </c>
    </row>
    <row r="41" customFormat="false" ht="15" hidden="false" customHeight="false" outlineLevel="0" collapsed="false">
      <c r="A41" s="0" t="n">
        <v>18</v>
      </c>
      <c r="B41" s="0" t="s">
        <v>184</v>
      </c>
      <c r="C41" s="0" t="s">
        <v>189</v>
      </c>
      <c r="E41" s="0" t="s">
        <v>79</v>
      </c>
      <c r="F41" s="0" t="s">
        <v>9848</v>
      </c>
    </row>
    <row r="42" customFormat="false" ht="15" hidden="false" customHeight="false" outlineLevel="0" collapsed="false">
      <c r="A42" s="0" t="n">
        <v>18</v>
      </c>
      <c r="B42" s="0" t="s">
        <v>184</v>
      </c>
      <c r="C42" s="0" t="s">
        <v>9849</v>
      </c>
      <c r="E42" s="0" t="s">
        <v>79</v>
      </c>
      <c r="F42" s="0" t="s">
        <v>9850</v>
      </c>
    </row>
    <row r="43" customFormat="false" ht="15" hidden="false" customHeight="false" outlineLevel="0" collapsed="false">
      <c r="A43" s="0" t="n">
        <v>18</v>
      </c>
      <c r="B43" s="0" t="s">
        <v>184</v>
      </c>
      <c r="C43" s="0" t="s">
        <v>9851</v>
      </c>
      <c r="E43" s="0" t="s">
        <v>79</v>
      </c>
      <c r="F43" s="0" t="s">
        <v>9852</v>
      </c>
    </row>
    <row r="44" customFormat="false" ht="15" hidden="false" customHeight="false" outlineLevel="0" collapsed="false">
      <c r="A44" s="0" t="n">
        <v>22</v>
      </c>
      <c r="B44" s="0" t="s">
        <v>199</v>
      </c>
      <c r="C44" s="0" t="s">
        <v>203</v>
      </c>
      <c r="E44" s="0" t="s">
        <v>79</v>
      </c>
      <c r="F44" s="0" t="s">
        <v>9853</v>
      </c>
    </row>
    <row r="45" customFormat="false" ht="15" hidden="false" customHeight="false" outlineLevel="0" collapsed="false">
      <c r="A45" s="0" t="n">
        <v>22</v>
      </c>
      <c r="B45" s="0" t="s">
        <v>199</v>
      </c>
      <c r="C45" s="0" t="s">
        <v>204</v>
      </c>
      <c r="E45" s="0" t="s">
        <v>79</v>
      </c>
      <c r="F45" s="0" t="s">
        <v>9854</v>
      </c>
    </row>
    <row r="46" customFormat="false" ht="15" hidden="false" customHeight="false" outlineLevel="0" collapsed="false">
      <c r="A46" s="0" t="n">
        <v>22</v>
      </c>
      <c r="B46" s="0" t="s">
        <v>199</v>
      </c>
      <c r="C46" s="0" t="s">
        <v>205</v>
      </c>
      <c r="E46" s="0" t="s">
        <v>79</v>
      </c>
      <c r="F46" s="0" t="s">
        <v>9855</v>
      </c>
    </row>
    <row r="47" customFormat="false" ht="15" hidden="false" customHeight="false" outlineLevel="0" collapsed="false">
      <c r="A47" s="0" t="n">
        <v>23</v>
      </c>
      <c r="B47" s="0" t="s">
        <v>210</v>
      </c>
      <c r="C47" s="0" t="s">
        <v>214</v>
      </c>
      <c r="E47" s="0" t="s">
        <v>79</v>
      </c>
      <c r="F47" s="0" t="s">
        <v>9856</v>
      </c>
    </row>
    <row r="48" customFormat="false" ht="15" hidden="false" customHeight="false" outlineLevel="0" collapsed="false">
      <c r="A48" s="0" t="n">
        <v>23</v>
      </c>
      <c r="B48" s="0" t="s">
        <v>210</v>
      </c>
      <c r="C48" s="0" t="s">
        <v>215</v>
      </c>
      <c r="E48" s="0" t="s">
        <v>79</v>
      </c>
      <c r="F48" s="0" t="s">
        <v>9857</v>
      </c>
    </row>
    <row r="49" customFormat="false" ht="15" hidden="false" customHeight="false" outlineLevel="0" collapsed="false">
      <c r="A49" s="0" t="n">
        <v>23</v>
      </c>
      <c r="B49" s="0" t="s">
        <v>210</v>
      </c>
      <c r="C49" s="0" t="s">
        <v>216</v>
      </c>
      <c r="E49" s="0" t="s">
        <v>79</v>
      </c>
      <c r="F49" s="0" t="s">
        <v>9858</v>
      </c>
    </row>
    <row r="50" customFormat="false" ht="15" hidden="false" customHeight="false" outlineLevel="0" collapsed="false">
      <c r="A50" s="0" t="n">
        <v>23</v>
      </c>
      <c r="B50" s="0" t="s">
        <v>210</v>
      </c>
      <c r="C50" s="0" t="s">
        <v>9859</v>
      </c>
      <c r="E50" s="0" t="s">
        <v>79</v>
      </c>
      <c r="F50" s="0" t="s">
        <v>9860</v>
      </c>
    </row>
    <row r="51" customFormat="false" ht="15" hidden="false" customHeight="false" outlineLevel="0" collapsed="false">
      <c r="A51" s="0" t="n">
        <v>23</v>
      </c>
      <c r="B51" s="0" t="s">
        <v>210</v>
      </c>
      <c r="C51" s="0" t="s">
        <v>9861</v>
      </c>
      <c r="E51" s="0" t="s">
        <v>79</v>
      </c>
      <c r="F51" s="0" t="s">
        <v>9862</v>
      </c>
    </row>
    <row r="52" customFormat="false" ht="15" hidden="false" customHeight="false" outlineLevel="0" collapsed="false">
      <c r="A52" s="0" t="n">
        <v>25</v>
      </c>
      <c r="B52" s="0" t="s">
        <v>223</v>
      </c>
      <c r="C52" s="0" t="s">
        <v>227</v>
      </c>
      <c r="E52" s="0" t="s">
        <v>79</v>
      </c>
      <c r="F52" s="0" t="s">
        <v>9863</v>
      </c>
    </row>
    <row r="53" customFormat="false" ht="15" hidden="false" customHeight="false" outlineLevel="0" collapsed="false">
      <c r="A53" s="0" t="n">
        <v>25</v>
      </c>
      <c r="B53" s="0" t="s">
        <v>223</v>
      </c>
      <c r="C53" s="0" t="s">
        <v>228</v>
      </c>
      <c r="E53" s="0" t="s">
        <v>79</v>
      </c>
      <c r="F53" s="0" t="s">
        <v>9864</v>
      </c>
    </row>
    <row r="54" customFormat="false" ht="15" hidden="false" customHeight="false" outlineLevel="0" collapsed="false">
      <c r="A54" s="0" t="n">
        <v>25</v>
      </c>
      <c r="B54" s="0" t="s">
        <v>223</v>
      </c>
      <c r="C54" s="0" t="s">
        <v>229</v>
      </c>
      <c r="E54" s="0" t="s">
        <v>79</v>
      </c>
      <c r="F54" s="0" t="s">
        <v>9865</v>
      </c>
    </row>
    <row r="55" customFormat="false" ht="15" hidden="false" customHeight="false" outlineLevel="0" collapsed="false">
      <c r="A55" s="0" t="n">
        <v>25</v>
      </c>
      <c r="B55" s="0" t="s">
        <v>223</v>
      </c>
      <c r="C55" s="0" t="s">
        <v>9866</v>
      </c>
      <c r="E55" s="0" t="s">
        <v>79</v>
      </c>
      <c r="F55" s="0" t="s">
        <v>9867</v>
      </c>
    </row>
    <row r="56" customFormat="false" ht="15" hidden="false" customHeight="false" outlineLevel="0" collapsed="false">
      <c r="A56" s="0" t="n">
        <v>25</v>
      </c>
      <c r="B56" s="0" t="s">
        <v>223</v>
      </c>
      <c r="C56" s="0" t="s">
        <v>9868</v>
      </c>
      <c r="E56" s="0" t="s">
        <v>79</v>
      </c>
      <c r="F56" s="0" t="s">
        <v>9869</v>
      </c>
    </row>
    <row r="57" customFormat="false" ht="15" hidden="false" customHeight="false" outlineLevel="0" collapsed="false">
      <c r="A57" s="0" t="n">
        <v>27</v>
      </c>
      <c r="B57" s="0" t="s">
        <v>232</v>
      </c>
      <c r="C57" s="0" t="s">
        <v>234</v>
      </c>
      <c r="E57" s="0" t="s">
        <v>79</v>
      </c>
      <c r="F57" s="0" t="s">
        <v>9870</v>
      </c>
    </row>
    <row r="58" customFormat="false" ht="15" hidden="false" customHeight="false" outlineLevel="0" collapsed="false">
      <c r="A58" s="0" t="n">
        <v>27</v>
      </c>
      <c r="B58" s="0" t="s">
        <v>232</v>
      </c>
      <c r="C58" s="0" t="s">
        <v>235</v>
      </c>
      <c r="E58" s="0" t="s">
        <v>79</v>
      </c>
      <c r="F58" s="0" t="s">
        <v>9871</v>
      </c>
    </row>
    <row r="59" customFormat="false" ht="15" hidden="false" customHeight="false" outlineLevel="0" collapsed="false">
      <c r="A59" s="0" t="n">
        <v>27</v>
      </c>
      <c r="B59" s="0" t="s">
        <v>232</v>
      </c>
      <c r="C59" s="0" t="s">
        <v>236</v>
      </c>
      <c r="E59" s="0" t="s">
        <v>79</v>
      </c>
      <c r="F59" s="0" t="s">
        <v>9872</v>
      </c>
    </row>
    <row r="60" customFormat="false" ht="15" hidden="false" customHeight="false" outlineLevel="0" collapsed="false">
      <c r="A60" s="0" t="n">
        <v>27</v>
      </c>
      <c r="B60" s="0" t="s">
        <v>232</v>
      </c>
      <c r="C60" s="0" t="s">
        <v>9873</v>
      </c>
      <c r="E60" s="0" t="s">
        <v>79</v>
      </c>
      <c r="F60" s="0" t="s">
        <v>9874</v>
      </c>
    </row>
    <row r="61" customFormat="false" ht="15" hidden="false" customHeight="false" outlineLevel="0" collapsed="false">
      <c r="A61" s="0" t="n">
        <v>27</v>
      </c>
      <c r="B61" s="0" t="s">
        <v>232</v>
      </c>
      <c r="C61" s="0" t="s">
        <v>9875</v>
      </c>
      <c r="E61" s="0" t="s">
        <v>79</v>
      </c>
      <c r="F61" s="0" t="s">
        <v>9876</v>
      </c>
    </row>
    <row r="62" customFormat="false" ht="15" hidden="false" customHeight="false" outlineLevel="0" collapsed="false">
      <c r="A62" s="0" t="n">
        <v>28</v>
      </c>
      <c r="B62" s="0" t="s">
        <v>237</v>
      </c>
      <c r="C62" s="0" t="s">
        <v>240</v>
      </c>
      <c r="E62" s="0" t="s">
        <v>79</v>
      </c>
      <c r="F62" s="0" t="s">
        <v>9877</v>
      </c>
    </row>
    <row r="63" customFormat="false" ht="15" hidden="false" customHeight="false" outlineLevel="0" collapsed="false">
      <c r="A63" s="0" t="n">
        <v>28</v>
      </c>
      <c r="B63" s="0" t="s">
        <v>237</v>
      </c>
      <c r="C63" s="0" t="s">
        <v>241</v>
      </c>
      <c r="E63" s="0" t="s">
        <v>79</v>
      </c>
      <c r="F63" s="0" t="s">
        <v>9878</v>
      </c>
    </row>
    <row r="64" customFormat="false" ht="15" hidden="false" customHeight="false" outlineLevel="0" collapsed="false">
      <c r="A64" s="0" t="n">
        <v>28</v>
      </c>
      <c r="B64" s="0" t="s">
        <v>237</v>
      </c>
      <c r="C64" s="0" t="s">
        <v>242</v>
      </c>
      <c r="E64" s="0" t="s">
        <v>79</v>
      </c>
      <c r="F64" s="0" t="s">
        <v>9879</v>
      </c>
    </row>
    <row r="65" customFormat="false" ht="15" hidden="false" customHeight="false" outlineLevel="0" collapsed="false">
      <c r="A65" s="0" t="n">
        <v>28</v>
      </c>
      <c r="B65" s="0" t="s">
        <v>237</v>
      </c>
      <c r="C65" s="0" t="s">
        <v>9880</v>
      </c>
      <c r="E65" s="0" t="s">
        <v>79</v>
      </c>
      <c r="F65" s="0" t="s">
        <v>9881</v>
      </c>
    </row>
    <row r="66" customFormat="false" ht="15" hidden="false" customHeight="false" outlineLevel="0" collapsed="false">
      <c r="A66" s="0" t="n">
        <v>28</v>
      </c>
      <c r="B66" s="0" t="s">
        <v>237</v>
      </c>
      <c r="C66" s="0" t="s">
        <v>9882</v>
      </c>
      <c r="E66" s="0" t="s">
        <v>79</v>
      </c>
      <c r="F66" s="0" t="s">
        <v>9883</v>
      </c>
    </row>
    <row r="67" customFormat="false" ht="15" hidden="false" customHeight="false" outlineLevel="0" collapsed="false">
      <c r="A67" s="0" t="n">
        <v>29</v>
      </c>
      <c r="B67" s="0" t="s">
        <v>243</v>
      </c>
      <c r="C67" s="0" t="s">
        <v>247</v>
      </c>
      <c r="E67" s="0" t="s">
        <v>79</v>
      </c>
      <c r="F67" s="0" t="s">
        <v>9884</v>
      </c>
    </row>
    <row r="68" customFormat="false" ht="15" hidden="false" customHeight="false" outlineLevel="0" collapsed="false">
      <c r="A68" s="0" t="n">
        <v>29</v>
      </c>
      <c r="B68" s="0" t="s">
        <v>243</v>
      </c>
      <c r="C68" s="0" t="s">
        <v>248</v>
      </c>
      <c r="E68" s="0" t="s">
        <v>79</v>
      </c>
      <c r="F68" s="0" t="s">
        <v>9885</v>
      </c>
    </row>
    <row r="69" customFormat="false" ht="15" hidden="false" customHeight="false" outlineLevel="0" collapsed="false">
      <c r="A69" s="0" t="n">
        <v>29</v>
      </c>
      <c r="B69" s="0" t="s">
        <v>243</v>
      </c>
      <c r="C69" s="0" t="s">
        <v>249</v>
      </c>
      <c r="E69" s="0" t="s">
        <v>79</v>
      </c>
      <c r="F69" s="0" t="s">
        <v>9886</v>
      </c>
    </row>
    <row r="70" customFormat="false" ht="15" hidden="false" customHeight="false" outlineLevel="0" collapsed="false">
      <c r="A70" s="0" t="n">
        <v>29</v>
      </c>
      <c r="B70" s="0" t="s">
        <v>243</v>
      </c>
      <c r="C70" s="0" t="s">
        <v>9887</v>
      </c>
      <c r="E70" s="0" t="s">
        <v>79</v>
      </c>
      <c r="F70" s="0" t="s">
        <v>9888</v>
      </c>
    </row>
    <row r="71" customFormat="false" ht="15" hidden="false" customHeight="false" outlineLevel="0" collapsed="false">
      <c r="A71" s="0" t="n">
        <v>29</v>
      </c>
      <c r="B71" s="0" t="s">
        <v>243</v>
      </c>
      <c r="C71" s="0" t="s">
        <v>9889</v>
      </c>
      <c r="E71" s="0" t="s">
        <v>79</v>
      </c>
      <c r="F71" s="0" t="s">
        <v>9890</v>
      </c>
    </row>
    <row r="72" customFormat="false" ht="15" hidden="false" customHeight="false" outlineLevel="0" collapsed="false">
      <c r="A72" s="0" t="n">
        <v>30</v>
      </c>
      <c r="B72" s="0" t="s">
        <v>254</v>
      </c>
      <c r="C72" s="0" t="s">
        <v>257</v>
      </c>
      <c r="E72" s="0" t="s">
        <v>79</v>
      </c>
      <c r="F72" s="0" t="s">
        <v>9891</v>
      </c>
    </row>
    <row r="73" customFormat="false" ht="15" hidden="false" customHeight="false" outlineLevel="0" collapsed="false">
      <c r="A73" s="0" t="n">
        <v>30</v>
      </c>
      <c r="B73" s="0" t="s">
        <v>254</v>
      </c>
      <c r="C73" s="0" t="s">
        <v>258</v>
      </c>
      <c r="E73" s="0" t="s">
        <v>79</v>
      </c>
      <c r="F73" s="0" t="s">
        <v>9892</v>
      </c>
    </row>
    <row r="74" customFormat="false" ht="15" hidden="false" customHeight="false" outlineLevel="0" collapsed="false">
      <c r="A74" s="0" t="n">
        <v>30</v>
      </c>
      <c r="B74" s="0" t="s">
        <v>254</v>
      </c>
      <c r="C74" s="0" t="s">
        <v>259</v>
      </c>
      <c r="E74" s="0" t="s">
        <v>79</v>
      </c>
      <c r="F74" s="0" t="s">
        <v>9893</v>
      </c>
    </row>
    <row r="75" customFormat="false" ht="15" hidden="false" customHeight="false" outlineLevel="0" collapsed="false">
      <c r="A75" s="0" t="n">
        <v>30</v>
      </c>
      <c r="B75" s="0" t="s">
        <v>254</v>
      </c>
      <c r="C75" s="0" t="s">
        <v>9894</v>
      </c>
      <c r="E75" s="0" t="s">
        <v>79</v>
      </c>
      <c r="F75" s="0" t="s">
        <v>9895</v>
      </c>
    </row>
    <row r="76" customFormat="false" ht="15" hidden="false" customHeight="false" outlineLevel="0" collapsed="false">
      <c r="A76" s="0" t="n">
        <v>30</v>
      </c>
      <c r="B76" s="0" t="s">
        <v>254</v>
      </c>
      <c r="C76" s="0" t="s">
        <v>9896</v>
      </c>
      <c r="E76" s="0" t="s">
        <v>79</v>
      </c>
      <c r="F76" s="0" t="s">
        <v>9897</v>
      </c>
    </row>
    <row r="77" customFormat="false" ht="15" hidden="false" customHeight="false" outlineLevel="0" collapsed="false">
      <c r="A77" s="0" t="n">
        <v>32</v>
      </c>
      <c r="B77" s="0" t="s">
        <v>268</v>
      </c>
      <c r="C77" s="0" t="s">
        <v>271</v>
      </c>
      <c r="E77" s="0" t="s">
        <v>79</v>
      </c>
      <c r="F77" s="0" t="s">
        <v>9898</v>
      </c>
    </row>
    <row r="78" customFormat="false" ht="15" hidden="false" customHeight="false" outlineLevel="0" collapsed="false">
      <c r="A78" s="0" t="n">
        <v>32</v>
      </c>
      <c r="B78" s="0" t="s">
        <v>268</v>
      </c>
      <c r="C78" s="0" t="s">
        <v>272</v>
      </c>
      <c r="E78" s="0" t="s">
        <v>79</v>
      </c>
      <c r="F78" s="0" t="s">
        <v>9899</v>
      </c>
    </row>
    <row r="79" customFormat="false" ht="15" hidden="false" customHeight="false" outlineLevel="0" collapsed="false">
      <c r="A79" s="0" t="n">
        <v>32</v>
      </c>
      <c r="B79" s="0" t="s">
        <v>268</v>
      </c>
      <c r="C79" s="0" t="s">
        <v>273</v>
      </c>
      <c r="E79" s="0" t="s">
        <v>79</v>
      </c>
      <c r="F79" s="0" t="s">
        <v>9900</v>
      </c>
    </row>
    <row r="80" customFormat="false" ht="15" hidden="false" customHeight="false" outlineLevel="0" collapsed="false">
      <c r="A80" s="0" t="n">
        <v>32</v>
      </c>
      <c r="B80" s="0" t="s">
        <v>268</v>
      </c>
      <c r="C80" s="0" t="s">
        <v>9901</v>
      </c>
      <c r="E80" s="0" t="s">
        <v>79</v>
      </c>
      <c r="F80" s="0" t="s">
        <v>9902</v>
      </c>
    </row>
    <row r="81" customFormat="false" ht="15" hidden="false" customHeight="false" outlineLevel="0" collapsed="false">
      <c r="A81" s="0" t="n">
        <v>32</v>
      </c>
      <c r="B81" s="0" t="s">
        <v>268</v>
      </c>
      <c r="C81" s="0" t="s">
        <v>9903</v>
      </c>
      <c r="E81" s="0" t="s">
        <v>79</v>
      </c>
      <c r="F81" s="0" t="s">
        <v>9904</v>
      </c>
    </row>
    <row r="82" customFormat="false" ht="15" hidden="false" customHeight="false" outlineLevel="0" collapsed="false">
      <c r="A82" s="0" t="n">
        <v>34</v>
      </c>
      <c r="B82" s="0" t="s">
        <v>279</v>
      </c>
      <c r="C82" s="0" t="s">
        <v>281</v>
      </c>
      <c r="E82" s="0" t="s">
        <v>79</v>
      </c>
      <c r="F82" s="0" t="s">
        <v>9905</v>
      </c>
    </row>
    <row r="83" customFormat="false" ht="15" hidden="false" customHeight="false" outlineLevel="0" collapsed="false">
      <c r="A83" s="0" t="n">
        <v>34</v>
      </c>
      <c r="B83" s="0" t="s">
        <v>279</v>
      </c>
      <c r="C83" s="0" t="s">
        <v>282</v>
      </c>
      <c r="E83" s="0" t="s">
        <v>79</v>
      </c>
      <c r="F83" s="0" t="s">
        <v>9906</v>
      </c>
    </row>
    <row r="84" customFormat="false" ht="15" hidden="false" customHeight="false" outlineLevel="0" collapsed="false">
      <c r="A84" s="0" t="n">
        <v>34</v>
      </c>
      <c r="B84" s="0" t="s">
        <v>279</v>
      </c>
      <c r="C84" s="0" t="s">
        <v>283</v>
      </c>
      <c r="E84" s="0" t="s">
        <v>79</v>
      </c>
      <c r="F84" s="0" t="s">
        <v>9907</v>
      </c>
    </row>
    <row r="85" customFormat="false" ht="15" hidden="false" customHeight="false" outlineLevel="0" collapsed="false">
      <c r="A85" s="0" t="n">
        <v>34</v>
      </c>
      <c r="B85" s="0" t="s">
        <v>279</v>
      </c>
      <c r="C85" s="0" t="s">
        <v>9908</v>
      </c>
      <c r="E85" s="0" t="s">
        <v>79</v>
      </c>
      <c r="F85" s="0" t="s">
        <v>9909</v>
      </c>
    </row>
    <row r="86" customFormat="false" ht="15" hidden="false" customHeight="false" outlineLevel="0" collapsed="false">
      <c r="A86" s="0" t="n">
        <v>38</v>
      </c>
      <c r="B86" s="0" t="s">
        <v>301</v>
      </c>
      <c r="C86" s="0" t="s">
        <v>303</v>
      </c>
      <c r="E86" s="0" t="s">
        <v>79</v>
      </c>
      <c r="F86" s="0" t="s">
        <v>9910</v>
      </c>
    </row>
    <row r="87" customFormat="false" ht="15" hidden="false" customHeight="false" outlineLevel="0" collapsed="false">
      <c r="A87" s="0" t="n">
        <v>38</v>
      </c>
      <c r="B87" s="0" t="s">
        <v>301</v>
      </c>
      <c r="C87" s="0" t="s">
        <v>304</v>
      </c>
      <c r="E87" s="0" t="s">
        <v>79</v>
      </c>
      <c r="F87" s="0" t="s">
        <v>9911</v>
      </c>
    </row>
    <row r="88" customFormat="false" ht="15" hidden="false" customHeight="false" outlineLevel="0" collapsed="false">
      <c r="A88" s="0" t="n">
        <v>38</v>
      </c>
      <c r="B88" s="0" t="s">
        <v>301</v>
      </c>
      <c r="C88" s="0" t="s">
        <v>305</v>
      </c>
      <c r="E88" s="0" t="s">
        <v>79</v>
      </c>
      <c r="F88" s="0" t="s">
        <v>9912</v>
      </c>
    </row>
    <row r="89" customFormat="false" ht="15" hidden="false" customHeight="false" outlineLevel="0" collapsed="false">
      <c r="A89" s="0" t="n">
        <v>38</v>
      </c>
      <c r="B89" s="0" t="s">
        <v>301</v>
      </c>
      <c r="C89" s="0" t="s">
        <v>9913</v>
      </c>
      <c r="E89" s="0" t="s">
        <v>79</v>
      </c>
      <c r="F89" s="0" t="s">
        <v>9914</v>
      </c>
    </row>
    <row r="90" customFormat="false" ht="15" hidden="false" customHeight="false" outlineLevel="0" collapsed="false">
      <c r="A90" s="0" t="n">
        <v>38</v>
      </c>
      <c r="B90" s="0" t="s">
        <v>301</v>
      </c>
      <c r="C90" s="0" t="s">
        <v>9915</v>
      </c>
      <c r="E90" s="0" t="s">
        <v>79</v>
      </c>
      <c r="F90" s="0" t="s">
        <v>9916</v>
      </c>
    </row>
    <row r="91" customFormat="false" ht="15" hidden="false" customHeight="false" outlineLevel="0" collapsed="false">
      <c r="A91" s="0" t="n">
        <v>39</v>
      </c>
      <c r="B91" s="0" t="s">
        <v>306</v>
      </c>
      <c r="C91" s="0" t="s">
        <v>308</v>
      </c>
      <c r="E91" s="0" t="s">
        <v>79</v>
      </c>
      <c r="F91" s="0" t="s">
        <v>9917</v>
      </c>
    </row>
    <row r="92" customFormat="false" ht="15" hidden="false" customHeight="false" outlineLevel="0" collapsed="false">
      <c r="A92" s="0" t="n">
        <v>39</v>
      </c>
      <c r="B92" s="0" t="s">
        <v>306</v>
      </c>
      <c r="C92" s="0" t="s">
        <v>309</v>
      </c>
      <c r="E92" s="0" t="s">
        <v>79</v>
      </c>
      <c r="F92" s="0" t="s">
        <v>9918</v>
      </c>
    </row>
    <row r="93" customFormat="false" ht="15" hidden="false" customHeight="false" outlineLevel="0" collapsed="false">
      <c r="A93" s="0" t="n">
        <v>39</v>
      </c>
      <c r="B93" s="0" t="s">
        <v>306</v>
      </c>
      <c r="C93" s="0" t="s">
        <v>310</v>
      </c>
      <c r="E93" s="0" t="s">
        <v>79</v>
      </c>
      <c r="F93" s="0" t="s">
        <v>9919</v>
      </c>
    </row>
    <row r="94" customFormat="false" ht="15" hidden="false" customHeight="false" outlineLevel="0" collapsed="false">
      <c r="A94" s="0" t="n">
        <v>40</v>
      </c>
      <c r="B94" s="0" t="s">
        <v>311</v>
      </c>
      <c r="C94" s="0" t="s">
        <v>317</v>
      </c>
      <c r="E94" s="0" t="s">
        <v>79</v>
      </c>
      <c r="F94" s="0" t="s">
        <v>9920</v>
      </c>
    </row>
    <row r="95" customFormat="false" ht="15" hidden="false" customHeight="false" outlineLevel="0" collapsed="false">
      <c r="A95" s="0" t="n">
        <v>40</v>
      </c>
      <c r="B95" s="0" t="s">
        <v>311</v>
      </c>
      <c r="C95" s="0" t="s">
        <v>318</v>
      </c>
      <c r="E95" s="0" t="s">
        <v>79</v>
      </c>
      <c r="F95" s="0" t="s">
        <v>9921</v>
      </c>
    </row>
    <row r="96" customFormat="false" ht="15" hidden="false" customHeight="false" outlineLevel="0" collapsed="false">
      <c r="A96" s="0" t="n">
        <v>40</v>
      </c>
      <c r="B96" s="0" t="s">
        <v>311</v>
      </c>
      <c r="C96" s="0" t="s">
        <v>319</v>
      </c>
      <c r="E96" s="0" t="s">
        <v>79</v>
      </c>
      <c r="F96" s="0" t="s">
        <v>9922</v>
      </c>
    </row>
    <row r="97" customFormat="false" ht="15" hidden="false" customHeight="false" outlineLevel="0" collapsed="false">
      <c r="A97" s="0" t="n">
        <v>40</v>
      </c>
      <c r="B97" s="0" t="s">
        <v>311</v>
      </c>
      <c r="C97" s="0" t="s">
        <v>9923</v>
      </c>
      <c r="E97" s="0" t="s">
        <v>79</v>
      </c>
      <c r="F97" s="0" t="s">
        <v>9924</v>
      </c>
    </row>
    <row r="98" customFormat="false" ht="15" hidden="false" customHeight="false" outlineLevel="0" collapsed="false">
      <c r="A98" s="0" t="n">
        <v>40</v>
      </c>
      <c r="B98" s="0" t="s">
        <v>311</v>
      </c>
      <c r="C98" s="0" t="s">
        <v>9925</v>
      </c>
      <c r="E98" s="0" t="s">
        <v>79</v>
      </c>
      <c r="F98" s="0" t="s">
        <v>9926</v>
      </c>
    </row>
    <row r="99" customFormat="false" ht="15" hidden="false" customHeight="false" outlineLevel="0" collapsed="false">
      <c r="A99" s="0" t="n">
        <v>43</v>
      </c>
      <c r="B99" s="0" t="s">
        <v>328</v>
      </c>
      <c r="C99" s="0" t="s">
        <v>331</v>
      </c>
      <c r="E99" s="0" t="s">
        <v>79</v>
      </c>
      <c r="F99" s="0" t="s">
        <v>9927</v>
      </c>
    </row>
    <row r="100" customFormat="false" ht="15" hidden="false" customHeight="false" outlineLevel="0" collapsed="false">
      <c r="A100" s="0" t="n">
        <v>43</v>
      </c>
      <c r="B100" s="0" t="s">
        <v>328</v>
      </c>
      <c r="C100" s="0" t="s">
        <v>332</v>
      </c>
      <c r="E100" s="0" t="s">
        <v>79</v>
      </c>
      <c r="F100" s="0" t="s">
        <v>9928</v>
      </c>
    </row>
    <row r="101" customFormat="false" ht="15" hidden="false" customHeight="false" outlineLevel="0" collapsed="false">
      <c r="A101" s="0" t="n">
        <v>43</v>
      </c>
      <c r="B101" s="0" t="s">
        <v>328</v>
      </c>
      <c r="C101" s="0" t="s">
        <v>333</v>
      </c>
      <c r="E101" s="0" t="s">
        <v>79</v>
      </c>
      <c r="F101" s="0" t="s">
        <v>9929</v>
      </c>
    </row>
    <row r="102" customFormat="false" ht="15" hidden="false" customHeight="false" outlineLevel="0" collapsed="false">
      <c r="A102" s="0" t="n">
        <v>43</v>
      </c>
      <c r="B102" s="0" t="s">
        <v>328</v>
      </c>
      <c r="C102" s="0" t="s">
        <v>9930</v>
      </c>
      <c r="E102" s="0" t="s">
        <v>79</v>
      </c>
      <c r="F102" s="0" t="s">
        <v>9931</v>
      </c>
    </row>
    <row r="103" customFormat="false" ht="15" hidden="false" customHeight="false" outlineLevel="0" collapsed="false">
      <c r="A103" s="0" t="n">
        <v>43</v>
      </c>
      <c r="B103" s="0" t="s">
        <v>328</v>
      </c>
      <c r="C103" s="0" t="s">
        <v>9932</v>
      </c>
      <c r="E103" s="0" t="s">
        <v>79</v>
      </c>
      <c r="F103" s="0" t="s">
        <v>9933</v>
      </c>
    </row>
    <row r="104" customFormat="false" ht="15" hidden="false" customHeight="false" outlineLevel="0" collapsed="false">
      <c r="A104" s="0" t="n">
        <v>46</v>
      </c>
      <c r="B104" s="0" t="s">
        <v>340</v>
      </c>
      <c r="C104" s="0" t="s">
        <v>343</v>
      </c>
      <c r="E104" s="0" t="s">
        <v>79</v>
      </c>
      <c r="F104" s="0" t="s">
        <v>9934</v>
      </c>
    </row>
    <row r="105" customFormat="false" ht="15" hidden="false" customHeight="false" outlineLevel="0" collapsed="false">
      <c r="A105" s="0" t="n">
        <v>46</v>
      </c>
      <c r="B105" s="0" t="s">
        <v>340</v>
      </c>
      <c r="C105" s="0" t="s">
        <v>344</v>
      </c>
      <c r="E105" s="0" t="s">
        <v>79</v>
      </c>
      <c r="F105" s="0" t="s">
        <v>9935</v>
      </c>
    </row>
    <row r="106" customFormat="false" ht="15" hidden="false" customHeight="false" outlineLevel="0" collapsed="false">
      <c r="A106" s="0" t="n">
        <v>46</v>
      </c>
      <c r="B106" s="0" t="s">
        <v>340</v>
      </c>
      <c r="C106" s="0" t="s">
        <v>345</v>
      </c>
      <c r="E106" s="0" t="s">
        <v>79</v>
      </c>
      <c r="F106" s="0" t="s">
        <v>9936</v>
      </c>
    </row>
    <row r="107" customFormat="false" ht="15" hidden="false" customHeight="false" outlineLevel="0" collapsed="false">
      <c r="A107" s="0" t="n">
        <v>46</v>
      </c>
      <c r="B107" s="0" t="s">
        <v>340</v>
      </c>
      <c r="C107" s="0" t="s">
        <v>9937</v>
      </c>
      <c r="E107" s="0" t="s">
        <v>79</v>
      </c>
      <c r="F107" s="0" t="s">
        <v>9938</v>
      </c>
    </row>
    <row r="108" customFormat="false" ht="15" hidden="false" customHeight="false" outlineLevel="0" collapsed="false">
      <c r="A108" s="0" t="n">
        <v>46</v>
      </c>
      <c r="B108" s="0" t="s">
        <v>340</v>
      </c>
      <c r="C108" s="0" t="s">
        <v>9939</v>
      </c>
      <c r="E108" s="0" t="s">
        <v>79</v>
      </c>
      <c r="F108" s="0" t="s">
        <v>9940</v>
      </c>
    </row>
    <row r="109" customFormat="false" ht="15" hidden="false" customHeight="false" outlineLevel="0" collapsed="false">
      <c r="A109" s="0" t="n">
        <v>47</v>
      </c>
      <c r="B109" s="0" t="s">
        <v>350</v>
      </c>
      <c r="C109" s="0" t="s">
        <v>354</v>
      </c>
      <c r="E109" s="0" t="s">
        <v>59</v>
      </c>
      <c r="F109" s="0" t="s">
        <v>9941</v>
      </c>
    </row>
    <row r="110" customFormat="false" ht="15" hidden="false" customHeight="false" outlineLevel="0" collapsed="false">
      <c r="A110" s="0" t="n">
        <v>47</v>
      </c>
      <c r="B110" s="0" t="s">
        <v>350</v>
      </c>
      <c r="C110" s="0" t="s">
        <v>355</v>
      </c>
      <c r="E110" s="0" t="s">
        <v>59</v>
      </c>
      <c r="F110" s="0" t="s">
        <v>9942</v>
      </c>
    </row>
    <row r="111" customFormat="false" ht="15" hidden="false" customHeight="false" outlineLevel="0" collapsed="false">
      <c r="A111" s="0" t="n">
        <v>47</v>
      </c>
      <c r="B111" s="0" t="s">
        <v>350</v>
      </c>
      <c r="C111" s="0" t="s">
        <v>356</v>
      </c>
      <c r="E111" s="0" t="s">
        <v>59</v>
      </c>
      <c r="F111" s="0" t="s">
        <v>9943</v>
      </c>
    </row>
    <row r="112" customFormat="false" ht="15" hidden="false" customHeight="false" outlineLevel="0" collapsed="false">
      <c r="A112" s="0" t="n">
        <v>47</v>
      </c>
      <c r="B112" s="0" t="s">
        <v>350</v>
      </c>
      <c r="C112" s="0" t="s">
        <v>9944</v>
      </c>
      <c r="E112" s="0" t="s">
        <v>59</v>
      </c>
      <c r="F112" s="0" t="s">
        <v>9945</v>
      </c>
    </row>
    <row r="113" customFormat="false" ht="15" hidden="false" customHeight="false" outlineLevel="0" collapsed="false">
      <c r="A113" s="0" t="n">
        <v>48</v>
      </c>
      <c r="B113" s="0" t="s">
        <v>361</v>
      </c>
      <c r="C113" s="0" t="s">
        <v>364</v>
      </c>
      <c r="E113" s="0" t="s">
        <v>79</v>
      </c>
      <c r="F113" s="0" t="s">
        <v>9946</v>
      </c>
    </row>
    <row r="114" customFormat="false" ht="15" hidden="false" customHeight="false" outlineLevel="0" collapsed="false">
      <c r="A114" s="0" t="n">
        <v>48</v>
      </c>
      <c r="B114" s="0" t="s">
        <v>361</v>
      </c>
      <c r="C114" s="0" t="s">
        <v>365</v>
      </c>
      <c r="E114" s="0" t="s">
        <v>79</v>
      </c>
      <c r="F114" s="0" t="s">
        <v>9947</v>
      </c>
    </row>
    <row r="115" customFormat="false" ht="15" hidden="false" customHeight="false" outlineLevel="0" collapsed="false">
      <c r="A115" s="0" t="n">
        <v>48</v>
      </c>
      <c r="B115" s="0" t="s">
        <v>361</v>
      </c>
      <c r="C115" s="0" t="s">
        <v>366</v>
      </c>
      <c r="E115" s="0" t="s">
        <v>79</v>
      </c>
      <c r="F115" s="0" t="s">
        <v>9948</v>
      </c>
    </row>
    <row r="116" customFormat="false" ht="15" hidden="false" customHeight="false" outlineLevel="0" collapsed="false">
      <c r="A116" s="0" t="n">
        <v>48</v>
      </c>
      <c r="B116" s="0" t="s">
        <v>361</v>
      </c>
      <c r="C116" s="0" t="s">
        <v>9949</v>
      </c>
      <c r="E116" s="0" t="s">
        <v>79</v>
      </c>
      <c r="F116" s="0" t="s">
        <v>9950</v>
      </c>
    </row>
    <row r="117" customFormat="false" ht="15" hidden="false" customHeight="false" outlineLevel="0" collapsed="false">
      <c r="A117" s="0" t="n">
        <v>48</v>
      </c>
      <c r="B117" s="0" t="s">
        <v>361</v>
      </c>
      <c r="C117" s="0" t="s">
        <v>9951</v>
      </c>
      <c r="E117" s="0" t="s">
        <v>79</v>
      </c>
      <c r="F117" s="0" t="s">
        <v>9952</v>
      </c>
    </row>
    <row r="118" customFormat="false" ht="15" hidden="false" customHeight="false" outlineLevel="0" collapsed="false">
      <c r="A118" s="0" t="n">
        <v>49</v>
      </c>
      <c r="B118" s="0" t="s">
        <v>371</v>
      </c>
      <c r="C118" s="0" t="s">
        <v>374</v>
      </c>
      <c r="E118" s="0" t="s">
        <v>79</v>
      </c>
      <c r="F118" s="0" t="s">
        <v>9953</v>
      </c>
    </row>
    <row r="119" customFormat="false" ht="15" hidden="false" customHeight="false" outlineLevel="0" collapsed="false">
      <c r="A119" s="0" t="n">
        <v>49</v>
      </c>
      <c r="B119" s="0" t="s">
        <v>371</v>
      </c>
      <c r="C119" s="0" t="s">
        <v>375</v>
      </c>
      <c r="E119" s="0" t="s">
        <v>79</v>
      </c>
      <c r="F119" s="0" t="s">
        <v>9954</v>
      </c>
    </row>
    <row r="120" customFormat="false" ht="15" hidden="false" customHeight="false" outlineLevel="0" collapsed="false">
      <c r="A120" s="0" t="n">
        <v>49</v>
      </c>
      <c r="B120" s="0" t="s">
        <v>371</v>
      </c>
      <c r="C120" s="0" t="s">
        <v>376</v>
      </c>
      <c r="E120" s="0" t="s">
        <v>79</v>
      </c>
      <c r="F120" s="0" t="s">
        <v>9955</v>
      </c>
    </row>
    <row r="121" customFormat="false" ht="15" hidden="false" customHeight="false" outlineLevel="0" collapsed="false">
      <c r="A121" s="0" t="n">
        <v>49</v>
      </c>
      <c r="B121" s="0" t="s">
        <v>371</v>
      </c>
      <c r="C121" s="0" t="s">
        <v>9956</v>
      </c>
      <c r="E121" s="0" t="s">
        <v>79</v>
      </c>
      <c r="F121" s="0" t="s">
        <v>9957</v>
      </c>
    </row>
    <row r="122" customFormat="false" ht="15" hidden="false" customHeight="false" outlineLevel="0" collapsed="false">
      <c r="A122" s="0" t="n">
        <v>49</v>
      </c>
      <c r="B122" s="0" t="s">
        <v>371</v>
      </c>
      <c r="C122" s="0" t="s">
        <v>9958</v>
      </c>
      <c r="E122" s="0" t="s">
        <v>79</v>
      </c>
      <c r="F122" s="0" t="s">
        <v>9959</v>
      </c>
    </row>
    <row r="123" customFormat="false" ht="15" hidden="false" customHeight="false" outlineLevel="0" collapsed="false">
      <c r="A123" s="0" t="n">
        <v>51</v>
      </c>
      <c r="B123" s="0" t="s">
        <v>386</v>
      </c>
      <c r="C123" s="0" t="s">
        <v>388</v>
      </c>
      <c r="E123" s="0" t="s">
        <v>79</v>
      </c>
      <c r="F123" s="0" t="s">
        <v>9960</v>
      </c>
    </row>
    <row r="124" customFormat="false" ht="15" hidden="false" customHeight="false" outlineLevel="0" collapsed="false">
      <c r="A124" s="0" t="n">
        <v>51</v>
      </c>
      <c r="B124" s="0" t="s">
        <v>386</v>
      </c>
      <c r="C124" s="0" t="s">
        <v>389</v>
      </c>
      <c r="E124" s="0" t="s">
        <v>79</v>
      </c>
      <c r="F124" s="0" t="s">
        <v>9961</v>
      </c>
    </row>
    <row r="125" customFormat="false" ht="15" hidden="false" customHeight="false" outlineLevel="0" collapsed="false">
      <c r="A125" s="0" t="n">
        <v>51</v>
      </c>
      <c r="B125" s="0" t="s">
        <v>386</v>
      </c>
      <c r="C125" s="0" t="s">
        <v>390</v>
      </c>
      <c r="E125" s="0" t="s">
        <v>79</v>
      </c>
      <c r="F125" s="0" t="s">
        <v>9962</v>
      </c>
    </row>
    <row r="126" customFormat="false" ht="15" hidden="false" customHeight="false" outlineLevel="0" collapsed="false">
      <c r="A126" s="0" t="n">
        <v>51</v>
      </c>
      <c r="B126" s="0" t="s">
        <v>386</v>
      </c>
      <c r="C126" s="0" t="s">
        <v>9963</v>
      </c>
      <c r="E126" s="0" t="s">
        <v>79</v>
      </c>
      <c r="F126" s="0" t="s">
        <v>9964</v>
      </c>
    </row>
    <row r="127" customFormat="false" ht="15" hidden="false" customHeight="false" outlineLevel="0" collapsed="false">
      <c r="A127" s="0" t="n">
        <v>51</v>
      </c>
      <c r="B127" s="0" t="s">
        <v>386</v>
      </c>
      <c r="C127" s="0" t="s">
        <v>9965</v>
      </c>
      <c r="E127" s="0" t="s">
        <v>79</v>
      </c>
      <c r="F127" s="0" t="s">
        <v>9966</v>
      </c>
    </row>
    <row r="128" customFormat="false" ht="15" hidden="false" customHeight="false" outlineLevel="0" collapsed="false">
      <c r="A128" s="0" t="n">
        <v>53</v>
      </c>
      <c r="B128" s="0" t="s">
        <v>393</v>
      </c>
      <c r="C128" s="0" t="s">
        <v>401</v>
      </c>
      <c r="D128" s="0" t="s">
        <v>9967</v>
      </c>
      <c r="E128" s="0" t="s">
        <v>115</v>
      </c>
    </row>
    <row r="129" customFormat="false" ht="15" hidden="false" customHeight="false" outlineLevel="0" collapsed="false">
      <c r="A129" s="0" t="n">
        <v>53</v>
      </c>
      <c r="B129" s="0" t="s">
        <v>393</v>
      </c>
      <c r="C129" s="0" t="s">
        <v>402</v>
      </c>
      <c r="D129" s="0" t="s">
        <v>9968</v>
      </c>
      <c r="E129" s="0" t="s">
        <v>115</v>
      </c>
    </row>
    <row r="130" customFormat="false" ht="15" hidden="false" customHeight="false" outlineLevel="0" collapsed="false">
      <c r="A130" s="0" t="n">
        <v>53</v>
      </c>
      <c r="B130" s="0" t="s">
        <v>393</v>
      </c>
      <c r="C130" s="0" t="s">
        <v>403</v>
      </c>
      <c r="D130" s="0" t="s">
        <v>9969</v>
      </c>
      <c r="E130" s="0" t="s">
        <v>115</v>
      </c>
    </row>
    <row r="131" customFormat="false" ht="15" hidden="false" customHeight="false" outlineLevel="0" collapsed="false">
      <c r="A131" s="0" t="n">
        <v>54</v>
      </c>
      <c r="B131" s="0" t="s">
        <v>413</v>
      </c>
      <c r="C131" s="0" t="s">
        <v>415</v>
      </c>
      <c r="E131" s="0" t="s">
        <v>79</v>
      </c>
      <c r="F131" s="0" t="s">
        <v>9970</v>
      </c>
    </row>
    <row r="132" customFormat="false" ht="15" hidden="false" customHeight="false" outlineLevel="0" collapsed="false">
      <c r="A132" s="0" t="n">
        <v>54</v>
      </c>
      <c r="B132" s="0" t="s">
        <v>413</v>
      </c>
      <c r="C132" s="0" t="s">
        <v>416</v>
      </c>
      <c r="E132" s="0" t="s">
        <v>79</v>
      </c>
      <c r="F132" s="0" t="s">
        <v>9971</v>
      </c>
    </row>
    <row r="133" customFormat="false" ht="15" hidden="false" customHeight="false" outlineLevel="0" collapsed="false">
      <c r="A133" s="0" t="n">
        <v>54</v>
      </c>
      <c r="B133" s="0" t="s">
        <v>413</v>
      </c>
      <c r="C133" s="0" t="s">
        <v>417</v>
      </c>
      <c r="E133" s="0" t="s">
        <v>79</v>
      </c>
      <c r="F133" s="0" t="s">
        <v>9972</v>
      </c>
    </row>
    <row r="134" customFormat="false" ht="15" hidden="false" customHeight="false" outlineLevel="0" collapsed="false">
      <c r="A134" s="0" t="n">
        <v>54</v>
      </c>
      <c r="B134" s="0" t="s">
        <v>413</v>
      </c>
      <c r="C134" s="0" t="s">
        <v>9973</v>
      </c>
      <c r="E134" s="0" t="s">
        <v>79</v>
      </c>
      <c r="F134" s="0" t="s">
        <v>9974</v>
      </c>
    </row>
    <row r="135" customFormat="false" ht="15" hidden="false" customHeight="false" outlineLevel="0" collapsed="false">
      <c r="A135" s="0" t="n">
        <v>54</v>
      </c>
      <c r="B135" s="0" t="s">
        <v>413</v>
      </c>
      <c r="C135" s="0" t="s">
        <v>9975</v>
      </c>
      <c r="E135" s="0" t="s">
        <v>79</v>
      </c>
      <c r="F135" s="0" t="s">
        <v>9976</v>
      </c>
    </row>
    <row r="136" customFormat="false" ht="15" hidden="false" customHeight="false" outlineLevel="0" collapsed="false">
      <c r="A136" s="0" t="n">
        <v>55</v>
      </c>
      <c r="B136" s="0" t="s">
        <v>418</v>
      </c>
      <c r="C136" s="0" t="s">
        <v>420</v>
      </c>
      <c r="E136" s="0" t="s">
        <v>79</v>
      </c>
      <c r="F136" s="0" t="s">
        <v>9977</v>
      </c>
    </row>
    <row r="137" customFormat="false" ht="15" hidden="false" customHeight="false" outlineLevel="0" collapsed="false">
      <c r="A137" s="0" t="n">
        <v>55</v>
      </c>
      <c r="B137" s="0" t="s">
        <v>418</v>
      </c>
      <c r="C137" s="0" t="s">
        <v>421</v>
      </c>
      <c r="E137" s="0" t="s">
        <v>79</v>
      </c>
      <c r="F137" s="0" t="s">
        <v>9978</v>
      </c>
    </row>
    <row r="138" customFormat="false" ht="15" hidden="false" customHeight="false" outlineLevel="0" collapsed="false">
      <c r="A138" s="0" t="n">
        <v>55</v>
      </c>
      <c r="B138" s="0" t="s">
        <v>418</v>
      </c>
      <c r="C138" s="0" t="s">
        <v>422</v>
      </c>
      <c r="E138" s="0" t="s">
        <v>79</v>
      </c>
      <c r="F138" s="0" t="s">
        <v>9979</v>
      </c>
    </row>
    <row r="139" customFormat="false" ht="15" hidden="false" customHeight="false" outlineLevel="0" collapsed="false">
      <c r="A139" s="0" t="n">
        <v>55</v>
      </c>
      <c r="B139" s="0" t="s">
        <v>418</v>
      </c>
      <c r="C139" s="0" t="s">
        <v>8929</v>
      </c>
      <c r="E139" s="0" t="s">
        <v>79</v>
      </c>
      <c r="F139" s="0" t="s">
        <v>9980</v>
      </c>
    </row>
    <row r="140" customFormat="false" ht="15" hidden="false" customHeight="false" outlineLevel="0" collapsed="false">
      <c r="A140" s="0" t="n">
        <v>55</v>
      </c>
      <c r="B140" s="0" t="s">
        <v>418</v>
      </c>
      <c r="C140" s="0" t="s">
        <v>9981</v>
      </c>
      <c r="E140" s="0" t="s">
        <v>79</v>
      </c>
      <c r="F140" s="0" t="s">
        <v>9982</v>
      </c>
    </row>
    <row r="141" customFormat="false" ht="15" hidden="false" customHeight="false" outlineLevel="0" collapsed="false">
      <c r="A141" s="0" t="n">
        <v>56</v>
      </c>
      <c r="B141" s="0" t="s">
        <v>423</v>
      </c>
      <c r="C141" s="0" t="s">
        <v>401</v>
      </c>
      <c r="D141" s="0" t="s">
        <v>9967</v>
      </c>
      <c r="E141" s="0" t="s">
        <v>115</v>
      </c>
    </row>
    <row r="142" customFormat="false" ht="15" hidden="false" customHeight="false" outlineLevel="0" collapsed="false">
      <c r="A142" s="0" t="n">
        <v>56</v>
      </c>
      <c r="B142" s="0" t="s">
        <v>423</v>
      </c>
      <c r="C142" s="0" t="s">
        <v>402</v>
      </c>
      <c r="D142" s="0" t="s">
        <v>9968</v>
      </c>
      <c r="E142" s="0" t="s">
        <v>115</v>
      </c>
    </row>
    <row r="143" customFormat="false" ht="15" hidden="false" customHeight="false" outlineLevel="0" collapsed="false">
      <c r="A143" s="0" t="n">
        <v>56</v>
      </c>
      <c r="B143" s="0" t="s">
        <v>423</v>
      </c>
      <c r="C143" s="0" t="s">
        <v>403</v>
      </c>
      <c r="D143" s="0" t="s">
        <v>9969</v>
      </c>
      <c r="E143" s="0" t="s">
        <v>115</v>
      </c>
    </row>
    <row r="144" customFormat="false" ht="15" hidden="false" customHeight="false" outlineLevel="0" collapsed="false">
      <c r="A144" s="0" t="n">
        <v>57</v>
      </c>
      <c r="B144" s="0" t="s">
        <v>428</v>
      </c>
      <c r="C144" s="0" t="s">
        <v>431</v>
      </c>
      <c r="E144" s="0" t="s">
        <v>59</v>
      </c>
      <c r="F144" s="0" t="s">
        <v>9983</v>
      </c>
    </row>
    <row r="145" customFormat="false" ht="15" hidden="false" customHeight="false" outlineLevel="0" collapsed="false">
      <c r="A145" s="0" t="n">
        <v>57</v>
      </c>
      <c r="B145" s="0" t="s">
        <v>428</v>
      </c>
      <c r="C145" s="0" t="s">
        <v>432</v>
      </c>
      <c r="E145" s="0" t="s">
        <v>59</v>
      </c>
      <c r="F145" s="0" t="s">
        <v>9984</v>
      </c>
    </row>
    <row r="146" customFormat="false" ht="15" hidden="false" customHeight="false" outlineLevel="0" collapsed="false">
      <c r="A146" s="0" t="n">
        <v>57</v>
      </c>
      <c r="B146" s="0" t="s">
        <v>428</v>
      </c>
      <c r="C146" s="0" t="s">
        <v>433</v>
      </c>
      <c r="E146" s="0" t="s">
        <v>59</v>
      </c>
      <c r="F146" s="0" t="s">
        <v>9985</v>
      </c>
    </row>
    <row r="147" customFormat="false" ht="15" hidden="false" customHeight="false" outlineLevel="0" collapsed="false">
      <c r="A147" s="0" t="n">
        <v>57</v>
      </c>
      <c r="B147" s="0" t="s">
        <v>428</v>
      </c>
      <c r="C147" s="0" t="s">
        <v>9986</v>
      </c>
      <c r="E147" s="0" t="s">
        <v>59</v>
      </c>
      <c r="F147" s="0" t="s">
        <v>9987</v>
      </c>
    </row>
    <row r="148" customFormat="false" ht="15" hidden="false" customHeight="false" outlineLevel="0" collapsed="false">
      <c r="A148" s="0" t="n">
        <v>57</v>
      </c>
      <c r="B148" s="0" t="s">
        <v>428</v>
      </c>
      <c r="C148" s="0" t="s">
        <v>9988</v>
      </c>
      <c r="E148" s="0" t="s">
        <v>59</v>
      </c>
      <c r="F148" s="0" t="s">
        <v>9989</v>
      </c>
    </row>
    <row r="149" customFormat="false" ht="15" hidden="false" customHeight="false" outlineLevel="0" collapsed="false">
      <c r="A149" s="0" t="n">
        <v>60</v>
      </c>
      <c r="B149" s="0" t="s">
        <v>439</v>
      </c>
      <c r="C149" s="0" t="s">
        <v>441</v>
      </c>
      <c r="E149" s="0" t="s">
        <v>79</v>
      </c>
      <c r="F149" s="0" t="s">
        <v>9990</v>
      </c>
    </row>
    <row r="150" customFormat="false" ht="15" hidden="false" customHeight="false" outlineLevel="0" collapsed="false">
      <c r="A150" s="0" t="n">
        <v>60</v>
      </c>
      <c r="B150" s="0" t="s">
        <v>439</v>
      </c>
      <c r="C150" s="0" t="s">
        <v>442</v>
      </c>
      <c r="E150" s="0" t="s">
        <v>79</v>
      </c>
      <c r="F150" s="0" t="s">
        <v>9991</v>
      </c>
    </row>
    <row r="151" customFormat="false" ht="15" hidden="false" customHeight="false" outlineLevel="0" collapsed="false">
      <c r="A151" s="0" t="n">
        <v>60</v>
      </c>
      <c r="B151" s="0" t="s">
        <v>439</v>
      </c>
      <c r="C151" s="0" t="s">
        <v>443</v>
      </c>
      <c r="E151" s="0" t="s">
        <v>79</v>
      </c>
      <c r="F151" s="0" t="s">
        <v>9992</v>
      </c>
    </row>
    <row r="152" customFormat="false" ht="15" hidden="false" customHeight="false" outlineLevel="0" collapsed="false">
      <c r="A152" s="0" t="n">
        <v>60</v>
      </c>
      <c r="B152" s="0" t="s">
        <v>439</v>
      </c>
      <c r="C152" s="0" t="s">
        <v>9993</v>
      </c>
      <c r="E152" s="0" t="s">
        <v>79</v>
      </c>
      <c r="F152" s="0" t="s">
        <v>9994</v>
      </c>
    </row>
    <row r="153" customFormat="false" ht="15" hidden="false" customHeight="false" outlineLevel="0" collapsed="false">
      <c r="A153" s="0" t="n">
        <v>60</v>
      </c>
      <c r="B153" s="0" t="s">
        <v>439</v>
      </c>
      <c r="C153" s="0" t="s">
        <v>9995</v>
      </c>
      <c r="E153" s="0" t="s">
        <v>79</v>
      </c>
      <c r="F153" s="0" t="s">
        <v>9996</v>
      </c>
    </row>
    <row r="154" customFormat="false" ht="15" hidden="false" customHeight="false" outlineLevel="0" collapsed="false">
      <c r="A154" s="0" t="n">
        <v>61</v>
      </c>
      <c r="B154" s="0" t="s">
        <v>444</v>
      </c>
      <c r="C154" s="0" t="s">
        <v>446</v>
      </c>
      <c r="E154" s="0" t="s">
        <v>79</v>
      </c>
      <c r="F154" s="0" t="s">
        <v>9997</v>
      </c>
    </row>
    <row r="155" customFormat="false" ht="15" hidden="false" customHeight="false" outlineLevel="0" collapsed="false">
      <c r="A155" s="0" t="n">
        <v>61</v>
      </c>
      <c r="B155" s="0" t="s">
        <v>444</v>
      </c>
      <c r="C155" s="0" t="s">
        <v>447</v>
      </c>
      <c r="E155" s="0" t="s">
        <v>79</v>
      </c>
      <c r="F155" s="0" t="s">
        <v>9998</v>
      </c>
    </row>
    <row r="156" customFormat="false" ht="15" hidden="false" customHeight="false" outlineLevel="0" collapsed="false">
      <c r="A156" s="0" t="n">
        <v>61</v>
      </c>
      <c r="B156" s="0" t="s">
        <v>444</v>
      </c>
      <c r="C156" s="0" t="s">
        <v>448</v>
      </c>
      <c r="E156" s="0" t="s">
        <v>79</v>
      </c>
      <c r="F156" s="0" t="s">
        <v>9999</v>
      </c>
    </row>
    <row r="157" customFormat="false" ht="15" hidden="false" customHeight="false" outlineLevel="0" collapsed="false">
      <c r="A157" s="0" t="n">
        <v>61</v>
      </c>
      <c r="B157" s="0" t="s">
        <v>444</v>
      </c>
      <c r="C157" s="0" t="s">
        <v>10000</v>
      </c>
      <c r="E157" s="0" t="s">
        <v>79</v>
      </c>
      <c r="F157" s="0" t="s">
        <v>10001</v>
      </c>
    </row>
    <row r="158" customFormat="false" ht="15" hidden="false" customHeight="false" outlineLevel="0" collapsed="false">
      <c r="A158" s="0" t="n">
        <v>61</v>
      </c>
      <c r="B158" s="0" t="s">
        <v>444</v>
      </c>
      <c r="C158" s="0" t="s">
        <v>10002</v>
      </c>
      <c r="E158" s="0" t="s">
        <v>79</v>
      </c>
      <c r="F158" s="0" t="s">
        <v>10003</v>
      </c>
    </row>
    <row r="159" customFormat="false" ht="15" hidden="false" customHeight="false" outlineLevel="0" collapsed="false">
      <c r="A159" s="0" t="n">
        <v>62</v>
      </c>
      <c r="B159" s="0" t="s">
        <v>451</v>
      </c>
      <c r="C159" s="0" t="s">
        <v>454</v>
      </c>
      <c r="E159" s="0" t="s">
        <v>79</v>
      </c>
      <c r="F159" s="0" t="s">
        <v>10004</v>
      </c>
    </row>
    <row r="160" customFormat="false" ht="15" hidden="false" customHeight="false" outlineLevel="0" collapsed="false">
      <c r="A160" s="0" t="n">
        <v>62</v>
      </c>
      <c r="B160" s="0" t="s">
        <v>451</v>
      </c>
      <c r="C160" s="0" t="s">
        <v>455</v>
      </c>
      <c r="E160" s="0" t="s">
        <v>79</v>
      </c>
      <c r="F160" s="0" t="s">
        <v>10005</v>
      </c>
    </row>
    <row r="161" customFormat="false" ht="15" hidden="false" customHeight="false" outlineLevel="0" collapsed="false">
      <c r="A161" s="0" t="n">
        <v>62</v>
      </c>
      <c r="B161" s="0" t="s">
        <v>451</v>
      </c>
      <c r="C161" s="0" t="s">
        <v>456</v>
      </c>
      <c r="E161" s="0" t="s">
        <v>79</v>
      </c>
      <c r="F161" s="0" t="s">
        <v>10006</v>
      </c>
    </row>
    <row r="162" customFormat="false" ht="15" hidden="false" customHeight="false" outlineLevel="0" collapsed="false">
      <c r="A162" s="0" t="n">
        <v>62</v>
      </c>
      <c r="B162" s="0" t="s">
        <v>451</v>
      </c>
      <c r="C162" s="0" t="s">
        <v>10007</v>
      </c>
      <c r="E162" s="0" t="s">
        <v>79</v>
      </c>
      <c r="F162" s="0" t="s">
        <v>10008</v>
      </c>
    </row>
    <row r="163" customFormat="false" ht="15" hidden="false" customHeight="false" outlineLevel="0" collapsed="false">
      <c r="A163" s="0" t="n">
        <v>62</v>
      </c>
      <c r="B163" s="0" t="s">
        <v>451</v>
      </c>
      <c r="C163" s="0" t="s">
        <v>10009</v>
      </c>
      <c r="E163" s="0" t="s">
        <v>79</v>
      </c>
      <c r="F163" s="0" t="s">
        <v>10010</v>
      </c>
    </row>
    <row r="164" customFormat="false" ht="15" hidden="false" customHeight="false" outlineLevel="0" collapsed="false">
      <c r="A164" s="0" t="n">
        <v>63</v>
      </c>
      <c r="B164" s="0" t="s">
        <v>461</v>
      </c>
      <c r="C164" s="0" t="s">
        <v>463</v>
      </c>
      <c r="E164" s="0" t="s">
        <v>79</v>
      </c>
      <c r="F164" s="0" t="s">
        <v>10011</v>
      </c>
    </row>
    <row r="165" customFormat="false" ht="15" hidden="false" customHeight="false" outlineLevel="0" collapsed="false">
      <c r="A165" s="0" t="n">
        <v>63</v>
      </c>
      <c r="B165" s="0" t="s">
        <v>461</v>
      </c>
      <c r="C165" s="0" t="s">
        <v>464</v>
      </c>
      <c r="E165" s="0" t="s">
        <v>79</v>
      </c>
      <c r="F165" s="0" t="s">
        <v>10012</v>
      </c>
    </row>
    <row r="166" customFormat="false" ht="15" hidden="false" customHeight="false" outlineLevel="0" collapsed="false">
      <c r="A166" s="0" t="n">
        <v>63</v>
      </c>
      <c r="B166" s="0" t="s">
        <v>461</v>
      </c>
      <c r="C166" s="0" t="s">
        <v>465</v>
      </c>
      <c r="E166" s="0" t="s">
        <v>79</v>
      </c>
      <c r="F166" s="0" t="s">
        <v>10013</v>
      </c>
    </row>
    <row r="167" customFormat="false" ht="15" hidden="false" customHeight="false" outlineLevel="0" collapsed="false">
      <c r="A167" s="0" t="n">
        <v>63</v>
      </c>
      <c r="B167" s="0" t="s">
        <v>461</v>
      </c>
      <c r="C167" s="0" t="s">
        <v>10014</v>
      </c>
      <c r="E167" s="0" t="s">
        <v>79</v>
      </c>
      <c r="F167" s="0" t="s">
        <v>10015</v>
      </c>
    </row>
    <row r="168" customFormat="false" ht="15" hidden="false" customHeight="false" outlineLevel="0" collapsed="false">
      <c r="A168" s="0" t="n">
        <v>63</v>
      </c>
      <c r="B168" s="0" t="s">
        <v>461</v>
      </c>
      <c r="C168" s="0" t="s">
        <v>10016</v>
      </c>
      <c r="E168" s="0" t="s">
        <v>79</v>
      </c>
      <c r="F168" s="0" t="s">
        <v>10017</v>
      </c>
    </row>
    <row r="169" customFormat="false" ht="15" hidden="false" customHeight="false" outlineLevel="0" collapsed="false">
      <c r="A169" s="0" t="n">
        <v>64</v>
      </c>
      <c r="B169" s="0" t="s">
        <v>466</v>
      </c>
      <c r="C169" s="0" t="s">
        <v>468</v>
      </c>
      <c r="E169" s="0" t="s">
        <v>79</v>
      </c>
      <c r="F169" s="0" t="s">
        <v>10018</v>
      </c>
    </row>
    <row r="170" customFormat="false" ht="15" hidden="false" customHeight="false" outlineLevel="0" collapsed="false">
      <c r="A170" s="0" t="n">
        <v>64</v>
      </c>
      <c r="B170" s="0" t="s">
        <v>466</v>
      </c>
      <c r="C170" s="0" t="s">
        <v>469</v>
      </c>
      <c r="E170" s="0" t="s">
        <v>79</v>
      </c>
      <c r="F170" s="0" t="s">
        <v>10019</v>
      </c>
    </row>
    <row r="171" customFormat="false" ht="15" hidden="false" customHeight="false" outlineLevel="0" collapsed="false">
      <c r="A171" s="0" t="n">
        <v>64</v>
      </c>
      <c r="B171" s="0" t="s">
        <v>466</v>
      </c>
      <c r="C171" s="0" t="s">
        <v>470</v>
      </c>
      <c r="E171" s="0" t="s">
        <v>79</v>
      </c>
      <c r="F171" s="0" t="s">
        <v>10020</v>
      </c>
    </row>
    <row r="172" customFormat="false" ht="15" hidden="false" customHeight="false" outlineLevel="0" collapsed="false">
      <c r="A172" s="0" t="n">
        <v>64</v>
      </c>
      <c r="B172" s="0" t="s">
        <v>466</v>
      </c>
      <c r="C172" s="0" t="s">
        <v>10021</v>
      </c>
      <c r="E172" s="0" t="s">
        <v>79</v>
      </c>
      <c r="F172" s="0" t="s">
        <v>10022</v>
      </c>
    </row>
    <row r="173" customFormat="false" ht="15" hidden="false" customHeight="false" outlineLevel="0" collapsed="false">
      <c r="A173" s="0" t="n">
        <v>64</v>
      </c>
      <c r="B173" s="0" t="s">
        <v>466</v>
      </c>
      <c r="C173" s="0" t="s">
        <v>10023</v>
      </c>
      <c r="E173" s="0" t="s">
        <v>79</v>
      </c>
      <c r="F173" s="0" t="s">
        <v>10024</v>
      </c>
    </row>
    <row r="174" customFormat="false" ht="15" hidden="false" customHeight="false" outlineLevel="0" collapsed="false">
      <c r="A174" s="0" t="n">
        <v>66</v>
      </c>
      <c r="B174" s="0" t="s">
        <v>475</v>
      </c>
      <c r="C174" s="0" t="s">
        <v>478</v>
      </c>
      <c r="E174" s="0" t="s">
        <v>79</v>
      </c>
      <c r="F174" s="0" t="s">
        <v>10025</v>
      </c>
    </row>
    <row r="175" customFormat="false" ht="15" hidden="false" customHeight="false" outlineLevel="0" collapsed="false">
      <c r="A175" s="0" t="n">
        <v>66</v>
      </c>
      <c r="B175" s="0" t="s">
        <v>475</v>
      </c>
      <c r="C175" s="0" t="s">
        <v>479</v>
      </c>
      <c r="E175" s="0" t="s">
        <v>79</v>
      </c>
      <c r="F175" s="0" t="s">
        <v>10026</v>
      </c>
    </row>
    <row r="176" customFormat="false" ht="15" hidden="false" customHeight="false" outlineLevel="0" collapsed="false">
      <c r="A176" s="0" t="n">
        <v>68</v>
      </c>
      <c r="B176" s="0" t="s">
        <v>487</v>
      </c>
      <c r="C176" s="0" t="s">
        <v>490</v>
      </c>
      <c r="E176" s="0" t="s">
        <v>79</v>
      </c>
      <c r="F176" s="0" t="s">
        <v>10027</v>
      </c>
    </row>
    <row r="177" customFormat="false" ht="15" hidden="false" customHeight="false" outlineLevel="0" collapsed="false">
      <c r="A177" s="0" t="n">
        <v>68</v>
      </c>
      <c r="B177" s="0" t="s">
        <v>487</v>
      </c>
      <c r="C177" s="0" t="s">
        <v>491</v>
      </c>
      <c r="E177" s="0" t="s">
        <v>79</v>
      </c>
      <c r="F177" s="0" t="s">
        <v>10028</v>
      </c>
    </row>
    <row r="178" customFormat="false" ht="15" hidden="false" customHeight="false" outlineLevel="0" collapsed="false">
      <c r="A178" s="0" t="n">
        <v>68</v>
      </c>
      <c r="B178" s="0" t="s">
        <v>487</v>
      </c>
      <c r="C178" s="0" t="s">
        <v>492</v>
      </c>
      <c r="E178" s="0" t="s">
        <v>79</v>
      </c>
      <c r="F178" s="0" t="s">
        <v>10029</v>
      </c>
    </row>
    <row r="179" customFormat="false" ht="15" hidden="false" customHeight="false" outlineLevel="0" collapsed="false">
      <c r="A179" s="0" t="n">
        <v>68</v>
      </c>
      <c r="B179" s="0" t="s">
        <v>487</v>
      </c>
      <c r="C179" s="0" t="s">
        <v>10030</v>
      </c>
      <c r="E179" s="0" t="s">
        <v>79</v>
      </c>
      <c r="F179" s="0" t="s">
        <v>10031</v>
      </c>
    </row>
    <row r="180" customFormat="false" ht="15" hidden="false" customHeight="false" outlineLevel="0" collapsed="false">
      <c r="A180" s="0" t="n">
        <v>68</v>
      </c>
      <c r="B180" s="0" t="s">
        <v>487</v>
      </c>
      <c r="C180" s="0" t="s">
        <v>10032</v>
      </c>
      <c r="E180" s="0" t="s">
        <v>79</v>
      </c>
      <c r="F180" s="0" t="s">
        <v>10033</v>
      </c>
    </row>
    <row r="181" customFormat="false" ht="15" hidden="false" customHeight="false" outlineLevel="0" collapsed="false">
      <c r="A181" s="0" t="n">
        <v>70</v>
      </c>
      <c r="B181" s="0" t="s">
        <v>498</v>
      </c>
      <c r="C181" s="0" t="s">
        <v>501</v>
      </c>
      <c r="E181" s="0" t="s">
        <v>79</v>
      </c>
      <c r="F181" s="0" t="s">
        <v>10034</v>
      </c>
    </row>
    <row r="182" customFormat="false" ht="15" hidden="false" customHeight="false" outlineLevel="0" collapsed="false">
      <c r="A182" s="0" t="n">
        <v>70</v>
      </c>
      <c r="B182" s="0" t="s">
        <v>498</v>
      </c>
      <c r="C182" s="0" t="s">
        <v>502</v>
      </c>
      <c r="E182" s="0" t="s">
        <v>79</v>
      </c>
      <c r="F182" s="0" t="s">
        <v>10035</v>
      </c>
    </row>
    <row r="183" customFormat="false" ht="15" hidden="false" customHeight="false" outlineLevel="0" collapsed="false">
      <c r="A183" s="0" t="n">
        <v>70</v>
      </c>
      <c r="B183" s="0" t="s">
        <v>498</v>
      </c>
      <c r="C183" s="0" t="s">
        <v>503</v>
      </c>
      <c r="E183" s="0" t="s">
        <v>79</v>
      </c>
      <c r="F183" s="0" t="s">
        <v>10036</v>
      </c>
    </row>
    <row r="184" customFormat="false" ht="15" hidden="false" customHeight="false" outlineLevel="0" collapsed="false">
      <c r="A184" s="0" t="n">
        <v>72</v>
      </c>
      <c r="B184" s="0" t="s">
        <v>508</v>
      </c>
      <c r="C184" s="0" t="s">
        <v>510</v>
      </c>
      <c r="E184" s="0" t="s">
        <v>79</v>
      </c>
      <c r="F184" s="0" t="s">
        <v>10037</v>
      </c>
    </row>
    <row r="185" customFormat="false" ht="15" hidden="false" customHeight="false" outlineLevel="0" collapsed="false">
      <c r="A185" s="0" t="n">
        <v>72</v>
      </c>
      <c r="B185" s="0" t="s">
        <v>508</v>
      </c>
      <c r="C185" s="0" t="s">
        <v>511</v>
      </c>
      <c r="E185" s="0" t="s">
        <v>79</v>
      </c>
      <c r="F185" s="0" t="s">
        <v>10038</v>
      </c>
    </row>
    <row r="186" customFormat="false" ht="15" hidden="false" customHeight="false" outlineLevel="0" collapsed="false">
      <c r="A186" s="0" t="n">
        <v>72</v>
      </c>
      <c r="B186" s="0" t="s">
        <v>508</v>
      </c>
      <c r="C186" s="0" t="s">
        <v>512</v>
      </c>
      <c r="E186" s="0" t="s">
        <v>79</v>
      </c>
      <c r="F186" s="0" t="s">
        <v>10039</v>
      </c>
    </row>
    <row r="187" customFormat="false" ht="15" hidden="false" customHeight="false" outlineLevel="0" collapsed="false">
      <c r="A187" s="0" t="n">
        <v>72</v>
      </c>
      <c r="B187" s="0" t="s">
        <v>508</v>
      </c>
      <c r="C187" s="0" t="s">
        <v>10040</v>
      </c>
      <c r="E187" s="0" t="s">
        <v>79</v>
      </c>
      <c r="F187" s="0" t="s">
        <v>10041</v>
      </c>
    </row>
    <row r="188" customFormat="false" ht="15" hidden="false" customHeight="false" outlineLevel="0" collapsed="false">
      <c r="A188" s="0" t="n">
        <v>74</v>
      </c>
      <c r="B188" s="0" t="s">
        <v>519</v>
      </c>
      <c r="C188" s="0" t="s">
        <v>522</v>
      </c>
      <c r="E188" s="0" t="s">
        <v>79</v>
      </c>
      <c r="F188" s="0" t="s">
        <v>10042</v>
      </c>
    </row>
    <row r="189" customFormat="false" ht="15" hidden="false" customHeight="false" outlineLevel="0" collapsed="false">
      <c r="A189" s="0" t="n">
        <v>74</v>
      </c>
      <c r="B189" s="0" t="s">
        <v>519</v>
      </c>
      <c r="C189" s="0" t="s">
        <v>523</v>
      </c>
      <c r="E189" s="0" t="s">
        <v>79</v>
      </c>
      <c r="F189" s="0" t="s">
        <v>10043</v>
      </c>
    </row>
    <row r="190" customFormat="false" ht="15" hidden="false" customHeight="false" outlineLevel="0" collapsed="false">
      <c r="A190" s="0" t="n">
        <v>75</v>
      </c>
      <c r="B190" s="0" t="s">
        <v>528</v>
      </c>
      <c r="C190" s="0" t="s">
        <v>531</v>
      </c>
      <c r="E190" s="0" t="s">
        <v>79</v>
      </c>
      <c r="F190" s="0" t="s">
        <v>10044</v>
      </c>
    </row>
    <row r="191" customFormat="false" ht="15" hidden="false" customHeight="false" outlineLevel="0" collapsed="false">
      <c r="A191" s="0" t="n">
        <v>75</v>
      </c>
      <c r="B191" s="0" t="s">
        <v>528</v>
      </c>
      <c r="C191" s="0" t="s">
        <v>532</v>
      </c>
      <c r="E191" s="0" t="s">
        <v>79</v>
      </c>
      <c r="F191" s="0" t="s">
        <v>10045</v>
      </c>
    </row>
    <row r="192" customFormat="false" ht="15" hidden="false" customHeight="false" outlineLevel="0" collapsed="false">
      <c r="A192" s="0" t="n">
        <v>75</v>
      </c>
      <c r="B192" s="0" t="s">
        <v>528</v>
      </c>
      <c r="C192" s="0" t="s">
        <v>533</v>
      </c>
      <c r="E192" s="0" t="s">
        <v>79</v>
      </c>
      <c r="F192" s="0" t="s">
        <v>10046</v>
      </c>
    </row>
    <row r="193" customFormat="false" ht="15" hidden="false" customHeight="false" outlineLevel="0" collapsed="false">
      <c r="A193" s="0" t="n">
        <v>76</v>
      </c>
      <c r="B193" s="0" t="s">
        <v>536</v>
      </c>
      <c r="C193" s="0" t="s">
        <v>539</v>
      </c>
      <c r="E193" s="0" t="s">
        <v>79</v>
      </c>
      <c r="F193" s="0" t="s">
        <v>10047</v>
      </c>
    </row>
    <row r="194" customFormat="false" ht="15" hidden="false" customHeight="false" outlineLevel="0" collapsed="false">
      <c r="A194" s="0" t="n">
        <v>76</v>
      </c>
      <c r="B194" s="0" t="s">
        <v>536</v>
      </c>
      <c r="C194" s="0" t="s">
        <v>540</v>
      </c>
      <c r="E194" s="0" t="s">
        <v>79</v>
      </c>
      <c r="F194" s="0" t="s">
        <v>10048</v>
      </c>
    </row>
    <row r="195" customFormat="false" ht="15" hidden="false" customHeight="false" outlineLevel="0" collapsed="false">
      <c r="A195" s="0" t="n">
        <v>76</v>
      </c>
      <c r="B195" s="0" t="s">
        <v>536</v>
      </c>
      <c r="C195" s="0" t="s">
        <v>541</v>
      </c>
      <c r="E195" s="0" t="s">
        <v>79</v>
      </c>
      <c r="F195" s="0" t="s">
        <v>10049</v>
      </c>
    </row>
    <row r="196" customFormat="false" ht="15" hidden="false" customHeight="false" outlineLevel="0" collapsed="false">
      <c r="A196" s="0" t="n">
        <v>76</v>
      </c>
      <c r="B196" s="0" t="s">
        <v>536</v>
      </c>
      <c r="C196" s="0" t="s">
        <v>10050</v>
      </c>
      <c r="E196" s="0" t="s">
        <v>79</v>
      </c>
      <c r="F196" s="0" t="s">
        <v>10051</v>
      </c>
    </row>
    <row r="197" customFormat="false" ht="15" hidden="false" customHeight="false" outlineLevel="0" collapsed="false">
      <c r="A197" s="0" t="n">
        <v>76</v>
      </c>
      <c r="B197" s="0" t="s">
        <v>536</v>
      </c>
      <c r="C197" s="0" t="s">
        <v>10052</v>
      </c>
      <c r="E197" s="0" t="s">
        <v>79</v>
      </c>
      <c r="F197" s="0" t="s">
        <v>10053</v>
      </c>
    </row>
    <row r="198" customFormat="false" ht="15" hidden="false" customHeight="false" outlineLevel="0" collapsed="false">
      <c r="A198" s="0" t="n">
        <v>77</v>
      </c>
      <c r="B198" s="0" t="s">
        <v>546</v>
      </c>
      <c r="C198" s="0" t="s">
        <v>548</v>
      </c>
      <c r="E198" s="0" t="s">
        <v>79</v>
      </c>
      <c r="F198" s="0" t="s">
        <v>10054</v>
      </c>
    </row>
    <row r="199" customFormat="false" ht="15" hidden="false" customHeight="false" outlineLevel="0" collapsed="false">
      <c r="A199" s="0" t="n">
        <v>77</v>
      </c>
      <c r="B199" s="0" t="s">
        <v>546</v>
      </c>
      <c r="C199" s="0" t="s">
        <v>549</v>
      </c>
      <c r="E199" s="0" t="s">
        <v>79</v>
      </c>
      <c r="F199" s="0" t="s">
        <v>10055</v>
      </c>
    </row>
    <row r="200" customFormat="false" ht="15" hidden="false" customHeight="false" outlineLevel="0" collapsed="false">
      <c r="A200" s="0" t="n">
        <v>77</v>
      </c>
      <c r="B200" s="0" t="s">
        <v>546</v>
      </c>
      <c r="C200" s="0" t="s">
        <v>550</v>
      </c>
      <c r="E200" s="0" t="s">
        <v>79</v>
      </c>
      <c r="F200" s="0" t="s">
        <v>10056</v>
      </c>
    </row>
    <row r="201" customFormat="false" ht="15" hidden="false" customHeight="false" outlineLevel="0" collapsed="false">
      <c r="A201" s="0" t="n">
        <v>77</v>
      </c>
      <c r="B201" s="0" t="s">
        <v>546</v>
      </c>
      <c r="C201" s="0" t="s">
        <v>10057</v>
      </c>
      <c r="E201" s="0" t="s">
        <v>79</v>
      </c>
      <c r="F201" s="0" t="s">
        <v>10058</v>
      </c>
    </row>
    <row r="202" customFormat="false" ht="15" hidden="false" customHeight="false" outlineLevel="0" collapsed="false">
      <c r="A202" s="0" t="n">
        <v>78</v>
      </c>
      <c r="B202" s="0" t="s">
        <v>551</v>
      </c>
      <c r="C202" s="0" t="s">
        <v>554</v>
      </c>
      <c r="E202" s="0" t="s">
        <v>79</v>
      </c>
      <c r="F202" s="0" t="s">
        <v>10059</v>
      </c>
    </row>
    <row r="203" customFormat="false" ht="15" hidden="false" customHeight="false" outlineLevel="0" collapsed="false">
      <c r="A203" s="0" t="n">
        <v>78</v>
      </c>
      <c r="B203" s="0" t="s">
        <v>551</v>
      </c>
      <c r="C203" s="0" t="s">
        <v>555</v>
      </c>
      <c r="E203" s="0" t="s">
        <v>79</v>
      </c>
      <c r="F203" s="0" t="s">
        <v>10060</v>
      </c>
    </row>
    <row r="204" customFormat="false" ht="15" hidden="false" customHeight="false" outlineLevel="0" collapsed="false">
      <c r="A204" s="0" t="n">
        <v>78</v>
      </c>
      <c r="B204" s="0" t="s">
        <v>551</v>
      </c>
      <c r="C204" s="0" t="s">
        <v>556</v>
      </c>
      <c r="E204" s="0" t="s">
        <v>79</v>
      </c>
      <c r="F204" s="0" t="s">
        <v>10061</v>
      </c>
    </row>
    <row r="205" customFormat="false" ht="15" hidden="false" customHeight="false" outlineLevel="0" collapsed="false">
      <c r="A205" s="0" t="n">
        <v>78</v>
      </c>
      <c r="B205" s="0" t="s">
        <v>551</v>
      </c>
      <c r="C205" s="0" t="s">
        <v>10062</v>
      </c>
      <c r="E205" s="0" t="s">
        <v>79</v>
      </c>
      <c r="F205" s="0" t="s">
        <v>10063</v>
      </c>
    </row>
    <row r="206" customFormat="false" ht="15" hidden="false" customHeight="false" outlineLevel="0" collapsed="false">
      <c r="A206" s="0" t="n">
        <v>78</v>
      </c>
      <c r="B206" s="0" t="s">
        <v>551</v>
      </c>
      <c r="C206" s="0" t="s">
        <v>10064</v>
      </c>
      <c r="E206" s="0" t="s">
        <v>79</v>
      </c>
      <c r="F206" s="0" t="s">
        <v>10065</v>
      </c>
    </row>
    <row r="207" customFormat="false" ht="15" hidden="false" customHeight="false" outlineLevel="0" collapsed="false">
      <c r="A207" s="0" t="n">
        <v>81</v>
      </c>
      <c r="B207" s="0" t="s">
        <v>570</v>
      </c>
      <c r="C207" s="0" t="s">
        <v>573</v>
      </c>
      <c r="E207" s="0" t="s">
        <v>79</v>
      </c>
      <c r="F207" s="0" t="s">
        <v>10066</v>
      </c>
    </row>
    <row r="208" customFormat="false" ht="15" hidden="false" customHeight="false" outlineLevel="0" collapsed="false">
      <c r="A208" s="0" t="n">
        <v>81</v>
      </c>
      <c r="B208" s="0" t="s">
        <v>570</v>
      </c>
      <c r="C208" s="0" t="s">
        <v>574</v>
      </c>
      <c r="E208" s="0" t="s">
        <v>79</v>
      </c>
      <c r="F208" s="0" t="s">
        <v>10067</v>
      </c>
    </row>
    <row r="209" customFormat="false" ht="15" hidden="false" customHeight="false" outlineLevel="0" collapsed="false">
      <c r="A209" s="0" t="n">
        <v>81</v>
      </c>
      <c r="B209" s="0" t="s">
        <v>570</v>
      </c>
      <c r="C209" s="0" t="s">
        <v>575</v>
      </c>
      <c r="E209" s="0" t="s">
        <v>79</v>
      </c>
      <c r="F209" s="0" t="s">
        <v>10068</v>
      </c>
    </row>
    <row r="210" customFormat="false" ht="15" hidden="false" customHeight="false" outlineLevel="0" collapsed="false">
      <c r="A210" s="0" t="n">
        <v>81</v>
      </c>
      <c r="B210" s="0" t="s">
        <v>570</v>
      </c>
      <c r="C210" s="0" t="s">
        <v>10069</v>
      </c>
      <c r="E210" s="0" t="s">
        <v>79</v>
      </c>
      <c r="F210" s="0" t="s">
        <v>10070</v>
      </c>
    </row>
    <row r="211" customFormat="false" ht="15" hidden="false" customHeight="false" outlineLevel="0" collapsed="false">
      <c r="A211" s="0" t="n">
        <v>81</v>
      </c>
      <c r="B211" s="0" t="s">
        <v>570</v>
      </c>
      <c r="C211" s="0" t="s">
        <v>6691</v>
      </c>
      <c r="E211" s="0" t="s">
        <v>79</v>
      </c>
      <c r="F211" s="0" t="s">
        <v>10071</v>
      </c>
    </row>
    <row r="212" customFormat="false" ht="15" hidden="false" customHeight="false" outlineLevel="0" collapsed="false">
      <c r="A212" s="0" t="n">
        <v>83</v>
      </c>
      <c r="B212" s="0" t="s">
        <v>586</v>
      </c>
      <c r="C212" s="0" t="s">
        <v>588</v>
      </c>
      <c r="E212" s="0" t="s">
        <v>79</v>
      </c>
      <c r="F212" s="0" t="s">
        <v>10072</v>
      </c>
    </row>
    <row r="213" customFormat="false" ht="15" hidden="false" customHeight="false" outlineLevel="0" collapsed="false">
      <c r="A213" s="0" t="n">
        <v>83</v>
      </c>
      <c r="B213" s="0" t="s">
        <v>586</v>
      </c>
      <c r="C213" s="0" t="s">
        <v>589</v>
      </c>
      <c r="E213" s="0" t="s">
        <v>79</v>
      </c>
      <c r="F213" s="0" t="s">
        <v>10073</v>
      </c>
    </row>
    <row r="214" customFormat="false" ht="15" hidden="false" customHeight="false" outlineLevel="0" collapsed="false">
      <c r="A214" s="0" t="n">
        <v>83</v>
      </c>
      <c r="B214" s="0" t="s">
        <v>586</v>
      </c>
      <c r="C214" s="0" t="s">
        <v>590</v>
      </c>
      <c r="E214" s="0" t="s">
        <v>79</v>
      </c>
      <c r="F214" s="0" t="s">
        <v>10074</v>
      </c>
    </row>
    <row r="215" customFormat="false" ht="15" hidden="false" customHeight="false" outlineLevel="0" collapsed="false">
      <c r="A215" s="0" t="n">
        <v>83</v>
      </c>
      <c r="B215" s="0" t="s">
        <v>586</v>
      </c>
      <c r="C215" s="0" t="s">
        <v>10075</v>
      </c>
      <c r="E215" s="0" t="s">
        <v>79</v>
      </c>
      <c r="F215" s="0" t="s">
        <v>10076</v>
      </c>
    </row>
    <row r="216" customFormat="false" ht="15" hidden="false" customHeight="false" outlineLevel="0" collapsed="false">
      <c r="A216" s="0" t="n">
        <v>83</v>
      </c>
      <c r="B216" s="0" t="s">
        <v>586</v>
      </c>
      <c r="C216" s="0" t="s">
        <v>10077</v>
      </c>
      <c r="E216" s="0" t="s">
        <v>79</v>
      </c>
      <c r="F216" s="0" t="s">
        <v>10078</v>
      </c>
    </row>
    <row r="217" customFormat="false" ht="15" hidden="false" customHeight="false" outlineLevel="0" collapsed="false">
      <c r="A217" s="0" t="n">
        <v>84</v>
      </c>
      <c r="B217" s="0" t="s">
        <v>591</v>
      </c>
      <c r="C217" s="0" t="s">
        <v>594</v>
      </c>
      <c r="E217" s="0" t="s">
        <v>79</v>
      </c>
      <c r="F217" s="0" t="s">
        <v>10079</v>
      </c>
    </row>
    <row r="218" customFormat="false" ht="15" hidden="false" customHeight="false" outlineLevel="0" collapsed="false">
      <c r="A218" s="0" t="n">
        <v>84</v>
      </c>
      <c r="B218" s="0" t="s">
        <v>591</v>
      </c>
      <c r="C218" s="0" t="s">
        <v>595</v>
      </c>
      <c r="E218" s="0" t="s">
        <v>79</v>
      </c>
      <c r="F218" s="0" t="s">
        <v>10080</v>
      </c>
    </row>
    <row r="219" customFormat="false" ht="15" hidden="false" customHeight="false" outlineLevel="0" collapsed="false">
      <c r="A219" s="0" t="n">
        <v>84</v>
      </c>
      <c r="B219" s="0" t="s">
        <v>591</v>
      </c>
      <c r="C219" s="0" t="s">
        <v>596</v>
      </c>
      <c r="E219" s="0" t="s">
        <v>79</v>
      </c>
      <c r="F219" s="0" t="s">
        <v>10081</v>
      </c>
    </row>
    <row r="220" customFormat="false" ht="15" hidden="false" customHeight="false" outlineLevel="0" collapsed="false">
      <c r="A220" s="0" t="n">
        <v>84</v>
      </c>
      <c r="B220" s="0" t="s">
        <v>591</v>
      </c>
      <c r="C220" s="0" t="s">
        <v>10082</v>
      </c>
      <c r="E220" s="0" t="s">
        <v>79</v>
      </c>
      <c r="F220" s="0" t="s">
        <v>10083</v>
      </c>
    </row>
    <row r="221" customFormat="false" ht="15" hidden="false" customHeight="false" outlineLevel="0" collapsed="false">
      <c r="A221" s="0" t="n">
        <v>84</v>
      </c>
      <c r="B221" s="0" t="s">
        <v>591</v>
      </c>
      <c r="C221" s="0" t="s">
        <v>10084</v>
      </c>
      <c r="E221" s="0" t="s">
        <v>79</v>
      </c>
      <c r="F221" s="0" t="s">
        <v>10085</v>
      </c>
    </row>
    <row r="222" customFormat="false" ht="15" hidden="false" customHeight="false" outlineLevel="0" collapsed="false">
      <c r="A222" s="0" t="n">
        <v>85</v>
      </c>
      <c r="B222" s="0" t="s">
        <v>597</v>
      </c>
      <c r="C222" s="0" t="s">
        <v>601</v>
      </c>
      <c r="E222" s="0" t="s">
        <v>59</v>
      </c>
      <c r="F222" s="0" t="s">
        <v>10086</v>
      </c>
    </row>
    <row r="223" customFormat="false" ht="15" hidden="false" customHeight="false" outlineLevel="0" collapsed="false">
      <c r="A223" s="0" t="n">
        <v>85</v>
      </c>
      <c r="B223" s="0" t="s">
        <v>597</v>
      </c>
      <c r="C223" s="0" t="s">
        <v>602</v>
      </c>
      <c r="E223" s="0" t="s">
        <v>59</v>
      </c>
      <c r="F223" s="0" t="s">
        <v>10087</v>
      </c>
    </row>
    <row r="224" customFormat="false" ht="15" hidden="false" customHeight="false" outlineLevel="0" collapsed="false">
      <c r="A224" s="0" t="n">
        <v>85</v>
      </c>
      <c r="B224" s="0" t="s">
        <v>597</v>
      </c>
      <c r="C224" s="0" t="s">
        <v>603</v>
      </c>
      <c r="E224" s="0" t="s">
        <v>59</v>
      </c>
      <c r="F224" s="0" t="s">
        <v>10088</v>
      </c>
    </row>
    <row r="225" customFormat="false" ht="15" hidden="false" customHeight="false" outlineLevel="0" collapsed="false">
      <c r="A225" s="0" t="n">
        <v>85</v>
      </c>
      <c r="B225" s="0" t="s">
        <v>597</v>
      </c>
      <c r="C225" s="0" t="s">
        <v>10089</v>
      </c>
      <c r="E225" s="0" t="s">
        <v>59</v>
      </c>
      <c r="F225" s="0" t="s">
        <v>10090</v>
      </c>
    </row>
    <row r="226" customFormat="false" ht="15" hidden="false" customHeight="false" outlineLevel="0" collapsed="false">
      <c r="A226" s="0" t="n">
        <v>85</v>
      </c>
      <c r="B226" s="0" t="s">
        <v>597</v>
      </c>
      <c r="C226" s="0" t="s">
        <v>10091</v>
      </c>
      <c r="E226" s="0" t="s">
        <v>59</v>
      </c>
      <c r="F226" s="0" t="s">
        <v>10092</v>
      </c>
    </row>
    <row r="227" customFormat="false" ht="15" hidden="false" customHeight="false" outlineLevel="0" collapsed="false">
      <c r="A227" s="0" t="n">
        <v>86</v>
      </c>
      <c r="B227" s="0" t="s">
        <v>604</v>
      </c>
      <c r="C227" s="0" t="s">
        <v>607</v>
      </c>
      <c r="E227" s="0" t="s">
        <v>79</v>
      </c>
      <c r="F227" s="0" t="s">
        <v>10093</v>
      </c>
    </row>
    <row r="228" customFormat="false" ht="15" hidden="false" customHeight="false" outlineLevel="0" collapsed="false">
      <c r="A228" s="0" t="n">
        <v>86</v>
      </c>
      <c r="B228" s="0" t="s">
        <v>604</v>
      </c>
      <c r="C228" s="0" t="s">
        <v>608</v>
      </c>
      <c r="E228" s="0" t="s">
        <v>79</v>
      </c>
      <c r="F228" s="0" t="s">
        <v>10094</v>
      </c>
    </row>
    <row r="229" customFormat="false" ht="15" hidden="false" customHeight="false" outlineLevel="0" collapsed="false">
      <c r="A229" s="0" t="n">
        <v>86</v>
      </c>
      <c r="B229" s="0" t="s">
        <v>604</v>
      </c>
      <c r="C229" s="0" t="s">
        <v>609</v>
      </c>
      <c r="E229" s="0" t="s">
        <v>79</v>
      </c>
      <c r="F229" s="0" t="s">
        <v>10095</v>
      </c>
    </row>
    <row r="230" customFormat="false" ht="15" hidden="false" customHeight="false" outlineLevel="0" collapsed="false">
      <c r="A230" s="0" t="n">
        <v>86</v>
      </c>
      <c r="B230" s="0" t="s">
        <v>604</v>
      </c>
      <c r="C230" s="0" t="s">
        <v>10096</v>
      </c>
      <c r="E230" s="0" t="s">
        <v>79</v>
      </c>
      <c r="F230" s="0" t="s">
        <v>10097</v>
      </c>
    </row>
    <row r="231" customFormat="false" ht="15" hidden="false" customHeight="false" outlineLevel="0" collapsed="false">
      <c r="A231" s="0" t="n">
        <v>86</v>
      </c>
      <c r="B231" s="0" t="s">
        <v>604</v>
      </c>
      <c r="C231" s="0" t="s">
        <v>10098</v>
      </c>
      <c r="E231" s="0" t="s">
        <v>79</v>
      </c>
      <c r="F231" s="0" t="s">
        <v>10099</v>
      </c>
    </row>
    <row r="232" customFormat="false" ht="15" hidden="false" customHeight="false" outlineLevel="0" collapsed="false">
      <c r="A232" s="0" t="n">
        <v>87</v>
      </c>
      <c r="B232" s="0" t="s">
        <v>614</v>
      </c>
      <c r="C232" s="0" t="s">
        <v>617</v>
      </c>
      <c r="E232" s="0" t="s">
        <v>79</v>
      </c>
      <c r="F232" s="0" t="s">
        <v>10100</v>
      </c>
    </row>
    <row r="233" customFormat="false" ht="15" hidden="false" customHeight="false" outlineLevel="0" collapsed="false">
      <c r="A233" s="0" t="n">
        <v>87</v>
      </c>
      <c r="B233" s="0" t="s">
        <v>614</v>
      </c>
      <c r="C233" s="0" t="s">
        <v>618</v>
      </c>
      <c r="E233" s="0" t="s">
        <v>79</v>
      </c>
      <c r="F233" s="0" t="s">
        <v>10101</v>
      </c>
    </row>
    <row r="234" customFormat="false" ht="15" hidden="false" customHeight="false" outlineLevel="0" collapsed="false">
      <c r="A234" s="0" t="n">
        <v>87</v>
      </c>
      <c r="B234" s="0" t="s">
        <v>614</v>
      </c>
      <c r="C234" s="0" t="s">
        <v>619</v>
      </c>
      <c r="E234" s="0" t="s">
        <v>79</v>
      </c>
      <c r="F234" s="0" t="s">
        <v>10102</v>
      </c>
    </row>
    <row r="235" customFormat="false" ht="15" hidden="false" customHeight="false" outlineLevel="0" collapsed="false">
      <c r="A235" s="0" t="n">
        <v>87</v>
      </c>
      <c r="B235" s="0" t="s">
        <v>614</v>
      </c>
      <c r="C235" s="0" t="s">
        <v>10103</v>
      </c>
      <c r="E235" s="0" t="s">
        <v>79</v>
      </c>
      <c r="F235" s="0" t="s">
        <v>10104</v>
      </c>
    </row>
    <row r="236" customFormat="false" ht="15" hidden="false" customHeight="false" outlineLevel="0" collapsed="false">
      <c r="A236" s="0" t="n">
        <v>90</v>
      </c>
      <c r="B236" s="0" t="s">
        <v>630</v>
      </c>
      <c r="C236" s="0" t="s">
        <v>632</v>
      </c>
      <c r="E236" s="0" t="s">
        <v>79</v>
      </c>
      <c r="F236" s="0" t="s">
        <v>10105</v>
      </c>
    </row>
    <row r="237" customFormat="false" ht="15" hidden="false" customHeight="false" outlineLevel="0" collapsed="false">
      <c r="A237" s="0" t="n">
        <v>90</v>
      </c>
      <c r="B237" s="0" t="s">
        <v>630</v>
      </c>
      <c r="C237" s="0" t="s">
        <v>633</v>
      </c>
      <c r="E237" s="0" t="s">
        <v>79</v>
      </c>
      <c r="F237" s="0" t="s">
        <v>10106</v>
      </c>
    </row>
    <row r="238" customFormat="false" ht="15" hidden="false" customHeight="false" outlineLevel="0" collapsed="false">
      <c r="A238" s="0" t="n">
        <v>90</v>
      </c>
      <c r="B238" s="0" t="s">
        <v>630</v>
      </c>
      <c r="C238" s="0" t="s">
        <v>634</v>
      </c>
      <c r="E238" s="0" t="s">
        <v>79</v>
      </c>
      <c r="F238" s="0" t="s">
        <v>10107</v>
      </c>
    </row>
    <row r="239" customFormat="false" ht="15" hidden="false" customHeight="false" outlineLevel="0" collapsed="false">
      <c r="A239" s="0" t="n">
        <v>90</v>
      </c>
      <c r="B239" s="0" t="s">
        <v>630</v>
      </c>
      <c r="C239" s="0" t="s">
        <v>10108</v>
      </c>
      <c r="E239" s="0" t="s">
        <v>79</v>
      </c>
      <c r="F239" s="0" t="s">
        <v>10109</v>
      </c>
    </row>
    <row r="240" customFormat="false" ht="15" hidden="false" customHeight="false" outlineLevel="0" collapsed="false">
      <c r="A240" s="0" t="n">
        <v>90</v>
      </c>
      <c r="B240" s="0" t="s">
        <v>630</v>
      </c>
      <c r="C240" s="0" t="s">
        <v>10110</v>
      </c>
      <c r="E240" s="0" t="s">
        <v>79</v>
      </c>
      <c r="F240" s="0" t="s">
        <v>10111</v>
      </c>
    </row>
    <row r="241" customFormat="false" ht="15" hidden="false" customHeight="false" outlineLevel="0" collapsed="false">
      <c r="A241" s="0" t="n">
        <v>91</v>
      </c>
      <c r="B241" s="0" t="s">
        <v>635</v>
      </c>
      <c r="C241" s="0" t="s">
        <v>637</v>
      </c>
      <c r="E241" s="0" t="s">
        <v>79</v>
      </c>
      <c r="F241" s="0" t="s">
        <v>10112</v>
      </c>
    </row>
    <row r="242" customFormat="false" ht="15" hidden="false" customHeight="false" outlineLevel="0" collapsed="false">
      <c r="A242" s="0" t="n">
        <v>91</v>
      </c>
      <c r="B242" s="0" t="s">
        <v>635</v>
      </c>
      <c r="C242" s="0" t="s">
        <v>638</v>
      </c>
      <c r="E242" s="0" t="s">
        <v>79</v>
      </c>
      <c r="F242" s="0" t="s">
        <v>10113</v>
      </c>
    </row>
    <row r="243" customFormat="false" ht="15" hidden="false" customHeight="false" outlineLevel="0" collapsed="false">
      <c r="A243" s="0" t="n">
        <v>91</v>
      </c>
      <c r="B243" s="0" t="s">
        <v>635</v>
      </c>
      <c r="C243" s="0" t="s">
        <v>639</v>
      </c>
      <c r="E243" s="0" t="s">
        <v>79</v>
      </c>
      <c r="F243" s="0" t="s">
        <v>10114</v>
      </c>
    </row>
    <row r="244" customFormat="false" ht="15" hidden="false" customHeight="false" outlineLevel="0" collapsed="false">
      <c r="A244" s="0" t="n">
        <v>91</v>
      </c>
      <c r="B244" s="0" t="s">
        <v>635</v>
      </c>
      <c r="C244" s="0" t="s">
        <v>10115</v>
      </c>
      <c r="E244" s="0" t="s">
        <v>79</v>
      </c>
      <c r="F244" s="0" t="s">
        <v>10116</v>
      </c>
    </row>
    <row r="245" customFormat="false" ht="15" hidden="false" customHeight="false" outlineLevel="0" collapsed="false">
      <c r="A245" s="0" t="n">
        <v>91</v>
      </c>
      <c r="B245" s="0" t="s">
        <v>635</v>
      </c>
      <c r="C245" s="0" t="s">
        <v>10117</v>
      </c>
      <c r="E245" s="0" t="s">
        <v>79</v>
      </c>
      <c r="F245" s="0" t="s">
        <v>10118</v>
      </c>
    </row>
    <row r="246" customFormat="false" ht="15" hidden="false" customHeight="false" outlineLevel="0" collapsed="false">
      <c r="A246" s="0" t="n">
        <v>92</v>
      </c>
      <c r="B246" s="0" t="s">
        <v>640</v>
      </c>
      <c r="C246" s="0" t="s">
        <v>642</v>
      </c>
      <c r="E246" s="0" t="s">
        <v>79</v>
      </c>
      <c r="F246" s="0" t="s">
        <v>10119</v>
      </c>
    </row>
    <row r="247" customFormat="false" ht="15" hidden="false" customHeight="false" outlineLevel="0" collapsed="false">
      <c r="A247" s="0" t="n">
        <v>92</v>
      </c>
      <c r="B247" s="0" t="s">
        <v>640</v>
      </c>
      <c r="C247" s="0" t="s">
        <v>643</v>
      </c>
      <c r="E247" s="0" t="s">
        <v>79</v>
      </c>
      <c r="F247" s="0" t="s">
        <v>10120</v>
      </c>
    </row>
    <row r="248" customFormat="false" ht="15" hidden="false" customHeight="false" outlineLevel="0" collapsed="false">
      <c r="A248" s="0" t="n">
        <v>92</v>
      </c>
      <c r="B248" s="0" t="s">
        <v>640</v>
      </c>
      <c r="C248" s="0" t="s">
        <v>644</v>
      </c>
      <c r="E248" s="0" t="s">
        <v>79</v>
      </c>
      <c r="F248" s="0" t="s">
        <v>10121</v>
      </c>
    </row>
    <row r="249" customFormat="false" ht="15" hidden="false" customHeight="false" outlineLevel="0" collapsed="false">
      <c r="A249" s="0" t="n">
        <v>92</v>
      </c>
      <c r="B249" s="0" t="s">
        <v>640</v>
      </c>
      <c r="C249" s="0" t="s">
        <v>10122</v>
      </c>
      <c r="E249" s="0" t="s">
        <v>79</v>
      </c>
      <c r="F249" s="0" t="s">
        <v>10123</v>
      </c>
    </row>
    <row r="250" customFormat="false" ht="15" hidden="false" customHeight="false" outlineLevel="0" collapsed="false">
      <c r="A250" s="0" t="n">
        <v>92</v>
      </c>
      <c r="B250" s="0" t="s">
        <v>640</v>
      </c>
      <c r="C250" s="0" t="s">
        <v>10124</v>
      </c>
      <c r="E250" s="0" t="s">
        <v>79</v>
      </c>
      <c r="F250" s="0" t="s">
        <v>10125</v>
      </c>
    </row>
    <row r="251" customFormat="false" ht="15" hidden="false" customHeight="false" outlineLevel="0" collapsed="false">
      <c r="A251" s="0" t="n">
        <v>93</v>
      </c>
      <c r="B251" s="0" t="s">
        <v>645</v>
      </c>
      <c r="C251" s="0" t="s">
        <v>648</v>
      </c>
      <c r="E251" s="0" t="s">
        <v>79</v>
      </c>
      <c r="F251" s="0" t="s">
        <v>10126</v>
      </c>
    </row>
    <row r="252" customFormat="false" ht="15" hidden="false" customHeight="false" outlineLevel="0" collapsed="false">
      <c r="A252" s="0" t="n">
        <v>93</v>
      </c>
      <c r="B252" s="0" t="s">
        <v>645</v>
      </c>
      <c r="C252" s="0" t="s">
        <v>649</v>
      </c>
      <c r="E252" s="0" t="s">
        <v>79</v>
      </c>
      <c r="F252" s="0" t="s">
        <v>10127</v>
      </c>
    </row>
    <row r="253" customFormat="false" ht="15" hidden="false" customHeight="false" outlineLevel="0" collapsed="false">
      <c r="A253" s="0" t="n">
        <v>93</v>
      </c>
      <c r="B253" s="0" t="s">
        <v>645</v>
      </c>
      <c r="C253" s="0" t="s">
        <v>650</v>
      </c>
      <c r="E253" s="0" t="s">
        <v>79</v>
      </c>
      <c r="F253" s="0" t="s">
        <v>10128</v>
      </c>
    </row>
    <row r="254" customFormat="false" ht="15" hidden="false" customHeight="false" outlineLevel="0" collapsed="false">
      <c r="A254" s="0" t="n">
        <v>93</v>
      </c>
      <c r="B254" s="0" t="s">
        <v>645</v>
      </c>
      <c r="C254" s="0" t="s">
        <v>10129</v>
      </c>
      <c r="E254" s="0" t="s">
        <v>79</v>
      </c>
      <c r="F254" s="0" t="s">
        <v>10130</v>
      </c>
    </row>
    <row r="255" customFormat="false" ht="15" hidden="false" customHeight="false" outlineLevel="0" collapsed="false">
      <c r="A255" s="0" t="n">
        <v>93</v>
      </c>
      <c r="B255" s="0" t="s">
        <v>645</v>
      </c>
      <c r="C255" s="0" t="s">
        <v>10131</v>
      </c>
      <c r="E255" s="0" t="s">
        <v>79</v>
      </c>
      <c r="F255" s="0" t="s">
        <v>10132</v>
      </c>
    </row>
    <row r="256" customFormat="false" ht="15" hidden="false" customHeight="false" outlineLevel="0" collapsed="false">
      <c r="A256" s="0" t="n">
        <v>94</v>
      </c>
      <c r="B256" s="0" t="s">
        <v>654</v>
      </c>
      <c r="C256" s="0" t="s">
        <v>657</v>
      </c>
      <c r="E256" s="0" t="s">
        <v>79</v>
      </c>
      <c r="F256" s="0" t="s">
        <v>10133</v>
      </c>
    </row>
    <row r="257" customFormat="false" ht="15" hidden="false" customHeight="false" outlineLevel="0" collapsed="false">
      <c r="A257" s="0" t="n">
        <v>94</v>
      </c>
      <c r="B257" s="0" t="s">
        <v>654</v>
      </c>
      <c r="C257" s="0" t="s">
        <v>658</v>
      </c>
      <c r="E257" s="0" t="s">
        <v>79</v>
      </c>
      <c r="F257" s="0" t="s">
        <v>10134</v>
      </c>
    </row>
    <row r="258" customFormat="false" ht="15" hidden="false" customHeight="false" outlineLevel="0" collapsed="false">
      <c r="A258" s="0" t="n">
        <v>94</v>
      </c>
      <c r="B258" s="0" t="s">
        <v>654</v>
      </c>
      <c r="C258" s="0" t="s">
        <v>659</v>
      </c>
      <c r="E258" s="0" t="s">
        <v>79</v>
      </c>
      <c r="F258" s="0" t="s">
        <v>10135</v>
      </c>
    </row>
    <row r="259" customFormat="false" ht="15" hidden="false" customHeight="false" outlineLevel="0" collapsed="false">
      <c r="A259" s="0" t="n">
        <v>94</v>
      </c>
      <c r="B259" s="0" t="s">
        <v>654</v>
      </c>
      <c r="C259" s="0" t="s">
        <v>10136</v>
      </c>
      <c r="E259" s="0" t="s">
        <v>79</v>
      </c>
      <c r="F259" s="0" t="s">
        <v>10137</v>
      </c>
    </row>
    <row r="260" customFormat="false" ht="15" hidden="false" customHeight="false" outlineLevel="0" collapsed="false">
      <c r="A260" s="0" t="n">
        <v>95</v>
      </c>
      <c r="B260" s="0" t="s">
        <v>662</v>
      </c>
      <c r="C260" s="0" t="s">
        <v>667</v>
      </c>
      <c r="E260" s="0" t="s">
        <v>79</v>
      </c>
      <c r="F260" s="0" t="s">
        <v>10138</v>
      </c>
    </row>
    <row r="261" customFormat="false" ht="15" hidden="false" customHeight="false" outlineLevel="0" collapsed="false">
      <c r="A261" s="0" t="n">
        <v>95</v>
      </c>
      <c r="B261" s="0" t="s">
        <v>662</v>
      </c>
      <c r="C261" s="0" t="s">
        <v>668</v>
      </c>
      <c r="E261" s="0" t="s">
        <v>79</v>
      </c>
      <c r="F261" s="0" t="s">
        <v>10139</v>
      </c>
    </row>
    <row r="262" customFormat="false" ht="15" hidden="false" customHeight="false" outlineLevel="0" collapsed="false">
      <c r="A262" s="0" t="n">
        <v>95</v>
      </c>
      <c r="B262" s="0" t="s">
        <v>662</v>
      </c>
      <c r="C262" s="0" t="s">
        <v>669</v>
      </c>
      <c r="E262" s="0" t="s">
        <v>79</v>
      </c>
      <c r="F262" s="0" t="s">
        <v>10140</v>
      </c>
    </row>
    <row r="263" customFormat="false" ht="15" hidden="false" customHeight="false" outlineLevel="0" collapsed="false">
      <c r="A263" s="0" t="n">
        <v>95</v>
      </c>
      <c r="B263" s="0" t="s">
        <v>662</v>
      </c>
      <c r="C263" s="0" t="s">
        <v>10141</v>
      </c>
      <c r="E263" s="0" t="s">
        <v>79</v>
      </c>
      <c r="F263" s="0" t="s">
        <v>10142</v>
      </c>
    </row>
    <row r="264" customFormat="false" ht="15" hidden="false" customHeight="false" outlineLevel="0" collapsed="false">
      <c r="A264" s="0" t="n">
        <v>95</v>
      </c>
      <c r="B264" s="0" t="s">
        <v>662</v>
      </c>
      <c r="C264" s="0" t="s">
        <v>10143</v>
      </c>
      <c r="E264" s="0" t="s">
        <v>79</v>
      </c>
      <c r="F264" s="0" t="s">
        <v>10144</v>
      </c>
    </row>
    <row r="265" customFormat="false" ht="15" hidden="false" customHeight="false" outlineLevel="0" collapsed="false">
      <c r="A265" s="0" t="n">
        <v>98</v>
      </c>
      <c r="B265" s="0" t="s">
        <v>679</v>
      </c>
      <c r="C265" s="0" t="s">
        <v>684</v>
      </c>
      <c r="E265" s="0" t="s">
        <v>79</v>
      </c>
      <c r="F265" s="0" t="s">
        <v>10145</v>
      </c>
    </row>
    <row r="266" customFormat="false" ht="15" hidden="false" customHeight="false" outlineLevel="0" collapsed="false">
      <c r="A266" s="0" t="n">
        <v>98</v>
      </c>
      <c r="B266" s="0" t="s">
        <v>679</v>
      </c>
      <c r="C266" s="0" t="s">
        <v>685</v>
      </c>
      <c r="E266" s="0" t="s">
        <v>79</v>
      </c>
      <c r="F266" s="0" t="s">
        <v>10146</v>
      </c>
    </row>
    <row r="267" customFormat="false" ht="15" hidden="false" customHeight="false" outlineLevel="0" collapsed="false">
      <c r="A267" s="0" t="n">
        <v>98</v>
      </c>
      <c r="B267" s="0" t="s">
        <v>679</v>
      </c>
      <c r="C267" s="0" t="s">
        <v>686</v>
      </c>
      <c r="E267" s="0" t="s">
        <v>79</v>
      </c>
      <c r="F267" s="0" t="s">
        <v>10147</v>
      </c>
    </row>
    <row r="268" customFormat="false" ht="15" hidden="false" customHeight="false" outlineLevel="0" collapsed="false">
      <c r="A268" s="0" t="n">
        <v>98</v>
      </c>
      <c r="B268" s="0" t="s">
        <v>679</v>
      </c>
      <c r="C268" s="0" t="s">
        <v>10148</v>
      </c>
      <c r="E268" s="0" t="s">
        <v>79</v>
      </c>
      <c r="F268" s="0" t="s">
        <v>10149</v>
      </c>
    </row>
    <row r="269" customFormat="false" ht="15" hidden="false" customHeight="false" outlineLevel="0" collapsed="false">
      <c r="A269" s="0" t="n">
        <v>98</v>
      </c>
      <c r="B269" s="0" t="s">
        <v>679</v>
      </c>
      <c r="C269" s="0" t="s">
        <v>10150</v>
      </c>
      <c r="E269" s="0" t="s">
        <v>79</v>
      </c>
      <c r="F269" s="0" t="s">
        <v>10151</v>
      </c>
    </row>
    <row r="270" customFormat="false" ht="15" hidden="false" customHeight="false" outlineLevel="0" collapsed="false">
      <c r="A270" s="0" t="n">
        <v>99</v>
      </c>
      <c r="B270" s="0" t="s">
        <v>691</v>
      </c>
      <c r="C270" s="0" t="s">
        <v>701</v>
      </c>
      <c r="D270" s="0" t="s">
        <v>10152</v>
      </c>
      <c r="E270" s="0" t="s">
        <v>115</v>
      </c>
    </row>
    <row r="271" customFormat="false" ht="15" hidden="false" customHeight="false" outlineLevel="0" collapsed="false">
      <c r="A271" s="0" t="n">
        <v>99</v>
      </c>
      <c r="B271" s="0" t="s">
        <v>691</v>
      </c>
      <c r="C271" s="0" t="s">
        <v>702</v>
      </c>
      <c r="D271" s="0" t="s">
        <v>10153</v>
      </c>
      <c r="E271" s="0" t="s">
        <v>115</v>
      </c>
    </row>
    <row r="272" customFormat="false" ht="15" hidden="false" customHeight="false" outlineLevel="0" collapsed="false">
      <c r="A272" s="0" t="n">
        <v>99</v>
      </c>
      <c r="B272" s="0" t="s">
        <v>691</v>
      </c>
      <c r="C272" s="0" t="s">
        <v>703</v>
      </c>
      <c r="D272" s="0" t="s">
        <v>10154</v>
      </c>
      <c r="E272" s="0" t="s">
        <v>115</v>
      </c>
    </row>
    <row r="273" customFormat="false" ht="15" hidden="false" customHeight="false" outlineLevel="0" collapsed="false">
      <c r="A273" s="0" t="n">
        <v>104</v>
      </c>
      <c r="B273" s="0" t="s">
        <v>729</v>
      </c>
      <c r="C273" s="0" t="s">
        <v>731</v>
      </c>
      <c r="E273" s="0" t="s">
        <v>59</v>
      </c>
      <c r="F273" s="0" t="s">
        <v>10155</v>
      </c>
    </row>
    <row r="274" customFormat="false" ht="15" hidden="false" customHeight="false" outlineLevel="0" collapsed="false">
      <c r="A274" s="0" t="n">
        <v>104</v>
      </c>
      <c r="B274" s="0" t="s">
        <v>729</v>
      </c>
      <c r="C274" s="0" t="s">
        <v>732</v>
      </c>
      <c r="E274" s="0" t="s">
        <v>59</v>
      </c>
      <c r="F274" s="0" t="s">
        <v>10156</v>
      </c>
    </row>
    <row r="275" customFormat="false" ht="15" hidden="false" customHeight="false" outlineLevel="0" collapsed="false">
      <c r="A275" s="0" t="n">
        <v>104</v>
      </c>
      <c r="B275" s="0" t="s">
        <v>729</v>
      </c>
      <c r="C275" s="0" t="s">
        <v>733</v>
      </c>
      <c r="E275" s="0" t="s">
        <v>59</v>
      </c>
      <c r="F275" s="0" t="s">
        <v>10157</v>
      </c>
    </row>
    <row r="276" customFormat="false" ht="15" hidden="false" customHeight="false" outlineLevel="0" collapsed="false">
      <c r="A276" s="0" t="n">
        <v>104</v>
      </c>
      <c r="B276" s="0" t="s">
        <v>729</v>
      </c>
      <c r="C276" s="0" t="s">
        <v>10158</v>
      </c>
      <c r="E276" s="0" t="s">
        <v>59</v>
      </c>
      <c r="F276" s="0" t="s">
        <v>10159</v>
      </c>
    </row>
    <row r="277" customFormat="false" ht="15" hidden="false" customHeight="false" outlineLevel="0" collapsed="false">
      <c r="A277" s="0" t="n">
        <v>104</v>
      </c>
      <c r="B277" s="0" t="s">
        <v>729</v>
      </c>
      <c r="C277" s="0" t="s">
        <v>10160</v>
      </c>
      <c r="E277" s="0" t="s">
        <v>59</v>
      </c>
      <c r="F277" s="0" t="s">
        <v>10161</v>
      </c>
    </row>
    <row r="278" customFormat="false" ht="15" hidden="false" customHeight="false" outlineLevel="0" collapsed="false">
      <c r="A278" s="0" t="n">
        <v>105</v>
      </c>
      <c r="B278" s="0" t="s">
        <v>734</v>
      </c>
      <c r="C278" s="0" t="s">
        <v>739</v>
      </c>
      <c r="E278" s="0" t="s">
        <v>79</v>
      </c>
      <c r="F278" s="0" t="s">
        <v>10162</v>
      </c>
    </row>
    <row r="279" customFormat="false" ht="15" hidden="false" customHeight="false" outlineLevel="0" collapsed="false">
      <c r="A279" s="0" t="n">
        <v>105</v>
      </c>
      <c r="B279" s="0" t="s">
        <v>734</v>
      </c>
      <c r="C279" s="0" t="s">
        <v>740</v>
      </c>
      <c r="E279" s="0" t="s">
        <v>79</v>
      </c>
      <c r="F279" s="0" t="s">
        <v>10163</v>
      </c>
    </row>
    <row r="280" customFormat="false" ht="15" hidden="false" customHeight="false" outlineLevel="0" collapsed="false">
      <c r="A280" s="0" t="n">
        <v>105</v>
      </c>
      <c r="B280" s="0" t="s">
        <v>734</v>
      </c>
      <c r="C280" s="0" t="s">
        <v>741</v>
      </c>
      <c r="E280" s="0" t="s">
        <v>79</v>
      </c>
      <c r="F280" s="0" t="s">
        <v>10164</v>
      </c>
    </row>
    <row r="281" customFormat="false" ht="15" hidden="false" customHeight="false" outlineLevel="0" collapsed="false">
      <c r="A281" s="0" t="n">
        <v>105</v>
      </c>
      <c r="B281" s="0" t="s">
        <v>734</v>
      </c>
      <c r="C281" s="0" t="s">
        <v>10165</v>
      </c>
      <c r="E281" s="0" t="s">
        <v>79</v>
      </c>
      <c r="F281" s="0" t="s">
        <v>10166</v>
      </c>
    </row>
    <row r="282" customFormat="false" ht="15" hidden="false" customHeight="false" outlineLevel="0" collapsed="false">
      <c r="A282" s="0" t="n">
        <v>105</v>
      </c>
      <c r="B282" s="0" t="s">
        <v>734</v>
      </c>
      <c r="C282" s="0" t="s">
        <v>10167</v>
      </c>
      <c r="E282" s="0" t="s">
        <v>79</v>
      </c>
      <c r="F282" s="0" t="s">
        <v>10168</v>
      </c>
    </row>
    <row r="283" customFormat="false" ht="15" hidden="false" customHeight="false" outlineLevel="0" collapsed="false">
      <c r="A283" s="0" t="n">
        <v>108</v>
      </c>
      <c r="B283" s="0" t="s">
        <v>755</v>
      </c>
      <c r="C283" s="0" t="s">
        <v>765</v>
      </c>
      <c r="D283" s="0" t="s">
        <v>10169</v>
      </c>
      <c r="E283" s="0" t="s">
        <v>115</v>
      </c>
    </row>
    <row r="284" customFormat="false" ht="15" hidden="false" customHeight="false" outlineLevel="0" collapsed="false">
      <c r="A284" s="0" t="n">
        <v>108</v>
      </c>
      <c r="B284" s="0" t="s">
        <v>755</v>
      </c>
      <c r="C284" s="0" t="s">
        <v>766</v>
      </c>
      <c r="D284" s="0" t="s">
        <v>10170</v>
      </c>
      <c r="E284" s="0" t="s">
        <v>115</v>
      </c>
    </row>
    <row r="285" customFormat="false" ht="15" hidden="false" customHeight="false" outlineLevel="0" collapsed="false">
      <c r="A285" s="0" t="n">
        <v>108</v>
      </c>
      <c r="B285" s="0" t="s">
        <v>755</v>
      </c>
      <c r="C285" s="0" t="s">
        <v>767</v>
      </c>
      <c r="D285" s="0" t="s">
        <v>10171</v>
      </c>
      <c r="E285" s="0" t="s">
        <v>115</v>
      </c>
    </row>
    <row r="286" customFormat="false" ht="15" hidden="false" customHeight="false" outlineLevel="0" collapsed="false">
      <c r="A286" s="0" t="n">
        <v>110</v>
      </c>
      <c r="B286" s="0" t="s">
        <v>778</v>
      </c>
      <c r="C286" s="0" t="s">
        <v>781</v>
      </c>
      <c r="E286" s="0" t="s">
        <v>59</v>
      </c>
      <c r="F286" s="0" t="s">
        <v>10172</v>
      </c>
    </row>
    <row r="287" customFormat="false" ht="15" hidden="false" customHeight="false" outlineLevel="0" collapsed="false">
      <c r="A287" s="0" t="n">
        <v>110</v>
      </c>
      <c r="B287" s="0" t="s">
        <v>778</v>
      </c>
      <c r="C287" s="0" t="s">
        <v>782</v>
      </c>
      <c r="E287" s="0" t="s">
        <v>59</v>
      </c>
      <c r="F287" s="0" t="s">
        <v>10173</v>
      </c>
    </row>
    <row r="288" customFormat="false" ht="15" hidden="false" customHeight="false" outlineLevel="0" collapsed="false">
      <c r="A288" s="0" t="n">
        <v>110</v>
      </c>
      <c r="B288" s="0" t="s">
        <v>778</v>
      </c>
      <c r="C288" s="0" t="s">
        <v>783</v>
      </c>
      <c r="E288" s="0" t="s">
        <v>59</v>
      </c>
      <c r="F288" s="0" t="s">
        <v>10174</v>
      </c>
    </row>
    <row r="289" customFormat="false" ht="15" hidden="false" customHeight="false" outlineLevel="0" collapsed="false">
      <c r="A289" s="0" t="n">
        <v>110</v>
      </c>
      <c r="B289" s="0" t="s">
        <v>778</v>
      </c>
      <c r="C289" s="0" t="s">
        <v>10175</v>
      </c>
      <c r="E289" s="0" t="s">
        <v>59</v>
      </c>
      <c r="F289" s="0" t="s">
        <v>10176</v>
      </c>
    </row>
    <row r="290" customFormat="false" ht="15" hidden="false" customHeight="false" outlineLevel="0" collapsed="false">
      <c r="A290" s="0" t="n">
        <v>110</v>
      </c>
      <c r="B290" s="0" t="s">
        <v>778</v>
      </c>
      <c r="C290" s="0" t="s">
        <v>10177</v>
      </c>
      <c r="E290" s="0" t="s">
        <v>59</v>
      </c>
      <c r="F290" s="0" t="s">
        <v>10178</v>
      </c>
    </row>
    <row r="291" customFormat="false" ht="15" hidden="false" customHeight="false" outlineLevel="0" collapsed="false">
      <c r="A291" s="0" t="n">
        <v>112</v>
      </c>
      <c r="B291" s="0" t="s">
        <v>785</v>
      </c>
      <c r="C291" s="0" t="s">
        <v>788</v>
      </c>
      <c r="E291" s="0" t="s">
        <v>79</v>
      </c>
      <c r="F291" s="0" t="s">
        <v>10179</v>
      </c>
    </row>
    <row r="292" customFormat="false" ht="15" hidden="false" customHeight="false" outlineLevel="0" collapsed="false">
      <c r="A292" s="0" t="n">
        <v>112</v>
      </c>
      <c r="B292" s="0" t="s">
        <v>785</v>
      </c>
      <c r="C292" s="0" t="s">
        <v>789</v>
      </c>
      <c r="E292" s="0" t="s">
        <v>79</v>
      </c>
      <c r="F292" s="0" t="s">
        <v>10180</v>
      </c>
    </row>
    <row r="293" customFormat="false" ht="15" hidden="false" customHeight="false" outlineLevel="0" collapsed="false">
      <c r="A293" s="0" t="n">
        <v>112</v>
      </c>
      <c r="B293" s="0" t="s">
        <v>785</v>
      </c>
      <c r="C293" s="0" t="s">
        <v>790</v>
      </c>
      <c r="E293" s="0" t="s">
        <v>79</v>
      </c>
      <c r="F293" s="0" t="s">
        <v>10181</v>
      </c>
    </row>
    <row r="294" customFormat="false" ht="15" hidden="false" customHeight="false" outlineLevel="0" collapsed="false">
      <c r="A294" s="0" t="n">
        <v>112</v>
      </c>
      <c r="B294" s="0" t="s">
        <v>785</v>
      </c>
      <c r="C294" s="0" t="s">
        <v>10182</v>
      </c>
      <c r="E294" s="0" t="s">
        <v>79</v>
      </c>
      <c r="F294" s="0" t="s">
        <v>10183</v>
      </c>
    </row>
    <row r="295" customFormat="false" ht="15" hidden="false" customHeight="false" outlineLevel="0" collapsed="false">
      <c r="A295" s="0" t="n">
        <v>112</v>
      </c>
      <c r="B295" s="0" t="s">
        <v>785</v>
      </c>
      <c r="C295" s="0" t="s">
        <v>10184</v>
      </c>
      <c r="E295" s="0" t="s">
        <v>79</v>
      </c>
      <c r="F295" s="0" t="s">
        <v>10185</v>
      </c>
    </row>
    <row r="296" customFormat="false" ht="15" hidden="false" customHeight="false" outlineLevel="0" collapsed="false">
      <c r="A296" s="0" t="n">
        <v>113</v>
      </c>
      <c r="B296" s="0" t="s">
        <v>794</v>
      </c>
      <c r="C296" s="0" t="s">
        <v>797</v>
      </c>
      <c r="E296" s="0" t="s">
        <v>79</v>
      </c>
      <c r="F296" s="0" t="s">
        <v>10186</v>
      </c>
    </row>
    <row r="297" customFormat="false" ht="15" hidden="false" customHeight="false" outlineLevel="0" collapsed="false">
      <c r="A297" s="0" t="n">
        <v>113</v>
      </c>
      <c r="B297" s="0" t="s">
        <v>794</v>
      </c>
      <c r="C297" s="0" t="s">
        <v>798</v>
      </c>
      <c r="E297" s="0" t="s">
        <v>79</v>
      </c>
      <c r="F297" s="0" t="s">
        <v>10187</v>
      </c>
    </row>
    <row r="298" customFormat="false" ht="15" hidden="false" customHeight="false" outlineLevel="0" collapsed="false">
      <c r="A298" s="0" t="n">
        <v>113</v>
      </c>
      <c r="B298" s="0" t="s">
        <v>794</v>
      </c>
      <c r="C298" s="0" t="s">
        <v>799</v>
      </c>
      <c r="E298" s="0" t="s">
        <v>79</v>
      </c>
      <c r="F298" s="0" t="s">
        <v>10188</v>
      </c>
    </row>
    <row r="299" customFormat="false" ht="15" hidden="false" customHeight="false" outlineLevel="0" collapsed="false">
      <c r="A299" s="0" t="n">
        <v>113</v>
      </c>
      <c r="B299" s="0" t="s">
        <v>794</v>
      </c>
      <c r="C299" s="0" t="s">
        <v>10189</v>
      </c>
      <c r="E299" s="0" t="s">
        <v>79</v>
      </c>
      <c r="F299" s="0" t="s">
        <v>10190</v>
      </c>
    </row>
    <row r="300" customFormat="false" ht="15" hidden="false" customHeight="false" outlineLevel="0" collapsed="false">
      <c r="A300" s="0" t="n">
        <v>113</v>
      </c>
      <c r="B300" s="0" t="s">
        <v>794</v>
      </c>
      <c r="C300" s="0" t="s">
        <v>10191</v>
      </c>
      <c r="E300" s="0" t="s">
        <v>79</v>
      </c>
      <c r="F300" s="0" t="s">
        <v>10192</v>
      </c>
    </row>
    <row r="301" customFormat="false" ht="15" hidden="false" customHeight="false" outlineLevel="0" collapsed="false">
      <c r="A301" s="0" t="n">
        <v>116</v>
      </c>
      <c r="B301" s="0" t="s">
        <v>811</v>
      </c>
      <c r="C301" s="0" t="s">
        <v>813</v>
      </c>
      <c r="E301" s="0" t="s">
        <v>79</v>
      </c>
      <c r="F301" s="0" t="s">
        <v>10193</v>
      </c>
    </row>
    <row r="302" customFormat="false" ht="15" hidden="false" customHeight="false" outlineLevel="0" collapsed="false">
      <c r="A302" s="0" t="n">
        <v>116</v>
      </c>
      <c r="B302" s="0" t="s">
        <v>811</v>
      </c>
      <c r="C302" s="0" t="s">
        <v>814</v>
      </c>
      <c r="E302" s="0" t="s">
        <v>79</v>
      </c>
      <c r="F302" s="0" t="s">
        <v>10194</v>
      </c>
    </row>
    <row r="303" customFormat="false" ht="15" hidden="false" customHeight="false" outlineLevel="0" collapsed="false">
      <c r="A303" s="0" t="n">
        <v>116</v>
      </c>
      <c r="B303" s="0" t="s">
        <v>811</v>
      </c>
      <c r="C303" s="0" t="s">
        <v>815</v>
      </c>
      <c r="E303" s="0" t="s">
        <v>79</v>
      </c>
      <c r="F303" s="0" t="s">
        <v>10195</v>
      </c>
    </row>
    <row r="304" customFormat="false" ht="15" hidden="false" customHeight="false" outlineLevel="0" collapsed="false">
      <c r="A304" s="0" t="n">
        <v>116</v>
      </c>
      <c r="B304" s="0" t="s">
        <v>811</v>
      </c>
      <c r="C304" s="0" t="s">
        <v>10196</v>
      </c>
      <c r="E304" s="0" t="s">
        <v>79</v>
      </c>
      <c r="F304" s="0" t="s">
        <v>10197</v>
      </c>
    </row>
    <row r="305" customFormat="false" ht="15" hidden="false" customHeight="false" outlineLevel="0" collapsed="false">
      <c r="A305" s="0" t="n">
        <v>118</v>
      </c>
      <c r="B305" s="0" t="s">
        <v>822</v>
      </c>
      <c r="C305" s="0" t="s">
        <v>824</v>
      </c>
      <c r="E305" s="0" t="s">
        <v>79</v>
      </c>
      <c r="F305" s="0" t="s">
        <v>10198</v>
      </c>
    </row>
    <row r="306" customFormat="false" ht="15" hidden="false" customHeight="false" outlineLevel="0" collapsed="false">
      <c r="A306" s="0" t="n">
        <v>118</v>
      </c>
      <c r="B306" s="0" t="s">
        <v>822</v>
      </c>
      <c r="C306" s="0" t="s">
        <v>825</v>
      </c>
      <c r="E306" s="0" t="s">
        <v>79</v>
      </c>
      <c r="F306" s="0" t="s">
        <v>10199</v>
      </c>
    </row>
    <row r="307" customFormat="false" ht="15" hidden="false" customHeight="false" outlineLevel="0" collapsed="false">
      <c r="A307" s="0" t="n">
        <v>118</v>
      </c>
      <c r="B307" s="0" t="s">
        <v>822</v>
      </c>
      <c r="C307" s="0" t="s">
        <v>826</v>
      </c>
      <c r="E307" s="0" t="s">
        <v>79</v>
      </c>
      <c r="F307" s="0" t="s">
        <v>10200</v>
      </c>
    </row>
    <row r="308" customFormat="false" ht="15" hidden="false" customHeight="false" outlineLevel="0" collapsed="false">
      <c r="A308" s="0" t="n">
        <v>118</v>
      </c>
      <c r="B308" s="0" t="s">
        <v>822</v>
      </c>
      <c r="C308" s="0" t="s">
        <v>10201</v>
      </c>
      <c r="E308" s="0" t="s">
        <v>79</v>
      </c>
      <c r="F308" s="0" t="s">
        <v>10202</v>
      </c>
    </row>
    <row r="309" customFormat="false" ht="15" hidden="false" customHeight="false" outlineLevel="0" collapsed="false">
      <c r="A309" s="0" t="n">
        <v>118</v>
      </c>
      <c r="B309" s="0" t="s">
        <v>822</v>
      </c>
      <c r="C309" s="0" t="s">
        <v>10203</v>
      </c>
      <c r="E309" s="0" t="s">
        <v>79</v>
      </c>
      <c r="F309" s="0" t="s">
        <v>10204</v>
      </c>
    </row>
    <row r="310" customFormat="false" ht="15" hidden="false" customHeight="false" outlineLevel="0" collapsed="false">
      <c r="A310" s="0" t="n">
        <v>120</v>
      </c>
      <c r="B310" s="0" t="s">
        <v>835</v>
      </c>
      <c r="C310" s="0" t="s">
        <v>838</v>
      </c>
      <c r="E310" s="0" t="s">
        <v>79</v>
      </c>
      <c r="F310" s="0" t="s">
        <v>10205</v>
      </c>
    </row>
    <row r="311" customFormat="false" ht="15" hidden="false" customHeight="false" outlineLevel="0" collapsed="false">
      <c r="A311" s="0" t="n">
        <v>120</v>
      </c>
      <c r="B311" s="0" t="s">
        <v>835</v>
      </c>
      <c r="C311" s="0" t="s">
        <v>839</v>
      </c>
      <c r="E311" s="0" t="s">
        <v>79</v>
      </c>
      <c r="F311" s="0" t="s">
        <v>10206</v>
      </c>
    </row>
    <row r="312" customFormat="false" ht="15" hidden="false" customHeight="false" outlineLevel="0" collapsed="false">
      <c r="A312" s="0" t="n">
        <v>121</v>
      </c>
      <c r="B312" s="0" t="s">
        <v>844</v>
      </c>
      <c r="C312" s="0" t="s">
        <v>847</v>
      </c>
      <c r="E312" s="0" t="s">
        <v>79</v>
      </c>
      <c r="F312" s="0" t="s">
        <v>10207</v>
      </c>
    </row>
    <row r="313" customFormat="false" ht="15" hidden="false" customHeight="false" outlineLevel="0" collapsed="false">
      <c r="A313" s="0" t="n">
        <v>121</v>
      </c>
      <c r="B313" s="0" t="s">
        <v>844</v>
      </c>
      <c r="C313" s="0" t="s">
        <v>848</v>
      </c>
      <c r="E313" s="0" t="s">
        <v>79</v>
      </c>
      <c r="F313" s="0" t="s">
        <v>10208</v>
      </c>
    </row>
    <row r="314" customFormat="false" ht="15" hidden="false" customHeight="false" outlineLevel="0" collapsed="false">
      <c r="A314" s="0" t="n">
        <v>121</v>
      </c>
      <c r="B314" s="0" t="s">
        <v>844</v>
      </c>
      <c r="C314" s="0" t="s">
        <v>849</v>
      </c>
      <c r="E314" s="0" t="s">
        <v>79</v>
      </c>
      <c r="F314" s="0" t="s">
        <v>10209</v>
      </c>
    </row>
    <row r="315" customFormat="false" ht="15" hidden="false" customHeight="false" outlineLevel="0" collapsed="false">
      <c r="A315" s="0" t="n">
        <v>121</v>
      </c>
      <c r="B315" s="0" t="s">
        <v>844</v>
      </c>
      <c r="C315" s="0" t="s">
        <v>10210</v>
      </c>
      <c r="E315" s="0" t="s">
        <v>79</v>
      </c>
      <c r="F315" s="0" t="s">
        <v>10211</v>
      </c>
    </row>
    <row r="316" customFormat="false" ht="15" hidden="false" customHeight="false" outlineLevel="0" collapsed="false">
      <c r="A316" s="0" t="n">
        <v>121</v>
      </c>
      <c r="B316" s="0" t="s">
        <v>844</v>
      </c>
      <c r="C316" s="0" t="s">
        <v>10212</v>
      </c>
      <c r="E316" s="0" t="s">
        <v>79</v>
      </c>
      <c r="F316" s="0" t="s">
        <v>10213</v>
      </c>
    </row>
    <row r="317" customFormat="false" ht="15" hidden="false" customHeight="false" outlineLevel="0" collapsed="false">
      <c r="A317" s="0" t="n">
        <v>122</v>
      </c>
      <c r="B317" s="0" t="s">
        <v>850</v>
      </c>
      <c r="C317" s="0" t="s">
        <v>852</v>
      </c>
      <c r="E317" s="0" t="s">
        <v>79</v>
      </c>
      <c r="F317" s="0" t="s">
        <v>10214</v>
      </c>
    </row>
    <row r="318" customFormat="false" ht="15" hidden="false" customHeight="false" outlineLevel="0" collapsed="false">
      <c r="A318" s="0" t="n">
        <v>122</v>
      </c>
      <c r="B318" s="0" t="s">
        <v>850</v>
      </c>
      <c r="C318" s="0" t="s">
        <v>853</v>
      </c>
      <c r="E318" s="0" t="s">
        <v>79</v>
      </c>
      <c r="F318" s="0" t="s">
        <v>10215</v>
      </c>
    </row>
    <row r="319" customFormat="false" ht="15" hidden="false" customHeight="false" outlineLevel="0" collapsed="false">
      <c r="A319" s="0" t="n">
        <v>122</v>
      </c>
      <c r="B319" s="0" t="s">
        <v>850</v>
      </c>
      <c r="C319" s="0" t="s">
        <v>854</v>
      </c>
      <c r="E319" s="0" t="s">
        <v>79</v>
      </c>
      <c r="F319" s="0" t="s">
        <v>10216</v>
      </c>
    </row>
    <row r="320" customFormat="false" ht="15" hidden="false" customHeight="false" outlineLevel="0" collapsed="false">
      <c r="A320" s="0" t="n">
        <v>122</v>
      </c>
      <c r="B320" s="0" t="s">
        <v>850</v>
      </c>
      <c r="C320" s="0" t="s">
        <v>10217</v>
      </c>
      <c r="E320" s="0" t="s">
        <v>79</v>
      </c>
      <c r="F320" s="0" t="s">
        <v>10218</v>
      </c>
    </row>
    <row r="321" customFormat="false" ht="15" hidden="false" customHeight="false" outlineLevel="0" collapsed="false">
      <c r="A321" s="0" t="n">
        <v>125</v>
      </c>
      <c r="B321" s="0" t="s">
        <v>857</v>
      </c>
      <c r="C321" s="0" t="s">
        <v>859</v>
      </c>
      <c r="E321" s="0" t="s">
        <v>79</v>
      </c>
      <c r="F321" s="0" t="s">
        <v>10219</v>
      </c>
    </row>
    <row r="322" customFormat="false" ht="15" hidden="false" customHeight="false" outlineLevel="0" collapsed="false">
      <c r="A322" s="0" t="n">
        <v>125</v>
      </c>
      <c r="B322" s="0" t="s">
        <v>857</v>
      </c>
      <c r="C322" s="0" t="s">
        <v>860</v>
      </c>
      <c r="E322" s="0" t="s">
        <v>79</v>
      </c>
      <c r="F322" s="0" t="s">
        <v>10220</v>
      </c>
    </row>
    <row r="323" customFormat="false" ht="15" hidden="false" customHeight="false" outlineLevel="0" collapsed="false">
      <c r="A323" s="0" t="n">
        <v>125</v>
      </c>
      <c r="B323" s="0" t="s">
        <v>857</v>
      </c>
      <c r="C323" s="0" t="s">
        <v>861</v>
      </c>
      <c r="E323" s="0" t="s">
        <v>79</v>
      </c>
      <c r="F323" s="0" t="s">
        <v>10221</v>
      </c>
    </row>
    <row r="324" customFormat="false" ht="15" hidden="false" customHeight="false" outlineLevel="0" collapsed="false">
      <c r="A324" s="0" t="n">
        <v>125</v>
      </c>
      <c r="B324" s="0" t="s">
        <v>857</v>
      </c>
      <c r="C324" s="0" t="s">
        <v>10222</v>
      </c>
      <c r="E324" s="0" t="s">
        <v>79</v>
      </c>
      <c r="F324" s="0" t="s">
        <v>10223</v>
      </c>
    </row>
    <row r="325" customFormat="false" ht="15" hidden="false" customHeight="false" outlineLevel="0" collapsed="false">
      <c r="A325" s="0" t="n">
        <v>126</v>
      </c>
      <c r="B325" s="0" t="s">
        <v>862</v>
      </c>
      <c r="C325" s="0" t="s">
        <v>865</v>
      </c>
      <c r="E325" s="0" t="s">
        <v>79</v>
      </c>
      <c r="F325" s="0" t="s">
        <v>10224</v>
      </c>
    </row>
    <row r="326" customFormat="false" ht="15" hidden="false" customHeight="false" outlineLevel="0" collapsed="false">
      <c r="A326" s="0" t="n">
        <v>126</v>
      </c>
      <c r="B326" s="0" t="s">
        <v>862</v>
      </c>
      <c r="C326" s="0" t="s">
        <v>866</v>
      </c>
      <c r="E326" s="0" t="s">
        <v>79</v>
      </c>
      <c r="F326" s="0" t="s">
        <v>10225</v>
      </c>
    </row>
    <row r="327" customFormat="false" ht="15" hidden="false" customHeight="false" outlineLevel="0" collapsed="false">
      <c r="A327" s="0" t="n">
        <v>126</v>
      </c>
      <c r="B327" s="0" t="s">
        <v>862</v>
      </c>
      <c r="C327" s="0" t="s">
        <v>867</v>
      </c>
      <c r="E327" s="0" t="s">
        <v>79</v>
      </c>
      <c r="F327" s="0" t="s">
        <v>10226</v>
      </c>
    </row>
    <row r="328" customFormat="false" ht="15" hidden="false" customHeight="false" outlineLevel="0" collapsed="false">
      <c r="A328" s="0" t="n">
        <v>126</v>
      </c>
      <c r="B328" s="0" t="s">
        <v>862</v>
      </c>
      <c r="C328" s="0" t="s">
        <v>10227</v>
      </c>
      <c r="E328" s="0" t="s">
        <v>79</v>
      </c>
      <c r="F328" s="0" t="s">
        <v>10228</v>
      </c>
    </row>
    <row r="329" customFormat="false" ht="15" hidden="false" customHeight="false" outlineLevel="0" collapsed="false">
      <c r="A329" s="0" t="n">
        <v>126</v>
      </c>
      <c r="B329" s="0" t="s">
        <v>862</v>
      </c>
      <c r="C329" s="0" t="s">
        <v>10229</v>
      </c>
      <c r="E329" s="0" t="s">
        <v>79</v>
      </c>
      <c r="F329" s="0" t="s">
        <v>10230</v>
      </c>
    </row>
    <row r="330" customFormat="false" ht="15" hidden="false" customHeight="false" outlineLevel="0" collapsed="false">
      <c r="A330" s="0" t="n">
        <v>127</v>
      </c>
      <c r="B330" s="0" t="s">
        <v>871</v>
      </c>
      <c r="C330" s="0" t="s">
        <v>874</v>
      </c>
      <c r="E330" s="0" t="s">
        <v>79</v>
      </c>
      <c r="F330" s="0" t="s">
        <v>10231</v>
      </c>
    </row>
    <row r="331" customFormat="false" ht="15" hidden="false" customHeight="false" outlineLevel="0" collapsed="false">
      <c r="A331" s="0" t="n">
        <v>127</v>
      </c>
      <c r="B331" s="0" t="s">
        <v>871</v>
      </c>
      <c r="C331" s="0" t="s">
        <v>875</v>
      </c>
      <c r="E331" s="0" t="s">
        <v>79</v>
      </c>
      <c r="F331" s="0" t="s">
        <v>10232</v>
      </c>
    </row>
    <row r="332" customFormat="false" ht="15" hidden="false" customHeight="false" outlineLevel="0" collapsed="false">
      <c r="A332" s="0" t="n">
        <v>127</v>
      </c>
      <c r="B332" s="0" t="s">
        <v>871</v>
      </c>
      <c r="C332" s="0" t="s">
        <v>876</v>
      </c>
      <c r="E332" s="0" t="s">
        <v>79</v>
      </c>
      <c r="F332" s="0" t="s">
        <v>10233</v>
      </c>
    </row>
    <row r="333" customFormat="false" ht="15" hidden="false" customHeight="false" outlineLevel="0" collapsed="false">
      <c r="A333" s="0" t="n">
        <v>127</v>
      </c>
      <c r="B333" s="0" t="s">
        <v>871</v>
      </c>
      <c r="C333" s="0" t="s">
        <v>10234</v>
      </c>
      <c r="E333" s="0" t="s">
        <v>79</v>
      </c>
      <c r="F333" s="0" t="s">
        <v>10235</v>
      </c>
    </row>
    <row r="334" customFormat="false" ht="15" hidden="false" customHeight="false" outlineLevel="0" collapsed="false">
      <c r="A334" s="0" t="n">
        <v>127</v>
      </c>
      <c r="B334" s="0" t="s">
        <v>871</v>
      </c>
      <c r="C334" s="0" t="s">
        <v>10236</v>
      </c>
      <c r="E334" s="0" t="s">
        <v>79</v>
      </c>
      <c r="F334" s="0" t="s">
        <v>10237</v>
      </c>
    </row>
    <row r="335" customFormat="false" ht="15" hidden="false" customHeight="false" outlineLevel="0" collapsed="false">
      <c r="A335" s="0" t="n">
        <v>128</v>
      </c>
      <c r="B335" s="0" t="s">
        <v>881</v>
      </c>
      <c r="C335" s="0" t="s">
        <v>885</v>
      </c>
      <c r="E335" s="0" t="s">
        <v>79</v>
      </c>
      <c r="F335" s="0" t="s">
        <v>10238</v>
      </c>
    </row>
    <row r="336" customFormat="false" ht="15" hidden="false" customHeight="false" outlineLevel="0" collapsed="false">
      <c r="A336" s="0" t="n">
        <v>128</v>
      </c>
      <c r="B336" s="0" t="s">
        <v>881</v>
      </c>
      <c r="C336" s="0" t="s">
        <v>886</v>
      </c>
      <c r="E336" s="0" t="s">
        <v>79</v>
      </c>
      <c r="F336" s="0" t="s">
        <v>10239</v>
      </c>
    </row>
    <row r="337" customFormat="false" ht="15" hidden="false" customHeight="false" outlineLevel="0" collapsed="false">
      <c r="A337" s="0" t="n">
        <v>128</v>
      </c>
      <c r="B337" s="0" t="s">
        <v>881</v>
      </c>
      <c r="C337" s="0" t="s">
        <v>887</v>
      </c>
      <c r="E337" s="0" t="s">
        <v>79</v>
      </c>
      <c r="F337" s="0" t="s">
        <v>10240</v>
      </c>
    </row>
    <row r="338" customFormat="false" ht="15" hidden="false" customHeight="false" outlineLevel="0" collapsed="false">
      <c r="A338" s="0" t="n">
        <v>128</v>
      </c>
      <c r="B338" s="0" t="s">
        <v>881</v>
      </c>
      <c r="C338" s="0" t="s">
        <v>10241</v>
      </c>
      <c r="E338" s="0" t="s">
        <v>79</v>
      </c>
      <c r="F338" s="0" t="s">
        <v>10242</v>
      </c>
    </row>
    <row r="339" customFormat="false" ht="15" hidden="false" customHeight="false" outlineLevel="0" collapsed="false">
      <c r="A339" s="0" t="n">
        <v>128</v>
      </c>
      <c r="B339" s="0" t="s">
        <v>881</v>
      </c>
      <c r="C339" s="0" t="s">
        <v>10243</v>
      </c>
      <c r="E339" s="0" t="s">
        <v>79</v>
      </c>
      <c r="F339" s="0" t="s">
        <v>10244</v>
      </c>
    </row>
    <row r="340" customFormat="false" ht="15" hidden="false" customHeight="false" outlineLevel="0" collapsed="false">
      <c r="A340" s="0" t="n">
        <v>131</v>
      </c>
      <c r="B340" s="0" t="s">
        <v>898</v>
      </c>
      <c r="C340" s="0" t="s">
        <v>901</v>
      </c>
      <c r="E340" s="0" t="s">
        <v>59</v>
      </c>
      <c r="F340" s="0" t="s">
        <v>10245</v>
      </c>
    </row>
    <row r="341" customFormat="false" ht="15" hidden="false" customHeight="false" outlineLevel="0" collapsed="false">
      <c r="A341" s="0" t="n">
        <v>131</v>
      </c>
      <c r="B341" s="0" t="s">
        <v>898</v>
      </c>
      <c r="C341" s="0" t="s">
        <v>902</v>
      </c>
      <c r="E341" s="0" t="s">
        <v>59</v>
      </c>
      <c r="F341" s="0" t="s">
        <v>10246</v>
      </c>
    </row>
    <row r="342" customFormat="false" ht="15" hidden="false" customHeight="false" outlineLevel="0" collapsed="false">
      <c r="A342" s="0" t="n">
        <v>131</v>
      </c>
      <c r="B342" s="0" t="s">
        <v>898</v>
      </c>
      <c r="C342" s="0" t="s">
        <v>903</v>
      </c>
      <c r="E342" s="0" t="s">
        <v>59</v>
      </c>
      <c r="F342" s="0" t="s">
        <v>10247</v>
      </c>
    </row>
    <row r="343" customFormat="false" ht="15" hidden="false" customHeight="false" outlineLevel="0" collapsed="false">
      <c r="A343" s="0" t="n">
        <v>131</v>
      </c>
      <c r="B343" s="0" t="s">
        <v>898</v>
      </c>
      <c r="C343" s="0" t="s">
        <v>10248</v>
      </c>
      <c r="E343" s="0" t="s">
        <v>59</v>
      </c>
      <c r="F343" s="0" t="s">
        <v>10249</v>
      </c>
    </row>
    <row r="344" customFormat="false" ht="15" hidden="false" customHeight="false" outlineLevel="0" collapsed="false">
      <c r="A344" s="0" t="n">
        <v>131</v>
      </c>
      <c r="B344" s="0" t="s">
        <v>898</v>
      </c>
      <c r="C344" s="0" t="s">
        <v>10250</v>
      </c>
      <c r="E344" s="0" t="s">
        <v>59</v>
      </c>
      <c r="F344" s="0" t="s">
        <v>10251</v>
      </c>
    </row>
    <row r="345" customFormat="false" ht="15" hidden="false" customHeight="false" outlineLevel="0" collapsed="false">
      <c r="A345" s="0" t="n">
        <v>132</v>
      </c>
      <c r="B345" s="0" t="s">
        <v>908</v>
      </c>
      <c r="C345" s="0" t="s">
        <v>910</v>
      </c>
      <c r="E345" s="0" t="s">
        <v>79</v>
      </c>
      <c r="F345" s="0" t="s">
        <v>10252</v>
      </c>
    </row>
    <row r="346" customFormat="false" ht="15" hidden="false" customHeight="false" outlineLevel="0" collapsed="false">
      <c r="A346" s="0" t="n">
        <v>132</v>
      </c>
      <c r="B346" s="0" t="s">
        <v>908</v>
      </c>
      <c r="C346" s="0" t="s">
        <v>911</v>
      </c>
      <c r="E346" s="0" t="s">
        <v>79</v>
      </c>
      <c r="F346" s="0" t="s">
        <v>10253</v>
      </c>
    </row>
    <row r="347" customFormat="false" ht="15" hidden="false" customHeight="false" outlineLevel="0" collapsed="false">
      <c r="A347" s="0" t="n">
        <v>132</v>
      </c>
      <c r="B347" s="0" t="s">
        <v>908</v>
      </c>
      <c r="C347" s="0" t="s">
        <v>912</v>
      </c>
      <c r="E347" s="0" t="s">
        <v>79</v>
      </c>
      <c r="F347" s="0" t="s">
        <v>10254</v>
      </c>
    </row>
    <row r="348" customFormat="false" ht="15" hidden="false" customHeight="false" outlineLevel="0" collapsed="false">
      <c r="A348" s="0" t="n">
        <v>132</v>
      </c>
      <c r="B348" s="0" t="s">
        <v>908</v>
      </c>
      <c r="C348" s="0" t="s">
        <v>10255</v>
      </c>
      <c r="E348" s="0" t="s">
        <v>79</v>
      </c>
      <c r="F348" s="0" t="s">
        <v>10256</v>
      </c>
    </row>
    <row r="349" customFormat="false" ht="15" hidden="false" customHeight="false" outlineLevel="0" collapsed="false">
      <c r="A349" s="0" t="n">
        <v>133</v>
      </c>
      <c r="B349" s="0" t="s">
        <v>913</v>
      </c>
      <c r="C349" s="0" t="s">
        <v>918</v>
      </c>
      <c r="E349" s="0" t="s">
        <v>79</v>
      </c>
      <c r="F349" s="0" t="s">
        <v>10257</v>
      </c>
    </row>
    <row r="350" customFormat="false" ht="15" hidden="false" customHeight="false" outlineLevel="0" collapsed="false">
      <c r="A350" s="0" t="n">
        <v>133</v>
      </c>
      <c r="B350" s="0" t="s">
        <v>913</v>
      </c>
      <c r="C350" s="0" t="s">
        <v>919</v>
      </c>
      <c r="E350" s="0" t="s">
        <v>79</v>
      </c>
      <c r="F350" s="0" t="s">
        <v>10258</v>
      </c>
    </row>
    <row r="351" customFormat="false" ht="15" hidden="false" customHeight="false" outlineLevel="0" collapsed="false">
      <c r="A351" s="0" t="n">
        <v>133</v>
      </c>
      <c r="B351" s="0" t="s">
        <v>913</v>
      </c>
      <c r="C351" s="0" t="s">
        <v>920</v>
      </c>
      <c r="E351" s="0" t="s">
        <v>79</v>
      </c>
      <c r="F351" s="0" t="s">
        <v>10259</v>
      </c>
    </row>
    <row r="352" customFormat="false" ht="15" hidden="false" customHeight="false" outlineLevel="0" collapsed="false">
      <c r="A352" s="0" t="n">
        <v>133</v>
      </c>
      <c r="B352" s="0" t="s">
        <v>913</v>
      </c>
      <c r="C352" s="0" t="s">
        <v>10260</v>
      </c>
      <c r="E352" s="0" t="s">
        <v>79</v>
      </c>
      <c r="F352" s="0" t="s">
        <v>10261</v>
      </c>
    </row>
    <row r="353" customFormat="false" ht="15" hidden="false" customHeight="false" outlineLevel="0" collapsed="false">
      <c r="A353" s="0" t="n">
        <v>133</v>
      </c>
      <c r="B353" s="0" t="s">
        <v>913</v>
      </c>
      <c r="C353" s="0" t="s">
        <v>10262</v>
      </c>
      <c r="E353" s="0" t="s">
        <v>79</v>
      </c>
      <c r="F353" s="0" t="s">
        <v>10263</v>
      </c>
    </row>
    <row r="354" customFormat="false" ht="15" hidden="false" customHeight="false" outlineLevel="0" collapsed="false">
      <c r="A354" s="0" t="n">
        <v>136</v>
      </c>
      <c r="B354" s="0" t="s">
        <v>937</v>
      </c>
      <c r="C354" s="0" t="s">
        <v>939</v>
      </c>
      <c r="E354" s="0" t="s">
        <v>79</v>
      </c>
      <c r="F354" s="0" t="s">
        <v>10264</v>
      </c>
    </row>
    <row r="355" customFormat="false" ht="15" hidden="false" customHeight="false" outlineLevel="0" collapsed="false">
      <c r="A355" s="0" t="n">
        <v>136</v>
      </c>
      <c r="B355" s="0" t="s">
        <v>937</v>
      </c>
      <c r="C355" s="0" t="s">
        <v>940</v>
      </c>
      <c r="E355" s="0" t="s">
        <v>79</v>
      </c>
      <c r="F355" s="0" t="s">
        <v>10265</v>
      </c>
    </row>
    <row r="356" customFormat="false" ht="15" hidden="false" customHeight="false" outlineLevel="0" collapsed="false">
      <c r="A356" s="0" t="n">
        <v>136</v>
      </c>
      <c r="B356" s="0" t="s">
        <v>937</v>
      </c>
      <c r="C356" s="0" t="s">
        <v>941</v>
      </c>
      <c r="E356" s="0" t="s">
        <v>79</v>
      </c>
      <c r="F356" s="0" t="s">
        <v>10266</v>
      </c>
    </row>
    <row r="357" customFormat="false" ht="15" hidden="false" customHeight="false" outlineLevel="0" collapsed="false">
      <c r="A357" s="0" t="n">
        <v>136</v>
      </c>
      <c r="B357" s="0" t="s">
        <v>937</v>
      </c>
      <c r="C357" s="0" t="s">
        <v>10267</v>
      </c>
      <c r="E357" s="0" t="s">
        <v>79</v>
      </c>
      <c r="F357" s="0" t="s">
        <v>10268</v>
      </c>
    </row>
    <row r="358" customFormat="false" ht="15" hidden="false" customHeight="false" outlineLevel="0" collapsed="false">
      <c r="A358" s="0" t="n">
        <v>136</v>
      </c>
      <c r="B358" s="0" t="s">
        <v>937</v>
      </c>
      <c r="C358" s="0" t="s">
        <v>10269</v>
      </c>
      <c r="E358" s="0" t="s">
        <v>79</v>
      </c>
      <c r="F358" s="0" t="s">
        <v>10270</v>
      </c>
    </row>
    <row r="359" customFormat="false" ht="15" hidden="false" customHeight="false" outlineLevel="0" collapsed="false">
      <c r="A359" s="0" t="n">
        <v>139</v>
      </c>
      <c r="B359" s="0" t="s">
        <v>945</v>
      </c>
      <c r="C359" s="0" t="s">
        <v>949</v>
      </c>
      <c r="E359" s="0" t="s">
        <v>79</v>
      </c>
      <c r="F359" s="0" t="s">
        <v>10271</v>
      </c>
    </row>
    <row r="360" customFormat="false" ht="15" hidden="false" customHeight="false" outlineLevel="0" collapsed="false">
      <c r="A360" s="0" t="n">
        <v>139</v>
      </c>
      <c r="B360" s="0" t="s">
        <v>945</v>
      </c>
      <c r="C360" s="0" t="s">
        <v>950</v>
      </c>
      <c r="E360" s="0" t="s">
        <v>79</v>
      </c>
      <c r="F360" s="0" t="s">
        <v>10272</v>
      </c>
    </row>
    <row r="361" customFormat="false" ht="15" hidden="false" customHeight="false" outlineLevel="0" collapsed="false">
      <c r="A361" s="0" t="n">
        <v>139</v>
      </c>
      <c r="B361" s="0" t="s">
        <v>945</v>
      </c>
      <c r="C361" s="0" t="s">
        <v>951</v>
      </c>
      <c r="E361" s="0" t="s">
        <v>79</v>
      </c>
      <c r="F361" s="0" t="s">
        <v>10273</v>
      </c>
    </row>
    <row r="362" customFormat="false" ht="15" hidden="false" customHeight="false" outlineLevel="0" collapsed="false">
      <c r="A362" s="0" t="n">
        <v>139</v>
      </c>
      <c r="B362" s="0" t="s">
        <v>945</v>
      </c>
      <c r="C362" s="0" t="s">
        <v>10274</v>
      </c>
      <c r="E362" s="0" t="s">
        <v>79</v>
      </c>
      <c r="F362" s="0" t="s">
        <v>10275</v>
      </c>
    </row>
    <row r="363" customFormat="false" ht="15" hidden="false" customHeight="false" outlineLevel="0" collapsed="false">
      <c r="A363" s="0" t="n">
        <v>139</v>
      </c>
      <c r="B363" s="0" t="s">
        <v>945</v>
      </c>
      <c r="C363" s="0" t="s">
        <v>10276</v>
      </c>
      <c r="E363" s="0" t="s">
        <v>79</v>
      </c>
      <c r="F363" s="0" t="s">
        <v>10277</v>
      </c>
    </row>
    <row r="364" customFormat="false" ht="15" hidden="false" customHeight="false" outlineLevel="0" collapsed="false">
      <c r="A364" s="0" t="n">
        <v>140</v>
      </c>
      <c r="B364" s="0" t="s">
        <v>955</v>
      </c>
      <c r="C364" s="0" t="s">
        <v>957</v>
      </c>
      <c r="E364" s="0" t="s">
        <v>79</v>
      </c>
      <c r="F364" s="0" t="s">
        <v>10278</v>
      </c>
    </row>
    <row r="365" customFormat="false" ht="15" hidden="false" customHeight="false" outlineLevel="0" collapsed="false">
      <c r="A365" s="0" t="n">
        <v>140</v>
      </c>
      <c r="B365" s="0" t="s">
        <v>955</v>
      </c>
      <c r="C365" s="0" t="s">
        <v>958</v>
      </c>
      <c r="E365" s="0" t="s">
        <v>79</v>
      </c>
      <c r="F365" s="0" t="s">
        <v>10279</v>
      </c>
    </row>
    <row r="366" customFormat="false" ht="15" hidden="false" customHeight="false" outlineLevel="0" collapsed="false">
      <c r="A366" s="0" t="n">
        <v>140</v>
      </c>
      <c r="B366" s="0" t="s">
        <v>955</v>
      </c>
      <c r="C366" s="0" t="s">
        <v>959</v>
      </c>
      <c r="E366" s="0" t="s">
        <v>79</v>
      </c>
      <c r="F366" s="0" t="s">
        <v>10280</v>
      </c>
    </row>
    <row r="367" customFormat="false" ht="15" hidden="false" customHeight="false" outlineLevel="0" collapsed="false">
      <c r="A367" s="0" t="n">
        <v>140</v>
      </c>
      <c r="B367" s="0" t="s">
        <v>955</v>
      </c>
      <c r="C367" s="0" t="s">
        <v>10281</v>
      </c>
      <c r="E367" s="0" t="s">
        <v>79</v>
      </c>
      <c r="F367" s="0" t="s">
        <v>10282</v>
      </c>
    </row>
    <row r="368" customFormat="false" ht="15" hidden="false" customHeight="false" outlineLevel="0" collapsed="false">
      <c r="A368" s="0" t="n">
        <v>140</v>
      </c>
      <c r="B368" s="0" t="s">
        <v>955</v>
      </c>
      <c r="C368" s="0" t="s">
        <v>10283</v>
      </c>
      <c r="E368" s="0" t="s">
        <v>79</v>
      </c>
      <c r="F368" s="0" t="s">
        <v>10284</v>
      </c>
    </row>
    <row r="369" customFormat="false" ht="15" hidden="false" customHeight="false" outlineLevel="0" collapsed="false">
      <c r="A369" s="0" t="n">
        <v>142</v>
      </c>
      <c r="B369" s="0" t="s">
        <v>961</v>
      </c>
      <c r="C369" s="0" t="s">
        <v>965</v>
      </c>
      <c r="E369" s="0" t="s">
        <v>79</v>
      </c>
      <c r="F369" s="0" t="s">
        <v>10285</v>
      </c>
    </row>
    <row r="370" customFormat="false" ht="15" hidden="false" customHeight="false" outlineLevel="0" collapsed="false">
      <c r="A370" s="0" t="n">
        <v>142</v>
      </c>
      <c r="B370" s="0" t="s">
        <v>961</v>
      </c>
      <c r="C370" s="0" t="s">
        <v>966</v>
      </c>
      <c r="E370" s="0" t="s">
        <v>79</v>
      </c>
      <c r="F370" s="0" t="s">
        <v>10286</v>
      </c>
    </row>
    <row r="371" customFormat="false" ht="15" hidden="false" customHeight="false" outlineLevel="0" collapsed="false">
      <c r="A371" s="0" t="n">
        <v>142</v>
      </c>
      <c r="B371" s="0" t="s">
        <v>961</v>
      </c>
      <c r="C371" s="0" t="s">
        <v>967</v>
      </c>
      <c r="E371" s="0" t="s">
        <v>79</v>
      </c>
      <c r="F371" s="0" t="s">
        <v>10287</v>
      </c>
    </row>
    <row r="372" customFormat="false" ht="15" hidden="false" customHeight="false" outlineLevel="0" collapsed="false">
      <c r="A372" s="0" t="n">
        <v>142</v>
      </c>
      <c r="B372" s="0" t="s">
        <v>961</v>
      </c>
      <c r="C372" s="0" t="s">
        <v>10288</v>
      </c>
      <c r="E372" s="0" t="s">
        <v>79</v>
      </c>
      <c r="F372" s="0" t="s">
        <v>10289</v>
      </c>
    </row>
    <row r="373" customFormat="false" ht="15" hidden="false" customHeight="false" outlineLevel="0" collapsed="false">
      <c r="A373" s="0" t="n">
        <v>142</v>
      </c>
      <c r="B373" s="0" t="s">
        <v>961</v>
      </c>
      <c r="C373" s="0" t="s">
        <v>10290</v>
      </c>
      <c r="E373" s="0" t="s">
        <v>79</v>
      </c>
      <c r="F373" s="0" t="s">
        <v>10291</v>
      </c>
    </row>
    <row r="374" customFormat="false" ht="15" hidden="false" customHeight="false" outlineLevel="0" collapsed="false">
      <c r="A374" s="0" t="n">
        <v>145</v>
      </c>
      <c r="B374" s="0" t="s">
        <v>982</v>
      </c>
      <c r="C374" s="0" t="s">
        <v>988</v>
      </c>
      <c r="D374" s="0" t="s">
        <v>10292</v>
      </c>
      <c r="E374" s="0" t="s">
        <v>115</v>
      </c>
    </row>
    <row r="375" customFormat="false" ht="15" hidden="false" customHeight="false" outlineLevel="0" collapsed="false">
      <c r="A375" s="0" t="n">
        <v>145</v>
      </c>
      <c r="B375" s="0" t="s">
        <v>982</v>
      </c>
      <c r="C375" s="0" t="s">
        <v>989</v>
      </c>
      <c r="D375" s="0" t="s">
        <v>10293</v>
      </c>
      <c r="E375" s="0" t="s">
        <v>115</v>
      </c>
    </row>
    <row r="376" customFormat="false" ht="15" hidden="false" customHeight="false" outlineLevel="0" collapsed="false">
      <c r="A376" s="0" t="n">
        <v>145</v>
      </c>
      <c r="B376" s="0" t="s">
        <v>982</v>
      </c>
      <c r="C376" s="0" t="s">
        <v>990</v>
      </c>
      <c r="D376" s="0" t="s">
        <v>10294</v>
      </c>
      <c r="E376" s="0" t="s">
        <v>115</v>
      </c>
    </row>
    <row r="377" customFormat="false" ht="15" hidden="false" customHeight="false" outlineLevel="0" collapsed="false">
      <c r="A377" s="0" t="n">
        <v>146</v>
      </c>
      <c r="B377" s="0" t="s">
        <v>996</v>
      </c>
      <c r="C377" s="0" t="s">
        <v>988</v>
      </c>
      <c r="D377" s="0" t="s">
        <v>10292</v>
      </c>
      <c r="E377" s="0" t="s">
        <v>115</v>
      </c>
    </row>
    <row r="378" customFormat="false" ht="15" hidden="false" customHeight="false" outlineLevel="0" collapsed="false">
      <c r="A378" s="0" t="n">
        <v>146</v>
      </c>
      <c r="B378" s="0" t="s">
        <v>996</v>
      </c>
      <c r="C378" s="0" t="s">
        <v>989</v>
      </c>
      <c r="D378" s="0" t="s">
        <v>10293</v>
      </c>
      <c r="E378" s="0" t="s">
        <v>115</v>
      </c>
    </row>
    <row r="379" customFormat="false" ht="15" hidden="false" customHeight="false" outlineLevel="0" collapsed="false">
      <c r="A379" s="0" t="n">
        <v>146</v>
      </c>
      <c r="B379" s="0" t="s">
        <v>996</v>
      </c>
      <c r="C379" s="0" t="s">
        <v>990</v>
      </c>
      <c r="D379" s="0" t="s">
        <v>10294</v>
      </c>
      <c r="E379" s="0" t="s">
        <v>115</v>
      </c>
    </row>
    <row r="380" customFormat="false" ht="15" hidden="false" customHeight="false" outlineLevel="0" collapsed="false">
      <c r="A380" s="0" t="n">
        <v>147</v>
      </c>
      <c r="B380" s="0" t="s">
        <v>999</v>
      </c>
      <c r="C380" s="0" t="s">
        <v>1003</v>
      </c>
      <c r="E380" s="0" t="s">
        <v>79</v>
      </c>
      <c r="F380" s="0" t="s">
        <v>10295</v>
      </c>
    </row>
    <row r="381" customFormat="false" ht="15" hidden="false" customHeight="false" outlineLevel="0" collapsed="false">
      <c r="A381" s="0" t="n">
        <v>147</v>
      </c>
      <c r="B381" s="0" t="s">
        <v>999</v>
      </c>
      <c r="C381" s="0" t="s">
        <v>1004</v>
      </c>
      <c r="E381" s="0" t="s">
        <v>79</v>
      </c>
      <c r="F381" s="0" t="s">
        <v>10296</v>
      </c>
    </row>
    <row r="382" customFormat="false" ht="15" hidden="false" customHeight="false" outlineLevel="0" collapsed="false">
      <c r="A382" s="0" t="n">
        <v>147</v>
      </c>
      <c r="B382" s="0" t="s">
        <v>999</v>
      </c>
      <c r="C382" s="0" t="s">
        <v>1005</v>
      </c>
      <c r="E382" s="0" t="s">
        <v>79</v>
      </c>
      <c r="F382" s="0" t="s">
        <v>10297</v>
      </c>
    </row>
    <row r="383" customFormat="false" ht="15" hidden="false" customHeight="false" outlineLevel="0" collapsed="false">
      <c r="A383" s="0" t="n">
        <v>147</v>
      </c>
      <c r="B383" s="0" t="s">
        <v>999</v>
      </c>
      <c r="C383" s="0" t="s">
        <v>10298</v>
      </c>
      <c r="E383" s="0" t="s">
        <v>79</v>
      </c>
      <c r="F383" s="0" t="s">
        <v>10299</v>
      </c>
    </row>
    <row r="384" customFormat="false" ht="15" hidden="false" customHeight="false" outlineLevel="0" collapsed="false">
      <c r="A384" s="0" t="n">
        <v>147</v>
      </c>
      <c r="B384" s="0" t="s">
        <v>999</v>
      </c>
      <c r="C384" s="0" t="s">
        <v>10300</v>
      </c>
      <c r="E384" s="0" t="s">
        <v>79</v>
      </c>
      <c r="F384" s="0" t="s">
        <v>10301</v>
      </c>
    </row>
    <row r="385" customFormat="false" ht="15" hidden="false" customHeight="false" outlineLevel="0" collapsed="false">
      <c r="A385" s="0" t="n">
        <v>149</v>
      </c>
      <c r="B385" s="0" t="s">
        <v>1016</v>
      </c>
      <c r="C385" s="0" t="s">
        <v>1023</v>
      </c>
      <c r="D385" s="0" t="s">
        <v>10302</v>
      </c>
      <c r="E385" s="0" t="s">
        <v>115</v>
      </c>
    </row>
    <row r="386" customFormat="false" ht="15" hidden="false" customHeight="false" outlineLevel="0" collapsed="false">
      <c r="A386" s="0" t="n">
        <v>149</v>
      </c>
      <c r="B386" s="0" t="s">
        <v>1016</v>
      </c>
      <c r="C386" s="0" t="s">
        <v>1024</v>
      </c>
      <c r="D386" s="0" t="s">
        <v>10303</v>
      </c>
      <c r="E386" s="0" t="s">
        <v>115</v>
      </c>
    </row>
    <row r="387" customFormat="false" ht="15" hidden="false" customHeight="false" outlineLevel="0" collapsed="false">
      <c r="A387" s="0" t="n">
        <v>149</v>
      </c>
      <c r="B387" s="0" t="s">
        <v>1016</v>
      </c>
      <c r="C387" s="0" t="s">
        <v>1025</v>
      </c>
      <c r="D387" s="0" t="s">
        <v>10304</v>
      </c>
      <c r="E387" s="0" t="s">
        <v>115</v>
      </c>
    </row>
    <row r="388" customFormat="false" ht="15" hidden="false" customHeight="false" outlineLevel="0" collapsed="false">
      <c r="A388" s="0" t="n">
        <v>150</v>
      </c>
      <c r="B388" s="0" t="s">
        <v>1033</v>
      </c>
      <c r="C388" s="0" t="s">
        <v>1023</v>
      </c>
      <c r="D388" s="0" t="s">
        <v>10302</v>
      </c>
      <c r="E388" s="0" t="s">
        <v>115</v>
      </c>
    </row>
    <row r="389" customFormat="false" ht="15" hidden="false" customHeight="false" outlineLevel="0" collapsed="false">
      <c r="A389" s="0" t="n">
        <v>150</v>
      </c>
      <c r="B389" s="0" t="s">
        <v>1033</v>
      </c>
      <c r="C389" s="0" t="s">
        <v>1024</v>
      </c>
      <c r="D389" s="0" t="s">
        <v>10303</v>
      </c>
      <c r="E389" s="0" t="s">
        <v>115</v>
      </c>
    </row>
    <row r="390" customFormat="false" ht="15" hidden="false" customHeight="false" outlineLevel="0" collapsed="false">
      <c r="A390" s="0" t="n">
        <v>150</v>
      </c>
      <c r="B390" s="0" t="s">
        <v>1033</v>
      </c>
      <c r="C390" s="0" t="s">
        <v>1025</v>
      </c>
      <c r="D390" s="0" t="s">
        <v>10304</v>
      </c>
      <c r="E390" s="0" t="s">
        <v>115</v>
      </c>
    </row>
    <row r="391" customFormat="false" ht="15" hidden="false" customHeight="false" outlineLevel="0" collapsed="false">
      <c r="A391" s="0" t="n">
        <v>151</v>
      </c>
      <c r="B391" s="0" t="s">
        <v>1036</v>
      </c>
      <c r="C391" s="0" t="s">
        <v>1039</v>
      </c>
      <c r="E391" s="0" t="s">
        <v>79</v>
      </c>
      <c r="F391" s="0" t="s">
        <v>10305</v>
      </c>
    </row>
    <row r="392" customFormat="false" ht="15" hidden="false" customHeight="false" outlineLevel="0" collapsed="false">
      <c r="A392" s="0" t="n">
        <v>151</v>
      </c>
      <c r="B392" s="0" t="s">
        <v>1036</v>
      </c>
      <c r="C392" s="0" t="s">
        <v>1040</v>
      </c>
      <c r="E392" s="0" t="s">
        <v>79</v>
      </c>
      <c r="F392" s="0" t="s">
        <v>10306</v>
      </c>
    </row>
    <row r="393" customFormat="false" ht="15" hidden="false" customHeight="false" outlineLevel="0" collapsed="false">
      <c r="A393" s="0" t="n">
        <v>151</v>
      </c>
      <c r="B393" s="0" t="s">
        <v>1036</v>
      </c>
      <c r="C393" s="0" t="s">
        <v>1041</v>
      </c>
      <c r="E393" s="0" t="s">
        <v>79</v>
      </c>
      <c r="F393" s="0" t="s">
        <v>10307</v>
      </c>
    </row>
    <row r="394" customFormat="false" ht="15" hidden="false" customHeight="false" outlineLevel="0" collapsed="false">
      <c r="A394" s="0" t="n">
        <v>151</v>
      </c>
      <c r="B394" s="0" t="s">
        <v>1036</v>
      </c>
      <c r="C394" s="0" t="s">
        <v>10308</v>
      </c>
      <c r="E394" s="0" t="s">
        <v>79</v>
      </c>
      <c r="F394" s="0" t="s">
        <v>10309</v>
      </c>
    </row>
    <row r="395" customFormat="false" ht="15" hidden="false" customHeight="false" outlineLevel="0" collapsed="false">
      <c r="A395" s="0" t="n">
        <v>151</v>
      </c>
      <c r="B395" s="0" t="s">
        <v>1036</v>
      </c>
      <c r="C395" s="0" t="s">
        <v>10310</v>
      </c>
      <c r="E395" s="0" t="s">
        <v>79</v>
      </c>
      <c r="F395" s="0" t="s">
        <v>10311</v>
      </c>
    </row>
    <row r="396" customFormat="false" ht="15" hidden="false" customHeight="false" outlineLevel="0" collapsed="false">
      <c r="A396" s="0" t="n">
        <v>152</v>
      </c>
      <c r="B396" s="0" t="s">
        <v>1042</v>
      </c>
      <c r="C396" s="0" t="s">
        <v>1044</v>
      </c>
      <c r="E396" s="0" t="s">
        <v>59</v>
      </c>
      <c r="F396" s="0" t="s">
        <v>10312</v>
      </c>
    </row>
    <row r="397" customFormat="false" ht="15" hidden="false" customHeight="false" outlineLevel="0" collapsed="false">
      <c r="A397" s="0" t="n">
        <v>152</v>
      </c>
      <c r="B397" s="0" t="s">
        <v>1042</v>
      </c>
      <c r="C397" s="0" t="s">
        <v>1045</v>
      </c>
      <c r="E397" s="0" t="s">
        <v>59</v>
      </c>
      <c r="F397" s="0" t="s">
        <v>10313</v>
      </c>
    </row>
    <row r="398" customFormat="false" ht="15" hidden="false" customHeight="false" outlineLevel="0" collapsed="false">
      <c r="A398" s="0" t="n">
        <v>152</v>
      </c>
      <c r="B398" s="0" t="s">
        <v>1042</v>
      </c>
      <c r="C398" s="0" t="s">
        <v>1046</v>
      </c>
      <c r="E398" s="0" t="s">
        <v>59</v>
      </c>
      <c r="F398" s="0" t="s">
        <v>10314</v>
      </c>
    </row>
    <row r="399" customFormat="false" ht="15" hidden="false" customHeight="false" outlineLevel="0" collapsed="false">
      <c r="A399" s="0" t="n">
        <v>152</v>
      </c>
      <c r="B399" s="0" t="s">
        <v>1042</v>
      </c>
      <c r="C399" s="0" t="s">
        <v>10315</v>
      </c>
      <c r="E399" s="0" t="s">
        <v>59</v>
      </c>
      <c r="F399" s="0" t="s">
        <v>10316</v>
      </c>
    </row>
    <row r="400" customFormat="false" ht="15" hidden="false" customHeight="false" outlineLevel="0" collapsed="false">
      <c r="A400" s="0" t="n">
        <v>152</v>
      </c>
      <c r="B400" s="0" t="s">
        <v>1042</v>
      </c>
      <c r="C400" s="0" t="s">
        <v>10317</v>
      </c>
      <c r="E400" s="0" t="s">
        <v>59</v>
      </c>
      <c r="F400" s="0" t="s">
        <v>10318</v>
      </c>
    </row>
    <row r="401" customFormat="false" ht="15" hidden="false" customHeight="false" outlineLevel="0" collapsed="false">
      <c r="A401" s="0" t="n">
        <v>153</v>
      </c>
      <c r="B401" s="0" t="s">
        <v>1047</v>
      </c>
      <c r="C401" s="0" t="s">
        <v>1050</v>
      </c>
      <c r="E401" s="0" t="s">
        <v>79</v>
      </c>
      <c r="F401" s="0" t="s">
        <v>10319</v>
      </c>
    </row>
    <row r="402" customFormat="false" ht="15" hidden="false" customHeight="false" outlineLevel="0" collapsed="false">
      <c r="A402" s="0" t="n">
        <v>153</v>
      </c>
      <c r="B402" s="0" t="s">
        <v>1047</v>
      </c>
      <c r="C402" s="0" t="s">
        <v>1051</v>
      </c>
      <c r="E402" s="0" t="s">
        <v>79</v>
      </c>
      <c r="F402" s="0" t="s">
        <v>10320</v>
      </c>
    </row>
    <row r="403" customFormat="false" ht="15" hidden="false" customHeight="false" outlineLevel="0" collapsed="false">
      <c r="A403" s="0" t="n">
        <v>153</v>
      </c>
      <c r="B403" s="0" t="s">
        <v>1047</v>
      </c>
      <c r="C403" s="0" t="s">
        <v>1052</v>
      </c>
      <c r="E403" s="0" t="s">
        <v>79</v>
      </c>
      <c r="F403" s="0" t="s">
        <v>10321</v>
      </c>
    </row>
    <row r="404" customFormat="false" ht="15" hidden="false" customHeight="false" outlineLevel="0" collapsed="false">
      <c r="A404" s="0" t="n">
        <v>153</v>
      </c>
      <c r="B404" s="0" t="s">
        <v>1047</v>
      </c>
      <c r="C404" s="0" t="s">
        <v>10322</v>
      </c>
      <c r="E404" s="0" t="s">
        <v>79</v>
      </c>
      <c r="F404" s="0" t="s">
        <v>10323</v>
      </c>
    </row>
    <row r="405" customFormat="false" ht="15" hidden="false" customHeight="false" outlineLevel="0" collapsed="false">
      <c r="A405" s="0" t="n">
        <v>153</v>
      </c>
      <c r="B405" s="0" t="s">
        <v>1047</v>
      </c>
      <c r="C405" s="0" t="s">
        <v>10324</v>
      </c>
      <c r="E405" s="0" t="s">
        <v>79</v>
      </c>
      <c r="F405" s="0" t="s">
        <v>10325</v>
      </c>
    </row>
    <row r="406" customFormat="false" ht="15" hidden="false" customHeight="false" outlineLevel="0" collapsed="false">
      <c r="A406" s="0" t="n">
        <v>154</v>
      </c>
      <c r="B406" s="0" t="s">
        <v>1058</v>
      </c>
      <c r="C406" s="0" t="s">
        <v>1061</v>
      </c>
      <c r="E406" s="0" t="s">
        <v>79</v>
      </c>
      <c r="F406" s="0" t="s">
        <v>10326</v>
      </c>
    </row>
    <row r="407" customFormat="false" ht="15" hidden="false" customHeight="false" outlineLevel="0" collapsed="false">
      <c r="A407" s="0" t="n">
        <v>154</v>
      </c>
      <c r="B407" s="0" t="s">
        <v>1058</v>
      </c>
      <c r="C407" s="0" t="s">
        <v>1062</v>
      </c>
      <c r="E407" s="0" t="s">
        <v>79</v>
      </c>
      <c r="F407" s="0" t="s">
        <v>10327</v>
      </c>
    </row>
    <row r="408" customFormat="false" ht="15" hidden="false" customHeight="false" outlineLevel="0" collapsed="false">
      <c r="A408" s="0" t="n">
        <v>154</v>
      </c>
      <c r="B408" s="0" t="s">
        <v>1058</v>
      </c>
      <c r="C408" s="0" t="s">
        <v>1063</v>
      </c>
      <c r="E408" s="0" t="s">
        <v>79</v>
      </c>
      <c r="F408" s="0" t="s">
        <v>10328</v>
      </c>
    </row>
    <row r="409" customFormat="false" ht="15" hidden="false" customHeight="false" outlineLevel="0" collapsed="false">
      <c r="A409" s="0" t="n">
        <v>154</v>
      </c>
      <c r="B409" s="0" t="s">
        <v>1058</v>
      </c>
      <c r="C409" s="0" t="s">
        <v>10329</v>
      </c>
      <c r="E409" s="0" t="s">
        <v>79</v>
      </c>
      <c r="F409" s="0" t="s">
        <v>10330</v>
      </c>
    </row>
    <row r="410" customFormat="false" ht="15" hidden="false" customHeight="false" outlineLevel="0" collapsed="false">
      <c r="A410" s="0" t="n">
        <v>154</v>
      </c>
      <c r="B410" s="0" t="s">
        <v>1058</v>
      </c>
      <c r="C410" s="0" t="s">
        <v>10331</v>
      </c>
      <c r="E410" s="0" t="s">
        <v>79</v>
      </c>
      <c r="F410" s="0" t="s">
        <v>10332</v>
      </c>
    </row>
    <row r="411" customFormat="false" ht="15" hidden="false" customHeight="false" outlineLevel="0" collapsed="false">
      <c r="A411" s="0" t="n">
        <v>155</v>
      </c>
      <c r="B411" s="0" t="s">
        <v>1068</v>
      </c>
      <c r="C411" s="0" t="s">
        <v>1071</v>
      </c>
      <c r="E411" s="0" t="s">
        <v>79</v>
      </c>
      <c r="F411" s="0" t="s">
        <v>10333</v>
      </c>
    </row>
    <row r="412" customFormat="false" ht="15" hidden="false" customHeight="false" outlineLevel="0" collapsed="false">
      <c r="A412" s="0" t="n">
        <v>155</v>
      </c>
      <c r="B412" s="0" t="s">
        <v>1068</v>
      </c>
      <c r="C412" s="0" t="s">
        <v>1072</v>
      </c>
      <c r="E412" s="0" t="s">
        <v>79</v>
      </c>
      <c r="F412" s="0" t="s">
        <v>10334</v>
      </c>
    </row>
    <row r="413" customFormat="false" ht="15" hidden="false" customHeight="false" outlineLevel="0" collapsed="false">
      <c r="A413" s="0" t="n">
        <v>155</v>
      </c>
      <c r="B413" s="0" t="s">
        <v>1068</v>
      </c>
      <c r="C413" s="0" t="s">
        <v>1073</v>
      </c>
      <c r="E413" s="0" t="s">
        <v>79</v>
      </c>
      <c r="F413" s="0" t="s">
        <v>10335</v>
      </c>
    </row>
    <row r="414" customFormat="false" ht="15" hidden="false" customHeight="false" outlineLevel="0" collapsed="false">
      <c r="A414" s="0" t="n">
        <v>155</v>
      </c>
      <c r="B414" s="0" t="s">
        <v>1068</v>
      </c>
      <c r="C414" s="0" t="s">
        <v>10336</v>
      </c>
      <c r="E414" s="0" t="s">
        <v>79</v>
      </c>
      <c r="F414" s="0" t="s">
        <v>10337</v>
      </c>
    </row>
    <row r="415" customFormat="false" ht="15" hidden="false" customHeight="false" outlineLevel="0" collapsed="false">
      <c r="A415" s="0" t="n">
        <v>155</v>
      </c>
      <c r="B415" s="0" t="s">
        <v>1068</v>
      </c>
      <c r="C415" s="0" t="s">
        <v>10338</v>
      </c>
      <c r="E415" s="0" t="s">
        <v>79</v>
      </c>
      <c r="F415" s="0" t="s">
        <v>10339</v>
      </c>
    </row>
    <row r="416" customFormat="false" ht="15" hidden="false" customHeight="false" outlineLevel="0" collapsed="false">
      <c r="A416" s="0" t="n">
        <v>159</v>
      </c>
      <c r="B416" s="0" t="s">
        <v>1093</v>
      </c>
      <c r="C416" s="0" t="s">
        <v>1095</v>
      </c>
      <c r="E416" s="0" t="s">
        <v>79</v>
      </c>
      <c r="F416" s="0" t="s">
        <v>10340</v>
      </c>
    </row>
    <row r="417" customFormat="false" ht="15" hidden="false" customHeight="false" outlineLevel="0" collapsed="false">
      <c r="A417" s="0" t="n">
        <v>159</v>
      </c>
      <c r="B417" s="0" t="s">
        <v>1093</v>
      </c>
      <c r="C417" s="0" t="s">
        <v>1096</v>
      </c>
      <c r="E417" s="0" t="s">
        <v>79</v>
      </c>
      <c r="F417" s="0" t="s">
        <v>10341</v>
      </c>
    </row>
    <row r="418" customFormat="false" ht="15" hidden="false" customHeight="false" outlineLevel="0" collapsed="false">
      <c r="A418" s="0" t="n">
        <v>159</v>
      </c>
      <c r="B418" s="0" t="s">
        <v>1093</v>
      </c>
      <c r="C418" s="0" t="s">
        <v>1097</v>
      </c>
      <c r="E418" s="0" t="s">
        <v>79</v>
      </c>
      <c r="F418" s="0" t="s">
        <v>10342</v>
      </c>
    </row>
    <row r="419" customFormat="false" ht="15" hidden="false" customHeight="false" outlineLevel="0" collapsed="false">
      <c r="A419" s="0" t="n">
        <v>159</v>
      </c>
      <c r="B419" s="0" t="s">
        <v>1093</v>
      </c>
      <c r="C419" s="0" t="s">
        <v>10343</v>
      </c>
      <c r="E419" s="0" t="s">
        <v>79</v>
      </c>
      <c r="F419" s="0" t="s">
        <v>10344</v>
      </c>
    </row>
    <row r="420" customFormat="false" ht="15" hidden="false" customHeight="false" outlineLevel="0" collapsed="false">
      <c r="A420" s="0" t="n">
        <v>159</v>
      </c>
      <c r="B420" s="0" t="s">
        <v>1093</v>
      </c>
      <c r="C420" s="0" t="s">
        <v>10345</v>
      </c>
      <c r="E420" s="0" t="s">
        <v>79</v>
      </c>
      <c r="F420" s="0" t="s">
        <v>10346</v>
      </c>
    </row>
    <row r="421" customFormat="false" ht="15" hidden="false" customHeight="false" outlineLevel="0" collapsed="false">
      <c r="A421" s="0" t="n">
        <v>160</v>
      </c>
      <c r="B421" s="0" t="s">
        <v>1100</v>
      </c>
      <c r="C421" s="0" t="s">
        <v>1102</v>
      </c>
      <c r="E421" s="0" t="s">
        <v>79</v>
      </c>
      <c r="F421" s="0" t="s">
        <v>10347</v>
      </c>
    </row>
    <row r="422" customFormat="false" ht="15" hidden="false" customHeight="false" outlineLevel="0" collapsed="false">
      <c r="A422" s="0" t="n">
        <v>160</v>
      </c>
      <c r="B422" s="0" t="s">
        <v>1100</v>
      </c>
      <c r="C422" s="0" t="s">
        <v>1103</v>
      </c>
      <c r="E422" s="0" t="s">
        <v>79</v>
      </c>
      <c r="F422" s="0" t="s">
        <v>10348</v>
      </c>
    </row>
    <row r="423" customFormat="false" ht="15" hidden="false" customHeight="false" outlineLevel="0" collapsed="false">
      <c r="A423" s="0" t="n">
        <v>160</v>
      </c>
      <c r="B423" s="0" t="s">
        <v>1100</v>
      </c>
      <c r="C423" s="0" t="s">
        <v>1104</v>
      </c>
      <c r="E423" s="0" t="s">
        <v>79</v>
      </c>
      <c r="F423" s="0" t="s">
        <v>10349</v>
      </c>
    </row>
    <row r="424" customFormat="false" ht="15" hidden="false" customHeight="false" outlineLevel="0" collapsed="false">
      <c r="A424" s="0" t="n">
        <v>160</v>
      </c>
      <c r="B424" s="0" t="s">
        <v>1100</v>
      </c>
      <c r="C424" s="0" t="s">
        <v>10350</v>
      </c>
      <c r="E424" s="0" t="s">
        <v>79</v>
      </c>
      <c r="F424" s="0" t="s">
        <v>10351</v>
      </c>
    </row>
    <row r="425" customFormat="false" ht="15" hidden="false" customHeight="false" outlineLevel="0" collapsed="false">
      <c r="A425" s="0" t="n">
        <v>160</v>
      </c>
      <c r="B425" s="0" t="s">
        <v>1100</v>
      </c>
      <c r="C425" s="0" t="s">
        <v>10352</v>
      </c>
      <c r="E425" s="0" t="s">
        <v>79</v>
      </c>
      <c r="F425" s="0" t="s">
        <v>10353</v>
      </c>
    </row>
    <row r="426" customFormat="false" ht="15" hidden="false" customHeight="false" outlineLevel="0" collapsed="false">
      <c r="A426" s="0" t="n">
        <v>162</v>
      </c>
      <c r="B426" s="0" t="s">
        <v>1111</v>
      </c>
      <c r="C426" s="0" t="s">
        <v>1114</v>
      </c>
      <c r="E426" s="0" t="s">
        <v>79</v>
      </c>
      <c r="F426" s="0" t="s">
        <v>10354</v>
      </c>
    </row>
    <row r="427" customFormat="false" ht="15" hidden="false" customHeight="false" outlineLevel="0" collapsed="false">
      <c r="A427" s="0" t="n">
        <v>162</v>
      </c>
      <c r="B427" s="0" t="s">
        <v>1111</v>
      </c>
      <c r="C427" s="0" t="s">
        <v>1115</v>
      </c>
      <c r="E427" s="0" t="s">
        <v>79</v>
      </c>
      <c r="F427" s="0" t="s">
        <v>10355</v>
      </c>
    </row>
    <row r="428" customFormat="false" ht="15" hidden="false" customHeight="false" outlineLevel="0" collapsed="false">
      <c r="A428" s="0" t="n">
        <v>162</v>
      </c>
      <c r="B428" s="0" t="s">
        <v>1111</v>
      </c>
      <c r="C428" s="0" t="s">
        <v>1116</v>
      </c>
      <c r="E428" s="0" t="s">
        <v>79</v>
      </c>
      <c r="F428" s="0" t="s">
        <v>10356</v>
      </c>
    </row>
    <row r="429" customFormat="false" ht="15" hidden="false" customHeight="false" outlineLevel="0" collapsed="false">
      <c r="A429" s="0" t="n">
        <v>163</v>
      </c>
      <c r="B429" s="0" t="s">
        <v>1120</v>
      </c>
      <c r="C429" s="0" t="s">
        <v>1123</v>
      </c>
      <c r="E429" s="0" t="s">
        <v>59</v>
      </c>
      <c r="F429" s="0" t="s">
        <v>10357</v>
      </c>
    </row>
    <row r="430" customFormat="false" ht="15" hidden="false" customHeight="false" outlineLevel="0" collapsed="false">
      <c r="A430" s="0" t="n">
        <v>163</v>
      </c>
      <c r="B430" s="0" t="s">
        <v>1120</v>
      </c>
      <c r="C430" s="0" t="s">
        <v>1124</v>
      </c>
      <c r="E430" s="0" t="s">
        <v>59</v>
      </c>
      <c r="F430" s="0" t="s">
        <v>10358</v>
      </c>
    </row>
    <row r="431" customFormat="false" ht="15" hidden="false" customHeight="false" outlineLevel="0" collapsed="false">
      <c r="A431" s="0" t="n">
        <v>163</v>
      </c>
      <c r="B431" s="0" t="s">
        <v>1120</v>
      </c>
      <c r="C431" s="0" t="s">
        <v>1125</v>
      </c>
      <c r="E431" s="0" t="s">
        <v>59</v>
      </c>
      <c r="F431" s="0" t="s">
        <v>10359</v>
      </c>
    </row>
    <row r="432" customFormat="false" ht="15" hidden="false" customHeight="false" outlineLevel="0" collapsed="false">
      <c r="A432" s="0" t="n">
        <v>163</v>
      </c>
      <c r="B432" s="0" t="s">
        <v>1120</v>
      </c>
      <c r="C432" s="0" t="s">
        <v>10360</v>
      </c>
      <c r="E432" s="0" t="s">
        <v>59</v>
      </c>
      <c r="F432" s="0" t="s">
        <v>10361</v>
      </c>
    </row>
    <row r="433" customFormat="false" ht="15" hidden="false" customHeight="false" outlineLevel="0" collapsed="false">
      <c r="A433" s="0" t="n">
        <v>163</v>
      </c>
      <c r="B433" s="0" t="s">
        <v>1120</v>
      </c>
      <c r="C433" s="0" t="s">
        <v>10362</v>
      </c>
      <c r="E433" s="0" t="s">
        <v>59</v>
      </c>
      <c r="F433" s="0" t="s">
        <v>10363</v>
      </c>
    </row>
    <row r="434" customFormat="false" ht="15" hidden="false" customHeight="false" outlineLevel="0" collapsed="false">
      <c r="A434" s="0" t="n">
        <v>164</v>
      </c>
      <c r="B434" s="0" t="s">
        <v>1129</v>
      </c>
      <c r="C434" s="0" t="s">
        <v>1132</v>
      </c>
      <c r="E434" s="0" t="s">
        <v>79</v>
      </c>
      <c r="F434" s="0" t="s">
        <v>10364</v>
      </c>
    </row>
    <row r="435" customFormat="false" ht="15" hidden="false" customHeight="false" outlineLevel="0" collapsed="false">
      <c r="A435" s="0" t="n">
        <v>164</v>
      </c>
      <c r="B435" s="0" t="s">
        <v>1129</v>
      </c>
      <c r="C435" s="0" t="s">
        <v>1133</v>
      </c>
      <c r="E435" s="0" t="s">
        <v>79</v>
      </c>
      <c r="F435" s="0" t="s">
        <v>10365</v>
      </c>
    </row>
    <row r="436" customFormat="false" ht="15" hidden="false" customHeight="false" outlineLevel="0" collapsed="false">
      <c r="A436" s="0" t="n">
        <v>164</v>
      </c>
      <c r="B436" s="0" t="s">
        <v>1129</v>
      </c>
      <c r="C436" s="0" t="s">
        <v>1134</v>
      </c>
      <c r="E436" s="0" t="s">
        <v>79</v>
      </c>
      <c r="F436" s="0" t="s">
        <v>10366</v>
      </c>
    </row>
    <row r="437" customFormat="false" ht="15" hidden="false" customHeight="false" outlineLevel="0" collapsed="false">
      <c r="A437" s="0" t="n">
        <v>164</v>
      </c>
      <c r="B437" s="0" t="s">
        <v>1129</v>
      </c>
      <c r="C437" s="0" t="s">
        <v>10367</v>
      </c>
      <c r="E437" s="0" t="s">
        <v>79</v>
      </c>
      <c r="F437" s="0" t="s">
        <v>10368</v>
      </c>
    </row>
    <row r="438" customFormat="false" ht="15" hidden="false" customHeight="false" outlineLevel="0" collapsed="false">
      <c r="A438" s="0" t="n">
        <v>164</v>
      </c>
      <c r="B438" s="0" t="s">
        <v>1129</v>
      </c>
      <c r="C438" s="0" t="s">
        <v>10369</v>
      </c>
      <c r="E438" s="0" t="s">
        <v>79</v>
      </c>
      <c r="F438" s="0" t="s">
        <v>10370</v>
      </c>
    </row>
    <row r="439" customFormat="false" ht="15" hidden="false" customHeight="false" outlineLevel="0" collapsed="false">
      <c r="A439" s="0" t="n">
        <v>165</v>
      </c>
      <c r="B439" s="0" t="s">
        <v>1135</v>
      </c>
      <c r="C439" s="0" t="s">
        <v>1143</v>
      </c>
      <c r="D439" s="0" t="s">
        <v>10371</v>
      </c>
      <c r="E439" s="0" t="s">
        <v>115</v>
      </c>
    </row>
    <row r="440" customFormat="false" ht="15" hidden="false" customHeight="false" outlineLevel="0" collapsed="false">
      <c r="A440" s="0" t="n">
        <v>165</v>
      </c>
      <c r="B440" s="0" t="s">
        <v>1135</v>
      </c>
      <c r="C440" s="0" t="s">
        <v>1144</v>
      </c>
      <c r="D440" s="0" t="s">
        <v>10372</v>
      </c>
      <c r="E440" s="0" t="s">
        <v>115</v>
      </c>
    </row>
    <row r="441" customFormat="false" ht="15" hidden="false" customHeight="false" outlineLevel="0" collapsed="false">
      <c r="A441" s="0" t="n">
        <v>165</v>
      </c>
      <c r="B441" s="0" t="s">
        <v>1135</v>
      </c>
      <c r="C441" s="0" t="s">
        <v>1145</v>
      </c>
      <c r="D441" s="0" t="s">
        <v>10373</v>
      </c>
      <c r="E441" s="0" t="s">
        <v>115</v>
      </c>
    </row>
    <row r="442" customFormat="false" ht="15" hidden="false" customHeight="false" outlineLevel="0" collapsed="false">
      <c r="A442" s="0" t="n">
        <v>166</v>
      </c>
      <c r="B442" s="0" t="s">
        <v>1153</v>
      </c>
      <c r="C442" s="0" t="s">
        <v>1155</v>
      </c>
      <c r="E442" s="0" t="s">
        <v>59</v>
      </c>
      <c r="F442" s="0" t="s">
        <v>10374</v>
      </c>
    </row>
    <row r="443" customFormat="false" ht="15" hidden="false" customHeight="false" outlineLevel="0" collapsed="false">
      <c r="A443" s="0" t="n">
        <v>166</v>
      </c>
      <c r="B443" s="0" t="s">
        <v>1153</v>
      </c>
      <c r="C443" s="0" t="s">
        <v>1156</v>
      </c>
      <c r="E443" s="0" t="s">
        <v>59</v>
      </c>
      <c r="F443" s="0" t="s">
        <v>10375</v>
      </c>
    </row>
    <row r="444" customFormat="false" ht="15" hidden="false" customHeight="false" outlineLevel="0" collapsed="false">
      <c r="A444" s="0" t="n">
        <v>166</v>
      </c>
      <c r="B444" s="0" t="s">
        <v>1153</v>
      </c>
      <c r="C444" s="0" t="s">
        <v>1157</v>
      </c>
      <c r="E444" s="0" t="s">
        <v>59</v>
      </c>
      <c r="F444" s="0" t="s">
        <v>10376</v>
      </c>
    </row>
    <row r="445" customFormat="false" ht="15" hidden="false" customHeight="false" outlineLevel="0" collapsed="false">
      <c r="A445" s="0" t="n">
        <v>166</v>
      </c>
      <c r="B445" s="0" t="s">
        <v>1153</v>
      </c>
      <c r="C445" s="0" t="s">
        <v>10377</v>
      </c>
      <c r="E445" s="0" t="s">
        <v>59</v>
      </c>
      <c r="F445" s="0" t="s">
        <v>10378</v>
      </c>
    </row>
    <row r="446" customFormat="false" ht="15" hidden="false" customHeight="false" outlineLevel="0" collapsed="false">
      <c r="A446" s="0" t="n">
        <v>166</v>
      </c>
      <c r="B446" s="0" t="s">
        <v>1153</v>
      </c>
      <c r="C446" s="0" t="s">
        <v>10379</v>
      </c>
      <c r="E446" s="0" t="s">
        <v>59</v>
      </c>
      <c r="F446" s="0" t="s">
        <v>10380</v>
      </c>
    </row>
    <row r="447" customFormat="false" ht="15" hidden="false" customHeight="false" outlineLevel="0" collapsed="false">
      <c r="A447" s="0" t="n">
        <v>167</v>
      </c>
      <c r="B447" s="0" t="s">
        <v>1158</v>
      </c>
      <c r="C447" s="0" t="s">
        <v>1161</v>
      </c>
      <c r="E447" s="0" t="s">
        <v>79</v>
      </c>
      <c r="F447" s="0" t="s">
        <v>10381</v>
      </c>
    </row>
    <row r="448" customFormat="false" ht="15" hidden="false" customHeight="false" outlineLevel="0" collapsed="false">
      <c r="A448" s="0" t="n">
        <v>167</v>
      </c>
      <c r="B448" s="0" t="s">
        <v>1158</v>
      </c>
      <c r="C448" s="0" t="s">
        <v>1162</v>
      </c>
      <c r="E448" s="0" t="s">
        <v>79</v>
      </c>
      <c r="F448" s="0" t="s">
        <v>10382</v>
      </c>
    </row>
    <row r="449" customFormat="false" ht="15" hidden="false" customHeight="false" outlineLevel="0" collapsed="false">
      <c r="A449" s="0" t="n">
        <v>167</v>
      </c>
      <c r="B449" s="0" t="s">
        <v>1158</v>
      </c>
      <c r="C449" s="0" t="s">
        <v>1163</v>
      </c>
      <c r="E449" s="0" t="s">
        <v>79</v>
      </c>
      <c r="F449" s="0" t="s">
        <v>10383</v>
      </c>
    </row>
    <row r="450" customFormat="false" ht="15" hidden="false" customHeight="false" outlineLevel="0" collapsed="false">
      <c r="A450" s="0" t="n">
        <v>167</v>
      </c>
      <c r="B450" s="0" t="s">
        <v>1158</v>
      </c>
      <c r="C450" s="0" t="s">
        <v>10384</v>
      </c>
      <c r="E450" s="0" t="s">
        <v>79</v>
      </c>
      <c r="F450" s="0" t="s">
        <v>10385</v>
      </c>
    </row>
    <row r="451" customFormat="false" ht="15" hidden="false" customHeight="false" outlineLevel="0" collapsed="false">
      <c r="A451" s="0" t="n">
        <v>167</v>
      </c>
      <c r="B451" s="0" t="s">
        <v>1158</v>
      </c>
      <c r="C451" s="0" t="s">
        <v>10386</v>
      </c>
      <c r="E451" s="0" t="s">
        <v>79</v>
      </c>
      <c r="F451" s="0" t="s">
        <v>10387</v>
      </c>
    </row>
    <row r="452" customFormat="false" ht="15" hidden="false" customHeight="false" outlineLevel="0" collapsed="false">
      <c r="A452" s="0" t="n">
        <v>168</v>
      </c>
      <c r="B452" s="0" t="s">
        <v>1164</v>
      </c>
      <c r="C452" s="0" t="s">
        <v>1171</v>
      </c>
      <c r="D452" s="0" t="s">
        <v>10388</v>
      </c>
      <c r="E452" s="0" t="s">
        <v>115</v>
      </c>
    </row>
    <row r="453" customFormat="false" ht="15" hidden="false" customHeight="false" outlineLevel="0" collapsed="false">
      <c r="A453" s="0" t="n">
        <v>168</v>
      </c>
      <c r="B453" s="0" t="s">
        <v>1164</v>
      </c>
      <c r="C453" s="0" t="s">
        <v>1172</v>
      </c>
      <c r="D453" s="0" t="s">
        <v>10389</v>
      </c>
      <c r="E453" s="0" t="s">
        <v>115</v>
      </c>
    </row>
    <row r="454" customFormat="false" ht="15" hidden="false" customHeight="false" outlineLevel="0" collapsed="false">
      <c r="A454" s="0" t="n">
        <v>168</v>
      </c>
      <c r="B454" s="0" t="s">
        <v>1164</v>
      </c>
      <c r="C454" s="0" t="s">
        <v>1173</v>
      </c>
      <c r="D454" s="0" t="s">
        <v>10390</v>
      </c>
      <c r="E454" s="0" t="s">
        <v>115</v>
      </c>
    </row>
    <row r="455" customFormat="false" ht="15" hidden="false" customHeight="false" outlineLevel="0" collapsed="false">
      <c r="A455" s="0" t="n">
        <v>170</v>
      </c>
      <c r="B455" s="0" t="s">
        <v>1189</v>
      </c>
      <c r="C455" s="0" t="s">
        <v>1191</v>
      </c>
      <c r="E455" s="0" t="s">
        <v>79</v>
      </c>
      <c r="F455" s="0" t="s">
        <v>10391</v>
      </c>
    </row>
    <row r="456" customFormat="false" ht="15" hidden="false" customHeight="false" outlineLevel="0" collapsed="false">
      <c r="A456" s="0" t="n">
        <v>170</v>
      </c>
      <c r="B456" s="0" t="s">
        <v>1189</v>
      </c>
      <c r="C456" s="0" t="s">
        <v>1192</v>
      </c>
      <c r="E456" s="0" t="s">
        <v>79</v>
      </c>
      <c r="F456" s="0" t="s">
        <v>10392</v>
      </c>
    </row>
    <row r="457" customFormat="false" ht="15" hidden="false" customHeight="false" outlineLevel="0" collapsed="false">
      <c r="A457" s="0" t="n">
        <v>170</v>
      </c>
      <c r="B457" s="0" t="s">
        <v>1189</v>
      </c>
      <c r="C457" s="0" t="s">
        <v>1193</v>
      </c>
      <c r="E457" s="0" t="s">
        <v>79</v>
      </c>
      <c r="F457" s="0" t="s">
        <v>10393</v>
      </c>
    </row>
    <row r="458" customFormat="false" ht="15" hidden="false" customHeight="false" outlineLevel="0" collapsed="false">
      <c r="A458" s="0" t="n">
        <v>170</v>
      </c>
      <c r="B458" s="0" t="s">
        <v>1189</v>
      </c>
      <c r="C458" s="0" t="s">
        <v>10394</v>
      </c>
      <c r="E458" s="0" t="s">
        <v>79</v>
      </c>
      <c r="F458" s="0" t="s">
        <v>10395</v>
      </c>
    </row>
    <row r="459" customFormat="false" ht="15" hidden="false" customHeight="false" outlineLevel="0" collapsed="false">
      <c r="A459" s="0" t="n">
        <v>170</v>
      </c>
      <c r="B459" s="0" t="s">
        <v>1189</v>
      </c>
      <c r="C459" s="0" t="s">
        <v>10396</v>
      </c>
      <c r="E459" s="0" t="s">
        <v>79</v>
      </c>
      <c r="F459" s="0" t="s">
        <v>10397</v>
      </c>
    </row>
    <row r="460" customFormat="false" ht="15" hidden="false" customHeight="false" outlineLevel="0" collapsed="false">
      <c r="A460" s="0" t="n">
        <v>172</v>
      </c>
      <c r="B460" s="0" t="s">
        <v>1196</v>
      </c>
      <c r="C460" s="0" t="s">
        <v>1198</v>
      </c>
      <c r="E460" s="0" t="s">
        <v>59</v>
      </c>
      <c r="F460" s="0" t="s">
        <v>10398</v>
      </c>
    </row>
    <row r="461" customFormat="false" ht="15" hidden="false" customHeight="false" outlineLevel="0" collapsed="false">
      <c r="A461" s="0" t="n">
        <v>172</v>
      </c>
      <c r="B461" s="0" t="s">
        <v>1196</v>
      </c>
      <c r="C461" s="0" t="s">
        <v>1199</v>
      </c>
      <c r="E461" s="0" t="s">
        <v>59</v>
      </c>
      <c r="F461" s="0" t="s">
        <v>10399</v>
      </c>
    </row>
    <row r="462" customFormat="false" ht="15" hidden="false" customHeight="false" outlineLevel="0" collapsed="false">
      <c r="A462" s="0" t="n">
        <v>172</v>
      </c>
      <c r="B462" s="0" t="s">
        <v>1196</v>
      </c>
      <c r="C462" s="0" t="s">
        <v>1200</v>
      </c>
      <c r="E462" s="0" t="s">
        <v>59</v>
      </c>
      <c r="F462" s="0" t="s">
        <v>10400</v>
      </c>
    </row>
    <row r="463" customFormat="false" ht="15" hidden="false" customHeight="false" outlineLevel="0" collapsed="false">
      <c r="A463" s="0" t="n">
        <v>172</v>
      </c>
      <c r="B463" s="0" t="s">
        <v>1196</v>
      </c>
      <c r="C463" s="0" t="s">
        <v>10401</v>
      </c>
      <c r="E463" s="0" t="s">
        <v>59</v>
      </c>
      <c r="F463" s="0" t="s">
        <v>10402</v>
      </c>
    </row>
    <row r="464" customFormat="false" ht="15" hidden="false" customHeight="false" outlineLevel="0" collapsed="false">
      <c r="A464" s="0" t="n">
        <v>172</v>
      </c>
      <c r="B464" s="0" t="s">
        <v>1196</v>
      </c>
      <c r="C464" s="0" t="s">
        <v>10403</v>
      </c>
      <c r="E464" s="0" t="s">
        <v>59</v>
      </c>
      <c r="F464" s="0" t="s">
        <v>10404</v>
      </c>
    </row>
    <row r="465" customFormat="false" ht="15" hidden="false" customHeight="false" outlineLevel="0" collapsed="false">
      <c r="A465" s="0" t="n">
        <v>173</v>
      </c>
      <c r="B465" s="0" t="s">
        <v>1204</v>
      </c>
      <c r="C465" s="0" t="s">
        <v>1207</v>
      </c>
      <c r="E465" s="0" t="s">
        <v>79</v>
      </c>
      <c r="F465" s="0" t="s">
        <v>10405</v>
      </c>
    </row>
    <row r="466" customFormat="false" ht="15" hidden="false" customHeight="false" outlineLevel="0" collapsed="false">
      <c r="A466" s="0" t="n">
        <v>173</v>
      </c>
      <c r="B466" s="0" t="s">
        <v>1204</v>
      </c>
      <c r="C466" s="0" t="s">
        <v>1208</v>
      </c>
      <c r="E466" s="0" t="s">
        <v>79</v>
      </c>
      <c r="F466" s="0" t="s">
        <v>10406</v>
      </c>
    </row>
    <row r="467" customFormat="false" ht="15" hidden="false" customHeight="false" outlineLevel="0" collapsed="false">
      <c r="A467" s="0" t="n">
        <v>173</v>
      </c>
      <c r="B467" s="0" t="s">
        <v>1204</v>
      </c>
      <c r="C467" s="0" t="s">
        <v>1209</v>
      </c>
      <c r="E467" s="0" t="s">
        <v>79</v>
      </c>
      <c r="F467" s="0" t="s">
        <v>10407</v>
      </c>
    </row>
    <row r="468" customFormat="false" ht="15" hidden="false" customHeight="false" outlineLevel="0" collapsed="false">
      <c r="A468" s="0" t="n">
        <v>173</v>
      </c>
      <c r="B468" s="0" t="s">
        <v>1204</v>
      </c>
      <c r="C468" s="0" t="s">
        <v>10408</v>
      </c>
      <c r="E468" s="0" t="s">
        <v>79</v>
      </c>
      <c r="F468" s="0" t="s">
        <v>10409</v>
      </c>
    </row>
    <row r="469" customFormat="false" ht="15" hidden="false" customHeight="false" outlineLevel="0" collapsed="false">
      <c r="A469" s="0" t="n">
        <v>173</v>
      </c>
      <c r="B469" s="0" t="s">
        <v>1204</v>
      </c>
      <c r="C469" s="0" t="s">
        <v>10410</v>
      </c>
      <c r="E469" s="0" t="s">
        <v>79</v>
      </c>
      <c r="F469" s="0" t="s">
        <v>10411</v>
      </c>
    </row>
    <row r="470" customFormat="false" ht="15" hidden="false" customHeight="false" outlineLevel="0" collapsed="false">
      <c r="A470" s="0" t="n">
        <v>174</v>
      </c>
      <c r="B470" s="0" t="s">
        <v>1215</v>
      </c>
      <c r="C470" s="0" t="s">
        <v>1218</v>
      </c>
      <c r="E470" s="0" t="s">
        <v>79</v>
      </c>
      <c r="F470" s="0" t="s">
        <v>10412</v>
      </c>
    </row>
    <row r="471" customFormat="false" ht="15" hidden="false" customHeight="false" outlineLevel="0" collapsed="false">
      <c r="A471" s="0" t="n">
        <v>174</v>
      </c>
      <c r="B471" s="0" t="s">
        <v>1215</v>
      </c>
      <c r="C471" s="0" t="s">
        <v>1219</v>
      </c>
      <c r="E471" s="0" t="s">
        <v>79</v>
      </c>
      <c r="F471" s="0" t="s">
        <v>10413</v>
      </c>
    </row>
    <row r="472" customFormat="false" ht="15" hidden="false" customHeight="false" outlineLevel="0" collapsed="false">
      <c r="A472" s="0" t="n">
        <v>174</v>
      </c>
      <c r="B472" s="0" t="s">
        <v>1215</v>
      </c>
      <c r="C472" s="0" t="s">
        <v>1220</v>
      </c>
      <c r="E472" s="0" t="s">
        <v>79</v>
      </c>
      <c r="F472" s="0" t="s">
        <v>10414</v>
      </c>
    </row>
    <row r="473" customFormat="false" ht="15" hidden="false" customHeight="false" outlineLevel="0" collapsed="false">
      <c r="A473" s="0" t="n">
        <v>174</v>
      </c>
      <c r="B473" s="0" t="s">
        <v>1215</v>
      </c>
      <c r="C473" s="0" t="s">
        <v>10415</v>
      </c>
      <c r="E473" s="0" t="s">
        <v>79</v>
      </c>
      <c r="F473" s="0" t="s">
        <v>10416</v>
      </c>
    </row>
    <row r="474" customFormat="false" ht="15" hidden="false" customHeight="false" outlineLevel="0" collapsed="false">
      <c r="A474" s="0" t="n">
        <v>174</v>
      </c>
      <c r="B474" s="0" t="s">
        <v>1215</v>
      </c>
      <c r="C474" s="0" t="s">
        <v>10417</v>
      </c>
      <c r="E474" s="0" t="s">
        <v>79</v>
      </c>
      <c r="F474" s="0" t="s">
        <v>10418</v>
      </c>
    </row>
    <row r="475" customFormat="false" ht="15" hidden="false" customHeight="false" outlineLevel="0" collapsed="false">
      <c r="A475" s="0" t="n">
        <v>176</v>
      </c>
      <c r="B475" s="0" t="s">
        <v>1225</v>
      </c>
      <c r="C475" s="0" t="s">
        <v>1228</v>
      </c>
      <c r="E475" s="0" t="s">
        <v>59</v>
      </c>
      <c r="F475" s="0" t="s">
        <v>10419</v>
      </c>
    </row>
    <row r="476" customFormat="false" ht="15" hidden="false" customHeight="false" outlineLevel="0" collapsed="false">
      <c r="A476" s="0" t="n">
        <v>176</v>
      </c>
      <c r="B476" s="0" t="s">
        <v>1225</v>
      </c>
      <c r="C476" s="0" t="s">
        <v>1229</v>
      </c>
      <c r="E476" s="0" t="s">
        <v>59</v>
      </c>
      <c r="F476" s="0" t="s">
        <v>10420</v>
      </c>
    </row>
    <row r="477" customFormat="false" ht="15" hidden="false" customHeight="false" outlineLevel="0" collapsed="false">
      <c r="A477" s="0" t="n">
        <v>176</v>
      </c>
      <c r="B477" s="0" t="s">
        <v>1225</v>
      </c>
      <c r="C477" s="0" t="s">
        <v>1230</v>
      </c>
      <c r="E477" s="0" t="s">
        <v>59</v>
      </c>
      <c r="F477" s="0" t="s">
        <v>10421</v>
      </c>
    </row>
    <row r="478" customFormat="false" ht="15" hidden="false" customHeight="false" outlineLevel="0" collapsed="false">
      <c r="A478" s="0" t="n">
        <v>176</v>
      </c>
      <c r="B478" s="0" t="s">
        <v>1225</v>
      </c>
      <c r="C478" s="0" t="s">
        <v>10422</v>
      </c>
      <c r="E478" s="0" t="s">
        <v>59</v>
      </c>
      <c r="F478" s="0" t="s">
        <v>10423</v>
      </c>
    </row>
    <row r="479" customFormat="false" ht="15" hidden="false" customHeight="false" outlineLevel="0" collapsed="false">
      <c r="A479" s="0" t="n">
        <v>176</v>
      </c>
      <c r="B479" s="0" t="s">
        <v>1225</v>
      </c>
      <c r="C479" s="0" t="s">
        <v>10424</v>
      </c>
      <c r="E479" s="0" t="s">
        <v>59</v>
      </c>
      <c r="F479" s="0" t="s">
        <v>10425</v>
      </c>
    </row>
    <row r="480" customFormat="false" ht="15" hidden="false" customHeight="false" outlineLevel="0" collapsed="false">
      <c r="A480" s="0" t="n">
        <v>177</v>
      </c>
      <c r="B480" s="0" t="s">
        <v>1234</v>
      </c>
      <c r="C480" s="0" t="s">
        <v>1240</v>
      </c>
      <c r="E480" s="0" t="s">
        <v>79</v>
      </c>
      <c r="F480" s="0" t="s">
        <v>10426</v>
      </c>
    </row>
    <row r="481" customFormat="false" ht="15" hidden="false" customHeight="false" outlineLevel="0" collapsed="false">
      <c r="A481" s="0" t="n">
        <v>177</v>
      </c>
      <c r="B481" s="0" t="s">
        <v>1234</v>
      </c>
      <c r="C481" s="0" t="s">
        <v>1241</v>
      </c>
      <c r="E481" s="0" t="s">
        <v>79</v>
      </c>
      <c r="F481" s="0" t="s">
        <v>10427</v>
      </c>
    </row>
    <row r="482" customFormat="false" ht="15" hidden="false" customHeight="false" outlineLevel="0" collapsed="false">
      <c r="A482" s="0" t="n">
        <v>177</v>
      </c>
      <c r="B482" s="0" t="s">
        <v>1234</v>
      </c>
      <c r="C482" s="0" t="s">
        <v>1242</v>
      </c>
      <c r="E482" s="0" t="s">
        <v>79</v>
      </c>
      <c r="F482" s="0" t="s">
        <v>10428</v>
      </c>
    </row>
    <row r="483" customFormat="false" ht="15" hidden="false" customHeight="false" outlineLevel="0" collapsed="false">
      <c r="A483" s="0" t="n">
        <v>177</v>
      </c>
      <c r="B483" s="0" t="s">
        <v>1234</v>
      </c>
      <c r="C483" s="0" t="s">
        <v>10429</v>
      </c>
      <c r="E483" s="0" t="s">
        <v>79</v>
      </c>
      <c r="F483" s="0" t="s">
        <v>10430</v>
      </c>
    </row>
    <row r="484" customFormat="false" ht="15" hidden="false" customHeight="false" outlineLevel="0" collapsed="false">
      <c r="A484" s="0" t="n">
        <v>177</v>
      </c>
      <c r="B484" s="0" t="s">
        <v>1234</v>
      </c>
      <c r="C484" s="0" t="s">
        <v>10431</v>
      </c>
      <c r="E484" s="0" t="s">
        <v>79</v>
      </c>
      <c r="F484" s="0" t="s">
        <v>10432</v>
      </c>
    </row>
    <row r="485" customFormat="false" ht="15" hidden="false" customHeight="false" outlineLevel="0" collapsed="false">
      <c r="A485" s="0" t="n">
        <v>178</v>
      </c>
      <c r="B485" s="0" t="s">
        <v>1245</v>
      </c>
      <c r="C485" s="0" t="s">
        <v>1249</v>
      </c>
      <c r="E485" s="0" t="s">
        <v>79</v>
      </c>
      <c r="F485" s="0" t="s">
        <v>10433</v>
      </c>
    </row>
    <row r="486" customFormat="false" ht="15" hidden="false" customHeight="false" outlineLevel="0" collapsed="false">
      <c r="A486" s="0" t="n">
        <v>178</v>
      </c>
      <c r="B486" s="0" t="s">
        <v>1245</v>
      </c>
      <c r="C486" s="0" t="s">
        <v>1250</v>
      </c>
      <c r="E486" s="0" t="s">
        <v>79</v>
      </c>
      <c r="F486" s="0" t="s">
        <v>10434</v>
      </c>
    </row>
    <row r="487" customFormat="false" ht="15" hidden="false" customHeight="false" outlineLevel="0" collapsed="false">
      <c r="A487" s="0" t="n">
        <v>178</v>
      </c>
      <c r="B487" s="0" t="s">
        <v>1245</v>
      </c>
      <c r="C487" s="0" t="s">
        <v>1251</v>
      </c>
      <c r="E487" s="0" t="s">
        <v>79</v>
      </c>
      <c r="F487" s="0" t="s">
        <v>10435</v>
      </c>
    </row>
    <row r="488" customFormat="false" ht="15" hidden="false" customHeight="false" outlineLevel="0" collapsed="false">
      <c r="A488" s="0" t="n">
        <v>178</v>
      </c>
      <c r="B488" s="0" t="s">
        <v>1245</v>
      </c>
      <c r="C488" s="0" t="s">
        <v>10436</v>
      </c>
      <c r="E488" s="0" t="s">
        <v>79</v>
      </c>
      <c r="F488" s="0" t="s">
        <v>10437</v>
      </c>
    </row>
    <row r="489" customFormat="false" ht="15" hidden="false" customHeight="false" outlineLevel="0" collapsed="false">
      <c r="A489" s="0" t="n">
        <v>178</v>
      </c>
      <c r="B489" s="0" t="s">
        <v>1245</v>
      </c>
      <c r="C489" s="0" t="s">
        <v>10438</v>
      </c>
      <c r="E489" s="0" t="s">
        <v>79</v>
      </c>
      <c r="F489" s="0" t="s">
        <v>10439</v>
      </c>
    </row>
    <row r="490" customFormat="false" ht="15" hidden="false" customHeight="false" outlineLevel="0" collapsed="false">
      <c r="A490" s="0" t="n">
        <v>179</v>
      </c>
      <c r="B490" s="0" t="s">
        <v>1257</v>
      </c>
      <c r="C490" s="0" t="s">
        <v>1260</v>
      </c>
      <c r="E490" s="0" t="s">
        <v>79</v>
      </c>
      <c r="F490" s="0" t="s">
        <v>10440</v>
      </c>
    </row>
    <row r="491" customFormat="false" ht="15" hidden="false" customHeight="false" outlineLevel="0" collapsed="false">
      <c r="A491" s="0" t="n">
        <v>179</v>
      </c>
      <c r="B491" s="0" t="s">
        <v>1257</v>
      </c>
      <c r="C491" s="0" t="s">
        <v>1261</v>
      </c>
      <c r="E491" s="0" t="s">
        <v>79</v>
      </c>
      <c r="F491" s="0" t="s">
        <v>10441</v>
      </c>
    </row>
    <row r="492" customFormat="false" ht="15" hidden="false" customHeight="false" outlineLevel="0" collapsed="false">
      <c r="A492" s="0" t="n">
        <v>180</v>
      </c>
      <c r="B492" s="0" t="s">
        <v>1262</v>
      </c>
      <c r="C492" s="0" t="s">
        <v>1264</v>
      </c>
      <c r="E492" s="0" t="s">
        <v>79</v>
      </c>
      <c r="F492" s="0" t="s">
        <v>10442</v>
      </c>
    </row>
    <row r="493" customFormat="false" ht="15" hidden="false" customHeight="false" outlineLevel="0" collapsed="false">
      <c r="A493" s="0" t="n">
        <v>180</v>
      </c>
      <c r="B493" s="0" t="s">
        <v>1262</v>
      </c>
      <c r="C493" s="0" t="s">
        <v>1265</v>
      </c>
      <c r="E493" s="0" t="s">
        <v>79</v>
      </c>
      <c r="F493" s="0" t="s">
        <v>10443</v>
      </c>
    </row>
    <row r="494" customFormat="false" ht="15" hidden="false" customHeight="false" outlineLevel="0" collapsed="false">
      <c r="A494" s="0" t="n">
        <v>180</v>
      </c>
      <c r="B494" s="0" t="s">
        <v>1262</v>
      </c>
      <c r="C494" s="0" t="s">
        <v>1266</v>
      </c>
      <c r="E494" s="0" t="s">
        <v>79</v>
      </c>
      <c r="F494" s="0" t="s">
        <v>10444</v>
      </c>
    </row>
    <row r="495" customFormat="false" ht="15" hidden="false" customHeight="false" outlineLevel="0" collapsed="false">
      <c r="A495" s="0" t="n">
        <v>180</v>
      </c>
      <c r="B495" s="0" t="s">
        <v>1262</v>
      </c>
      <c r="C495" s="0" t="s">
        <v>10445</v>
      </c>
      <c r="E495" s="0" t="s">
        <v>79</v>
      </c>
      <c r="F495" s="0" t="s">
        <v>10446</v>
      </c>
    </row>
    <row r="496" customFormat="false" ht="15" hidden="false" customHeight="false" outlineLevel="0" collapsed="false">
      <c r="A496" s="0" t="n">
        <v>180</v>
      </c>
      <c r="B496" s="0" t="s">
        <v>1262</v>
      </c>
      <c r="C496" s="0" t="s">
        <v>10447</v>
      </c>
      <c r="E496" s="0" t="s">
        <v>79</v>
      </c>
      <c r="F496" s="0" t="s">
        <v>10448</v>
      </c>
    </row>
    <row r="497" customFormat="false" ht="15" hidden="false" customHeight="false" outlineLevel="0" collapsed="false">
      <c r="A497" s="0" t="n">
        <v>181</v>
      </c>
      <c r="B497" s="0" t="s">
        <v>1267</v>
      </c>
      <c r="C497" s="0" t="s">
        <v>1272</v>
      </c>
      <c r="E497" s="0" t="s">
        <v>79</v>
      </c>
      <c r="F497" s="0" t="s">
        <v>10449</v>
      </c>
    </row>
    <row r="498" customFormat="false" ht="15" hidden="false" customHeight="false" outlineLevel="0" collapsed="false">
      <c r="A498" s="0" t="n">
        <v>181</v>
      </c>
      <c r="B498" s="0" t="s">
        <v>1267</v>
      </c>
      <c r="C498" s="0" t="s">
        <v>1273</v>
      </c>
      <c r="E498" s="0" t="s">
        <v>79</v>
      </c>
      <c r="F498" s="0" t="s">
        <v>10450</v>
      </c>
    </row>
    <row r="499" customFormat="false" ht="15" hidden="false" customHeight="false" outlineLevel="0" collapsed="false">
      <c r="A499" s="0" t="n">
        <v>181</v>
      </c>
      <c r="B499" s="0" t="s">
        <v>1267</v>
      </c>
      <c r="C499" s="0" t="s">
        <v>1274</v>
      </c>
      <c r="E499" s="0" t="s">
        <v>79</v>
      </c>
      <c r="F499" s="0" t="s">
        <v>10451</v>
      </c>
    </row>
    <row r="500" customFormat="false" ht="15" hidden="false" customHeight="false" outlineLevel="0" collapsed="false">
      <c r="A500" s="0" t="n">
        <v>181</v>
      </c>
      <c r="B500" s="0" t="s">
        <v>1267</v>
      </c>
      <c r="C500" s="0" t="s">
        <v>10452</v>
      </c>
      <c r="E500" s="0" t="s">
        <v>79</v>
      </c>
      <c r="F500" s="0" t="s">
        <v>10453</v>
      </c>
    </row>
    <row r="501" customFormat="false" ht="15" hidden="false" customHeight="false" outlineLevel="0" collapsed="false">
      <c r="A501" s="0" t="n">
        <v>181</v>
      </c>
      <c r="B501" s="0" t="s">
        <v>1267</v>
      </c>
      <c r="C501" s="0" t="s">
        <v>10454</v>
      </c>
      <c r="E501" s="0" t="s">
        <v>79</v>
      </c>
      <c r="F501" s="0" t="s">
        <v>10455</v>
      </c>
    </row>
    <row r="502" customFormat="false" ht="15" hidden="false" customHeight="false" outlineLevel="0" collapsed="false">
      <c r="A502" s="0" t="n">
        <v>182</v>
      </c>
      <c r="B502" s="0" t="s">
        <v>1279</v>
      </c>
      <c r="C502" s="0" t="s">
        <v>1281</v>
      </c>
      <c r="E502" s="0" t="s">
        <v>79</v>
      </c>
      <c r="F502" s="0" t="s">
        <v>10456</v>
      </c>
    </row>
    <row r="503" customFormat="false" ht="15" hidden="false" customHeight="false" outlineLevel="0" collapsed="false">
      <c r="A503" s="0" t="n">
        <v>182</v>
      </c>
      <c r="B503" s="0" t="s">
        <v>1279</v>
      </c>
      <c r="C503" s="0" t="s">
        <v>1282</v>
      </c>
      <c r="E503" s="0" t="s">
        <v>79</v>
      </c>
      <c r="F503" s="0" t="s">
        <v>10457</v>
      </c>
    </row>
    <row r="504" customFormat="false" ht="15" hidden="false" customHeight="false" outlineLevel="0" collapsed="false">
      <c r="A504" s="0" t="n">
        <v>182</v>
      </c>
      <c r="B504" s="0" t="s">
        <v>1279</v>
      </c>
      <c r="C504" s="0" t="s">
        <v>1283</v>
      </c>
      <c r="E504" s="0" t="s">
        <v>79</v>
      </c>
      <c r="F504" s="0" t="s">
        <v>10458</v>
      </c>
    </row>
    <row r="505" customFormat="false" ht="15" hidden="false" customHeight="false" outlineLevel="0" collapsed="false">
      <c r="A505" s="0" t="n">
        <v>182</v>
      </c>
      <c r="B505" s="0" t="s">
        <v>1279</v>
      </c>
      <c r="C505" s="0" t="s">
        <v>10459</v>
      </c>
      <c r="E505" s="0" t="s">
        <v>79</v>
      </c>
      <c r="F505" s="0" t="s">
        <v>10460</v>
      </c>
    </row>
    <row r="506" customFormat="false" ht="15" hidden="false" customHeight="false" outlineLevel="0" collapsed="false">
      <c r="A506" s="0" t="n">
        <v>182</v>
      </c>
      <c r="B506" s="0" t="s">
        <v>1279</v>
      </c>
      <c r="C506" s="0" t="s">
        <v>10461</v>
      </c>
      <c r="E506" s="0" t="s">
        <v>79</v>
      </c>
      <c r="F506" s="0" t="s">
        <v>10462</v>
      </c>
    </row>
    <row r="507" customFormat="false" ht="15" hidden="false" customHeight="false" outlineLevel="0" collapsed="false">
      <c r="A507" s="0" t="n">
        <v>183</v>
      </c>
      <c r="B507" s="0" t="s">
        <v>1286</v>
      </c>
      <c r="C507" s="0" t="s">
        <v>1289</v>
      </c>
      <c r="E507" s="0" t="s">
        <v>79</v>
      </c>
      <c r="F507" s="0" t="s">
        <v>10463</v>
      </c>
    </row>
    <row r="508" customFormat="false" ht="15" hidden="false" customHeight="false" outlineLevel="0" collapsed="false">
      <c r="A508" s="0" t="n">
        <v>183</v>
      </c>
      <c r="B508" s="0" t="s">
        <v>1286</v>
      </c>
      <c r="C508" s="0" t="s">
        <v>1290</v>
      </c>
      <c r="E508" s="0" t="s">
        <v>79</v>
      </c>
      <c r="F508" s="0" t="s">
        <v>10464</v>
      </c>
    </row>
    <row r="509" customFormat="false" ht="15" hidden="false" customHeight="false" outlineLevel="0" collapsed="false">
      <c r="A509" s="0" t="n">
        <v>183</v>
      </c>
      <c r="B509" s="0" t="s">
        <v>1286</v>
      </c>
      <c r="C509" s="0" t="s">
        <v>1291</v>
      </c>
      <c r="E509" s="0" t="s">
        <v>79</v>
      </c>
      <c r="F509" s="0" t="s">
        <v>10465</v>
      </c>
    </row>
    <row r="510" customFormat="false" ht="15" hidden="false" customHeight="false" outlineLevel="0" collapsed="false">
      <c r="A510" s="0" t="n">
        <v>183</v>
      </c>
      <c r="B510" s="0" t="s">
        <v>1286</v>
      </c>
      <c r="C510" s="0" t="s">
        <v>10466</v>
      </c>
      <c r="E510" s="0" t="s">
        <v>79</v>
      </c>
      <c r="F510" s="0" t="s">
        <v>10467</v>
      </c>
    </row>
    <row r="511" customFormat="false" ht="15" hidden="false" customHeight="false" outlineLevel="0" collapsed="false">
      <c r="A511" s="0" t="n">
        <v>183</v>
      </c>
      <c r="B511" s="0" t="s">
        <v>1286</v>
      </c>
      <c r="C511" s="0" t="s">
        <v>10468</v>
      </c>
      <c r="E511" s="0" t="s">
        <v>79</v>
      </c>
      <c r="F511" s="0" t="s">
        <v>10469</v>
      </c>
    </row>
    <row r="512" customFormat="false" ht="15" hidden="false" customHeight="false" outlineLevel="0" collapsed="false">
      <c r="A512" s="0" t="n">
        <v>184</v>
      </c>
      <c r="B512" s="0" t="s">
        <v>1296</v>
      </c>
      <c r="C512" s="0" t="s">
        <v>1299</v>
      </c>
      <c r="E512" s="0" t="s">
        <v>79</v>
      </c>
      <c r="F512" s="0" t="s">
        <v>10470</v>
      </c>
    </row>
    <row r="513" customFormat="false" ht="15" hidden="false" customHeight="false" outlineLevel="0" collapsed="false">
      <c r="A513" s="0" t="n">
        <v>184</v>
      </c>
      <c r="B513" s="0" t="s">
        <v>1296</v>
      </c>
      <c r="C513" s="0" t="s">
        <v>1300</v>
      </c>
      <c r="E513" s="0" t="s">
        <v>79</v>
      </c>
      <c r="F513" s="0" t="s">
        <v>10471</v>
      </c>
    </row>
    <row r="514" customFormat="false" ht="15" hidden="false" customHeight="false" outlineLevel="0" collapsed="false">
      <c r="A514" s="0" t="n">
        <v>184</v>
      </c>
      <c r="B514" s="0" t="s">
        <v>1296</v>
      </c>
      <c r="C514" s="0" t="s">
        <v>1301</v>
      </c>
      <c r="E514" s="0" t="s">
        <v>79</v>
      </c>
      <c r="F514" s="0" t="s">
        <v>10472</v>
      </c>
    </row>
    <row r="515" customFormat="false" ht="15" hidden="false" customHeight="false" outlineLevel="0" collapsed="false">
      <c r="A515" s="0" t="n">
        <v>184</v>
      </c>
      <c r="B515" s="0" t="s">
        <v>1296</v>
      </c>
      <c r="C515" s="0" t="s">
        <v>10473</v>
      </c>
      <c r="E515" s="0" t="s">
        <v>79</v>
      </c>
      <c r="F515" s="0" t="s">
        <v>10474</v>
      </c>
    </row>
    <row r="516" customFormat="false" ht="15" hidden="false" customHeight="false" outlineLevel="0" collapsed="false">
      <c r="A516" s="0" t="n">
        <v>184</v>
      </c>
      <c r="B516" s="0" t="s">
        <v>1296</v>
      </c>
      <c r="C516" s="0" t="s">
        <v>10475</v>
      </c>
      <c r="E516" s="0" t="s">
        <v>79</v>
      </c>
      <c r="F516" s="0" t="s">
        <v>10476</v>
      </c>
    </row>
    <row r="517" customFormat="false" ht="15" hidden="false" customHeight="false" outlineLevel="0" collapsed="false">
      <c r="A517" s="0" t="n">
        <v>186</v>
      </c>
      <c r="B517" s="0" t="s">
        <v>1303</v>
      </c>
      <c r="C517" s="0" t="s">
        <v>1305</v>
      </c>
      <c r="E517" s="0" t="s">
        <v>79</v>
      </c>
      <c r="F517" s="0" t="s">
        <v>10477</v>
      </c>
    </row>
    <row r="518" customFormat="false" ht="15" hidden="false" customHeight="false" outlineLevel="0" collapsed="false">
      <c r="A518" s="0" t="n">
        <v>186</v>
      </c>
      <c r="B518" s="0" t="s">
        <v>1303</v>
      </c>
      <c r="C518" s="0" t="s">
        <v>1306</v>
      </c>
      <c r="E518" s="0" t="s">
        <v>79</v>
      </c>
      <c r="F518" s="0" t="s">
        <v>10478</v>
      </c>
    </row>
    <row r="519" customFormat="false" ht="15" hidden="false" customHeight="false" outlineLevel="0" collapsed="false">
      <c r="A519" s="0" t="n">
        <v>186</v>
      </c>
      <c r="B519" s="0" t="s">
        <v>1303</v>
      </c>
      <c r="C519" s="0" t="s">
        <v>1307</v>
      </c>
      <c r="E519" s="0" t="s">
        <v>79</v>
      </c>
      <c r="F519" s="0" t="s">
        <v>10479</v>
      </c>
    </row>
    <row r="520" customFormat="false" ht="15" hidden="false" customHeight="false" outlineLevel="0" collapsed="false">
      <c r="A520" s="0" t="n">
        <v>186</v>
      </c>
      <c r="B520" s="0" t="s">
        <v>1303</v>
      </c>
      <c r="C520" s="0" t="s">
        <v>10480</v>
      </c>
      <c r="E520" s="0" t="s">
        <v>79</v>
      </c>
      <c r="F520" s="0" t="s">
        <v>10481</v>
      </c>
    </row>
    <row r="521" customFormat="false" ht="15" hidden="false" customHeight="false" outlineLevel="0" collapsed="false">
      <c r="A521" s="0" t="n">
        <v>186</v>
      </c>
      <c r="B521" s="0" t="s">
        <v>1303</v>
      </c>
      <c r="C521" s="0" t="s">
        <v>10482</v>
      </c>
      <c r="E521" s="0" t="s">
        <v>79</v>
      </c>
      <c r="F521" s="0" t="s">
        <v>10483</v>
      </c>
    </row>
    <row r="522" customFormat="false" ht="15" hidden="false" customHeight="false" outlineLevel="0" collapsed="false">
      <c r="A522" s="0" t="n">
        <v>188</v>
      </c>
      <c r="B522" s="0" t="s">
        <v>1309</v>
      </c>
      <c r="C522" s="0" t="s">
        <v>1313</v>
      </c>
      <c r="E522" s="0" t="s">
        <v>59</v>
      </c>
      <c r="F522" s="0" t="s">
        <v>10484</v>
      </c>
    </row>
    <row r="523" customFormat="false" ht="15" hidden="false" customHeight="false" outlineLevel="0" collapsed="false">
      <c r="A523" s="0" t="n">
        <v>188</v>
      </c>
      <c r="B523" s="0" t="s">
        <v>1309</v>
      </c>
      <c r="C523" s="0" t="s">
        <v>1314</v>
      </c>
      <c r="E523" s="0" t="s">
        <v>59</v>
      </c>
      <c r="F523" s="0" t="s">
        <v>10485</v>
      </c>
    </row>
    <row r="524" customFormat="false" ht="15" hidden="false" customHeight="false" outlineLevel="0" collapsed="false">
      <c r="A524" s="0" t="n">
        <v>188</v>
      </c>
      <c r="B524" s="0" t="s">
        <v>1309</v>
      </c>
      <c r="C524" s="0" t="s">
        <v>1315</v>
      </c>
      <c r="E524" s="0" t="s">
        <v>59</v>
      </c>
      <c r="F524" s="0" t="s">
        <v>10486</v>
      </c>
    </row>
    <row r="525" customFormat="false" ht="15" hidden="false" customHeight="false" outlineLevel="0" collapsed="false">
      <c r="A525" s="0" t="n">
        <v>188</v>
      </c>
      <c r="B525" s="0" t="s">
        <v>1309</v>
      </c>
      <c r="C525" s="0" t="s">
        <v>10487</v>
      </c>
      <c r="E525" s="0" t="s">
        <v>59</v>
      </c>
      <c r="F525" s="0" t="s">
        <v>10488</v>
      </c>
    </row>
    <row r="526" customFormat="false" ht="15" hidden="false" customHeight="false" outlineLevel="0" collapsed="false">
      <c r="A526" s="0" t="n">
        <v>188</v>
      </c>
      <c r="B526" s="0" t="s">
        <v>1309</v>
      </c>
      <c r="C526" s="0" t="s">
        <v>10489</v>
      </c>
      <c r="E526" s="0" t="s">
        <v>59</v>
      </c>
      <c r="F526" s="0" t="s">
        <v>10490</v>
      </c>
    </row>
    <row r="527" customFormat="false" ht="15" hidden="false" customHeight="false" outlineLevel="0" collapsed="false">
      <c r="A527" s="0" t="n">
        <v>189</v>
      </c>
      <c r="B527" s="0" t="s">
        <v>1320</v>
      </c>
      <c r="C527" s="0" t="s">
        <v>1328</v>
      </c>
      <c r="D527" s="0" t="s">
        <v>10491</v>
      </c>
      <c r="E527" s="0" t="s">
        <v>115</v>
      </c>
    </row>
    <row r="528" customFormat="false" ht="15" hidden="false" customHeight="false" outlineLevel="0" collapsed="false">
      <c r="A528" s="0" t="n">
        <v>189</v>
      </c>
      <c r="B528" s="0" t="s">
        <v>1320</v>
      </c>
      <c r="C528" s="0" t="s">
        <v>1329</v>
      </c>
      <c r="D528" s="0" t="s">
        <v>10492</v>
      </c>
      <c r="E528" s="0" t="s">
        <v>115</v>
      </c>
    </row>
    <row r="529" customFormat="false" ht="15" hidden="false" customHeight="false" outlineLevel="0" collapsed="false">
      <c r="A529" s="0" t="n">
        <v>189</v>
      </c>
      <c r="B529" s="0" t="s">
        <v>1320</v>
      </c>
      <c r="C529" s="0" t="s">
        <v>1330</v>
      </c>
      <c r="D529" s="0" t="s">
        <v>10493</v>
      </c>
      <c r="E529" s="0" t="s">
        <v>115</v>
      </c>
    </row>
    <row r="530" customFormat="false" ht="15" hidden="false" customHeight="false" outlineLevel="0" collapsed="false">
      <c r="A530" s="0" t="n">
        <v>190</v>
      </c>
      <c r="B530" s="0" t="s">
        <v>1339</v>
      </c>
      <c r="C530" s="0" t="s">
        <v>1341</v>
      </c>
      <c r="E530" s="0" t="s">
        <v>79</v>
      </c>
      <c r="F530" s="0" t="s">
        <v>10494</v>
      </c>
    </row>
    <row r="531" customFormat="false" ht="15" hidden="false" customHeight="false" outlineLevel="0" collapsed="false">
      <c r="A531" s="0" t="n">
        <v>190</v>
      </c>
      <c r="B531" s="0" t="s">
        <v>1339</v>
      </c>
      <c r="C531" s="0" t="s">
        <v>1342</v>
      </c>
      <c r="E531" s="0" t="s">
        <v>79</v>
      </c>
      <c r="F531" s="0" t="s">
        <v>10495</v>
      </c>
    </row>
    <row r="532" customFormat="false" ht="15" hidden="false" customHeight="false" outlineLevel="0" collapsed="false">
      <c r="A532" s="0" t="n">
        <v>190</v>
      </c>
      <c r="B532" s="0" t="s">
        <v>1339</v>
      </c>
      <c r="C532" s="0" t="s">
        <v>1343</v>
      </c>
      <c r="E532" s="0" t="s">
        <v>79</v>
      </c>
      <c r="F532" s="0" t="s">
        <v>10496</v>
      </c>
    </row>
    <row r="533" customFormat="false" ht="15" hidden="false" customHeight="false" outlineLevel="0" collapsed="false">
      <c r="A533" s="0" t="n">
        <v>190</v>
      </c>
      <c r="B533" s="0" t="s">
        <v>1339</v>
      </c>
      <c r="C533" s="0" t="s">
        <v>10497</v>
      </c>
      <c r="E533" s="0" t="s">
        <v>79</v>
      </c>
      <c r="F533" s="0" t="s">
        <v>10498</v>
      </c>
    </row>
    <row r="534" customFormat="false" ht="15" hidden="false" customHeight="false" outlineLevel="0" collapsed="false">
      <c r="A534" s="0" t="n">
        <v>190</v>
      </c>
      <c r="B534" s="0" t="s">
        <v>1339</v>
      </c>
      <c r="C534" s="0" t="s">
        <v>10499</v>
      </c>
      <c r="E534" s="0" t="s">
        <v>79</v>
      </c>
      <c r="F534" s="0" t="s">
        <v>10500</v>
      </c>
    </row>
    <row r="535" customFormat="false" ht="15" hidden="false" customHeight="false" outlineLevel="0" collapsed="false">
      <c r="A535" s="0" t="n">
        <v>191</v>
      </c>
      <c r="B535" s="0" t="s">
        <v>1348</v>
      </c>
      <c r="C535" s="0" t="s">
        <v>1351</v>
      </c>
      <c r="E535" s="0" t="s">
        <v>79</v>
      </c>
      <c r="F535" s="0" t="s">
        <v>10501</v>
      </c>
    </row>
    <row r="536" customFormat="false" ht="15" hidden="false" customHeight="false" outlineLevel="0" collapsed="false">
      <c r="A536" s="0" t="n">
        <v>191</v>
      </c>
      <c r="B536" s="0" t="s">
        <v>1348</v>
      </c>
      <c r="C536" s="0" t="s">
        <v>1352</v>
      </c>
      <c r="E536" s="0" t="s">
        <v>79</v>
      </c>
      <c r="F536" s="0" t="s">
        <v>10502</v>
      </c>
    </row>
    <row r="537" customFormat="false" ht="15" hidden="false" customHeight="false" outlineLevel="0" collapsed="false">
      <c r="A537" s="0" t="n">
        <v>191</v>
      </c>
      <c r="B537" s="0" t="s">
        <v>1348</v>
      </c>
      <c r="C537" s="0" t="s">
        <v>1353</v>
      </c>
      <c r="E537" s="0" t="s">
        <v>79</v>
      </c>
      <c r="F537" s="0" t="s">
        <v>10503</v>
      </c>
    </row>
    <row r="538" customFormat="false" ht="15" hidden="false" customHeight="false" outlineLevel="0" collapsed="false">
      <c r="A538" s="0" t="n">
        <v>191</v>
      </c>
      <c r="B538" s="0" t="s">
        <v>1348</v>
      </c>
      <c r="C538" s="0" t="s">
        <v>10504</v>
      </c>
      <c r="E538" s="0" t="s">
        <v>79</v>
      </c>
      <c r="F538" s="0" t="s">
        <v>10505</v>
      </c>
    </row>
    <row r="539" customFormat="false" ht="15" hidden="false" customHeight="false" outlineLevel="0" collapsed="false">
      <c r="A539" s="0" t="n">
        <v>191</v>
      </c>
      <c r="B539" s="0" t="s">
        <v>1348</v>
      </c>
      <c r="C539" s="0" t="s">
        <v>10506</v>
      </c>
      <c r="E539" s="0" t="s">
        <v>79</v>
      </c>
      <c r="F539" s="0" t="s">
        <v>10507</v>
      </c>
    </row>
    <row r="540" customFormat="false" ht="15" hidden="false" customHeight="false" outlineLevel="0" collapsed="false">
      <c r="A540" s="0" t="n">
        <v>192</v>
      </c>
      <c r="B540" s="0" t="s">
        <v>1359</v>
      </c>
      <c r="C540" s="0" t="s">
        <v>1364</v>
      </c>
      <c r="D540" s="0" t="s">
        <v>10508</v>
      </c>
      <c r="E540" s="0" t="s">
        <v>115</v>
      </c>
    </row>
    <row r="541" customFormat="false" ht="15" hidden="false" customHeight="false" outlineLevel="0" collapsed="false">
      <c r="A541" s="0" t="n">
        <v>192</v>
      </c>
      <c r="B541" s="0" t="s">
        <v>1359</v>
      </c>
      <c r="C541" s="0" t="s">
        <v>1365</v>
      </c>
      <c r="D541" s="0" t="s">
        <v>10509</v>
      </c>
      <c r="E541" s="0" t="s">
        <v>115</v>
      </c>
    </row>
    <row r="542" customFormat="false" ht="15" hidden="false" customHeight="false" outlineLevel="0" collapsed="false">
      <c r="A542" s="0" t="n">
        <v>192</v>
      </c>
      <c r="B542" s="0" t="s">
        <v>1359</v>
      </c>
      <c r="C542" s="0" t="s">
        <v>1366</v>
      </c>
      <c r="D542" s="0" t="s">
        <v>10510</v>
      </c>
      <c r="E542" s="0" t="s">
        <v>115</v>
      </c>
    </row>
    <row r="543" customFormat="false" ht="15" hidden="false" customHeight="false" outlineLevel="0" collapsed="false">
      <c r="A543" s="0" t="n">
        <v>194</v>
      </c>
      <c r="B543" s="0" t="s">
        <v>1377</v>
      </c>
      <c r="C543" s="0" t="s">
        <v>1380</v>
      </c>
      <c r="E543" s="0" t="s">
        <v>79</v>
      </c>
      <c r="F543" s="0" t="s">
        <v>10511</v>
      </c>
    </row>
    <row r="544" customFormat="false" ht="15" hidden="false" customHeight="false" outlineLevel="0" collapsed="false">
      <c r="A544" s="0" t="n">
        <v>194</v>
      </c>
      <c r="B544" s="0" t="s">
        <v>1377</v>
      </c>
      <c r="C544" s="0" t="s">
        <v>1381</v>
      </c>
      <c r="E544" s="0" t="s">
        <v>79</v>
      </c>
      <c r="F544" s="0" t="s">
        <v>10512</v>
      </c>
    </row>
    <row r="545" customFormat="false" ht="15" hidden="false" customHeight="false" outlineLevel="0" collapsed="false">
      <c r="A545" s="0" t="n">
        <v>194</v>
      </c>
      <c r="B545" s="0" t="s">
        <v>1377</v>
      </c>
      <c r="C545" s="0" t="s">
        <v>1382</v>
      </c>
      <c r="E545" s="0" t="s">
        <v>79</v>
      </c>
      <c r="F545" s="0" t="s">
        <v>10513</v>
      </c>
    </row>
    <row r="546" customFormat="false" ht="15" hidden="false" customHeight="false" outlineLevel="0" collapsed="false">
      <c r="A546" s="0" t="n">
        <v>194</v>
      </c>
      <c r="B546" s="0" t="s">
        <v>1377</v>
      </c>
      <c r="C546" s="0" t="s">
        <v>10514</v>
      </c>
      <c r="E546" s="0" t="s">
        <v>79</v>
      </c>
      <c r="F546" s="0" t="s">
        <v>10515</v>
      </c>
    </row>
    <row r="547" customFormat="false" ht="15" hidden="false" customHeight="false" outlineLevel="0" collapsed="false">
      <c r="A547" s="0" t="n">
        <v>194</v>
      </c>
      <c r="B547" s="0" t="s">
        <v>1377</v>
      </c>
      <c r="C547" s="0" t="s">
        <v>10516</v>
      </c>
      <c r="E547" s="0" t="s">
        <v>79</v>
      </c>
      <c r="F547" s="0" t="s">
        <v>10517</v>
      </c>
    </row>
    <row r="548" customFormat="false" ht="15" hidden="false" customHeight="false" outlineLevel="0" collapsed="false">
      <c r="A548" s="0" t="n">
        <v>196</v>
      </c>
      <c r="B548" s="0" t="s">
        <v>1392</v>
      </c>
      <c r="C548" s="0" t="s">
        <v>1396</v>
      </c>
      <c r="E548" s="0" t="s">
        <v>79</v>
      </c>
      <c r="F548" s="0" t="s">
        <v>10518</v>
      </c>
    </row>
    <row r="549" customFormat="false" ht="15" hidden="false" customHeight="false" outlineLevel="0" collapsed="false">
      <c r="A549" s="0" t="n">
        <v>196</v>
      </c>
      <c r="B549" s="0" t="s">
        <v>1392</v>
      </c>
      <c r="C549" s="0" t="s">
        <v>1397</v>
      </c>
      <c r="E549" s="0" t="s">
        <v>79</v>
      </c>
      <c r="F549" s="0" t="s">
        <v>10519</v>
      </c>
    </row>
    <row r="550" customFormat="false" ht="15" hidden="false" customHeight="false" outlineLevel="0" collapsed="false">
      <c r="A550" s="0" t="n">
        <v>196</v>
      </c>
      <c r="B550" s="0" t="s">
        <v>1392</v>
      </c>
      <c r="C550" s="0" t="s">
        <v>1398</v>
      </c>
      <c r="E550" s="0" t="s">
        <v>79</v>
      </c>
      <c r="F550" s="0" t="s">
        <v>10520</v>
      </c>
    </row>
    <row r="551" customFormat="false" ht="15" hidden="false" customHeight="false" outlineLevel="0" collapsed="false">
      <c r="A551" s="0" t="n">
        <v>196</v>
      </c>
      <c r="B551" s="0" t="s">
        <v>1392</v>
      </c>
      <c r="C551" s="0" t="s">
        <v>10521</v>
      </c>
      <c r="E551" s="0" t="s">
        <v>59</v>
      </c>
      <c r="F551" s="0" t="s">
        <v>10522</v>
      </c>
    </row>
    <row r="552" customFormat="false" ht="15" hidden="false" customHeight="false" outlineLevel="0" collapsed="false">
      <c r="A552" s="0" t="n">
        <v>196</v>
      </c>
      <c r="B552" s="0" t="s">
        <v>1392</v>
      </c>
      <c r="C552" s="0" t="s">
        <v>10523</v>
      </c>
      <c r="E552" s="0" t="s">
        <v>59</v>
      </c>
      <c r="F552" s="0" t="s">
        <v>10524</v>
      </c>
    </row>
    <row r="553" customFormat="false" ht="15" hidden="false" customHeight="false" outlineLevel="0" collapsed="false">
      <c r="A553" s="0" t="n">
        <v>197</v>
      </c>
      <c r="B553" s="0" t="s">
        <v>1402</v>
      </c>
      <c r="C553" s="0" t="s">
        <v>1404</v>
      </c>
      <c r="E553" s="0" t="s">
        <v>79</v>
      </c>
      <c r="F553" s="0" t="s">
        <v>10525</v>
      </c>
    </row>
    <row r="554" customFormat="false" ht="15" hidden="false" customHeight="false" outlineLevel="0" collapsed="false">
      <c r="A554" s="0" t="n">
        <v>197</v>
      </c>
      <c r="B554" s="0" t="s">
        <v>1402</v>
      </c>
      <c r="C554" s="0" t="s">
        <v>1405</v>
      </c>
      <c r="E554" s="0" t="s">
        <v>79</v>
      </c>
      <c r="F554" s="0" t="s">
        <v>10526</v>
      </c>
    </row>
    <row r="555" customFormat="false" ht="15" hidden="false" customHeight="false" outlineLevel="0" collapsed="false">
      <c r="A555" s="0" t="n">
        <v>197</v>
      </c>
      <c r="B555" s="0" t="s">
        <v>1402</v>
      </c>
      <c r="C555" s="0" t="s">
        <v>1406</v>
      </c>
      <c r="E555" s="0" t="s">
        <v>79</v>
      </c>
      <c r="F555" s="0" t="s">
        <v>10527</v>
      </c>
    </row>
    <row r="556" customFormat="false" ht="15" hidden="false" customHeight="false" outlineLevel="0" collapsed="false">
      <c r="A556" s="0" t="n">
        <v>197</v>
      </c>
      <c r="B556" s="0" t="s">
        <v>1402</v>
      </c>
      <c r="C556" s="0" t="s">
        <v>10528</v>
      </c>
      <c r="E556" s="0" t="s">
        <v>79</v>
      </c>
      <c r="F556" s="0" t="s">
        <v>10529</v>
      </c>
    </row>
    <row r="557" customFormat="false" ht="15" hidden="false" customHeight="false" outlineLevel="0" collapsed="false">
      <c r="A557" s="0" t="n">
        <v>197</v>
      </c>
      <c r="B557" s="0" t="s">
        <v>1402</v>
      </c>
      <c r="C557" s="0" t="s">
        <v>10530</v>
      </c>
      <c r="E557" s="0" t="s">
        <v>79</v>
      </c>
      <c r="F557" s="0" t="s">
        <v>10531</v>
      </c>
    </row>
    <row r="558" customFormat="false" ht="15" hidden="false" customHeight="false" outlineLevel="0" collapsed="false">
      <c r="A558" s="0" t="n">
        <v>199</v>
      </c>
      <c r="B558" s="0" t="s">
        <v>1408</v>
      </c>
      <c r="C558" s="0" t="s">
        <v>1411</v>
      </c>
      <c r="E558" s="0" t="s">
        <v>59</v>
      </c>
      <c r="F558" s="0" t="s">
        <v>10532</v>
      </c>
    </row>
    <row r="559" customFormat="false" ht="15" hidden="false" customHeight="false" outlineLevel="0" collapsed="false">
      <c r="A559" s="0" t="n">
        <v>199</v>
      </c>
      <c r="B559" s="0" t="s">
        <v>1408</v>
      </c>
      <c r="C559" s="0" t="s">
        <v>1412</v>
      </c>
      <c r="E559" s="0" t="s">
        <v>59</v>
      </c>
      <c r="F559" s="0" t="s">
        <v>10533</v>
      </c>
    </row>
    <row r="560" customFormat="false" ht="15" hidden="false" customHeight="false" outlineLevel="0" collapsed="false">
      <c r="A560" s="0" t="n">
        <v>199</v>
      </c>
      <c r="B560" s="0" t="s">
        <v>1408</v>
      </c>
      <c r="C560" s="0" t="s">
        <v>1413</v>
      </c>
      <c r="E560" s="0" t="s">
        <v>59</v>
      </c>
      <c r="F560" s="0" t="s">
        <v>10534</v>
      </c>
    </row>
    <row r="561" customFormat="false" ht="15" hidden="false" customHeight="false" outlineLevel="0" collapsed="false">
      <c r="A561" s="0" t="n">
        <v>199</v>
      </c>
      <c r="B561" s="0" t="s">
        <v>1408</v>
      </c>
      <c r="C561" s="0" t="s">
        <v>10535</v>
      </c>
      <c r="E561" s="0" t="s">
        <v>59</v>
      </c>
      <c r="F561" s="0" t="s">
        <v>10536</v>
      </c>
    </row>
    <row r="562" customFormat="false" ht="15" hidden="false" customHeight="false" outlineLevel="0" collapsed="false">
      <c r="A562" s="0" t="n">
        <v>199</v>
      </c>
      <c r="B562" s="0" t="s">
        <v>1408</v>
      </c>
      <c r="C562" s="0" t="s">
        <v>10537</v>
      </c>
      <c r="E562" s="0" t="s">
        <v>59</v>
      </c>
      <c r="F562" s="0" t="s">
        <v>10538</v>
      </c>
    </row>
    <row r="563" customFormat="false" ht="15" hidden="false" customHeight="false" outlineLevel="0" collapsed="false">
      <c r="A563" s="0" t="n">
        <v>200</v>
      </c>
      <c r="B563" s="0" t="s">
        <v>1415</v>
      </c>
      <c r="C563" s="0" t="s">
        <v>1417</v>
      </c>
      <c r="E563" s="0" t="s">
        <v>79</v>
      </c>
      <c r="F563" s="0" t="s">
        <v>10539</v>
      </c>
    </row>
    <row r="564" customFormat="false" ht="15" hidden="false" customHeight="false" outlineLevel="0" collapsed="false">
      <c r="A564" s="0" t="n">
        <v>200</v>
      </c>
      <c r="B564" s="0" t="s">
        <v>1415</v>
      </c>
      <c r="C564" s="0" t="s">
        <v>1418</v>
      </c>
      <c r="E564" s="0" t="s">
        <v>79</v>
      </c>
      <c r="F564" s="0" t="s">
        <v>10540</v>
      </c>
    </row>
    <row r="565" customFormat="false" ht="15" hidden="false" customHeight="false" outlineLevel="0" collapsed="false">
      <c r="A565" s="0" t="n">
        <v>200</v>
      </c>
      <c r="B565" s="0" t="s">
        <v>1415</v>
      </c>
      <c r="C565" s="0" t="s">
        <v>1419</v>
      </c>
      <c r="E565" s="0" t="s">
        <v>79</v>
      </c>
      <c r="F565" s="0" t="s">
        <v>10541</v>
      </c>
    </row>
    <row r="566" customFormat="false" ht="15" hidden="false" customHeight="false" outlineLevel="0" collapsed="false">
      <c r="A566" s="0" t="n">
        <v>200</v>
      </c>
      <c r="B566" s="0" t="s">
        <v>1415</v>
      </c>
      <c r="C566" s="0" t="s">
        <v>10542</v>
      </c>
      <c r="E566" s="0" t="s">
        <v>79</v>
      </c>
      <c r="F566" s="0" t="s">
        <v>10543</v>
      </c>
    </row>
    <row r="567" customFormat="false" ht="15" hidden="false" customHeight="false" outlineLevel="0" collapsed="false">
      <c r="A567" s="0" t="n">
        <v>200</v>
      </c>
      <c r="B567" s="0" t="s">
        <v>1415</v>
      </c>
      <c r="C567" s="0" t="s">
        <v>10544</v>
      </c>
      <c r="E567" s="0" t="s">
        <v>79</v>
      </c>
      <c r="F567" s="0" t="s">
        <v>10545</v>
      </c>
    </row>
    <row r="568" customFormat="false" ht="15" hidden="false" customHeight="false" outlineLevel="0" collapsed="false">
      <c r="A568" s="0" t="n">
        <v>203</v>
      </c>
      <c r="B568" s="0" t="s">
        <v>1429</v>
      </c>
      <c r="C568" s="0" t="s">
        <v>1433</v>
      </c>
      <c r="E568" s="0" t="s">
        <v>79</v>
      </c>
      <c r="F568" s="0" t="s">
        <v>10546</v>
      </c>
    </row>
    <row r="569" customFormat="false" ht="15" hidden="false" customHeight="false" outlineLevel="0" collapsed="false">
      <c r="A569" s="0" t="n">
        <v>203</v>
      </c>
      <c r="B569" s="0" t="s">
        <v>1429</v>
      </c>
      <c r="C569" s="0" t="s">
        <v>1434</v>
      </c>
      <c r="E569" s="0" t="s">
        <v>79</v>
      </c>
      <c r="F569" s="0" t="s">
        <v>10547</v>
      </c>
    </row>
    <row r="570" customFormat="false" ht="15" hidden="false" customHeight="false" outlineLevel="0" collapsed="false">
      <c r="A570" s="0" t="n">
        <v>203</v>
      </c>
      <c r="B570" s="0" t="s">
        <v>1429</v>
      </c>
      <c r="C570" s="0" t="s">
        <v>1435</v>
      </c>
      <c r="E570" s="0" t="s">
        <v>79</v>
      </c>
      <c r="F570" s="0" t="s">
        <v>10548</v>
      </c>
    </row>
    <row r="571" customFormat="false" ht="15" hidden="false" customHeight="false" outlineLevel="0" collapsed="false">
      <c r="A571" s="0" t="n">
        <v>203</v>
      </c>
      <c r="B571" s="0" t="s">
        <v>1429</v>
      </c>
      <c r="C571" s="0" t="s">
        <v>10549</v>
      </c>
      <c r="E571" s="0" t="s">
        <v>79</v>
      </c>
      <c r="F571" s="0" t="s">
        <v>10550</v>
      </c>
    </row>
    <row r="572" customFormat="false" ht="15" hidden="false" customHeight="false" outlineLevel="0" collapsed="false">
      <c r="A572" s="0" t="n">
        <v>203</v>
      </c>
      <c r="B572" s="0" t="s">
        <v>1429</v>
      </c>
      <c r="C572" s="0" t="s">
        <v>10551</v>
      </c>
      <c r="E572" s="0" t="s">
        <v>79</v>
      </c>
      <c r="F572" s="0" t="s">
        <v>10552</v>
      </c>
    </row>
    <row r="573" customFormat="false" ht="15" hidden="false" customHeight="false" outlineLevel="0" collapsed="false">
      <c r="A573" s="0" t="n">
        <v>205</v>
      </c>
      <c r="B573" s="0" t="s">
        <v>1445</v>
      </c>
      <c r="C573" s="0" t="s">
        <v>1447</v>
      </c>
      <c r="E573" s="0" t="s">
        <v>79</v>
      </c>
      <c r="F573" s="0" t="s">
        <v>10553</v>
      </c>
    </row>
    <row r="574" customFormat="false" ht="15" hidden="false" customHeight="false" outlineLevel="0" collapsed="false">
      <c r="A574" s="0" t="n">
        <v>205</v>
      </c>
      <c r="B574" s="0" t="s">
        <v>1445</v>
      </c>
      <c r="C574" s="0" t="s">
        <v>1448</v>
      </c>
      <c r="E574" s="0" t="s">
        <v>79</v>
      </c>
      <c r="F574" s="0" t="s">
        <v>10554</v>
      </c>
    </row>
    <row r="575" customFormat="false" ht="15" hidden="false" customHeight="false" outlineLevel="0" collapsed="false">
      <c r="A575" s="0" t="n">
        <v>205</v>
      </c>
      <c r="B575" s="0" t="s">
        <v>1445</v>
      </c>
      <c r="C575" s="0" t="s">
        <v>1449</v>
      </c>
      <c r="E575" s="0" t="s">
        <v>79</v>
      </c>
      <c r="F575" s="0" t="s">
        <v>10555</v>
      </c>
    </row>
    <row r="576" customFormat="false" ht="15" hidden="false" customHeight="false" outlineLevel="0" collapsed="false">
      <c r="A576" s="0" t="n">
        <v>205</v>
      </c>
      <c r="B576" s="0" t="s">
        <v>1445</v>
      </c>
      <c r="C576" s="0" t="s">
        <v>10556</v>
      </c>
      <c r="E576" s="0" t="s">
        <v>79</v>
      </c>
      <c r="F576" s="0" t="s">
        <v>10557</v>
      </c>
    </row>
    <row r="577" customFormat="false" ht="15" hidden="false" customHeight="false" outlineLevel="0" collapsed="false">
      <c r="A577" s="0" t="n">
        <v>205</v>
      </c>
      <c r="B577" s="0" t="s">
        <v>1445</v>
      </c>
      <c r="C577" s="0" t="s">
        <v>10558</v>
      </c>
      <c r="E577" s="0" t="s">
        <v>79</v>
      </c>
      <c r="F577" s="0" t="s">
        <v>10559</v>
      </c>
    </row>
    <row r="578" customFormat="false" ht="15" hidden="false" customHeight="false" outlineLevel="0" collapsed="false">
      <c r="A578" s="0" t="n">
        <v>206</v>
      </c>
      <c r="B578" s="0" t="s">
        <v>1452</v>
      </c>
      <c r="C578" s="0" t="s">
        <v>1456</v>
      </c>
      <c r="E578" s="0" t="s">
        <v>79</v>
      </c>
      <c r="F578" s="0" t="s">
        <v>10560</v>
      </c>
    </row>
    <row r="579" customFormat="false" ht="15" hidden="false" customHeight="false" outlineLevel="0" collapsed="false">
      <c r="A579" s="0" t="n">
        <v>206</v>
      </c>
      <c r="B579" s="0" t="s">
        <v>1452</v>
      </c>
      <c r="C579" s="0" t="s">
        <v>1457</v>
      </c>
      <c r="E579" s="0" t="s">
        <v>79</v>
      </c>
      <c r="F579" s="0" t="s">
        <v>10561</v>
      </c>
    </row>
    <row r="580" customFormat="false" ht="15" hidden="false" customHeight="false" outlineLevel="0" collapsed="false">
      <c r="A580" s="0" t="n">
        <v>206</v>
      </c>
      <c r="B580" s="0" t="s">
        <v>1452</v>
      </c>
      <c r="C580" s="0" t="s">
        <v>1458</v>
      </c>
      <c r="E580" s="0" t="s">
        <v>79</v>
      </c>
      <c r="F580" s="0" t="s">
        <v>10562</v>
      </c>
    </row>
    <row r="581" customFormat="false" ht="15" hidden="false" customHeight="false" outlineLevel="0" collapsed="false">
      <c r="A581" s="0" t="n">
        <v>206</v>
      </c>
      <c r="B581" s="0" t="s">
        <v>1452</v>
      </c>
      <c r="C581" s="0" t="s">
        <v>10563</v>
      </c>
      <c r="E581" s="0" t="s">
        <v>79</v>
      </c>
      <c r="F581" s="0" t="s">
        <v>10564</v>
      </c>
    </row>
    <row r="582" customFormat="false" ht="15" hidden="false" customHeight="false" outlineLevel="0" collapsed="false">
      <c r="A582" s="0" t="n">
        <v>206</v>
      </c>
      <c r="B582" s="0" t="s">
        <v>1452</v>
      </c>
      <c r="C582" s="0" t="s">
        <v>10565</v>
      </c>
      <c r="E582" s="0" t="s">
        <v>79</v>
      </c>
      <c r="F582" s="0" t="s">
        <v>10566</v>
      </c>
    </row>
    <row r="583" customFormat="false" ht="15" hidden="false" customHeight="false" outlineLevel="0" collapsed="false">
      <c r="A583" s="0" t="n">
        <v>207</v>
      </c>
      <c r="B583" s="0" t="s">
        <v>1464</v>
      </c>
      <c r="C583" s="0" t="s">
        <v>1466</v>
      </c>
      <c r="E583" s="0" t="s">
        <v>79</v>
      </c>
      <c r="F583" s="0" t="s">
        <v>10567</v>
      </c>
    </row>
    <row r="584" customFormat="false" ht="15" hidden="false" customHeight="false" outlineLevel="0" collapsed="false">
      <c r="A584" s="0" t="n">
        <v>207</v>
      </c>
      <c r="B584" s="0" t="s">
        <v>1464</v>
      </c>
      <c r="C584" s="0" t="s">
        <v>1467</v>
      </c>
      <c r="E584" s="0" t="s">
        <v>79</v>
      </c>
      <c r="F584" s="0" t="s">
        <v>10568</v>
      </c>
    </row>
    <row r="585" customFormat="false" ht="15" hidden="false" customHeight="false" outlineLevel="0" collapsed="false">
      <c r="A585" s="0" t="n">
        <v>207</v>
      </c>
      <c r="B585" s="0" t="s">
        <v>1464</v>
      </c>
      <c r="C585" s="0" t="s">
        <v>1468</v>
      </c>
      <c r="E585" s="0" t="s">
        <v>79</v>
      </c>
      <c r="F585" s="0" t="s">
        <v>10569</v>
      </c>
    </row>
    <row r="586" customFormat="false" ht="15" hidden="false" customHeight="false" outlineLevel="0" collapsed="false">
      <c r="A586" s="0" t="n">
        <v>207</v>
      </c>
      <c r="B586" s="0" t="s">
        <v>1464</v>
      </c>
      <c r="C586" s="0" t="s">
        <v>10570</v>
      </c>
      <c r="E586" s="0" t="s">
        <v>79</v>
      </c>
      <c r="F586" s="0" t="s">
        <v>10571</v>
      </c>
    </row>
    <row r="587" customFormat="false" ht="15" hidden="false" customHeight="false" outlineLevel="0" collapsed="false">
      <c r="A587" s="0" t="n">
        <v>207</v>
      </c>
      <c r="B587" s="0" t="s">
        <v>1464</v>
      </c>
      <c r="C587" s="0" t="s">
        <v>10572</v>
      </c>
      <c r="E587" s="0" t="s">
        <v>79</v>
      </c>
      <c r="F587" s="0" t="s">
        <v>10573</v>
      </c>
    </row>
    <row r="588" customFormat="false" ht="15" hidden="false" customHeight="false" outlineLevel="0" collapsed="false">
      <c r="A588" s="0" t="n">
        <v>210</v>
      </c>
      <c r="B588" s="0" t="s">
        <v>1476</v>
      </c>
      <c r="C588" s="0" t="s">
        <v>1479</v>
      </c>
      <c r="E588" s="0" t="s">
        <v>59</v>
      </c>
      <c r="F588" s="0" t="s">
        <v>10574</v>
      </c>
    </row>
    <row r="589" customFormat="false" ht="15" hidden="false" customHeight="false" outlineLevel="0" collapsed="false">
      <c r="A589" s="0" t="n">
        <v>210</v>
      </c>
      <c r="B589" s="0" t="s">
        <v>1476</v>
      </c>
      <c r="C589" s="0" t="s">
        <v>1480</v>
      </c>
      <c r="E589" s="0" t="s">
        <v>59</v>
      </c>
      <c r="F589" s="0" t="s">
        <v>10575</v>
      </c>
    </row>
    <row r="590" customFormat="false" ht="15" hidden="false" customHeight="false" outlineLevel="0" collapsed="false">
      <c r="A590" s="0" t="n">
        <v>210</v>
      </c>
      <c r="B590" s="0" t="s">
        <v>1476</v>
      </c>
      <c r="C590" s="0" t="s">
        <v>1481</v>
      </c>
      <c r="E590" s="0" t="s">
        <v>59</v>
      </c>
      <c r="F590" s="0" t="s">
        <v>10576</v>
      </c>
    </row>
    <row r="591" customFormat="false" ht="15" hidden="false" customHeight="false" outlineLevel="0" collapsed="false">
      <c r="A591" s="0" t="n">
        <v>210</v>
      </c>
      <c r="B591" s="0" t="s">
        <v>1476</v>
      </c>
      <c r="C591" s="0" t="s">
        <v>10577</v>
      </c>
      <c r="E591" s="0" t="s">
        <v>59</v>
      </c>
      <c r="F591" s="0" t="s">
        <v>10578</v>
      </c>
    </row>
    <row r="592" customFormat="false" ht="15" hidden="false" customHeight="false" outlineLevel="0" collapsed="false">
      <c r="A592" s="0" t="n">
        <v>210</v>
      </c>
      <c r="B592" s="0" t="s">
        <v>1476</v>
      </c>
      <c r="C592" s="0" t="s">
        <v>10579</v>
      </c>
      <c r="E592" s="0" t="s">
        <v>59</v>
      </c>
      <c r="F592" s="0" t="s">
        <v>10580</v>
      </c>
    </row>
    <row r="593" customFormat="false" ht="15" hidden="false" customHeight="false" outlineLevel="0" collapsed="false">
      <c r="A593" s="0" t="n">
        <v>211</v>
      </c>
      <c r="B593" s="0" t="s">
        <v>1484</v>
      </c>
      <c r="C593" s="0" t="s">
        <v>1487</v>
      </c>
      <c r="E593" s="0" t="s">
        <v>79</v>
      </c>
      <c r="F593" s="0" t="s">
        <v>10581</v>
      </c>
    </row>
    <row r="594" customFormat="false" ht="15" hidden="false" customHeight="false" outlineLevel="0" collapsed="false">
      <c r="A594" s="0" t="n">
        <v>211</v>
      </c>
      <c r="B594" s="0" t="s">
        <v>1484</v>
      </c>
      <c r="C594" s="0" t="s">
        <v>1488</v>
      </c>
      <c r="E594" s="0" t="s">
        <v>79</v>
      </c>
      <c r="F594" s="0" t="s">
        <v>10582</v>
      </c>
    </row>
    <row r="595" customFormat="false" ht="15" hidden="false" customHeight="false" outlineLevel="0" collapsed="false">
      <c r="A595" s="0" t="n">
        <v>211</v>
      </c>
      <c r="B595" s="0" t="s">
        <v>1484</v>
      </c>
      <c r="C595" s="0" t="s">
        <v>1489</v>
      </c>
      <c r="E595" s="0" t="s">
        <v>79</v>
      </c>
      <c r="F595" s="0" t="s">
        <v>10583</v>
      </c>
    </row>
    <row r="596" customFormat="false" ht="15" hidden="false" customHeight="false" outlineLevel="0" collapsed="false">
      <c r="A596" s="0" t="n">
        <v>211</v>
      </c>
      <c r="B596" s="0" t="s">
        <v>1484</v>
      </c>
      <c r="C596" s="0" t="s">
        <v>10584</v>
      </c>
      <c r="E596" s="0" t="s">
        <v>79</v>
      </c>
      <c r="F596" s="0" t="s">
        <v>10585</v>
      </c>
    </row>
    <row r="597" customFormat="false" ht="15" hidden="false" customHeight="false" outlineLevel="0" collapsed="false">
      <c r="A597" s="0" t="n">
        <v>211</v>
      </c>
      <c r="B597" s="0" t="s">
        <v>1484</v>
      </c>
      <c r="C597" s="0" t="s">
        <v>10586</v>
      </c>
      <c r="E597" s="0" t="s">
        <v>79</v>
      </c>
      <c r="F597" s="0" t="s">
        <v>10587</v>
      </c>
    </row>
    <row r="598" customFormat="false" ht="15" hidden="false" customHeight="false" outlineLevel="0" collapsed="false">
      <c r="A598" s="0" t="n">
        <v>213</v>
      </c>
      <c r="B598" s="0" t="s">
        <v>1500</v>
      </c>
      <c r="C598" s="0" t="s">
        <v>1503</v>
      </c>
      <c r="E598" s="0" t="s">
        <v>79</v>
      </c>
      <c r="F598" s="0" t="s">
        <v>10588</v>
      </c>
    </row>
    <row r="599" customFormat="false" ht="15" hidden="false" customHeight="false" outlineLevel="0" collapsed="false">
      <c r="A599" s="0" t="n">
        <v>213</v>
      </c>
      <c r="B599" s="0" t="s">
        <v>1500</v>
      </c>
      <c r="C599" s="0" t="s">
        <v>1504</v>
      </c>
      <c r="E599" s="0" t="s">
        <v>79</v>
      </c>
      <c r="F599" s="0" t="s">
        <v>10589</v>
      </c>
    </row>
    <row r="600" customFormat="false" ht="15" hidden="false" customHeight="false" outlineLevel="0" collapsed="false">
      <c r="A600" s="0" t="n">
        <v>213</v>
      </c>
      <c r="B600" s="0" t="s">
        <v>1500</v>
      </c>
      <c r="C600" s="0" t="s">
        <v>1505</v>
      </c>
      <c r="E600" s="0" t="s">
        <v>79</v>
      </c>
      <c r="F600" s="0" t="s">
        <v>10590</v>
      </c>
    </row>
    <row r="601" customFormat="false" ht="15" hidden="false" customHeight="false" outlineLevel="0" collapsed="false">
      <c r="A601" s="0" t="n">
        <v>213</v>
      </c>
      <c r="B601" s="0" t="s">
        <v>1500</v>
      </c>
      <c r="C601" s="0" t="s">
        <v>10591</v>
      </c>
      <c r="E601" s="0" t="s">
        <v>79</v>
      </c>
      <c r="F601" s="0" t="s">
        <v>10592</v>
      </c>
    </row>
    <row r="602" customFormat="false" ht="15" hidden="false" customHeight="false" outlineLevel="0" collapsed="false">
      <c r="A602" s="0" t="n">
        <v>214</v>
      </c>
      <c r="B602" s="0" t="s">
        <v>1510</v>
      </c>
      <c r="C602" s="0" t="s">
        <v>1513</v>
      </c>
      <c r="E602" s="0" t="s">
        <v>59</v>
      </c>
      <c r="F602" s="0" t="s">
        <v>10593</v>
      </c>
    </row>
    <row r="603" customFormat="false" ht="15" hidden="false" customHeight="false" outlineLevel="0" collapsed="false">
      <c r="A603" s="0" t="n">
        <v>214</v>
      </c>
      <c r="B603" s="0" t="s">
        <v>1510</v>
      </c>
      <c r="C603" s="0" t="s">
        <v>1514</v>
      </c>
      <c r="E603" s="0" t="s">
        <v>59</v>
      </c>
      <c r="F603" s="0" t="s">
        <v>10594</v>
      </c>
    </row>
    <row r="604" customFormat="false" ht="15" hidden="false" customHeight="false" outlineLevel="0" collapsed="false">
      <c r="A604" s="0" t="n">
        <v>214</v>
      </c>
      <c r="B604" s="0" t="s">
        <v>1510</v>
      </c>
      <c r="C604" s="0" t="s">
        <v>1515</v>
      </c>
      <c r="E604" s="0" t="s">
        <v>59</v>
      </c>
      <c r="F604" s="0" t="s">
        <v>10595</v>
      </c>
    </row>
    <row r="605" customFormat="false" ht="15" hidden="false" customHeight="false" outlineLevel="0" collapsed="false">
      <c r="A605" s="0" t="n">
        <v>214</v>
      </c>
      <c r="B605" s="0" t="s">
        <v>1510</v>
      </c>
      <c r="C605" s="0" t="s">
        <v>10596</v>
      </c>
      <c r="E605" s="0" t="s">
        <v>59</v>
      </c>
      <c r="F605" s="0" t="s">
        <v>10597</v>
      </c>
    </row>
    <row r="606" customFormat="false" ht="15" hidden="false" customHeight="false" outlineLevel="0" collapsed="false">
      <c r="A606" s="0" t="n">
        <v>214</v>
      </c>
      <c r="B606" s="0" t="s">
        <v>1510</v>
      </c>
      <c r="C606" s="0" t="s">
        <v>10598</v>
      </c>
      <c r="E606" s="0" t="s">
        <v>59</v>
      </c>
      <c r="F606" s="0" t="s">
        <v>10599</v>
      </c>
    </row>
    <row r="607" customFormat="false" ht="15" hidden="false" customHeight="false" outlineLevel="0" collapsed="false">
      <c r="A607" s="0" t="n">
        <v>215</v>
      </c>
      <c r="B607" s="0" t="s">
        <v>1516</v>
      </c>
      <c r="C607" s="0" t="s">
        <v>1519</v>
      </c>
      <c r="E607" s="0" t="s">
        <v>59</v>
      </c>
      <c r="F607" s="0" t="s">
        <v>10600</v>
      </c>
    </row>
    <row r="608" customFormat="false" ht="15" hidden="false" customHeight="false" outlineLevel="0" collapsed="false">
      <c r="A608" s="0" t="n">
        <v>216</v>
      </c>
      <c r="B608" s="0" t="s">
        <v>1523</v>
      </c>
      <c r="C608" s="0" t="s">
        <v>1527</v>
      </c>
      <c r="E608" s="0" t="s">
        <v>79</v>
      </c>
      <c r="F608" s="0" t="s">
        <v>10601</v>
      </c>
    </row>
    <row r="609" customFormat="false" ht="15" hidden="false" customHeight="false" outlineLevel="0" collapsed="false">
      <c r="A609" s="0" t="n">
        <v>216</v>
      </c>
      <c r="B609" s="0" t="s">
        <v>1523</v>
      </c>
      <c r="C609" s="0" t="s">
        <v>1528</v>
      </c>
      <c r="E609" s="0" t="s">
        <v>79</v>
      </c>
      <c r="F609" s="0" t="s">
        <v>10602</v>
      </c>
    </row>
    <row r="610" customFormat="false" ht="15" hidden="false" customHeight="false" outlineLevel="0" collapsed="false">
      <c r="A610" s="0" t="n">
        <v>216</v>
      </c>
      <c r="B610" s="0" t="s">
        <v>1523</v>
      </c>
      <c r="C610" s="0" t="s">
        <v>1529</v>
      </c>
      <c r="E610" s="0" t="s">
        <v>79</v>
      </c>
      <c r="F610" s="0" t="s">
        <v>10603</v>
      </c>
    </row>
    <row r="611" customFormat="false" ht="15" hidden="false" customHeight="false" outlineLevel="0" collapsed="false">
      <c r="A611" s="0" t="n">
        <v>216</v>
      </c>
      <c r="B611" s="0" t="s">
        <v>1523</v>
      </c>
      <c r="C611" s="0" t="s">
        <v>10604</v>
      </c>
      <c r="E611" s="0" t="s">
        <v>79</v>
      </c>
      <c r="F611" s="0" t="s">
        <v>10605</v>
      </c>
    </row>
    <row r="612" customFormat="false" ht="15" hidden="false" customHeight="false" outlineLevel="0" collapsed="false">
      <c r="A612" s="0" t="n">
        <v>216</v>
      </c>
      <c r="B612" s="0" t="s">
        <v>1523</v>
      </c>
      <c r="C612" s="0" t="s">
        <v>10606</v>
      </c>
      <c r="E612" s="0" t="s">
        <v>79</v>
      </c>
      <c r="F612" s="0" t="s">
        <v>10607</v>
      </c>
    </row>
    <row r="613" customFormat="false" ht="15" hidden="false" customHeight="false" outlineLevel="0" collapsed="false">
      <c r="A613" s="0" t="n">
        <v>217</v>
      </c>
      <c r="B613" s="0" t="s">
        <v>1534</v>
      </c>
      <c r="C613" s="0" t="s">
        <v>1542</v>
      </c>
      <c r="D613" s="0" t="s">
        <v>10608</v>
      </c>
      <c r="E613" s="0" t="s">
        <v>115</v>
      </c>
    </row>
    <row r="614" customFormat="false" ht="15" hidden="false" customHeight="false" outlineLevel="0" collapsed="false">
      <c r="A614" s="0" t="n">
        <v>217</v>
      </c>
      <c r="B614" s="0" t="s">
        <v>1534</v>
      </c>
      <c r="C614" s="0" t="s">
        <v>1543</v>
      </c>
      <c r="D614" s="0" t="s">
        <v>10609</v>
      </c>
      <c r="E614" s="0" t="s">
        <v>115</v>
      </c>
    </row>
    <row r="615" customFormat="false" ht="15" hidden="false" customHeight="false" outlineLevel="0" collapsed="false">
      <c r="A615" s="0" t="n">
        <v>217</v>
      </c>
      <c r="B615" s="0" t="s">
        <v>1534</v>
      </c>
      <c r="C615" s="0" t="s">
        <v>1544</v>
      </c>
      <c r="D615" s="0" t="s">
        <v>10610</v>
      </c>
      <c r="E615" s="0" t="s">
        <v>115</v>
      </c>
    </row>
    <row r="616" customFormat="false" ht="15" hidden="false" customHeight="false" outlineLevel="0" collapsed="false">
      <c r="A616" s="0" t="n">
        <v>218</v>
      </c>
      <c r="B616" s="0" t="s">
        <v>1553</v>
      </c>
      <c r="C616" s="0" t="s">
        <v>1557</v>
      </c>
      <c r="E616" s="0" t="s">
        <v>59</v>
      </c>
      <c r="F616" s="0" t="s">
        <v>10611</v>
      </c>
    </row>
    <row r="617" customFormat="false" ht="15" hidden="false" customHeight="false" outlineLevel="0" collapsed="false">
      <c r="A617" s="0" t="n">
        <v>218</v>
      </c>
      <c r="B617" s="0" t="s">
        <v>1553</v>
      </c>
      <c r="C617" s="0" t="s">
        <v>1558</v>
      </c>
      <c r="E617" s="0" t="s">
        <v>59</v>
      </c>
      <c r="F617" s="0" t="s">
        <v>10612</v>
      </c>
    </row>
    <row r="618" customFormat="false" ht="15" hidden="false" customHeight="false" outlineLevel="0" collapsed="false">
      <c r="A618" s="0" t="n">
        <v>218</v>
      </c>
      <c r="B618" s="0" t="s">
        <v>1553</v>
      </c>
      <c r="C618" s="0" t="s">
        <v>1559</v>
      </c>
      <c r="E618" s="0" t="s">
        <v>59</v>
      </c>
      <c r="F618" s="0" t="s">
        <v>10613</v>
      </c>
    </row>
    <row r="619" customFormat="false" ht="15" hidden="false" customHeight="false" outlineLevel="0" collapsed="false">
      <c r="A619" s="0" t="n">
        <v>218</v>
      </c>
      <c r="B619" s="0" t="s">
        <v>1553</v>
      </c>
      <c r="C619" s="0" t="s">
        <v>10614</v>
      </c>
      <c r="E619" s="0" t="s">
        <v>59</v>
      </c>
      <c r="F619" s="0" t="s">
        <v>10615</v>
      </c>
    </row>
    <row r="620" customFormat="false" ht="15" hidden="false" customHeight="false" outlineLevel="0" collapsed="false">
      <c r="A620" s="0" t="n">
        <v>218</v>
      </c>
      <c r="B620" s="0" t="s">
        <v>1553</v>
      </c>
      <c r="C620" s="0" t="s">
        <v>10616</v>
      </c>
      <c r="E620" s="0" t="s">
        <v>59</v>
      </c>
      <c r="F620" s="0" t="s">
        <v>10617</v>
      </c>
    </row>
    <row r="621" customFormat="false" ht="15" hidden="false" customHeight="false" outlineLevel="0" collapsed="false">
      <c r="A621" s="0" t="n">
        <v>219</v>
      </c>
      <c r="B621" s="0" t="s">
        <v>1564</v>
      </c>
      <c r="C621" s="0" t="s">
        <v>1569</v>
      </c>
      <c r="E621" s="0" t="s">
        <v>79</v>
      </c>
      <c r="F621" s="0" t="s">
        <v>10618</v>
      </c>
    </row>
    <row r="622" customFormat="false" ht="15" hidden="false" customHeight="false" outlineLevel="0" collapsed="false">
      <c r="A622" s="0" t="n">
        <v>219</v>
      </c>
      <c r="B622" s="0" t="s">
        <v>1564</v>
      </c>
      <c r="C622" s="0" t="s">
        <v>1570</v>
      </c>
      <c r="E622" s="0" t="s">
        <v>79</v>
      </c>
      <c r="F622" s="0" t="s">
        <v>10619</v>
      </c>
    </row>
    <row r="623" customFormat="false" ht="15" hidden="false" customHeight="false" outlineLevel="0" collapsed="false">
      <c r="A623" s="0" t="n">
        <v>219</v>
      </c>
      <c r="B623" s="0" t="s">
        <v>1564</v>
      </c>
      <c r="C623" s="0" t="s">
        <v>1571</v>
      </c>
      <c r="E623" s="0" t="s">
        <v>79</v>
      </c>
      <c r="F623" s="0" t="s">
        <v>10620</v>
      </c>
    </row>
    <row r="624" customFormat="false" ht="15" hidden="false" customHeight="false" outlineLevel="0" collapsed="false">
      <c r="A624" s="0" t="n">
        <v>219</v>
      </c>
      <c r="B624" s="0" t="s">
        <v>1564</v>
      </c>
      <c r="C624" s="0" t="s">
        <v>10621</v>
      </c>
      <c r="E624" s="0" t="s">
        <v>79</v>
      </c>
      <c r="F624" s="0" t="s">
        <v>10622</v>
      </c>
    </row>
    <row r="625" customFormat="false" ht="15" hidden="false" customHeight="false" outlineLevel="0" collapsed="false">
      <c r="A625" s="0" t="n">
        <v>219</v>
      </c>
      <c r="B625" s="0" t="s">
        <v>1564</v>
      </c>
      <c r="C625" s="0" t="s">
        <v>10623</v>
      </c>
      <c r="E625" s="0" t="s">
        <v>79</v>
      </c>
      <c r="F625" s="0" t="s">
        <v>10624</v>
      </c>
    </row>
    <row r="626" customFormat="false" ht="15" hidden="false" customHeight="false" outlineLevel="0" collapsed="false">
      <c r="A626" s="0" t="n">
        <v>220</v>
      </c>
      <c r="B626" s="0" t="s">
        <v>1576</v>
      </c>
      <c r="C626" s="0" t="s">
        <v>1579</v>
      </c>
      <c r="E626" s="0" t="s">
        <v>79</v>
      </c>
      <c r="F626" s="0" t="s">
        <v>10625</v>
      </c>
    </row>
    <row r="627" customFormat="false" ht="15" hidden="false" customHeight="false" outlineLevel="0" collapsed="false">
      <c r="A627" s="0" t="n">
        <v>220</v>
      </c>
      <c r="B627" s="0" t="s">
        <v>1576</v>
      </c>
      <c r="C627" s="0" t="s">
        <v>1580</v>
      </c>
      <c r="E627" s="0" t="s">
        <v>79</v>
      </c>
      <c r="F627" s="0" t="s">
        <v>10626</v>
      </c>
    </row>
    <row r="628" customFormat="false" ht="15" hidden="false" customHeight="false" outlineLevel="0" collapsed="false">
      <c r="A628" s="0" t="n">
        <v>220</v>
      </c>
      <c r="B628" s="0" t="s">
        <v>1576</v>
      </c>
      <c r="C628" s="0" t="s">
        <v>1581</v>
      </c>
      <c r="E628" s="0" t="s">
        <v>79</v>
      </c>
      <c r="F628" s="0" t="s">
        <v>10627</v>
      </c>
    </row>
    <row r="629" customFormat="false" ht="15" hidden="false" customHeight="false" outlineLevel="0" collapsed="false">
      <c r="A629" s="0" t="n">
        <v>220</v>
      </c>
      <c r="B629" s="0" t="s">
        <v>1576</v>
      </c>
      <c r="C629" s="0" t="s">
        <v>10628</v>
      </c>
      <c r="E629" s="0" t="s">
        <v>79</v>
      </c>
      <c r="F629" s="0" t="s">
        <v>10629</v>
      </c>
    </row>
    <row r="630" customFormat="false" ht="15" hidden="false" customHeight="false" outlineLevel="0" collapsed="false">
      <c r="A630" s="0" t="n">
        <v>220</v>
      </c>
      <c r="B630" s="0" t="s">
        <v>1576</v>
      </c>
      <c r="C630" s="0" t="s">
        <v>10630</v>
      </c>
      <c r="E630" s="0" t="s">
        <v>79</v>
      </c>
      <c r="F630" s="0" t="s">
        <v>10631</v>
      </c>
    </row>
    <row r="631" customFormat="false" ht="15" hidden="false" customHeight="false" outlineLevel="0" collapsed="false">
      <c r="A631" s="0" t="n">
        <v>222</v>
      </c>
      <c r="B631" s="0" t="s">
        <v>1587</v>
      </c>
      <c r="C631" s="0" t="s">
        <v>1590</v>
      </c>
      <c r="E631" s="0" t="s">
        <v>79</v>
      </c>
      <c r="F631" s="0" t="s">
        <v>10632</v>
      </c>
    </row>
    <row r="632" customFormat="false" ht="15" hidden="false" customHeight="false" outlineLevel="0" collapsed="false">
      <c r="A632" s="0" t="n">
        <v>222</v>
      </c>
      <c r="B632" s="0" t="s">
        <v>1587</v>
      </c>
      <c r="C632" s="0" t="s">
        <v>1591</v>
      </c>
      <c r="E632" s="0" t="s">
        <v>79</v>
      </c>
      <c r="F632" s="0" t="s">
        <v>10633</v>
      </c>
    </row>
    <row r="633" customFormat="false" ht="15" hidden="false" customHeight="false" outlineLevel="0" collapsed="false">
      <c r="A633" s="0" t="n">
        <v>222</v>
      </c>
      <c r="B633" s="0" t="s">
        <v>1587</v>
      </c>
      <c r="C633" s="0" t="s">
        <v>1592</v>
      </c>
      <c r="E633" s="0" t="s">
        <v>79</v>
      </c>
      <c r="F633" s="0" t="s">
        <v>10634</v>
      </c>
    </row>
    <row r="634" customFormat="false" ht="15" hidden="false" customHeight="false" outlineLevel="0" collapsed="false">
      <c r="A634" s="0" t="n">
        <v>222</v>
      </c>
      <c r="B634" s="0" t="s">
        <v>1587</v>
      </c>
      <c r="C634" s="0" t="s">
        <v>10635</v>
      </c>
      <c r="E634" s="0" t="s">
        <v>79</v>
      </c>
      <c r="F634" s="0" t="s">
        <v>10636</v>
      </c>
    </row>
    <row r="635" customFormat="false" ht="15" hidden="false" customHeight="false" outlineLevel="0" collapsed="false">
      <c r="A635" s="0" t="n">
        <v>222</v>
      </c>
      <c r="B635" s="0" t="s">
        <v>1587</v>
      </c>
      <c r="C635" s="0" t="s">
        <v>10637</v>
      </c>
      <c r="E635" s="0" t="s">
        <v>79</v>
      </c>
      <c r="F635" s="0" t="s">
        <v>10638</v>
      </c>
    </row>
    <row r="636" customFormat="false" ht="15" hidden="false" customHeight="false" outlineLevel="0" collapsed="false">
      <c r="A636" s="0" t="n">
        <v>223</v>
      </c>
      <c r="B636" s="0" t="s">
        <v>1598</v>
      </c>
      <c r="C636" s="0" t="s">
        <v>1601</v>
      </c>
      <c r="E636" s="0" t="s">
        <v>79</v>
      </c>
      <c r="F636" s="0" t="s">
        <v>10639</v>
      </c>
    </row>
    <row r="637" customFormat="false" ht="15" hidden="false" customHeight="false" outlineLevel="0" collapsed="false">
      <c r="A637" s="0" t="n">
        <v>223</v>
      </c>
      <c r="B637" s="0" t="s">
        <v>1598</v>
      </c>
      <c r="C637" s="0" t="s">
        <v>1602</v>
      </c>
      <c r="E637" s="0" t="s">
        <v>79</v>
      </c>
      <c r="F637" s="0" t="s">
        <v>10640</v>
      </c>
    </row>
    <row r="638" customFormat="false" ht="15" hidden="false" customHeight="false" outlineLevel="0" collapsed="false">
      <c r="A638" s="0" t="n">
        <v>223</v>
      </c>
      <c r="B638" s="0" t="s">
        <v>1598</v>
      </c>
      <c r="C638" s="0" t="s">
        <v>1603</v>
      </c>
      <c r="E638" s="0" t="s">
        <v>79</v>
      </c>
      <c r="F638" s="0" t="s">
        <v>10641</v>
      </c>
    </row>
    <row r="639" customFormat="false" ht="15" hidden="false" customHeight="false" outlineLevel="0" collapsed="false">
      <c r="A639" s="0" t="n">
        <v>223</v>
      </c>
      <c r="B639" s="0" t="s">
        <v>1598</v>
      </c>
      <c r="C639" s="0" t="s">
        <v>10642</v>
      </c>
      <c r="E639" s="0" t="s">
        <v>79</v>
      </c>
      <c r="F639" s="0" t="s">
        <v>10643</v>
      </c>
    </row>
    <row r="640" customFormat="false" ht="15" hidden="false" customHeight="false" outlineLevel="0" collapsed="false">
      <c r="A640" s="0" t="n">
        <v>223</v>
      </c>
      <c r="B640" s="0" t="s">
        <v>1598</v>
      </c>
      <c r="C640" s="0" t="s">
        <v>10644</v>
      </c>
      <c r="E640" s="0" t="s">
        <v>79</v>
      </c>
      <c r="F640" s="0" t="s">
        <v>10645</v>
      </c>
    </row>
    <row r="641" customFormat="false" ht="15" hidden="false" customHeight="false" outlineLevel="0" collapsed="false">
      <c r="A641" s="0" t="n">
        <v>227</v>
      </c>
      <c r="B641" s="0" t="s">
        <v>1612</v>
      </c>
      <c r="C641" s="0" t="s">
        <v>1615</v>
      </c>
      <c r="E641" s="0" t="s">
        <v>79</v>
      </c>
      <c r="F641" s="0" t="s">
        <v>10646</v>
      </c>
    </row>
    <row r="642" customFormat="false" ht="15" hidden="false" customHeight="false" outlineLevel="0" collapsed="false">
      <c r="A642" s="0" t="n">
        <v>227</v>
      </c>
      <c r="B642" s="0" t="s">
        <v>1612</v>
      </c>
      <c r="C642" s="0" t="s">
        <v>1616</v>
      </c>
      <c r="E642" s="0" t="s">
        <v>79</v>
      </c>
      <c r="F642" s="0" t="s">
        <v>10647</v>
      </c>
    </row>
    <row r="643" customFormat="false" ht="15" hidden="false" customHeight="false" outlineLevel="0" collapsed="false">
      <c r="A643" s="0" t="n">
        <v>227</v>
      </c>
      <c r="B643" s="0" t="s">
        <v>1612</v>
      </c>
      <c r="C643" s="0" t="s">
        <v>1617</v>
      </c>
      <c r="E643" s="0" t="s">
        <v>79</v>
      </c>
      <c r="F643" s="0" t="s">
        <v>10648</v>
      </c>
    </row>
    <row r="644" customFormat="false" ht="15" hidden="false" customHeight="false" outlineLevel="0" collapsed="false">
      <c r="A644" s="0" t="n">
        <v>227</v>
      </c>
      <c r="B644" s="0" t="s">
        <v>1612</v>
      </c>
      <c r="C644" s="0" t="s">
        <v>10649</v>
      </c>
      <c r="E644" s="0" t="s">
        <v>79</v>
      </c>
      <c r="F644" s="0" t="s">
        <v>10650</v>
      </c>
    </row>
    <row r="645" customFormat="false" ht="15" hidden="false" customHeight="false" outlineLevel="0" collapsed="false">
      <c r="A645" s="0" t="n">
        <v>227</v>
      </c>
      <c r="B645" s="0" t="s">
        <v>1612</v>
      </c>
      <c r="C645" s="0" t="s">
        <v>10651</v>
      </c>
      <c r="E645" s="0" t="s">
        <v>79</v>
      </c>
      <c r="F645" s="0" t="s">
        <v>10652</v>
      </c>
    </row>
    <row r="646" customFormat="false" ht="15" hidden="false" customHeight="false" outlineLevel="0" collapsed="false">
      <c r="A646" s="0" t="n">
        <v>228</v>
      </c>
      <c r="B646" s="0" t="s">
        <v>1621</v>
      </c>
      <c r="C646" s="0" t="s">
        <v>1625</v>
      </c>
      <c r="E646" s="0" t="s">
        <v>79</v>
      </c>
      <c r="F646" s="0" t="s">
        <v>10653</v>
      </c>
    </row>
    <row r="647" customFormat="false" ht="15" hidden="false" customHeight="false" outlineLevel="0" collapsed="false">
      <c r="A647" s="0" t="n">
        <v>228</v>
      </c>
      <c r="B647" s="0" t="s">
        <v>1621</v>
      </c>
      <c r="C647" s="0" t="s">
        <v>1626</v>
      </c>
      <c r="E647" s="0" t="s">
        <v>79</v>
      </c>
      <c r="F647" s="0" t="s">
        <v>10654</v>
      </c>
    </row>
    <row r="648" customFormat="false" ht="15" hidden="false" customHeight="false" outlineLevel="0" collapsed="false">
      <c r="A648" s="0" t="n">
        <v>228</v>
      </c>
      <c r="B648" s="0" t="s">
        <v>1621</v>
      </c>
      <c r="C648" s="0" t="s">
        <v>1627</v>
      </c>
      <c r="E648" s="0" t="s">
        <v>79</v>
      </c>
      <c r="F648" s="0" t="s">
        <v>10655</v>
      </c>
    </row>
    <row r="649" customFormat="false" ht="15" hidden="false" customHeight="false" outlineLevel="0" collapsed="false">
      <c r="A649" s="0" t="n">
        <v>228</v>
      </c>
      <c r="B649" s="0" t="s">
        <v>1621</v>
      </c>
      <c r="C649" s="0" t="s">
        <v>10656</v>
      </c>
      <c r="E649" s="0" t="s">
        <v>79</v>
      </c>
      <c r="F649" s="0" t="s">
        <v>10657</v>
      </c>
    </row>
    <row r="650" customFormat="false" ht="15" hidden="false" customHeight="false" outlineLevel="0" collapsed="false">
      <c r="A650" s="0" t="n">
        <v>228</v>
      </c>
      <c r="B650" s="0" t="s">
        <v>1621</v>
      </c>
      <c r="C650" s="0" t="s">
        <v>10658</v>
      </c>
      <c r="E650" s="0" t="s">
        <v>79</v>
      </c>
      <c r="F650" s="0" t="s">
        <v>10659</v>
      </c>
    </row>
    <row r="651" customFormat="false" ht="15" hidden="false" customHeight="false" outlineLevel="0" collapsed="false">
      <c r="A651" s="0" t="n">
        <v>229</v>
      </c>
      <c r="B651" s="0" t="s">
        <v>1630</v>
      </c>
      <c r="C651" s="0" t="s">
        <v>1632</v>
      </c>
      <c r="E651" s="0" t="s">
        <v>59</v>
      </c>
      <c r="F651" s="0" t="s">
        <v>10660</v>
      </c>
    </row>
    <row r="652" customFormat="false" ht="15" hidden="false" customHeight="false" outlineLevel="0" collapsed="false">
      <c r="A652" s="0" t="n">
        <v>229</v>
      </c>
      <c r="B652" s="0" t="s">
        <v>1630</v>
      </c>
      <c r="C652" s="0" t="s">
        <v>1633</v>
      </c>
      <c r="E652" s="0" t="s">
        <v>59</v>
      </c>
      <c r="F652" s="0" t="s">
        <v>10661</v>
      </c>
    </row>
    <row r="653" customFormat="false" ht="15" hidden="false" customHeight="false" outlineLevel="0" collapsed="false">
      <c r="A653" s="0" t="n">
        <v>229</v>
      </c>
      <c r="B653" s="0" t="s">
        <v>1630</v>
      </c>
      <c r="C653" s="0" t="s">
        <v>1634</v>
      </c>
      <c r="E653" s="0" t="s">
        <v>59</v>
      </c>
      <c r="F653" s="0" t="s">
        <v>10662</v>
      </c>
    </row>
    <row r="654" customFormat="false" ht="15" hidden="false" customHeight="false" outlineLevel="0" collapsed="false">
      <c r="A654" s="0" t="n">
        <v>229</v>
      </c>
      <c r="B654" s="0" t="s">
        <v>1630</v>
      </c>
      <c r="C654" s="0" t="s">
        <v>10663</v>
      </c>
      <c r="E654" s="0" t="s">
        <v>59</v>
      </c>
      <c r="F654" s="0" t="s">
        <v>10664</v>
      </c>
    </row>
    <row r="655" customFormat="false" ht="15" hidden="false" customHeight="false" outlineLevel="0" collapsed="false">
      <c r="A655" s="0" t="n">
        <v>229</v>
      </c>
      <c r="B655" s="0" t="s">
        <v>1630</v>
      </c>
      <c r="C655" s="0" t="s">
        <v>10665</v>
      </c>
      <c r="E655" s="0" t="s">
        <v>59</v>
      </c>
      <c r="F655" s="0" t="s">
        <v>10666</v>
      </c>
    </row>
    <row r="656" customFormat="false" ht="15" hidden="false" customHeight="false" outlineLevel="0" collapsed="false">
      <c r="A656" s="0" t="n">
        <v>230</v>
      </c>
      <c r="B656" s="0" t="s">
        <v>1636</v>
      </c>
      <c r="C656" s="0" t="s">
        <v>1638</v>
      </c>
      <c r="E656" s="0" t="s">
        <v>79</v>
      </c>
      <c r="F656" s="0" t="s">
        <v>10667</v>
      </c>
    </row>
    <row r="657" customFormat="false" ht="15" hidden="false" customHeight="false" outlineLevel="0" collapsed="false">
      <c r="A657" s="0" t="n">
        <v>230</v>
      </c>
      <c r="B657" s="0" t="s">
        <v>1636</v>
      </c>
      <c r="C657" s="0" t="s">
        <v>1639</v>
      </c>
      <c r="E657" s="0" t="s">
        <v>79</v>
      </c>
      <c r="F657" s="0" t="s">
        <v>10668</v>
      </c>
    </row>
    <row r="658" customFormat="false" ht="15" hidden="false" customHeight="false" outlineLevel="0" collapsed="false">
      <c r="A658" s="0" t="n">
        <v>230</v>
      </c>
      <c r="B658" s="0" t="s">
        <v>1636</v>
      </c>
      <c r="C658" s="0" t="s">
        <v>1640</v>
      </c>
      <c r="E658" s="0" t="s">
        <v>79</v>
      </c>
      <c r="F658" s="0" t="s">
        <v>10669</v>
      </c>
    </row>
    <row r="659" customFormat="false" ht="15" hidden="false" customHeight="false" outlineLevel="0" collapsed="false">
      <c r="A659" s="0" t="n">
        <v>230</v>
      </c>
      <c r="B659" s="0" t="s">
        <v>1636</v>
      </c>
      <c r="C659" s="0" t="s">
        <v>10670</v>
      </c>
      <c r="E659" s="0" t="s">
        <v>79</v>
      </c>
      <c r="F659" s="0" t="s">
        <v>10671</v>
      </c>
    </row>
    <row r="660" customFormat="false" ht="15" hidden="false" customHeight="false" outlineLevel="0" collapsed="false">
      <c r="A660" s="0" t="n">
        <v>230</v>
      </c>
      <c r="B660" s="0" t="s">
        <v>1636</v>
      </c>
      <c r="C660" s="0" t="s">
        <v>10672</v>
      </c>
      <c r="E660" s="0" t="s">
        <v>79</v>
      </c>
      <c r="F660" s="0" t="s">
        <v>10673</v>
      </c>
    </row>
    <row r="661" customFormat="false" ht="15" hidden="false" customHeight="false" outlineLevel="0" collapsed="false">
      <c r="A661" s="0" t="n">
        <v>231</v>
      </c>
      <c r="B661" s="0" t="s">
        <v>1643</v>
      </c>
      <c r="C661" s="0" t="s">
        <v>1645</v>
      </c>
      <c r="E661" s="0" t="s">
        <v>79</v>
      </c>
      <c r="F661" s="0" t="s">
        <v>10674</v>
      </c>
    </row>
    <row r="662" customFormat="false" ht="15" hidden="false" customHeight="false" outlineLevel="0" collapsed="false">
      <c r="A662" s="0" t="n">
        <v>231</v>
      </c>
      <c r="B662" s="0" t="s">
        <v>1643</v>
      </c>
      <c r="C662" s="0" t="s">
        <v>1646</v>
      </c>
      <c r="E662" s="0" t="s">
        <v>79</v>
      </c>
      <c r="F662" s="0" t="s">
        <v>10675</v>
      </c>
    </row>
    <row r="663" customFormat="false" ht="15" hidden="false" customHeight="false" outlineLevel="0" collapsed="false">
      <c r="A663" s="0" t="n">
        <v>232</v>
      </c>
      <c r="B663" s="0" t="s">
        <v>1647</v>
      </c>
      <c r="C663" s="0" t="s">
        <v>1650</v>
      </c>
      <c r="E663" s="0" t="s">
        <v>79</v>
      </c>
      <c r="F663" s="0" t="s">
        <v>10676</v>
      </c>
    </row>
    <row r="664" customFormat="false" ht="15" hidden="false" customHeight="false" outlineLevel="0" collapsed="false">
      <c r="A664" s="0" t="n">
        <v>232</v>
      </c>
      <c r="B664" s="0" t="s">
        <v>1647</v>
      </c>
      <c r="C664" s="0" t="s">
        <v>1651</v>
      </c>
      <c r="E664" s="0" t="s">
        <v>79</v>
      </c>
      <c r="F664" s="0" t="s">
        <v>10677</v>
      </c>
    </row>
    <row r="665" customFormat="false" ht="15" hidden="false" customHeight="false" outlineLevel="0" collapsed="false">
      <c r="A665" s="0" t="n">
        <v>232</v>
      </c>
      <c r="B665" s="0" t="s">
        <v>1647</v>
      </c>
      <c r="C665" s="0" t="s">
        <v>1652</v>
      </c>
      <c r="E665" s="0" t="s">
        <v>79</v>
      </c>
      <c r="F665" s="0" t="s">
        <v>10678</v>
      </c>
    </row>
    <row r="666" customFormat="false" ht="15" hidden="false" customHeight="false" outlineLevel="0" collapsed="false">
      <c r="A666" s="0" t="n">
        <v>232</v>
      </c>
      <c r="B666" s="0" t="s">
        <v>1647</v>
      </c>
      <c r="C666" s="0" t="s">
        <v>10679</v>
      </c>
      <c r="E666" s="0" t="s">
        <v>79</v>
      </c>
      <c r="F666" s="0" t="s">
        <v>10680</v>
      </c>
    </row>
    <row r="667" customFormat="false" ht="15" hidden="false" customHeight="false" outlineLevel="0" collapsed="false">
      <c r="A667" s="0" t="n">
        <v>232</v>
      </c>
      <c r="B667" s="0" t="s">
        <v>1647</v>
      </c>
      <c r="C667" s="0" t="s">
        <v>10681</v>
      </c>
      <c r="E667" s="0" t="s">
        <v>79</v>
      </c>
      <c r="F667" s="0" t="s">
        <v>10682</v>
      </c>
    </row>
    <row r="668" customFormat="false" ht="15" hidden="false" customHeight="false" outlineLevel="0" collapsed="false">
      <c r="A668" s="0" t="n">
        <v>233</v>
      </c>
      <c r="B668" s="0" t="s">
        <v>1653</v>
      </c>
      <c r="C668" s="0" t="s">
        <v>1655</v>
      </c>
      <c r="E668" s="0" t="s">
        <v>79</v>
      </c>
      <c r="F668" s="0" t="s">
        <v>10683</v>
      </c>
    </row>
    <row r="669" customFormat="false" ht="15" hidden="false" customHeight="false" outlineLevel="0" collapsed="false">
      <c r="A669" s="0" t="n">
        <v>233</v>
      </c>
      <c r="B669" s="0" t="s">
        <v>1653</v>
      </c>
      <c r="C669" s="0" t="s">
        <v>1656</v>
      </c>
      <c r="E669" s="0" t="s">
        <v>79</v>
      </c>
      <c r="F669" s="0" t="s">
        <v>10684</v>
      </c>
    </row>
    <row r="670" customFormat="false" ht="15" hidden="false" customHeight="false" outlineLevel="0" collapsed="false">
      <c r="A670" s="0" t="n">
        <v>233</v>
      </c>
      <c r="B670" s="0" t="s">
        <v>1653</v>
      </c>
      <c r="C670" s="0" t="s">
        <v>1657</v>
      </c>
      <c r="E670" s="0" t="s">
        <v>79</v>
      </c>
      <c r="F670" s="0" t="s">
        <v>10685</v>
      </c>
    </row>
    <row r="671" customFormat="false" ht="15" hidden="false" customHeight="false" outlineLevel="0" collapsed="false">
      <c r="A671" s="0" t="n">
        <v>234</v>
      </c>
      <c r="B671" s="0" t="s">
        <v>1658</v>
      </c>
      <c r="C671" s="0" t="s">
        <v>1661</v>
      </c>
      <c r="E671" s="0" t="s">
        <v>79</v>
      </c>
      <c r="F671" s="0" t="s">
        <v>10686</v>
      </c>
    </row>
    <row r="672" customFormat="false" ht="15" hidden="false" customHeight="false" outlineLevel="0" collapsed="false">
      <c r="A672" s="0" t="n">
        <v>234</v>
      </c>
      <c r="B672" s="0" t="s">
        <v>1658</v>
      </c>
      <c r="C672" s="0" t="s">
        <v>1662</v>
      </c>
      <c r="E672" s="0" t="s">
        <v>79</v>
      </c>
      <c r="F672" s="0" t="s">
        <v>10687</v>
      </c>
    </row>
    <row r="673" customFormat="false" ht="15" hidden="false" customHeight="false" outlineLevel="0" collapsed="false">
      <c r="A673" s="0" t="n">
        <v>234</v>
      </c>
      <c r="B673" s="0" t="s">
        <v>1658</v>
      </c>
      <c r="C673" s="0" t="s">
        <v>1663</v>
      </c>
      <c r="E673" s="0" t="s">
        <v>79</v>
      </c>
      <c r="F673" s="0" t="s">
        <v>10688</v>
      </c>
    </row>
    <row r="674" customFormat="false" ht="15" hidden="false" customHeight="false" outlineLevel="0" collapsed="false">
      <c r="A674" s="0" t="n">
        <v>234</v>
      </c>
      <c r="B674" s="0" t="s">
        <v>1658</v>
      </c>
      <c r="C674" s="0" t="s">
        <v>10689</v>
      </c>
      <c r="E674" s="0" t="s">
        <v>79</v>
      </c>
      <c r="F674" s="0" t="s">
        <v>10690</v>
      </c>
    </row>
    <row r="675" customFormat="false" ht="15" hidden="false" customHeight="false" outlineLevel="0" collapsed="false">
      <c r="A675" s="0" t="n">
        <v>234</v>
      </c>
      <c r="B675" s="0" t="s">
        <v>1658</v>
      </c>
      <c r="C675" s="0" t="s">
        <v>10691</v>
      </c>
      <c r="E675" s="0" t="s">
        <v>79</v>
      </c>
      <c r="F675" s="0" t="s">
        <v>10692</v>
      </c>
    </row>
    <row r="676" customFormat="false" ht="15" hidden="false" customHeight="false" outlineLevel="0" collapsed="false">
      <c r="A676" s="0" t="n">
        <v>235</v>
      </c>
      <c r="B676" s="0" t="s">
        <v>1668</v>
      </c>
      <c r="C676" s="0" t="s">
        <v>1670</v>
      </c>
      <c r="E676" s="0" t="s">
        <v>79</v>
      </c>
      <c r="F676" s="0" t="s">
        <v>10693</v>
      </c>
    </row>
    <row r="677" customFormat="false" ht="15" hidden="false" customHeight="false" outlineLevel="0" collapsed="false">
      <c r="A677" s="0" t="n">
        <v>235</v>
      </c>
      <c r="B677" s="0" t="s">
        <v>1668</v>
      </c>
      <c r="C677" s="0" t="s">
        <v>1671</v>
      </c>
      <c r="E677" s="0" t="s">
        <v>79</v>
      </c>
      <c r="F677" s="0" t="s">
        <v>10694</v>
      </c>
    </row>
    <row r="678" customFormat="false" ht="15" hidden="false" customHeight="false" outlineLevel="0" collapsed="false">
      <c r="A678" s="0" t="n">
        <v>235</v>
      </c>
      <c r="B678" s="0" t="s">
        <v>1668</v>
      </c>
      <c r="C678" s="0" t="s">
        <v>1672</v>
      </c>
      <c r="E678" s="0" t="s">
        <v>79</v>
      </c>
      <c r="F678" s="0" t="s">
        <v>10695</v>
      </c>
    </row>
    <row r="679" customFormat="false" ht="15" hidden="false" customHeight="false" outlineLevel="0" collapsed="false">
      <c r="A679" s="0" t="n">
        <v>235</v>
      </c>
      <c r="B679" s="0" t="s">
        <v>1668</v>
      </c>
      <c r="C679" s="0" t="s">
        <v>10696</v>
      </c>
      <c r="E679" s="0" t="s">
        <v>79</v>
      </c>
      <c r="F679" s="0" t="s">
        <v>10697</v>
      </c>
    </row>
    <row r="680" customFormat="false" ht="15" hidden="false" customHeight="false" outlineLevel="0" collapsed="false">
      <c r="A680" s="0" t="n">
        <v>235</v>
      </c>
      <c r="B680" s="0" t="s">
        <v>1668</v>
      </c>
      <c r="C680" s="0" t="s">
        <v>10698</v>
      </c>
      <c r="E680" s="0" t="s">
        <v>79</v>
      </c>
      <c r="F680" s="0" t="s">
        <v>10699</v>
      </c>
    </row>
    <row r="681" customFormat="false" ht="15" hidden="false" customHeight="false" outlineLevel="0" collapsed="false">
      <c r="A681" s="0" t="n">
        <v>238</v>
      </c>
      <c r="B681" s="0" t="s">
        <v>1680</v>
      </c>
      <c r="C681" s="0" t="s">
        <v>1683</v>
      </c>
      <c r="E681" s="0" t="s">
        <v>79</v>
      </c>
      <c r="F681" s="0" t="s">
        <v>10700</v>
      </c>
    </row>
    <row r="682" customFormat="false" ht="15" hidden="false" customHeight="false" outlineLevel="0" collapsed="false">
      <c r="A682" s="0" t="n">
        <v>238</v>
      </c>
      <c r="B682" s="0" t="s">
        <v>1680</v>
      </c>
      <c r="C682" s="0" t="s">
        <v>1684</v>
      </c>
      <c r="E682" s="0" t="s">
        <v>79</v>
      </c>
      <c r="F682" s="0" t="s">
        <v>10701</v>
      </c>
    </row>
    <row r="683" customFormat="false" ht="15" hidden="false" customHeight="false" outlineLevel="0" collapsed="false">
      <c r="A683" s="0" t="n">
        <v>238</v>
      </c>
      <c r="B683" s="0" t="s">
        <v>1680</v>
      </c>
      <c r="C683" s="0" t="s">
        <v>1685</v>
      </c>
      <c r="E683" s="0" t="s">
        <v>79</v>
      </c>
      <c r="F683" s="0" t="s">
        <v>10702</v>
      </c>
    </row>
    <row r="684" customFormat="false" ht="15" hidden="false" customHeight="false" outlineLevel="0" collapsed="false">
      <c r="A684" s="0" t="n">
        <v>238</v>
      </c>
      <c r="B684" s="0" t="s">
        <v>1680</v>
      </c>
      <c r="C684" s="0" t="s">
        <v>10703</v>
      </c>
      <c r="E684" s="0" t="s">
        <v>79</v>
      </c>
      <c r="F684" s="0" t="s">
        <v>10704</v>
      </c>
    </row>
    <row r="685" customFormat="false" ht="15" hidden="false" customHeight="false" outlineLevel="0" collapsed="false">
      <c r="A685" s="0" t="n">
        <v>238</v>
      </c>
      <c r="B685" s="0" t="s">
        <v>1680</v>
      </c>
      <c r="C685" s="0" t="s">
        <v>10705</v>
      </c>
      <c r="E685" s="0" t="s">
        <v>79</v>
      </c>
      <c r="F685" s="0" t="s">
        <v>10706</v>
      </c>
    </row>
    <row r="686" customFormat="false" ht="15" hidden="false" customHeight="false" outlineLevel="0" collapsed="false">
      <c r="A686" s="0" t="n">
        <v>239</v>
      </c>
      <c r="B686" s="0" t="s">
        <v>1690</v>
      </c>
      <c r="C686" s="0" t="s">
        <v>1693</v>
      </c>
      <c r="E686" s="0" t="s">
        <v>79</v>
      </c>
      <c r="F686" s="0" t="s">
        <v>10707</v>
      </c>
    </row>
    <row r="687" customFormat="false" ht="15" hidden="false" customHeight="false" outlineLevel="0" collapsed="false">
      <c r="A687" s="0" t="n">
        <v>239</v>
      </c>
      <c r="B687" s="0" t="s">
        <v>1690</v>
      </c>
      <c r="C687" s="0" t="s">
        <v>1694</v>
      </c>
      <c r="E687" s="0" t="s">
        <v>79</v>
      </c>
      <c r="F687" s="0" t="s">
        <v>10708</v>
      </c>
    </row>
    <row r="688" customFormat="false" ht="15" hidden="false" customHeight="false" outlineLevel="0" collapsed="false">
      <c r="A688" s="0" t="n">
        <v>240</v>
      </c>
      <c r="B688" s="0" t="s">
        <v>1698</v>
      </c>
      <c r="C688" s="0" t="s">
        <v>1700</v>
      </c>
      <c r="E688" s="0" t="s">
        <v>79</v>
      </c>
      <c r="F688" s="0" t="s">
        <v>10709</v>
      </c>
    </row>
    <row r="689" customFormat="false" ht="15" hidden="false" customHeight="false" outlineLevel="0" collapsed="false">
      <c r="A689" s="0" t="n">
        <v>240</v>
      </c>
      <c r="B689" s="0" t="s">
        <v>1698</v>
      </c>
      <c r="C689" s="0" t="s">
        <v>1701</v>
      </c>
      <c r="E689" s="0" t="s">
        <v>79</v>
      </c>
      <c r="F689" s="0" t="s">
        <v>10710</v>
      </c>
    </row>
    <row r="690" customFormat="false" ht="15" hidden="false" customHeight="false" outlineLevel="0" collapsed="false">
      <c r="A690" s="0" t="n">
        <v>240</v>
      </c>
      <c r="B690" s="0" t="s">
        <v>1698</v>
      </c>
      <c r="C690" s="0" t="s">
        <v>1702</v>
      </c>
      <c r="E690" s="0" t="s">
        <v>79</v>
      </c>
      <c r="F690" s="0" t="s">
        <v>10711</v>
      </c>
    </row>
    <row r="691" customFormat="false" ht="15" hidden="false" customHeight="false" outlineLevel="0" collapsed="false">
      <c r="A691" s="0" t="n">
        <v>240</v>
      </c>
      <c r="B691" s="0" t="s">
        <v>1698</v>
      </c>
      <c r="C691" s="0" t="s">
        <v>10712</v>
      </c>
      <c r="E691" s="0" t="s">
        <v>79</v>
      </c>
      <c r="F691" s="0" t="s">
        <v>10713</v>
      </c>
    </row>
    <row r="692" customFormat="false" ht="15" hidden="false" customHeight="false" outlineLevel="0" collapsed="false">
      <c r="A692" s="0" t="n">
        <v>240</v>
      </c>
      <c r="B692" s="0" t="s">
        <v>1698</v>
      </c>
      <c r="C692" s="0" t="s">
        <v>10714</v>
      </c>
      <c r="E692" s="0" t="s">
        <v>79</v>
      </c>
      <c r="F692" s="0" t="s">
        <v>10715</v>
      </c>
    </row>
    <row r="693" customFormat="false" ht="15" hidden="false" customHeight="false" outlineLevel="0" collapsed="false">
      <c r="A693" s="0" t="n">
        <v>241</v>
      </c>
      <c r="B693" s="0" t="s">
        <v>1703</v>
      </c>
      <c r="C693" s="0" t="s">
        <v>1706</v>
      </c>
      <c r="E693" s="0" t="s">
        <v>79</v>
      </c>
      <c r="F693" s="0" t="s">
        <v>10716</v>
      </c>
    </row>
    <row r="694" customFormat="false" ht="15" hidden="false" customHeight="false" outlineLevel="0" collapsed="false">
      <c r="A694" s="0" t="n">
        <v>241</v>
      </c>
      <c r="B694" s="0" t="s">
        <v>1703</v>
      </c>
      <c r="C694" s="0" t="s">
        <v>1707</v>
      </c>
      <c r="E694" s="0" t="s">
        <v>79</v>
      </c>
      <c r="F694" s="0" t="s">
        <v>10717</v>
      </c>
    </row>
    <row r="695" customFormat="false" ht="15" hidden="false" customHeight="false" outlineLevel="0" collapsed="false">
      <c r="A695" s="0" t="n">
        <v>242</v>
      </c>
      <c r="B695" s="0" t="s">
        <v>1708</v>
      </c>
      <c r="C695" s="0" t="s">
        <v>1710</v>
      </c>
      <c r="E695" s="0" t="s">
        <v>79</v>
      </c>
      <c r="F695" s="0" t="s">
        <v>10718</v>
      </c>
    </row>
    <row r="696" customFormat="false" ht="15" hidden="false" customHeight="false" outlineLevel="0" collapsed="false">
      <c r="A696" s="0" t="n">
        <v>242</v>
      </c>
      <c r="B696" s="0" t="s">
        <v>1708</v>
      </c>
      <c r="C696" s="0" t="s">
        <v>1711</v>
      </c>
      <c r="E696" s="0" t="s">
        <v>79</v>
      </c>
      <c r="F696" s="0" t="s">
        <v>10719</v>
      </c>
    </row>
    <row r="697" customFormat="false" ht="15" hidden="false" customHeight="false" outlineLevel="0" collapsed="false">
      <c r="A697" s="0" t="n">
        <v>242</v>
      </c>
      <c r="B697" s="0" t="s">
        <v>1708</v>
      </c>
      <c r="C697" s="0" t="s">
        <v>1712</v>
      </c>
      <c r="E697" s="0" t="s">
        <v>79</v>
      </c>
      <c r="F697" s="0" t="s">
        <v>10720</v>
      </c>
    </row>
    <row r="698" customFormat="false" ht="15" hidden="false" customHeight="false" outlineLevel="0" collapsed="false">
      <c r="A698" s="0" t="n">
        <v>242</v>
      </c>
      <c r="B698" s="0" t="s">
        <v>1708</v>
      </c>
      <c r="C698" s="0" t="s">
        <v>10721</v>
      </c>
      <c r="E698" s="0" t="s">
        <v>79</v>
      </c>
      <c r="F698" s="0" t="s">
        <v>10722</v>
      </c>
    </row>
    <row r="699" customFormat="false" ht="15" hidden="false" customHeight="false" outlineLevel="0" collapsed="false">
      <c r="A699" s="0" t="n">
        <v>242</v>
      </c>
      <c r="B699" s="0" t="s">
        <v>1708</v>
      </c>
      <c r="C699" s="0" t="s">
        <v>5076</v>
      </c>
      <c r="E699" s="0" t="s">
        <v>79</v>
      </c>
      <c r="F699" s="0" t="s">
        <v>10723</v>
      </c>
    </row>
    <row r="700" customFormat="false" ht="15" hidden="false" customHeight="false" outlineLevel="0" collapsed="false">
      <c r="A700" s="0" t="n">
        <v>243</v>
      </c>
      <c r="B700" s="0" t="s">
        <v>1713</v>
      </c>
      <c r="C700" s="0" t="s">
        <v>1716</v>
      </c>
      <c r="E700" s="0" t="s">
        <v>79</v>
      </c>
      <c r="F700" s="0" t="s">
        <v>10724</v>
      </c>
    </row>
    <row r="701" customFormat="false" ht="15" hidden="false" customHeight="false" outlineLevel="0" collapsed="false">
      <c r="A701" s="0" t="n">
        <v>243</v>
      </c>
      <c r="B701" s="0" t="s">
        <v>1713</v>
      </c>
      <c r="C701" s="0" t="s">
        <v>1717</v>
      </c>
      <c r="E701" s="0" t="s">
        <v>79</v>
      </c>
      <c r="F701" s="0" t="s">
        <v>10725</v>
      </c>
    </row>
    <row r="702" customFormat="false" ht="15" hidden="false" customHeight="false" outlineLevel="0" collapsed="false">
      <c r="A702" s="0" t="n">
        <v>243</v>
      </c>
      <c r="B702" s="0" t="s">
        <v>1713</v>
      </c>
      <c r="C702" s="0" t="s">
        <v>1718</v>
      </c>
      <c r="E702" s="0" t="s">
        <v>79</v>
      </c>
      <c r="F702" s="0" t="s">
        <v>10726</v>
      </c>
    </row>
    <row r="703" customFormat="false" ht="15" hidden="false" customHeight="false" outlineLevel="0" collapsed="false">
      <c r="A703" s="0" t="n">
        <v>244</v>
      </c>
      <c r="B703" s="0" t="s">
        <v>1723</v>
      </c>
      <c r="C703" s="0" t="s">
        <v>1726</v>
      </c>
      <c r="E703" s="0" t="s">
        <v>59</v>
      </c>
      <c r="F703" s="0" t="s">
        <v>10727</v>
      </c>
    </row>
    <row r="704" customFormat="false" ht="15" hidden="false" customHeight="false" outlineLevel="0" collapsed="false">
      <c r="A704" s="0" t="n">
        <v>244</v>
      </c>
      <c r="B704" s="0" t="s">
        <v>1723</v>
      </c>
      <c r="C704" s="0" t="s">
        <v>1727</v>
      </c>
      <c r="E704" s="0" t="s">
        <v>59</v>
      </c>
      <c r="F704" s="0" t="s">
        <v>10728</v>
      </c>
    </row>
    <row r="705" customFormat="false" ht="15" hidden="false" customHeight="false" outlineLevel="0" collapsed="false">
      <c r="A705" s="0" t="n">
        <v>244</v>
      </c>
      <c r="B705" s="0" t="s">
        <v>1723</v>
      </c>
      <c r="C705" s="0" t="s">
        <v>1728</v>
      </c>
      <c r="E705" s="0" t="s">
        <v>59</v>
      </c>
      <c r="F705" s="0" t="s">
        <v>10729</v>
      </c>
    </row>
    <row r="706" customFormat="false" ht="15" hidden="false" customHeight="false" outlineLevel="0" collapsed="false">
      <c r="A706" s="0" t="n">
        <v>244</v>
      </c>
      <c r="B706" s="0" t="s">
        <v>1723</v>
      </c>
      <c r="C706" s="0" t="s">
        <v>10730</v>
      </c>
      <c r="E706" s="0" t="s">
        <v>59</v>
      </c>
      <c r="F706" s="0" t="s">
        <v>10731</v>
      </c>
    </row>
    <row r="707" customFormat="false" ht="15" hidden="false" customHeight="false" outlineLevel="0" collapsed="false">
      <c r="A707" s="0" t="n">
        <v>244</v>
      </c>
      <c r="B707" s="0" t="s">
        <v>1723</v>
      </c>
      <c r="C707" s="0" t="s">
        <v>10732</v>
      </c>
      <c r="E707" s="0" t="s">
        <v>59</v>
      </c>
      <c r="F707" s="0" t="s">
        <v>10733</v>
      </c>
    </row>
    <row r="708" customFormat="false" ht="15" hidden="false" customHeight="false" outlineLevel="0" collapsed="false">
      <c r="A708" s="0" t="n">
        <v>245</v>
      </c>
      <c r="B708" s="0" t="s">
        <v>1731</v>
      </c>
      <c r="C708" s="0" t="s">
        <v>1733</v>
      </c>
      <c r="E708" s="0" t="s">
        <v>79</v>
      </c>
      <c r="F708" s="0" t="s">
        <v>10734</v>
      </c>
    </row>
    <row r="709" customFormat="false" ht="15" hidden="false" customHeight="false" outlineLevel="0" collapsed="false">
      <c r="A709" s="0" t="n">
        <v>245</v>
      </c>
      <c r="B709" s="0" t="s">
        <v>1731</v>
      </c>
      <c r="C709" s="0" t="s">
        <v>1734</v>
      </c>
      <c r="E709" s="0" t="s">
        <v>79</v>
      </c>
      <c r="F709" s="0" t="s">
        <v>10735</v>
      </c>
    </row>
    <row r="710" customFormat="false" ht="15" hidden="false" customHeight="false" outlineLevel="0" collapsed="false">
      <c r="A710" s="0" t="n">
        <v>245</v>
      </c>
      <c r="B710" s="0" t="s">
        <v>1731</v>
      </c>
      <c r="C710" s="0" t="s">
        <v>1735</v>
      </c>
      <c r="E710" s="0" t="s">
        <v>79</v>
      </c>
      <c r="F710" s="0" t="s">
        <v>10736</v>
      </c>
    </row>
    <row r="711" customFormat="false" ht="15" hidden="false" customHeight="false" outlineLevel="0" collapsed="false">
      <c r="A711" s="0" t="n">
        <v>245</v>
      </c>
      <c r="B711" s="0" t="s">
        <v>1731</v>
      </c>
      <c r="C711" s="0" t="s">
        <v>10737</v>
      </c>
      <c r="E711" s="0" t="s">
        <v>79</v>
      </c>
      <c r="F711" s="0" t="s">
        <v>10738</v>
      </c>
    </row>
    <row r="712" customFormat="false" ht="15" hidden="false" customHeight="false" outlineLevel="0" collapsed="false">
      <c r="A712" s="0" t="n">
        <v>245</v>
      </c>
      <c r="B712" s="0" t="s">
        <v>1731</v>
      </c>
      <c r="C712" s="0" t="s">
        <v>10739</v>
      </c>
      <c r="E712" s="0" t="s">
        <v>79</v>
      </c>
      <c r="F712" s="0" t="s">
        <v>10740</v>
      </c>
    </row>
    <row r="713" customFormat="false" ht="15" hidden="false" customHeight="false" outlineLevel="0" collapsed="false">
      <c r="A713" s="0" t="n">
        <v>246</v>
      </c>
      <c r="B713" s="0" t="s">
        <v>1736</v>
      </c>
      <c r="C713" s="0" t="s">
        <v>1744</v>
      </c>
      <c r="D713" s="0" t="s">
        <v>10741</v>
      </c>
      <c r="E713" s="0" t="s">
        <v>115</v>
      </c>
    </row>
    <row r="714" customFormat="false" ht="15" hidden="false" customHeight="false" outlineLevel="0" collapsed="false">
      <c r="A714" s="0" t="n">
        <v>246</v>
      </c>
      <c r="B714" s="0" t="s">
        <v>1736</v>
      </c>
      <c r="C714" s="0" t="s">
        <v>1745</v>
      </c>
      <c r="D714" s="0" t="s">
        <v>10742</v>
      </c>
      <c r="E714" s="0" t="s">
        <v>115</v>
      </c>
    </row>
    <row r="715" customFormat="false" ht="15" hidden="false" customHeight="false" outlineLevel="0" collapsed="false">
      <c r="A715" s="0" t="n">
        <v>246</v>
      </c>
      <c r="B715" s="0" t="s">
        <v>1736</v>
      </c>
      <c r="C715" s="0" t="s">
        <v>1746</v>
      </c>
      <c r="D715" s="0" t="s">
        <v>10743</v>
      </c>
      <c r="E715" s="0" t="s">
        <v>115</v>
      </c>
    </row>
    <row r="716" customFormat="false" ht="15" hidden="false" customHeight="false" outlineLevel="0" collapsed="false">
      <c r="A716" s="0" t="n">
        <v>247</v>
      </c>
      <c r="B716" s="0" t="s">
        <v>1756</v>
      </c>
      <c r="C716" s="0" t="s">
        <v>1744</v>
      </c>
      <c r="D716" s="0" t="s">
        <v>10741</v>
      </c>
      <c r="E716" s="0" t="s">
        <v>115</v>
      </c>
    </row>
    <row r="717" customFormat="false" ht="15" hidden="false" customHeight="false" outlineLevel="0" collapsed="false">
      <c r="A717" s="0" t="n">
        <v>247</v>
      </c>
      <c r="B717" s="0" t="s">
        <v>1756</v>
      </c>
      <c r="C717" s="0" t="s">
        <v>1745</v>
      </c>
      <c r="D717" s="0" t="s">
        <v>10742</v>
      </c>
      <c r="E717" s="0" t="s">
        <v>115</v>
      </c>
    </row>
    <row r="718" customFormat="false" ht="15" hidden="false" customHeight="false" outlineLevel="0" collapsed="false">
      <c r="A718" s="0" t="n">
        <v>247</v>
      </c>
      <c r="B718" s="0" t="s">
        <v>1756</v>
      </c>
      <c r="C718" s="0" t="s">
        <v>1746</v>
      </c>
      <c r="D718" s="0" t="s">
        <v>10743</v>
      </c>
      <c r="E718" s="0" t="s">
        <v>115</v>
      </c>
    </row>
    <row r="719" customFormat="false" ht="15" hidden="false" customHeight="false" outlineLevel="0" collapsed="false">
      <c r="A719" s="0" t="n">
        <v>248</v>
      </c>
      <c r="B719" s="0" t="s">
        <v>1760</v>
      </c>
      <c r="C719" s="0" t="s">
        <v>1762</v>
      </c>
      <c r="E719" s="0" t="s">
        <v>79</v>
      </c>
      <c r="F719" s="0" t="s">
        <v>10744</v>
      </c>
    </row>
    <row r="720" customFormat="false" ht="15" hidden="false" customHeight="false" outlineLevel="0" collapsed="false">
      <c r="A720" s="0" t="n">
        <v>248</v>
      </c>
      <c r="B720" s="0" t="s">
        <v>1760</v>
      </c>
      <c r="C720" s="0" t="s">
        <v>1763</v>
      </c>
      <c r="E720" s="0" t="s">
        <v>79</v>
      </c>
      <c r="F720" s="0" t="s">
        <v>10745</v>
      </c>
    </row>
    <row r="721" customFormat="false" ht="15" hidden="false" customHeight="false" outlineLevel="0" collapsed="false">
      <c r="A721" s="0" t="n">
        <v>248</v>
      </c>
      <c r="B721" s="0" t="s">
        <v>1760</v>
      </c>
      <c r="C721" s="0" t="s">
        <v>1764</v>
      </c>
      <c r="E721" s="0" t="s">
        <v>79</v>
      </c>
      <c r="F721" s="0" t="s">
        <v>10746</v>
      </c>
    </row>
    <row r="722" customFormat="false" ht="15" hidden="false" customHeight="false" outlineLevel="0" collapsed="false">
      <c r="A722" s="0" t="n">
        <v>248</v>
      </c>
      <c r="B722" s="0" t="s">
        <v>1760</v>
      </c>
      <c r="C722" s="0" t="s">
        <v>10747</v>
      </c>
      <c r="E722" s="0" t="s">
        <v>79</v>
      </c>
      <c r="F722" s="0" t="s">
        <v>10748</v>
      </c>
    </row>
    <row r="723" customFormat="false" ht="15" hidden="false" customHeight="false" outlineLevel="0" collapsed="false">
      <c r="A723" s="0" t="n">
        <v>248</v>
      </c>
      <c r="B723" s="0" t="s">
        <v>1760</v>
      </c>
      <c r="C723" s="0" t="s">
        <v>10749</v>
      </c>
      <c r="E723" s="0" t="s">
        <v>79</v>
      </c>
      <c r="F723" s="0" t="s">
        <v>10750</v>
      </c>
    </row>
    <row r="724" customFormat="false" ht="15" hidden="false" customHeight="false" outlineLevel="0" collapsed="false">
      <c r="A724" s="0" t="n">
        <v>249</v>
      </c>
      <c r="B724" s="0" t="s">
        <v>1768</v>
      </c>
      <c r="C724" s="0" t="s">
        <v>1770</v>
      </c>
      <c r="E724" s="0" t="s">
        <v>79</v>
      </c>
      <c r="F724" s="0" t="s">
        <v>10751</v>
      </c>
    </row>
    <row r="725" customFormat="false" ht="15" hidden="false" customHeight="false" outlineLevel="0" collapsed="false">
      <c r="A725" s="0" t="n">
        <v>249</v>
      </c>
      <c r="B725" s="0" t="s">
        <v>1768</v>
      </c>
      <c r="C725" s="0" t="s">
        <v>1771</v>
      </c>
      <c r="E725" s="0" t="s">
        <v>79</v>
      </c>
      <c r="F725" s="0" t="s">
        <v>10752</v>
      </c>
    </row>
    <row r="726" customFormat="false" ht="15" hidden="false" customHeight="false" outlineLevel="0" collapsed="false">
      <c r="A726" s="0" t="n">
        <v>252</v>
      </c>
      <c r="B726" s="0" t="s">
        <v>1776</v>
      </c>
      <c r="C726" s="0" t="s">
        <v>1779</v>
      </c>
      <c r="E726" s="0" t="s">
        <v>79</v>
      </c>
      <c r="F726" s="0" t="s">
        <v>10753</v>
      </c>
    </row>
    <row r="727" customFormat="false" ht="15" hidden="false" customHeight="false" outlineLevel="0" collapsed="false">
      <c r="A727" s="0" t="n">
        <v>252</v>
      </c>
      <c r="B727" s="0" t="s">
        <v>1776</v>
      </c>
      <c r="C727" s="0" t="s">
        <v>1780</v>
      </c>
      <c r="E727" s="0" t="s">
        <v>79</v>
      </c>
      <c r="F727" s="0" t="s">
        <v>10754</v>
      </c>
    </row>
    <row r="728" customFormat="false" ht="15" hidden="false" customHeight="false" outlineLevel="0" collapsed="false">
      <c r="A728" s="0" t="n">
        <v>252</v>
      </c>
      <c r="B728" s="0" t="s">
        <v>1776</v>
      </c>
      <c r="C728" s="0" t="s">
        <v>1781</v>
      </c>
      <c r="E728" s="0" t="s">
        <v>79</v>
      </c>
      <c r="F728" s="0" t="s">
        <v>10755</v>
      </c>
    </row>
    <row r="729" customFormat="false" ht="15" hidden="false" customHeight="false" outlineLevel="0" collapsed="false">
      <c r="A729" s="0" t="n">
        <v>252</v>
      </c>
      <c r="B729" s="0" t="s">
        <v>1776</v>
      </c>
      <c r="C729" s="0" t="s">
        <v>10756</v>
      </c>
      <c r="E729" s="0" t="s">
        <v>79</v>
      </c>
      <c r="F729" s="0" t="s">
        <v>10757</v>
      </c>
    </row>
    <row r="730" customFormat="false" ht="15" hidden="false" customHeight="false" outlineLevel="0" collapsed="false">
      <c r="A730" s="0" t="n">
        <v>252</v>
      </c>
      <c r="B730" s="0" t="s">
        <v>1776</v>
      </c>
      <c r="C730" s="0" t="s">
        <v>10758</v>
      </c>
      <c r="E730" s="0" t="s">
        <v>79</v>
      </c>
      <c r="F730" s="0" t="s">
        <v>10759</v>
      </c>
    </row>
    <row r="731" customFormat="false" ht="15" hidden="false" customHeight="false" outlineLevel="0" collapsed="false">
      <c r="A731" s="0" t="n">
        <v>254</v>
      </c>
      <c r="B731" s="0" t="s">
        <v>1791</v>
      </c>
      <c r="C731" s="0" t="s">
        <v>1793</v>
      </c>
      <c r="E731" s="0" t="s">
        <v>79</v>
      </c>
      <c r="F731" s="0" t="s">
        <v>10760</v>
      </c>
    </row>
    <row r="732" customFormat="false" ht="15" hidden="false" customHeight="false" outlineLevel="0" collapsed="false">
      <c r="A732" s="0" t="n">
        <v>254</v>
      </c>
      <c r="B732" s="0" t="s">
        <v>1791</v>
      </c>
      <c r="C732" s="0" t="s">
        <v>1794</v>
      </c>
      <c r="E732" s="0" t="s">
        <v>79</v>
      </c>
      <c r="F732" s="0" t="s">
        <v>10761</v>
      </c>
    </row>
    <row r="733" customFormat="false" ht="15" hidden="false" customHeight="false" outlineLevel="0" collapsed="false">
      <c r="A733" s="0" t="n">
        <v>255</v>
      </c>
      <c r="B733" s="0" t="s">
        <v>1795</v>
      </c>
      <c r="C733" s="0" t="s">
        <v>1797</v>
      </c>
      <c r="E733" s="0" t="s">
        <v>79</v>
      </c>
      <c r="F733" s="0" t="s">
        <v>10762</v>
      </c>
    </row>
    <row r="734" customFormat="false" ht="15" hidden="false" customHeight="false" outlineLevel="0" collapsed="false">
      <c r="A734" s="0" t="n">
        <v>255</v>
      </c>
      <c r="B734" s="0" t="s">
        <v>1795</v>
      </c>
      <c r="C734" s="0" t="s">
        <v>1798</v>
      </c>
      <c r="E734" s="0" t="s">
        <v>79</v>
      </c>
      <c r="F734" s="0" t="s">
        <v>10763</v>
      </c>
    </row>
    <row r="735" customFormat="false" ht="15" hidden="false" customHeight="false" outlineLevel="0" collapsed="false">
      <c r="A735" s="0" t="n">
        <v>255</v>
      </c>
      <c r="B735" s="0" t="s">
        <v>1795</v>
      </c>
      <c r="C735" s="0" t="s">
        <v>1799</v>
      </c>
      <c r="E735" s="0" t="s">
        <v>79</v>
      </c>
      <c r="F735" s="0" t="s">
        <v>10764</v>
      </c>
    </row>
    <row r="736" customFormat="false" ht="15" hidden="false" customHeight="false" outlineLevel="0" collapsed="false">
      <c r="A736" s="0" t="n">
        <v>256</v>
      </c>
      <c r="B736" s="0" t="s">
        <v>1800</v>
      </c>
      <c r="C736" s="0" t="s">
        <v>1802</v>
      </c>
      <c r="E736" s="0" t="s">
        <v>79</v>
      </c>
      <c r="F736" s="0" t="s">
        <v>10765</v>
      </c>
    </row>
    <row r="737" customFormat="false" ht="15" hidden="false" customHeight="false" outlineLevel="0" collapsed="false">
      <c r="A737" s="0" t="n">
        <v>256</v>
      </c>
      <c r="B737" s="0" t="s">
        <v>1800</v>
      </c>
      <c r="C737" s="0" t="s">
        <v>1803</v>
      </c>
      <c r="E737" s="0" t="s">
        <v>79</v>
      </c>
      <c r="F737" s="0" t="s">
        <v>10766</v>
      </c>
    </row>
    <row r="738" customFormat="false" ht="15" hidden="false" customHeight="false" outlineLevel="0" collapsed="false">
      <c r="A738" s="0" t="n">
        <v>257</v>
      </c>
      <c r="B738" s="0" t="s">
        <v>1804</v>
      </c>
      <c r="C738" s="0" t="s">
        <v>1812</v>
      </c>
      <c r="D738" s="0" t="s">
        <v>10767</v>
      </c>
      <c r="E738" s="0" t="s">
        <v>115</v>
      </c>
    </row>
    <row r="739" customFormat="false" ht="15" hidden="false" customHeight="false" outlineLevel="0" collapsed="false">
      <c r="A739" s="0" t="n">
        <v>257</v>
      </c>
      <c r="B739" s="0" t="s">
        <v>1804</v>
      </c>
      <c r="C739" s="0" t="s">
        <v>1813</v>
      </c>
      <c r="D739" s="0" t="s">
        <v>10768</v>
      </c>
      <c r="E739" s="0" t="s">
        <v>115</v>
      </c>
    </row>
    <row r="740" customFormat="false" ht="15" hidden="false" customHeight="false" outlineLevel="0" collapsed="false">
      <c r="A740" s="0" t="n">
        <v>257</v>
      </c>
      <c r="B740" s="0" t="s">
        <v>1804</v>
      </c>
      <c r="C740" s="0" t="s">
        <v>1814</v>
      </c>
      <c r="D740" s="0" t="s">
        <v>10769</v>
      </c>
      <c r="E740" s="0" t="s">
        <v>115</v>
      </c>
    </row>
    <row r="741" customFormat="false" ht="15" hidden="false" customHeight="false" outlineLevel="0" collapsed="false">
      <c r="A741" s="0" t="n">
        <v>258</v>
      </c>
      <c r="B741" s="0" t="s">
        <v>1823</v>
      </c>
      <c r="C741" s="0" t="s">
        <v>1825</v>
      </c>
      <c r="E741" s="0" t="s">
        <v>79</v>
      </c>
      <c r="F741" s="0" t="s">
        <v>10770</v>
      </c>
    </row>
    <row r="742" customFormat="false" ht="15" hidden="false" customHeight="false" outlineLevel="0" collapsed="false">
      <c r="A742" s="0" t="n">
        <v>258</v>
      </c>
      <c r="B742" s="0" t="s">
        <v>1823</v>
      </c>
      <c r="C742" s="0" t="s">
        <v>1826</v>
      </c>
      <c r="E742" s="0" t="s">
        <v>79</v>
      </c>
      <c r="F742" s="0" t="s">
        <v>10771</v>
      </c>
    </row>
    <row r="743" customFormat="false" ht="15" hidden="false" customHeight="false" outlineLevel="0" collapsed="false">
      <c r="A743" s="0" t="n">
        <v>258</v>
      </c>
      <c r="B743" s="0" t="s">
        <v>1823</v>
      </c>
      <c r="C743" s="0" t="s">
        <v>1827</v>
      </c>
      <c r="E743" s="0" t="s">
        <v>79</v>
      </c>
      <c r="F743" s="0" t="s">
        <v>10772</v>
      </c>
    </row>
    <row r="744" customFormat="false" ht="15" hidden="false" customHeight="false" outlineLevel="0" collapsed="false">
      <c r="A744" s="0" t="n">
        <v>258</v>
      </c>
      <c r="B744" s="0" t="s">
        <v>1823</v>
      </c>
      <c r="C744" s="0" t="s">
        <v>10773</v>
      </c>
      <c r="E744" s="0" t="s">
        <v>79</v>
      </c>
      <c r="F744" s="0" t="s">
        <v>10774</v>
      </c>
    </row>
    <row r="745" customFormat="false" ht="15" hidden="false" customHeight="false" outlineLevel="0" collapsed="false">
      <c r="A745" s="0" t="n">
        <v>258</v>
      </c>
      <c r="B745" s="0" t="s">
        <v>1823</v>
      </c>
      <c r="C745" s="0" t="s">
        <v>10775</v>
      </c>
      <c r="E745" s="0" t="s">
        <v>79</v>
      </c>
      <c r="F745" s="0" t="s">
        <v>10776</v>
      </c>
    </row>
    <row r="746" customFormat="false" ht="15" hidden="false" customHeight="false" outlineLevel="0" collapsed="false">
      <c r="A746" s="0" t="n">
        <v>259</v>
      </c>
      <c r="B746" s="0" t="s">
        <v>1829</v>
      </c>
      <c r="C746" s="0" t="s">
        <v>1832</v>
      </c>
      <c r="E746" s="0" t="s">
        <v>79</v>
      </c>
      <c r="F746" s="0" t="s">
        <v>10777</v>
      </c>
    </row>
    <row r="747" customFormat="false" ht="15" hidden="false" customHeight="false" outlineLevel="0" collapsed="false">
      <c r="A747" s="0" t="n">
        <v>259</v>
      </c>
      <c r="B747" s="0" t="s">
        <v>1829</v>
      </c>
      <c r="C747" s="0" t="s">
        <v>1833</v>
      </c>
      <c r="E747" s="0" t="s">
        <v>79</v>
      </c>
      <c r="F747" s="0" t="s">
        <v>10778</v>
      </c>
    </row>
    <row r="748" customFormat="false" ht="15" hidden="false" customHeight="false" outlineLevel="0" collapsed="false">
      <c r="A748" s="0" t="n">
        <v>259</v>
      </c>
      <c r="B748" s="0" t="s">
        <v>1829</v>
      </c>
      <c r="C748" s="0" t="s">
        <v>1834</v>
      </c>
      <c r="E748" s="0" t="s">
        <v>79</v>
      </c>
      <c r="F748" s="0" t="s">
        <v>10779</v>
      </c>
    </row>
    <row r="749" customFormat="false" ht="15" hidden="false" customHeight="false" outlineLevel="0" collapsed="false">
      <c r="A749" s="0" t="n">
        <v>259</v>
      </c>
      <c r="B749" s="0" t="s">
        <v>1829</v>
      </c>
      <c r="C749" s="0" t="s">
        <v>10780</v>
      </c>
      <c r="E749" s="0" t="s">
        <v>79</v>
      </c>
      <c r="F749" s="0" t="s">
        <v>10781</v>
      </c>
    </row>
    <row r="750" customFormat="false" ht="15" hidden="false" customHeight="false" outlineLevel="0" collapsed="false">
      <c r="A750" s="0" t="n">
        <v>259</v>
      </c>
      <c r="B750" s="0" t="s">
        <v>1829</v>
      </c>
      <c r="C750" s="0" t="s">
        <v>10782</v>
      </c>
      <c r="E750" s="0" t="s">
        <v>79</v>
      </c>
      <c r="F750" s="0" t="s">
        <v>10783</v>
      </c>
    </row>
    <row r="751" customFormat="false" ht="15" hidden="false" customHeight="false" outlineLevel="0" collapsed="false">
      <c r="A751" s="0" t="n">
        <v>261</v>
      </c>
      <c r="B751" s="0" t="s">
        <v>1840</v>
      </c>
      <c r="C751" s="0" t="s">
        <v>1842</v>
      </c>
      <c r="E751" s="0" t="s">
        <v>79</v>
      </c>
      <c r="F751" s="0" t="s">
        <v>10784</v>
      </c>
    </row>
    <row r="752" customFormat="false" ht="15" hidden="false" customHeight="false" outlineLevel="0" collapsed="false">
      <c r="A752" s="0" t="n">
        <v>261</v>
      </c>
      <c r="B752" s="0" t="s">
        <v>1840</v>
      </c>
      <c r="C752" s="0" t="s">
        <v>1843</v>
      </c>
      <c r="E752" s="0" t="s">
        <v>79</v>
      </c>
      <c r="F752" s="0" t="s">
        <v>10785</v>
      </c>
    </row>
    <row r="753" customFormat="false" ht="15" hidden="false" customHeight="false" outlineLevel="0" collapsed="false">
      <c r="A753" s="0" t="n">
        <v>262</v>
      </c>
      <c r="B753" s="0" t="s">
        <v>1844</v>
      </c>
      <c r="C753" s="0" t="s">
        <v>1848</v>
      </c>
      <c r="E753" s="0" t="s">
        <v>59</v>
      </c>
      <c r="F753" s="0" t="s">
        <v>10786</v>
      </c>
    </row>
    <row r="754" customFormat="false" ht="15" hidden="false" customHeight="false" outlineLevel="0" collapsed="false">
      <c r="A754" s="0" t="n">
        <v>262</v>
      </c>
      <c r="B754" s="0" t="s">
        <v>1844</v>
      </c>
      <c r="C754" s="0" t="s">
        <v>1849</v>
      </c>
      <c r="E754" s="0" t="s">
        <v>59</v>
      </c>
      <c r="F754" s="0" t="s">
        <v>10787</v>
      </c>
    </row>
    <row r="755" customFormat="false" ht="15" hidden="false" customHeight="false" outlineLevel="0" collapsed="false">
      <c r="A755" s="0" t="n">
        <v>262</v>
      </c>
      <c r="B755" s="0" t="s">
        <v>1844</v>
      </c>
      <c r="C755" s="0" t="s">
        <v>1850</v>
      </c>
      <c r="E755" s="0" t="s">
        <v>59</v>
      </c>
      <c r="F755" s="0" t="s">
        <v>10788</v>
      </c>
    </row>
    <row r="756" customFormat="false" ht="15" hidden="false" customHeight="false" outlineLevel="0" collapsed="false">
      <c r="A756" s="0" t="n">
        <v>262</v>
      </c>
      <c r="B756" s="0" t="s">
        <v>1844</v>
      </c>
      <c r="C756" s="0" t="s">
        <v>10789</v>
      </c>
      <c r="E756" s="0" t="s">
        <v>59</v>
      </c>
      <c r="F756" s="0" t="s">
        <v>10790</v>
      </c>
    </row>
    <row r="757" customFormat="false" ht="15" hidden="false" customHeight="false" outlineLevel="0" collapsed="false">
      <c r="A757" s="0" t="n">
        <v>262</v>
      </c>
      <c r="B757" s="0" t="s">
        <v>1844</v>
      </c>
      <c r="C757" s="0" t="s">
        <v>10791</v>
      </c>
      <c r="E757" s="0" t="s">
        <v>59</v>
      </c>
      <c r="F757" s="0" t="s">
        <v>10792</v>
      </c>
    </row>
    <row r="758" customFormat="false" ht="15" hidden="false" customHeight="false" outlineLevel="0" collapsed="false">
      <c r="A758" s="0" t="n">
        <v>263</v>
      </c>
      <c r="B758" s="0" t="s">
        <v>1853</v>
      </c>
      <c r="C758" s="0" t="s">
        <v>1856</v>
      </c>
      <c r="E758" s="0" t="s">
        <v>79</v>
      </c>
      <c r="F758" s="0" t="s">
        <v>10793</v>
      </c>
    </row>
    <row r="759" customFormat="false" ht="15" hidden="false" customHeight="false" outlineLevel="0" collapsed="false">
      <c r="A759" s="0" t="n">
        <v>263</v>
      </c>
      <c r="B759" s="0" t="s">
        <v>1853</v>
      </c>
      <c r="C759" s="0" t="s">
        <v>1857</v>
      </c>
      <c r="E759" s="0" t="s">
        <v>79</v>
      </c>
      <c r="F759" s="0" t="s">
        <v>10794</v>
      </c>
    </row>
    <row r="760" customFormat="false" ht="15" hidden="false" customHeight="false" outlineLevel="0" collapsed="false">
      <c r="A760" s="0" t="n">
        <v>263</v>
      </c>
      <c r="B760" s="0" t="s">
        <v>1853</v>
      </c>
      <c r="C760" s="0" t="s">
        <v>1858</v>
      </c>
      <c r="E760" s="0" t="s">
        <v>79</v>
      </c>
      <c r="F760" s="0" t="s">
        <v>10795</v>
      </c>
    </row>
    <row r="761" customFormat="false" ht="15" hidden="false" customHeight="false" outlineLevel="0" collapsed="false">
      <c r="A761" s="0" t="n">
        <v>263</v>
      </c>
      <c r="B761" s="0" t="s">
        <v>1853</v>
      </c>
      <c r="C761" s="0" t="s">
        <v>10796</v>
      </c>
      <c r="E761" s="0" t="s">
        <v>79</v>
      </c>
      <c r="F761" s="0" t="s">
        <v>10797</v>
      </c>
    </row>
    <row r="762" customFormat="false" ht="15" hidden="false" customHeight="false" outlineLevel="0" collapsed="false">
      <c r="A762" s="0" t="n">
        <v>263</v>
      </c>
      <c r="B762" s="0" t="s">
        <v>1853</v>
      </c>
      <c r="C762" s="0" t="s">
        <v>10798</v>
      </c>
      <c r="E762" s="0" t="s">
        <v>79</v>
      </c>
      <c r="F762" s="0" t="s">
        <v>10799</v>
      </c>
    </row>
    <row r="763" customFormat="false" ht="15" hidden="false" customHeight="false" outlineLevel="0" collapsed="false">
      <c r="A763" s="0" t="n">
        <v>264</v>
      </c>
      <c r="B763" s="0" t="s">
        <v>1859</v>
      </c>
      <c r="C763" s="0" t="s">
        <v>1861</v>
      </c>
      <c r="E763" s="0" t="s">
        <v>79</v>
      </c>
      <c r="F763" s="0" t="s">
        <v>10800</v>
      </c>
    </row>
    <row r="764" customFormat="false" ht="15" hidden="false" customHeight="false" outlineLevel="0" collapsed="false">
      <c r="A764" s="0" t="n">
        <v>264</v>
      </c>
      <c r="B764" s="0" t="s">
        <v>1859</v>
      </c>
      <c r="C764" s="0" t="s">
        <v>1862</v>
      </c>
      <c r="E764" s="0" t="s">
        <v>79</v>
      </c>
      <c r="F764" s="0" t="s">
        <v>10801</v>
      </c>
    </row>
    <row r="765" customFormat="false" ht="15" hidden="false" customHeight="false" outlineLevel="0" collapsed="false">
      <c r="A765" s="0" t="n">
        <v>264</v>
      </c>
      <c r="B765" s="0" t="s">
        <v>1859</v>
      </c>
      <c r="C765" s="0" t="s">
        <v>1863</v>
      </c>
      <c r="E765" s="0" t="s">
        <v>79</v>
      </c>
      <c r="F765" s="0" t="s">
        <v>10802</v>
      </c>
    </row>
    <row r="766" customFormat="false" ht="15" hidden="false" customHeight="false" outlineLevel="0" collapsed="false">
      <c r="A766" s="0" t="n">
        <v>264</v>
      </c>
      <c r="B766" s="0" t="s">
        <v>1859</v>
      </c>
      <c r="C766" s="0" t="s">
        <v>10803</v>
      </c>
      <c r="E766" s="0" t="s">
        <v>79</v>
      </c>
      <c r="F766" s="0" t="s">
        <v>10804</v>
      </c>
    </row>
    <row r="767" customFormat="false" ht="15" hidden="false" customHeight="false" outlineLevel="0" collapsed="false">
      <c r="A767" s="0" t="n">
        <v>264</v>
      </c>
      <c r="B767" s="0" t="s">
        <v>1859</v>
      </c>
      <c r="C767" s="0" t="s">
        <v>10805</v>
      </c>
      <c r="E767" s="0" t="s">
        <v>79</v>
      </c>
      <c r="F767" s="0" t="s">
        <v>10806</v>
      </c>
    </row>
    <row r="768" customFormat="false" ht="15" hidden="false" customHeight="false" outlineLevel="0" collapsed="false">
      <c r="A768" s="0" t="n">
        <v>265</v>
      </c>
      <c r="B768" s="0" t="s">
        <v>1864</v>
      </c>
      <c r="C768" s="0" t="s">
        <v>1866</v>
      </c>
      <c r="E768" s="0" t="s">
        <v>79</v>
      </c>
      <c r="F768" s="0" t="s">
        <v>10807</v>
      </c>
    </row>
    <row r="769" customFormat="false" ht="15" hidden="false" customHeight="false" outlineLevel="0" collapsed="false">
      <c r="A769" s="0" t="n">
        <v>265</v>
      </c>
      <c r="B769" s="0" t="s">
        <v>1864</v>
      </c>
      <c r="C769" s="0" t="s">
        <v>1867</v>
      </c>
      <c r="E769" s="0" t="s">
        <v>79</v>
      </c>
      <c r="F769" s="0" t="s">
        <v>10808</v>
      </c>
    </row>
    <row r="770" customFormat="false" ht="15" hidden="false" customHeight="false" outlineLevel="0" collapsed="false">
      <c r="A770" s="0" t="n">
        <v>265</v>
      </c>
      <c r="B770" s="0" t="s">
        <v>1864</v>
      </c>
      <c r="C770" s="0" t="s">
        <v>1868</v>
      </c>
      <c r="E770" s="0" t="s">
        <v>79</v>
      </c>
      <c r="F770" s="0" t="s">
        <v>10809</v>
      </c>
    </row>
    <row r="771" customFormat="false" ht="15" hidden="false" customHeight="false" outlineLevel="0" collapsed="false">
      <c r="A771" s="0" t="n">
        <v>265</v>
      </c>
      <c r="B771" s="0" t="s">
        <v>1864</v>
      </c>
      <c r="C771" s="0" t="s">
        <v>10810</v>
      </c>
      <c r="E771" s="0" t="s">
        <v>79</v>
      </c>
      <c r="F771" s="0" t="s">
        <v>10811</v>
      </c>
    </row>
    <row r="772" customFormat="false" ht="15" hidden="false" customHeight="false" outlineLevel="0" collapsed="false">
      <c r="A772" s="0" t="n">
        <v>265</v>
      </c>
      <c r="B772" s="0" t="s">
        <v>1864</v>
      </c>
      <c r="C772" s="0" t="s">
        <v>10812</v>
      </c>
      <c r="E772" s="0" t="s">
        <v>79</v>
      </c>
      <c r="F772" s="0" t="s">
        <v>10813</v>
      </c>
    </row>
    <row r="773" customFormat="false" ht="15" hidden="false" customHeight="false" outlineLevel="0" collapsed="false">
      <c r="A773" s="0" t="n">
        <v>266</v>
      </c>
      <c r="B773" s="0" t="s">
        <v>1869</v>
      </c>
      <c r="C773" s="0" t="s">
        <v>1871</v>
      </c>
      <c r="E773" s="0" t="s">
        <v>79</v>
      </c>
      <c r="F773" s="0" t="s">
        <v>10814</v>
      </c>
    </row>
    <row r="774" customFormat="false" ht="15" hidden="false" customHeight="false" outlineLevel="0" collapsed="false">
      <c r="A774" s="0" t="n">
        <v>266</v>
      </c>
      <c r="B774" s="0" t="s">
        <v>1869</v>
      </c>
      <c r="C774" s="0" t="s">
        <v>1872</v>
      </c>
      <c r="E774" s="0" t="s">
        <v>79</v>
      </c>
      <c r="F774" s="0" t="s">
        <v>10815</v>
      </c>
    </row>
    <row r="775" customFormat="false" ht="15" hidden="false" customHeight="false" outlineLevel="0" collapsed="false">
      <c r="A775" s="0" t="n">
        <v>266</v>
      </c>
      <c r="B775" s="0" t="s">
        <v>1869</v>
      </c>
      <c r="C775" s="0" t="s">
        <v>1873</v>
      </c>
      <c r="E775" s="0" t="s">
        <v>79</v>
      </c>
      <c r="F775" s="0" t="s">
        <v>10816</v>
      </c>
    </row>
    <row r="776" customFormat="false" ht="15" hidden="false" customHeight="false" outlineLevel="0" collapsed="false">
      <c r="A776" s="0" t="n">
        <v>266</v>
      </c>
      <c r="B776" s="0" t="s">
        <v>1869</v>
      </c>
      <c r="C776" s="0" t="s">
        <v>10817</v>
      </c>
      <c r="E776" s="0" t="s">
        <v>79</v>
      </c>
      <c r="F776" s="0" t="s">
        <v>10818</v>
      </c>
    </row>
    <row r="777" customFormat="false" ht="15" hidden="false" customHeight="false" outlineLevel="0" collapsed="false">
      <c r="A777" s="0" t="n">
        <v>267</v>
      </c>
      <c r="B777" s="0" t="s">
        <v>1874</v>
      </c>
      <c r="C777" s="0" t="s">
        <v>1876</v>
      </c>
      <c r="E777" s="0" t="s">
        <v>79</v>
      </c>
      <c r="F777" s="0" t="s">
        <v>10819</v>
      </c>
    </row>
    <row r="778" customFormat="false" ht="15" hidden="false" customHeight="false" outlineLevel="0" collapsed="false">
      <c r="A778" s="0" t="n">
        <v>267</v>
      </c>
      <c r="B778" s="0" t="s">
        <v>1874</v>
      </c>
      <c r="C778" s="0" t="s">
        <v>1877</v>
      </c>
      <c r="E778" s="0" t="s">
        <v>79</v>
      </c>
      <c r="F778" s="0" t="s">
        <v>10820</v>
      </c>
    </row>
    <row r="779" customFormat="false" ht="15" hidden="false" customHeight="false" outlineLevel="0" collapsed="false">
      <c r="A779" s="0" t="n">
        <v>267</v>
      </c>
      <c r="B779" s="0" t="s">
        <v>1874</v>
      </c>
      <c r="C779" s="0" t="s">
        <v>1878</v>
      </c>
      <c r="E779" s="0" t="s">
        <v>79</v>
      </c>
      <c r="F779" s="0" t="s">
        <v>10821</v>
      </c>
    </row>
    <row r="780" customFormat="false" ht="15" hidden="false" customHeight="false" outlineLevel="0" collapsed="false">
      <c r="A780" s="0" t="n">
        <v>267</v>
      </c>
      <c r="B780" s="0" t="s">
        <v>1874</v>
      </c>
      <c r="C780" s="0" t="s">
        <v>10822</v>
      </c>
      <c r="E780" s="0" t="s">
        <v>79</v>
      </c>
      <c r="F780" s="0" t="s">
        <v>10823</v>
      </c>
    </row>
    <row r="781" customFormat="false" ht="15" hidden="false" customHeight="false" outlineLevel="0" collapsed="false">
      <c r="A781" s="0" t="n">
        <v>267</v>
      </c>
      <c r="B781" s="0" t="s">
        <v>1874</v>
      </c>
      <c r="C781" s="0" t="s">
        <v>10824</v>
      </c>
      <c r="E781" s="0" t="s">
        <v>79</v>
      </c>
      <c r="F781" s="0" t="s">
        <v>10825</v>
      </c>
    </row>
    <row r="782" customFormat="false" ht="15" hidden="false" customHeight="false" outlineLevel="0" collapsed="false">
      <c r="A782" s="0" t="n">
        <v>268</v>
      </c>
      <c r="B782" s="0" t="s">
        <v>1881</v>
      </c>
      <c r="C782" s="0" t="s">
        <v>1884</v>
      </c>
      <c r="E782" s="0" t="s">
        <v>79</v>
      </c>
      <c r="F782" s="0" t="s">
        <v>10826</v>
      </c>
    </row>
    <row r="783" customFormat="false" ht="15" hidden="false" customHeight="false" outlineLevel="0" collapsed="false">
      <c r="A783" s="0" t="n">
        <v>268</v>
      </c>
      <c r="B783" s="0" t="s">
        <v>1881</v>
      </c>
      <c r="C783" s="0" t="s">
        <v>1885</v>
      </c>
      <c r="E783" s="0" t="s">
        <v>79</v>
      </c>
      <c r="F783" s="0" t="s">
        <v>10827</v>
      </c>
    </row>
    <row r="784" customFormat="false" ht="15" hidden="false" customHeight="false" outlineLevel="0" collapsed="false">
      <c r="A784" s="0" t="n">
        <v>268</v>
      </c>
      <c r="B784" s="0" t="s">
        <v>1881</v>
      </c>
      <c r="C784" s="0" t="s">
        <v>1886</v>
      </c>
      <c r="E784" s="0" t="s">
        <v>79</v>
      </c>
      <c r="F784" s="0" t="s">
        <v>10828</v>
      </c>
    </row>
    <row r="785" customFormat="false" ht="15" hidden="false" customHeight="false" outlineLevel="0" collapsed="false">
      <c r="A785" s="0" t="n">
        <v>268</v>
      </c>
      <c r="B785" s="0" t="s">
        <v>1881</v>
      </c>
      <c r="C785" s="0" t="s">
        <v>10829</v>
      </c>
      <c r="E785" s="0" t="s">
        <v>79</v>
      </c>
      <c r="F785" s="0" t="s">
        <v>10830</v>
      </c>
    </row>
    <row r="786" customFormat="false" ht="15" hidden="false" customHeight="false" outlineLevel="0" collapsed="false">
      <c r="A786" s="0" t="n">
        <v>268</v>
      </c>
      <c r="B786" s="0" t="s">
        <v>1881</v>
      </c>
      <c r="C786" s="0" t="s">
        <v>10831</v>
      </c>
      <c r="E786" s="0" t="s">
        <v>79</v>
      </c>
      <c r="F786" s="0" t="s">
        <v>10832</v>
      </c>
    </row>
    <row r="787" customFormat="false" ht="15" hidden="false" customHeight="false" outlineLevel="0" collapsed="false">
      <c r="A787" s="0" t="n">
        <v>271</v>
      </c>
      <c r="B787" s="0" t="s">
        <v>1895</v>
      </c>
      <c r="C787" s="0" t="s">
        <v>1897</v>
      </c>
      <c r="E787" s="0" t="s">
        <v>79</v>
      </c>
      <c r="F787" s="0" t="s">
        <v>10833</v>
      </c>
    </row>
    <row r="788" customFormat="false" ht="15" hidden="false" customHeight="false" outlineLevel="0" collapsed="false">
      <c r="A788" s="0" t="n">
        <v>271</v>
      </c>
      <c r="B788" s="0" t="s">
        <v>1895</v>
      </c>
      <c r="C788" s="0" t="s">
        <v>1898</v>
      </c>
      <c r="E788" s="0" t="s">
        <v>79</v>
      </c>
      <c r="F788" s="0" t="s">
        <v>10834</v>
      </c>
    </row>
    <row r="789" customFormat="false" ht="15" hidden="false" customHeight="false" outlineLevel="0" collapsed="false">
      <c r="A789" s="0" t="n">
        <v>271</v>
      </c>
      <c r="B789" s="0" t="s">
        <v>1895</v>
      </c>
      <c r="C789" s="0" t="s">
        <v>1899</v>
      </c>
      <c r="E789" s="0" t="s">
        <v>79</v>
      </c>
      <c r="F789" s="0" t="s">
        <v>10835</v>
      </c>
    </row>
    <row r="790" customFormat="false" ht="15" hidden="false" customHeight="false" outlineLevel="0" collapsed="false">
      <c r="A790" s="0" t="n">
        <v>271</v>
      </c>
      <c r="B790" s="0" t="s">
        <v>1895</v>
      </c>
      <c r="C790" s="0" t="s">
        <v>10836</v>
      </c>
      <c r="E790" s="0" t="s">
        <v>79</v>
      </c>
      <c r="F790" s="0" t="s">
        <v>10837</v>
      </c>
    </row>
    <row r="791" customFormat="false" ht="15" hidden="false" customHeight="false" outlineLevel="0" collapsed="false">
      <c r="A791" s="0" t="n">
        <v>272</v>
      </c>
      <c r="B791" s="0" t="s">
        <v>1900</v>
      </c>
      <c r="C791" s="0" t="s">
        <v>1903</v>
      </c>
      <c r="E791" s="0" t="s">
        <v>79</v>
      </c>
      <c r="F791" s="0" t="s">
        <v>10838</v>
      </c>
    </row>
    <row r="792" customFormat="false" ht="15" hidden="false" customHeight="false" outlineLevel="0" collapsed="false">
      <c r="A792" s="0" t="n">
        <v>272</v>
      </c>
      <c r="B792" s="0" t="s">
        <v>1900</v>
      </c>
      <c r="C792" s="0" t="s">
        <v>1904</v>
      </c>
      <c r="E792" s="0" t="s">
        <v>79</v>
      </c>
      <c r="F792" s="0" t="s">
        <v>10839</v>
      </c>
    </row>
    <row r="793" customFormat="false" ht="15" hidden="false" customHeight="false" outlineLevel="0" collapsed="false">
      <c r="A793" s="0" t="n">
        <v>272</v>
      </c>
      <c r="B793" s="0" t="s">
        <v>1900</v>
      </c>
      <c r="C793" s="0" t="s">
        <v>1905</v>
      </c>
      <c r="E793" s="0" t="s">
        <v>79</v>
      </c>
      <c r="F793" s="0" t="s">
        <v>10840</v>
      </c>
    </row>
    <row r="794" customFormat="false" ht="15" hidden="false" customHeight="false" outlineLevel="0" collapsed="false">
      <c r="A794" s="0" t="n">
        <v>273</v>
      </c>
      <c r="B794" s="0" t="s">
        <v>1906</v>
      </c>
      <c r="C794" s="0" t="s">
        <v>1909</v>
      </c>
      <c r="E794" s="0" t="s">
        <v>79</v>
      </c>
      <c r="F794" s="0" t="s">
        <v>10841</v>
      </c>
    </row>
    <row r="795" customFormat="false" ht="15" hidden="false" customHeight="false" outlineLevel="0" collapsed="false">
      <c r="A795" s="0" t="n">
        <v>273</v>
      </c>
      <c r="B795" s="0" t="s">
        <v>1906</v>
      </c>
      <c r="C795" s="0" t="s">
        <v>1910</v>
      </c>
      <c r="E795" s="0" t="s">
        <v>79</v>
      </c>
      <c r="F795" s="0" t="s">
        <v>10842</v>
      </c>
    </row>
    <row r="796" customFormat="false" ht="15" hidden="false" customHeight="false" outlineLevel="0" collapsed="false">
      <c r="A796" s="0" t="n">
        <v>273</v>
      </c>
      <c r="B796" s="0" t="s">
        <v>1906</v>
      </c>
      <c r="C796" s="0" t="s">
        <v>1911</v>
      </c>
      <c r="E796" s="0" t="s">
        <v>79</v>
      </c>
      <c r="F796" s="0" t="s">
        <v>10843</v>
      </c>
    </row>
    <row r="797" customFormat="false" ht="15" hidden="false" customHeight="false" outlineLevel="0" collapsed="false">
      <c r="A797" s="0" t="n">
        <v>273</v>
      </c>
      <c r="B797" s="0" t="s">
        <v>1906</v>
      </c>
      <c r="C797" s="0" t="s">
        <v>10844</v>
      </c>
      <c r="E797" s="0" t="s">
        <v>79</v>
      </c>
      <c r="F797" s="0" t="s">
        <v>10845</v>
      </c>
    </row>
    <row r="798" customFormat="false" ht="15" hidden="false" customHeight="false" outlineLevel="0" collapsed="false">
      <c r="A798" s="0" t="n">
        <v>273</v>
      </c>
      <c r="B798" s="0" t="s">
        <v>1906</v>
      </c>
      <c r="C798" s="0" t="s">
        <v>10846</v>
      </c>
      <c r="E798" s="0" t="s">
        <v>79</v>
      </c>
      <c r="F798" s="0" t="s">
        <v>10847</v>
      </c>
    </row>
    <row r="799" customFormat="false" ht="15" hidden="false" customHeight="false" outlineLevel="0" collapsed="false">
      <c r="A799" s="0" t="n">
        <v>275</v>
      </c>
      <c r="B799" s="0" t="s">
        <v>1921</v>
      </c>
      <c r="C799" s="0" t="s">
        <v>1923</v>
      </c>
      <c r="E799" s="0" t="s">
        <v>79</v>
      </c>
      <c r="F799" s="0" t="s">
        <v>10848</v>
      </c>
    </row>
    <row r="800" customFormat="false" ht="15" hidden="false" customHeight="false" outlineLevel="0" collapsed="false">
      <c r="A800" s="0" t="n">
        <v>275</v>
      </c>
      <c r="B800" s="0" t="s">
        <v>1921</v>
      </c>
      <c r="C800" s="0" t="s">
        <v>1924</v>
      </c>
      <c r="E800" s="0" t="s">
        <v>79</v>
      </c>
      <c r="F800" s="0" t="s">
        <v>10849</v>
      </c>
    </row>
    <row r="801" customFormat="false" ht="15" hidden="false" customHeight="false" outlineLevel="0" collapsed="false">
      <c r="A801" s="0" t="n">
        <v>275</v>
      </c>
      <c r="B801" s="0" t="s">
        <v>1921</v>
      </c>
      <c r="C801" s="0" t="s">
        <v>1925</v>
      </c>
      <c r="E801" s="0" t="s">
        <v>79</v>
      </c>
      <c r="F801" s="0" t="s">
        <v>10850</v>
      </c>
    </row>
    <row r="802" customFormat="false" ht="15" hidden="false" customHeight="false" outlineLevel="0" collapsed="false">
      <c r="A802" s="0" t="n">
        <v>275</v>
      </c>
      <c r="B802" s="0" t="s">
        <v>1921</v>
      </c>
      <c r="C802" s="0" t="s">
        <v>10851</v>
      </c>
      <c r="E802" s="0" t="s">
        <v>79</v>
      </c>
      <c r="F802" s="0" t="s">
        <v>10852</v>
      </c>
    </row>
    <row r="803" customFormat="false" ht="15" hidden="false" customHeight="false" outlineLevel="0" collapsed="false">
      <c r="A803" s="0" t="n">
        <v>275</v>
      </c>
      <c r="B803" s="0" t="s">
        <v>1921</v>
      </c>
      <c r="C803" s="0" t="s">
        <v>10853</v>
      </c>
      <c r="E803" s="0" t="s">
        <v>79</v>
      </c>
      <c r="F803" s="0" t="s">
        <v>10854</v>
      </c>
    </row>
    <row r="804" customFormat="false" ht="15" hidden="false" customHeight="false" outlineLevel="0" collapsed="false">
      <c r="A804" s="0" t="n">
        <v>276</v>
      </c>
      <c r="B804" s="0" t="s">
        <v>1926</v>
      </c>
      <c r="C804" s="0" t="s">
        <v>1928</v>
      </c>
      <c r="E804" s="0" t="s">
        <v>59</v>
      </c>
      <c r="F804" s="0" t="s">
        <v>10855</v>
      </c>
    </row>
    <row r="805" customFormat="false" ht="15" hidden="false" customHeight="false" outlineLevel="0" collapsed="false">
      <c r="A805" s="0" t="n">
        <v>276</v>
      </c>
      <c r="B805" s="0" t="s">
        <v>1926</v>
      </c>
      <c r="C805" s="0" t="s">
        <v>1929</v>
      </c>
      <c r="E805" s="0" t="s">
        <v>59</v>
      </c>
      <c r="F805" s="0" t="s">
        <v>10856</v>
      </c>
    </row>
    <row r="806" customFormat="false" ht="15" hidden="false" customHeight="false" outlineLevel="0" collapsed="false">
      <c r="A806" s="0" t="n">
        <v>276</v>
      </c>
      <c r="B806" s="0" t="s">
        <v>1926</v>
      </c>
      <c r="C806" s="0" t="s">
        <v>1930</v>
      </c>
      <c r="E806" s="0" t="s">
        <v>59</v>
      </c>
      <c r="F806" s="0" t="s">
        <v>10857</v>
      </c>
    </row>
    <row r="807" customFormat="false" ht="15" hidden="false" customHeight="false" outlineLevel="0" collapsed="false">
      <c r="A807" s="0" t="n">
        <v>276</v>
      </c>
      <c r="B807" s="0" t="s">
        <v>1926</v>
      </c>
      <c r="C807" s="0" t="s">
        <v>10858</v>
      </c>
      <c r="E807" s="0" t="s">
        <v>59</v>
      </c>
      <c r="F807" s="0" t="s">
        <v>10859</v>
      </c>
    </row>
    <row r="808" customFormat="false" ht="15" hidden="false" customHeight="false" outlineLevel="0" collapsed="false">
      <c r="A808" s="0" t="n">
        <v>276</v>
      </c>
      <c r="B808" s="0" t="s">
        <v>1926</v>
      </c>
      <c r="C808" s="0" t="s">
        <v>10860</v>
      </c>
      <c r="E808" s="0" t="s">
        <v>59</v>
      </c>
      <c r="F808" s="0" t="s">
        <v>10861</v>
      </c>
    </row>
    <row r="809" customFormat="false" ht="15" hidden="false" customHeight="false" outlineLevel="0" collapsed="false">
      <c r="A809" s="0" t="n">
        <v>278</v>
      </c>
      <c r="B809" s="0" t="s">
        <v>1937</v>
      </c>
      <c r="C809" s="0" t="s">
        <v>1940</v>
      </c>
      <c r="E809" s="0" t="s">
        <v>79</v>
      </c>
      <c r="F809" s="0" t="s">
        <v>10862</v>
      </c>
    </row>
    <row r="810" customFormat="false" ht="15" hidden="false" customHeight="false" outlineLevel="0" collapsed="false">
      <c r="A810" s="0" t="n">
        <v>278</v>
      </c>
      <c r="B810" s="0" t="s">
        <v>1937</v>
      </c>
      <c r="C810" s="0" t="s">
        <v>1941</v>
      </c>
      <c r="E810" s="0" t="s">
        <v>79</v>
      </c>
      <c r="F810" s="0" t="s">
        <v>10863</v>
      </c>
    </row>
    <row r="811" customFormat="false" ht="15" hidden="false" customHeight="false" outlineLevel="0" collapsed="false">
      <c r="A811" s="0" t="n">
        <v>278</v>
      </c>
      <c r="B811" s="0" t="s">
        <v>1937</v>
      </c>
      <c r="C811" s="0" t="s">
        <v>1942</v>
      </c>
      <c r="E811" s="0" t="s">
        <v>79</v>
      </c>
      <c r="F811" s="0" t="s">
        <v>10864</v>
      </c>
    </row>
    <row r="812" customFormat="false" ht="15" hidden="false" customHeight="false" outlineLevel="0" collapsed="false">
      <c r="A812" s="0" t="n">
        <v>278</v>
      </c>
      <c r="B812" s="0" t="s">
        <v>1937</v>
      </c>
      <c r="C812" s="0" t="s">
        <v>10865</v>
      </c>
      <c r="E812" s="0" t="s">
        <v>79</v>
      </c>
      <c r="F812" s="0" t="s">
        <v>10866</v>
      </c>
    </row>
    <row r="813" customFormat="false" ht="15" hidden="false" customHeight="false" outlineLevel="0" collapsed="false">
      <c r="A813" s="0" t="n">
        <v>278</v>
      </c>
      <c r="B813" s="0" t="s">
        <v>1937</v>
      </c>
      <c r="C813" s="0" t="s">
        <v>10867</v>
      </c>
      <c r="E813" s="0" t="s">
        <v>79</v>
      </c>
      <c r="F813" s="0" t="s">
        <v>10868</v>
      </c>
    </row>
    <row r="814" customFormat="false" ht="15" hidden="false" customHeight="false" outlineLevel="0" collapsed="false">
      <c r="A814" s="0" t="n">
        <v>279</v>
      </c>
      <c r="B814" s="0" t="s">
        <v>1943</v>
      </c>
      <c r="C814" s="0" t="s">
        <v>1946</v>
      </c>
      <c r="E814" s="0" t="s">
        <v>79</v>
      </c>
      <c r="F814" s="0" t="s">
        <v>10869</v>
      </c>
    </row>
    <row r="815" customFormat="false" ht="15" hidden="false" customHeight="false" outlineLevel="0" collapsed="false">
      <c r="A815" s="0" t="n">
        <v>279</v>
      </c>
      <c r="B815" s="0" t="s">
        <v>1943</v>
      </c>
      <c r="C815" s="0" t="s">
        <v>1947</v>
      </c>
      <c r="E815" s="0" t="s">
        <v>79</v>
      </c>
      <c r="F815" s="0" t="s">
        <v>10870</v>
      </c>
    </row>
    <row r="816" customFormat="false" ht="15" hidden="false" customHeight="false" outlineLevel="0" collapsed="false">
      <c r="A816" s="0" t="n">
        <v>279</v>
      </c>
      <c r="B816" s="0" t="s">
        <v>1943</v>
      </c>
      <c r="C816" s="0" t="s">
        <v>1948</v>
      </c>
      <c r="E816" s="0" t="s">
        <v>79</v>
      </c>
      <c r="F816" s="0" t="s">
        <v>10871</v>
      </c>
    </row>
    <row r="817" customFormat="false" ht="15" hidden="false" customHeight="false" outlineLevel="0" collapsed="false">
      <c r="A817" s="0" t="n">
        <v>279</v>
      </c>
      <c r="B817" s="0" t="s">
        <v>1943</v>
      </c>
      <c r="C817" s="0" t="s">
        <v>10872</v>
      </c>
      <c r="E817" s="0" t="s">
        <v>79</v>
      </c>
      <c r="F817" s="0" t="s">
        <v>10873</v>
      </c>
    </row>
    <row r="818" customFormat="false" ht="15" hidden="false" customHeight="false" outlineLevel="0" collapsed="false">
      <c r="A818" s="0" t="n">
        <v>280</v>
      </c>
      <c r="B818" s="0" t="s">
        <v>1952</v>
      </c>
      <c r="C818" s="0" t="s">
        <v>1954</v>
      </c>
      <c r="E818" s="0" t="s">
        <v>59</v>
      </c>
      <c r="F818" s="0" t="s">
        <v>10874</v>
      </c>
    </row>
    <row r="819" customFormat="false" ht="15" hidden="false" customHeight="false" outlineLevel="0" collapsed="false">
      <c r="A819" s="0" t="n">
        <v>280</v>
      </c>
      <c r="B819" s="0" t="s">
        <v>1952</v>
      </c>
      <c r="C819" s="0" t="s">
        <v>1955</v>
      </c>
      <c r="E819" s="0" t="s">
        <v>59</v>
      </c>
      <c r="F819" s="0" t="s">
        <v>10875</v>
      </c>
    </row>
    <row r="820" customFormat="false" ht="15" hidden="false" customHeight="false" outlineLevel="0" collapsed="false">
      <c r="A820" s="0" t="n">
        <v>280</v>
      </c>
      <c r="B820" s="0" t="s">
        <v>1952</v>
      </c>
      <c r="C820" s="0" t="s">
        <v>1956</v>
      </c>
      <c r="E820" s="0" t="s">
        <v>59</v>
      </c>
      <c r="F820" s="0" t="s">
        <v>10876</v>
      </c>
    </row>
    <row r="821" customFormat="false" ht="15" hidden="false" customHeight="false" outlineLevel="0" collapsed="false">
      <c r="A821" s="0" t="n">
        <v>280</v>
      </c>
      <c r="B821" s="0" t="s">
        <v>1952</v>
      </c>
      <c r="C821" s="0" t="s">
        <v>10877</v>
      </c>
      <c r="E821" s="0" t="s">
        <v>59</v>
      </c>
      <c r="F821" s="0" t="s">
        <v>10878</v>
      </c>
    </row>
    <row r="822" customFormat="false" ht="15" hidden="false" customHeight="false" outlineLevel="0" collapsed="false">
      <c r="A822" s="0" t="n">
        <v>280</v>
      </c>
      <c r="B822" s="0" t="s">
        <v>1952</v>
      </c>
      <c r="C822" s="0" t="s">
        <v>10879</v>
      </c>
      <c r="E822" s="0" t="s">
        <v>59</v>
      </c>
      <c r="F822" s="0" t="s">
        <v>10880</v>
      </c>
    </row>
    <row r="823" customFormat="false" ht="15" hidden="false" customHeight="false" outlineLevel="0" collapsed="false">
      <c r="A823" s="0" t="n">
        <v>281</v>
      </c>
      <c r="B823" s="0" t="s">
        <v>1957</v>
      </c>
      <c r="C823" s="0" t="s">
        <v>1960</v>
      </c>
      <c r="E823" s="0" t="s">
        <v>79</v>
      </c>
      <c r="F823" s="0" t="s">
        <v>10881</v>
      </c>
    </row>
    <row r="824" customFormat="false" ht="15" hidden="false" customHeight="false" outlineLevel="0" collapsed="false">
      <c r="A824" s="0" t="n">
        <v>281</v>
      </c>
      <c r="B824" s="0" t="s">
        <v>1957</v>
      </c>
      <c r="C824" s="0" t="s">
        <v>1961</v>
      </c>
      <c r="E824" s="0" t="s">
        <v>79</v>
      </c>
      <c r="F824" s="0" t="s">
        <v>10882</v>
      </c>
    </row>
    <row r="825" customFormat="false" ht="15" hidden="false" customHeight="false" outlineLevel="0" collapsed="false">
      <c r="A825" s="0" t="n">
        <v>281</v>
      </c>
      <c r="B825" s="0" t="s">
        <v>1957</v>
      </c>
      <c r="C825" s="0" t="s">
        <v>1962</v>
      </c>
      <c r="E825" s="0" t="s">
        <v>79</v>
      </c>
      <c r="F825" s="0" t="s">
        <v>10883</v>
      </c>
    </row>
    <row r="826" customFormat="false" ht="15" hidden="false" customHeight="false" outlineLevel="0" collapsed="false">
      <c r="A826" s="0" t="n">
        <v>281</v>
      </c>
      <c r="B826" s="0" t="s">
        <v>1957</v>
      </c>
      <c r="C826" s="0" t="s">
        <v>10884</v>
      </c>
      <c r="E826" s="0" t="s">
        <v>79</v>
      </c>
      <c r="F826" s="0" t="s">
        <v>10885</v>
      </c>
    </row>
    <row r="827" customFormat="false" ht="15" hidden="false" customHeight="false" outlineLevel="0" collapsed="false">
      <c r="A827" s="0" t="n">
        <v>281</v>
      </c>
      <c r="B827" s="0" t="s">
        <v>1957</v>
      </c>
      <c r="C827" s="0" t="s">
        <v>10886</v>
      </c>
      <c r="E827" s="0" t="s">
        <v>79</v>
      </c>
      <c r="F827" s="0" t="s">
        <v>10887</v>
      </c>
    </row>
    <row r="828" customFormat="false" ht="15" hidden="false" customHeight="false" outlineLevel="0" collapsed="false">
      <c r="A828" s="0" t="n">
        <v>282</v>
      </c>
      <c r="B828" s="0" t="s">
        <v>1967</v>
      </c>
      <c r="C828" s="0" t="s">
        <v>1969</v>
      </c>
      <c r="E828" s="0" t="s">
        <v>79</v>
      </c>
      <c r="F828" s="0" t="s">
        <v>10888</v>
      </c>
    </row>
    <row r="829" customFormat="false" ht="15" hidden="false" customHeight="false" outlineLevel="0" collapsed="false">
      <c r="A829" s="0" t="n">
        <v>282</v>
      </c>
      <c r="B829" s="0" t="s">
        <v>1967</v>
      </c>
      <c r="C829" s="0" t="s">
        <v>1970</v>
      </c>
      <c r="E829" s="0" t="s">
        <v>79</v>
      </c>
      <c r="F829" s="0" t="s">
        <v>10889</v>
      </c>
    </row>
    <row r="830" customFormat="false" ht="15" hidden="false" customHeight="false" outlineLevel="0" collapsed="false">
      <c r="A830" s="0" t="n">
        <v>282</v>
      </c>
      <c r="B830" s="0" t="s">
        <v>1967</v>
      </c>
      <c r="C830" s="0" t="s">
        <v>1971</v>
      </c>
      <c r="E830" s="0" t="s">
        <v>79</v>
      </c>
      <c r="F830" s="0" t="s">
        <v>10890</v>
      </c>
    </row>
    <row r="831" customFormat="false" ht="15" hidden="false" customHeight="false" outlineLevel="0" collapsed="false">
      <c r="A831" s="0" t="n">
        <v>282</v>
      </c>
      <c r="B831" s="0" t="s">
        <v>1967</v>
      </c>
      <c r="C831" s="0" t="s">
        <v>10891</v>
      </c>
      <c r="E831" s="0" t="s">
        <v>79</v>
      </c>
      <c r="F831" s="0" t="s">
        <v>10892</v>
      </c>
    </row>
    <row r="832" customFormat="false" ht="15" hidden="false" customHeight="false" outlineLevel="0" collapsed="false">
      <c r="A832" s="0" t="n">
        <v>282</v>
      </c>
      <c r="B832" s="0" t="s">
        <v>1967</v>
      </c>
      <c r="C832" s="0" t="s">
        <v>10893</v>
      </c>
      <c r="E832" s="0" t="s">
        <v>79</v>
      </c>
      <c r="F832" s="0" t="s">
        <v>10894</v>
      </c>
    </row>
    <row r="833" customFormat="false" ht="15" hidden="false" customHeight="false" outlineLevel="0" collapsed="false">
      <c r="A833" s="0" t="n">
        <v>283</v>
      </c>
      <c r="B833" s="0" t="s">
        <v>1972</v>
      </c>
      <c r="C833" s="0" t="s">
        <v>1974</v>
      </c>
      <c r="E833" s="0" t="s">
        <v>79</v>
      </c>
      <c r="F833" s="0" t="s">
        <v>10895</v>
      </c>
    </row>
    <row r="834" customFormat="false" ht="15" hidden="false" customHeight="false" outlineLevel="0" collapsed="false">
      <c r="A834" s="0" t="n">
        <v>283</v>
      </c>
      <c r="B834" s="0" t="s">
        <v>1972</v>
      </c>
      <c r="C834" s="0" t="s">
        <v>1975</v>
      </c>
      <c r="E834" s="0" t="s">
        <v>79</v>
      </c>
      <c r="F834" s="0" t="s">
        <v>10896</v>
      </c>
    </row>
    <row r="835" customFormat="false" ht="15" hidden="false" customHeight="false" outlineLevel="0" collapsed="false">
      <c r="A835" s="0" t="n">
        <v>283</v>
      </c>
      <c r="B835" s="0" t="s">
        <v>1972</v>
      </c>
      <c r="C835" s="0" t="s">
        <v>1976</v>
      </c>
      <c r="E835" s="0" t="s">
        <v>79</v>
      </c>
      <c r="F835" s="0" t="s">
        <v>10897</v>
      </c>
    </row>
    <row r="836" customFormat="false" ht="15" hidden="false" customHeight="false" outlineLevel="0" collapsed="false">
      <c r="A836" s="0" t="n">
        <v>283</v>
      </c>
      <c r="B836" s="0" t="s">
        <v>1972</v>
      </c>
      <c r="C836" s="0" t="s">
        <v>10898</v>
      </c>
      <c r="E836" s="0" t="s">
        <v>79</v>
      </c>
      <c r="F836" s="0" t="s">
        <v>10899</v>
      </c>
    </row>
    <row r="837" customFormat="false" ht="15" hidden="false" customHeight="false" outlineLevel="0" collapsed="false">
      <c r="A837" s="0" t="n">
        <v>283</v>
      </c>
      <c r="B837" s="0" t="s">
        <v>1972</v>
      </c>
      <c r="C837" s="0" t="s">
        <v>10900</v>
      </c>
      <c r="E837" s="0" t="s">
        <v>79</v>
      </c>
      <c r="F837" s="0" t="s">
        <v>10901</v>
      </c>
    </row>
    <row r="838" customFormat="false" ht="15" hidden="false" customHeight="false" outlineLevel="0" collapsed="false">
      <c r="A838" s="0" t="n">
        <v>285</v>
      </c>
      <c r="B838" s="0" t="s">
        <v>1981</v>
      </c>
      <c r="C838" s="0" t="s">
        <v>1983</v>
      </c>
      <c r="E838" s="0" t="s">
        <v>79</v>
      </c>
      <c r="F838" s="0" t="s">
        <v>10902</v>
      </c>
    </row>
    <row r="839" customFormat="false" ht="15" hidden="false" customHeight="false" outlineLevel="0" collapsed="false">
      <c r="A839" s="0" t="n">
        <v>285</v>
      </c>
      <c r="B839" s="0" t="s">
        <v>1981</v>
      </c>
      <c r="C839" s="0" t="s">
        <v>1984</v>
      </c>
      <c r="E839" s="0" t="s">
        <v>79</v>
      </c>
      <c r="F839" s="0" t="s">
        <v>10903</v>
      </c>
    </row>
    <row r="840" customFormat="false" ht="15" hidden="false" customHeight="false" outlineLevel="0" collapsed="false">
      <c r="A840" s="0" t="n">
        <v>285</v>
      </c>
      <c r="B840" s="0" t="s">
        <v>1981</v>
      </c>
      <c r="C840" s="0" t="s">
        <v>1985</v>
      </c>
      <c r="E840" s="0" t="s">
        <v>79</v>
      </c>
      <c r="F840" s="0" t="s">
        <v>10904</v>
      </c>
    </row>
    <row r="841" customFormat="false" ht="15" hidden="false" customHeight="false" outlineLevel="0" collapsed="false">
      <c r="A841" s="0" t="n">
        <v>285</v>
      </c>
      <c r="B841" s="0" t="s">
        <v>1981</v>
      </c>
      <c r="C841" s="0" t="s">
        <v>10905</v>
      </c>
      <c r="E841" s="0" t="s">
        <v>79</v>
      </c>
      <c r="F841" s="0" t="s">
        <v>10906</v>
      </c>
    </row>
    <row r="842" customFormat="false" ht="15" hidden="false" customHeight="false" outlineLevel="0" collapsed="false">
      <c r="A842" s="0" t="n">
        <v>285</v>
      </c>
      <c r="B842" s="0" t="s">
        <v>1981</v>
      </c>
      <c r="C842" s="0" t="s">
        <v>10907</v>
      </c>
      <c r="E842" s="0" t="s">
        <v>79</v>
      </c>
      <c r="F842" s="0" t="s">
        <v>10908</v>
      </c>
    </row>
    <row r="843" customFormat="false" ht="15" hidden="false" customHeight="false" outlineLevel="0" collapsed="false">
      <c r="A843" s="0" t="n">
        <v>287</v>
      </c>
      <c r="B843" s="0" t="s">
        <v>1990</v>
      </c>
      <c r="C843" s="0" t="s">
        <v>1992</v>
      </c>
      <c r="E843" s="0" t="s">
        <v>79</v>
      </c>
      <c r="F843" s="0" t="s">
        <v>10909</v>
      </c>
    </row>
    <row r="844" customFormat="false" ht="15" hidden="false" customHeight="false" outlineLevel="0" collapsed="false">
      <c r="A844" s="0" t="n">
        <v>287</v>
      </c>
      <c r="B844" s="0" t="s">
        <v>1990</v>
      </c>
      <c r="C844" s="0" t="s">
        <v>1993</v>
      </c>
      <c r="E844" s="0" t="s">
        <v>79</v>
      </c>
      <c r="F844" s="0" t="s">
        <v>10910</v>
      </c>
    </row>
    <row r="845" customFormat="false" ht="15" hidden="false" customHeight="false" outlineLevel="0" collapsed="false">
      <c r="A845" s="0" t="n">
        <v>287</v>
      </c>
      <c r="B845" s="0" t="s">
        <v>1990</v>
      </c>
      <c r="C845" s="0" t="s">
        <v>1994</v>
      </c>
      <c r="E845" s="0" t="s">
        <v>79</v>
      </c>
      <c r="F845" s="0" t="s">
        <v>10911</v>
      </c>
    </row>
    <row r="846" customFormat="false" ht="15" hidden="false" customHeight="false" outlineLevel="0" collapsed="false">
      <c r="A846" s="0" t="n">
        <v>287</v>
      </c>
      <c r="B846" s="0" t="s">
        <v>1990</v>
      </c>
      <c r="C846" s="0" t="s">
        <v>10912</v>
      </c>
      <c r="E846" s="0" t="s">
        <v>79</v>
      </c>
      <c r="F846" s="0" t="s">
        <v>10913</v>
      </c>
    </row>
    <row r="847" customFormat="false" ht="15" hidden="false" customHeight="false" outlineLevel="0" collapsed="false">
      <c r="A847" s="0" t="n">
        <v>287</v>
      </c>
      <c r="B847" s="0" t="s">
        <v>1990</v>
      </c>
      <c r="C847" s="0" t="s">
        <v>10914</v>
      </c>
      <c r="E847" s="0" t="s">
        <v>79</v>
      </c>
      <c r="F847" s="0" t="s">
        <v>10915</v>
      </c>
    </row>
    <row r="848" customFormat="false" ht="15" hidden="false" customHeight="false" outlineLevel="0" collapsed="false">
      <c r="A848" s="0" t="n">
        <v>289</v>
      </c>
      <c r="B848" s="0" t="s">
        <v>1997</v>
      </c>
      <c r="C848" s="0" t="s">
        <v>2000</v>
      </c>
      <c r="E848" s="0" t="s">
        <v>79</v>
      </c>
      <c r="F848" s="0" t="s">
        <v>10916</v>
      </c>
    </row>
    <row r="849" customFormat="false" ht="15" hidden="false" customHeight="false" outlineLevel="0" collapsed="false">
      <c r="A849" s="0" t="n">
        <v>289</v>
      </c>
      <c r="B849" s="0" t="s">
        <v>1997</v>
      </c>
      <c r="C849" s="0" t="s">
        <v>2001</v>
      </c>
      <c r="E849" s="0" t="s">
        <v>79</v>
      </c>
      <c r="F849" s="0" t="s">
        <v>10917</v>
      </c>
    </row>
    <row r="850" customFormat="false" ht="15" hidden="false" customHeight="false" outlineLevel="0" collapsed="false">
      <c r="A850" s="0" t="n">
        <v>289</v>
      </c>
      <c r="B850" s="0" t="s">
        <v>1997</v>
      </c>
      <c r="C850" s="0" t="s">
        <v>2002</v>
      </c>
      <c r="E850" s="0" t="s">
        <v>79</v>
      </c>
      <c r="F850" s="0" t="s">
        <v>10918</v>
      </c>
    </row>
    <row r="851" customFormat="false" ht="15" hidden="false" customHeight="false" outlineLevel="0" collapsed="false">
      <c r="A851" s="0" t="n">
        <v>289</v>
      </c>
      <c r="B851" s="0" t="s">
        <v>1997</v>
      </c>
      <c r="C851" s="0" t="s">
        <v>10919</v>
      </c>
      <c r="E851" s="0" t="s">
        <v>79</v>
      </c>
      <c r="F851" s="0" t="s">
        <v>10920</v>
      </c>
    </row>
    <row r="852" customFormat="false" ht="15" hidden="false" customHeight="false" outlineLevel="0" collapsed="false">
      <c r="A852" s="0" t="n">
        <v>289</v>
      </c>
      <c r="B852" s="0" t="s">
        <v>1997</v>
      </c>
      <c r="C852" s="0" t="s">
        <v>10921</v>
      </c>
      <c r="E852" s="0" t="s">
        <v>79</v>
      </c>
      <c r="F852" s="0" t="s">
        <v>10922</v>
      </c>
    </row>
    <row r="853" customFormat="false" ht="15" hidden="false" customHeight="false" outlineLevel="0" collapsed="false">
      <c r="A853" s="0" t="n">
        <v>290</v>
      </c>
      <c r="B853" s="0" t="s">
        <v>2003</v>
      </c>
      <c r="C853" s="0" t="s">
        <v>2006</v>
      </c>
      <c r="E853" s="0" t="s">
        <v>79</v>
      </c>
      <c r="F853" s="0" t="s">
        <v>10923</v>
      </c>
    </row>
    <row r="854" customFormat="false" ht="15" hidden="false" customHeight="false" outlineLevel="0" collapsed="false">
      <c r="A854" s="0" t="n">
        <v>290</v>
      </c>
      <c r="B854" s="0" t="s">
        <v>2003</v>
      </c>
      <c r="C854" s="0" t="s">
        <v>2007</v>
      </c>
      <c r="E854" s="0" t="s">
        <v>79</v>
      </c>
      <c r="F854" s="0" t="s">
        <v>10924</v>
      </c>
    </row>
    <row r="855" customFormat="false" ht="15" hidden="false" customHeight="false" outlineLevel="0" collapsed="false">
      <c r="A855" s="0" t="n">
        <v>290</v>
      </c>
      <c r="B855" s="0" t="s">
        <v>2003</v>
      </c>
      <c r="C855" s="0" t="s">
        <v>2008</v>
      </c>
      <c r="E855" s="0" t="s">
        <v>79</v>
      </c>
      <c r="F855" s="0" t="s">
        <v>10925</v>
      </c>
    </row>
    <row r="856" customFormat="false" ht="15" hidden="false" customHeight="false" outlineLevel="0" collapsed="false">
      <c r="A856" s="0" t="n">
        <v>290</v>
      </c>
      <c r="B856" s="0" t="s">
        <v>2003</v>
      </c>
      <c r="C856" s="0" t="s">
        <v>10926</v>
      </c>
      <c r="E856" s="0" t="s">
        <v>79</v>
      </c>
      <c r="F856" s="0" t="s">
        <v>10927</v>
      </c>
    </row>
    <row r="857" customFormat="false" ht="15" hidden="false" customHeight="false" outlineLevel="0" collapsed="false">
      <c r="A857" s="0" t="n">
        <v>290</v>
      </c>
      <c r="B857" s="0" t="s">
        <v>2003</v>
      </c>
      <c r="C857" s="0" t="s">
        <v>10928</v>
      </c>
      <c r="E857" s="0" t="s">
        <v>79</v>
      </c>
      <c r="F857" s="0" t="s">
        <v>10929</v>
      </c>
    </row>
    <row r="858" customFormat="false" ht="15" hidden="false" customHeight="false" outlineLevel="0" collapsed="false">
      <c r="A858" s="0" t="n">
        <v>296</v>
      </c>
      <c r="B858" s="0" t="s">
        <v>2031</v>
      </c>
      <c r="C858" s="0" t="s">
        <v>2034</v>
      </c>
      <c r="E858" s="0" t="s">
        <v>59</v>
      </c>
      <c r="F858" s="0" t="s">
        <v>10930</v>
      </c>
    </row>
    <row r="859" customFormat="false" ht="15" hidden="false" customHeight="false" outlineLevel="0" collapsed="false">
      <c r="A859" s="0" t="n">
        <v>296</v>
      </c>
      <c r="B859" s="0" t="s">
        <v>2031</v>
      </c>
      <c r="C859" s="0" t="s">
        <v>2035</v>
      </c>
      <c r="E859" s="0" t="s">
        <v>59</v>
      </c>
      <c r="F859" s="0" t="s">
        <v>10931</v>
      </c>
    </row>
    <row r="860" customFormat="false" ht="15" hidden="false" customHeight="false" outlineLevel="0" collapsed="false">
      <c r="A860" s="0" t="n">
        <v>296</v>
      </c>
      <c r="B860" s="0" t="s">
        <v>2031</v>
      </c>
      <c r="C860" s="0" t="s">
        <v>2036</v>
      </c>
      <c r="E860" s="0" t="s">
        <v>59</v>
      </c>
      <c r="F860" s="0" t="s">
        <v>10932</v>
      </c>
    </row>
    <row r="861" customFormat="false" ht="15" hidden="false" customHeight="false" outlineLevel="0" collapsed="false">
      <c r="A861" s="0" t="n">
        <v>299</v>
      </c>
      <c r="B861" s="0" t="s">
        <v>2047</v>
      </c>
      <c r="C861" s="0" t="s">
        <v>2050</v>
      </c>
      <c r="E861" s="0" t="s">
        <v>79</v>
      </c>
      <c r="F861" s="0" t="s">
        <v>10933</v>
      </c>
    </row>
    <row r="862" customFormat="false" ht="15" hidden="false" customHeight="false" outlineLevel="0" collapsed="false">
      <c r="A862" s="0" t="n">
        <v>299</v>
      </c>
      <c r="B862" s="0" t="s">
        <v>2047</v>
      </c>
      <c r="C862" s="0" t="s">
        <v>2051</v>
      </c>
      <c r="E862" s="0" t="s">
        <v>79</v>
      </c>
      <c r="F862" s="0" t="s">
        <v>10934</v>
      </c>
    </row>
    <row r="863" customFormat="false" ht="15" hidden="false" customHeight="false" outlineLevel="0" collapsed="false">
      <c r="A863" s="0" t="n">
        <v>299</v>
      </c>
      <c r="B863" s="0" t="s">
        <v>2047</v>
      </c>
      <c r="C863" s="0" t="s">
        <v>2052</v>
      </c>
      <c r="E863" s="0" t="s">
        <v>79</v>
      </c>
      <c r="F863" s="0" t="s">
        <v>10935</v>
      </c>
    </row>
    <row r="864" customFormat="false" ht="15" hidden="false" customHeight="false" outlineLevel="0" collapsed="false">
      <c r="A864" s="0" t="n">
        <v>299</v>
      </c>
      <c r="B864" s="0" t="s">
        <v>2047</v>
      </c>
      <c r="C864" s="0" t="s">
        <v>10936</v>
      </c>
      <c r="E864" s="0" t="s">
        <v>79</v>
      </c>
      <c r="F864" s="0" t="s">
        <v>10937</v>
      </c>
    </row>
    <row r="865" customFormat="false" ht="15" hidden="false" customHeight="false" outlineLevel="0" collapsed="false">
      <c r="A865" s="0" t="n">
        <v>299</v>
      </c>
      <c r="B865" s="0" t="s">
        <v>2047</v>
      </c>
      <c r="C865" s="0" t="s">
        <v>10938</v>
      </c>
      <c r="E865" s="0" t="s">
        <v>79</v>
      </c>
      <c r="F865" s="0" t="s">
        <v>10939</v>
      </c>
    </row>
    <row r="866" customFormat="false" ht="15" hidden="false" customHeight="false" outlineLevel="0" collapsed="false">
      <c r="A866" s="0" t="n">
        <v>301</v>
      </c>
      <c r="B866" s="0" t="s">
        <v>2063</v>
      </c>
      <c r="C866" s="0" t="s">
        <v>2065</v>
      </c>
      <c r="E866" s="0" t="s">
        <v>59</v>
      </c>
      <c r="F866" s="0" t="s">
        <v>10940</v>
      </c>
    </row>
    <row r="867" customFormat="false" ht="15" hidden="false" customHeight="false" outlineLevel="0" collapsed="false">
      <c r="A867" s="0" t="n">
        <v>301</v>
      </c>
      <c r="B867" s="0" t="s">
        <v>2063</v>
      </c>
      <c r="C867" s="0" t="s">
        <v>2066</v>
      </c>
      <c r="E867" s="0" t="s">
        <v>59</v>
      </c>
      <c r="F867" s="0" t="s">
        <v>10941</v>
      </c>
    </row>
    <row r="868" customFormat="false" ht="15" hidden="false" customHeight="false" outlineLevel="0" collapsed="false">
      <c r="A868" s="0" t="n">
        <v>301</v>
      </c>
      <c r="B868" s="0" t="s">
        <v>2063</v>
      </c>
      <c r="C868" s="0" t="s">
        <v>2067</v>
      </c>
      <c r="E868" s="0" t="s">
        <v>59</v>
      </c>
      <c r="F868" s="0" t="s">
        <v>10942</v>
      </c>
    </row>
    <row r="869" customFormat="false" ht="15" hidden="false" customHeight="false" outlineLevel="0" collapsed="false">
      <c r="A869" s="0" t="n">
        <v>301</v>
      </c>
      <c r="B869" s="0" t="s">
        <v>2063</v>
      </c>
      <c r="C869" s="0" t="s">
        <v>10943</v>
      </c>
      <c r="E869" s="0" t="s">
        <v>59</v>
      </c>
      <c r="F869" s="0" t="s">
        <v>10944</v>
      </c>
    </row>
    <row r="870" customFormat="false" ht="15" hidden="false" customHeight="false" outlineLevel="0" collapsed="false">
      <c r="A870" s="0" t="n">
        <v>301</v>
      </c>
      <c r="B870" s="0" t="s">
        <v>2063</v>
      </c>
      <c r="C870" s="0" t="s">
        <v>10945</v>
      </c>
      <c r="E870" s="0" t="s">
        <v>59</v>
      </c>
      <c r="F870" s="0" t="s">
        <v>10946</v>
      </c>
    </row>
    <row r="871" customFormat="false" ht="15" hidden="false" customHeight="false" outlineLevel="0" collapsed="false">
      <c r="A871" s="0" t="n">
        <v>302</v>
      </c>
      <c r="B871" s="0" t="s">
        <v>2070</v>
      </c>
      <c r="C871" s="0" t="s">
        <v>2072</v>
      </c>
      <c r="E871" s="0" t="s">
        <v>79</v>
      </c>
      <c r="F871" s="0" t="s">
        <v>10947</v>
      </c>
    </row>
    <row r="872" customFormat="false" ht="15" hidden="false" customHeight="false" outlineLevel="0" collapsed="false">
      <c r="A872" s="0" t="n">
        <v>302</v>
      </c>
      <c r="B872" s="0" t="s">
        <v>2070</v>
      </c>
      <c r="C872" s="0" t="s">
        <v>2073</v>
      </c>
      <c r="E872" s="0" t="s">
        <v>79</v>
      </c>
      <c r="F872" s="0" t="s">
        <v>10948</v>
      </c>
    </row>
    <row r="873" customFormat="false" ht="15" hidden="false" customHeight="false" outlineLevel="0" collapsed="false">
      <c r="A873" s="0" t="n">
        <v>302</v>
      </c>
      <c r="B873" s="0" t="s">
        <v>2070</v>
      </c>
      <c r="C873" s="0" t="s">
        <v>2074</v>
      </c>
      <c r="E873" s="0" t="s">
        <v>79</v>
      </c>
      <c r="F873" s="0" t="s">
        <v>10949</v>
      </c>
    </row>
    <row r="874" customFormat="false" ht="15" hidden="false" customHeight="false" outlineLevel="0" collapsed="false">
      <c r="A874" s="0" t="n">
        <v>302</v>
      </c>
      <c r="B874" s="0" t="s">
        <v>2070</v>
      </c>
      <c r="C874" s="0" t="s">
        <v>10950</v>
      </c>
      <c r="E874" s="0" t="s">
        <v>79</v>
      </c>
      <c r="F874" s="0" t="s">
        <v>10951</v>
      </c>
    </row>
    <row r="875" customFormat="false" ht="15" hidden="false" customHeight="false" outlineLevel="0" collapsed="false">
      <c r="A875" s="0" t="n">
        <v>302</v>
      </c>
      <c r="B875" s="0" t="s">
        <v>2070</v>
      </c>
      <c r="C875" s="0" t="s">
        <v>10952</v>
      </c>
      <c r="E875" s="0" t="s">
        <v>79</v>
      </c>
      <c r="F875" s="0" t="s">
        <v>10953</v>
      </c>
    </row>
    <row r="876" customFormat="false" ht="15" hidden="false" customHeight="false" outlineLevel="0" collapsed="false">
      <c r="A876" s="0" t="n">
        <v>303</v>
      </c>
      <c r="B876" s="0" t="s">
        <v>2075</v>
      </c>
      <c r="C876" s="0" t="s">
        <v>2077</v>
      </c>
      <c r="E876" s="0" t="s">
        <v>79</v>
      </c>
      <c r="F876" s="0" t="s">
        <v>10954</v>
      </c>
    </row>
    <row r="877" customFormat="false" ht="15" hidden="false" customHeight="false" outlineLevel="0" collapsed="false">
      <c r="A877" s="0" t="n">
        <v>303</v>
      </c>
      <c r="B877" s="0" t="s">
        <v>2075</v>
      </c>
      <c r="C877" s="0" t="s">
        <v>2078</v>
      </c>
      <c r="E877" s="0" t="s">
        <v>79</v>
      </c>
      <c r="F877" s="0" t="s">
        <v>10955</v>
      </c>
    </row>
    <row r="878" customFormat="false" ht="15" hidden="false" customHeight="false" outlineLevel="0" collapsed="false">
      <c r="A878" s="0" t="n">
        <v>306</v>
      </c>
      <c r="B878" s="0" t="s">
        <v>2082</v>
      </c>
      <c r="C878" s="0" t="s">
        <v>2084</v>
      </c>
      <c r="E878" s="0" t="s">
        <v>59</v>
      </c>
      <c r="F878" s="0" t="s">
        <v>10956</v>
      </c>
    </row>
    <row r="879" customFormat="false" ht="15" hidden="false" customHeight="false" outlineLevel="0" collapsed="false">
      <c r="A879" s="0" t="n">
        <v>306</v>
      </c>
      <c r="B879" s="0" t="s">
        <v>2082</v>
      </c>
      <c r="C879" s="0" t="s">
        <v>2085</v>
      </c>
      <c r="E879" s="0" t="s">
        <v>59</v>
      </c>
      <c r="F879" s="0" t="s">
        <v>10957</v>
      </c>
    </row>
    <row r="880" customFormat="false" ht="15" hidden="false" customHeight="false" outlineLevel="0" collapsed="false">
      <c r="A880" s="0" t="n">
        <v>306</v>
      </c>
      <c r="B880" s="0" t="s">
        <v>2082</v>
      </c>
      <c r="C880" s="0" t="s">
        <v>2086</v>
      </c>
      <c r="E880" s="0" t="s">
        <v>59</v>
      </c>
      <c r="F880" s="0" t="s">
        <v>10958</v>
      </c>
    </row>
    <row r="881" customFormat="false" ht="15" hidden="false" customHeight="false" outlineLevel="0" collapsed="false">
      <c r="A881" s="0" t="n">
        <v>306</v>
      </c>
      <c r="B881" s="0" t="s">
        <v>2082</v>
      </c>
      <c r="C881" s="0" t="s">
        <v>10959</v>
      </c>
      <c r="E881" s="0" t="s">
        <v>59</v>
      </c>
      <c r="F881" s="0" t="s">
        <v>10960</v>
      </c>
    </row>
    <row r="882" customFormat="false" ht="15" hidden="false" customHeight="false" outlineLevel="0" collapsed="false">
      <c r="A882" s="0" t="n">
        <v>306</v>
      </c>
      <c r="B882" s="0" t="s">
        <v>2082</v>
      </c>
      <c r="C882" s="0" t="s">
        <v>10961</v>
      </c>
      <c r="E882" s="0" t="s">
        <v>59</v>
      </c>
      <c r="F882" s="0" t="s">
        <v>10962</v>
      </c>
    </row>
    <row r="883" customFormat="false" ht="15" hidden="false" customHeight="false" outlineLevel="0" collapsed="false">
      <c r="A883" s="0" t="n">
        <v>308</v>
      </c>
      <c r="B883" s="0" t="s">
        <v>2088</v>
      </c>
      <c r="C883" s="0" t="s">
        <v>2092</v>
      </c>
      <c r="E883" s="0" t="s">
        <v>59</v>
      </c>
      <c r="F883" s="0" t="s">
        <v>10963</v>
      </c>
    </row>
    <row r="884" customFormat="false" ht="15" hidden="false" customHeight="false" outlineLevel="0" collapsed="false">
      <c r="A884" s="0" t="n">
        <v>308</v>
      </c>
      <c r="B884" s="0" t="s">
        <v>2088</v>
      </c>
      <c r="C884" s="0" t="s">
        <v>2093</v>
      </c>
      <c r="E884" s="0" t="s">
        <v>59</v>
      </c>
      <c r="F884" s="0" t="s">
        <v>10964</v>
      </c>
    </row>
    <row r="885" customFormat="false" ht="15" hidden="false" customHeight="false" outlineLevel="0" collapsed="false">
      <c r="A885" s="0" t="n">
        <v>308</v>
      </c>
      <c r="B885" s="0" t="s">
        <v>2088</v>
      </c>
      <c r="C885" s="0" t="s">
        <v>2094</v>
      </c>
      <c r="E885" s="0" t="s">
        <v>59</v>
      </c>
      <c r="F885" s="0" t="s">
        <v>10965</v>
      </c>
    </row>
    <row r="886" customFormat="false" ht="15" hidden="false" customHeight="false" outlineLevel="0" collapsed="false">
      <c r="A886" s="0" t="n">
        <v>308</v>
      </c>
      <c r="B886" s="0" t="s">
        <v>2088</v>
      </c>
      <c r="C886" s="0" t="s">
        <v>10966</v>
      </c>
      <c r="E886" s="0" t="s">
        <v>59</v>
      </c>
      <c r="F886" s="0" t="s">
        <v>10967</v>
      </c>
    </row>
    <row r="887" customFormat="false" ht="15" hidden="false" customHeight="false" outlineLevel="0" collapsed="false">
      <c r="A887" s="0" t="n">
        <v>308</v>
      </c>
      <c r="B887" s="0" t="s">
        <v>2088</v>
      </c>
      <c r="C887" s="0" t="s">
        <v>10968</v>
      </c>
      <c r="E887" s="0" t="s">
        <v>59</v>
      </c>
      <c r="F887" s="0" t="s">
        <v>10969</v>
      </c>
    </row>
    <row r="888" customFormat="false" ht="15" hidden="false" customHeight="false" outlineLevel="0" collapsed="false">
      <c r="A888" s="0" t="n">
        <v>310</v>
      </c>
      <c r="B888" s="0" t="s">
        <v>2101</v>
      </c>
      <c r="C888" s="0" t="s">
        <v>2103</v>
      </c>
      <c r="E888" s="0" t="s">
        <v>79</v>
      </c>
      <c r="F888" s="0" t="s">
        <v>10970</v>
      </c>
    </row>
    <row r="889" customFormat="false" ht="15" hidden="false" customHeight="false" outlineLevel="0" collapsed="false">
      <c r="A889" s="0" t="n">
        <v>310</v>
      </c>
      <c r="B889" s="0" t="s">
        <v>2101</v>
      </c>
      <c r="C889" s="0" t="s">
        <v>2104</v>
      </c>
      <c r="E889" s="0" t="s">
        <v>79</v>
      </c>
      <c r="F889" s="0" t="s">
        <v>10971</v>
      </c>
    </row>
    <row r="890" customFormat="false" ht="15" hidden="false" customHeight="false" outlineLevel="0" collapsed="false">
      <c r="A890" s="0" t="n">
        <v>310</v>
      </c>
      <c r="B890" s="0" t="s">
        <v>2101</v>
      </c>
      <c r="C890" s="0" t="s">
        <v>2105</v>
      </c>
      <c r="E890" s="0" t="s">
        <v>79</v>
      </c>
      <c r="F890" s="0" t="s">
        <v>10972</v>
      </c>
    </row>
    <row r="891" customFormat="false" ht="15" hidden="false" customHeight="false" outlineLevel="0" collapsed="false">
      <c r="A891" s="0" t="n">
        <v>310</v>
      </c>
      <c r="B891" s="0" t="s">
        <v>2101</v>
      </c>
      <c r="C891" s="0" t="s">
        <v>10973</v>
      </c>
      <c r="E891" s="0" t="s">
        <v>79</v>
      </c>
      <c r="F891" s="0" t="s">
        <v>10974</v>
      </c>
    </row>
    <row r="892" customFormat="false" ht="15" hidden="false" customHeight="false" outlineLevel="0" collapsed="false">
      <c r="A892" s="0" t="n">
        <v>310</v>
      </c>
      <c r="B892" s="0" t="s">
        <v>2101</v>
      </c>
      <c r="C892" s="0" t="s">
        <v>10975</v>
      </c>
      <c r="E892" s="0" t="s">
        <v>79</v>
      </c>
      <c r="F892" s="0" t="s">
        <v>10976</v>
      </c>
    </row>
    <row r="893" customFormat="false" ht="15" hidden="false" customHeight="false" outlineLevel="0" collapsed="false">
      <c r="A893" s="0" t="n">
        <v>311</v>
      </c>
      <c r="B893" s="0" t="s">
        <v>2106</v>
      </c>
      <c r="C893" s="0" t="s">
        <v>2108</v>
      </c>
      <c r="E893" s="0" t="s">
        <v>79</v>
      </c>
      <c r="F893" s="0" t="s">
        <v>10977</v>
      </c>
    </row>
    <row r="894" customFormat="false" ht="15" hidden="false" customHeight="false" outlineLevel="0" collapsed="false">
      <c r="A894" s="0" t="n">
        <v>311</v>
      </c>
      <c r="B894" s="0" t="s">
        <v>2106</v>
      </c>
      <c r="C894" s="0" t="s">
        <v>2109</v>
      </c>
      <c r="E894" s="0" t="s">
        <v>79</v>
      </c>
      <c r="F894" s="0" t="s">
        <v>10978</v>
      </c>
    </row>
    <row r="895" customFormat="false" ht="15" hidden="false" customHeight="false" outlineLevel="0" collapsed="false">
      <c r="A895" s="0" t="n">
        <v>311</v>
      </c>
      <c r="B895" s="0" t="s">
        <v>2106</v>
      </c>
      <c r="C895" s="0" t="s">
        <v>2110</v>
      </c>
      <c r="E895" s="0" t="s">
        <v>79</v>
      </c>
      <c r="F895" s="0" t="s">
        <v>10979</v>
      </c>
    </row>
    <row r="896" customFormat="false" ht="15" hidden="false" customHeight="false" outlineLevel="0" collapsed="false">
      <c r="A896" s="0" t="n">
        <v>311</v>
      </c>
      <c r="B896" s="0" t="s">
        <v>2106</v>
      </c>
      <c r="C896" s="0" t="s">
        <v>10980</v>
      </c>
      <c r="E896" s="0" t="s">
        <v>79</v>
      </c>
      <c r="F896" s="0" t="s">
        <v>10981</v>
      </c>
    </row>
    <row r="897" customFormat="false" ht="15" hidden="false" customHeight="false" outlineLevel="0" collapsed="false">
      <c r="A897" s="0" t="n">
        <v>311</v>
      </c>
      <c r="B897" s="0" t="s">
        <v>2106</v>
      </c>
      <c r="C897" s="0" t="s">
        <v>10982</v>
      </c>
      <c r="E897" s="0" t="s">
        <v>79</v>
      </c>
      <c r="F897" s="0" t="s">
        <v>10983</v>
      </c>
    </row>
    <row r="898" customFormat="false" ht="15" hidden="false" customHeight="false" outlineLevel="0" collapsed="false">
      <c r="A898" s="0" t="n">
        <v>315</v>
      </c>
      <c r="B898" s="0" t="s">
        <v>2126</v>
      </c>
      <c r="C898" s="0" t="s">
        <v>2129</v>
      </c>
      <c r="E898" s="0" t="s">
        <v>79</v>
      </c>
      <c r="F898" s="0" t="s">
        <v>10984</v>
      </c>
    </row>
    <row r="899" customFormat="false" ht="15" hidden="false" customHeight="false" outlineLevel="0" collapsed="false">
      <c r="A899" s="0" t="n">
        <v>315</v>
      </c>
      <c r="B899" s="0" t="s">
        <v>2126</v>
      </c>
      <c r="C899" s="0" t="s">
        <v>2130</v>
      </c>
      <c r="E899" s="0" t="s">
        <v>79</v>
      </c>
      <c r="F899" s="0" t="s">
        <v>10985</v>
      </c>
    </row>
    <row r="900" customFormat="false" ht="15" hidden="false" customHeight="false" outlineLevel="0" collapsed="false">
      <c r="A900" s="0" t="n">
        <v>315</v>
      </c>
      <c r="B900" s="0" t="s">
        <v>2126</v>
      </c>
      <c r="C900" s="0" t="s">
        <v>2131</v>
      </c>
      <c r="E900" s="0" t="s">
        <v>79</v>
      </c>
      <c r="F900" s="0" t="s">
        <v>10986</v>
      </c>
    </row>
    <row r="901" customFormat="false" ht="15" hidden="false" customHeight="false" outlineLevel="0" collapsed="false">
      <c r="A901" s="0" t="n">
        <v>315</v>
      </c>
      <c r="B901" s="0" t="s">
        <v>2126</v>
      </c>
      <c r="C901" s="0" t="s">
        <v>10987</v>
      </c>
      <c r="E901" s="0" t="s">
        <v>79</v>
      </c>
      <c r="F901" s="0" t="s">
        <v>10988</v>
      </c>
    </row>
    <row r="902" customFormat="false" ht="15" hidden="false" customHeight="false" outlineLevel="0" collapsed="false">
      <c r="A902" s="0" t="n">
        <v>315</v>
      </c>
      <c r="B902" s="0" t="s">
        <v>2126</v>
      </c>
      <c r="C902" s="0" t="s">
        <v>10989</v>
      </c>
      <c r="E902" s="0" t="s">
        <v>79</v>
      </c>
      <c r="F902" s="0" t="s">
        <v>10990</v>
      </c>
    </row>
    <row r="903" customFormat="false" ht="15" hidden="false" customHeight="false" outlineLevel="0" collapsed="false">
      <c r="A903" s="0" t="n">
        <v>316</v>
      </c>
      <c r="B903" s="0" t="s">
        <v>2133</v>
      </c>
      <c r="C903" s="0" t="s">
        <v>2135</v>
      </c>
      <c r="E903" s="0" t="s">
        <v>79</v>
      </c>
      <c r="F903" s="0" t="s">
        <v>10991</v>
      </c>
    </row>
    <row r="904" customFormat="false" ht="15" hidden="false" customHeight="false" outlineLevel="0" collapsed="false">
      <c r="A904" s="0" t="n">
        <v>316</v>
      </c>
      <c r="B904" s="0" t="s">
        <v>2133</v>
      </c>
      <c r="C904" s="0" t="s">
        <v>2136</v>
      </c>
      <c r="E904" s="0" t="s">
        <v>79</v>
      </c>
      <c r="F904" s="0" t="s">
        <v>10992</v>
      </c>
    </row>
    <row r="905" customFormat="false" ht="15" hidden="false" customHeight="false" outlineLevel="0" collapsed="false">
      <c r="A905" s="0" t="n">
        <v>316</v>
      </c>
      <c r="B905" s="0" t="s">
        <v>2133</v>
      </c>
      <c r="C905" s="0" t="s">
        <v>2137</v>
      </c>
      <c r="E905" s="0" t="s">
        <v>79</v>
      </c>
      <c r="F905" s="0" t="s">
        <v>10993</v>
      </c>
    </row>
    <row r="906" customFormat="false" ht="15" hidden="false" customHeight="false" outlineLevel="0" collapsed="false">
      <c r="A906" s="0" t="n">
        <v>316</v>
      </c>
      <c r="B906" s="0" t="s">
        <v>2133</v>
      </c>
      <c r="C906" s="0" t="s">
        <v>10994</v>
      </c>
      <c r="E906" s="0" t="s">
        <v>79</v>
      </c>
      <c r="F906" s="0" t="s">
        <v>10995</v>
      </c>
    </row>
    <row r="907" customFormat="false" ht="15" hidden="false" customHeight="false" outlineLevel="0" collapsed="false">
      <c r="A907" s="0" t="n">
        <v>316</v>
      </c>
      <c r="B907" s="0" t="s">
        <v>2133</v>
      </c>
      <c r="C907" s="0" t="s">
        <v>10996</v>
      </c>
      <c r="E907" s="0" t="s">
        <v>79</v>
      </c>
      <c r="F907" s="0" t="s">
        <v>10997</v>
      </c>
    </row>
    <row r="908" customFormat="false" ht="15" hidden="false" customHeight="false" outlineLevel="0" collapsed="false">
      <c r="A908" s="0" t="n">
        <v>317</v>
      </c>
      <c r="B908" s="0" t="s">
        <v>2138</v>
      </c>
      <c r="C908" s="0" t="s">
        <v>2141</v>
      </c>
      <c r="E908" s="0" t="s">
        <v>79</v>
      </c>
      <c r="F908" s="0" t="s">
        <v>10998</v>
      </c>
    </row>
    <row r="909" customFormat="false" ht="15" hidden="false" customHeight="false" outlineLevel="0" collapsed="false">
      <c r="A909" s="0" t="n">
        <v>317</v>
      </c>
      <c r="B909" s="0" t="s">
        <v>2138</v>
      </c>
      <c r="C909" s="0" t="s">
        <v>2142</v>
      </c>
      <c r="E909" s="0" t="s">
        <v>79</v>
      </c>
      <c r="F909" s="0" t="s">
        <v>10999</v>
      </c>
    </row>
    <row r="910" customFormat="false" ht="15" hidden="false" customHeight="false" outlineLevel="0" collapsed="false">
      <c r="A910" s="0" t="n">
        <v>317</v>
      </c>
      <c r="B910" s="0" t="s">
        <v>2138</v>
      </c>
      <c r="C910" s="0" t="s">
        <v>2143</v>
      </c>
      <c r="E910" s="0" t="s">
        <v>79</v>
      </c>
      <c r="F910" s="0" t="s">
        <v>11000</v>
      </c>
    </row>
    <row r="911" customFormat="false" ht="15" hidden="false" customHeight="false" outlineLevel="0" collapsed="false">
      <c r="A911" s="0" t="n">
        <v>317</v>
      </c>
      <c r="B911" s="0" t="s">
        <v>2138</v>
      </c>
      <c r="C911" s="0" t="s">
        <v>11001</v>
      </c>
      <c r="E911" s="0" t="s">
        <v>79</v>
      </c>
      <c r="F911" s="0" t="s">
        <v>11002</v>
      </c>
    </row>
    <row r="912" customFormat="false" ht="15" hidden="false" customHeight="false" outlineLevel="0" collapsed="false">
      <c r="A912" s="0" t="n">
        <v>317</v>
      </c>
      <c r="B912" s="0" t="s">
        <v>2138</v>
      </c>
      <c r="C912" s="0" t="s">
        <v>11003</v>
      </c>
      <c r="E912" s="0" t="s">
        <v>79</v>
      </c>
      <c r="F912" s="0" t="s">
        <v>11004</v>
      </c>
    </row>
    <row r="913" customFormat="false" ht="15" hidden="false" customHeight="false" outlineLevel="0" collapsed="false">
      <c r="A913" s="0" t="n">
        <v>320</v>
      </c>
      <c r="B913" s="0" t="s">
        <v>2152</v>
      </c>
      <c r="C913" s="0" t="s">
        <v>2154</v>
      </c>
      <c r="E913" s="0" t="s">
        <v>59</v>
      </c>
      <c r="F913" s="0" t="s">
        <v>11005</v>
      </c>
    </row>
    <row r="914" customFormat="false" ht="15" hidden="false" customHeight="false" outlineLevel="0" collapsed="false">
      <c r="A914" s="0" t="n">
        <v>320</v>
      </c>
      <c r="B914" s="0" t="s">
        <v>2152</v>
      </c>
      <c r="C914" s="0" t="s">
        <v>2155</v>
      </c>
      <c r="E914" s="0" t="s">
        <v>59</v>
      </c>
      <c r="F914" s="0" t="s">
        <v>11006</v>
      </c>
    </row>
    <row r="915" customFormat="false" ht="15" hidden="false" customHeight="false" outlineLevel="0" collapsed="false">
      <c r="A915" s="0" t="n">
        <v>320</v>
      </c>
      <c r="B915" s="0" t="s">
        <v>2152</v>
      </c>
      <c r="C915" s="0" t="s">
        <v>2156</v>
      </c>
      <c r="E915" s="0" t="s">
        <v>59</v>
      </c>
      <c r="F915" s="0" t="s">
        <v>11007</v>
      </c>
    </row>
    <row r="916" customFormat="false" ht="15" hidden="false" customHeight="false" outlineLevel="0" collapsed="false">
      <c r="A916" s="0" t="n">
        <v>320</v>
      </c>
      <c r="B916" s="0" t="s">
        <v>2152</v>
      </c>
      <c r="C916" s="0" t="s">
        <v>11008</v>
      </c>
      <c r="E916" s="0" t="s">
        <v>59</v>
      </c>
      <c r="F916" s="0" t="s">
        <v>11009</v>
      </c>
    </row>
    <row r="917" customFormat="false" ht="15" hidden="false" customHeight="false" outlineLevel="0" collapsed="false">
      <c r="A917" s="0" t="n">
        <v>320</v>
      </c>
      <c r="B917" s="0" t="s">
        <v>2152</v>
      </c>
      <c r="C917" s="0" t="s">
        <v>11010</v>
      </c>
      <c r="E917" s="0" t="s">
        <v>59</v>
      </c>
      <c r="F917" s="0" t="s">
        <v>11011</v>
      </c>
    </row>
    <row r="918" customFormat="false" ht="15" hidden="false" customHeight="false" outlineLevel="0" collapsed="false">
      <c r="A918" s="0" t="n">
        <v>321</v>
      </c>
      <c r="B918" s="0" t="s">
        <v>2157</v>
      </c>
      <c r="C918" s="0" t="s">
        <v>2160</v>
      </c>
      <c r="E918" s="0" t="s">
        <v>79</v>
      </c>
      <c r="F918" s="0" t="s">
        <v>11012</v>
      </c>
    </row>
    <row r="919" customFormat="false" ht="15" hidden="false" customHeight="false" outlineLevel="0" collapsed="false">
      <c r="A919" s="0" t="n">
        <v>321</v>
      </c>
      <c r="B919" s="0" t="s">
        <v>2157</v>
      </c>
      <c r="C919" s="0" t="s">
        <v>2161</v>
      </c>
      <c r="E919" s="0" t="s">
        <v>79</v>
      </c>
      <c r="F919" s="0" t="s">
        <v>11013</v>
      </c>
    </row>
    <row r="920" customFormat="false" ht="15" hidden="false" customHeight="false" outlineLevel="0" collapsed="false">
      <c r="A920" s="0" t="n">
        <v>321</v>
      </c>
      <c r="B920" s="0" t="s">
        <v>2157</v>
      </c>
      <c r="C920" s="0" t="s">
        <v>2162</v>
      </c>
      <c r="E920" s="0" t="s">
        <v>79</v>
      </c>
      <c r="F920" s="0" t="s">
        <v>11014</v>
      </c>
    </row>
    <row r="921" customFormat="false" ht="15" hidden="false" customHeight="false" outlineLevel="0" collapsed="false">
      <c r="A921" s="0" t="n">
        <v>321</v>
      </c>
      <c r="B921" s="0" t="s">
        <v>2157</v>
      </c>
      <c r="C921" s="0" t="s">
        <v>11015</v>
      </c>
      <c r="E921" s="0" t="s">
        <v>79</v>
      </c>
      <c r="F921" s="0" t="s">
        <v>11016</v>
      </c>
    </row>
    <row r="922" customFormat="false" ht="15" hidden="false" customHeight="false" outlineLevel="0" collapsed="false">
      <c r="A922" s="0" t="n">
        <v>321</v>
      </c>
      <c r="B922" s="0" t="s">
        <v>2157</v>
      </c>
      <c r="C922" s="0" t="s">
        <v>11017</v>
      </c>
      <c r="E922" s="0" t="s">
        <v>79</v>
      </c>
      <c r="F922" s="0" t="s">
        <v>11018</v>
      </c>
    </row>
    <row r="923" customFormat="false" ht="15" hidden="false" customHeight="false" outlineLevel="0" collapsed="false">
      <c r="A923" s="0" t="n">
        <v>322</v>
      </c>
      <c r="B923" s="0" t="s">
        <v>2163</v>
      </c>
      <c r="C923" s="0" t="s">
        <v>2166</v>
      </c>
      <c r="E923" s="0" t="s">
        <v>79</v>
      </c>
      <c r="F923" s="0" t="s">
        <v>11019</v>
      </c>
    </row>
    <row r="924" customFormat="false" ht="15" hidden="false" customHeight="false" outlineLevel="0" collapsed="false">
      <c r="A924" s="0" t="n">
        <v>322</v>
      </c>
      <c r="B924" s="0" t="s">
        <v>2163</v>
      </c>
      <c r="C924" s="0" t="s">
        <v>2167</v>
      </c>
      <c r="E924" s="0" t="s">
        <v>79</v>
      </c>
      <c r="F924" s="0" t="s">
        <v>11020</v>
      </c>
    </row>
    <row r="925" customFormat="false" ht="15" hidden="false" customHeight="false" outlineLevel="0" collapsed="false">
      <c r="A925" s="0" t="n">
        <v>322</v>
      </c>
      <c r="B925" s="0" t="s">
        <v>2163</v>
      </c>
      <c r="C925" s="0" t="s">
        <v>2168</v>
      </c>
      <c r="E925" s="0" t="s">
        <v>79</v>
      </c>
      <c r="F925" s="0" t="s">
        <v>11021</v>
      </c>
    </row>
    <row r="926" customFormat="false" ht="15" hidden="false" customHeight="false" outlineLevel="0" collapsed="false">
      <c r="A926" s="0" t="n">
        <v>322</v>
      </c>
      <c r="B926" s="0" t="s">
        <v>2163</v>
      </c>
      <c r="C926" s="0" t="s">
        <v>11022</v>
      </c>
      <c r="E926" s="0" t="s">
        <v>79</v>
      </c>
      <c r="F926" s="0" t="s">
        <v>11023</v>
      </c>
    </row>
    <row r="927" customFormat="false" ht="15" hidden="false" customHeight="false" outlineLevel="0" collapsed="false">
      <c r="A927" s="0" t="n">
        <v>322</v>
      </c>
      <c r="B927" s="0" t="s">
        <v>2163</v>
      </c>
      <c r="C927" s="0" t="s">
        <v>11024</v>
      </c>
      <c r="E927" s="0" t="s">
        <v>79</v>
      </c>
      <c r="F927" s="0" t="s">
        <v>11025</v>
      </c>
    </row>
    <row r="928" customFormat="false" ht="15" hidden="false" customHeight="false" outlineLevel="0" collapsed="false">
      <c r="A928" s="0" t="n">
        <v>326</v>
      </c>
      <c r="B928" s="0" t="s">
        <v>2181</v>
      </c>
      <c r="C928" s="0" t="s">
        <v>2184</v>
      </c>
      <c r="E928" s="0" t="s">
        <v>79</v>
      </c>
      <c r="F928" s="0" t="s">
        <v>11026</v>
      </c>
    </row>
    <row r="929" customFormat="false" ht="15" hidden="false" customHeight="false" outlineLevel="0" collapsed="false">
      <c r="A929" s="0" t="n">
        <v>326</v>
      </c>
      <c r="B929" s="0" t="s">
        <v>2181</v>
      </c>
      <c r="C929" s="0" t="s">
        <v>2185</v>
      </c>
      <c r="E929" s="0" t="s">
        <v>79</v>
      </c>
      <c r="F929" s="0" t="s">
        <v>11027</v>
      </c>
    </row>
    <row r="930" customFormat="false" ht="15" hidden="false" customHeight="false" outlineLevel="0" collapsed="false">
      <c r="A930" s="0" t="n">
        <v>327</v>
      </c>
      <c r="B930" s="0" t="s">
        <v>2188</v>
      </c>
      <c r="C930" s="0" t="s">
        <v>2190</v>
      </c>
      <c r="E930" s="0" t="s">
        <v>79</v>
      </c>
      <c r="F930" s="0" t="s">
        <v>11028</v>
      </c>
    </row>
    <row r="931" customFormat="false" ht="15" hidden="false" customHeight="false" outlineLevel="0" collapsed="false">
      <c r="A931" s="0" t="n">
        <v>327</v>
      </c>
      <c r="B931" s="0" t="s">
        <v>2188</v>
      </c>
      <c r="C931" s="0" t="s">
        <v>2191</v>
      </c>
      <c r="E931" s="0" t="s">
        <v>79</v>
      </c>
      <c r="F931" s="0" t="s">
        <v>11029</v>
      </c>
    </row>
    <row r="932" customFormat="false" ht="15" hidden="false" customHeight="false" outlineLevel="0" collapsed="false">
      <c r="A932" s="0" t="n">
        <v>327</v>
      </c>
      <c r="B932" s="0" t="s">
        <v>2188</v>
      </c>
      <c r="C932" s="0" t="s">
        <v>2192</v>
      </c>
      <c r="E932" s="0" t="s">
        <v>79</v>
      </c>
      <c r="F932" s="0" t="s">
        <v>11030</v>
      </c>
    </row>
    <row r="933" customFormat="false" ht="15" hidden="false" customHeight="false" outlineLevel="0" collapsed="false">
      <c r="A933" s="0" t="n">
        <v>327</v>
      </c>
      <c r="B933" s="0" t="s">
        <v>2188</v>
      </c>
      <c r="C933" s="0" t="s">
        <v>11031</v>
      </c>
      <c r="E933" s="0" t="s">
        <v>79</v>
      </c>
      <c r="F933" s="0" t="s">
        <v>11032</v>
      </c>
    </row>
    <row r="934" customFormat="false" ht="15" hidden="false" customHeight="false" outlineLevel="0" collapsed="false">
      <c r="A934" s="0" t="n">
        <v>327</v>
      </c>
      <c r="B934" s="0" t="s">
        <v>2188</v>
      </c>
      <c r="C934" s="0" t="s">
        <v>11033</v>
      </c>
      <c r="E934" s="0" t="s">
        <v>79</v>
      </c>
      <c r="F934" s="0" t="s">
        <v>11034</v>
      </c>
    </row>
    <row r="935" customFormat="false" ht="15" hidden="false" customHeight="false" outlineLevel="0" collapsed="false">
      <c r="A935" s="0" t="n">
        <v>328</v>
      </c>
      <c r="B935" s="0" t="s">
        <v>2193</v>
      </c>
      <c r="C935" s="0" t="s">
        <v>2195</v>
      </c>
      <c r="E935" s="0" t="s">
        <v>79</v>
      </c>
      <c r="F935" s="0" t="s">
        <v>11035</v>
      </c>
    </row>
    <row r="936" customFormat="false" ht="15" hidden="false" customHeight="false" outlineLevel="0" collapsed="false">
      <c r="A936" s="0" t="n">
        <v>328</v>
      </c>
      <c r="B936" s="0" t="s">
        <v>2193</v>
      </c>
      <c r="C936" s="0" t="s">
        <v>2196</v>
      </c>
      <c r="E936" s="0" t="s">
        <v>79</v>
      </c>
      <c r="F936" s="0" t="s">
        <v>11036</v>
      </c>
    </row>
    <row r="937" customFormat="false" ht="15" hidden="false" customHeight="false" outlineLevel="0" collapsed="false">
      <c r="A937" s="0" t="n">
        <v>330</v>
      </c>
      <c r="B937" s="0" t="s">
        <v>2199</v>
      </c>
      <c r="C937" s="0" t="s">
        <v>2201</v>
      </c>
      <c r="E937" s="0" t="s">
        <v>79</v>
      </c>
      <c r="F937" s="0" t="s">
        <v>11037</v>
      </c>
    </row>
    <row r="938" customFormat="false" ht="15" hidden="false" customHeight="false" outlineLevel="0" collapsed="false">
      <c r="A938" s="0" t="n">
        <v>330</v>
      </c>
      <c r="B938" s="0" t="s">
        <v>2199</v>
      </c>
      <c r="C938" s="0" t="s">
        <v>2202</v>
      </c>
      <c r="E938" s="0" t="s">
        <v>79</v>
      </c>
      <c r="F938" s="0" t="s">
        <v>11038</v>
      </c>
    </row>
    <row r="939" customFormat="false" ht="15" hidden="false" customHeight="false" outlineLevel="0" collapsed="false">
      <c r="A939" s="0" t="n">
        <v>330</v>
      </c>
      <c r="B939" s="0" t="s">
        <v>2199</v>
      </c>
      <c r="C939" s="0" t="s">
        <v>2203</v>
      </c>
      <c r="E939" s="0" t="s">
        <v>79</v>
      </c>
      <c r="F939" s="0" t="s">
        <v>11039</v>
      </c>
    </row>
    <row r="940" customFormat="false" ht="15" hidden="false" customHeight="false" outlineLevel="0" collapsed="false">
      <c r="A940" s="0" t="n">
        <v>330</v>
      </c>
      <c r="B940" s="0" t="s">
        <v>2199</v>
      </c>
      <c r="C940" s="0" t="s">
        <v>11040</v>
      </c>
      <c r="E940" s="0" t="s">
        <v>79</v>
      </c>
      <c r="F940" s="0" t="s">
        <v>11041</v>
      </c>
    </row>
    <row r="941" customFormat="false" ht="15" hidden="false" customHeight="false" outlineLevel="0" collapsed="false">
      <c r="A941" s="0" t="n">
        <v>330</v>
      </c>
      <c r="B941" s="0" t="s">
        <v>2199</v>
      </c>
      <c r="C941" s="0" t="s">
        <v>11042</v>
      </c>
      <c r="E941" s="0" t="s">
        <v>79</v>
      </c>
      <c r="F941" s="0" t="s">
        <v>11043</v>
      </c>
    </row>
    <row r="942" customFormat="false" ht="15" hidden="false" customHeight="false" outlineLevel="0" collapsed="false">
      <c r="A942" s="0" t="n">
        <v>331</v>
      </c>
      <c r="B942" s="0" t="s">
        <v>2204</v>
      </c>
      <c r="C942" s="0" t="s">
        <v>2207</v>
      </c>
      <c r="E942" s="0" t="s">
        <v>79</v>
      </c>
      <c r="F942" s="0" t="s">
        <v>11044</v>
      </c>
    </row>
    <row r="943" customFormat="false" ht="15" hidden="false" customHeight="false" outlineLevel="0" collapsed="false">
      <c r="A943" s="0" t="n">
        <v>331</v>
      </c>
      <c r="B943" s="0" t="s">
        <v>2204</v>
      </c>
      <c r="C943" s="0" t="s">
        <v>2208</v>
      </c>
      <c r="E943" s="0" t="s">
        <v>79</v>
      </c>
      <c r="F943" s="0" t="s">
        <v>11045</v>
      </c>
    </row>
    <row r="944" customFormat="false" ht="15" hidden="false" customHeight="false" outlineLevel="0" collapsed="false">
      <c r="A944" s="0" t="n">
        <v>332</v>
      </c>
      <c r="B944" s="0" t="s">
        <v>2211</v>
      </c>
      <c r="C944" s="0" t="s">
        <v>2213</v>
      </c>
      <c r="E944" s="0" t="s">
        <v>79</v>
      </c>
      <c r="F944" s="0" t="s">
        <v>11046</v>
      </c>
    </row>
    <row r="945" customFormat="false" ht="15" hidden="false" customHeight="false" outlineLevel="0" collapsed="false">
      <c r="A945" s="0" t="n">
        <v>332</v>
      </c>
      <c r="B945" s="0" t="s">
        <v>2211</v>
      </c>
      <c r="C945" s="0" t="s">
        <v>2214</v>
      </c>
      <c r="E945" s="0" t="s">
        <v>79</v>
      </c>
      <c r="F945" s="0" t="s">
        <v>11047</v>
      </c>
    </row>
    <row r="946" customFormat="false" ht="15" hidden="false" customHeight="false" outlineLevel="0" collapsed="false">
      <c r="A946" s="0" t="n">
        <v>332</v>
      </c>
      <c r="B946" s="0" t="s">
        <v>2211</v>
      </c>
      <c r="C946" s="0" t="s">
        <v>2215</v>
      </c>
      <c r="E946" s="0" t="s">
        <v>79</v>
      </c>
      <c r="F946" s="0" t="s">
        <v>11048</v>
      </c>
    </row>
    <row r="947" customFormat="false" ht="15" hidden="false" customHeight="false" outlineLevel="0" collapsed="false">
      <c r="A947" s="0" t="n">
        <v>334</v>
      </c>
      <c r="B947" s="0" t="s">
        <v>2221</v>
      </c>
      <c r="C947" s="0" t="s">
        <v>2224</v>
      </c>
      <c r="E947" s="0" t="s">
        <v>79</v>
      </c>
      <c r="F947" s="0" t="s">
        <v>11049</v>
      </c>
    </row>
    <row r="948" customFormat="false" ht="15" hidden="false" customHeight="false" outlineLevel="0" collapsed="false">
      <c r="A948" s="0" t="n">
        <v>334</v>
      </c>
      <c r="B948" s="0" t="s">
        <v>2221</v>
      </c>
      <c r="C948" s="0" t="s">
        <v>2225</v>
      </c>
      <c r="E948" s="0" t="s">
        <v>79</v>
      </c>
      <c r="F948" s="0" t="s">
        <v>11050</v>
      </c>
    </row>
    <row r="949" customFormat="false" ht="15" hidden="false" customHeight="false" outlineLevel="0" collapsed="false">
      <c r="A949" s="0" t="n">
        <v>334</v>
      </c>
      <c r="B949" s="0" t="s">
        <v>2221</v>
      </c>
      <c r="C949" s="0" t="s">
        <v>2226</v>
      </c>
      <c r="E949" s="0" t="s">
        <v>79</v>
      </c>
      <c r="F949" s="0" t="s">
        <v>11051</v>
      </c>
    </row>
    <row r="950" customFormat="false" ht="15" hidden="false" customHeight="false" outlineLevel="0" collapsed="false">
      <c r="A950" s="0" t="n">
        <v>334</v>
      </c>
      <c r="B950" s="0" t="s">
        <v>2221</v>
      </c>
      <c r="C950" s="0" t="s">
        <v>11052</v>
      </c>
      <c r="E950" s="0" t="s">
        <v>79</v>
      </c>
      <c r="F950" s="0" t="s">
        <v>11053</v>
      </c>
    </row>
    <row r="951" customFormat="false" ht="15" hidden="false" customHeight="false" outlineLevel="0" collapsed="false">
      <c r="A951" s="0" t="n">
        <v>334</v>
      </c>
      <c r="B951" s="0" t="s">
        <v>2221</v>
      </c>
      <c r="C951" s="0" t="s">
        <v>11054</v>
      </c>
      <c r="E951" s="0" t="s">
        <v>79</v>
      </c>
      <c r="F951" s="0" t="s">
        <v>11055</v>
      </c>
    </row>
    <row r="952" customFormat="false" ht="15" hidden="false" customHeight="false" outlineLevel="0" collapsed="false">
      <c r="A952" s="0" t="n">
        <v>336</v>
      </c>
      <c r="B952" s="0" t="s">
        <v>2233</v>
      </c>
      <c r="C952" s="0" t="s">
        <v>2236</v>
      </c>
      <c r="E952" s="0" t="s">
        <v>79</v>
      </c>
      <c r="F952" s="0" t="s">
        <v>11056</v>
      </c>
    </row>
    <row r="953" customFormat="false" ht="15" hidden="false" customHeight="false" outlineLevel="0" collapsed="false">
      <c r="A953" s="0" t="n">
        <v>336</v>
      </c>
      <c r="B953" s="0" t="s">
        <v>2233</v>
      </c>
      <c r="C953" s="0" t="s">
        <v>2237</v>
      </c>
      <c r="E953" s="0" t="s">
        <v>79</v>
      </c>
      <c r="F953" s="0" t="s">
        <v>11057</v>
      </c>
    </row>
    <row r="954" customFormat="false" ht="15" hidden="false" customHeight="false" outlineLevel="0" collapsed="false">
      <c r="A954" s="0" t="n">
        <v>336</v>
      </c>
      <c r="B954" s="0" t="s">
        <v>2233</v>
      </c>
      <c r="C954" s="0" t="s">
        <v>2238</v>
      </c>
      <c r="E954" s="0" t="s">
        <v>79</v>
      </c>
      <c r="F954" s="0" t="s">
        <v>11058</v>
      </c>
    </row>
    <row r="955" customFormat="false" ht="15" hidden="false" customHeight="false" outlineLevel="0" collapsed="false">
      <c r="A955" s="0" t="n">
        <v>336</v>
      </c>
      <c r="B955" s="0" t="s">
        <v>2233</v>
      </c>
      <c r="C955" s="0" t="s">
        <v>11059</v>
      </c>
      <c r="E955" s="0" t="s">
        <v>79</v>
      </c>
      <c r="F955" s="0" t="s">
        <v>11060</v>
      </c>
    </row>
    <row r="956" customFormat="false" ht="15" hidden="false" customHeight="false" outlineLevel="0" collapsed="false">
      <c r="A956" s="0" t="n">
        <v>336</v>
      </c>
      <c r="B956" s="0" t="s">
        <v>2233</v>
      </c>
      <c r="C956" s="0" t="s">
        <v>11061</v>
      </c>
      <c r="E956" s="0" t="s">
        <v>79</v>
      </c>
      <c r="F956" s="0" t="s">
        <v>11062</v>
      </c>
    </row>
    <row r="957" customFormat="false" ht="15" hidden="false" customHeight="false" outlineLevel="0" collapsed="false">
      <c r="A957" s="0" t="n">
        <v>337</v>
      </c>
      <c r="B957" s="0" t="s">
        <v>2243</v>
      </c>
      <c r="C957" s="0" t="s">
        <v>2245</v>
      </c>
      <c r="E957" s="0" t="s">
        <v>79</v>
      </c>
      <c r="F957" s="0" t="s">
        <v>11063</v>
      </c>
    </row>
    <row r="958" customFormat="false" ht="15" hidden="false" customHeight="false" outlineLevel="0" collapsed="false">
      <c r="A958" s="0" t="n">
        <v>337</v>
      </c>
      <c r="B958" s="0" t="s">
        <v>2243</v>
      </c>
      <c r="C958" s="0" t="s">
        <v>2246</v>
      </c>
      <c r="E958" s="0" t="s">
        <v>79</v>
      </c>
      <c r="F958" s="0" t="s">
        <v>11064</v>
      </c>
    </row>
    <row r="959" customFormat="false" ht="15" hidden="false" customHeight="false" outlineLevel="0" collapsed="false">
      <c r="A959" s="0" t="n">
        <v>337</v>
      </c>
      <c r="B959" s="0" t="s">
        <v>2243</v>
      </c>
      <c r="C959" s="0" t="s">
        <v>2247</v>
      </c>
      <c r="E959" s="0" t="s">
        <v>79</v>
      </c>
      <c r="F959" s="0" t="s">
        <v>11065</v>
      </c>
    </row>
    <row r="960" customFormat="false" ht="15" hidden="false" customHeight="false" outlineLevel="0" collapsed="false">
      <c r="A960" s="0" t="n">
        <v>337</v>
      </c>
      <c r="B960" s="0" t="s">
        <v>2243</v>
      </c>
      <c r="C960" s="0" t="s">
        <v>11066</v>
      </c>
      <c r="E960" s="0" t="s">
        <v>79</v>
      </c>
      <c r="F960" s="0" t="s">
        <v>11067</v>
      </c>
    </row>
    <row r="961" customFormat="false" ht="15" hidden="false" customHeight="false" outlineLevel="0" collapsed="false">
      <c r="A961" s="0" t="n">
        <v>337</v>
      </c>
      <c r="B961" s="0" t="s">
        <v>2243</v>
      </c>
      <c r="C961" s="0" t="s">
        <v>11068</v>
      </c>
      <c r="E961" s="0" t="s">
        <v>79</v>
      </c>
      <c r="F961" s="0" t="s">
        <v>11069</v>
      </c>
    </row>
    <row r="962" customFormat="false" ht="15" hidden="false" customHeight="false" outlineLevel="0" collapsed="false">
      <c r="A962" s="0" t="n">
        <v>339</v>
      </c>
      <c r="B962" s="0" t="s">
        <v>2251</v>
      </c>
      <c r="C962" s="0" t="s">
        <v>2254</v>
      </c>
      <c r="E962" s="0" t="s">
        <v>59</v>
      </c>
      <c r="F962" s="0" t="s">
        <v>11070</v>
      </c>
    </row>
    <row r="963" customFormat="false" ht="15" hidden="false" customHeight="false" outlineLevel="0" collapsed="false">
      <c r="A963" s="0" t="n">
        <v>339</v>
      </c>
      <c r="B963" s="0" t="s">
        <v>2251</v>
      </c>
      <c r="C963" s="0" t="s">
        <v>2255</v>
      </c>
      <c r="E963" s="0" t="s">
        <v>59</v>
      </c>
      <c r="F963" s="0" t="s">
        <v>11071</v>
      </c>
    </row>
    <row r="964" customFormat="false" ht="15" hidden="false" customHeight="false" outlineLevel="0" collapsed="false">
      <c r="A964" s="0" t="n">
        <v>339</v>
      </c>
      <c r="B964" s="0" t="s">
        <v>2251</v>
      </c>
      <c r="C964" s="0" t="s">
        <v>2256</v>
      </c>
      <c r="E964" s="0" t="s">
        <v>59</v>
      </c>
      <c r="F964" s="0" t="s">
        <v>11072</v>
      </c>
    </row>
    <row r="965" customFormat="false" ht="15" hidden="false" customHeight="false" outlineLevel="0" collapsed="false">
      <c r="A965" s="0" t="n">
        <v>339</v>
      </c>
      <c r="B965" s="0" t="s">
        <v>2251</v>
      </c>
      <c r="C965" s="0" t="s">
        <v>11073</v>
      </c>
      <c r="E965" s="0" t="s">
        <v>59</v>
      </c>
      <c r="F965" s="0" t="s">
        <v>11074</v>
      </c>
    </row>
    <row r="966" customFormat="false" ht="15" hidden="false" customHeight="false" outlineLevel="0" collapsed="false">
      <c r="A966" s="0" t="n">
        <v>339</v>
      </c>
      <c r="B966" s="0" t="s">
        <v>2251</v>
      </c>
      <c r="C966" s="0" t="s">
        <v>11075</v>
      </c>
      <c r="E966" s="0" t="s">
        <v>59</v>
      </c>
      <c r="F966" s="0" t="s">
        <v>11076</v>
      </c>
    </row>
    <row r="967" customFormat="false" ht="15" hidden="false" customHeight="false" outlineLevel="0" collapsed="false">
      <c r="A967" s="0" t="n">
        <v>340</v>
      </c>
      <c r="B967" s="0" t="s">
        <v>2260</v>
      </c>
      <c r="C967" s="0" t="s">
        <v>2263</v>
      </c>
      <c r="E967" s="0" t="s">
        <v>59</v>
      </c>
      <c r="F967" s="0" t="s">
        <v>11077</v>
      </c>
    </row>
    <row r="968" customFormat="false" ht="15" hidden="false" customHeight="false" outlineLevel="0" collapsed="false">
      <c r="A968" s="0" t="n">
        <v>340</v>
      </c>
      <c r="B968" s="0" t="s">
        <v>2260</v>
      </c>
      <c r="C968" s="0" t="s">
        <v>2264</v>
      </c>
      <c r="E968" s="0" t="s">
        <v>59</v>
      </c>
      <c r="F968" s="0" t="s">
        <v>11078</v>
      </c>
    </row>
    <row r="969" customFormat="false" ht="15" hidden="false" customHeight="false" outlineLevel="0" collapsed="false">
      <c r="A969" s="0" t="n">
        <v>340</v>
      </c>
      <c r="B969" s="0" t="s">
        <v>2260</v>
      </c>
      <c r="C969" s="0" t="s">
        <v>2265</v>
      </c>
      <c r="E969" s="0" t="s">
        <v>59</v>
      </c>
      <c r="F969" s="0" t="s">
        <v>11079</v>
      </c>
    </row>
    <row r="970" customFormat="false" ht="15" hidden="false" customHeight="false" outlineLevel="0" collapsed="false">
      <c r="A970" s="0" t="n">
        <v>340</v>
      </c>
      <c r="B970" s="0" t="s">
        <v>2260</v>
      </c>
      <c r="C970" s="0" t="s">
        <v>11080</v>
      </c>
      <c r="E970" s="0" t="s">
        <v>59</v>
      </c>
      <c r="F970" s="0" t="s">
        <v>11081</v>
      </c>
    </row>
    <row r="971" customFormat="false" ht="15" hidden="false" customHeight="false" outlineLevel="0" collapsed="false">
      <c r="A971" s="0" t="n">
        <v>340</v>
      </c>
      <c r="B971" s="0" t="s">
        <v>2260</v>
      </c>
      <c r="C971" s="0" t="s">
        <v>11082</v>
      </c>
      <c r="E971" s="0" t="s">
        <v>59</v>
      </c>
      <c r="F971" s="0" t="s">
        <v>11083</v>
      </c>
    </row>
    <row r="972" customFormat="false" ht="15" hidden="false" customHeight="false" outlineLevel="0" collapsed="false">
      <c r="A972" s="0" t="n">
        <v>341</v>
      </c>
      <c r="B972" s="0" t="s">
        <v>2269</v>
      </c>
      <c r="C972" s="0" t="s">
        <v>2272</v>
      </c>
      <c r="E972" s="0" t="s">
        <v>79</v>
      </c>
      <c r="F972" s="0" t="s">
        <v>11084</v>
      </c>
    </row>
    <row r="973" customFormat="false" ht="15" hidden="false" customHeight="false" outlineLevel="0" collapsed="false">
      <c r="A973" s="0" t="n">
        <v>341</v>
      </c>
      <c r="B973" s="0" t="s">
        <v>2269</v>
      </c>
      <c r="C973" s="0" t="s">
        <v>2273</v>
      </c>
      <c r="E973" s="0" t="s">
        <v>79</v>
      </c>
      <c r="F973" s="0" t="s">
        <v>11085</v>
      </c>
    </row>
    <row r="974" customFormat="false" ht="15" hidden="false" customHeight="false" outlineLevel="0" collapsed="false">
      <c r="A974" s="0" t="n">
        <v>341</v>
      </c>
      <c r="B974" s="0" t="s">
        <v>2269</v>
      </c>
      <c r="C974" s="0" t="s">
        <v>2274</v>
      </c>
      <c r="E974" s="0" t="s">
        <v>79</v>
      </c>
      <c r="F974" s="0" t="s">
        <v>11086</v>
      </c>
    </row>
    <row r="975" customFormat="false" ht="15" hidden="false" customHeight="false" outlineLevel="0" collapsed="false">
      <c r="A975" s="0" t="n">
        <v>341</v>
      </c>
      <c r="B975" s="0" t="s">
        <v>2269</v>
      </c>
      <c r="C975" s="0" t="s">
        <v>11087</v>
      </c>
      <c r="E975" s="0" t="s">
        <v>79</v>
      </c>
      <c r="F975" s="0" t="s">
        <v>11088</v>
      </c>
    </row>
    <row r="976" customFormat="false" ht="15" hidden="false" customHeight="false" outlineLevel="0" collapsed="false">
      <c r="A976" s="0" t="n">
        <v>341</v>
      </c>
      <c r="B976" s="0" t="s">
        <v>2269</v>
      </c>
      <c r="C976" s="0" t="s">
        <v>11089</v>
      </c>
      <c r="E976" s="0" t="s">
        <v>79</v>
      </c>
      <c r="F976" s="0" t="s">
        <v>11090</v>
      </c>
    </row>
    <row r="977" customFormat="false" ht="15" hidden="false" customHeight="false" outlineLevel="0" collapsed="false">
      <c r="A977" s="0" t="n">
        <v>342</v>
      </c>
      <c r="B977" s="0" t="s">
        <v>2279</v>
      </c>
      <c r="C977" s="0" t="s">
        <v>2282</v>
      </c>
      <c r="E977" s="0" t="s">
        <v>79</v>
      </c>
      <c r="F977" s="0" t="s">
        <v>11091</v>
      </c>
    </row>
    <row r="978" customFormat="false" ht="15" hidden="false" customHeight="false" outlineLevel="0" collapsed="false">
      <c r="A978" s="0" t="n">
        <v>342</v>
      </c>
      <c r="B978" s="0" t="s">
        <v>2279</v>
      </c>
      <c r="C978" s="0" t="s">
        <v>2283</v>
      </c>
      <c r="E978" s="0" t="s">
        <v>79</v>
      </c>
      <c r="F978" s="0" t="s">
        <v>11092</v>
      </c>
    </row>
    <row r="979" customFormat="false" ht="15" hidden="false" customHeight="false" outlineLevel="0" collapsed="false">
      <c r="A979" s="0" t="n">
        <v>343</v>
      </c>
      <c r="B979" s="0" t="s">
        <v>2287</v>
      </c>
      <c r="C979" s="0" t="s">
        <v>2290</v>
      </c>
      <c r="E979" s="0" t="s">
        <v>59</v>
      </c>
      <c r="F979" s="0" t="s">
        <v>11093</v>
      </c>
    </row>
    <row r="980" customFormat="false" ht="15" hidden="false" customHeight="false" outlineLevel="0" collapsed="false">
      <c r="A980" s="0" t="n">
        <v>343</v>
      </c>
      <c r="B980" s="0" t="s">
        <v>2287</v>
      </c>
      <c r="C980" s="0" t="s">
        <v>2291</v>
      </c>
      <c r="E980" s="0" t="s">
        <v>59</v>
      </c>
      <c r="F980" s="0" t="s">
        <v>11094</v>
      </c>
    </row>
    <row r="981" customFormat="false" ht="15" hidden="false" customHeight="false" outlineLevel="0" collapsed="false">
      <c r="A981" s="0" t="n">
        <v>343</v>
      </c>
      <c r="B981" s="0" t="s">
        <v>2287</v>
      </c>
      <c r="C981" s="0" t="s">
        <v>2292</v>
      </c>
      <c r="E981" s="0" t="s">
        <v>59</v>
      </c>
      <c r="F981" s="0" t="s">
        <v>11095</v>
      </c>
    </row>
    <row r="982" customFormat="false" ht="15" hidden="false" customHeight="false" outlineLevel="0" collapsed="false">
      <c r="A982" s="0" t="n">
        <v>343</v>
      </c>
      <c r="B982" s="0" t="s">
        <v>2287</v>
      </c>
      <c r="C982" s="0" t="s">
        <v>11096</v>
      </c>
      <c r="E982" s="0" t="s">
        <v>59</v>
      </c>
      <c r="F982" s="0" t="s">
        <v>11097</v>
      </c>
    </row>
    <row r="983" customFormat="false" ht="15" hidden="false" customHeight="false" outlineLevel="0" collapsed="false">
      <c r="A983" s="0" t="n">
        <v>343</v>
      </c>
      <c r="B983" s="0" t="s">
        <v>2287</v>
      </c>
      <c r="C983" s="0" t="s">
        <v>11098</v>
      </c>
      <c r="E983" s="0" t="s">
        <v>59</v>
      </c>
      <c r="F983" s="0" t="s">
        <v>11099</v>
      </c>
    </row>
    <row r="984" customFormat="false" ht="15" hidden="false" customHeight="false" outlineLevel="0" collapsed="false">
      <c r="A984" s="0" t="n">
        <v>344</v>
      </c>
      <c r="B984" s="0" t="s">
        <v>2296</v>
      </c>
      <c r="C984" s="0" t="s">
        <v>2300</v>
      </c>
      <c r="E984" s="0" t="s">
        <v>79</v>
      </c>
      <c r="F984" s="0" t="s">
        <v>11100</v>
      </c>
    </row>
    <row r="985" customFormat="false" ht="15" hidden="false" customHeight="false" outlineLevel="0" collapsed="false">
      <c r="A985" s="0" t="n">
        <v>344</v>
      </c>
      <c r="B985" s="0" t="s">
        <v>2296</v>
      </c>
      <c r="C985" s="0" t="s">
        <v>2301</v>
      </c>
      <c r="E985" s="0" t="s">
        <v>79</v>
      </c>
      <c r="F985" s="0" t="s">
        <v>11101</v>
      </c>
    </row>
    <row r="986" customFormat="false" ht="15" hidden="false" customHeight="false" outlineLevel="0" collapsed="false">
      <c r="A986" s="0" t="n">
        <v>344</v>
      </c>
      <c r="B986" s="0" t="s">
        <v>2296</v>
      </c>
      <c r="C986" s="0" t="s">
        <v>2302</v>
      </c>
      <c r="E986" s="0" t="s">
        <v>79</v>
      </c>
      <c r="F986" s="0" t="s">
        <v>11102</v>
      </c>
    </row>
    <row r="987" customFormat="false" ht="15" hidden="false" customHeight="false" outlineLevel="0" collapsed="false">
      <c r="A987" s="0" t="n">
        <v>344</v>
      </c>
      <c r="B987" s="0" t="s">
        <v>2296</v>
      </c>
      <c r="C987" s="0" t="s">
        <v>11103</v>
      </c>
      <c r="E987" s="0" t="s">
        <v>79</v>
      </c>
      <c r="F987" s="0" t="s">
        <v>11104</v>
      </c>
    </row>
    <row r="988" customFormat="false" ht="15" hidden="false" customHeight="false" outlineLevel="0" collapsed="false">
      <c r="A988" s="0" t="n">
        <v>344</v>
      </c>
      <c r="B988" s="0" t="s">
        <v>2296</v>
      </c>
      <c r="C988" s="0" t="s">
        <v>11105</v>
      </c>
      <c r="E988" s="0" t="s">
        <v>79</v>
      </c>
      <c r="F988" s="0" t="s">
        <v>11106</v>
      </c>
    </row>
    <row r="989" customFormat="false" ht="15" hidden="false" customHeight="false" outlineLevel="0" collapsed="false">
      <c r="A989" s="0" t="n">
        <v>345</v>
      </c>
      <c r="B989" s="0" t="s">
        <v>2308</v>
      </c>
      <c r="C989" s="0" t="s">
        <v>2317</v>
      </c>
      <c r="D989" s="0" t="s">
        <v>11107</v>
      </c>
      <c r="E989" s="0" t="s">
        <v>115</v>
      </c>
    </row>
    <row r="990" customFormat="false" ht="15" hidden="false" customHeight="false" outlineLevel="0" collapsed="false">
      <c r="A990" s="0" t="n">
        <v>345</v>
      </c>
      <c r="B990" s="0" t="s">
        <v>2308</v>
      </c>
      <c r="C990" s="0" t="s">
        <v>2318</v>
      </c>
      <c r="D990" s="0" t="s">
        <v>11108</v>
      </c>
      <c r="E990" s="0" t="s">
        <v>115</v>
      </c>
    </row>
    <row r="991" customFormat="false" ht="15" hidden="false" customHeight="false" outlineLevel="0" collapsed="false">
      <c r="A991" s="0" t="n">
        <v>345</v>
      </c>
      <c r="B991" s="0" t="s">
        <v>2308</v>
      </c>
      <c r="C991" s="0" t="s">
        <v>2319</v>
      </c>
      <c r="D991" s="0" t="s">
        <v>11109</v>
      </c>
      <c r="E991" s="0" t="s">
        <v>115</v>
      </c>
    </row>
    <row r="992" customFormat="false" ht="15" hidden="false" customHeight="false" outlineLevel="0" collapsed="false">
      <c r="A992" s="0" t="n">
        <v>346</v>
      </c>
      <c r="B992" s="0" t="s">
        <v>2329</v>
      </c>
      <c r="C992" s="0" t="s">
        <v>2331</v>
      </c>
      <c r="E992" s="0" t="s">
        <v>79</v>
      </c>
      <c r="F992" s="0" t="s">
        <v>11110</v>
      </c>
    </row>
    <row r="993" customFormat="false" ht="15" hidden="false" customHeight="false" outlineLevel="0" collapsed="false">
      <c r="A993" s="0" t="n">
        <v>346</v>
      </c>
      <c r="B993" s="0" t="s">
        <v>2329</v>
      </c>
      <c r="C993" s="0" t="s">
        <v>2332</v>
      </c>
      <c r="E993" s="0" t="s">
        <v>79</v>
      </c>
      <c r="F993" s="0" t="s">
        <v>11111</v>
      </c>
    </row>
    <row r="994" customFormat="false" ht="15" hidden="false" customHeight="false" outlineLevel="0" collapsed="false">
      <c r="A994" s="0" t="n">
        <v>346</v>
      </c>
      <c r="B994" s="0" t="s">
        <v>2329</v>
      </c>
      <c r="C994" s="0" t="s">
        <v>2333</v>
      </c>
      <c r="E994" s="0" t="s">
        <v>79</v>
      </c>
      <c r="F994" s="0" t="s">
        <v>11112</v>
      </c>
    </row>
    <row r="995" customFormat="false" ht="15" hidden="false" customHeight="false" outlineLevel="0" collapsed="false">
      <c r="A995" s="0" t="n">
        <v>346</v>
      </c>
      <c r="B995" s="0" t="s">
        <v>2329</v>
      </c>
      <c r="C995" s="0" t="s">
        <v>11113</v>
      </c>
      <c r="E995" s="0" t="s">
        <v>79</v>
      </c>
      <c r="F995" s="0" t="s">
        <v>11114</v>
      </c>
    </row>
    <row r="996" customFormat="false" ht="15" hidden="false" customHeight="false" outlineLevel="0" collapsed="false">
      <c r="A996" s="0" t="n">
        <v>347</v>
      </c>
      <c r="B996" s="0" t="s">
        <v>2334</v>
      </c>
      <c r="C996" s="0" t="s">
        <v>2337</v>
      </c>
      <c r="E996" s="0" t="s">
        <v>79</v>
      </c>
      <c r="F996" s="0" t="s">
        <v>11115</v>
      </c>
    </row>
    <row r="997" customFormat="false" ht="15" hidden="false" customHeight="false" outlineLevel="0" collapsed="false">
      <c r="A997" s="0" t="n">
        <v>347</v>
      </c>
      <c r="B997" s="0" t="s">
        <v>2334</v>
      </c>
      <c r="C997" s="0" t="s">
        <v>2338</v>
      </c>
      <c r="E997" s="0" t="s">
        <v>79</v>
      </c>
      <c r="F997" s="0" t="s">
        <v>11116</v>
      </c>
    </row>
    <row r="998" customFormat="false" ht="15" hidden="false" customHeight="false" outlineLevel="0" collapsed="false">
      <c r="A998" s="0" t="n">
        <v>347</v>
      </c>
      <c r="B998" s="0" t="s">
        <v>2334</v>
      </c>
      <c r="C998" s="0" t="s">
        <v>2339</v>
      </c>
      <c r="E998" s="0" t="s">
        <v>79</v>
      </c>
      <c r="F998" s="0" t="s">
        <v>11117</v>
      </c>
    </row>
    <row r="999" customFormat="false" ht="15" hidden="false" customHeight="false" outlineLevel="0" collapsed="false">
      <c r="A999" s="0" t="n">
        <v>347</v>
      </c>
      <c r="B999" s="0" t="s">
        <v>2334</v>
      </c>
      <c r="C999" s="0" t="s">
        <v>11118</v>
      </c>
      <c r="E999" s="0" t="s">
        <v>79</v>
      </c>
      <c r="F999" s="0" t="s">
        <v>11119</v>
      </c>
    </row>
    <row r="1000" customFormat="false" ht="15" hidden="false" customHeight="false" outlineLevel="0" collapsed="false">
      <c r="A1000" s="0" t="n">
        <v>347</v>
      </c>
      <c r="B1000" s="0" t="s">
        <v>2334</v>
      </c>
      <c r="C1000" s="0" t="s">
        <v>11120</v>
      </c>
      <c r="E1000" s="0" t="s">
        <v>79</v>
      </c>
      <c r="F1000" s="0" t="s">
        <v>11121</v>
      </c>
    </row>
    <row r="1001" customFormat="false" ht="15" hidden="false" customHeight="false" outlineLevel="0" collapsed="false">
      <c r="A1001" s="0" t="n">
        <v>350</v>
      </c>
      <c r="B1001" s="0" t="s">
        <v>2356</v>
      </c>
      <c r="C1001" s="0" t="s">
        <v>2358</v>
      </c>
      <c r="E1001" s="0" t="s">
        <v>79</v>
      </c>
      <c r="F1001" s="0" t="s">
        <v>11122</v>
      </c>
    </row>
    <row r="1002" customFormat="false" ht="15" hidden="false" customHeight="false" outlineLevel="0" collapsed="false">
      <c r="A1002" s="0" t="n">
        <v>350</v>
      </c>
      <c r="B1002" s="0" t="s">
        <v>2356</v>
      </c>
      <c r="C1002" s="0" t="s">
        <v>2359</v>
      </c>
      <c r="E1002" s="0" t="s">
        <v>79</v>
      </c>
      <c r="F1002" s="0" t="s">
        <v>11123</v>
      </c>
    </row>
    <row r="1003" customFormat="false" ht="15" hidden="false" customHeight="false" outlineLevel="0" collapsed="false">
      <c r="A1003" s="0" t="n">
        <v>350</v>
      </c>
      <c r="B1003" s="0" t="s">
        <v>2356</v>
      </c>
      <c r="C1003" s="0" t="s">
        <v>2360</v>
      </c>
      <c r="E1003" s="0" t="s">
        <v>79</v>
      </c>
      <c r="F1003" s="0" t="s">
        <v>11124</v>
      </c>
    </row>
    <row r="1004" customFormat="false" ht="15" hidden="false" customHeight="false" outlineLevel="0" collapsed="false">
      <c r="A1004" s="0" t="n">
        <v>350</v>
      </c>
      <c r="B1004" s="0" t="s">
        <v>2356</v>
      </c>
      <c r="C1004" s="0" t="s">
        <v>11125</v>
      </c>
      <c r="E1004" s="0" t="s">
        <v>79</v>
      </c>
      <c r="F1004" s="0" t="s">
        <v>11126</v>
      </c>
    </row>
    <row r="1005" customFormat="false" ht="15" hidden="false" customHeight="false" outlineLevel="0" collapsed="false">
      <c r="A1005" s="0" t="n">
        <v>350</v>
      </c>
      <c r="B1005" s="0" t="s">
        <v>2356</v>
      </c>
      <c r="C1005" s="0" t="s">
        <v>11127</v>
      </c>
      <c r="E1005" s="0" t="s">
        <v>79</v>
      </c>
      <c r="F1005" s="0" t="s">
        <v>11128</v>
      </c>
    </row>
    <row r="1006" customFormat="false" ht="15" hidden="false" customHeight="false" outlineLevel="0" collapsed="false">
      <c r="A1006" s="0" t="n">
        <v>351</v>
      </c>
      <c r="B1006" s="0" t="s">
        <v>2361</v>
      </c>
      <c r="C1006" s="0" t="s">
        <v>2364</v>
      </c>
      <c r="E1006" s="0" t="s">
        <v>59</v>
      </c>
      <c r="F1006" s="0" t="s">
        <v>11129</v>
      </c>
    </row>
    <row r="1007" customFormat="false" ht="15" hidden="false" customHeight="false" outlineLevel="0" collapsed="false">
      <c r="A1007" s="0" t="n">
        <v>351</v>
      </c>
      <c r="B1007" s="0" t="s">
        <v>2361</v>
      </c>
      <c r="C1007" s="0" t="s">
        <v>2365</v>
      </c>
      <c r="E1007" s="0" t="s">
        <v>59</v>
      </c>
      <c r="F1007" s="0" t="s">
        <v>11130</v>
      </c>
    </row>
    <row r="1008" customFormat="false" ht="15" hidden="false" customHeight="false" outlineLevel="0" collapsed="false">
      <c r="A1008" s="0" t="n">
        <v>351</v>
      </c>
      <c r="B1008" s="0" t="s">
        <v>2361</v>
      </c>
      <c r="C1008" s="0" t="s">
        <v>2366</v>
      </c>
      <c r="E1008" s="0" t="s">
        <v>59</v>
      </c>
      <c r="F1008" s="0" t="s">
        <v>11131</v>
      </c>
    </row>
    <row r="1009" customFormat="false" ht="15" hidden="false" customHeight="false" outlineLevel="0" collapsed="false">
      <c r="A1009" s="0" t="n">
        <v>351</v>
      </c>
      <c r="B1009" s="0" t="s">
        <v>2361</v>
      </c>
      <c r="C1009" s="0" t="s">
        <v>11132</v>
      </c>
      <c r="E1009" s="0" t="s">
        <v>59</v>
      </c>
      <c r="F1009" s="0" t="s">
        <v>11133</v>
      </c>
    </row>
    <row r="1010" customFormat="false" ht="15" hidden="false" customHeight="false" outlineLevel="0" collapsed="false">
      <c r="A1010" s="0" t="n">
        <v>351</v>
      </c>
      <c r="B1010" s="0" t="s">
        <v>2361</v>
      </c>
      <c r="C1010" s="0" t="s">
        <v>11134</v>
      </c>
      <c r="E1010" s="0" t="s">
        <v>59</v>
      </c>
      <c r="F1010" s="0" t="s">
        <v>11135</v>
      </c>
    </row>
    <row r="1011" customFormat="false" ht="15" hidden="false" customHeight="false" outlineLevel="0" collapsed="false">
      <c r="A1011" s="0" t="n">
        <v>353</v>
      </c>
      <c r="B1011" s="0" t="s">
        <v>2374</v>
      </c>
      <c r="C1011" s="0" t="s">
        <v>2376</v>
      </c>
      <c r="E1011" s="0" t="s">
        <v>79</v>
      </c>
      <c r="F1011" s="0" t="s">
        <v>11136</v>
      </c>
    </row>
    <row r="1012" customFormat="false" ht="15" hidden="false" customHeight="false" outlineLevel="0" collapsed="false">
      <c r="A1012" s="0" t="n">
        <v>353</v>
      </c>
      <c r="B1012" s="0" t="s">
        <v>2374</v>
      </c>
      <c r="C1012" s="0" t="s">
        <v>2377</v>
      </c>
      <c r="E1012" s="0" t="s">
        <v>79</v>
      </c>
      <c r="F1012" s="0" t="s">
        <v>11137</v>
      </c>
    </row>
    <row r="1013" customFormat="false" ht="15" hidden="false" customHeight="false" outlineLevel="0" collapsed="false">
      <c r="A1013" s="0" t="n">
        <v>353</v>
      </c>
      <c r="B1013" s="0" t="s">
        <v>2374</v>
      </c>
      <c r="C1013" s="0" t="s">
        <v>2378</v>
      </c>
      <c r="E1013" s="0" t="s">
        <v>79</v>
      </c>
      <c r="F1013" s="0" t="s">
        <v>11138</v>
      </c>
    </row>
    <row r="1014" customFormat="false" ht="15" hidden="false" customHeight="false" outlineLevel="0" collapsed="false">
      <c r="A1014" s="0" t="n">
        <v>353</v>
      </c>
      <c r="B1014" s="0" t="s">
        <v>2374</v>
      </c>
      <c r="C1014" s="0" t="s">
        <v>11139</v>
      </c>
      <c r="E1014" s="0" t="s">
        <v>79</v>
      </c>
      <c r="F1014" s="0" t="s">
        <v>11140</v>
      </c>
    </row>
    <row r="1015" customFormat="false" ht="15" hidden="false" customHeight="false" outlineLevel="0" collapsed="false">
      <c r="A1015" s="0" t="n">
        <v>353</v>
      </c>
      <c r="B1015" s="0" t="s">
        <v>2374</v>
      </c>
      <c r="C1015" s="0" t="s">
        <v>11141</v>
      </c>
      <c r="E1015" s="0" t="s">
        <v>79</v>
      </c>
      <c r="F1015" s="0" t="s">
        <v>11142</v>
      </c>
    </row>
    <row r="1016" customFormat="false" ht="15" hidden="false" customHeight="false" outlineLevel="0" collapsed="false">
      <c r="A1016" s="0" t="n">
        <v>355</v>
      </c>
      <c r="B1016" s="0" t="s">
        <v>2385</v>
      </c>
      <c r="C1016" s="0" t="s">
        <v>2387</v>
      </c>
      <c r="E1016" s="0" t="s">
        <v>59</v>
      </c>
      <c r="F1016" s="0" t="s">
        <v>11143</v>
      </c>
    </row>
    <row r="1017" customFormat="false" ht="15" hidden="false" customHeight="false" outlineLevel="0" collapsed="false">
      <c r="A1017" s="0" t="n">
        <v>355</v>
      </c>
      <c r="B1017" s="0" t="s">
        <v>2385</v>
      </c>
      <c r="C1017" s="0" t="s">
        <v>2388</v>
      </c>
      <c r="E1017" s="0" t="s">
        <v>59</v>
      </c>
      <c r="F1017" s="0" t="s">
        <v>11144</v>
      </c>
    </row>
    <row r="1018" customFormat="false" ht="15" hidden="false" customHeight="false" outlineLevel="0" collapsed="false">
      <c r="A1018" s="0" t="n">
        <v>355</v>
      </c>
      <c r="B1018" s="0" t="s">
        <v>2385</v>
      </c>
      <c r="C1018" s="0" t="s">
        <v>2389</v>
      </c>
      <c r="E1018" s="0" t="s">
        <v>59</v>
      </c>
      <c r="F1018" s="0" t="s">
        <v>11145</v>
      </c>
    </row>
    <row r="1019" customFormat="false" ht="15" hidden="false" customHeight="false" outlineLevel="0" collapsed="false">
      <c r="A1019" s="0" t="n">
        <v>355</v>
      </c>
      <c r="B1019" s="0" t="s">
        <v>2385</v>
      </c>
      <c r="C1019" s="0" t="s">
        <v>11146</v>
      </c>
      <c r="E1019" s="0" t="s">
        <v>59</v>
      </c>
      <c r="F1019" s="0" t="s">
        <v>11147</v>
      </c>
    </row>
    <row r="1020" customFormat="false" ht="15" hidden="false" customHeight="false" outlineLevel="0" collapsed="false">
      <c r="A1020" s="0" t="n">
        <v>355</v>
      </c>
      <c r="B1020" s="0" t="s">
        <v>2385</v>
      </c>
      <c r="C1020" s="0" t="s">
        <v>11148</v>
      </c>
      <c r="E1020" s="0" t="s">
        <v>59</v>
      </c>
      <c r="F1020" s="0" t="s">
        <v>11149</v>
      </c>
    </row>
    <row r="1021" customFormat="false" ht="15" hidden="false" customHeight="false" outlineLevel="0" collapsed="false">
      <c r="A1021" s="0" t="n">
        <v>356</v>
      </c>
      <c r="B1021" s="0" t="s">
        <v>2390</v>
      </c>
      <c r="C1021" s="0" t="s">
        <v>2393</v>
      </c>
      <c r="E1021" s="0" t="s">
        <v>79</v>
      </c>
      <c r="F1021" s="0" t="s">
        <v>11150</v>
      </c>
    </row>
    <row r="1022" customFormat="false" ht="15" hidden="false" customHeight="false" outlineLevel="0" collapsed="false">
      <c r="A1022" s="0" t="n">
        <v>356</v>
      </c>
      <c r="B1022" s="0" t="s">
        <v>2390</v>
      </c>
      <c r="C1022" s="0" t="s">
        <v>2394</v>
      </c>
      <c r="E1022" s="0" t="s">
        <v>79</v>
      </c>
      <c r="F1022" s="0" t="s">
        <v>11151</v>
      </c>
    </row>
    <row r="1023" customFormat="false" ht="15" hidden="false" customHeight="false" outlineLevel="0" collapsed="false">
      <c r="A1023" s="0" t="n">
        <v>356</v>
      </c>
      <c r="B1023" s="0" t="s">
        <v>2390</v>
      </c>
      <c r="C1023" s="0" t="s">
        <v>2395</v>
      </c>
      <c r="E1023" s="0" t="s">
        <v>79</v>
      </c>
      <c r="F1023" s="0" t="s">
        <v>11152</v>
      </c>
    </row>
    <row r="1024" customFormat="false" ht="15" hidden="false" customHeight="false" outlineLevel="0" collapsed="false">
      <c r="A1024" s="0" t="n">
        <v>356</v>
      </c>
      <c r="B1024" s="0" t="s">
        <v>2390</v>
      </c>
      <c r="C1024" s="0" t="s">
        <v>11153</v>
      </c>
      <c r="E1024" s="0" t="s">
        <v>79</v>
      </c>
      <c r="F1024" s="0" t="s">
        <v>11154</v>
      </c>
    </row>
    <row r="1025" customFormat="false" ht="15" hidden="false" customHeight="false" outlineLevel="0" collapsed="false">
      <c r="A1025" s="0" t="n">
        <v>356</v>
      </c>
      <c r="B1025" s="0" t="s">
        <v>2390</v>
      </c>
      <c r="C1025" s="0" t="s">
        <v>11155</v>
      </c>
      <c r="E1025" s="0" t="s">
        <v>79</v>
      </c>
      <c r="F1025" s="0" t="s">
        <v>11156</v>
      </c>
    </row>
    <row r="1026" customFormat="false" ht="15" hidden="false" customHeight="false" outlineLevel="0" collapsed="false">
      <c r="A1026" s="0" t="n">
        <v>357</v>
      </c>
      <c r="B1026" s="0" t="s">
        <v>2396</v>
      </c>
      <c r="C1026" s="0" t="s">
        <v>2399</v>
      </c>
      <c r="E1026" s="0" t="s">
        <v>79</v>
      </c>
      <c r="F1026" s="0" t="s">
        <v>11157</v>
      </c>
    </row>
    <row r="1027" customFormat="false" ht="15" hidden="false" customHeight="false" outlineLevel="0" collapsed="false">
      <c r="A1027" s="0" t="n">
        <v>357</v>
      </c>
      <c r="B1027" s="0" t="s">
        <v>2396</v>
      </c>
      <c r="C1027" s="0" t="s">
        <v>2400</v>
      </c>
      <c r="E1027" s="0" t="s">
        <v>79</v>
      </c>
      <c r="F1027" s="0" t="s">
        <v>11158</v>
      </c>
    </row>
    <row r="1028" customFormat="false" ht="15" hidden="false" customHeight="false" outlineLevel="0" collapsed="false">
      <c r="A1028" s="0" t="n">
        <v>357</v>
      </c>
      <c r="B1028" s="0" t="s">
        <v>2396</v>
      </c>
      <c r="C1028" s="0" t="s">
        <v>2401</v>
      </c>
      <c r="E1028" s="0" t="s">
        <v>79</v>
      </c>
      <c r="F1028" s="0" t="s">
        <v>11159</v>
      </c>
    </row>
    <row r="1029" customFormat="false" ht="15" hidden="false" customHeight="false" outlineLevel="0" collapsed="false">
      <c r="A1029" s="0" t="n">
        <v>357</v>
      </c>
      <c r="B1029" s="0" t="s">
        <v>2396</v>
      </c>
      <c r="C1029" s="0" t="s">
        <v>11160</v>
      </c>
      <c r="E1029" s="0" t="s">
        <v>79</v>
      </c>
      <c r="F1029" s="0" t="s">
        <v>11161</v>
      </c>
    </row>
    <row r="1030" customFormat="false" ht="15" hidden="false" customHeight="false" outlineLevel="0" collapsed="false">
      <c r="A1030" s="0" t="n">
        <v>357</v>
      </c>
      <c r="B1030" s="0" t="s">
        <v>2396</v>
      </c>
      <c r="C1030" s="0" t="s">
        <v>11162</v>
      </c>
      <c r="E1030" s="0" t="s">
        <v>79</v>
      </c>
      <c r="F1030" s="0" t="s">
        <v>11163</v>
      </c>
    </row>
    <row r="1031" customFormat="false" ht="15" hidden="false" customHeight="false" outlineLevel="0" collapsed="false">
      <c r="A1031" s="0" t="n">
        <v>358</v>
      </c>
      <c r="B1031" s="0" t="s">
        <v>2402</v>
      </c>
      <c r="C1031" s="0" t="s">
        <v>2406</v>
      </c>
      <c r="E1031" s="0" t="s">
        <v>79</v>
      </c>
      <c r="F1031" s="0" t="s">
        <v>11164</v>
      </c>
    </row>
    <row r="1032" customFormat="false" ht="15" hidden="false" customHeight="false" outlineLevel="0" collapsed="false">
      <c r="A1032" s="0" t="n">
        <v>358</v>
      </c>
      <c r="B1032" s="0" t="s">
        <v>2402</v>
      </c>
      <c r="C1032" s="0" t="s">
        <v>2407</v>
      </c>
      <c r="E1032" s="0" t="s">
        <v>79</v>
      </c>
      <c r="F1032" s="0" t="s">
        <v>11165</v>
      </c>
    </row>
    <row r="1033" customFormat="false" ht="15" hidden="false" customHeight="false" outlineLevel="0" collapsed="false">
      <c r="A1033" s="0" t="n">
        <v>358</v>
      </c>
      <c r="B1033" s="0" t="s">
        <v>2402</v>
      </c>
      <c r="C1033" s="0" t="s">
        <v>2408</v>
      </c>
      <c r="E1033" s="0" t="s">
        <v>79</v>
      </c>
      <c r="F1033" s="0" t="s">
        <v>11166</v>
      </c>
    </row>
    <row r="1034" customFormat="false" ht="15" hidden="false" customHeight="false" outlineLevel="0" collapsed="false">
      <c r="A1034" s="0" t="n">
        <v>358</v>
      </c>
      <c r="B1034" s="0" t="s">
        <v>2402</v>
      </c>
      <c r="C1034" s="0" t="s">
        <v>11167</v>
      </c>
      <c r="E1034" s="0" t="s">
        <v>79</v>
      </c>
      <c r="F1034" s="0" t="s">
        <v>11168</v>
      </c>
    </row>
    <row r="1035" customFormat="false" ht="15" hidden="false" customHeight="false" outlineLevel="0" collapsed="false">
      <c r="A1035" s="0" t="n">
        <v>358</v>
      </c>
      <c r="B1035" s="0" t="s">
        <v>2402</v>
      </c>
      <c r="C1035" s="0" t="s">
        <v>11169</v>
      </c>
      <c r="E1035" s="0" t="s">
        <v>79</v>
      </c>
      <c r="F1035" s="0" t="s">
        <v>11170</v>
      </c>
    </row>
    <row r="1036" customFormat="false" ht="15" hidden="false" customHeight="false" outlineLevel="0" collapsed="false">
      <c r="A1036" s="0" t="n">
        <v>359</v>
      </c>
      <c r="B1036" s="0" t="s">
        <v>2413</v>
      </c>
      <c r="C1036" s="0" t="s">
        <v>2415</v>
      </c>
      <c r="E1036" s="0" t="s">
        <v>79</v>
      </c>
      <c r="F1036" s="0" t="s">
        <v>11171</v>
      </c>
    </row>
    <row r="1037" customFormat="false" ht="15" hidden="false" customHeight="false" outlineLevel="0" collapsed="false">
      <c r="A1037" s="0" t="n">
        <v>359</v>
      </c>
      <c r="B1037" s="0" t="s">
        <v>2413</v>
      </c>
      <c r="C1037" s="0" t="s">
        <v>2416</v>
      </c>
      <c r="E1037" s="0" t="s">
        <v>79</v>
      </c>
      <c r="F1037" s="0" t="s">
        <v>11172</v>
      </c>
    </row>
    <row r="1038" customFormat="false" ht="15" hidden="false" customHeight="false" outlineLevel="0" collapsed="false">
      <c r="A1038" s="0" t="n">
        <v>359</v>
      </c>
      <c r="B1038" s="0" t="s">
        <v>2413</v>
      </c>
      <c r="C1038" s="0" t="s">
        <v>2417</v>
      </c>
      <c r="E1038" s="0" t="s">
        <v>79</v>
      </c>
      <c r="F1038" s="0" t="s">
        <v>11173</v>
      </c>
    </row>
    <row r="1039" customFormat="false" ht="15" hidden="false" customHeight="false" outlineLevel="0" collapsed="false">
      <c r="A1039" s="0" t="n">
        <v>359</v>
      </c>
      <c r="B1039" s="0" t="s">
        <v>2413</v>
      </c>
      <c r="C1039" s="0" t="s">
        <v>11174</v>
      </c>
      <c r="E1039" s="0" t="s">
        <v>79</v>
      </c>
      <c r="F1039" s="0" t="s">
        <v>11175</v>
      </c>
    </row>
    <row r="1040" customFormat="false" ht="15" hidden="false" customHeight="false" outlineLevel="0" collapsed="false">
      <c r="A1040" s="0" t="n">
        <v>359</v>
      </c>
      <c r="B1040" s="0" t="s">
        <v>2413</v>
      </c>
      <c r="C1040" s="0" t="s">
        <v>11176</v>
      </c>
      <c r="E1040" s="0" t="s">
        <v>79</v>
      </c>
      <c r="F1040" s="0" t="s">
        <v>11177</v>
      </c>
    </row>
    <row r="1041" customFormat="false" ht="15" hidden="false" customHeight="false" outlineLevel="0" collapsed="false">
      <c r="A1041" s="0" t="n">
        <v>360</v>
      </c>
      <c r="B1041" s="0" t="s">
        <v>2418</v>
      </c>
      <c r="C1041" s="0" t="s">
        <v>2421</v>
      </c>
      <c r="E1041" s="0" t="s">
        <v>79</v>
      </c>
      <c r="F1041" s="0" t="s">
        <v>11178</v>
      </c>
    </row>
    <row r="1042" customFormat="false" ht="15" hidden="false" customHeight="false" outlineLevel="0" collapsed="false">
      <c r="A1042" s="0" t="n">
        <v>360</v>
      </c>
      <c r="B1042" s="0" t="s">
        <v>2418</v>
      </c>
      <c r="C1042" s="0" t="s">
        <v>2422</v>
      </c>
      <c r="E1042" s="0" t="s">
        <v>79</v>
      </c>
      <c r="F1042" s="0" t="s">
        <v>11179</v>
      </c>
    </row>
    <row r="1043" customFormat="false" ht="15" hidden="false" customHeight="false" outlineLevel="0" collapsed="false">
      <c r="A1043" s="0" t="n">
        <v>360</v>
      </c>
      <c r="B1043" s="0" t="s">
        <v>2418</v>
      </c>
      <c r="C1043" s="0" t="s">
        <v>2423</v>
      </c>
      <c r="E1043" s="0" t="s">
        <v>79</v>
      </c>
      <c r="F1043" s="0" t="s">
        <v>11180</v>
      </c>
    </row>
    <row r="1044" customFormat="false" ht="15" hidden="false" customHeight="false" outlineLevel="0" collapsed="false">
      <c r="A1044" s="0" t="n">
        <v>360</v>
      </c>
      <c r="B1044" s="0" t="s">
        <v>2418</v>
      </c>
      <c r="C1044" s="0" t="s">
        <v>11181</v>
      </c>
      <c r="E1044" s="0" t="s">
        <v>79</v>
      </c>
      <c r="F1044" s="0" t="s">
        <v>11182</v>
      </c>
    </row>
    <row r="1045" customFormat="false" ht="15" hidden="false" customHeight="false" outlineLevel="0" collapsed="false">
      <c r="A1045" s="0" t="n">
        <v>360</v>
      </c>
      <c r="B1045" s="0" t="s">
        <v>2418</v>
      </c>
      <c r="C1045" s="0" t="s">
        <v>11183</v>
      </c>
      <c r="E1045" s="0" t="s">
        <v>79</v>
      </c>
      <c r="F1045" s="0" t="s">
        <v>11184</v>
      </c>
    </row>
    <row r="1046" customFormat="false" ht="15" hidden="false" customHeight="false" outlineLevel="0" collapsed="false">
      <c r="A1046" s="0" t="n">
        <v>361</v>
      </c>
      <c r="B1046" s="0" t="s">
        <v>2424</v>
      </c>
      <c r="C1046" s="0" t="s">
        <v>2426</v>
      </c>
      <c r="E1046" s="0" t="s">
        <v>79</v>
      </c>
      <c r="F1046" s="0" t="s">
        <v>11185</v>
      </c>
    </row>
    <row r="1047" customFormat="false" ht="15" hidden="false" customHeight="false" outlineLevel="0" collapsed="false">
      <c r="A1047" s="0" t="n">
        <v>361</v>
      </c>
      <c r="B1047" s="0" t="s">
        <v>2424</v>
      </c>
      <c r="C1047" s="0" t="s">
        <v>2427</v>
      </c>
      <c r="E1047" s="0" t="s">
        <v>79</v>
      </c>
      <c r="F1047" s="0" t="s">
        <v>11186</v>
      </c>
    </row>
    <row r="1048" customFormat="false" ht="15" hidden="false" customHeight="false" outlineLevel="0" collapsed="false">
      <c r="A1048" s="0" t="n">
        <v>361</v>
      </c>
      <c r="B1048" s="0" t="s">
        <v>2424</v>
      </c>
      <c r="C1048" s="0" t="s">
        <v>2428</v>
      </c>
      <c r="E1048" s="0" t="s">
        <v>79</v>
      </c>
      <c r="F1048" s="0" t="s">
        <v>11187</v>
      </c>
    </row>
    <row r="1049" customFormat="false" ht="15" hidden="false" customHeight="false" outlineLevel="0" collapsed="false">
      <c r="A1049" s="0" t="n">
        <v>361</v>
      </c>
      <c r="B1049" s="0" t="s">
        <v>2424</v>
      </c>
      <c r="C1049" s="0" t="s">
        <v>11188</v>
      </c>
      <c r="E1049" s="0" t="s">
        <v>79</v>
      </c>
      <c r="F1049" s="0" t="s">
        <v>11189</v>
      </c>
    </row>
    <row r="1050" customFormat="false" ht="15" hidden="false" customHeight="false" outlineLevel="0" collapsed="false">
      <c r="A1050" s="0" t="n">
        <v>361</v>
      </c>
      <c r="B1050" s="0" t="s">
        <v>2424</v>
      </c>
      <c r="C1050" s="0" t="s">
        <v>11190</v>
      </c>
      <c r="E1050" s="0" t="s">
        <v>79</v>
      </c>
      <c r="F1050" s="0" t="s">
        <v>11191</v>
      </c>
    </row>
    <row r="1051" customFormat="false" ht="15" hidden="false" customHeight="false" outlineLevel="0" collapsed="false">
      <c r="A1051" s="0" t="n">
        <v>362</v>
      </c>
      <c r="B1051" s="0" t="s">
        <v>2429</v>
      </c>
      <c r="C1051" s="0" t="s">
        <v>2437</v>
      </c>
      <c r="D1051" s="0" t="s">
        <v>11192</v>
      </c>
      <c r="E1051" s="0" t="s">
        <v>115</v>
      </c>
    </row>
    <row r="1052" customFormat="false" ht="15" hidden="false" customHeight="false" outlineLevel="0" collapsed="false">
      <c r="A1052" s="0" t="n">
        <v>362</v>
      </c>
      <c r="B1052" s="0" t="s">
        <v>2429</v>
      </c>
      <c r="C1052" s="0" t="s">
        <v>2438</v>
      </c>
      <c r="D1052" s="0" t="s">
        <v>11193</v>
      </c>
      <c r="E1052" s="0" t="s">
        <v>115</v>
      </c>
    </row>
    <row r="1053" customFormat="false" ht="15" hidden="false" customHeight="false" outlineLevel="0" collapsed="false">
      <c r="A1053" s="0" t="n">
        <v>362</v>
      </c>
      <c r="B1053" s="0" t="s">
        <v>2429</v>
      </c>
      <c r="C1053" s="0" t="s">
        <v>2439</v>
      </c>
      <c r="D1053" s="0" t="s">
        <v>11194</v>
      </c>
      <c r="E1053" s="0" t="s">
        <v>115</v>
      </c>
    </row>
    <row r="1054" customFormat="false" ht="15" hidden="false" customHeight="false" outlineLevel="0" collapsed="false">
      <c r="A1054" s="0" t="n">
        <v>363</v>
      </c>
      <c r="B1054" s="0" t="s">
        <v>2448</v>
      </c>
      <c r="C1054" s="0" t="s">
        <v>2450</v>
      </c>
      <c r="E1054" s="0" t="s">
        <v>79</v>
      </c>
      <c r="F1054" s="0" t="s">
        <v>11195</v>
      </c>
    </row>
    <row r="1055" customFormat="false" ht="15" hidden="false" customHeight="false" outlineLevel="0" collapsed="false">
      <c r="A1055" s="0" t="n">
        <v>363</v>
      </c>
      <c r="B1055" s="0" t="s">
        <v>2448</v>
      </c>
      <c r="C1055" s="0" t="s">
        <v>2451</v>
      </c>
      <c r="E1055" s="0" t="s">
        <v>79</v>
      </c>
      <c r="F1055" s="0" t="s">
        <v>11196</v>
      </c>
    </row>
    <row r="1056" customFormat="false" ht="15" hidden="false" customHeight="false" outlineLevel="0" collapsed="false">
      <c r="A1056" s="0" t="n">
        <v>363</v>
      </c>
      <c r="B1056" s="0" t="s">
        <v>2448</v>
      </c>
      <c r="C1056" s="0" t="s">
        <v>2452</v>
      </c>
      <c r="E1056" s="0" t="s">
        <v>79</v>
      </c>
      <c r="F1056" s="0" t="s">
        <v>11197</v>
      </c>
    </row>
    <row r="1057" customFormat="false" ht="15" hidden="false" customHeight="false" outlineLevel="0" collapsed="false">
      <c r="A1057" s="0" t="n">
        <v>363</v>
      </c>
      <c r="B1057" s="0" t="s">
        <v>2448</v>
      </c>
      <c r="C1057" s="0" t="s">
        <v>11198</v>
      </c>
      <c r="E1057" s="0" t="s">
        <v>79</v>
      </c>
      <c r="F1057" s="0" t="s">
        <v>11199</v>
      </c>
    </row>
    <row r="1058" customFormat="false" ht="15" hidden="false" customHeight="false" outlineLevel="0" collapsed="false">
      <c r="A1058" s="0" t="n">
        <v>363</v>
      </c>
      <c r="B1058" s="0" t="s">
        <v>2448</v>
      </c>
      <c r="C1058" s="0" t="s">
        <v>11200</v>
      </c>
      <c r="E1058" s="0" t="s">
        <v>79</v>
      </c>
      <c r="F1058" s="0" t="s">
        <v>11201</v>
      </c>
    </row>
    <row r="1059" customFormat="false" ht="15" hidden="false" customHeight="false" outlineLevel="0" collapsed="false">
      <c r="A1059" s="0" t="n">
        <v>364</v>
      </c>
      <c r="B1059" s="0" t="s">
        <v>2453</v>
      </c>
      <c r="C1059" s="0" t="s">
        <v>2455</v>
      </c>
      <c r="E1059" s="0" t="s">
        <v>59</v>
      </c>
      <c r="F1059" s="0" t="s">
        <v>11202</v>
      </c>
    </row>
    <row r="1060" customFormat="false" ht="15" hidden="false" customHeight="false" outlineLevel="0" collapsed="false">
      <c r="A1060" s="0" t="n">
        <v>364</v>
      </c>
      <c r="B1060" s="0" t="s">
        <v>2453</v>
      </c>
      <c r="C1060" s="0" t="s">
        <v>2456</v>
      </c>
      <c r="E1060" s="0" t="s">
        <v>59</v>
      </c>
      <c r="F1060" s="0" t="s">
        <v>11203</v>
      </c>
    </row>
    <row r="1061" customFormat="false" ht="15" hidden="false" customHeight="false" outlineLevel="0" collapsed="false">
      <c r="A1061" s="0" t="n">
        <v>364</v>
      </c>
      <c r="B1061" s="0" t="s">
        <v>2453</v>
      </c>
      <c r="C1061" s="0" t="s">
        <v>2457</v>
      </c>
      <c r="E1061" s="0" t="s">
        <v>59</v>
      </c>
      <c r="F1061" s="0" t="s">
        <v>11204</v>
      </c>
    </row>
    <row r="1062" customFormat="false" ht="15" hidden="false" customHeight="false" outlineLevel="0" collapsed="false">
      <c r="A1062" s="0" t="n">
        <v>364</v>
      </c>
      <c r="B1062" s="0" t="s">
        <v>2453</v>
      </c>
      <c r="C1062" s="0" t="s">
        <v>11205</v>
      </c>
      <c r="E1062" s="0" t="s">
        <v>59</v>
      </c>
      <c r="F1062" s="0" t="s">
        <v>11206</v>
      </c>
    </row>
    <row r="1063" customFormat="false" ht="15" hidden="false" customHeight="false" outlineLevel="0" collapsed="false">
      <c r="A1063" s="0" t="n">
        <v>364</v>
      </c>
      <c r="B1063" s="0" t="s">
        <v>2453</v>
      </c>
      <c r="C1063" s="0" t="s">
        <v>11207</v>
      </c>
      <c r="E1063" s="0" t="s">
        <v>59</v>
      </c>
      <c r="F1063" s="0" t="s">
        <v>11208</v>
      </c>
    </row>
    <row r="1064" customFormat="false" ht="15" hidden="false" customHeight="false" outlineLevel="0" collapsed="false">
      <c r="A1064" s="0" t="n">
        <v>368</v>
      </c>
      <c r="B1064" s="0" t="s">
        <v>2470</v>
      </c>
      <c r="C1064" s="0" t="s">
        <v>2472</v>
      </c>
      <c r="E1064" s="0" t="s">
        <v>79</v>
      </c>
      <c r="F1064" s="0" t="s">
        <v>11209</v>
      </c>
    </row>
    <row r="1065" customFormat="false" ht="15" hidden="false" customHeight="false" outlineLevel="0" collapsed="false">
      <c r="A1065" s="0" t="n">
        <v>368</v>
      </c>
      <c r="B1065" s="0" t="s">
        <v>2470</v>
      </c>
      <c r="C1065" s="0" t="s">
        <v>2473</v>
      </c>
      <c r="E1065" s="0" t="s">
        <v>79</v>
      </c>
      <c r="F1065" s="0" t="s">
        <v>11210</v>
      </c>
    </row>
    <row r="1066" customFormat="false" ht="15" hidden="false" customHeight="false" outlineLevel="0" collapsed="false">
      <c r="A1066" s="0" t="n">
        <v>368</v>
      </c>
      <c r="B1066" s="0" t="s">
        <v>2470</v>
      </c>
      <c r="C1066" s="0" t="s">
        <v>2474</v>
      </c>
      <c r="E1066" s="0" t="s">
        <v>79</v>
      </c>
      <c r="F1066" s="0" t="s">
        <v>11211</v>
      </c>
    </row>
    <row r="1067" customFormat="false" ht="15" hidden="false" customHeight="false" outlineLevel="0" collapsed="false">
      <c r="A1067" s="0" t="n">
        <v>368</v>
      </c>
      <c r="B1067" s="0" t="s">
        <v>2470</v>
      </c>
      <c r="C1067" s="0" t="s">
        <v>11212</v>
      </c>
      <c r="E1067" s="0" t="s">
        <v>79</v>
      </c>
      <c r="F1067" s="0" t="s">
        <v>11213</v>
      </c>
    </row>
    <row r="1068" customFormat="false" ht="15" hidden="false" customHeight="false" outlineLevel="0" collapsed="false">
      <c r="A1068" s="0" t="n">
        <v>369</v>
      </c>
      <c r="B1068" s="0" t="s">
        <v>2475</v>
      </c>
      <c r="C1068" s="0" t="s">
        <v>2477</v>
      </c>
      <c r="E1068" s="0" t="s">
        <v>79</v>
      </c>
      <c r="F1068" s="0" t="s">
        <v>11214</v>
      </c>
    </row>
    <row r="1069" customFormat="false" ht="15" hidden="false" customHeight="false" outlineLevel="0" collapsed="false">
      <c r="A1069" s="0" t="n">
        <v>369</v>
      </c>
      <c r="B1069" s="0" t="s">
        <v>2475</v>
      </c>
      <c r="C1069" s="0" t="s">
        <v>2478</v>
      </c>
      <c r="E1069" s="0" t="s">
        <v>79</v>
      </c>
      <c r="F1069" s="0" t="s">
        <v>11215</v>
      </c>
    </row>
    <row r="1070" customFormat="false" ht="15" hidden="false" customHeight="false" outlineLevel="0" collapsed="false">
      <c r="A1070" s="0" t="n">
        <v>369</v>
      </c>
      <c r="B1070" s="0" t="s">
        <v>2475</v>
      </c>
      <c r="C1070" s="0" t="s">
        <v>2479</v>
      </c>
      <c r="E1070" s="0" t="s">
        <v>79</v>
      </c>
      <c r="F1070" s="0" t="s">
        <v>11216</v>
      </c>
    </row>
    <row r="1071" customFormat="false" ht="15" hidden="false" customHeight="false" outlineLevel="0" collapsed="false">
      <c r="A1071" s="0" t="n">
        <v>369</v>
      </c>
      <c r="B1071" s="0" t="s">
        <v>2475</v>
      </c>
      <c r="C1071" s="0" t="s">
        <v>11217</v>
      </c>
      <c r="E1071" s="0" t="s">
        <v>79</v>
      </c>
      <c r="F1071" s="0" t="s">
        <v>11218</v>
      </c>
    </row>
    <row r="1072" customFormat="false" ht="15" hidden="false" customHeight="false" outlineLevel="0" collapsed="false">
      <c r="A1072" s="0" t="n">
        <v>369</v>
      </c>
      <c r="B1072" s="0" t="s">
        <v>2475</v>
      </c>
      <c r="C1072" s="0" t="s">
        <v>11219</v>
      </c>
      <c r="E1072" s="0" t="s">
        <v>79</v>
      </c>
      <c r="F1072" s="0" t="s">
        <v>11220</v>
      </c>
    </row>
    <row r="1073" customFormat="false" ht="15" hidden="false" customHeight="false" outlineLevel="0" collapsed="false">
      <c r="A1073" s="0" t="n">
        <v>370</v>
      </c>
      <c r="B1073" s="0" t="s">
        <v>2480</v>
      </c>
      <c r="C1073" s="0" t="s">
        <v>2482</v>
      </c>
      <c r="E1073" s="0" t="s">
        <v>79</v>
      </c>
      <c r="F1073" s="0" t="s">
        <v>11221</v>
      </c>
    </row>
    <row r="1074" customFormat="false" ht="15" hidden="false" customHeight="false" outlineLevel="0" collapsed="false">
      <c r="A1074" s="0" t="n">
        <v>370</v>
      </c>
      <c r="B1074" s="0" t="s">
        <v>2480</v>
      </c>
      <c r="C1074" s="0" t="s">
        <v>2483</v>
      </c>
      <c r="E1074" s="0" t="s">
        <v>79</v>
      </c>
      <c r="F1074" s="0" t="s">
        <v>11222</v>
      </c>
    </row>
    <row r="1075" customFormat="false" ht="15" hidden="false" customHeight="false" outlineLevel="0" collapsed="false">
      <c r="A1075" s="0" t="n">
        <v>370</v>
      </c>
      <c r="B1075" s="0" t="s">
        <v>2480</v>
      </c>
      <c r="C1075" s="0" t="s">
        <v>2484</v>
      </c>
      <c r="E1075" s="0" t="s">
        <v>79</v>
      </c>
      <c r="F1075" s="0" t="s">
        <v>11223</v>
      </c>
    </row>
    <row r="1076" customFormat="false" ht="15" hidden="false" customHeight="false" outlineLevel="0" collapsed="false">
      <c r="A1076" s="0" t="n">
        <v>370</v>
      </c>
      <c r="B1076" s="0" t="s">
        <v>2480</v>
      </c>
      <c r="C1076" s="0" t="s">
        <v>11224</v>
      </c>
      <c r="E1076" s="0" t="s">
        <v>79</v>
      </c>
      <c r="F1076" s="0" t="s">
        <v>11225</v>
      </c>
    </row>
    <row r="1077" customFormat="false" ht="15" hidden="false" customHeight="false" outlineLevel="0" collapsed="false">
      <c r="A1077" s="0" t="n">
        <v>370</v>
      </c>
      <c r="B1077" s="0" t="s">
        <v>2480</v>
      </c>
      <c r="C1077" s="0" t="s">
        <v>11226</v>
      </c>
      <c r="E1077" s="0" t="s">
        <v>79</v>
      </c>
      <c r="F1077" s="0" t="s">
        <v>11227</v>
      </c>
    </row>
    <row r="1078" customFormat="false" ht="15" hidden="false" customHeight="false" outlineLevel="0" collapsed="false">
      <c r="A1078" s="0" t="n">
        <v>371</v>
      </c>
      <c r="B1078" s="0" t="s">
        <v>2485</v>
      </c>
      <c r="C1078" s="0" t="s">
        <v>2488</v>
      </c>
      <c r="E1078" s="0" t="s">
        <v>79</v>
      </c>
      <c r="F1078" s="0" t="s">
        <v>11228</v>
      </c>
    </row>
    <row r="1079" customFormat="false" ht="15" hidden="false" customHeight="false" outlineLevel="0" collapsed="false">
      <c r="A1079" s="0" t="n">
        <v>371</v>
      </c>
      <c r="B1079" s="0" t="s">
        <v>2485</v>
      </c>
      <c r="C1079" s="0" t="s">
        <v>2489</v>
      </c>
      <c r="E1079" s="0" t="s">
        <v>79</v>
      </c>
      <c r="F1079" s="0" t="s">
        <v>11229</v>
      </c>
    </row>
    <row r="1080" customFormat="false" ht="15" hidden="false" customHeight="false" outlineLevel="0" collapsed="false">
      <c r="A1080" s="0" t="n">
        <v>371</v>
      </c>
      <c r="B1080" s="0" t="s">
        <v>2485</v>
      </c>
      <c r="C1080" s="0" t="s">
        <v>2490</v>
      </c>
      <c r="E1080" s="0" t="s">
        <v>79</v>
      </c>
      <c r="F1080" s="0" t="s">
        <v>11230</v>
      </c>
    </row>
    <row r="1081" customFormat="false" ht="15" hidden="false" customHeight="false" outlineLevel="0" collapsed="false">
      <c r="A1081" s="0" t="n">
        <v>371</v>
      </c>
      <c r="B1081" s="0" t="s">
        <v>2485</v>
      </c>
      <c r="C1081" s="0" t="s">
        <v>11231</v>
      </c>
      <c r="E1081" s="0" t="s">
        <v>79</v>
      </c>
      <c r="F1081" s="0" t="s">
        <v>11232</v>
      </c>
    </row>
    <row r="1082" customFormat="false" ht="15" hidden="false" customHeight="false" outlineLevel="0" collapsed="false">
      <c r="A1082" s="0" t="n">
        <v>371</v>
      </c>
      <c r="B1082" s="0" t="s">
        <v>2485</v>
      </c>
      <c r="C1082" s="0" t="s">
        <v>11233</v>
      </c>
      <c r="E1082" s="0" t="s">
        <v>79</v>
      </c>
      <c r="F1082" s="0" t="s">
        <v>11234</v>
      </c>
    </row>
    <row r="1083" customFormat="false" ht="15" hidden="false" customHeight="false" outlineLevel="0" collapsed="false">
      <c r="A1083" s="0" t="n">
        <v>372</v>
      </c>
      <c r="B1083" s="0" t="s">
        <v>2495</v>
      </c>
      <c r="C1083" s="0" t="s">
        <v>2497</v>
      </c>
      <c r="E1083" s="0" t="s">
        <v>79</v>
      </c>
      <c r="F1083" s="0" t="s">
        <v>11235</v>
      </c>
    </row>
    <row r="1084" customFormat="false" ht="15" hidden="false" customHeight="false" outlineLevel="0" collapsed="false">
      <c r="A1084" s="0" t="n">
        <v>372</v>
      </c>
      <c r="B1084" s="0" t="s">
        <v>2495</v>
      </c>
      <c r="C1084" s="0" t="s">
        <v>2498</v>
      </c>
      <c r="E1084" s="0" t="s">
        <v>79</v>
      </c>
      <c r="F1084" s="0" t="s">
        <v>11236</v>
      </c>
    </row>
    <row r="1085" customFormat="false" ht="15" hidden="false" customHeight="false" outlineLevel="0" collapsed="false">
      <c r="A1085" s="0" t="n">
        <v>372</v>
      </c>
      <c r="B1085" s="0" t="s">
        <v>2495</v>
      </c>
      <c r="C1085" s="0" t="s">
        <v>2499</v>
      </c>
      <c r="E1085" s="0" t="s">
        <v>79</v>
      </c>
      <c r="F1085" s="0" t="s">
        <v>11237</v>
      </c>
    </row>
    <row r="1086" customFormat="false" ht="15" hidden="false" customHeight="false" outlineLevel="0" collapsed="false">
      <c r="A1086" s="0" t="n">
        <v>372</v>
      </c>
      <c r="B1086" s="0" t="s">
        <v>2495</v>
      </c>
      <c r="C1086" s="0" t="s">
        <v>11238</v>
      </c>
      <c r="E1086" s="0" t="s">
        <v>79</v>
      </c>
      <c r="F1086" s="0" t="s">
        <v>11239</v>
      </c>
    </row>
    <row r="1087" customFormat="false" ht="15" hidden="false" customHeight="false" outlineLevel="0" collapsed="false">
      <c r="A1087" s="0" t="n">
        <v>372</v>
      </c>
      <c r="B1087" s="0" t="s">
        <v>2495</v>
      </c>
      <c r="C1087" s="0" t="s">
        <v>11240</v>
      </c>
      <c r="E1087" s="0" t="s">
        <v>79</v>
      </c>
      <c r="F1087" s="0" t="s">
        <v>11241</v>
      </c>
    </row>
    <row r="1088" customFormat="false" ht="15" hidden="false" customHeight="false" outlineLevel="0" collapsed="false">
      <c r="A1088" s="0" t="n">
        <v>373</v>
      </c>
      <c r="B1088" s="0" t="s">
        <v>2500</v>
      </c>
      <c r="C1088" s="0" t="s">
        <v>2502</v>
      </c>
      <c r="E1088" s="0" t="s">
        <v>59</v>
      </c>
      <c r="F1088" s="0" t="s">
        <v>11242</v>
      </c>
    </row>
    <row r="1089" customFormat="false" ht="15" hidden="false" customHeight="false" outlineLevel="0" collapsed="false">
      <c r="A1089" s="0" t="n">
        <v>373</v>
      </c>
      <c r="B1089" s="0" t="s">
        <v>2500</v>
      </c>
      <c r="C1089" s="0" t="s">
        <v>2503</v>
      </c>
      <c r="E1089" s="0" t="s">
        <v>59</v>
      </c>
      <c r="F1089" s="0" t="s">
        <v>11243</v>
      </c>
    </row>
    <row r="1090" customFormat="false" ht="15" hidden="false" customHeight="false" outlineLevel="0" collapsed="false">
      <c r="A1090" s="0" t="n">
        <v>373</v>
      </c>
      <c r="B1090" s="0" t="s">
        <v>2500</v>
      </c>
      <c r="C1090" s="0" t="s">
        <v>2504</v>
      </c>
      <c r="E1090" s="0" t="s">
        <v>59</v>
      </c>
      <c r="F1090" s="0" t="s">
        <v>11244</v>
      </c>
    </row>
    <row r="1091" customFormat="false" ht="15" hidden="false" customHeight="false" outlineLevel="0" collapsed="false">
      <c r="A1091" s="0" t="n">
        <v>373</v>
      </c>
      <c r="B1091" s="0" t="s">
        <v>2500</v>
      </c>
      <c r="C1091" s="0" t="s">
        <v>11245</v>
      </c>
      <c r="E1091" s="0" t="s">
        <v>59</v>
      </c>
      <c r="F1091" s="0" t="s">
        <v>11246</v>
      </c>
    </row>
    <row r="1092" customFormat="false" ht="15" hidden="false" customHeight="false" outlineLevel="0" collapsed="false">
      <c r="A1092" s="0" t="n">
        <v>373</v>
      </c>
      <c r="B1092" s="0" t="s">
        <v>2500</v>
      </c>
      <c r="C1092" s="0" t="s">
        <v>11247</v>
      </c>
      <c r="E1092" s="0" t="s">
        <v>59</v>
      </c>
      <c r="F1092" s="0" t="s">
        <v>11248</v>
      </c>
    </row>
    <row r="1093" customFormat="false" ht="15" hidden="false" customHeight="false" outlineLevel="0" collapsed="false">
      <c r="A1093" s="0" t="n">
        <v>374</v>
      </c>
      <c r="B1093" s="0" t="s">
        <v>2505</v>
      </c>
      <c r="C1093" s="0" t="s">
        <v>2508</v>
      </c>
      <c r="E1093" s="0" t="s">
        <v>59</v>
      </c>
      <c r="F1093" s="0" t="s">
        <v>11249</v>
      </c>
    </row>
    <row r="1094" customFormat="false" ht="15" hidden="false" customHeight="false" outlineLevel="0" collapsed="false">
      <c r="A1094" s="0" t="n">
        <v>374</v>
      </c>
      <c r="B1094" s="0" t="s">
        <v>2505</v>
      </c>
      <c r="C1094" s="0" t="s">
        <v>2509</v>
      </c>
      <c r="E1094" s="0" t="s">
        <v>59</v>
      </c>
      <c r="F1094" s="0" t="s">
        <v>11250</v>
      </c>
    </row>
    <row r="1095" customFormat="false" ht="15" hidden="false" customHeight="false" outlineLevel="0" collapsed="false">
      <c r="A1095" s="0" t="n">
        <v>374</v>
      </c>
      <c r="B1095" s="0" t="s">
        <v>2505</v>
      </c>
      <c r="C1095" s="0" t="s">
        <v>2510</v>
      </c>
      <c r="E1095" s="0" t="s">
        <v>59</v>
      </c>
      <c r="F1095" s="0" t="s">
        <v>11251</v>
      </c>
    </row>
    <row r="1096" customFormat="false" ht="15" hidden="false" customHeight="false" outlineLevel="0" collapsed="false">
      <c r="A1096" s="0" t="n">
        <v>374</v>
      </c>
      <c r="B1096" s="0" t="s">
        <v>2505</v>
      </c>
      <c r="C1096" s="0" t="s">
        <v>11252</v>
      </c>
      <c r="E1096" s="0" t="s">
        <v>59</v>
      </c>
      <c r="F1096" s="0" t="s">
        <v>11253</v>
      </c>
    </row>
    <row r="1097" customFormat="false" ht="15" hidden="false" customHeight="false" outlineLevel="0" collapsed="false">
      <c r="A1097" s="0" t="n">
        <v>374</v>
      </c>
      <c r="B1097" s="0" t="s">
        <v>2505</v>
      </c>
      <c r="C1097" s="0" t="s">
        <v>11254</v>
      </c>
      <c r="E1097" s="0" t="s">
        <v>59</v>
      </c>
      <c r="F1097" s="0" t="s">
        <v>11255</v>
      </c>
    </row>
    <row r="1098" customFormat="false" ht="15" hidden="false" customHeight="false" outlineLevel="0" collapsed="false">
      <c r="A1098" s="0" t="n">
        <v>377</v>
      </c>
      <c r="B1098" s="0" t="s">
        <v>2520</v>
      </c>
      <c r="C1098" s="0" t="s">
        <v>2523</v>
      </c>
      <c r="E1098" s="0" t="s">
        <v>79</v>
      </c>
      <c r="F1098" s="0" t="s">
        <v>11256</v>
      </c>
    </row>
    <row r="1099" customFormat="false" ht="15" hidden="false" customHeight="false" outlineLevel="0" collapsed="false">
      <c r="A1099" s="0" t="n">
        <v>377</v>
      </c>
      <c r="B1099" s="0" t="s">
        <v>2520</v>
      </c>
      <c r="C1099" s="0" t="s">
        <v>849</v>
      </c>
      <c r="E1099" s="0" t="s">
        <v>79</v>
      </c>
      <c r="F1099" s="0" t="s">
        <v>11257</v>
      </c>
    </row>
    <row r="1100" customFormat="false" ht="15" hidden="false" customHeight="false" outlineLevel="0" collapsed="false">
      <c r="A1100" s="0" t="n">
        <v>377</v>
      </c>
      <c r="B1100" s="0" t="s">
        <v>2520</v>
      </c>
      <c r="C1100" s="0" t="s">
        <v>2524</v>
      </c>
      <c r="E1100" s="0" t="s">
        <v>79</v>
      </c>
      <c r="F1100" s="0" t="s">
        <v>11258</v>
      </c>
    </row>
    <row r="1101" customFormat="false" ht="15" hidden="false" customHeight="false" outlineLevel="0" collapsed="false">
      <c r="A1101" s="0" t="n">
        <v>377</v>
      </c>
      <c r="B1101" s="0" t="s">
        <v>2520</v>
      </c>
      <c r="C1101" s="0" t="s">
        <v>11259</v>
      </c>
      <c r="E1101" s="0" t="s">
        <v>79</v>
      </c>
      <c r="F1101" s="0" t="s">
        <v>11260</v>
      </c>
    </row>
    <row r="1102" customFormat="false" ht="15" hidden="false" customHeight="false" outlineLevel="0" collapsed="false">
      <c r="A1102" s="0" t="n">
        <v>377</v>
      </c>
      <c r="B1102" s="0" t="s">
        <v>2520</v>
      </c>
      <c r="C1102" s="0" t="s">
        <v>11261</v>
      </c>
      <c r="E1102" s="0" t="s">
        <v>79</v>
      </c>
      <c r="F1102" s="0" t="s">
        <v>11262</v>
      </c>
    </row>
    <row r="1103" customFormat="false" ht="15" hidden="false" customHeight="false" outlineLevel="0" collapsed="false">
      <c r="A1103" s="0" t="n">
        <v>378</v>
      </c>
      <c r="B1103" s="0" t="s">
        <v>2528</v>
      </c>
      <c r="C1103" s="0" t="s">
        <v>2531</v>
      </c>
      <c r="E1103" s="0" t="s">
        <v>79</v>
      </c>
      <c r="F1103" s="0" t="s">
        <v>11263</v>
      </c>
    </row>
    <row r="1104" customFormat="false" ht="15" hidden="false" customHeight="false" outlineLevel="0" collapsed="false">
      <c r="A1104" s="0" t="n">
        <v>378</v>
      </c>
      <c r="B1104" s="0" t="s">
        <v>2528</v>
      </c>
      <c r="C1104" s="0" t="s">
        <v>2532</v>
      </c>
      <c r="E1104" s="0" t="s">
        <v>79</v>
      </c>
      <c r="F1104" s="0" t="s">
        <v>11264</v>
      </c>
    </row>
    <row r="1105" customFormat="false" ht="15" hidden="false" customHeight="false" outlineLevel="0" collapsed="false">
      <c r="A1105" s="0" t="n">
        <v>378</v>
      </c>
      <c r="B1105" s="0" t="s">
        <v>2528</v>
      </c>
      <c r="C1105" s="0" t="s">
        <v>2533</v>
      </c>
      <c r="E1105" s="0" t="s">
        <v>79</v>
      </c>
      <c r="F1105" s="0" t="s">
        <v>11265</v>
      </c>
    </row>
    <row r="1106" customFormat="false" ht="15" hidden="false" customHeight="false" outlineLevel="0" collapsed="false">
      <c r="A1106" s="0" t="n">
        <v>379</v>
      </c>
      <c r="B1106" s="0" t="s">
        <v>2539</v>
      </c>
      <c r="C1106" s="0" t="s">
        <v>2542</v>
      </c>
      <c r="E1106" s="0" t="s">
        <v>79</v>
      </c>
      <c r="F1106" s="0" t="s">
        <v>11266</v>
      </c>
    </row>
    <row r="1107" customFormat="false" ht="15" hidden="false" customHeight="false" outlineLevel="0" collapsed="false">
      <c r="A1107" s="0" t="n">
        <v>379</v>
      </c>
      <c r="B1107" s="0" t="s">
        <v>2539</v>
      </c>
      <c r="C1107" s="0" t="s">
        <v>2543</v>
      </c>
      <c r="E1107" s="0" t="s">
        <v>79</v>
      </c>
      <c r="F1107" s="0" t="s">
        <v>11267</v>
      </c>
    </row>
    <row r="1108" customFormat="false" ht="15" hidden="false" customHeight="false" outlineLevel="0" collapsed="false">
      <c r="A1108" s="0" t="n">
        <v>379</v>
      </c>
      <c r="B1108" s="0" t="s">
        <v>2539</v>
      </c>
      <c r="C1108" s="0" t="s">
        <v>2544</v>
      </c>
      <c r="E1108" s="0" t="s">
        <v>79</v>
      </c>
      <c r="F1108" s="0" t="s">
        <v>11268</v>
      </c>
    </row>
    <row r="1109" customFormat="false" ht="15" hidden="false" customHeight="false" outlineLevel="0" collapsed="false">
      <c r="A1109" s="0" t="n">
        <v>379</v>
      </c>
      <c r="B1109" s="0" t="s">
        <v>2539</v>
      </c>
      <c r="C1109" s="0" t="s">
        <v>11269</v>
      </c>
      <c r="E1109" s="0" t="s">
        <v>79</v>
      </c>
      <c r="F1109" s="0" t="s">
        <v>11270</v>
      </c>
    </row>
    <row r="1110" customFormat="false" ht="15" hidden="false" customHeight="false" outlineLevel="0" collapsed="false">
      <c r="A1110" s="0" t="n">
        <v>380</v>
      </c>
      <c r="B1110" s="0" t="s">
        <v>2545</v>
      </c>
      <c r="C1110" s="0" t="s">
        <v>2548</v>
      </c>
      <c r="E1110" s="0" t="s">
        <v>79</v>
      </c>
      <c r="F1110" s="0" t="s">
        <v>11271</v>
      </c>
    </row>
    <row r="1111" customFormat="false" ht="15" hidden="false" customHeight="false" outlineLevel="0" collapsed="false">
      <c r="A1111" s="0" t="n">
        <v>380</v>
      </c>
      <c r="B1111" s="0" t="s">
        <v>2545</v>
      </c>
      <c r="C1111" s="0" t="s">
        <v>2549</v>
      </c>
      <c r="E1111" s="0" t="s">
        <v>79</v>
      </c>
      <c r="F1111" s="0" t="s">
        <v>11272</v>
      </c>
    </row>
    <row r="1112" customFormat="false" ht="15" hidden="false" customHeight="false" outlineLevel="0" collapsed="false">
      <c r="A1112" s="0" t="n">
        <v>380</v>
      </c>
      <c r="B1112" s="0" t="s">
        <v>2545</v>
      </c>
      <c r="C1112" s="0" t="s">
        <v>2550</v>
      </c>
      <c r="E1112" s="0" t="s">
        <v>79</v>
      </c>
      <c r="F1112" s="0" t="s">
        <v>11273</v>
      </c>
    </row>
    <row r="1113" customFormat="false" ht="15" hidden="false" customHeight="false" outlineLevel="0" collapsed="false">
      <c r="A1113" s="0" t="n">
        <v>380</v>
      </c>
      <c r="B1113" s="0" t="s">
        <v>2545</v>
      </c>
      <c r="C1113" s="0" t="s">
        <v>11274</v>
      </c>
      <c r="E1113" s="0" t="s">
        <v>79</v>
      </c>
      <c r="F1113" s="0" t="s">
        <v>11275</v>
      </c>
    </row>
    <row r="1114" customFormat="false" ht="15" hidden="false" customHeight="false" outlineLevel="0" collapsed="false">
      <c r="A1114" s="0" t="n">
        <v>380</v>
      </c>
      <c r="B1114" s="0" t="s">
        <v>2545</v>
      </c>
      <c r="C1114" s="0" t="s">
        <v>11276</v>
      </c>
      <c r="E1114" s="0" t="s">
        <v>79</v>
      </c>
      <c r="F1114" s="0" t="s">
        <v>11277</v>
      </c>
    </row>
    <row r="1115" customFormat="false" ht="15" hidden="false" customHeight="false" outlineLevel="0" collapsed="false">
      <c r="A1115" s="0" t="n">
        <v>381</v>
      </c>
      <c r="B1115" s="0" t="s">
        <v>2555</v>
      </c>
      <c r="C1115" s="0" t="s">
        <v>2559</v>
      </c>
      <c r="E1115" s="0" t="s">
        <v>59</v>
      </c>
      <c r="F1115" s="0" t="s">
        <v>11278</v>
      </c>
    </row>
    <row r="1116" customFormat="false" ht="15" hidden="false" customHeight="false" outlineLevel="0" collapsed="false">
      <c r="A1116" s="0" t="n">
        <v>381</v>
      </c>
      <c r="B1116" s="0" t="s">
        <v>2555</v>
      </c>
      <c r="C1116" s="0" t="s">
        <v>2560</v>
      </c>
      <c r="E1116" s="0" t="s">
        <v>59</v>
      </c>
      <c r="F1116" s="0" t="s">
        <v>11279</v>
      </c>
    </row>
    <row r="1117" customFormat="false" ht="15" hidden="false" customHeight="false" outlineLevel="0" collapsed="false">
      <c r="A1117" s="0" t="n">
        <v>381</v>
      </c>
      <c r="B1117" s="0" t="s">
        <v>2555</v>
      </c>
      <c r="C1117" s="0" t="s">
        <v>2561</v>
      </c>
      <c r="E1117" s="0" t="s">
        <v>59</v>
      </c>
      <c r="F1117" s="0" t="s">
        <v>11280</v>
      </c>
    </row>
    <row r="1118" customFormat="false" ht="15" hidden="false" customHeight="false" outlineLevel="0" collapsed="false">
      <c r="A1118" s="0" t="n">
        <v>381</v>
      </c>
      <c r="B1118" s="0" t="s">
        <v>2555</v>
      </c>
      <c r="C1118" s="0" t="s">
        <v>11281</v>
      </c>
      <c r="E1118" s="0" t="s">
        <v>59</v>
      </c>
      <c r="F1118" s="0" t="s">
        <v>11282</v>
      </c>
    </row>
    <row r="1119" customFormat="false" ht="15" hidden="false" customHeight="false" outlineLevel="0" collapsed="false">
      <c r="A1119" s="0" t="n">
        <v>381</v>
      </c>
      <c r="B1119" s="0" t="s">
        <v>2555</v>
      </c>
      <c r="C1119" s="0" t="s">
        <v>11283</v>
      </c>
      <c r="E1119" s="0" t="s">
        <v>59</v>
      </c>
      <c r="F1119" s="0" t="s">
        <v>11284</v>
      </c>
    </row>
    <row r="1120" customFormat="false" ht="15" hidden="false" customHeight="false" outlineLevel="0" collapsed="false">
      <c r="A1120" s="0" t="n">
        <v>382</v>
      </c>
      <c r="B1120" s="0" t="s">
        <v>2566</v>
      </c>
      <c r="C1120" s="0" t="s">
        <v>2568</v>
      </c>
      <c r="E1120" s="0" t="s">
        <v>79</v>
      </c>
      <c r="F1120" s="0" t="s">
        <v>11285</v>
      </c>
    </row>
    <row r="1121" customFormat="false" ht="15" hidden="false" customHeight="false" outlineLevel="0" collapsed="false">
      <c r="A1121" s="0" t="n">
        <v>382</v>
      </c>
      <c r="B1121" s="0" t="s">
        <v>2566</v>
      </c>
      <c r="C1121" s="0" t="s">
        <v>2569</v>
      </c>
      <c r="E1121" s="0" t="s">
        <v>79</v>
      </c>
      <c r="F1121" s="0" t="s">
        <v>11286</v>
      </c>
    </row>
    <row r="1122" customFormat="false" ht="15" hidden="false" customHeight="false" outlineLevel="0" collapsed="false">
      <c r="A1122" s="0" t="n">
        <v>384</v>
      </c>
      <c r="B1122" s="0" t="s">
        <v>2576</v>
      </c>
      <c r="C1122" s="0" t="s">
        <v>2578</v>
      </c>
      <c r="E1122" s="0" t="s">
        <v>79</v>
      </c>
      <c r="F1122" s="0" t="s">
        <v>11287</v>
      </c>
    </row>
    <row r="1123" customFormat="false" ht="15" hidden="false" customHeight="false" outlineLevel="0" collapsed="false">
      <c r="A1123" s="0" t="n">
        <v>384</v>
      </c>
      <c r="B1123" s="0" t="s">
        <v>2576</v>
      </c>
      <c r="C1123" s="0" t="s">
        <v>2579</v>
      </c>
      <c r="E1123" s="0" t="s">
        <v>79</v>
      </c>
      <c r="F1123" s="0" t="s">
        <v>11288</v>
      </c>
    </row>
    <row r="1124" customFormat="false" ht="15" hidden="false" customHeight="false" outlineLevel="0" collapsed="false">
      <c r="A1124" s="0" t="n">
        <v>384</v>
      </c>
      <c r="B1124" s="0" t="s">
        <v>2576</v>
      </c>
      <c r="C1124" s="0" t="s">
        <v>2580</v>
      </c>
      <c r="E1124" s="0" t="s">
        <v>79</v>
      </c>
      <c r="F1124" s="0" t="s">
        <v>11289</v>
      </c>
    </row>
    <row r="1125" customFormat="false" ht="15" hidden="false" customHeight="false" outlineLevel="0" collapsed="false">
      <c r="A1125" s="0" t="n">
        <v>384</v>
      </c>
      <c r="B1125" s="0" t="s">
        <v>2576</v>
      </c>
      <c r="C1125" s="0" t="s">
        <v>11290</v>
      </c>
      <c r="E1125" s="0" t="s">
        <v>79</v>
      </c>
      <c r="F1125" s="0" t="s">
        <v>11291</v>
      </c>
    </row>
    <row r="1126" customFormat="false" ht="15" hidden="false" customHeight="false" outlineLevel="0" collapsed="false">
      <c r="A1126" s="0" t="n">
        <v>384</v>
      </c>
      <c r="B1126" s="0" t="s">
        <v>2576</v>
      </c>
      <c r="C1126" s="0" t="s">
        <v>11292</v>
      </c>
      <c r="E1126" s="0" t="s">
        <v>79</v>
      </c>
      <c r="F1126" s="0" t="s">
        <v>11293</v>
      </c>
    </row>
    <row r="1127" customFormat="false" ht="15" hidden="false" customHeight="false" outlineLevel="0" collapsed="false">
      <c r="A1127" s="0" t="n">
        <v>385</v>
      </c>
      <c r="B1127" s="0" t="s">
        <v>2581</v>
      </c>
      <c r="C1127" s="0" t="s">
        <v>2584</v>
      </c>
      <c r="E1127" s="0" t="s">
        <v>79</v>
      </c>
      <c r="F1127" s="0" t="s">
        <v>11294</v>
      </c>
    </row>
    <row r="1128" customFormat="false" ht="15" hidden="false" customHeight="false" outlineLevel="0" collapsed="false">
      <c r="A1128" s="0" t="n">
        <v>385</v>
      </c>
      <c r="B1128" s="0" t="s">
        <v>2581</v>
      </c>
      <c r="C1128" s="0" t="s">
        <v>2585</v>
      </c>
      <c r="E1128" s="0" t="s">
        <v>79</v>
      </c>
      <c r="F1128" s="0" t="s">
        <v>11295</v>
      </c>
    </row>
    <row r="1129" customFormat="false" ht="15" hidden="false" customHeight="false" outlineLevel="0" collapsed="false">
      <c r="A1129" s="0" t="n">
        <v>385</v>
      </c>
      <c r="B1129" s="0" t="s">
        <v>2581</v>
      </c>
      <c r="C1129" s="0" t="s">
        <v>2586</v>
      </c>
      <c r="E1129" s="0" t="s">
        <v>79</v>
      </c>
      <c r="F1129" s="0" t="s">
        <v>11296</v>
      </c>
    </row>
    <row r="1130" customFormat="false" ht="15" hidden="false" customHeight="false" outlineLevel="0" collapsed="false">
      <c r="A1130" s="0" t="n">
        <v>386</v>
      </c>
      <c r="B1130" s="0" t="s">
        <v>2587</v>
      </c>
      <c r="C1130" s="0" t="s">
        <v>2591</v>
      </c>
      <c r="E1130" s="0" t="s">
        <v>59</v>
      </c>
      <c r="F1130" s="0" t="s">
        <v>11297</v>
      </c>
    </row>
    <row r="1131" customFormat="false" ht="15" hidden="false" customHeight="false" outlineLevel="0" collapsed="false">
      <c r="A1131" s="0" t="n">
        <v>386</v>
      </c>
      <c r="B1131" s="0" t="s">
        <v>2587</v>
      </c>
      <c r="C1131" s="0" t="s">
        <v>2592</v>
      </c>
      <c r="E1131" s="0" t="s">
        <v>59</v>
      </c>
      <c r="F1131" s="0" t="s">
        <v>11298</v>
      </c>
    </row>
    <row r="1132" customFormat="false" ht="15" hidden="false" customHeight="false" outlineLevel="0" collapsed="false">
      <c r="A1132" s="0" t="n">
        <v>386</v>
      </c>
      <c r="B1132" s="0" t="s">
        <v>2587</v>
      </c>
      <c r="C1132" s="0" t="s">
        <v>2593</v>
      </c>
      <c r="E1132" s="0" t="s">
        <v>59</v>
      </c>
      <c r="F1132" s="0" t="s">
        <v>11299</v>
      </c>
    </row>
    <row r="1133" customFormat="false" ht="15" hidden="false" customHeight="false" outlineLevel="0" collapsed="false">
      <c r="A1133" s="0" t="n">
        <v>386</v>
      </c>
      <c r="B1133" s="0" t="s">
        <v>2587</v>
      </c>
      <c r="C1133" s="0" t="s">
        <v>11300</v>
      </c>
      <c r="E1133" s="0" t="s">
        <v>59</v>
      </c>
      <c r="F1133" s="0" t="s">
        <v>11301</v>
      </c>
    </row>
    <row r="1134" customFormat="false" ht="15" hidden="false" customHeight="false" outlineLevel="0" collapsed="false">
      <c r="A1134" s="0" t="n">
        <v>386</v>
      </c>
      <c r="B1134" s="0" t="s">
        <v>2587</v>
      </c>
      <c r="C1134" s="0" t="s">
        <v>11302</v>
      </c>
      <c r="E1134" s="0" t="s">
        <v>59</v>
      </c>
      <c r="F1134" s="0" t="s">
        <v>11303</v>
      </c>
    </row>
    <row r="1135" customFormat="false" ht="15" hidden="false" customHeight="false" outlineLevel="0" collapsed="false">
      <c r="A1135" s="0" t="n">
        <v>387</v>
      </c>
      <c r="B1135" s="0" t="s">
        <v>2597</v>
      </c>
      <c r="C1135" s="0" t="s">
        <v>2600</v>
      </c>
      <c r="E1135" s="0" t="s">
        <v>79</v>
      </c>
      <c r="F1135" s="0" t="s">
        <v>11304</v>
      </c>
    </row>
    <row r="1136" customFormat="false" ht="15" hidden="false" customHeight="false" outlineLevel="0" collapsed="false">
      <c r="A1136" s="0" t="n">
        <v>387</v>
      </c>
      <c r="B1136" s="0" t="s">
        <v>2597</v>
      </c>
      <c r="C1136" s="0" t="s">
        <v>2601</v>
      </c>
      <c r="E1136" s="0" t="s">
        <v>79</v>
      </c>
      <c r="F1136" s="0" t="s">
        <v>11305</v>
      </c>
    </row>
    <row r="1137" customFormat="false" ht="15" hidden="false" customHeight="false" outlineLevel="0" collapsed="false">
      <c r="A1137" s="0" t="n">
        <v>388</v>
      </c>
      <c r="B1137" s="0" t="s">
        <v>2605</v>
      </c>
      <c r="C1137" s="0" t="s">
        <v>2611</v>
      </c>
      <c r="D1137" s="0" t="s">
        <v>11306</v>
      </c>
      <c r="E1137" s="0" t="s">
        <v>115</v>
      </c>
    </row>
    <row r="1138" customFormat="false" ht="15" hidden="false" customHeight="false" outlineLevel="0" collapsed="false">
      <c r="A1138" s="0" t="n">
        <v>388</v>
      </c>
      <c r="B1138" s="0" t="s">
        <v>2605</v>
      </c>
      <c r="C1138" s="0" t="s">
        <v>2612</v>
      </c>
      <c r="D1138" s="0" t="s">
        <v>11307</v>
      </c>
      <c r="E1138" s="0" t="s">
        <v>115</v>
      </c>
    </row>
    <row r="1139" customFormat="false" ht="15" hidden="false" customHeight="false" outlineLevel="0" collapsed="false">
      <c r="A1139" s="0" t="n">
        <v>388</v>
      </c>
      <c r="B1139" s="0" t="s">
        <v>2605</v>
      </c>
      <c r="C1139" s="0" t="s">
        <v>2613</v>
      </c>
      <c r="D1139" s="0" t="s">
        <v>11308</v>
      </c>
      <c r="E1139" s="0" t="s">
        <v>115</v>
      </c>
    </row>
    <row r="1140" customFormat="false" ht="15" hidden="false" customHeight="false" outlineLevel="0" collapsed="false">
      <c r="A1140" s="0" t="n">
        <v>389</v>
      </c>
      <c r="B1140" s="0" t="s">
        <v>2621</v>
      </c>
      <c r="C1140" s="0" t="s">
        <v>2623</v>
      </c>
      <c r="E1140" s="0" t="s">
        <v>59</v>
      </c>
      <c r="F1140" s="0" t="s">
        <v>11309</v>
      </c>
    </row>
    <row r="1141" customFormat="false" ht="15" hidden="false" customHeight="false" outlineLevel="0" collapsed="false">
      <c r="A1141" s="0" t="n">
        <v>389</v>
      </c>
      <c r="B1141" s="0" t="s">
        <v>2621</v>
      </c>
      <c r="C1141" s="0" t="s">
        <v>2624</v>
      </c>
      <c r="E1141" s="0" t="s">
        <v>59</v>
      </c>
      <c r="F1141" s="0" t="s">
        <v>11310</v>
      </c>
    </row>
    <row r="1142" customFormat="false" ht="15" hidden="false" customHeight="false" outlineLevel="0" collapsed="false">
      <c r="A1142" s="0" t="n">
        <v>389</v>
      </c>
      <c r="B1142" s="0" t="s">
        <v>2621</v>
      </c>
      <c r="C1142" s="0" t="s">
        <v>2625</v>
      </c>
      <c r="E1142" s="0" t="s">
        <v>59</v>
      </c>
      <c r="F1142" s="0" t="s">
        <v>11311</v>
      </c>
    </row>
    <row r="1143" customFormat="false" ht="15" hidden="false" customHeight="false" outlineLevel="0" collapsed="false">
      <c r="A1143" s="0" t="n">
        <v>389</v>
      </c>
      <c r="B1143" s="0" t="s">
        <v>2621</v>
      </c>
      <c r="C1143" s="0" t="s">
        <v>11312</v>
      </c>
      <c r="E1143" s="0" t="s">
        <v>59</v>
      </c>
      <c r="F1143" s="0" t="s">
        <v>11313</v>
      </c>
    </row>
    <row r="1144" customFormat="false" ht="15" hidden="false" customHeight="false" outlineLevel="0" collapsed="false">
      <c r="A1144" s="0" t="n">
        <v>389</v>
      </c>
      <c r="B1144" s="0" t="s">
        <v>2621</v>
      </c>
      <c r="C1144" s="0" t="s">
        <v>11314</v>
      </c>
      <c r="E1144" s="0" t="s">
        <v>59</v>
      </c>
      <c r="F1144" s="0" t="s">
        <v>11315</v>
      </c>
    </row>
    <row r="1145" customFormat="false" ht="15" hidden="false" customHeight="false" outlineLevel="0" collapsed="false">
      <c r="A1145" s="0" t="n">
        <v>392</v>
      </c>
      <c r="B1145" s="0" t="s">
        <v>2630</v>
      </c>
      <c r="C1145" s="0" t="s">
        <v>2633</v>
      </c>
      <c r="E1145" s="0" t="s">
        <v>79</v>
      </c>
      <c r="F1145" s="0" t="s">
        <v>11316</v>
      </c>
    </row>
    <row r="1146" customFormat="false" ht="15" hidden="false" customHeight="false" outlineLevel="0" collapsed="false">
      <c r="A1146" s="0" t="n">
        <v>392</v>
      </c>
      <c r="B1146" s="0" t="s">
        <v>2630</v>
      </c>
      <c r="C1146" s="0" t="s">
        <v>2634</v>
      </c>
      <c r="E1146" s="0" t="s">
        <v>79</v>
      </c>
      <c r="F1146" s="0" t="s">
        <v>11317</v>
      </c>
    </row>
    <row r="1147" customFormat="false" ht="15" hidden="false" customHeight="false" outlineLevel="0" collapsed="false">
      <c r="A1147" s="0" t="n">
        <v>392</v>
      </c>
      <c r="B1147" s="0" t="s">
        <v>2630</v>
      </c>
      <c r="C1147" s="0" t="s">
        <v>2635</v>
      </c>
      <c r="E1147" s="0" t="s">
        <v>79</v>
      </c>
      <c r="F1147" s="0" t="s">
        <v>11318</v>
      </c>
    </row>
    <row r="1148" customFormat="false" ht="15" hidden="false" customHeight="false" outlineLevel="0" collapsed="false">
      <c r="A1148" s="0" t="n">
        <v>392</v>
      </c>
      <c r="B1148" s="0" t="s">
        <v>2630</v>
      </c>
      <c r="C1148" s="0" t="s">
        <v>11319</v>
      </c>
      <c r="E1148" s="0" t="s">
        <v>79</v>
      </c>
      <c r="F1148" s="0" t="s">
        <v>11320</v>
      </c>
    </row>
    <row r="1149" customFormat="false" ht="15" hidden="false" customHeight="false" outlineLevel="0" collapsed="false">
      <c r="A1149" s="0" t="n">
        <v>392</v>
      </c>
      <c r="B1149" s="0" t="s">
        <v>2630</v>
      </c>
      <c r="C1149" s="0" t="s">
        <v>11321</v>
      </c>
      <c r="E1149" s="0" t="s">
        <v>79</v>
      </c>
      <c r="F1149" s="0" t="s">
        <v>11322</v>
      </c>
    </row>
    <row r="1150" customFormat="false" ht="15" hidden="false" customHeight="false" outlineLevel="0" collapsed="false">
      <c r="A1150" s="0" t="n">
        <v>394</v>
      </c>
      <c r="B1150" s="0" t="s">
        <v>2645</v>
      </c>
      <c r="C1150" s="0" t="s">
        <v>2648</v>
      </c>
      <c r="E1150" s="0" t="s">
        <v>79</v>
      </c>
      <c r="F1150" s="0" t="s">
        <v>11323</v>
      </c>
    </row>
    <row r="1151" customFormat="false" ht="15" hidden="false" customHeight="false" outlineLevel="0" collapsed="false">
      <c r="A1151" s="0" t="n">
        <v>394</v>
      </c>
      <c r="B1151" s="0" t="s">
        <v>2645</v>
      </c>
      <c r="C1151" s="0" t="s">
        <v>2649</v>
      </c>
      <c r="E1151" s="0" t="s">
        <v>79</v>
      </c>
      <c r="F1151" s="0" t="s">
        <v>11324</v>
      </c>
    </row>
    <row r="1152" customFormat="false" ht="15" hidden="false" customHeight="false" outlineLevel="0" collapsed="false">
      <c r="A1152" s="0" t="n">
        <v>394</v>
      </c>
      <c r="B1152" s="0" t="s">
        <v>2645</v>
      </c>
      <c r="C1152" s="0" t="s">
        <v>2650</v>
      </c>
      <c r="E1152" s="0" t="s">
        <v>79</v>
      </c>
      <c r="F1152" s="0" t="s">
        <v>11325</v>
      </c>
    </row>
    <row r="1153" customFormat="false" ht="15" hidden="false" customHeight="false" outlineLevel="0" collapsed="false">
      <c r="A1153" s="0" t="n">
        <v>394</v>
      </c>
      <c r="B1153" s="0" t="s">
        <v>2645</v>
      </c>
      <c r="C1153" s="0" t="s">
        <v>11326</v>
      </c>
      <c r="E1153" s="0" t="s">
        <v>79</v>
      </c>
      <c r="F1153" s="0" t="s">
        <v>11327</v>
      </c>
    </row>
    <row r="1154" customFormat="false" ht="15" hidden="false" customHeight="false" outlineLevel="0" collapsed="false">
      <c r="A1154" s="0" t="n">
        <v>394</v>
      </c>
      <c r="B1154" s="0" t="s">
        <v>2645</v>
      </c>
      <c r="C1154" s="0" t="s">
        <v>11328</v>
      </c>
      <c r="E1154" s="0" t="s">
        <v>79</v>
      </c>
      <c r="F1154" s="0" t="s">
        <v>11329</v>
      </c>
    </row>
    <row r="1155" customFormat="false" ht="15" hidden="false" customHeight="false" outlineLevel="0" collapsed="false">
      <c r="A1155" s="0" t="n">
        <v>396</v>
      </c>
      <c r="B1155" s="0" t="s">
        <v>2660</v>
      </c>
      <c r="C1155" s="0" t="s">
        <v>2663</v>
      </c>
      <c r="E1155" s="0" t="s">
        <v>79</v>
      </c>
      <c r="F1155" s="0" t="s">
        <v>11330</v>
      </c>
    </row>
    <row r="1156" customFormat="false" ht="15" hidden="false" customHeight="false" outlineLevel="0" collapsed="false">
      <c r="A1156" s="0" t="n">
        <v>396</v>
      </c>
      <c r="B1156" s="0" t="s">
        <v>2660</v>
      </c>
      <c r="C1156" s="0" t="s">
        <v>2664</v>
      </c>
      <c r="E1156" s="0" t="s">
        <v>79</v>
      </c>
      <c r="F1156" s="0" t="s">
        <v>11331</v>
      </c>
    </row>
    <row r="1157" customFormat="false" ht="15" hidden="false" customHeight="false" outlineLevel="0" collapsed="false">
      <c r="A1157" s="0" t="n">
        <v>396</v>
      </c>
      <c r="B1157" s="0" t="s">
        <v>2660</v>
      </c>
      <c r="C1157" s="0" t="s">
        <v>2665</v>
      </c>
      <c r="E1157" s="0" t="s">
        <v>79</v>
      </c>
      <c r="F1157" s="0" t="s">
        <v>11332</v>
      </c>
    </row>
    <row r="1158" customFormat="false" ht="15" hidden="false" customHeight="false" outlineLevel="0" collapsed="false">
      <c r="A1158" s="0" t="n">
        <v>396</v>
      </c>
      <c r="B1158" s="0" t="s">
        <v>2660</v>
      </c>
      <c r="C1158" s="0" t="s">
        <v>11333</v>
      </c>
      <c r="E1158" s="0" t="s">
        <v>79</v>
      </c>
      <c r="F1158" s="0" t="s">
        <v>11334</v>
      </c>
    </row>
    <row r="1159" customFormat="false" ht="15" hidden="false" customHeight="false" outlineLevel="0" collapsed="false">
      <c r="A1159" s="0" t="n">
        <v>397</v>
      </c>
      <c r="B1159" s="0" t="s">
        <v>2669</v>
      </c>
      <c r="C1159" s="0" t="s">
        <v>2672</v>
      </c>
      <c r="E1159" s="0" t="s">
        <v>79</v>
      </c>
      <c r="F1159" s="0" t="s">
        <v>11335</v>
      </c>
    </row>
    <row r="1160" customFormat="false" ht="15" hidden="false" customHeight="false" outlineLevel="0" collapsed="false">
      <c r="A1160" s="0" t="n">
        <v>397</v>
      </c>
      <c r="B1160" s="0" t="s">
        <v>2669</v>
      </c>
      <c r="C1160" s="0" t="s">
        <v>2673</v>
      </c>
      <c r="E1160" s="0" t="s">
        <v>79</v>
      </c>
      <c r="F1160" s="0" t="s">
        <v>11336</v>
      </c>
    </row>
    <row r="1161" customFormat="false" ht="15" hidden="false" customHeight="false" outlineLevel="0" collapsed="false">
      <c r="A1161" s="0" t="n">
        <v>397</v>
      </c>
      <c r="B1161" s="0" t="s">
        <v>2669</v>
      </c>
      <c r="C1161" s="0" t="s">
        <v>2674</v>
      </c>
      <c r="E1161" s="0" t="s">
        <v>79</v>
      </c>
      <c r="F1161" s="0" t="s">
        <v>11337</v>
      </c>
    </row>
    <row r="1162" customFormat="false" ht="15" hidden="false" customHeight="false" outlineLevel="0" collapsed="false">
      <c r="A1162" s="0" t="n">
        <v>397</v>
      </c>
      <c r="B1162" s="0" t="s">
        <v>2669</v>
      </c>
      <c r="C1162" s="0" t="s">
        <v>11338</v>
      </c>
      <c r="E1162" s="0" t="s">
        <v>79</v>
      </c>
      <c r="F1162" s="0" t="s">
        <v>11339</v>
      </c>
    </row>
    <row r="1163" customFormat="false" ht="15" hidden="false" customHeight="false" outlineLevel="0" collapsed="false">
      <c r="A1163" s="0" t="n">
        <v>397</v>
      </c>
      <c r="B1163" s="0" t="s">
        <v>2669</v>
      </c>
      <c r="C1163" s="0" t="s">
        <v>11340</v>
      </c>
      <c r="E1163" s="0" t="s">
        <v>79</v>
      </c>
      <c r="F1163" s="0" t="s">
        <v>11341</v>
      </c>
    </row>
    <row r="1164" customFormat="false" ht="15" hidden="false" customHeight="false" outlineLevel="0" collapsed="false">
      <c r="A1164" s="0" t="n">
        <v>398</v>
      </c>
      <c r="B1164" s="0" t="s">
        <v>2675</v>
      </c>
      <c r="C1164" s="0" t="s">
        <v>2678</v>
      </c>
      <c r="E1164" s="0" t="s">
        <v>79</v>
      </c>
      <c r="F1164" s="0" t="s">
        <v>11342</v>
      </c>
    </row>
    <row r="1165" customFormat="false" ht="15" hidden="false" customHeight="false" outlineLevel="0" collapsed="false">
      <c r="A1165" s="0" t="n">
        <v>398</v>
      </c>
      <c r="B1165" s="0" t="s">
        <v>2675</v>
      </c>
      <c r="C1165" s="0" t="s">
        <v>2679</v>
      </c>
      <c r="E1165" s="0" t="s">
        <v>79</v>
      </c>
      <c r="F1165" s="0" t="s">
        <v>11343</v>
      </c>
    </row>
    <row r="1166" customFormat="false" ht="15" hidden="false" customHeight="false" outlineLevel="0" collapsed="false">
      <c r="A1166" s="0" t="n">
        <v>398</v>
      </c>
      <c r="B1166" s="0" t="s">
        <v>2675</v>
      </c>
      <c r="C1166" s="0" t="s">
        <v>2680</v>
      </c>
      <c r="E1166" s="0" t="s">
        <v>79</v>
      </c>
      <c r="F1166" s="0" t="s">
        <v>11344</v>
      </c>
    </row>
    <row r="1167" customFormat="false" ht="15" hidden="false" customHeight="false" outlineLevel="0" collapsed="false">
      <c r="A1167" s="0" t="n">
        <v>398</v>
      </c>
      <c r="B1167" s="0" t="s">
        <v>2675</v>
      </c>
      <c r="C1167" s="0" t="s">
        <v>11345</v>
      </c>
      <c r="E1167" s="0" t="s">
        <v>79</v>
      </c>
      <c r="F1167" s="0" t="s">
        <v>11346</v>
      </c>
    </row>
    <row r="1168" customFormat="false" ht="15" hidden="false" customHeight="false" outlineLevel="0" collapsed="false">
      <c r="A1168" s="0" t="n">
        <v>398</v>
      </c>
      <c r="B1168" s="0" t="s">
        <v>2675</v>
      </c>
      <c r="C1168" s="0" t="s">
        <v>11347</v>
      </c>
      <c r="E1168" s="0" t="s">
        <v>79</v>
      </c>
      <c r="F1168" s="0" t="s">
        <v>11348</v>
      </c>
    </row>
    <row r="1169" customFormat="false" ht="15" hidden="false" customHeight="false" outlineLevel="0" collapsed="false">
      <c r="A1169" s="0" t="n">
        <v>399</v>
      </c>
      <c r="B1169" s="0" t="s">
        <v>2681</v>
      </c>
      <c r="C1169" s="0" t="s">
        <v>2683</v>
      </c>
      <c r="E1169" s="0" t="s">
        <v>79</v>
      </c>
      <c r="F1169" s="0" t="s">
        <v>11349</v>
      </c>
    </row>
    <row r="1170" customFormat="false" ht="15" hidden="false" customHeight="false" outlineLevel="0" collapsed="false">
      <c r="A1170" s="0" t="n">
        <v>399</v>
      </c>
      <c r="B1170" s="0" t="s">
        <v>2681</v>
      </c>
      <c r="C1170" s="0" t="s">
        <v>2684</v>
      </c>
      <c r="E1170" s="0" t="s">
        <v>79</v>
      </c>
      <c r="F1170" s="0" t="s">
        <v>11350</v>
      </c>
    </row>
    <row r="1171" customFormat="false" ht="15" hidden="false" customHeight="false" outlineLevel="0" collapsed="false">
      <c r="A1171" s="0" t="n">
        <v>399</v>
      </c>
      <c r="B1171" s="0" t="s">
        <v>2681</v>
      </c>
      <c r="C1171" s="0" t="s">
        <v>2685</v>
      </c>
      <c r="E1171" s="0" t="s">
        <v>79</v>
      </c>
      <c r="F1171" s="0" t="s">
        <v>11351</v>
      </c>
    </row>
    <row r="1172" customFormat="false" ht="15" hidden="false" customHeight="false" outlineLevel="0" collapsed="false">
      <c r="A1172" s="0" t="n">
        <v>399</v>
      </c>
      <c r="B1172" s="0" t="s">
        <v>2681</v>
      </c>
      <c r="C1172" s="0" t="s">
        <v>11352</v>
      </c>
      <c r="E1172" s="0" t="s">
        <v>79</v>
      </c>
      <c r="F1172" s="0" t="s">
        <v>11353</v>
      </c>
    </row>
    <row r="1173" customFormat="false" ht="15" hidden="false" customHeight="false" outlineLevel="0" collapsed="false">
      <c r="A1173" s="0" t="n">
        <v>399</v>
      </c>
      <c r="B1173" s="0" t="s">
        <v>2681</v>
      </c>
      <c r="C1173" s="0" t="s">
        <v>11354</v>
      </c>
      <c r="E1173" s="0" t="s">
        <v>79</v>
      </c>
      <c r="F1173" s="0" t="s">
        <v>11355</v>
      </c>
    </row>
    <row r="1174" customFormat="false" ht="15" hidden="false" customHeight="false" outlineLevel="0" collapsed="false">
      <c r="A1174" s="0" t="n">
        <v>400</v>
      </c>
      <c r="B1174" s="0" t="s">
        <v>2686</v>
      </c>
      <c r="C1174" s="0" t="s">
        <v>2689</v>
      </c>
      <c r="E1174" s="0" t="s">
        <v>79</v>
      </c>
      <c r="F1174" s="0" t="s">
        <v>11356</v>
      </c>
    </row>
    <row r="1175" customFormat="false" ht="15" hidden="false" customHeight="false" outlineLevel="0" collapsed="false">
      <c r="A1175" s="0" t="n">
        <v>400</v>
      </c>
      <c r="B1175" s="0" t="s">
        <v>2686</v>
      </c>
      <c r="C1175" s="0" t="s">
        <v>2690</v>
      </c>
      <c r="E1175" s="0" t="s">
        <v>79</v>
      </c>
      <c r="F1175" s="0" t="s">
        <v>11357</v>
      </c>
    </row>
    <row r="1176" customFormat="false" ht="15" hidden="false" customHeight="false" outlineLevel="0" collapsed="false">
      <c r="A1176" s="0" t="n">
        <v>400</v>
      </c>
      <c r="B1176" s="0" t="s">
        <v>2686</v>
      </c>
      <c r="C1176" s="0" t="s">
        <v>2691</v>
      </c>
      <c r="E1176" s="0" t="s">
        <v>79</v>
      </c>
      <c r="F1176" s="0" t="s">
        <v>11358</v>
      </c>
    </row>
    <row r="1177" customFormat="false" ht="15" hidden="false" customHeight="false" outlineLevel="0" collapsed="false">
      <c r="A1177" s="0" t="n">
        <v>400</v>
      </c>
      <c r="B1177" s="0" t="s">
        <v>2686</v>
      </c>
      <c r="C1177" s="0" t="s">
        <v>11359</v>
      </c>
      <c r="E1177" s="0" t="s">
        <v>79</v>
      </c>
      <c r="F1177" s="0" t="s">
        <v>11360</v>
      </c>
    </row>
    <row r="1178" customFormat="false" ht="15" hidden="false" customHeight="false" outlineLevel="0" collapsed="false">
      <c r="A1178" s="0" t="n">
        <v>400</v>
      </c>
      <c r="B1178" s="0" t="s">
        <v>2686</v>
      </c>
      <c r="C1178" s="0" t="s">
        <v>11361</v>
      </c>
      <c r="E1178" s="0" t="s">
        <v>79</v>
      </c>
      <c r="F1178" s="0" t="s">
        <v>11362</v>
      </c>
    </row>
    <row r="1179" customFormat="false" ht="15" hidden="false" customHeight="false" outlineLevel="0" collapsed="false">
      <c r="A1179" s="0" t="n">
        <v>401</v>
      </c>
      <c r="B1179" s="0" t="s">
        <v>2692</v>
      </c>
      <c r="C1179" s="0" t="s">
        <v>2695</v>
      </c>
      <c r="E1179" s="0" t="s">
        <v>79</v>
      </c>
      <c r="F1179" s="0" t="s">
        <v>11363</v>
      </c>
    </row>
    <row r="1180" customFormat="false" ht="15" hidden="false" customHeight="false" outlineLevel="0" collapsed="false">
      <c r="A1180" s="0" t="n">
        <v>401</v>
      </c>
      <c r="B1180" s="0" t="s">
        <v>2692</v>
      </c>
      <c r="C1180" s="0" t="s">
        <v>2696</v>
      </c>
      <c r="E1180" s="0" t="s">
        <v>79</v>
      </c>
      <c r="F1180" s="0" t="s">
        <v>11364</v>
      </c>
    </row>
    <row r="1181" customFormat="false" ht="15" hidden="false" customHeight="false" outlineLevel="0" collapsed="false">
      <c r="A1181" s="0" t="n">
        <v>401</v>
      </c>
      <c r="B1181" s="0" t="s">
        <v>2692</v>
      </c>
      <c r="C1181" s="0" t="s">
        <v>2697</v>
      </c>
      <c r="E1181" s="0" t="s">
        <v>79</v>
      </c>
      <c r="F1181" s="0" t="s">
        <v>11365</v>
      </c>
    </row>
    <row r="1182" customFormat="false" ht="15" hidden="false" customHeight="false" outlineLevel="0" collapsed="false">
      <c r="A1182" s="0" t="n">
        <v>401</v>
      </c>
      <c r="B1182" s="0" t="s">
        <v>2692</v>
      </c>
      <c r="C1182" s="0" t="s">
        <v>11366</v>
      </c>
      <c r="E1182" s="0" t="s">
        <v>79</v>
      </c>
      <c r="F1182" s="0" t="s">
        <v>11367</v>
      </c>
    </row>
    <row r="1183" customFormat="false" ht="15" hidden="false" customHeight="false" outlineLevel="0" collapsed="false">
      <c r="A1183" s="0" t="n">
        <v>403</v>
      </c>
      <c r="B1183" s="0" t="s">
        <v>2701</v>
      </c>
      <c r="C1183" s="0" t="s">
        <v>2703</v>
      </c>
      <c r="E1183" s="0" t="s">
        <v>79</v>
      </c>
      <c r="F1183" s="0" t="s">
        <v>11368</v>
      </c>
    </row>
    <row r="1184" customFormat="false" ht="15" hidden="false" customHeight="false" outlineLevel="0" collapsed="false">
      <c r="A1184" s="0" t="n">
        <v>403</v>
      </c>
      <c r="B1184" s="0" t="s">
        <v>2701</v>
      </c>
      <c r="C1184" s="0" t="s">
        <v>2704</v>
      </c>
      <c r="E1184" s="0" t="s">
        <v>79</v>
      </c>
      <c r="F1184" s="0" t="s">
        <v>11369</v>
      </c>
    </row>
    <row r="1185" customFormat="false" ht="15" hidden="false" customHeight="false" outlineLevel="0" collapsed="false">
      <c r="A1185" s="0" t="n">
        <v>403</v>
      </c>
      <c r="B1185" s="0" t="s">
        <v>2701</v>
      </c>
      <c r="C1185" s="0" t="s">
        <v>2705</v>
      </c>
      <c r="E1185" s="0" t="s">
        <v>79</v>
      </c>
      <c r="F1185" s="0" t="s">
        <v>11370</v>
      </c>
    </row>
    <row r="1186" customFormat="false" ht="15" hidden="false" customHeight="false" outlineLevel="0" collapsed="false">
      <c r="A1186" s="0" t="n">
        <v>405</v>
      </c>
      <c r="B1186" s="0" t="s">
        <v>2714</v>
      </c>
      <c r="C1186" s="0" t="s">
        <v>2717</v>
      </c>
      <c r="E1186" s="0" t="s">
        <v>79</v>
      </c>
      <c r="F1186" s="0" t="s">
        <v>11371</v>
      </c>
    </row>
    <row r="1187" customFormat="false" ht="15" hidden="false" customHeight="false" outlineLevel="0" collapsed="false">
      <c r="A1187" s="0" t="n">
        <v>405</v>
      </c>
      <c r="B1187" s="0" t="s">
        <v>2714</v>
      </c>
      <c r="C1187" s="0" t="s">
        <v>2718</v>
      </c>
      <c r="E1187" s="0" t="s">
        <v>79</v>
      </c>
      <c r="F1187" s="0" t="s">
        <v>11372</v>
      </c>
    </row>
    <row r="1188" customFormat="false" ht="15" hidden="false" customHeight="false" outlineLevel="0" collapsed="false">
      <c r="A1188" s="0" t="n">
        <v>405</v>
      </c>
      <c r="B1188" s="0" t="s">
        <v>2714</v>
      </c>
      <c r="C1188" s="0" t="s">
        <v>2719</v>
      </c>
      <c r="E1188" s="0" t="s">
        <v>79</v>
      </c>
      <c r="F1188" s="0" t="s">
        <v>11373</v>
      </c>
    </row>
    <row r="1189" customFormat="false" ht="15" hidden="false" customHeight="false" outlineLevel="0" collapsed="false">
      <c r="A1189" s="0" t="n">
        <v>405</v>
      </c>
      <c r="B1189" s="0" t="s">
        <v>2714</v>
      </c>
      <c r="C1189" s="0" t="s">
        <v>814</v>
      </c>
      <c r="E1189" s="0" t="s">
        <v>79</v>
      </c>
      <c r="F1189" s="0" t="s">
        <v>11374</v>
      </c>
    </row>
    <row r="1190" customFormat="false" ht="15" hidden="false" customHeight="false" outlineLevel="0" collapsed="false">
      <c r="A1190" s="0" t="n">
        <v>405</v>
      </c>
      <c r="B1190" s="0" t="s">
        <v>2714</v>
      </c>
      <c r="C1190" s="0" t="s">
        <v>11375</v>
      </c>
      <c r="E1190" s="0" t="s">
        <v>79</v>
      </c>
      <c r="F1190" s="0" t="s">
        <v>11376</v>
      </c>
    </row>
    <row r="1191" customFormat="false" ht="15" hidden="false" customHeight="false" outlineLevel="0" collapsed="false">
      <c r="A1191" s="0" t="n">
        <v>406</v>
      </c>
      <c r="B1191" s="0" t="s">
        <v>2725</v>
      </c>
      <c r="C1191" s="0" t="s">
        <v>2728</v>
      </c>
      <c r="E1191" s="0" t="s">
        <v>79</v>
      </c>
      <c r="F1191" s="0" t="s">
        <v>11377</v>
      </c>
    </row>
    <row r="1192" customFormat="false" ht="15" hidden="false" customHeight="false" outlineLevel="0" collapsed="false">
      <c r="A1192" s="0" t="n">
        <v>406</v>
      </c>
      <c r="B1192" s="0" t="s">
        <v>2725</v>
      </c>
      <c r="C1192" s="0" t="s">
        <v>2729</v>
      </c>
      <c r="E1192" s="0" t="s">
        <v>79</v>
      </c>
      <c r="F1192" s="0" t="s">
        <v>11378</v>
      </c>
    </row>
    <row r="1193" customFormat="false" ht="15" hidden="false" customHeight="false" outlineLevel="0" collapsed="false">
      <c r="A1193" s="0" t="n">
        <v>406</v>
      </c>
      <c r="B1193" s="0" t="s">
        <v>2725</v>
      </c>
      <c r="C1193" s="0" t="s">
        <v>2730</v>
      </c>
      <c r="E1193" s="0" t="s">
        <v>79</v>
      </c>
      <c r="F1193" s="0" t="s">
        <v>11379</v>
      </c>
    </row>
    <row r="1194" customFormat="false" ht="15" hidden="false" customHeight="false" outlineLevel="0" collapsed="false">
      <c r="A1194" s="0" t="n">
        <v>406</v>
      </c>
      <c r="B1194" s="0" t="s">
        <v>2725</v>
      </c>
      <c r="C1194" s="0" t="s">
        <v>11380</v>
      </c>
      <c r="E1194" s="0" t="s">
        <v>79</v>
      </c>
      <c r="F1194" s="0" t="s">
        <v>11381</v>
      </c>
    </row>
    <row r="1195" customFormat="false" ht="15" hidden="false" customHeight="false" outlineLevel="0" collapsed="false">
      <c r="A1195" s="0" t="n">
        <v>406</v>
      </c>
      <c r="B1195" s="0" t="s">
        <v>2725</v>
      </c>
      <c r="C1195" s="0" t="s">
        <v>11382</v>
      </c>
      <c r="E1195" s="0" t="s">
        <v>79</v>
      </c>
      <c r="F1195" s="0" t="s">
        <v>11383</v>
      </c>
    </row>
    <row r="1196" customFormat="false" ht="15" hidden="false" customHeight="false" outlineLevel="0" collapsed="false">
      <c r="A1196" s="0" t="n">
        <v>408</v>
      </c>
      <c r="B1196" s="0" t="s">
        <v>2739</v>
      </c>
      <c r="C1196" s="0" t="s">
        <v>2742</v>
      </c>
      <c r="E1196" s="0" t="s">
        <v>79</v>
      </c>
      <c r="F1196" s="0" t="s">
        <v>11384</v>
      </c>
    </row>
    <row r="1197" customFormat="false" ht="15" hidden="false" customHeight="false" outlineLevel="0" collapsed="false">
      <c r="A1197" s="0" t="n">
        <v>408</v>
      </c>
      <c r="B1197" s="0" t="s">
        <v>2739</v>
      </c>
      <c r="C1197" s="0" t="s">
        <v>2743</v>
      </c>
      <c r="E1197" s="0" t="s">
        <v>79</v>
      </c>
      <c r="F1197" s="0" t="s">
        <v>11385</v>
      </c>
    </row>
    <row r="1198" customFormat="false" ht="15" hidden="false" customHeight="false" outlineLevel="0" collapsed="false">
      <c r="A1198" s="0" t="n">
        <v>408</v>
      </c>
      <c r="B1198" s="0" t="s">
        <v>2739</v>
      </c>
      <c r="C1198" s="0" t="s">
        <v>2744</v>
      </c>
      <c r="E1198" s="0" t="s">
        <v>79</v>
      </c>
      <c r="F1198" s="0" t="s">
        <v>11386</v>
      </c>
    </row>
    <row r="1199" customFormat="false" ht="15" hidden="false" customHeight="false" outlineLevel="0" collapsed="false">
      <c r="A1199" s="0" t="n">
        <v>408</v>
      </c>
      <c r="B1199" s="0" t="s">
        <v>2739</v>
      </c>
      <c r="C1199" s="0" t="s">
        <v>11387</v>
      </c>
      <c r="E1199" s="0" t="s">
        <v>79</v>
      </c>
      <c r="F1199" s="0" t="s">
        <v>11388</v>
      </c>
    </row>
    <row r="1200" customFormat="false" ht="15" hidden="false" customHeight="false" outlineLevel="0" collapsed="false">
      <c r="A1200" s="0" t="n">
        <v>410</v>
      </c>
      <c r="B1200" s="0" t="s">
        <v>2756</v>
      </c>
      <c r="C1200" s="0" t="s">
        <v>2758</v>
      </c>
      <c r="E1200" s="0" t="s">
        <v>79</v>
      </c>
      <c r="F1200" s="0" t="s">
        <v>11389</v>
      </c>
    </row>
    <row r="1201" customFormat="false" ht="15" hidden="false" customHeight="false" outlineLevel="0" collapsed="false">
      <c r="A1201" s="0" t="n">
        <v>410</v>
      </c>
      <c r="B1201" s="0" t="s">
        <v>2756</v>
      </c>
      <c r="C1201" s="0" t="s">
        <v>2759</v>
      </c>
      <c r="E1201" s="0" t="s">
        <v>79</v>
      </c>
      <c r="F1201" s="0" t="s">
        <v>11390</v>
      </c>
    </row>
    <row r="1202" customFormat="false" ht="15" hidden="false" customHeight="false" outlineLevel="0" collapsed="false">
      <c r="A1202" s="0" t="n">
        <v>410</v>
      </c>
      <c r="B1202" s="0" t="s">
        <v>2756</v>
      </c>
      <c r="C1202" s="0" t="s">
        <v>2760</v>
      </c>
      <c r="E1202" s="0" t="s">
        <v>79</v>
      </c>
      <c r="F1202" s="0" t="s">
        <v>11391</v>
      </c>
    </row>
    <row r="1203" customFormat="false" ht="15" hidden="false" customHeight="false" outlineLevel="0" collapsed="false">
      <c r="A1203" s="0" t="n">
        <v>410</v>
      </c>
      <c r="B1203" s="0" t="s">
        <v>2756</v>
      </c>
      <c r="C1203" s="0" t="s">
        <v>11392</v>
      </c>
      <c r="E1203" s="0" t="s">
        <v>79</v>
      </c>
      <c r="F1203" s="0" t="s">
        <v>11393</v>
      </c>
    </row>
    <row r="1204" customFormat="false" ht="15" hidden="false" customHeight="false" outlineLevel="0" collapsed="false">
      <c r="A1204" s="0" t="n">
        <v>410</v>
      </c>
      <c r="B1204" s="0" t="s">
        <v>2756</v>
      </c>
      <c r="C1204" s="0" t="s">
        <v>11394</v>
      </c>
      <c r="E1204" s="0" t="s">
        <v>79</v>
      </c>
      <c r="F1204" s="0" t="s">
        <v>11395</v>
      </c>
    </row>
    <row r="1205" customFormat="false" ht="15" hidden="false" customHeight="false" outlineLevel="0" collapsed="false">
      <c r="A1205" s="0" t="n">
        <v>411</v>
      </c>
      <c r="B1205" s="0" t="s">
        <v>2761</v>
      </c>
      <c r="C1205" s="0" t="s">
        <v>2764</v>
      </c>
      <c r="E1205" s="0" t="s">
        <v>79</v>
      </c>
      <c r="F1205" s="0" t="s">
        <v>11396</v>
      </c>
    </row>
    <row r="1206" customFormat="false" ht="15" hidden="false" customHeight="false" outlineLevel="0" collapsed="false">
      <c r="A1206" s="0" t="n">
        <v>411</v>
      </c>
      <c r="B1206" s="0" t="s">
        <v>2761</v>
      </c>
      <c r="C1206" s="0" t="s">
        <v>2765</v>
      </c>
      <c r="E1206" s="0" t="s">
        <v>79</v>
      </c>
      <c r="F1206" s="0" t="s">
        <v>11397</v>
      </c>
    </row>
    <row r="1207" customFormat="false" ht="15" hidden="false" customHeight="false" outlineLevel="0" collapsed="false">
      <c r="A1207" s="0" t="n">
        <v>411</v>
      </c>
      <c r="B1207" s="0" t="s">
        <v>2761</v>
      </c>
      <c r="C1207" s="0" t="s">
        <v>2766</v>
      </c>
      <c r="E1207" s="0" t="s">
        <v>79</v>
      </c>
      <c r="F1207" s="0" t="s">
        <v>11398</v>
      </c>
    </row>
    <row r="1208" customFormat="false" ht="15" hidden="false" customHeight="false" outlineLevel="0" collapsed="false">
      <c r="A1208" s="0" t="n">
        <v>411</v>
      </c>
      <c r="B1208" s="0" t="s">
        <v>2761</v>
      </c>
      <c r="C1208" s="0" t="s">
        <v>11399</v>
      </c>
      <c r="E1208" s="0" t="s">
        <v>79</v>
      </c>
      <c r="F1208" s="0" t="s">
        <v>11400</v>
      </c>
    </row>
    <row r="1209" customFormat="false" ht="15" hidden="false" customHeight="false" outlineLevel="0" collapsed="false">
      <c r="A1209" s="0" t="n">
        <v>411</v>
      </c>
      <c r="B1209" s="0" t="s">
        <v>2761</v>
      </c>
      <c r="C1209" s="0" t="s">
        <v>11401</v>
      </c>
      <c r="E1209" s="0" t="s">
        <v>79</v>
      </c>
      <c r="F1209" s="0" t="s">
        <v>11402</v>
      </c>
    </row>
    <row r="1210" customFormat="false" ht="15" hidden="false" customHeight="false" outlineLevel="0" collapsed="false">
      <c r="A1210" s="0" t="n">
        <v>412</v>
      </c>
      <c r="B1210" s="0" t="s">
        <v>2770</v>
      </c>
      <c r="C1210" s="0" t="s">
        <v>2774</v>
      </c>
      <c r="E1210" s="0" t="s">
        <v>79</v>
      </c>
      <c r="F1210" s="0" t="s">
        <v>11403</v>
      </c>
    </row>
    <row r="1211" customFormat="false" ht="15" hidden="false" customHeight="false" outlineLevel="0" collapsed="false">
      <c r="A1211" s="0" t="n">
        <v>412</v>
      </c>
      <c r="B1211" s="0" t="s">
        <v>2770</v>
      </c>
      <c r="C1211" s="0" t="s">
        <v>2775</v>
      </c>
      <c r="E1211" s="0" t="s">
        <v>79</v>
      </c>
      <c r="F1211" s="0" t="s">
        <v>11404</v>
      </c>
    </row>
    <row r="1212" customFormat="false" ht="15" hidden="false" customHeight="false" outlineLevel="0" collapsed="false">
      <c r="A1212" s="0" t="n">
        <v>412</v>
      </c>
      <c r="B1212" s="0" t="s">
        <v>2770</v>
      </c>
      <c r="C1212" s="0" t="s">
        <v>2776</v>
      </c>
      <c r="E1212" s="0" t="s">
        <v>79</v>
      </c>
      <c r="F1212" s="0" t="s">
        <v>11405</v>
      </c>
    </row>
    <row r="1213" customFormat="false" ht="15" hidden="false" customHeight="false" outlineLevel="0" collapsed="false">
      <c r="A1213" s="0" t="n">
        <v>412</v>
      </c>
      <c r="B1213" s="0" t="s">
        <v>2770</v>
      </c>
      <c r="C1213" s="0" t="s">
        <v>11406</v>
      </c>
      <c r="E1213" s="0" t="s">
        <v>79</v>
      </c>
      <c r="F1213" s="0" t="s">
        <v>11407</v>
      </c>
    </row>
    <row r="1214" customFormat="false" ht="15" hidden="false" customHeight="false" outlineLevel="0" collapsed="false">
      <c r="A1214" s="0" t="n">
        <v>412</v>
      </c>
      <c r="B1214" s="0" t="s">
        <v>2770</v>
      </c>
      <c r="C1214" s="0" t="s">
        <v>11408</v>
      </c>
      <c r="E1214" s="0" t="s">
        <v>79</v>
      </c>
      <c r="F1214" s="0" t="s">
        <v>11409</v>
      </c>
    </row>
    <row r="1215" customFormat="false" ht="15" hidden="false" customHeight="false" outlineLevel="0" collapsed="false">
      <c r="A1215" s="0" t="n">
        <v>414</v>
      </c>
      <c r="B1215" s="0" t="s">
        <v>2785</v>
      </c>
      <c r="C1215" s="0" t="s">
        <v>2788</v>
      </c>
      <c r="E1215" s="0" t="s">
        <v>79</v>
      </c>
      <c r="F1215" s="0" t="s">
        <v>11410</v>
      </c>
    </row>
    <row r="1216" customFormat="false" ht="15" hidden="false" customHeight="false" outlineLevel="0" collapsed="false">
      <c r="A1216" s="0" t="n">
        <v>414</v>
      </c>
      <c r="B1216" s="0" t="s">
        <v>2785</v>
      </c>
      <c r="C1216" s="0" t="s">
        <v>2789</v>
      </c>
      <c r="E1216" s="0" t="s">
        <v>79</v>
      </c>
      <c r="F1216" s="0" t="s">
        <v>11411</v>
      </c>
    </row>
    <row r="1217" customFormat="false" ht="15" hidden="false" customHeight="false" outlineLevel="0" collapsed="false">
      <c r="A1217" s="0" t="n">
        <v>414</v>
      </c>
      <c r="B1217" s="0" t="s">
        <v>2785</v>
      </c>
      <c r="C1217" s="0" t="s">
        <v>2790</v>
      </c>
      <c r="E1217" s="0" t="s">
        <v>79</v>
      </c>
      <c r="F1217" s="0" t="s">
        <v>11412</v>
      </c>
    </row>
    <row r="1218" customFormat="false" ht="15" hidden="false" customHeight="false" outlineLevel="0" collapsed="false">
      <c r="A1218" s="0" t="n">
        <v>414</v>
      </c>
      <c r="B1218" s="0" t="s">
        <v>2785</v>
      </c>
      <c r="C1218" s="0" t="s">
        <v>11413</v>
      </c>
      <c r="E1218" s="0" t="s">
        <v>79</v>
      </c>
      <c r="F1218" s="0" t="s">
        <v>11414</v>
      </c>
    </row>
    <row r="1219" customFormat="false" ht="15" hidden="false" customHeight="false" outlineLevel="0" collapsed="false">
      <c r="A1219" s="0" t="n">
        <v>415</v>
      </c>
      <c r="B1219" s="0" t="s">
        <v>2795</v>
      </c>
      <c r="C1219" s="0" t="s">
        <v>2797</v>
      </c>
      <c r="E1219" s="0" t="s">
        <v>79</v>
      </c>
      <c r="F1219" s="0" t="s">
        <v>11415</v>
      </c>
    </row>
    <row r="1220" customFormat="false" ht="15" hidden="false" customHeight="false" outlineLevel="0" collapsed="false">
      <c r="A1220" s="0" t="n">
        <v>415</v>
      </c>
      <c r="B1220" s="0" t="s">
        <v>2795</v>
      </c>
      <c r="C1220" s="0" t="s">
        <v>2798</v>
      </c>
      <c r="E1220" s="0" t="s">
        <v>79</v>
      </c>
      <c r="F1220" s="0" t="s">
        <v>11416</v>
      </c>
    </row>
    <row r="1221" customFormat="false" ht="15" hidden="false" customHeight="false" outlineLevel="0" collapsed="false">
      <c r="A1221" s="0" t="n">
        <v>415</v>
      </c>
      <c r="B1221" s="0" t="s">
        <v>2795</v>
      </c>
      <c r="C1221" s="0" t="s">
        <v>2799</v>
      </c>
      <c r="E1221" s="0" t="s">
        <v>79</v>
      </c>
      <c r="F1221" s="0" t="s">
        <v>11417</v>
      </c>
    </row>
    <row r="1222" customFormat="false" ht="15" hidden="false" customHeight="false" outlineLevel="0" collapsed="false">
      <c r="A1222" s="0" t="n">
        <v>415</v>
      </c>
      <c r="B1222" s="0" t="s">
        <v>2795</v>
      </c>
      <c r="C1222" s="0" t="s">
        <v>11418</v>
      </c>
      <c r="E1222" s="0" t="s">
        <v>79</v>
      </c>
      <c r="F1222" s="0" t="s">
        <v>11419</v>
      </c>
    </row>
    <row r="1223" customFormat="false" ht="15" hidden="false" customHeight="false" outlineLevel="0" collapsed="false">
      <c r="A1223" s="0" t="n">
        <v>415</v>
      </c>
      <c r="B1223" s="0" t="s">
        <v>2795</v>
      </c>
      <c r="C1223" s="0" t="s">
        <v>11420</v>
      </c>
      <c r="E1223" s="0" t="s">
        <v>79</v>
      </c>
      <c r="F1223" s="0" t="s">
        <v>11421</v>
      </c>
    </row>
    <row r="1224" customFormat="false" ht="15" hidden="false" customHeight="false" outlineLevel="0" collapsed="false">
      <c r="A1224" s="0" t="n">
        <v>416</v>
      </c>
      <c r="B1224" s="0" t="s">
        <v>2800</v>
      </c>
      <c r="C1224" s="0" t="s">
        <v>2805</v>
      </c>
      <c r="E1224" s="0" t="s">
        <v>79</v>
      </c>
      <c r="F1224" s="0" t="s">
        <v>11422</v>
      </c>
    </row>
    <row r="1225" customFormat="false" ht="15" hidden="false" customHeight="false" outlineLevel="0" collapsed="false">
      <c r="A1225" s="0" t="n">
        <v>416</v>
      </c>
      <c r="B1225" s="0" t="s">
        <v>2800</v>
      </c>
      <c r="C1225" s="0" t="s">
        <v>2806</v>
      </c>
      <c r="E1225" s="0" t="s">
        <v>79</v>
      </c>
      <c r="F1225" s="0" t="s">
        <v>11423</v>
      </c>
    </row>
    <row r="1226" customFormat="false" ht="15" hidden="false" customHeight="false" outlineLevel="0" collapsed="false">
      <c r="A1226" s="0" t="n">
        <v>416</v>
      </c>
      <c r="B1226" s="0" t="s">
        <v>2800</v>
      </c>
      <c r="C1226" s="0" t="s">
        <v>2807</v>
      </c>
      <c r="E1226" s="0" t="s">
        <v>79</v>
      </c>
      <c r="F1226" s="0" t="s">
        <v>11424</v>
      </c>
    </row>
    <row r="1227" customFormat="false" ht="15" hidden="false" customHeight="false" outlineLevel="0" collapsed="false">
      <c r="A1227" s="0" t="n">
        <v>416</v>
      </c>
      <c r="B1227" s="0" t="s">
        <v>2800</v>
      </c>
      <c r="C1227" s="0" t="s">
        <v>11425</v>
      </c>
      <c r="E1227" s="0" t="s">
        <v>79</v>
      </c>
      <c r="F1227" s="0" t="s">
        <v>11426</v>
      </c>
    </row>
    <row r="1228" customFormat="false" ht="15" hidden="false" customHeight="false" outlineLevel="0" collapsed="false">
      <c r="A1228" s="0" t="n">
        <v>416</v>
      </c>
      <c r="B1228" s="0" t="s">
        <v>2800</v>
      </c>
      <c r="C1228" s="0" t="s">
        <v>11427</v>
      </c>
      <c r="E1228" s="0" t="s">
        <v>79</v>
      </c>
      <c r="F1228" s="0" t="s">
        <v>11428</v>
      </c>
    </row>
    <row r="1229" customFormat="false" ht="15" hidden="false" customHeight="false" outlineLevel="0" collapsed="false">
      <c r="A1229" s="0" t="n">
        <v>417</v>
      </c>
      <c r="B1229" s="0" t="s">
        <v>2810</v>
      </c>
      <c r="C1229" s="0" t="s">
        <v>2813</v>
      </c>
      <c r="E1229" s="0" t="s">
        <v>79</v>
      </c>
      <c r="F1229" s="0" t="s">
        <v>11429</v>
      </c>
    </row>
    <row r="1230" customFormat="false" ht="15" hidden="false" customHeight="false" outlineLevel="0" collapsed="false">
      <c r="A1230" s="0" t="n">
        <v>417</v>
      </c>
      <c r="B1230" s="0" t="s">
        <v>2810</v>
      </c>
      <c r="C1230" s="0" t="s">
        <v>2814</v>
      </c>
      <c r="E1230" s="0" t="s">
        <v>79</v>
      </c>
      <c r="F1230" s="0" t="s">
        <v>11430</v>
      </c>
    </row>
    <row r="1231" customFormat="false" ht="15" hidden="false" customHeight="false" outlineLevel="0" collapsed="false">
      <c r="A1231" s="0" t="n">
        <v>417</v>
      </c>
      <c r="B1231" s="0" t="s">
        <v>2810</v>
      </c>
      <c r="C1231" s="0" t="s">
        <v>2815</v>
      </c>
      <c r="E1231" s="0" t="s">
        <v>79</v>
      </c>
      <c r="F1231" s="0" t="s">
        <v>11431</v>
      </c>
    </row>
    <row r="1232" customFormat="false" ht="15" hidden="false" customHeight="false" outlineLevel="0" collapsed="false">
      <c r="A1232" s="0" t="n">
        <v>417</v>
      </c>
      <c r="B1232" s="0" t="s">
        <v>2810</v>
      </c>
      <c r="C1232" s="0" t="s">
        <v>11432</v>
      </c>
      <c r="E1232" s="0" t="s">
        <v>79</v>
      </c>
      <c r="F1232" s="0" t="s">
        <v>11433</v>
      </c>
    </row>
    <row r="1233" customFormat="false" ht="15" hidden="false" customHeight="false" outlineLevel="0" collapsed="false">
      <c r="A1233" s="0" t="n">
        <v>417</v>
      </c>
      <c r="B1233" s="0" t="s">
        <v>2810</v>
      </c>
      <c r="C1233" s="0" t="s">
        <v>11434</v>
      </c>
      <c r="E1233" s="0" t="s">
        <v>79</v>
      </c>
      <c r="F1233" s="0" t="s">
        <v>11435</v>
      </c>
    </row>
    <row r="1234" customFormat="false" ht="15" hidden="false" customHeight="false" outlineLevel="0" collapsed="false">
      <c r="A1234" s="0" t="n">
        <v>418</v>
      </c>
      <c r="B1234" s="0" t="s">
        <v>2819</v>
      </c>
      <c r="C1234" s="0" t="s">
        <v>2826</v>
      </c>
      <c r="D1234" s="0" t="s">
        <v>11436</v>
      </c>
      <c r="E1234" s="0" t="s">
        <v>115</v>
      </c>
    </row>
    <row r="1235" customFormat="false" ht="15" hidden="false" customHeight="false" outlineLevel="0" collapsed="false">
      <c r="A1235" s="0" t="n">
        <v>418</v>
      </c>
      <c r="B1235" s="0" t="s">
        <v>2819</v>
      </c>
      <c r="C1235" s="0" t="s">
        <v>2827</v>
      </c>
      <c r="D1235" s="0" t="s">
        <v>11437</v>
      </c>
      <c r="E1235" s="0" t="s">
        <v>115</v>
      </c>
    </row>
    <row r="1236" customFormat="false" ht="15" hidden="false" customHeight="false" outlineLevel="0" collapsed="false">
      <c r="A1236" s="0" t="n">
        <v>418</v>
      </c>
      <c r="B1236" s="0" t="s">
        <v>2819</v>
      </c>
      <c r="C1236" s="0" t="s">
        <v>2828</v>
      </c>
      <c r="D1236" s="0" t="s">
        <v>11438</v>
      </c>
      <c r="E1236" s="0" t="s">
        <v>115</v>
      </c>
    </row>
    <row r="1237" customFormat="false" ht="15" hidden="false" customHeight="false" outlineLevel="0" collapsed="false">
      <c r="A1237" s="0" t="n">
        <v>420</v>
      </c>
      <c r="B1237" s="0" t="s">
        <v>2843</v>
      </c>
      <c r="C1237" s="0" t="s">
        <v>2846</v>
      </c>
      <c r="E1237" s="0" t="s">
        <v>79</v>
      </c>
      <c r="F1237" s="0" t="s">
        <v>11439</v>
      </c>
    </row>
    <row r="1238" customFormat="false" ht="15" hidden="false" customHeight="false" outlineLevel="0" collapsed="false">
      <c r="A1238" s="0" t="n">
        <v>420</v>
      </c>
      <c r="B1238" s="0" t="s">
        <v>2843</v>
      </c>
      <c r="C1238" s="0" t="s">
        <v>2847</v>
      </c>
      <c r="E1238" s="0" t="s">
        <v>79</v>
      </c>
      <c r="F1238" s="0" t="s">
        <v>11440</v>
      </c>
    </row>
    <row r="1239" customFormat="false" ht="15" hidden="false" customHeight="false" outlineLevel="0" collapsed="false">
      <c r="A1239" s="0" t="n">
        <v>420</v>
      </c>
      <c r="B1239" s="0" t="s">
        <v>2843</v>
      </c>
      <c r="C1239" s="0" t="s">
        <v>2848</v>
      </c>
      <c r="E1239" s="0" t="s">
        <v>79</v>
      </c>
      <c r="F1239" s="0" t="s">
        <v>11441</v>
      </c>
    </row>
    <row r="1240" customFormat="false" ht="15" hidden="false" customHeight="false" outlineLevel="0" collapsed="false">
      <c r="A1240" s="0" t="n">
        <v>422</v>
      </c>
      <c r="B1240" s="0" t="s">
        <v>2855</v>
      </c>
      <c r="C1240" s="0" t="s">
        <v>2826</v>
      </c>
      <c r="D1240" s="0" t="s">
        <v>11436</v>
      </c>
      <c r="E1240" s="0" t="s">
        <v>115</v>
      </c>
    </row>
    <row r="1241" customFormat="false" ht="15" hidden="false" customHeight="false" outlineLevel="0" collapsed="false">
      <c r="A1241" s="0" t="n">
        <v>422</v>
      </c>
      <c r="B1241" s="0" t="s">
        <v>2855</v>
      </c>
      <c r="C1241" s="0" t="s">
        <v>2827</v>
      </c>
      <c r="D1241" s="0" t="s">
        <v>11437</v>
      </c>
      <c r="E1241" s="0" t="s">
        <v>115</v>
      </c>
    </row>
    <row r="1242" customFormat="false" ht="15" hidden="false" customHeight="false" outlineLevel="0" collapsed="false">
      <c r="A1242" s="0" t="n">
        <v>422</v>
      </c>
      <c r="B1242" s="0" t="s">
        <v>2855</v>
      </c>
      <c r="C1242" s="0" t="s">
        <v>2828</v>
      </c>
      <c r="D1242" s="0" t="s">
        <v>11438</v>
      </c>
      <c r="E1242" s="0" t="s">
        <v>115</v>
      </c>
    </row>
    <row r="1243" customFormat="false" ht="15" hidden="false" customHeight="false" outlineLevel="0" collapsed="false">
      <c r="A1243" s="0" t="n">
        <v>423</v>
      </c>
      <c r="B1243" s="0" t="s">
        <v>2858</v>
      </c>
      <c r="C1243" s="0" t="s">
        <v>2860</v>
      </c>
      <c r="E1243" s="0" t="s">
        <v>79</v>
      </c>
      <c r="F1243" s="0" t="s">
        <v>11442</v>
      </c>
    </row>
    <row r="1244" customFormat="false" ht="15" hidden="false" customHeight="false" outlineLevel="0" collapsed="false">
      <c r="A1244" s="0" t="n">
        <v>423</v>
      </c>
      <c r="B1244" s="0" t="s">
        <v>2858</v>
      </c>
      <c r="C1244" s="0" t="s">
        <v>2861</v>
      </c>
      <c r="E1244" s="0" t="s">
        <v>79</v>
      </c>
      <c r="F1244" s="0" t="s">
        <v>11443</v>
      </c>
    </row>
    <row r="1245" customFormat="false" ht="15" hidden="false" customHeight="false" outlineLevel="0" collapsed="false">
      <c r="A1245" s="0" t="n">
        <v>423</v>
      </c>
      <c r="B1245" s="0" t="s">
        <v>2858</v>
      </c>
      <c r="C1245" s="0" t="s">
        <v>2862</v>
      </c>
      <c r="E1245" s="0" t="s">
        <v>79</v>
      </c>
      <c r="F1245" s="0" t="s">
        <v>11444</v>
      </c>
    </row>
    <row r="1246" customFormat="false" ht="15" hidden="false" customHeight="false" outlineLevel="0" collapsed="false">
      <c r="A1246" s="0" t="n">
        <v>423</v>
      </c>
      <c r="B1246" s="0" t="s">
        <v>2858</v>
      </c>
      <c r="C1246" s="0" t="s">
        <v>11445</v>
      </c>
      <c r="E1246" s="0" t="s">
        <v>79</v>
      </c>
      <c r="F1246" s="0" t="s">
        <v>11446</v>
      </c>
    </row>
    <row r="1247" customFormat="false" ht="15" hidden="false" customHeight="false" outlineLevel="0" collapsed="false">
      <c r="A1247" s="0" t="n">
        <v>423</v>
      </c>
      <c r="B1247" s="0" t="s">
        <v>2858</v>
      </c>
      <c r="C1247" s="0" t="s">
        <v>11447</v>
      </c>
      <c r="E1247" s="0" t="s">
        <v>79</v>
      </c>
      <c r="F1247" s="0" t="s">
        <v>11448</v>
      </c>
    </row>
    <row r="1248" customFormat="false" ht="15" hidden="false" customHeight="false" outlineLevel="0" collapsed="false">
      <c r="A1248" s="0" t="n">
        <v>424</v>
      </c>
      <c r="B1248" s="0" t="s">
        <v>2863</v>
      </c>
      <c r="C1248" s="0" t="s">
        <v>2865</v>
      </c>
      <c r="E1248" s="0" t="s">
        <v>79</v>
      </c>
      <c r="F1248" s="0" t="s">
        <v>11449</v>
      </c>
    </row>
    <row r="1249" customFormat="false" ht="15" hidden="false" customHeight="false" outlineLevel="0" collapsed="false">
      <c r="A1249" s="0" t="n">
        <v>424</v>
      </c>
      <c r="B1249" s="0" t="s">
        <v>2863</v>
      </c>
      <c r="C1249" s="0" t="s">
        <v>2866</v>
      </c>
      <c r="E1249" s="0" t="s">
        <v>79</v>
      </c>
      <c r="F1249" s="0" t="s">
        <v>11450</v>
      </c>
    </row>
    <row r="1250" customFormat="false" ht="15" hidden="false" customHeight="false" outlineLevel="0" collapsed="false">
      <c r="A1250" s="0" t="n">
        <v>424</v>
      </c>
      <c r="B1250" s="0" t="s">
        <v>2863</v>
      </c>
      <c r="C1250" s="0" t="s">
        <v>2867</v>
      </c>
      <c r="E1250" s="0" t="s">
        <v>79</v>
      </c>
      <c r="F1250" s="0" t="s">
        <v>11451</v>
      </c>
    </row>
    <row r="1251" customFormat="false" ht="15" hidden="false" customHeight="false" outlineLevel="0" collapsed="false">
      <c r="A1251" s="0" t="n">
        <v>424</v>
      </c>
      <c r="B1251" s="0" t="s">
        <v>2863</v>
      </c>
      <c r="C1251" s="0" t="s">
        <v>11452</v>
      </c>
      <c r="E1251" s="0" t="s">
        <v>79</v>
      </c>
      <c r="F1251" s="0" t="s">
        <v>11453</v>
      </c>
    </row>
    <row r="1252" customFormat="false" ht="15" hidden="false" customHeight="false" outlineLevel="0" collapsed="false">
      <c r="A1252" s="0" t="n">
        <v>424</v>
      </c>
      <c r="B1252" s="0" t="s">
        <v>2863</v>
      </c>
      <c r="C1252" s="0" t="s">
        <v>11454</v>
      </c>
      <c r="E1252" s="0" t="s">
        <v>79</v>
      </c>
      <c r="F1252" s="0" t="s">
        <v>11455</v>
      </c>
    </row>
    <row r="1253" customFormat="false" ht="15" hidden="false" customHeight="false" outlineLevel="0" collapsed="false">
      <c r="A1253" s="0" t="n">
        <v>426</v>
      </c>
      <c r="B1253" s="0" t="s">
        <v>2872</v>
      </c>
      <c r="C1253" s="0" t="s">
        <v>2875</v>
      </c>
      <c r="E1253" s="0" t="s">
        <v>79</v>
      </c>
      <c r="F1253" s="0" t="s">
        <v>11456</v>
      </c>
    </row>
    <row r="1254" customFormat="false" ht="15" hidden="false" customHeight="false" outlineLevel="0" collapsed="false">
      <c r="A1254" s="0" t="n">
        <v>426</v>
      </c>
      <c r="B1254" s="0" t="s">
        <v>2872</v>
      </c>
      <c r="C1254" s="0" t="s">
        <v>2876</v>
      </c>
      <c r="E1254" s="0" t="s">
        <v>79</v>
      </c>
      <c r="F1254" s="0" t="s">
        <v>11457</v>
      </c>
    </row>
    <row r="1255" customFormat="false" ht="15" hidden="false" customHeight="false" outlineLevel="0" collapsed="false">
      <c r="A1255" s="0" t="n">
        <v>427</v>
      </c>
      <c r="B1255" s="0" t="s">
        <v>2880</v>
      </c>
      <c r="C1255" s="0" t="s">
        <v>2883</v>
      </c>
      <c r="E1255" s="0" t="s">
        <v>79</v>
      </c>
      <c r="F1255" s="0" t="s">
        <v>11458</v>
      </c>
    </row>
    <row r="1256" customFormat="false" ht="15" hidden="false" customHeight="false" outlineLevel="0" collapsed="false">
      <c r="A1256" s="0" t="n">
        <v>427</v>
      </c>
      <c r="B1256" s="0" t="s">
        <v>2880</v>
      </c>
      <c r="C1256" s="0" t="s">
        <v>2884</v>
      </c>
      <c r="E1256" s="0" t="s">
        <v>79</v>
      </c>
      <c r="F1256" s="0" t="s">
        <v>11459</v>
      </c>
    </row>
    <row r="1257" customFormat="false" ht="15" hidden="false" customHeight="false" outlineLevel="0" collapsed="false">
      <c r="A1257" s="0" t="n">
        <v>427</v>
      </c>
      <c r="B1257" s="0" t="s">
        <v>2880</v>
      </c>
      <c r="C1257" s="0" t="s">
        <v>2885</v>
      </c>
      <c r="E1257" s="0" t="s">
        <v>79</v>
      </c>
      <c r="F1257" s="0" t="s">
        <v>11460</v>
      </c>
    </row>
    <row r="1258" customFormat="false" ht="15" hidden="false" customHeight="false" outlineLevel="0" collapsed="false">
      <c r="A1258" s="0" t="n">
        <v>427</v>
      </c>
      <c r="B1258" s="0" t="s">
        <v>2880</v>
      </c>
      <c r="C1258" s="0" t="s">
        <v>11461</v>
      </c>
      <c r="E1258" s="0" t="s">
        <v>79</v>
      </c>
      <c r="F1258" s="0" t="s">
        <v>11462</v>
      </c>
    </row>
    <row r="1259" customFormat="false" ht="15" hidden="false" customHeight="false" outlineLevel="0" collapsed="false">
      <c r="A1259" s="0" t="n">
        <v>427</v>
      </c>
      <c r="B1259" s="0" t="s">
        <v>2880</v>
      </c>
      <c r="C1259" s="0" t="s">
        <v>11463</v>
      </c>
      <c r="E1259" s="0" t="s">
        <v>79</v>
      </c>
      <c r="F1259" s="0" t="s">
        <v>11464</v>
      </c>
    </row>
    <row r="1260" customFormat="false" ht="15" hidden="false" customHeight="false" outlineLevel="0" collapsed="false">
      <c r="A1260" s="0" t="n">
        <v>429</v>
      </c>
      <c r="B1260" s="0" t="s">
        <v>2894</v>
      </c>
      <c r="C1260" s="0" t="s">
        <v>2897</v>
      </c>
      <c r="E1260" s="0" t="s">
        <v>79</v>
      </c>
      <c r="F1260" s="0" t="s">
        <v>11465</v>
      </c>
    </row>
    <row r="1261" customFormat="false" ht="15" hidden="false" customHeight="false" outlineLevel="0" collapsed="false">
      <c r="A1261" s="0" t="n">
        <v>429</v>
      </c>
      <c r="B1261" s="0" t="s">
        <v>2894</v>
      </c>
      <c r="C1261" s="0" t="s">
        <v>2898</v>
      </c>
      <c r="E1261" s="0" t="s">
        <v>79</v>
      </c>
      <c r="F1261" s="0" t="s">
        <v>11466</v>
      </c>
    </row>
    <row r="1262" customFormat="false" ht="15" hidden="false" customHeight="false" outlineLevel="0" collapsed="false">
      <c r="A1262" s="0" t="n">
        <v>429</v>
      </c>
      <c r="B1262" s="0" t="s">
        <v>2894</v>
      </c>
      <c r="C1262" s="0" t="s">
        <v>2899</v>
      </c>
      <c r="E1262" s="0" t="s">
        <v>79</v>
      </c>
      <c r="F1262" s="0" t="s">
        <v>11467</v>
      </c>
    </row>
    <row r="1263" customFormat="false" ht="15" hidden="false" customHeight="false" outlineLevel="0" collapsed="false">
      <c r="A1263" s="0" t="n">
        <v>429</v>
      </c>
      <c r="B1263" s="0" t="s">
        <v>2894</v>
      </c>
      <c r="C1263" s="0" t="s">
        <v>11468</v>
      </c>
      <c r="E1263" s="0" t="s">
        <v>79</v>
      </c>
      <c r="F1263" s="0" t="s">
        <v>11469</v>
      </c>
    </row>
    <row r="1264" customFormat="false" ht="15" hidden="false" customHeight="false" outlineLevel="0" collapsed="false">
      <c r="A1264" s="0" t="n">
        <v>429</v>
      </c>
      <c r="B1264" s="0" t="s">
        <v>2894</v>
      </c>
      <c r="C1264" s="0" t="s">
        <v>11470</v>
      </c>
      <c r="E1264" s="0" t="s">
        <v>79</v>
      </c>
      <c r="F1264" s="0" t="s">
        <v>11471</v>
      </c>
    </row>
    <row r="1265" customFormat="false" ht="15" hidden="false" customHeight="false" outlineLevel="0" collapsed="false">
      <c r="A1265" s="0" t="n">
        <v>431</v>
      </c>
      <c r="B1265" s="0" t="s">
        <v>2906</v>
      </c>
      <c r="C1265" s="0" t="s">
        <v>2909</v>
      </c>
      <c r="E1265" s="0" t="s">
        <v>79</v>
      </c>
      <c r="F1265" s="0" t="s">
        <v>11472</v>
      </c>
    </row>
    <row r="1266" customFormat="false" ht="15" hidden="false" customHeight="false" outlineLevel="0" collapsed="false">
      <c r="A1266" s="0" t="n">
        <v>431</v>
      </c>
      <c r="B1266" s="0" t="s">
        <v>2906</v>
      </c>
      <c r="C1266" s="0" t="s">
        <v>2910</v>
      </c>
      <c r="E1266" s="0" t="s">
        <v>79</v>
      </c>
      <c r="F1266" s="0" t="s">
        <v>11473</v>
      </c>
    </row>
    <row r="1267" customFormat="false" ht="15" hidden="false" customHeight="false" outlineLevel="0" collapsed="false">
      <c r="A1267" s="0" t="n">
        <v>431</v>
      </c>
      <c r="B1267" s="0" t="s">
        <v>2906</v>
      </c>
      <c r="C1267" s="0" t="s">
        <v>2911</v>
      </c>
      <c r="E1267" s="0" t="s">
        <v>79</v>
      </c>
      <c r="F1267" s="0" t="s">
        <v>11474</v>
      </c>
    </row>
    <row r="1268" customFormat="false" ht="15" hidden="false" customHeight="false" outlineLevel="0" collapsed="false">
      <c r="A1268" s="0" t="n">
        <v>431</v>
      </c>
      <c r="B1268" s="0" t="s">
        <v>2906</v>
      </c>
      <c r="C1268" s="0" t="s">
        <v>11475</v>
      </c>
      <c r="E1268" s="0" t="s">
        <v>79</v>
      </c>
      <c r="F1268" s="0" t="s">
        <v>11476</v>
      </c>
    </row>
    <row r="1269" customFormat="false" ht="15" hidden="false" customHeight="false" outlineLevel="0" collapsed="false">
      <c r="A1269" s="0" t="n">
        <v>431</v>
      </c>
      <c r="B1269" s="0" t="s">
        <v>2906</v>
      </c>
      <c r="C1269" s="0" t="s">
        <v>11477</v>
      </c>
      <c r="E1269" s="0" t="s">
        <v>79</v>
      </c>
      <c r="F1269" s="0" t="s">
        <v>11478</v>
      </c>
    </row>
    <row r="1270" customFormat="false" ht="15" hidden="false" customHeight="false" outlineLevel="0" collapsed="false">
      <c r="A1270" s="0" t="n">
        <v>432</v>
      </c>
      <c r="B1270" s="0" t="s">
        <v>2914</v>
      </c>
      <c r="C1270" s="0" t="s">
        <v>2917</v>
      </c>
      <c r="E1270" s="0" t="s">
        <v>79</v>
      </c>
      <c r="F1270" s="0" t="s">
        <v>11479</v>
      </c>
    </row>
    <row r="1271" customFormat="false" ht="15" hidden="false" customHeight="false" outlineLevel="0" collapsed="false">
      <c r="A1271" s="0" t="n">
        <v>432</v>
      </c>
      <c r="B1271" s="0" t="s">
        <v>2914</v>
      </c>
      <c r="C1271" s="0" t="s">
        <v>2918</v>
      </c>
      <c r="E1271" s="0" t="s">
        <v>79</v>
      </c>
      <c r="F1271" s="0" t="s">
        <v>11480</v>
      </c>
    </row>
    <row r="1272" customFormat="false" ht="15" hidden="false" customHeight="false" outlineLevel="0" collapsed="false">
      <c r="A1272" s="0" t="n">
        <v>432</v>
      </c>
      <c r="B1272" s="0" t="s">
        <v>2914</v>
      </c>
      <c r="C1272" s="0" t="s">
        <v>2919</v>
      </c>
      <c r="E1272" s="0" t="s">
        <v>79</v>
      </c>
      <c r="F1272" s="0" t="s">
        <v>11481</v>
      </c>
    </row>
    <row r="1273" customFormat="false" ht="15" hidden="false" customHeight="false" outlineLevel="0" collapsed="false">
      <c r="A1273" s="0" t="n">
        <v>432</v>
      </c>
      <c r="B1273" s="0" t="s">
        <v>2914</v>
      </c>
      <c r="C1273" s="0" t="s">
        <v>11482</v>
      </c>
      <c r="E1273" s="0" t="s">
        <v>79</v>
      </c>
      <c r="F1273" s="0" t="s">
        <v>11483</v>
      </c>
    </row>
    <row r="1274" customFormat="false" ht="15" hidden="false" customHeight="false" outlineLevel="0" collapsed="false">
      <c r="A1274" s="0" t="n">
        <v>433</v>
      </c>
      <c r="B1274" s="0" t="s">
        <v>2920</v>
      </c>
      <c r="C1274" s="0" t="s">
        <v>2922</v>
      </c>
      <c r="E1274" s="0" t="s">
        <v>79</v>
      </c>
      <c r="F1274" s="0" t="s">
        <v>11484</v>
      </c>
    </row>
    <row r="1275" customFormat="false" ht="15" hidden="false" customHeight="false" outlineLevel="0" collapsed="false">
      <c r="A1275" s="0" t="n">
        <v>433</v>
      </c>
      <c r="B1275" s="0" t="s">
        <v>2920</v>
      </c>
      <c r="C1275" s="0" t="s">
        <v>2923</v>
      </c>
      <c r="E1275" s="0" t="s">
        <v>79</v>
      </c>
      <c r="F1275" s="0" t="s">
        <v>11485</v>
      </c>
    </row>
    <row r="1276" customFormat="false" ht="15" hidden="false" customHeight="false" outlineLevel="0" collapsed="false">
      <c r="A1276" s="0" t="n">
        <v>433</v>
      </c>
      <c r="B1276" s="0" t="s">
        <v>2920</v>
      </c>
      <c r="C1276" s="0" t="s">
        <v>2924</v>
      </c>
      <c r="E1276" s="0" t="s">
        <v>79</v>
      </c>
      <c r="F1276" s="0" t="s">
        <v>11486</v>
      </c>
    </row>
    <row r="1277" customFormat="false" ht="15" hidden="false" customHeight="false" outlineLevel="0" collapsed="false">
      <c r="A1277" s="0" t="n">
        <v>433</v>
      </c>
      <c r="B1277" s="0" t="s">
        <v>2920</v>
      </c>
      <c r="C1277" s="0" t="s">
        <v>11487</v>
      </c>
      <c r="E1277" s="0" t="s">
        <v>79</v>
      </c>
      <c r="F1277" s="0" t="s">
        <v>11488</v>
      </c>
    </row>
    <row r="1278" customFormat="false" ht="15" hidden="false" customHeight="false" outlineLevel="0" collapsed="false">
      <c r="A1278" s="0" t="n">
        <v>433</v>
      </c>
      <c r="B1278" s="0" t="s">
        <v>2920</v>
      </c>
      <c r="C1278" s="0" t="s">
        <v>11489</v>
      </c>
      <c r="E1278" s="0" t="s">
        <v>79</v>
      </c>
      <c r="F1278" s="0" t="s">
        <v>11490</v>
      </c>
    </row>
    <row r="1279" customFormat="false" ht="15" hidden="false" customHeight="false" outlineLevel="0" collapsed="false">
      <c r="A1279" s="0" t="n">
        <v>434</v>
      </c>
      <c r="B1279" s="0" t="s">
        <v>2927</v>
      </c>
      <c r="C1279" s="0" t="s">
        <v>2929</v>
      </c>
      <c r="E1279" s="0" t="s">
        <v>79</v>
      </c>
      <c r="F1279" s="0" t="s">
        <v>11491</v>
      </c>
    </row>
    <row r="1280" customFormat="false" ht="15" hidden="false" customHeight="false" outlineLevel="0" collapsed="false">
      <c r="A1280" s="0" t="n">
        <v>434</v>
      </c>
      <c r="B1280" s="0" t="s">
        <v>2927</v>
      </c>
      <c r="C1280" s="0" t="s">
        <v>2930</v>
      </c>
      <c r="E1280" s="0" t="s">
        <v>79</v>
      </c>
      <c r="F1280" s="0" t="s">
        <v>11492</v>
      </c>
    </row>
    <row r="1281" customFormat="false" ht="15" hidden="false" customHeight="false" outlineLevel="0" collapsed="false">
      <c r="A1281" s="0" t="n">
        <v>435</v>
      </c>
      <c r="B1281" s="0" t="s">
        <v>2931</v>
      </c>
      <c r="C1281" s="0" t="s">
        <v>2934</v>
      </c>
      <c r="E1281" s="0" t="s">
        <v>79</v>
      </c>
      <c r="F1281" s="0" t="s">
        <v>11493</v>
      </c>
    </row>
    <row r="1282" customFormat="false" ht="15" hidden="false" customHeight="false" outlineLevel="0" collapsed="false">
      <c r="A1282" s="0" t="n">
        <v>435</v>
      </c>
      <c r="B1282" s="0" t="s">
        <v>2931</v>
      </c>
      <c r="C1282" s="0" t="s">
        <v>2935</v>
      </c>
      <c r="E1282" s="0" t="s">
        <v>79</v>
      </c>
      <c r="F1282" s="0" t="s">
        <v>11494</v>
      </c>
    </row>
    <row r="1283" customFormat="false" ht="15" hidden="false" customHeight="false" outlineLevel="0" collapsed="false">
      <c r="A1283" s="0" t="n">
        <v>435</v>
      </c>
      <c r="B1283" s="0" t="s">
        <v>2931</v>
      </c>
      <c r="C1283" s="0" t="s">
        <v>2936</v>
      </c>
      <c r="E1283" s="0" t="s">
        <v>79</v>
      </c>
      <c r="F1283" s="0" t="s">
        <v>11495</v>
      </c>
    </row>
    <row r="1284" customFormat="false" ht="15" hidden="false" customHeight="false" outlineLevel="0" collapsed="false">
      <c r="A1284" s="0" t="n">
        <v>435</v>
      </c>
      <c r="B1284" s="0" t="s">
        <v>2931</v>
      </c>
      <c r="C1284" s="0" t="s">
        <v>11496</v>
      </c>
      <c r="E1284" s="0" t="s">
        <v>79</v>
      </c>
      <c r="F1284" s="0" t="s">
        <v>11497</v>
      </c>
    </row>
    <row r="1285" customFormat="false" ht="15" hidden="false" customHeight="false" outlineLevel="0" collapsed="false">
      <c r="A1285" s="0" t="n">
        <v>436</v>
      </c>
      <c r="B1285" s="0" t="s">
        <v>2941</v>
      </c>
      <c r="C1285" s="0" t="s">
        <v>2944</v>
      </c>
      <c r="E1285" s="0" t="s">
        <v>79</v>
      </c>
      <c r="F1285" s="0" t="s">
        <v>11498</v>
      </c>
    </row>
    <row r="1286" customFormat="false" ht="15" hidden="false" customHeight="false" outlineLevel="0" collapsed="false">
      <c r="A1286" s="0" t="n">
        <v>436</v>
      </c>
      <c r="B1286" s="0" t="s">
        <v>2941</v>
      </c>
      <c r="C1286" s="0" t="s">
        <v>2945</v>
      </c>
      <c r="E1286" s="0" t="s">
        <v>79</v>
      </c>
      <c r="F1286" s="0" t="s">
        <v>11499</v>
      </c>
    </row>
    <row r="1287" customFormat="false" ht="15" hidden="false" customHeight="false" outlineLevel="0" collapsed="false">
      <c r="A1287" s="0" t="n">
        <v>436</v>
      </c>
      <c r="B1287" s="0" t="s">
        <v>2941</v>
      </c>
      <c r="C1287" s="0" t="s">
        <v>2946</v>
      </c>
      <c r="E1287" s="0" t="s">
        <v>79</v>
      </c>
      <c r="F1287" s="0" t="s">
        <v>11500</v>
      </c>
    </row>
    <row r="1288" customFormat="false" ht="15" hidden="false" customHeight="false" outlineLevel="0" collapsed="false">
      <c r="A1288" s="0" t="n">
        <v>436</v>
      </c>
      <c r="B1288" s="0" t="s">
        <v>2941</v>
      </c>
      <c r="C1288" s="0" t="s">
        <v>11501</v>
      </c>
      <c r="E1288" s="0" t="s">
        <v>79</v>
      </c>
      <c r="F1288" s="0" t="s">
        <v>11502</v>
      </c>
    </row>
    <row r="1289" customFormat="false" ht="15" hidden="false" customHeight="false" outlineLevel="0" collapsed="false">
      <c r="A1289" s="0" t="n">
        <v>436</v>
      </c>
      <c r="B1289" s="0" t="s">
        <v>2941</v>
      </c>
      <c r="C1289" s="0" t="s">
        <v>11503</v>
      </c>
      <c r="E1289" s="0" t="s">
        <v>79</v>
      </c>
      <c r="F1289" s="0" t="s">
        <v>11504</v>
      </c>
    </row>
    <row r="1290" customFormat="false" ht="15" hidden="false" customHeight="false" outlineLevel="0" collapsed="false">
      <c r="A1290" s="0" t="n">
        <v>439</v>
      </c>
      <c r="B1290" s="0" t="s">
        <v>2957</v>
      </c>
      <c r="C1290" s="0" t="s">
        <v>2959</v>
      </c>
      <c r="E1290" s="0" t="s">
        <v>79</v>
      </c>
      <c r="F1290" s="0" t="s">
        <v>11505</v>
      </c>
    </row>
    <row r="1291" customFormat="false" ht="15" hidden="false" customHeight="false" outlineLevel="0" collapsed="false">
      <c r="A1291" s="0" t="n">
        <v>439</v>
      </c>
      <c r="B1291" s="0" t="s">
        <v>2957</v>
      </c>
      <c r="C1291" s="0" t="s">
        <v>2960</v>
      </c>
      <c r="E1291" s="0" t="s">
        <v>79</v>
      </c>
      <c r="F1291" s="0" t="s">
        <v>11506</v>
      </c>
    </row>
    <row r="1292" customFormat="false" ht="15" hidden="false" customHeight="false" outlineLevel="0" collapsed="false">
      <c r="A1292" s="0" t="n">
        <v>439</v>
      </c>
      <c r="B1292" s="0" t="s">
        <v>2957</v>
      </c>
      <c r="C1292" s="0" t="s">
        <v>2961</v>
      </c>
      <c r="E1292" s="0" t="s">
        <v>79</v>
      </c>
      <c r="F1292" s="0" t="s">
        <v>11507</v>
      </c>
    </row>
    <row r="1293" customFormat="false" ht="15" hidden="false" customHeight="false" outlineLevel="0" collapsed="false">
      <c r="A1293" s="0" t="n">
        <v>440</v>
      </c>
      <c r="B1293" s="0" t="s">
        <v>2962</v>
      </c>
      <c r="C1293" s="0" t="s">
        <v>2965</v>
      </c>
      <c r="E1293" s="0" t="s">
        <v>79</v>
      </c>
      <c r="F1293" s="0" t="s">
        <v>11508</v>
      </c>
    </row>
    <row r="1294" customFormat="false" ht="15" hidden="false" customHeight="false" outlineLevel="0" collapsed="false">
      <c r="A1294" s="0" t="n">
        <v>440</v>
      </c>
      <c r="B1294" s="0" t="s">
        <v>2962</v>
      </c>
      <c r="C1294" s="0" t="s">
        <v>2966</v>
      </c>
      <c r="E1294" s="0" t="s">
        <v>79</v>
      </c>
      <c r="F1294" s="0" t="s">
        <v>11509</v>
      </c>
    </row>
    <row r="1295" customFormat="false" ht="15" hidden="false" customHeight="false" outlineLevel="0" collapsed="false">
      <c r="A1295" s="0" t="n">
        <v>440</v>
      </c>
      <c r="B1295" s="0" t="s">
        <v>2962</v>
      </c>
      <c r="C1295" s="0" t="s">
        <v>2967</v>
      </c>
      <c r="E1295" s="0" t="s">
        <v>79</v>
      </c>
      <c r="F1295" s="0" t="s">
        <v>11510</v>
      </c>
    </row>
    <row r="1296" customFormat="false" ht="15" hidden="false" customHeight="false" outlineLevel="0" collapsed="false">
      <c r="A1296" s="0" t="n">
        <v>440</v>
      </c>
      <c r="B1296" s="0" t="s">
        <v>2962</v>
      </c>
      <c r="C1296" s="0" t="s">
        <v>11511</v>
      </c>
      <c r="E1296" s="0" t="s">
        <v>79</v>
      </c>
      <c r="F1296" s="0" t="s">
        <v>11512</v>
      </c>
    </row>
    <row r="1297" customFormat="false" ht="15" hidden="false" customHeight="false" outlineLevel="0" collapsed="false">
      <c r="A1297" s="0" t="n">
        <v>440</v>
      </c>
      <c r="B1297" s="0" t="s">
        <v>2962</v>
      </c>
      <c r="C1297" s="0" t="s">
        <v>11513</v>
      </c>
      <c r="E1297" s="0" t="s">
        <v>79</v>
      </c>
      <c r="F1297" s="0" t="s">
        <v>11514</v>
      </c>
    </row>
    <row r="1298" customFormat="false" ht="15" hidden="false" customHeight="false" outlineLevel="0" collapsed="false">
      <c r="A1298" s="0" t="n">
        <v>441</v>
      </c>
      <c r="B1298" s="0" t="s">
        <v>2968</v>
      </c>
      <c r="C1298" s="0" t="s">
        <v>2970</v>
      </c>
      <c r="E1298" s="0" t="s">
        <v>79</v>
      </c>
      <c r="F1298" s="0" t="s">
        <v>11515</v>
      </c>
    </row>
    <row r="1299" customFormat="false" ht="15" hidden="false" customHeight="false" outlineLevel="0" collapsed="false">
      <c r="A1299" s="0" t="n">
        <v>441</v>
      </c>
      <c r="B1299" s="0" t="s">
        <v>2968</v>
      </c>
      <c r="C1299" s="0" t="s">
        <v>2971</v>
      </c>
      <c r="E1299" s="0" t="s">
        <v>79</v>
      </c>
      <c r="F1299" s="0" t="s">
        <v>11516</v>
      </c>
    </row>
    <row r="1300" customFormat="false" ht="15" hidden="false" customHeight="false" outlineLevel="0" collapsed="false">
      <c r="A1300" s="0" t="n">
        <v>441</v>
      </c>
      <c r="B1300" s="0" t="s">
        <v>2968</v>
      </c>
      <c r="C1300" s="0" t="s">
        <v>2972</v>
      </c>
      <c r="E1300" s="0" t="s">
        <v>79</v>
      </c>
      <c r="F1300" s="0" t="s">
        <v>11517</v>
      </c>
    </row>
    <row r="1301" customFormat="false" ht="15" hidden="false" customHeight="false" outlineLevel="0" collapsed="false">
      <c r="A1301" s="0" t="n">
        <v>441</v>
      </c>
      <c r="B1301" s="0" t="s">
        <v>2968</v>
      </c>
      <c r="C1301" s="0" t="s">
        <v>11518</v>
      </c>
      <c r="E1301" s="0" t="s">
        <v>79</v>
      </c>
      <c r="F1301" s="0" t="s">
        <v>11519</v>
      </c>
    </row>
    <row r="1302" customFormat="false" ht="15" hidden="false" customHeight="false" outlineLevel="0" collapsed="false">
      <c r="A1302" s="0" t="n">
        <v>441</v>
      </c>
      <c r="B1302" s="0" t="s">
        <v>2968</v>
      </c>
      <c r="C1302" s="0" t="s">
        <v>11520</v>
      </c>
      <c r="E1302" s="0" t="s">
        <v>79</v>
      </c>
      <c r="F1302" s="0" t="s">
        <v>11521</v>
      </c>
    </row>
    <row r="1303" customFormat="false" ht="15" hidden="false" customHeight="false" outlineLevel="0" collapsed="false">
      <c r="A1303" s="0" t="n">
        <v>442</v>
      </c>
      <c r="B1303" s="0" t="s">
        <v>2973</v>
      </c>
      <c r="C1303" s="0" t="s">
        <v>2975</v>
      </c>
      <c r="E1303" s="0" t="s">
        <v>79</v>
      </c>
      <c r="F1303" s="0" t="s">
        <v>11522</v>
      </c>
    </row>
    <row r="1304" customFormat="false" ht="15" hidden="false" customHeight="false" outlineLevel="0" collapsed="false">
      <c r="A1304" s="0" t="n">
        <v>442</v>
      </c>
      <c r="B1304" s="0" t="s">
        <v>2973</v>
      </c>
      <c r="C1304" s="0" t="s">
        <v>2976</v>
      </c>
      <c r="E1304" s="0" t="s">
        <v>79</v>
      </c>
      <c r="F1304" s="0" t="s">
        <v>11523</v>
      </c>
    </row>
    <row r="1305" customFormat="false" ht="15" hidden="false" customHeight="false" outlineLevel="0" collapsed="false">
      <c r="A1305" s="0" t="n">
        <v>442</v>
      </c>
      <c r="B1305" s="0" t="s">
        <v>2973</v>
      </c>
      <c r="C1305" s="0" t="s">
        <v>2977</v>
      </c>
      <c r="E1305" s="0" t="s">
        <v>79</v>
      </c>
      <c r="F1305" s="0" t="s">
        <v>11524</v>
      </c>
    </row>
    <row r="1306" customFormat="false" ht="15" hidden="false" customHeight="false" outlineLevel="0" collapsed="false">
      <c r="A1306" s="0" t="n">
        <v>442</v>
      </c>
      <c r="B1306" s="0" t="s">
        <v>2973</v>
      </c>
      <c r="C1306" s="0" t="s">
        <v>11525</v>
      </c>
      <c r="E1306" s="0" t="s">
        <v>79</v>
      </c>
      <c r="F1306" s="0" t="s">
        <v>11526</v>
      </c>
    </row>
    <row r="1307" customFormat="false" ht="15" hidden="false" customHeight="false" outlineLevel="0" collapsed="false">
      <c r="A1307" s="0" t="n">
        <v>442</v>
      </c>
      <c r="B1307" s="0" t="s">
        <v>2973</v>
      </c>
      <c r="C1307" s="0" t="s">
        <v>11527</v>
      </c>
      <c r="E1307" s="0" t="s">
        <v>79</v>
      </c>
      <c r="F1307" s="0" t="s">
        <v>11528</v>
      </c>
    </row>
    <row r="1308" customFormat="false" ht="15" hidden="false" customHeight="false" outlineLevel="0" collapsed="false">
      <c r="A1308" s="0" t="n">
        <v>443</v>
      </c>
      <c r="B1308" s="0" t="s">
        <v>2978</v>
      </c>
      <c r="C1308" s="0" t="s">
        <v>2981</v>
      </c>
      <c r="E1308" s="0" t="s">
        <v>59</v>
      </c>
      <c r="F1308" s="0" t="s">
        <v>11529</v>
      </c>
    </row>
    <row r="1309" customFormat="false" ht="15" hidden="false" customHeight="false" outlineLevel="0" collapsed="false">
      <c r="A1309" s="0" t="n">
        <v>443</v>
      </c>
      <c r="B1309" s="0" t="s">
        <v>2978</v>
      </c>
      <c r="C1309" s="0" t="s">
        <v>2982</v>
      </c>
      <c r="E1309" s="0" t="s">
        <v>59</v>
      </c>
      <c r="F1309" s="0" t="s">
        <v>11530</v>
      </c>
    </row>
    <row r="1310" customFormat="false" ht="15" hidden="false" customHeight="false" outlineLevel="0" collapsed="false">
      <c r="A1310" s="0" t="n">
        <v>443</v>
      </c>
      <c r="B1310" s="0" t="s">
        <v>2978</v>
      </c>
      <c r="C1310" s="0" t="s">
        <v>2983</v>
      </c>
      <c r="E1310" s="0" t="s">
        <v>59</v>
      </c>
      <c r="F1310" s="0" t="s">
        <v>11531</v>
      </c>
    </row>
    <row r="1311" customFormat="false" ht="15" hidden="false" customHeight="false" outlineLevel="0" collapsed="false">
      <c r="A1311" s="0" t="n">
        <v>443</v>
      </c>
      <c r="B1311" s="0" t="s">
        <v>2978</v>
      </c>
      <c r="C1311" s="0" t="s">
        <v>11532</v>
      </c>
      <c r="E1311" s="0" t="s">
        <v>59</v>
      </c>
      <c r="F1311" s="0" t="s">
        <v>11533</v>
      </c>
    </row>
    <row r="1312" customFormat="false" ht="15" hidden="false" customHeight="false" outlineLevel="0" collapsed="false">
      <c r="A1312" s="0" t="n">
        <v>443</v>
      </c>
      <c r="B1312" s="0" t="s">
        <v>2978</v>
      </c>
      <c r="C1312" s="0" t="s">
        <v>11534</v>
      </c>
      <c r="E1312" s="0" t="s">
        <v>59</v>
      </c>
      <c r="F1312" s="0" t="s">
        <v>11535</v>
      </c>
    </row>
    <row r="1313" customFormat="false" ht="15" hidden="false" customHeight="false" outlineLevel="0" collapsed="false">
      <c r="A1313" s="0" t="n">
        <v>444</v>
      </c>
      <c r="B1313" s="0" t="s">
        <v>2987</v>
      </c>
      <c r="C1313" s="0" t="s">
        <v>2990</v>
      </c>
      <c r="E1313" s="0" t="s">
        <v>79</v>
      </c>
      <c r="F1313" s="0" t="s">
        <v>11536</v>
      </c>
    </row>
    <row r="1314" customFormat="false" ht="15" hidden="false" customHeight="false" outlineLevel="0" collapsed="false">
      <c r="A1314" s="0" t="n">
        <v>444</v>
      </c>
      <c r="B1314" s="0" t="s">
        <v>2987</v>
      </c>
      <c r="C1314" s="0" t="s">
        <v>2991</v>
      </c>
      <c r="E1314" s="0" t="s">
        <v>79</v>
      </c>
      <c r="F1314" s="0" t="s">
        <v>11537</v>
      </c>
    </row>
    <row r="1315" customFormat="false" ht="15" hidden="false" customHeight="false" outlineLevel="0" collapsed="false">
      <c r="A1315" s="0" t="n">
        <v>444</v>
      </c>
      <c r="B1315" s="0" t="s">
        <v>2987</v>
      </c>
      <c r="C1315" s="0" t="s">
        <v>2992</v>
      </c>
      <c r="E1315" s="0" t="s">
        <v>79</v>
      </c>
      <c r="F1315" s="0" t="s">
        <v>11538</v>
      </c>
    </row>
    <row r="1316" customFormat="false" ht="15" hidden="false" customHeight="false" outlineLevel="0" collapsed="false">
      <c r="A1316" s="0" t="n">
        <v>444</v>
      </c>
      <c r="B1316" s="0" t="s">
        <v>2987</v>
      </c>
      <c r="C1316" s="0" t="s">
        <v>11539</v>
      </c>
      <c r="E1316" s="0" t="s">
        <v>79</v>
      </c>
      <c r="F1316" s="0" t="s">
        <v>11540</v>
      </c>
    </row>
    <row r="1317" customFormat="false" ht="15" hidden="false" customHeight="false" outlineLevel="0" collapsed="false">
      <c r="A1317" s="0" t="n">
        <v>444</v>
      </c>
      <c r="B1317" s="0" t="s">
        <v>2987</v>
      </c>
      <c r="C1317" s="0" t="s">
        <v>11541</v>
      </c>
      <c r="E1317" s="0" t="s">
        <v>79</v>
      </c>
      <c r="F1317" s="0" t="s">
        <v>11542</v>
      </c>
    </row>
    <row r="1318" customFormat="false" ht="15" hidden="false" customHeight="false" outlineLevel="0" collapsed="false">
      <c r="A1318" s="0" t="n">
        <v>445</v>
      </c>
      <c r="B1318" s="0" t="s">
        <v>2993</v>
      </c>
      <c r="C1318" s="0" t="s">
        <v>2995</v>
      </c>
      <c r="E1318" s="0" t="s">
        <v>79</v>
      </c>
      <c r="F1318" s="0" t="s">
        <v>11543</v>
      </c>
    </row>
    <row r="1319" customFormat="false" ht="15" hidden="false" customHeight="false" outlineLevel="0" collapsed="false">
      <c r="A1319" s="0" t="n">
        <v>445</v>
      </c>
      <c r="B1319" s="0" t="s">
        <v>2993</v>
      </c>
      <c r="C1319" s="0" t="s">
        <v>2996</v>
      </c>
      <c r="E1319" s="0" t="s">
        <v>79</v>
      </c>
      <c r="F1319" s="0" t="s">
        <v>11544</v>
      </c>
    </row>
    <row r="1320" customFormat="false" ht="15" hidden="false" customHeight="false" outlineLevel="0" collapsed="false">
      <c r="A1320" s="0" t="n">
        <v>445</v>
      </c>
      <c r="B1320" s="0" t="s">
        <v>2993</v>
      </c>
      <c r="C1320" s="0" t="s">
        <v>2997</v>
      </c>
      <c r="E1320" s="0" t="s">
        <v>79</v>
      </c>
      <c r="F1320" s="0" t="s">
        <v>11545</v>
      </c>
    </row>
    <row r="1321" customFormat="false" ht="15" hidden="false" customHeight="false" outlineLevel="0" collapsed="false">
      <c r="A1321" s="0" t="n">
        <v>445</v>
      </c>
      <c r="B1321" s="0" t="s">
        <v>2993</v>
      </c>
      <c r="C1321" s="0" t="s">
        <v>11546</v>
      </c>
      <c r="E1321" s="0" t="s">
        <v>79</v>
      </c>
      <c r="F1321" s="0" t="s">
        <v>11547</v>
      </c>
    </row>
    <row r="1322" customFormat="false" ht="15" hidden="false" customHeight="false" outlineLevel="0" collapsed="false">
      <c r="A1322" s="0" t="n">
        <v>445</v>
      </c>
      <c r="B1322" s="0" t="s">
        <v>2993</v>
      </c>
      <c r="C1322" s="0" t="s">
        <v>11548</v>
      </c>
      <c r="E1322" s="0" t="s">
        <v>79</v>
      </c>
      <c r="F1322" s="0" t="s">
        <v>11549</v>
      </c>
    </row>
    <row r="1323" customFormat="false" ht="15" hidden="false" customHeight="false" outlineLevel="0" collapsed="false">
      <c r="A1323" s="0" t="n">
        <v>447</v>
      </c>
      <c r="B1323" s="0" t="s">
        <v>3001</v>
      </c>
      <c r="C1323" s="0" t="s">
        <v>3004</v>
      </c>
      <c r="E1323" s="0" t="s">
        <v>79</v>
      </c>
      <c r="F1323" s="0" t="s">
        <v>11550</v>
      </c>
    </row>
    <row r="1324" customFormat="false" ht="15" hidden="false" customHeight="false" outlineLevel="0" collapsed="false">
      <c r="A1324" s="0" t="n">
        <v>447</v>
      </c>
      <c r="B1324" s="0" t="s">
        <v>3001</v>
      </c>
      <c r="C1324" s="0" t="s">
        <v>3005</v>
      </c>
      <c r="E1324" s="0" t="s">
        <v>79</v>
      </c>
      <c r="F1324" s="0" t="s">
        <v>11551</v>
      </c>
    </row>
    <row r="1325" customFormat="false" ht="15" hidden="false" customHeight="false" outlineLevel="0" collapsed="false">
      <c r="A1325" s="0" t="n">
        <v>447</v>
      </c>
      <c r="B1325" s="0" t="s">
        <v>3001</v>
      </c>
      <c r="C1325" s="0" t="s">
        <v>3006</v>
      </c>
      <c r="E1325" s="0" t="s">
        <v>79</v>
      </c>
      <c r="F1325" s="0" t="s">
        <v>11552</v>
      </c>
    </row>
    <row r="1326" customFormat="false" ht="15" hidden="false" customHeight="false" outlineLevel="0" collapsed="false">
      <c r="A1326" s="0" t="n">
        <v>447</v>
      </c>
      <c r="B1326" s="0" t="s">
        <v>3001</v>
      </c>
      <c r="C1326" s="0" t="s">
        <v>11553</v>
      </c>
      <c r="E1326" s="0" t="s">
        <v>79</v>
      </c>
      <c r="F1326" s="0" t="s">
        <v>11554</v>
      </c>
    </row>
    <row r="1327" customFormat="false" ht="15" hidden="false" customHeight="false" outlineLevel="0" collapsed="false">
      <c r="A1327" s="0" t="n">
        <v>447</v>
      </c>
      <c r="B1327" s="0" t="s">
        <v>3001</v>
      </c>
      <c r="C1327" s="0" t="s">
        <v>11555</v>
      </c>
      <c r="E1327" s="0" t="s">
        <v>79</v>
      </c>
      <c r="F1327" s="0" t="s">
        <v>11556</v>
      </c>
    </row>
    <row r="1328" customFormat="false" ht="15" hidden="false" customHeight="false" outlineLevel="0" collapsed="false">
      <c r="A1328" s="0" t="n">
        <v>448</v>
      </c>
      <c r="B1328" s="0" t="s">
        <v>3012</v>
      </c>
      <c r="C1328" s="0" t="s">
        <v>3015</v>
      </c>
      <c r="E1328" s="0" t="s">
        <v>79</v>
      </c>
      <c r="F1328" s="0" t="s">
        <v>11557</v>
      </c>
    </row>
    <row r="1329" customFormat="false" ht="15" hidden="false" customHeight="false" outlineLevel="0" collapsed="false">
      <c r="A1329" s="0" t="n">
        <v>448</v>
      </c>
      <c r="B1329" s="0" t="s">
        <v>3012</v>
      </c>
      <c r="C1329" s="0" t="s">
        <v>3016</v>
      </c>
      <c r="E1329" s="0" t="s">
        <v>79</v>
      </c>
      <c r="F1329" s="0" t="s">
        <v>11558</v>
      </c>
    </row>
    <row r="1330" customFormat="false" ht="15" hidden="false" customHeight="false" outlineLevel="0" collapsed="false">
      <c r="A1330" s="0" t="n">
        <v>448</v>
      </c>
      <c r="B1330" s="0" t="s">
        <v>3012</v>
      </c>
      <c r="C1330" s="0" t="s">
        <v>3017</v>
      </c>
      <c r="E1330" s="0" t="s">
        <v>79</v>
      </c>
      <c r="F1330" s="0" t="s">
        <v>11559</v>
      </c>
    </row>
    <row r="1331" customFormat="false" ht="15" hidden="false" customHeight="false" outlineLevel="0" collapsed="false">
      <c r="A1331" s="0" t="n">
        <v>448</v>
      </c>
      <c r="B1331" s="0" t="s">
        <v>3012</v>
      </c>
      <c r="C1331" s="0" t="s">
        <v>11560</v>
      </c>
      <c r="E1331" s="0" t="s">
        <v>79</v>
      </c>
      <c r="F1331" s="0" t="s">
        <v>11561</v>
      </c>
    </row>
    <row r="1332" customFormat="false" ht="15" hidden="false" customHeight="false" outlineLevel="0" collapsed="false">
      <c r="A1332" s="0" t="n">
        <v>448</v>
      </c>
      <c r="B1332" s="0" t="s">
        <v>3012</v>
      </c>
      <c r="C1332" s="0" t="s">
        <v>11562</v>
      </c>
      <c r="E1332" s="0" t="s">
        <v>79</v>
      </c>
      <c r="F1332" s="0" t="s">
        <v>11563</v>
      </c>
    </row>
    <row r="1333" customFormat="false" ht="15" hidden="false" customHeight="false" outlineLevel="0" collapsed="false">
      <c r="A1333" s="0" t="n">
        <v>450</v>
      </c>
      <c r="B1333" s="0" t="s">
        <v>3026</v>
      </c>
      <c r="C1333" s="0" t="s">
        <v>3029</v>
      </c>
      <c r="E1333" s="0" t="s">
        <v>79</v>
      </c>
      <c r="F1333" s="0" t="s">
        <v>11564</v>
      </c>
    </row>
    <row r="1334" customFormat="false" ht="15" hidden="false" customHeight="false" outlineLevel="0" collapsed="false">
      <c r="A1334" s="0" t="n">
        <v>450</v>
      </c>
      <c r="B1334" s="0" t="s">
        <v>3026</v>
      </c>
      <c r="C1334" s="0" t="s">
        <v>3030</v>
      </c>
      <c r="E1334" s="0" t="s">
        <v>79</v>
      </c>
      <c r="F1334" s="0" t="s">
        <v>11565</v>
      </c>
    </row>
    <row r="1335" customFormat="false" ht="15" hidden="false" customHeight="false" outlineLevel="0" collapsed="false">
      <c r="A1335" s="0" t="n">
        <v>450</v>
      </c>
      <c r="B1335" s="0" t="s">
        <v>3026</v>
      </c>
      <c r="C1335" s="0" t="s">
        <v>3031</v>
      </c>
      <c r="E1335" s="0" t="s">
        <v>79</v>
      </c>
      <c r="F1335" s="0" t="s">
        <v>11566</v>
      </c>
    </row>
    <row r="1336" customFormat="false" ht="15" hidden="false" customHeight="false" outlineLevel="0" collapsed="false">
      <c r="A1336" s="0" t="n">
        <v>450</v>
      </c>
      <c r="B1336" s="0" t="s">
        <v>3026</v>
      </c>
      <c r="C1336" s="0" t="s">
        <v>11567</v>
      </c>
      <c r="E1336" s="0" t="s">
        <v>79</v>
      </c>
      <c r="F1336" s="0" t="s">
        <v>11568</v>
      </c>
    </row>
    <row r="1337" customFormat="false" ht="15" hidden="false" customHeight="false" outlineLevel="0" collapsed="false">
      <c r="A1337" s="0" t="n">
        <v>450</v>
      </c>
      <c r="B1337" s="0" t="s">
        <v>3026</v>
      </c>
      <c r="C1337" s="0" t="s">
        <v>11569</v>
      </c>
      <c r="E1337" s="0" t="s">
        <v>79</v>
      </c>
      <c r="F1337" s="0" t="s">
        <v>11570</v>
      </c>
    </row>
    <row r="1338" customFormat="false" ht="15" hidden="false" customHeight="false" outlineLevel="0" collapsed="false">
      <c r="A1338" s="0" t="n">
        <v>451</v>
      </c>
      <c r="B1338" s="0" t="s">
        <v>3032</v>
      </c>
      <c r="C1338" s="0" t="s">
        <v>2317</v>
      </c>
      <c r="D1338" s="0" t="s">
        <v>11107</v>
      </c>
      <c r="E1338" s="0" t="s">
        <v>115</v>
      </c>
    </row>
    <row r="1339" customFormat="false" ht="15" hidden="false" customHeight="false" outlineLevel="0" collapsed="false">
      <c r="A1339" s="0" t="n">
        <v>451</v>
      </c>
      <c r="B1339" s="0" t="s">
        <v>3032</v>
      </c>
      <c r="C1339" s="0" t="s">
        <v>2318</v>
      </c>
      <c r="D1339" s="0" t="s">
        <v>11108</v>
      </c>
      <c r="E1339" s="0" t="s">
        <v>115</v>
      </c>
    </row>
    <row r="1340" customFormat="false" ht="15" hidden="false" customHeight="false" outlineLevel="0" collapsed="false">
      <c r="A1340" s="0" t="n">
        <v>451</v>
      </c>
      <c r="B1340" s="0" t="s">
        <v>3032</v>
      </c>
      <c r="C1340" s="0" t="s">
        <v>2319</v>
      </c>
      <c r="D1340" s="0" t="s">
        <v>11109</v>
      </c>
      <c r="E1340" s="0" t="s">
        <v>115</v>
      </c>
    </row>
    <row r="1341" customFormat="false" ht="15" hidden="false" customHeight="false" outlineLevel="0" collapsed="false">
      <c r="A1341" s="0" t="n">
        <v>454</v>
      </c>
      <c r="B1341" s="0" t="s">
        <v>3042</v>
      </c>
      <c r="C1341" s="0" t="s">
        <v>3045</v>
      </c>
      <c r="E1341" s="0" t="s">
        <v>79</v>
      </c>
      <c r="F1341" s="0" t="s">
        <v>11571</v>
      </c>
    </row>
    <row r="1342" customFormat="false" ht="15" hidden="false" customHeight="false" outlineLevel="0" collapsed="false">
      <c r="A1342" s="0" t="n">
        <v>454</v>
      </c>
      <c r="B1342" s="0" t="s">
        <v>3042</v>
      </c>
      <c r="C1342" s="0" t="s">
        <v>3046</v>
      </c>
      <c r="E1342" s="0" t="s">
        <v>79</v>
      </c>
      <c r="F1342" s="0" t="s">
        <v>11572</v>
      </c>
    </row>
    <row r="1343" customFormat="false" ht="15" hidden="false" customHeight="false" outlineLevel="0" collapsed="false">
      <c r="A1343" s="0" t="n">
        <v>454</v>
      </c>
      <c r="B1343" s="0" t="s">
        <v>3042</v>
      </c>
      <c r="C1343" s="0" t="s">
        <v>3047</v>
      </c>
      <c r="E1343" s="0" t="s">
        <v>79</v>
      </c>
      <c r="F1343" s="0" t="s">
        <v>11573</v>
      </c>
    </row>
    <row r="1344" customFormat="false" ht="15" hidden="false" customHeight="false" outlineLevel="0" collapsed="false">
      <c r="A1344" s="0" t="n">
        <v>455</v>
      </c>
      <c r="B1344" s="0" t="s">
        <v>3053</v>
      </c>
      <c r="C1344" s="0" t="s">
        <v>3057</v>
      </c>
      <c r="E1344" s="0" t="s">
        <v>79</v>
      </c>
      <c r="F1344" s="0" t="s">
        <v>11574</v>
      </c>
    </row>
    <row r="1345" customFormat="false" ht="15" hidden="false" customHeight="false" outlineLevel="0" collapsed="false">
      <c r="A1345" s="0" t="n">
        <v>455</v>
      </c>
      <c r="B1345" s="0" t="s">
        <v>3053</v>
      </c>
      <c r="C1345" s="0" t="s">
        <v>3058</v>
      </c>
      <c r="E1345" s="0" t="s">
        <v>79</v>
      </c>
      <c r="F1345" s="0" t="s">
        <v>11575</v>
      </c>
    </row>
    <row r="1346" customFormat="false" ht="15" hidden="false" customHeight="false" outlineLevel="0" collapsed="false">
      <c r="A1346" s="0" t="n">
        <v>455</v>
      </c>
      <c r="B1346" s="0" t="s">
        <v>3053</v>
      </c>
      <c r="C1346" s="0" t="s">
        <v>3059</v>
      </c>
      <c r="E1346" s="0" t="s">
        <v>79</v>
      </c>
      <c r="F1346" s="0" t="s">
        <v>11576</v>
      </c>
    </row>
    <row r="1347" customFormat="false" ht="15" hidden="false" customHeight="false" outlineLevel="0" collapsed="false">
      <c r="A1347" s="0" t="n">
        <v>455</v>
      </c>
      <c r="B1347" s="0" t="s">
        <v>3053</v>
      </c>
      <c r="C1347" s="0" t="s">
        <v>11577</v>
      </c>
      <c r="E1347" s="0" t="s">
        <v>79</v>
      </c>
      <c r="F1347" s="0" t="s">
        <v>11578</v>
      </c>
    </row>
    <row r="1348" customFormat="false" ht="15" hidden="false" customHeight="false" outlineLevel="0" collapsed="false">
      <c r="A1348" s="0" t="n">
        <v>455</v>
      </c>
      <c r="B1348" s="0" t="s">
        <v>3053</v>
      </c>
      <c r="C1348" s="0" t="s">
        <v>11579</v>
      </c>
      <c r="E1348" s="0" t="s">
        <v>79</v>
      </c>
      <c r="F1348" s="0" t="s">
        <v>11580</v>
      </c>
    </row>
    <row r="1349" customFormat="false" ht="15" hidden="false" customHeight="false" outlineLevel="0" collapsed="false">
      <c r="A1349" s="0" t="n">
        <v>456</v>
      </c>
      <c r="B1349" s="0" t="s">
        <v>3066</v>
      </c>
      <c r="C1349" s="0" t="s">
        <v>3068</v>
      </c>
      <c r="E1349" s="0" t="s">
        <v>79</v>
      </c>
      <c r="F1349" s="0" t="s">
        <v>11581</v>
      </c>
    </row>
    <row r="1350" customFormat="false" ht="15" hidden="false" customHeight="false" outlineLevel="0" collapsed="false">
      <c r="A1350" s="0" t="n">
        <v>456</v>
      </c>
      <c r="B1350" s="0" t="s">
        <v>3066</v>
      </c>
      <c r="C1350" s="0" t="s">
        <v>3069</v>
      </c>
      <c r="E1350" s="0" t="s">
        <v>79</v>
      </c>
      <c r="F1350" s="0" t="s">
        <v>11582</v>
      </c>
    </row>
    <row r="1351" customFormat="false" ht="15" hidden="false" customHeight="false" outlineLevel="0" collapsed="false">
      <c r="A1351" s="0" t="n">
        <v>456</v>
      </c>
      <c r="B1351" s="0" t="s">
        <v>3066</v>
      </c>
      <c r="C1351" s="0" t="s">
        <v>3070</v>
      </c>
      <c r="E1351" s="0" t="s">
        <v>79</v>
      </c>
      <c r="F1351" s="0" t="s">
        <v>11583</v>
      </c>
    </row>
    <row r="1352" customFormat="false" ht="15" hidden="false" customHeight="false" outlineLevel="0" collapsed="false">
      <c r="A1352" s="0" t="n">
        <v>456</v>
      </c>
      <c r="B1352" s="0" t="s">
        <v>3066</v>
      </c>
      <c r="C1352" s="0" t="s">
        <v>11584</v>
      </c>
      <c r="E1352" s="0" t="s">
        <v>79</v>
      </c>
      <c r="F1352" s="0" t="s">
        <v>11585</v>
      </c>
    </row>
    <row r="1353" customFormat="false" ht="15" hidden="false" customHeight="false" outlineLevel="0" collapsed="false">
      <c r="A1353" s="0" t="n">
        <v>456</v>
      </c>
      <c r="B1353" s="0" t="s">
        <v>3066</v>
      </c>
      <c r="C1353" s="0" t="s">
        <v>11586</v>
      </c>
      <c r="E1353" s="0" t="s">
        <v>79</v>
      </c>
      <c r="F1353" s="0" t="s">
        <v>11587</v>
      </c>
    </row>
    <row r="1354" customFormat="false" ht="15" hidden="false" customHeight="false" outlineLevel="0" collapsed="false">
      <c r="A1354" s="0" t="n">
        <v>457</v>
      </c>
      <c r="B1354" s="0" t="s">
        <v>3071</v>
      </c>
      <c r="C1354" s="0" t="s">
        <v>3073</v>
      </c>
      <c r="E1354" s="0" t="s">
        <v>79</v>
      </c>
      <c r="F1354" s="0" t="s">
        <v>11588</v>
      </c>
    </row>
    <row r="1355" customFormat="false" ht="15" hidden="false" customHeight="false" outlineLevel="0" collapsed="false">
      <c r="A1355" s="0" t="n">
        <v>457</v>
      </c>
      <c r="B1355" s="0" t="s">
        <v>3071</v>
      </c>
      <c r="C1355" s="0" t="s">
        <v>3074</v>
      </c>
      <c r="E1355" s="0" t="s">
        <v>79</v>
      </c>
      <c r="F1355" s="0" t="s">
        <v>11589</v>
      </c>
    </row>
    <row r="1356" customFormat="false" ht="15" hidden="false" customHeight="false" outlineLevel="0" collapsed="false">
      <c r="A1356" s="0" t="n">
        <v>457</v>
      </c>
      <c r="B1356" s="0" t="s">
        <v>3071</v>
      </c>
      <c r="C1356" s="0" t="s">
        <v>3075</v>
      </c>
      <c r="E1356" s="0" t="s">
        <v>79</v>
      </c>
      <c r="F1356" s="0" t="s">
        <v>11590</v>
      </c>
    </row>
    <row r="1357" customFormat="false" ht="15" hidden="false" customHeight="false" outlineLevel="0" collapsed="false">
      <c r="A1357" s="0" t="n">
        <v>457</v>
      </c>
      <c r="B1357" s="0" t="s">
        <v>3071</v>
      </c>
      <c r="C1357" s="0" t="s">
        <v>11591</v>
      </c>
      <c r="E1357" s="0" t="s">
        <v>79</v>
      </c>
      <c r="F1357" s="0" t="s">
        <v>11592</v>
      </c>
    </row>
    <row r="1358" customFormat="false" ht="15" hidden="false" customHeight="false" outlineLevel="0" collapsed="false">
      <c r="A1358" s="0" t="n">
        <v>457</v>
      </c>
      <c r="B1358" s="0" t="s">
        <v>3071</v>
      </c>
      <c r="C1358" s="0" t="s">
        <v>11593</v>
      </c>
      <c r="E1358" s="0" t="s">
        <v>79</v>
      </c>
      <c r="F1358" s="0" t="s">
        <v>11594</v>
      </c>
    </row>
    <row r="1359" customFormat="false" ht="15" hidden="false" customHeight="false" outlineLevel="0" collapsed="false">
      <c r="A1359" s="0" t="n">
        <v>458</v>
      </c>
      <c r="B1359" s="0" t="s">
        <v>3076</v>
      </c>
      <c r="C1359" s="0" t="s">
        <v>3079</v>
      </c>
      <c r="E1359" s="0" t="s">
        <v>59</v>
      </c>
      <c r="F1359" s="0" t="s">
        <v>11595</v>
      </c>
    </row>
    <row r="1360" customFormat="false" ht="15" hidden="false" customHeight="false" outlineLevel="0" collapsed="false">
      <c r="A1360" s="0" t="n">
        <v>458</v>
      </c>
      <c r="B1360" s="0" t="s">
        <v>3076</v>
      </c>
      <c r="C1360" s="0" t="s">
        <v>3080</v>
      </c>
      <c r="E1360" s="0" t="s">
        <v>59</v>
      </c>
      <c r="F1360" s="0" t="s">
        <v>11596</v>
      </c>
    </row>
    <row r="1361" customFormat="false" ht="15" hidden="false" customHeight="false" outlineLevel="0" collapsed="false">
      <c r="A1361" s="0" t="n">
        <v>458</v>
      </c>
      <c r="B1361" s="0" t="s">
        <v>3076</v>
      </c>
      <c r="C1361" s="0" t="s">
        <v>3081</v>
      </c>
      <c r="E1361" s="0" t="s">
        <v>59</v>
      </c>
      <c r="F1361" s="0" t="s">
        <v>11597</v>
      </c>
    </row>
    <row r="1362" customFormat="false" ht="15" hidden="false" customHeight="false" outlineLevel="0" collapsed="false">
      <c r="A1362" s="0" t="n">
        <v>458</v>
      </c>
      <c r="B1362" s="0" t="s">
        <v>3076</v>
      </c>
      <c r="C1362" s="0" t="s">
        <v>11598</v>
      </c>
      <c r="E1362" s="0" t="s">
        <v>59</v>
      </c>
      <c r="F1362" s="0" t="s">
        <v>11599</v>
      </c>
    </row>
    <row r="1363" customFormat="false" ht="15" hidden="false" customHeight="false" outlineLevel="0" collapsed="false">
      <c r="A1363" s="0" t="n">
        <v>458</v>
      </c>
      <c r="B1363" s="0" t="s">
        <v>3076</v>
      </c>
      <c r="C1363" s="0" t="s">
        <v>11600</v>
      </c>
      <c r="E1363" s="0" t="s">
        <v>59</v>
      </c>
      <c r="F1363" s="0" t="s">
        <v>11601</v>
      </c>
    </row>
    <row r="1364" customFormat="false" ht="15" hidden="false" customHeight="false" outlineLevel="0" collapsed="false">
      <c r="A1364" s="0" t="n">
        <v>460</v>
      </c>
      <c r="B1364" s="0" t="s">
        <v>3089</v>
      </c>
      <c r="C1364" s="0" t="s">
        <v>3092</v>
      </c>
      <c r="E1364" s="0" t="s">
        <v>59</v>
      </c>
      <c r="F1364" s="0" t="s">
        <v>11602</v>
      </c>
    </row>
    <row r="1365" customFormat="false" ht="15" hidden="false" customHeight="false" outlineLevel="0" collapsed="false">
      <c r="A1365" s="0" t="n">
        <v>460</v>
      </c>
      <c r="B1365" s="0" t="s">
        <v>3089</v>
      </c>
      <c r="C1365" s="0" t="s">
        <v>3093</v>
      </c>
      <c r="E1365" s="0" t="s">
        <v>59</v>
      </c>
      <c r="F1365" s="0" t="s">
        <v>11603</v>
      </c>
    </row>
    <row r="1366" customFormat="false" ht="15" hidden="false" customHeight="false" outlineLevel="0" collapsed="false">
      <c r="A1366" s="0" t="n">
        <v>460</v>
      </c>
      <c r="B1366" s="0" t="s">
        <v>3089</v>
      </c>
      <c r="C1366" s="0" t="s">
        <v>3094</v>
      </c>
      <c r="E1366" s="0" t="s">
        <v>59</v>
      </c>
      <c r="F1366" s="0" t="s">
        <v>11604</v>
      </c>
    </row>
    <row r="1367" customFormat="false" ht="15" hidden="false" customHeight="false" outlineLevel="0" collapsed="false">
      <c r="A1367" s="0" t="n">
        <v>460</v>
      </c>
      <c r="B1367" s="0" t="s">
        <v>3089</v>
      </c>
      <c r="C1367" s="0" t="s">
        <v>11605</v>
      </c>
      <c r="E1367" s="0" t="s">
        <v>59</v>
      </c>
      <c r="F1367" s="0" t="s">
        <v>11606</v>
      </c>
    </row>
    <row r="1368" customFormat="false" ht="15" hidden="false" customHeight="false" outlineLevel="0" collapsed="false">
      <c r="A1368" s="0" t="n">
        <v>460</v>
      </c>
      <c r="B1368" s="0" t="s">
        <v>3089</v>
      </c>
      <c r="C1368" s="0" t="s">
        <v>11607</v>
      </c>
      <c r="E1368" s="0" t="s">
        <v>59</v>
      </c>
      <c r="F1368" s="0" t="s">
        <v>11608</v>
      </c>
    </row>
    <row r="1369" customFormat="false" ht="15" hidden="false" customHeight="false" outlineLevel="0" collapsed="false">
      <c r="A1369" s="0" t="n">
        <v>463</v>
      </c>
      <c r="B1369" s="0" t="s">
        <v>3102</v>
      </c>
      <c r="C1369" s="0" t="s">
        <v>3104</v>
      </c>
      <c r="E1369" s="0" t="s">
        <v>79</v>
      </c>
      <c r="F1369" s="0" t="s">
        <v>11609</v>
      </c>
    </row>
    <row r="1370" customFormat="false" ht="15" hidden="false" customHeight="false" outlineLevel="0" collapsed="false">
      <c r="A1370" s="0" t="n">
        <v>463</v>
      </c>
      <c r="B1370" s="0" t="s">
        <v>3102</v>
      </c>
      <c r="C1370" s="0" t="s">
        <v>3105</v>
      </c>
      <c r="E1370" s="0" t="s">
        <v>79</v>
      </c>
      <c r="F1370" s="0" t="s">
        <v>11610</v>
      </c>
    </row>
    <row r="1371" customFormat="false" ht="15" hidden="false" customHeight="false" outlineLevel="0" collapsed="false">
      <c r="A1371" s="0" t="n">
        <v>463</v>
      </c>
      <c r="B1371" s="0" t="s">
        <v>3102</v>
      </c>
      <c r="C1371" s="0" t="s">
        <v>3106</v>
      </c>
      <c r="E1371" s="0" t="s">
        <v>79</v>
      </c>
      <c r="F1371" s="0" t="s">
        <v>11611</v>
      </c>
    </row>
    <row r="1372" customFormat="false" ht="15" hidden="false" customHeight="false" outlineLevel="0" collapsed="false">
      <c r="A1372" s="0" t="n">
        <v>463</v>
      </c>
      <c r="B1372" s="0" t="s">
        <v>3102</v>
      </c>
      <c r="C1372" s="0" t="s">
        <v>11612</v>
      </c>
      <c r="E1372" s="0" t="s">
        <v>79</v>
      </c>
      <c r="F1372" s="0" t="s">
        <v>11613</v>
      </c>
    </row>
    <row r="1373" customFormat="false" ht="15" hidden="false" customHeight="false" outlineLevel="0" collapsed="false">
      <c r="A1373" s="0" t="n">
        <v>463</v>
      </c>
      <c r="B1373" s="0" t="s">
        <v>3102</v>
      </c>
      <c r="C1373" s="0" t="s">
        <v>11614</v>
      </c>
      <c r="E1373" s="0" t="s">
        <v>79</v>
      </c>
      <c r="F1373" s="0" t="s">
        <v>11615</v>
      </c>
    </row>
    <row r="1374" customFormat="false" ht="15" hidden="false" customHeight="false" outlineLevel="0" collapsed="false">
      <c r="A1374" s="0" t="n">
        <v>464</v>
      </c>
      <c r="B1374" s="0" t="s">
        <v>3107</v>
      </c>
      <c r="C1374" s="0" t="s">
        <v>3110</v>
      </c>
      <c r="E1374" s="0" t="s">
        <v>79</v>
      </c>
      <c r="F1374" s="0" t="s">
        <v>11616</v>
      </c>
    </row>
    <row r="1375" customFormat="false" ht="15" hidden="false" customHeight="false" outlineLevel="0" collapsed="false">
      <c r="A1375" s="0" t="n">
        <v>464</v>
      </c>
      <c r="B1375" s="0" t="s">
        <v>3107</v>
      </c>
      <c r="C1375" s="0" t="s">
        <v>3111</v>
      </c>
      <c r="E1375" s="0" t="s">
        <v>79</v>
      </c>
      <c r="F1375" s="0" t="s">
        <v>11617</v>
      </c>
    </row>
    <row r="1376" customFormat="false" ht="15" hidden="false" customHeight="false" outlineLevel="0" collapsed="false">
      <c r="A1376" s="0" t="n">
        <v>464</v>
      </c>
      <c r="B1376" s="0" t="s">
        <v>3107</v>
      </c>
      <c r="C1376" s="0" t="s">
        <v>3112</v>
      </c>
      <c r="E1376" s="0" t="s">
        <v>79</v>
      </c>
      <c r="F1376" s="0" t="s">
        <v>11618</v>
      </c>
    </row>
    <row r="1377" customFormat="false" ht="15" hidden="false" customHeight="false" outlineLevel="0" collapsed="false">
      <c r="A1377" s="0" t="n">
        <v>464</v>
      </c>
      <c r="B1377" s="0" t="s">
        <v>3107</v>
      </c>
      <c r="C1377" s="0" t="s">
        <v>11619</v>
      </c>
      <c r="E1377" s="0" t="s">
        <v>79</v>
      </c>
      <c r="F1377" s="0" t="s">
        <v>11620</v>
      </c>
    </row>
    <row r="1378" customFormat="false" ht="15" hidden="false" customHeight="false" outlineLevel="0" collapsed="false">
      <c r="A1378" s="0" t="n">
        <v>464</v>
      </c>
      <c r="B1378" s="0" t="s">
        <v>3107</v>
      </c>
      <c r="C1378" s="0" t="s">
        <v>11621</v>
      </c>
      <c r="E1378" s="0" t="s">
        <v>79</v>
      </c>
      <c r="F1378" s="0" t="s">
        <v>11622</v>
      </c>
    </row>
    <row r="1379" customFormat="false" ht="15" hidden="false" customHeight="false" outlineLevel="0" collapsed="false">
      <c r="A1379" s="0" t="n">
        <v>465</v>
      </c>
      <c r="B1379" s="0" t="s">
        <v>3115</v>
      </c>
      <c r="C1379" s="0" t="s">
        <v>3118</v>
      </c>
      <c r="E1379" s="0" t="s">
        <v>79</v>
      </c>
      <c r="F1379" s="0" t="s">
        <v>11623</v>
      </c>
    </row>
    <row r="1380" customFormat="false" ht="15" hidden="false" customHeight="false" outlineLevel="0" collapsed="false">
      <c r="A1380" s="0" t="n">
        <v>465</v>
      </c>
      <c r="B1380" s="0" t="s">
        <v>3115</v>
      </c>
      <c r="C1380" s="0" t="s">
        <v>3119</v>
      </c>
      <c r="E1380" s="0" t="s">
        <v>79</v>
      </c>
      <c r="F1380" s="0" t="s">
        <v>11624</v>
      </c>
    </row>
    <row r="1381" customFormat="false" ht="15" hidden="false" customHeight="false" outlineLevel="0" collapsed="false">
      <c r="A1381" s="0" t="n">
        <v>465</v>
      </c>
      <c r="B1381" s="0" t="s">
        <v>3115</v>
      </c>
      <c r="C1381" s="0" t="s">
        <v>3120</v>
      </c>
      <c r="E1381" s="0" t="s">
        <v>79</v>
      </c>
      <c r="F1381" s="0" t="s">
        <v>11625</v>
      </c>
    </row>
    <row r="1382" customFormat="false" ht="15" hidden="false" customHeight="false" outlineLevel="0" collapsed="false">
      <c r="A1382" s="0" t="n">
        <v>465</v>
      </c>
      <c r="B1382" s="0" t="s">
        <v>3115</v>
      </c>
      <c r="C1382" s="0" t="s">
        <v>11626</v>
      </c>
      <c r="E1382" s="0" t="s">
        <v>79</v>
      </c>
      <c r="F1382" s="0" t="s">
        <v>11627</v>
      </c>
    </row>
    <row r="1383" customFormat="false" ht="15" hidden="false" customHeight="false" outlineLevel="0" collapsed="false">
      <c r="A1383" s="0" t="n">
        <v>465</v>
      </c>
      <c r="B1383" s="0" t="s">
        <v>3115</v>
      </c>
      <c r="C1383" s="0" t="s">
        <v>11628</v>
      </c>
      <c r="E1383" s="0" t="s">
        <v>79</v>
      </c>
      <c r="F1383" s="0" t="s">
        <v>11629</v>
      </c>
    </row>
    <row r="1384" customFormat="false" ht="15" hidden="false" customHeight="false" outlineLevel="0" collapsed="false">
      <c r="A1384" s="0" t="n">
        <v>467</v>
      </c>
      <c r="B1384" s="0" t="s">
        <v>3129</v>
      </c>
      <c r="C1384" s="0" t="s">
        <v>3131</v>
      </c>
      <c r="E1384" s="0" t="s">
        <v>79</v>
      </c>
      <c r="F1384" s="0" t="s">
        <v>11630</v>
      </c>
    </row>
    <row r="1385" customFormat="false" ht="15" hidden="false" customHeight="false" outlineLevel="0" collapsed="false">
      <c r="A1385" s="0" t="n">
        <v>467</v>
      </c>
      <c r="B1385" s="0" t="s">
        <v>3129</v>
      </c>
      <c r="C1385" s="0" t="s">
        <v>3132</v>
      </c>
      <c r="E1385" s="0" t="s">
        <v>79</v>
      </c>
      <c r="F1385" s="0" t="s">
        <v>11631</v>
      </c>
    </row>
    <row r="1386" customFormat="false" ht="15" hidden="false" customHeight="false" outlineLevel="0" collapsed="false">
      <c r="A1386" s="0" t="n">
        <v>467</v>
      </c>
      <c r="B1386" s="0" t="s">
        <v>3129</v>
      </c>
      <c r="C1386" s="0" t="s">
        <v>3133</v>
      </c>
      <c r="E1386" s="0" t="s">
        <v>79</v>
      </c>
      <c r="F1386" s="0" t="s">
        <v>11632</v>
      </c>
    </row>
    <row r="1387" customFormat="false" ht="15" hidden="false" customHeight="false" outlineLevel="0" collapsed="false">
      <c r="A1387" s="0" t="n">
        <v>467</v>
      </c>
      <c r="B1387" s="0" t="s">
        <v>3129</v>
      </c>
      <c r="C1387" s="0" t="s">
        <v>11633</v>
      </c>
      <c r="E1387" s="0" t="s">
        <v>79</v>
      </c>
      <c r="F1387" s="0" t="s">
        <v>11634</v>
      </c>
    </row>
    <row r="1388" customFormat="false" ht="15" hidden="false" customHeight="false" outlineLevel="0" collapsed="false">
      <c r="A1388" s="0" t="n">
        <v>467</v>
      </c>
      <c r="B1388" s="0" t="s">
        <v>3129</v>
      </c>
      <c r="C1388" s="0" t="s">
        <v>11635</v>
      </c>
      <c r="E1388" s="0" t="s">
        <v>79</v>
      </c>
      <c r="F1388" s="0" t="s">
        <v>11636</v>
      </c>
    </row>
    <row r="1389" customFormat="false" ht="15" hidden="false" customHeight="false" outlineLevel="0" collapsed="false">
      <c r="A1389" s="0" t="n">
        <v>468</v>
      </c>
      <c r="B1389" s="0" t="s">
        <v>3134</v>
      </c>
      <c r="C1389" s="0" t="s">
        <v>3137</v>
      </c>
      <c r="E1389" s="0" t="s">
        <v>79</v>
      </c>
      <c r="F1389" s="0" t="s">
        <v>11637</v>
      </c>
    </row>
    <row r="1390" customFormat="false" ht="15" hidden="false" customHeight="false" outlineLevel="0" collapsed="false">
      <c r="A1390" s="0" t="n">
        <v>468</v>
      </c>
      <c r="B1390" s="0" t="s">
        <v>3134</v>
      </c>
      <c r="C1390" s="0" t="s">
        <v>3138</v>
      </c>
      <c r="E1390" s="0" t="s">
        <v>79</v>
      </c>
      <c r="F1390" s="0" t="s">
        <v>11638</v>
      </c>
    </row>
    <row r="1391" customFormat="false" ht="15" hidden="false" customHeight="false" outlineLevel="0" collapsed="false">
      <c r="A1391" s="0" t="n">
        <v>468</v>
      </c>
      <c r="B1391" s="0" t="s">
        <v>3134</v>
      </c>
      <c r="C1391" s="0" t="s">
        <v>3139</v>
      </c>
      <c r="E1391" s="0" t="s">
        <v>79</v>
      </c>
      <c r="F1391" s="0" t="s">
        <v>11639</v>
      </c>
    </row>
    <row r="1392" customFormat="false" ht="15" hidden="false" customHeight="false" outlineLevel="0" collapsed="false">
      <c r="A1392" s="0" t="n">
        <v>468</v>
      </c>
      <c r="B1392" s="0" t="s">
        <v>3134</v>
      </c>
      <c r="C1392" s="0" t="s">
        <v>11640</v>
      </c>
      <c r="E1392" s="0" t="s">
        <v>79</v>
      </c>
      <c r="F1392" s="0" t="s">
        <v>11641</v>
      </c>
    </row>
    <row r="1393" customFormat="false" ht="15" hidden="false" customHeight="false" outlineLevel="0" collapsed="false">
      <c r="A1393" s="0" t="n">
        <v>468</v>
      </c>
      <c r="B1393" s="0" t="s">
        <v>3134</v>
      </c>
      <c r="C1393" s="0" t="s">
        <v>11642</v>
      </c>
      <c r="E1393" s="0" t="s">
        <v>79</v>
      </c>
      <c r="F1393" s="0" t="s">
        <v>11643</v>
      </c>
    </row>
    <row r="1394" customFormat="false" ht="15" hidden="false" customHeight="false" outlineLevel="0" collapsed="false">
      <c r="A1394" s="0" t="n">
        <v>470</v>
      </c>
      <c r="B1394" s="0" t="s">
        <v>3150</v>
      </c>
      <c r="C1394" s="0" t="s">
        <v>3156</v>
      </c>
      <c r="D1394" s="0" t="s">
        <v>11644</v>
      </c>
      <c r="E1394" s="0" t="s">
        <v>115</v>
      </c>
    </row>
    <row r="1395" customFormat="false" ht="15" hidden="false" customHeight="false" outlineLevel="0" collapsed="false">
      <c r="A1395" s="0" t="n">
        <v>470</v>
      </c>
      <c r="B1395" s="0" t="s">
        <v>3150</v>
      </c>
      <c r="C1395" s="0" t="s">
        <v>3157</v>
      </c>
      <c r="D1395" s="0" t="s">
        <v>11645</v>
      </c>
      <c r="E1395" s="0" t="s">
        <v>115</v>
      </c>
    </row>
    <row r="1396" customFormat="false" ht="15" hidden="false" customHeight="false" outlineLevel="0" collapsed="false">
      <c r="A1396" s="0" t="n">
        <v>470</v>
      </c>
      <c r="B1396" s="0" t="s">
        <v>3150</v>
      </c>
      <c r="C1396" s="0" t="s">
        <v>3158</v>
      </c>
      <c r="D1396" s="0" t="s">
        <v>11646</v>
      </c>
      <c r="E1396" s="0" t="s">
        <v>115</v>
      </c>
    </row>
    <row r="1397" customFormat="false" ht="15" hidden="false" customHeight="false" outlineLevel="0" collapsed="false">
      <c r="A1397" s="0" t="n">
        <v>471</v>
      </c>
      <c r="B1397" s="0" t="s">
        <v>3168</v>
      </c>
      <c r="C1397" s="0" t="s">
        <v>3172</v>
      </c>
      <c r="E1397" s="0" t="s">
        <v>59</v>
      </c>
      <c r="F1397" s="0" t="s">
        <v>11647</v>
      </c>
    </row>
    <row r="1398" customFormat="false" ht="15" hidden="false" customHeight="false" outlineLevel="0" collapsed="false">
      <c r="A1398" s="0" t="n">
        <v>471</v>
      </c>
      <c r="B1398" s="0" t="s">
        <v>3168</v>
      </c>
      <c r="C1398" s="0" t="s">
        <v>3173</v>
      </c>
      <c r="E1398" s="0" t="s">
        <v>59</v>
      </c>
      <c r="F1398" s="0" t="s">
        <v>11648</v>
      </c>
    </row>
    <row r="1399" customFormat="false" ht="15" hidden="false" customHeight="false" outlineLevel="0" collapsed="false">
      <c r="A1399" s="0" t="n">
        <v>471</v>
      </c>
      <c r="B1399" s="0" t="s">
        <v>3168</v>
      </c>
      <c r="C1399" s="0" t="s">
        <v>3174</v>
      </c>
      <c r="E1399" s="0" t="s">
        <v>59</v>
      </c>
      <c r="F1399" s="0" t="s">
        <v>11649</v>
      </c>
    </row>
    <row r="1400" customFormat="false" ht="15" hidden="false" customHeight="false" outlineLevel="0" collapsed="false">
      <c r="A1400" s="0" t="n">
        <v>471</v>
      </c>
      <c r="B1400" s="0" t="s">
        <v>3168</v>
      </c>
      <c r="C1400" s="0" t="s">
        <v>11650</v>
      </c>
      <c r="E1400" s="0" t="s">
        <v>59</v>
      </c>
      <c r="F1400" s="0" t="s">
        <v>11651</v>
      </c>
    </row>
    <row r="1401" customFormat="false" ht="15" hidden="false" customHeight="false" outlineLevel="0" collapsed="false">
      <c r="A1401" s="0" t="n">
        <v>471</v>
      </c>
      <c r="B1401" s="0" t="s">
        <v>3168</v>
      </c>
      <c r="C1401" s="0" t="s">
        <v>11652</v>
      </c>
      <c r="E1401" s="0" t="s">
        <v>59</v>
      </c>
      <c r="F1401" s="0" t="s">
        <v>11653</v>
      </c>
    </row>
    <row r="1402" customFormat="false" ht="15" hidden="false" customHeight="false" outlineLevel="0" collapsed="false">
      <c r="A1402" s="0" t="n">
        <v>476</v>
      </c>
      <c r="B1402" s="0" t="s">
        <v>3192</v>
      </c>
      <c r="C1402" s="0" t="s">
        <v>3196</v>
      </c>
      <c r="E1402" s="0" t="s">
        <v>79</v>
      </c>
      <c r="F1402" s="0" t="s">
        <v>11654</v>
      </c>
    </row>
    <row r="1403" customFormat="false" ht="15" hidden="false" customHeight="false" outlineLevel="0" collapsed="false">
      <c r="A1403" s="0" t="n">
        <v>476</v>
      </c>
      <c r="B1403" s="0" t="s">
        <v>3192</v>
      </c>
      <c r="C1403" s="0" t="s">
        <v>3197</v>
      </c>
      <c r="E1403" s="0" t="s">
        <v>79</v>
      </c>
      <c r="F1403" s="0" t="s">
        <v>11655</v>
      </c>
    </row>
    <row r="1404" customFormat="false" ht="15" hidden="false" customHeight="false" outlineLevel="0" collapsed="false">
      <c r="A1404" s="0" t="n">
        <v>476</v>
      </c>
      <c r="B1404" s="0" t="s">
        <v>3192</v>
      </c>
      <c r="C1404" s="0" t="s">
        <v>3198</v>
      </c>
      <c r="E1404" s="0" t="s">
        <v>79</v>
      </c>
      <c r="F1404" s="0" t="s">
        <v>11656</v>
      </c>
    </row>
    <row r="1405" customFormat="false" ht="15" hidden="false" customHeight="false" outlineLevel="0" collapsed="false">
      <c r="A1405" s="0" t="n">
        <v>476</v>
      </c>
      <c r="B1405" s="0" t="s">
        <v>3192</v>
      </c>
      <c r="C1405" s="0" t="s">
        <v>11657</v>
      </c>
      <c r="E1405" s="0" t="s">
        <v>79</v>
      </c>
      <c r="F1405" s="0" t="s">
        <v>11658</v>
      </c>
    </row>
    <row r="1406" customFormat="false" ht="15" hidden="false" customHeight="false" outlineLevel="0" collapsed="false">
      <c r="A1406" s="0" t="n">
        <v>476</v>
      </c>
      <c r="B1406" s="0" t="s">
        <v>3192</v>
      </c>
      <c r="C1406" s="0" t="s">
        <v>11659</v>
      </c>
      <c r="E1406" s="0" t="s">
        <v>79</v>
      </c>
      <c r="F1406" s="0" t="s">
        <v>11660</v>
      </c>
    </row>
    <row r="1407" customFormat="false" ht="15" hidden="false" customHeight="false" outlineLevel="0" collapsed="false">
      <c r="A1407" s="0" t="n">
        <v>477</v>
      </c>
      <c r="B1407" s="0" t="s">
        <v>3203</v>
      </c>
      <c r="C1407" s="0" t="s">
        <v>3210</v>
      </c>
      <c r="D1407" s="0" t="s">
        <v>11661</v>
      </c>
      <c r="E1407" s="0" t="s">
        <v>115</v>
      </c>
    </row>
    <row r="1408" customFormat="false" ht="15" hidden="false" customHeight="false" outlineLevel="0" collapsed="false">
      <c r="A1408" s="0" t="n">
        <v>477</v>
      </c>
      <c r="B1408" s="0" t="s">
        <v>3203</v>
      </c>
      <c r="C1408" s="0" t="s">
        <v>3211</v>
      </c>
      <c r="D1408" s="0" t="s">
        <v>11662</v>
      </c>
      <c r="E1408" s="0" t="s">
        <v>115</v>
      </c>
    </row>
    <row r="1409" customFormat="false" ht="15" hidden="false" customHeight="false" outlineLevel="0" collapsed="false">
      <c r="A1409" s="0" t="n">
        <v>477</v>
      </c>
      <c r="B1409" s="0" t="s">
        <v>3203</v>
      </c>
      <c r="C1409" s="0" t="s">
        <v>3212</v>
      </c>
      <c r="D1409" s="0" t="s">
        <v>11663</v>
      </c>
      <c r="E1409" s="0" t="s">
        <v>115</v>
      </c>
    </row>
    <row r="1410" customFormat="false" ht="15" hidden="false" customHeight="false" outlineLevel="0" collapsed="false">
      <c r="A1410" s="0" t="n">
        <v>478</v>
      </c>
      <c r="B1410" s="0" t="s">
        <v>3222</v>
      </c>
      <c r="C1410" s="0" t="s">
        <v>3225</v>
      </c>
      <c r="E1410" s="0" t="s">
        <v>79</v>
      </c>
      <c r="F1410" s="0" t="s">
        <v>11664</v>
      </c>
    </row>
    <row r="1411" customFormat="false" ht="15" hidden="false" customHeight="false" outlineLevel="0" collapsed="false">
      <c r="A1411" s="0" t="n">
        <v>478</v>
      </c>
      <c r="B1411" s="0" t="s">
        <v>3222</v>
      </c>
      <c r="C1411" s="0" t="s">
        <v>3226</v>
      </c>
      <c r="E1411" s="0" t="s">
        <v>79</v>
      </c>
      <c r="F1411" s="0" t="s">
        <v>11665</v>
      </c>
    </row>
    <row r="1412" customFormat="false" ht="15" hidden="false" customHeight="false" outlineLevel="0" collapsed="false">
      <c r="A1412" s="0" t="n">
        <v>478</v>
      </c>
      <c r="B1412" s="0" t="s">
        <v>3222</v>
      </c>
      <c r="C1412" s="0" t="s">
        <v>3227</v>
      </c>
      <c r="E1412" s="0" t="s">
        <v>79</v>
      </c>
      <c r="F1412" s="0" t="s">
        <v>11666</v>
      </c>
    </row>
    <row r="1413" customFormat="false" ht="15" hidden="false" customHeight="false" outlineLevel="0" collapsed="false">
      <c r="A1413" s="0" t="n">
        <v>478</v>
      </c>
      <c r="B1413" s="0" t="s">
        <v>3222</v>
      </c>
      <c r="C1413" s="0" t="s">
        <v>11667</v>
      </c>
      <c r="E1413" s="0" t="s">
        <v>79</v>
      </c>
      <c r="F1413" s="0" t="s">
        <v>11668</v>
      </c>
    </row>
    <row r="1414" customFormat="false" ht="15" hidden="false" customHeight="false" outlineLevel="0" collapsed="false">
      <c r="A1414" s="0" t="n">
        <v>478</v>
      </c>
      <c r="B1414" s="0" t="s">
        <v>3222</v>
      </c>
      <c r="C1414" s="0" t="s">
        <v>11669</v>
      </c>
      <c r="E1414" s="0" t="s">
        <v>79</v>
      </c>
      <c r="F1414" s="0" t="s">
        <v>11670</v>
      </c>
    </row>
    <row r="1415" customFormat="false" ht="15" hidden="false" customHeight="false" outlineLevel="0" collapsed="false">
      <c r="A1415" s="0" t="n">
        <v>479</v>
      </c>
      <c r="B1415" s="0" t="s">
        <v>3229</v>
      </c>
      <c r="C1415" s="0" t="s">
        <v>3232</v>
      </c>
      <c r="E1415" s="0" t="s">
        <v>79</v>
      </c>
      <c r="F1415" s="0" t="s">
        <v>11671</v>
      </c>
    </row>
    <row r="1416" customFormat="false" ht="15" hidden="false" customHeight="false" outlineLevel="0" collapsed="false">
      <c r="A1416" s="0" t="n">
        <v>479</v>
      </c>
      <c r="B1416" s="0" t="s">
        <v>3229</v>
      </c>
      <c r="C1416" s="0" t="s">
        <v>3233</v>
      </c>
      <c r="E1416" s="0" t="s">
        <v>79</v>
      </c>
      <c r="F1416" s="0" t="s">
        <v>11672</v>
      </c>
    </row>
    <row r="1417" customFormat="false" ht="15" hidden="false" customHeight="false" outlineLevel="0" collapsed="false">
      <c r="A1417" s="0" t="n">
        <v>479</v>
      </c>
      <c r="B1417" s="0" t="s">
        <v>3229</v>
      </c>
      <c r="C1417" s="0" t="s">
        <v>3234</v>
      </c>
      <c r="E1417" s="0" t="s">
        <v>79</v>
      </c>
      <c r="F1417" s="0" t="s">
        <v>11673</v>
      </c>
    </row>
    <row r="1418" customFormat="false" ht="15" hidden="false" customHeight="false" outlineLevel="0" collapsed="false">
      <c r="A1418" s="0" t="n">
        <v>479</v>
      </c>
      <c r="B1418" s="0" t="s">
        <v>3229</v>
      </c>
      <c r="C1418" s="0" t="s">
        <v>11674</v>
      </c>
      <c r="E1418" s="0" t="s">
        <v>79</v>
      </c>
      <c r="F1418" s="0" t="s">
        <v>11675</v>
      </c>
    </row>
    <row r="1419" customFormat="false" ht="15" hidden="false" customHeight="false" outlineLevel="0" collapsed="false">
      <c r="A1419" s="0" t="n">
        <v>479</v>
      </c>
      <c r="B1419" s="0" t="s">
        <v>3229</v>
      </c>
      <c r="C1419" s="0" t="s">
        <v>2337</v>
      </c>
      <c r="E1419" s="0" t="s">
        <v>79</v>
      </c>
      <c r="F1419" s="0" t="s">
        <v>11676</v>
      </c>
    </row>
    <row r="1420" customFormat="false" ht="15" hidden="false" customHeight="false" outlineLevel="0" collapsed="false">
      <c r="A1420" s="0" t="n">
        <v>482</v>
      </c>
      <c r="B1420" s="0" t="s">
        <v>3246</v>
      </c>
      <c r="C1420" s="0" t="s">
        <v>3249</v>
      </c>
      <c r="E1420" s="0" t="s">
        <v>59</v>
      </c>
      <c r="F1420" s="0" t="s">
        <v>11677</v>
      </c>
    </row>
    <row r="1421" customFormat="false" ht="15" hidden="false" customHeight="false" outlineLevel="0" collapsed="false">
      <c r="A1421" s="0" t="n">
        <v>482</v>
      </c>
      <c r="B1421" s="0" t="s">
        <v>3246</v>
      </c>
      <c r="C1421" s="0" t="s">
        <v>3250</v>
      </c>
      <c r="E1421" s="0" t="s">
        <v>59</v>
      </c>
      <c r="F1421" s="0" t="s">
        <v>11678</v>
      </c>
    </row>
    <row r="1422" customFormat="false" ht="15" hidden="false" customHeight="false" outlineLevel="0" collapsed="false">
      <c r="A1422" s="0" t="n">
        <v>482</v>
      </c>
      <c r="B1422" s="0" t="s">
        <v>3246</v>
      </c>
      <c r="C1422" s="0" t="s">
        <v>3251</v>
      </c>
      <c r="E1422" s="0" t="s">
        <v>59</v>
      </c>
      <c r="F1422" s="0" t="s">
        <v>11679</v>
      </c>
    </row>
    <row r="1423" customFormat="false" ht="15" hidden="false" customHeight="false" outlineLevel="0" collapsed="false">
      <c r="A1423" s="0" t="n">
        <v>482</v>
      </c>
      <c r="B1423" s="0" t="s">
        <v>3246</v>
      </c>
      <c r="C1423" s="0" t="s">
        <v>11680</v>
      </c>
      <c r="E1423" s="0" t="s">
        <v>59</v>
      </c>
      <c r="F1423" s="0" t="s">
        <v>11681</v>
      </c>
    </row>
    <row r="1424" customFormat="false" ht="15" hidden="false" customHeight="false" outlineLevel="0" collapsed="false">
      <c r="A1424" s="0" t="n">
        <v>482</v>
      </c>
      <c r="B1424" s="0" t="s">
        <v>3246</v>
      </c>
      <c r="C1424" s="0" t="s">
        <v>11682</v>
      </c>
      <c r="E1424" s="0" t="s">
        <v>59</v>
      </c>
      <c r="F1424" s="0" t="s">
        <v>11683</v>
      </c>
    </row>
    <row r="1425" customFormat="false" ht="15" hidden="false" customHeight="false" outlineLevel="0" collapsed="false">
      <c r="A1425" s="0" t="n">
        <v>483</v>
      </c>
      <c r="B1425" s="0" t="s">
        <v>3255</v>
      </c>
      <c r="C1425" s="0" t="s">
        <v>3258</v>
      </c>
      <c r="E1425" s="0" t="s">
        <v>79</v>
      </c>
      <c r="F1425" s="0" t="s">
        <v>11684</v>
      </c>
    </row>
    <row r="1426" customFormat="false" ht="15" hidden="false" customHeight="false" outlineLevel="0" collapsed="false">
      <c r="A1426" s="0" t="n">
        <v>483</v>
      </c>
      <c r="B1426" s="0" t="s">
        <v>3255</v>
      </c>
      <c r="C1426" s="0" t="s">
        <v>3259</v>
      </c>
      <c r="E1426" s="0" t="s">
        <v>79</v>
      </c>
      <c r="F1426" s="0" t="s">
        <v>11685</v>
      </c>
    </row>
    <row r="1427" customFormat="false" ht="15" hidden="false" customHeight="false" outlineLevel="0" collapsed="false">
      <c r="A1427" s="0" t="n">
        <v>483</v>
      </c>
      <c r="B1427" s="0" t="s">
        <v>3255</v>
      </c>
      <c r="C1427" s="0" t="s">
        <v>3260</v>
      </c>
      <c r="E1427" s="0" t="s">
        <v>79</v>
      </c>
      <c r="F1427" s="0" t="s">
        <v>11686</v>
      </c>
    </row>
    <row r="1428" customFormat="false" ht="15" hidden="false" customHeight="false" outlineLevel="0" collapsed="false">
      <c r="A1428" s="0" t="n">
        <v>483</v>
      </c>
      <c r="B1428" s="0" t="s">
        <v>3255</v>
      </c>
      <c r="C1428" s="0" t="s">
        <v>11687</v>
      </c>
      <c r="E1428" s="0" t="s">
        <v>79</v>
      </c>
      <c r="F1428" s="0" t="s">
        <v>11688</v>
      </c>
    </row>
    <row r="1429" customFormat="false" ht="15" hidden="false" customHeight="false" outlineLevel="0" collapsed="false">
      <c r="A1429" s="0" t="n">
        <v>483</v>
      </c>
      <c r="B1429" s="0" t="s">
        <v>3255</v>
      </c>
      <c r="C1429" s="0" t="s">
        <v>11689</v>
      </c>
      <c r="E1429" s="0" t="s">
        <v>79</v>
      </c>
      <c r="F1429" s="0" t="s">
        <v>11690</v>
      </c>
    </row>
    <row r="1430" customFormat="false" ht="15" hidden="false" customHeight="false" outlineLevel="0" collapsed="false">
      <c r="A1430" s="0" t="n">
        <v>484</v>
      </c>
      <c r="B1430" s="0" t="s">
        <v>3265</v>
      </c>
      <c r="C1430" s="0" t="s">
        <v>3268</v>
      </c>
      <c r="E1430" s="0" t="s">
        <v>79</v>
      </c>
      <c r="F1430" s="0" t="s">
        <v>11691</v>
      </c>
    </row>
    <row r="1431" customFormat="false" ht="15" hidden="false" customHeight="false" outlineLevel="0" collapsed="false">
      <c r="A1431" s="0" t="n">
        <v>484</v>
      </c>
      <c r="B1431" s="0" t="s">
        <v>3265</v>
      </c>
      <c r="C1431" s="0" t="s">
        <v>3269</v>
      </c>
      <c r="E1431" s="0" t="s">
        <v>79</v>
      </c>
      <c r="F1431" s="0" t="s">
        <v>11692</v>
      </c>
    </row>
    <row r="1432" customFormat="false" ht="15" hidden="false" customHeight="false" outlineLevel="0" collapsed="false">
      <c r="A1432" s="0" t="n">
        <v>484</v>
      </c>
      <c r="B1432" s="0" t="s">
        <v>3265</v>
      </c>
      <c r="C1432" s="0" t="s">
        <v>3270</v>
      </c>
      <c r="E1432" s="0" t="s">
        <v>79</v>
      </c>
      <c r="F1432" s="0" t="s">
        <v>11693</v>
      </c>
    </row>
    <row r="1433" customFormat="false" ht="15" hidden="false" customHeight="false" outlineLevel="0" collapsed="false">
      <c r="A1433" s="0" t="n">
        <v>484</v>
      </c>
      <c r="B1433" s="0" t="s">
        <v>3265</v>
      </c>
      <c r="C1433" s="0" t="s">
        <v>11694</v>
      </c>
      <c r="E1433" s="0" t="s">
        <v>79</v>
      </c>
      <c r="F1433" s="0" t="s">
        <v>11695</v>
      </c>
    </row>
    <row r="1434" customFormat="false" ht="15" hidden="false" customHeight="false" outlineLevel="0" collapsed="false">
      <c r="A1434" s="0" t="n">
        <v>484</v>
      </c>
      <c r="B1434" s="0" t="s">
        <v>3265</v>
      </c>
      <c r="C1434" s="0" t="s">
        <v>11696</v>
      </c>
      <c r="E1434" s="0" t="s">
        <v>79</v>
      </c>
      <c r="F1434" s="0" t="s">
        <v>11697</v>
      </c>
    </row>
    <row r="1435" customFormat="false" ht="15" hidden="false" customHeight="false" outlineLevel="0" collapsed="false">
      <c r="A1435" s="0" t="n">
        <v>485</v>
      </c>
      <c r="B1435" s="0" t="s">
        <v>3275</v>
      </c>
      <c r="C1435" s="0" t="s">
        <v>3278</v>
      </c>
      <c r="E1435" s="0" t="s">
        <v>79</v>
      </c>
      <c r="F1435" s="0" t="s">
        <v>11698</v>
      </c>
    </row>
    <row r="1436" customFormat="false" ht="15" hidden="false" customHeight="false" outlineLevel="0" collapsed="false">
      <c r="A1436" s="0" t="n">
        <v>485</v>
      </c>
      <c r="B1436" s="0" t="s">
        <v>3275</v>
      </c>
      <c r="C1436" s="0" t="s">
        <v>3279</v>
      </c>
      <c r="E1436" s="0" t="s">
        <v>79</v>
      </c>
      <c r="F1436" s="0" t="s">
        <v>11699</v>
      </c>
    </row>
    <row r="1437" customFormat="false" ht="15" hidden="false" customHeight="false" outlineLevel="0" collapsed="false">
      <c r="A1437" s="0" t="n">
        <v>485</v>
      </c>
      <c r="B1437" s="0" t="s">
        <v>3275</v>
      </c>
      <c r="C1437" s="0" t="s">
        <v>3280</v>
      </c>
      <c r="E1437" s="0" t="s">
        <v>79</v>
      </c>
      <c r="F1437" s="0" t="s">
        <v>11700</v>
      </c>
    </row>
    <row r="1438" customFormat="false" ht="15" hidden="false" customHeight="false" outlineLevel="0" collapsed="false">
      <c r="A1438" s="0" t="n">
        <v>485</v>
      </c>
      <c r="B1438" s="0" t="s">
        <v>3275</v>
      </c>
      <c r="C1438" s="0" t="s">
        <v>11701</v>
      </c>
      <c r="E1438" s="0" t="s">
        <v>79</v>
      </c>
      <c r="F1438" s="0" t="s">
        <v>11702</v>
      </c>
    </row>
    <row r="1439" customFormat="false" ht="15" hidden="false" customHeight="false" outlineLevel="0" collapsed="false">
      <c r="A1439" s="0" t="n">
        <v>485</v>
      </c>
      <c r="B1439" s="0" t="s">
        <v>3275</v>
      </c>
      <c r="C1439" s="0" t="s">
        <v>11703</v>
      </c>
      <c r="E1439" s="0" t="s">
        <v>79</v>
      </c>
      <c r="F1439" s="0" t="s">
        <v>11704</v>
      </c>
    </row>
    <row r="1440" customFormat="false" ht="15" hidden="false" customHeight="false" outlineLevel="0" collapsed="false">
      <c r="A1440" s="0" t="n">
        <v>486</v>
      </c>
      <c r="B1440" s="0" t="s">
        <v>3286</v>
      </c>
      <c r="C1440" s="0" t="s">
        <v>3288</v>
      </c>
      <c r="E1440" s="0" t="s">
        <v>79</v>
      </c>
      <c r="F1440" s="0" t="s">
        <v>11705</v>
      </c>
    </row>
    <row r="1441" customFormat="false" ht="15" hidden="false" customHeight="false" outlineLevel="0" collapsed="false">
      <c r="A1441" s="0" t="n">
        <v>486</v>
      </c>
      <c r="B1441" s="0" t="s">
        <v>3286</v>
      </c>
      <c r="C1441" s="0" t="s">
        <v>3289</v>
      </c>
      <c r="E1441" s="0" t="s">
        <v>79</v>
      </c>
      <c r="F1441" s="0" t="s">
        <v>11706</v>
      </c>
    </row>
    <row r="1442" customFormat="false" ht="15" hidden="false" customHeight="false" outlineLevel="0" collapsed="false">
      <c r="A1442" s="0" t="n">
        <v>486</v>
      </c>
      <c r="B1442" s="0" t="s">
        <v>3286</v>
      </c>
      <c r="C1442" s="0" t="s">
        <v>3290</v>
      </c>
      <c r="E1442" s="0" t="s">
        <v>79</v>
      </c>
      <c r="F1442" s="0" t="s">
        <v>11707</v>
      </c>
    </row>
    <row r="1443" customFormat="false" ht="15" hidden="false" customHeight="false" outlineLevel="0" collapsed="false">
      <c r="A1443" s="0" t="n">
        <v>486</v>
      </c>
      <c r="B1443" s="0" t="s">
        <v>3286</v>
      </c>
      <c r="C1443" s="0" t="s">
        <v>11708</v>
      </c>
      <c r="E1443" s="0" t="s">
        <v>79</v>
      </c>
      <c r="F1443" s="0" t="s">
        <v>11709</v>
      </c>
    </row>
    <row r="1444" customFormat="false" ht="15" hidden="false" customHeight="false" outlineLevel="0" collapsed="false">
      <c r="A1444" s="0" t="n">
        <v>486</v>
      </c>
      <c r="B1444" s="0" t="s">
        <v>3286</v>
      </c>
      <c r="C1444" s="0" t="s">
        <v>11710</v>
      </c>
      <c r="E1444" s="0" t="s">
        <v>79</v>
      </c>
      <c r="F1444" s="0" t="s">
        <v>11711</v>
      </c>
    </row>
    <row r="1445" customFormat="false" ht="15" hidden="false" customHeight="false" outlineLevel="0" collapsed="false">
      <c r="A1445" s="0" t="n">
        <v>487</v>
      </c>
      <c r="B1445" s="0" t="s">
        <v>3291</v>
      </c>
      <c r="C1445" s="0" t="s">
        <v>3294</v>
      </c>
      <c r="E1445" s="0" t="s">
        <v>79</v>
      </c>
      <c r="F1445" s="0" t="s">
        <v>11712</v>
      </c>
    </row>
    <row r="1446" customFormat="false" ht="15" hidden="false" customHeight="false" outlineLevel="0" collapsed="false">
      <c r="A1446" s="0" t="n">
        <v>487</v>
      </c>
      <c r="B1446" s="0" t="s">
        <v>3291</v>
      </c>
      <c r="C1446" s="0" t="s">
        <v>3295</v>
      </c>
      <c r="E1446" s="0" t="s">
        <v>79</v>
      </c>
      <c r="F1446" s="0" t="s">
        <v>11713</v>
      </c>
    </row>
    <row r="1447" customFormat="false" ht="15" hidden="false" customHeight="false" outlineLevel="0" collapsed="false">
      <c r="A1447" s="0" t="n">
        <v>487</v>
      </c>
      <c r="B1447" s="0" t="s">
        <v>3291</v>
      </c>
      <c r="C1447" s="0" t="s">
        <v>3296</v>
      </c>
      <c r="E1447" s="0" t="s">
        <v>79</v>
      </c>
      <c r="F1447" s="0" t="s">
        <v>11714</v>
      </c>
    </row>
    <row r="1448" customFormat="false" ht="15" hidden="false" customHeight="false" outlineLevel="0" collapsed="false">
      <c r="A1448" s="0" t="n">
        <v>487</v>
      </c>
      <c r="B1448" s="0" t="s">
        <v>3291</v>
      </c>
      <c r="C1448" s="0" t="s">
        <v>11715</v>
      </c>
      <c r="E1448" s="0" t="s">
        <v>79</v>
      </c>
      <c r="F1448" s="0" t="s">
        <v>11716</v>
      </c>
    </row>
    <row r="1449" customFormat="false" ht="15" hidden="false" customHeight="false" outlineLevel="0" collapsed="false">
      <c r="A1449" s="0" t="n">
        <v>487</v>
      </c>
      <c r="B1449" s="0" t="s">
        <v>3291</v>
      </c>
      <c r="C1449" s="0" t="s">
        <v>11717</v>
      </c>
      <c r="E1449" s="0" t="s">
        <v>79</v>
      </c>
      <c r="F1449" s="0" t="s">
        <v>11718</v>
      </c>
    </row>
    <row r="1450" customFormat="false" ht="15" hidden="false" customHeight="false" outlineLevel="0" collapsed="false">
      <c r="A1450" s="0" t="n">
        <v>491</v>
      </c>
      <c r="B1450" s="0" t="s">
        <v>3316</v>
      </c>
      <c r="C1450" s="0" t="s">
        <v>3319</v>
      </c>
      <c r="E1450" s="0" t="s">
        <v>79</v>
      </c>
      <c r="F1450" s="0" t="s">
        <v>11719</v>
      </c>
    </row>
    <row r="1451" customFormat="false" ht="15" hidden="false" customHeight="false" outlineLevel="0" collapsed="false">
      <c r="A1451" s="0" t="n">
        <v>491</v>
      </c>
      <c r="B1451" s="0" t="s">
        <v>3316</v>
      </c>
      <c r="C1451" s="0" t="s">
        <v>3320</v>
      </c>
      <c r="E1451" s="0" t="s">
        <v>79</v>
      </c>
      <c r="F1451" s="0" t="s">
        <v>11720</v>
      </c>
    </row>
    <row r="1452" customFormat="false" ht="15" hidden="false" customHeight="false" outlineLevel="0" collapsed="false">
      <c r="A1452" s="0" t="n">
        <v>491</v>
      </c>
      <c r="B1452" s="0" t="s">
        <v>3316</v>
      </c>
      <c r="C1452" s="0" t="s">
        <v>3321</v>
      </c>
      <c r="E1452" s="0" t="s">
        <v>79</v>
      </c>
      <c r="F1452" s="0" t="s">
        <v>11721</v>
      </c>
    </row>
    <row r="1453" customFormat="false" ht="15" hidden="false" customHeight="false" outlineLevel="0" collapsed="false">
      <c r="A1453" s="0" t="n">
        <v>491</v>
      </c>
      <c r="B1453" s="0" t="s">
        <v>3316</v>
      </c>
      <c r="C1453" s="0" t="s">
        <v>11722</v>
      </c>
      <c r="E1453" s="0" t="s">
        <v>79</v>
      </c>
      <c r="F1453" s="0" t="s">
        <v>11723</v>
      </c>
    </row>
    <row r="1454" customFormat="false" ht="15" hidden="false" customHeight="false" outlineLevel="0" collapsed="false">
      <c r="A1454" s="0" t="n">
        <v>491</v>
      </c>
      <c r="B1454" s="0" t="s">
        <v>3316</v>
      </c>
      <c r="C1454" s="0" t="s">
        <v>11724</v>
      </c>
      <c r="E1454" s="0" t="s">
        <v>79</v>
      </c>
      <c r="F1454" s="0" t="s">
        <v>11725</v>
      </c>
    </row>
    <row r="1455" customFormat="false" ht="15" hidden="false" customHeight="false" outlineLevel="0" collapsed="false">
      <c r="A1455" s="0" t="n">
        <v>495</v>
      </c>
      <c r="B1455" s="0" t="s">
        <v>3331</v>
      </c>
      <c r="C1455" s="0" t="s">
        <v>3333</v>
      </c>
      <c r="E1455" s="0" t="s">
        <v>79</v>
      </c>
      <c r="F1455" s="0" t="s">
        <v>11726</v>
      </c>
    </row>
    <row r="1456" customFormat="false" ht="15" hidden="false" customHeight="false" outlineLevel="0" collapsed="false">
      <c r="A1456" s="0" t="n">
        <v>495</v>
      </c>
      <c r="B1456" s="0" t="s">
        <v>3331</v>
      </c>
      <c r="C1456" s="0" t="s">
        <v>3334</v>
      </c>
      <c r="E1456" s="0" t="s">
        <v>79</v>
      </c>
      <c r="F1456" s="0" t="s">
        <v>11727</v>
      </c>
    </row>
    <row r="1457" customFormat="false" ht="15" hidden="false" customHeight="false" outlineLevel="0" collapsed="false">
      <c r="A1457" s="0" t="n">
        <v>495</v>
      </c>
      <c r="B1457" s="0" t="s">
        <v>3331</v>
      </c>
      <c r="C1457" s="0" t="s">
        <v>3335</v>
      </c>
      <c r="E1457" s="0" t="s">
        <v>79</v>
      </c>
      <c r="F1457" s="0" t="s">
        <v>11728</v>
      </c>
    </row>
    <row r="1458" customFormat="false" ht="15" hidden="false" customHeight="false" outlineLevel="0" collapsed="false">
      <c r="A1458" s="0" t="n">
        <v>496</v>
      </c>
      <c r="B1458" s="0" t="s">
        <v>2437</v>
      </c>
      <c r="C1458" s="0" t="s">
        <v>3339</v>
      </c>
      <c r="E1458" s="0" t="s">
        <v>79</v>
      </c>
      <c r="F1458" s="0" t="s">
        <v>11729</v>
      </c>
    </row>
    <row r="1459" customFormat="false" ht="15" hidden="false" customHeight="false" outlineLevel="0" collapsed="false">
      <c r="A1459" s="0" t="n">
        <v>496</v>
      </c>
      <c r="B1459" s="0" t="s">
        <v>2437</v>
      </c>
      <c r="C1459" s="0" t="s">
        <v>3340</v>
      </c>
      <c r="E1459" s="0" t="s">
        <v>79</v>
      </c>
      <c r="F1459" s="0" t="s">
        <v>11730</v>
      </c>
    </row>
    <row r="1460" customFormat="false" ht="15" hidden="false" customHeight="false" outlineLevel="0" collapsed="false">
      <c r="A1460" s="0" t="n">
        <v>496</v>
      </c>
      <c r="B1460" s="0" t="s">
        <v>2437</v>
      </c>
      <c r="C1460" s="0" t="s">
        <v>3341</v>
      </c>
      <c r="E1460" s="0" t="s">
        <v>59</v>
      </c>
      <c r="F1460" s="0" t="s">
        <v>11731</v>
      </c>
    </row>
    <row r="1461" customFormat="false" ht="15" hidden="false" customHeight="false" outlineLevel="0" collapsed="false">
      <c r="A1461" s="0" t="n">
        <v>496</v>
      </c>
      <c r="B1461" s="0" t="s">
        <v>2437</v>
      </c>
      <c r="C1461" s="0" t="s">
        <v>11732</v>
      </c>
      <c r="E1461" s="0" t="s">
        <v>59</v>
      </c>
      <c r="F1461" s="0" t="s">
        <v>11733</v>
      </c>
    </row>
    <row r="1462" customFormat="false" ht="15" hidden="false" customHeight="false" outlineLevel="0" collapsed="false">
      <c r="A1462" s="0" t="n">
        <v>496</v>
      </c>
      <c r="B1462" s="0" t="s">
        <v>2437</v>
      </c>
      <c r="C1462" s="0" t="s">
        <v>11734</v>
      </c>
      <c r="E1462" s="0" t="s">
        <v>59</v>
      </c>
      <c r="F1462" s="0" t="s">
        <v>11735</v>
      </c>
    </row>
    <row r="1463" customFormat="false" ht="15" hidden="false" customHeight="false" outlineLevel="0" collapsed="false">
      <c r="A1463" s="0" t="n">
        <v>497</v>
      </c>
      <c r="B1463" s="0" t="s">
        <v>3344</v>
      </c>
      <c r="C1463" s="0" t="s">
        <v>3347</v>
      </c>
      <c r="E1463" s="0" t="s">
        <v>79</v>
      </c>
      <c r="F1463" s="0" t="s">
        <v>11736</v>
      </c>
    </row>
    <row r="1464" customFormat="false" ht="15" hidden="false" customHeight="false" outlineLevel="0" collapsed="false">
      <c r="A1464" s="0" t="n">
        <v>497</v>
      </c>
      <c r="B1464" s="0" t="s">
        <v>3344</v>
      </c>
      <c r="C1464" s="0" t="s">
        <v>3348</v>
      </c>
      <c r="E1464" s="0" t="s">
        <v>79</v>
      </c>
      <c r="F1464" s="0" t="s">
        <v>11737</v>
      </c>
    </row>
    <row r="1465" customFormat="false" ht="15" hidden="false" customHeight="false" outlineLevel="0" collapsed="false">
      <c r="A1465" s="0" t="n">
        <v>497</v>
      </c>
      <c r="B1465" s="0" t="s">
        <v>3344</v>
      </c>
      <c r="C1465" s="0" t="s">
        <v>3349</v>
      </c>
      <c r="E1465" s="0" t="s">
        <v>79</v>
      </c>
      <c r="F1465" s="0" t="s">
        <v>11738</v>
      </c>
    </row>
    <row r="1466" customFormat="false" ht="15" hidden="false" customHeight="false" outlineLevel="0" collapsed="false">
      <c r="A1466" s="0" t="n">
        <v>497</v>
      </c>
      <c r="B1466" s="0" t="s">
        <v>3344</v>
      </c>
      <c r="C1466" s="0" t="s">
        <v>11739</v>
      </c>
      <c r="E1466" s="0" t="s">
        <v>79</v>
      </c>
      <c r="F1466" s="0" t="s">
        <v>11740</v>
      </c>
    </row>
    <row r="1467" customFormat="false" ht="15" hidden="false" customHeight="false" outlineLevel="0" collapsed="false">
      <c r="A1467" s="0" t="n">
        <v>497</v>
      </c>
      <c r="B1467" s="0" t="s">
        <v>3344</v>
      </c>
      <c r="C1467" s="0" t="s">
        <v>11741</v>
      </c>
      <c r="E1467" s="0" t="s">
        <v>79</v>
      </c>
      <c r="F1467" s="0" t="s">
        <v>11742</v>
      </c>
    </row>
    <row r="1468" customFormat="false" ht="15" hidden="false" customHeight="false" outlineLevel="0" collapsed="false">
      <c r="A1468" s="0" t="n">
        <v>498</v>
      </c>
      <c r="B1468" s="0" t="s">
        <v>3353</v>
      </c>
      <c r="C1468" s="0" t="s">
        <v>3356</v>
      </c>
      <c r="E1468" s="0" t="s">
        <v>79</v>
      </c>
      <c r="F1468" s="0" t="s">
        <v>11743</v>
      </c>
    </row>
    <row r="1469" customFormat="false" ht="15" hidden="false" customHeight="false" outlineLevel="0" collapsed="false">
      <c r="A1469" s="0" t="n">
        <v>498</v>
      </c>
      <c r="B1469" s="0" t="s">
        <v>3353</v>
      </c>
      <c r="C1469" s="0" t="s">
        <v>3357</v>
      </c>
      <c r="E1469" s="0" t="s">
        <v>79</v>
      </c>
      <c r="F1469" s="0" t="s">
        <v>11744</v>
      </c>
    </row>
    <row r="1470" customFormat="false" ht="15" hidden="false" customHeight="false" outlineLevel="0" collapsed="false">
      <c r="A1470" s="0" t="n">
        <v>498</v>
      </c>
      <c r="B1470" s="0" t="s">
        <v>3353</v>
      </c>
      <c r="C1470" s="0" t="s">
        <v>3358</v>
      </c>
      <c r="E1470" s="0" t="s">
        <v>79</v>
      </c>
      <c r="F1470" s="0" t="s">
        <v>11745</v>
      </c>
    </row>
    <row r="1471" customFormat="false" ht="15" hidden="false" customHeight="false" outlineLevel="0" collapsed="false">
      <c r="A1471" s="0" t="n">
        <v>498</v>
      </c>
      <c r="B1471" s="0" t="s">
        <v>3353</v>
      </c>
      <c r="C1471" s="0" t="s">
        <v>11746</v>
      </c>
      <c r="E1471" s="0" t="s">
        <v>79</v>
      </c>
      <c r="F1471" s="0" t="s">
        <v>11747</v>
      </c>
    </row>
    <row r="1472" customFormat="false" ht="15" hidden="false" customHeight="false" outlineLevel="0" collapsed="false">
      <c r="A1472" s="0" t="n">
        <v>498</v>
      </c>
      <c r="B1472" s="0" t="s">
        <v>3353</v>
      </c>
      <c r="C1472" s="0" t="s">
        <v>11748</v>
      </c>
      <c r="E1472" s="0" t="s">
        <v>79</v>
      </c>
      <c r="F1472" s="0" t="s">
        <v>11749</v>
      </c>
    </row>
    <row r="1473" customFormat="false" ht="15" hidden="false" customHeight="false" outlineLevel="0" collapsed="false">
      <c r="A1473" s="0" t="n">
        <v>499</v>
      </c>
      <c r="B1473" s="0" t="s">
        <v>3364</v>
      </c>
      <c r="C1473" s="0" t="s">
        <v>3366</v>
      </c>
      <c r="E1473" s="0" t="s">
        <v>79</v>
      </c>
      <c r="F1473" s="0" t="s">
        <v>11750</v>
      </c>
    </row>
    <row r="1474" customFormat="false" ht="15" hidden="false" customHeight="false" outlineLevel="0" collapsed="false">
      <c r="A1474" s="0" t="n">
        <v>499</v>
      </c>
      <c r="B1474" s="0" t="s">
        <v>3364</v>
      </c>
      <c r="C1474" s="0" t="s">
        <v>3367</v>
      </c>
      <c r="E1474" s="0" t="s">
        <v>79</v>
      </c>
      <c r="F1474" s="0" t="s">
        <v>11751</v>
      </c>
    </row>
    <row r="1475" customFormat="false" ht="15" hidden="false" customHeight="false" outlineLevel="0" collapsed="false">
      <c r="A1475" s="0" t="n">
        <v>499</v>
      </c>
      <c r="B1475" s="0" t="s">
        <v>3364</v>
      </c>
      <c r="C1475" s="0" t="s">
        <v>3368</v>
      </c>
      <c r="E1475" s="0" t="s">
        <v>79</v>
      </c>
      <c r="F1475" s="0" t="s">
        <v>11752</v>
      </c>
    </row>
    <row r="1476" customFormat="false" ht="15" hidden="false" customHeight="false" outlineLevel="0" collapsed="false">
      <c r="A1476" s="0" t="n">
        <v>499</v>
      </c>
      <c r="B1476" s="0" t="s">
        <v>3364</v>
      </c>
      <c r="C1476" s="0" t="s">
        <v>11753</v>
      </c>
      <c r="E1476" s="0" t="s">
        <v>79</v>
      </c>
      <c r="F1476" s="0" t="s">
        <v>11754</v>
      </c>
    </row>
    <row r="1477" customFormat="false" ht="15" hidden="false" customHeight="false" outlineLevel="0" collapsed="false">
      <c r="A1477" s="0" t="n">
        <v>499</v>
      </c>
      <c r="B1477" s="0" t="s">
        <v>3364</v>
      </c>
      <c r="C1477" s="0" t="s">
        <v>11755</v>
      </c>
      <c r="E1477" s="0" t="s">
        <v>79</v>
      </c>
      <c r="F1477" s="0" t="s">
        <v>11756</v>
      </c>
    </row>
    <row r="1478" customFormat="false" ht="15" hidden="false" customHeight="false" outlineLevel="0" collapsed="false">
      <c r="A1478" s="0" t="n">
        <v>500</v>
      </c>
      <c r="B1478" s="0" t="s">
        <v>3369</v>
      </c>
      <c r="C1478" s="0" t="s">
        <v>3372</v>
      </c>
      <c r="E1478" s="0" t="s">
        <v>79</v>
      </c>
      <c r="F1478" s="0" t="s">
        <v>11757</v>
      </c>
    </row>
    <row r="1479" customFormat="false" ht="15" hidden="false" customHeight="false" outlineLevel="0" collapsed="false">
      <c r="A1479" s="0" t="n">
        <v>500</v>
      </c>
      <c r="B1479" s="0" t="s">
        <v>3369</v>
      </c>
      <c r="C1479" s="0" t="s">
        <v>3373</v>
      </c>
      <c r="E1479" s="0" t="s">
        <v>79</v>
      </c>
      <c r="F1479" s="0" t="s">
        <v>11758</v>
      </c>
    </row>
    <row r="1480" customFormat="false" ht="15" hidden="false" customHeight="false" outlineLevel="0" collapsed="false">
      <c r="A1480" s="0" t="n">
        <v>500</v>
      </c>
      <c r="B1480" s="0" t="s">
        <v>3369</v>
      </c>
      <c r="C1480" s="0" t="s">
        <v>3374</v>
      </c>
      <c r="E1480" s="0" t="s">
        <v>79</v>
      </c>
      <c r="F1480" s="0" t="s">
        <v>11759</v>
      </c>
    </row>
    <row r="1481" customFormat="false" ht="15" hidden="false" customHeight="false" outlineLevel="0" collapsed="false">
      <c r="A1481" s="0" t="n">
        <v>500</v>
      </c>
      <c r="B1481" s="0" t="s">
        <v>3369</v>
      </c>
      <c r="C1481" s="0" t="s">
        <v>11760</v>
      </c>
      <c r="E1481" s="0" t="s">
        <v>79</v>
      </c>
      <c r="F1481" s="0" t="s">
        <v>11761</v>
      </c>
    </row>
    <row r="1482" customFormat="false" ht="15" hidden="false" customHeight="false" outlineLevel="0" collapsed="false">
      <c r="A1482" s="0" t="n">
        <v>500</v>
      </c>
      <c r="B1482" s="0" t="s">
        <v>3369</v>
      </c>
      <c r="C1482" s="0" t="s">
        <v>11762</v>
      </c>
      <c r="E1482" s="0" t="s">
        <v>79</v>
      </c>
      <c r="F1482" s="0" t="s">
        <v>11763</v>
      </c>
    </row>
    <row r="1483" customFormat="false" ht="15" hidden="false" customHeight="false" outlineLevel="0" collapsed="false">
      <c r="A1483" s="0" t="n">
        <v>503</v>
      </c>
      <c r="B1483" s="0" t="s">
        <v>3390</v>
      </c>
      <c r="C1483" s="0" t="s">
        <v>3392</v>
      </c>
      <c r="E1483" s="0" t="s">
        <v>79</v>
      </c>
      <c r="F1483" s="0" t="s">
        <v>11764</v>
      </c>
    </row>
    <row r="1484" customFormat="false" ht="15" hidden="false" customHeight="false" outlineLevel="0" collapsed="false">
      <c r="A1484" s="0" t="n">
        <v>503</v>
      </c>
      <c r="B1484" s="0" t="s">
        <v>3390</v>
      </c>
      <c r="C1484" s="0" t="s">
        <v>3393</v>
      </c>
      <c r="E1484" s="0" t="s">
        <v>79</v>
      </c>
      <c r="F1484" s="0" t="s">
        <v>11765</v>
      </c>
    </row>
    <row r="1485" customFormat="false" ht="15" hidden="false" customHeight="false" outlineLevel="0" collapsed="false">
      <c r="A1485" s="0" t="n">
        <v>503</v>
      </c>
      <c r="B1485" s="0" t="s">
        <v>3390</v>
      </c>
      <c r="C1485" s="0" t="s">
        <v>3394</v>
      </c>
      <c r="E1485" s="0" t="s">
        <v>79</v>
      </c>
      <c r="F1485" s="0" t="s">
        <v>11766</v>
      </c>
    </row>
    <row r="1486" customFormat="false" ht="15" hidden="false" customHeight="false" outlineLevel="0" collapsed="false">
      <c r="A1486" s="0" t="n">
        <v>503</v>
      </c>
      <c r="B1486" s="0" t="s">
        <v>3390</v>
      </c>
      <c r="C1486" s="0" t="s">
        <v>11767</v>
      </c>
      <c r="E1486" s="0" t="s">
        <v>79</v>
      </c>
      <c r="F1486" s="0" t="s">
        <v>11768</v>
      </c>
    </row>
    <row r="1487" customFormat="false" ht="15" hidden="false" customHeight="false" outlineLevel="0" collapsed="false">
      <c r="A1487" s="0" t="n">
        <v>503</v>
      </c>
      <c r="B1487" s="0" t="s">
        <v>3390</v>
      </c>
      <c r="C1487" s="0" t="s">
        <v>11769</v>
      </c>
      <c r="E1487" s="0" t="s">
        <v>79</v>
      </c>
      <c r="F1487" s="0" t="s">
        <v>11770</v>
      </c>
    </row>
    <row r="1488" customFormat="false" ht="15" hidden="false" customHeight="false" outlineLevel="0" collapsed="false">
      <c r="A1488" s="0" t="n">
        <v>505</v>
      </c>
      <c r="B1488" s="0" t="s">
        <v>3397</v>
      </c>
      <c r="C1488" s="0" t="s">
        <v>3401</v>
      </c>
      <c r="E1488" s="0" t="s">
        <v>79</v>
      </c>
      <c r="F1488" s="0" t="s">
        <v>11771</v>
      </c>
    </row>
    <row r="1489" customFormat="false" ht="15" hidden="false" customHeight="false" outlineLevel="0" collapsed="false">
      <c r="A1489" s="0" t="n">
        <v>505</v>
      </c>
      <c r="B1489" s="0" t="s">
        <v>3397</v>
      </c>
      <c r="C1489" s="0" t="s">
        <v>3402</v>
      </c>
      <c r="E1489" s="0" t="s">
        <v>79</v>
      </c>
      <c r="F1489" s="0" t="s">
        <v>11772</v>
      </c>
    </row>
    <row r="1490" customFormat="false" ht="15" hidden="false" customHeight="false" outlineLevel="0" collapsed="false">
      <c r="A1490" s="0" t="n">
        <v>505</v>
      </c>
      <c r="B1490" s="0" t="s">
        <v>3397</v>
      </c>
      <c r="C1490" s="0" t="s">
        <v>3403</v>
      </c>
      <c r="E1490" s="0" t="s">
        <v>79</v>
      </c>
      <c r="F1490" s="0" t="s">
        <v>11773</v>
      </c>
    </row>
    <row r="1491" customFormat="false" ht="15" hidden="false" customHeight="false" outlineLevel="0" collapsed="false">
      <c r="A1491" s="0" t="n">
        <v>505</v>
      </c>
      <c r="B1491" s="0" t="s">
        <v>3397</v>
      </c>
      <c r="C1491" s="0" t="s">
        <v>11774</v>
      </c>
      <c r="E1491" s="0" t="s">
        <v>79</v>
      </c>
      <c r="F1491" s="0" t="s">
        <v>11775</v>
      </c>
    </row>
    <row r="1492" customFormat="false" ht="15" hidden="false" customHeight="false" outlineLevel="0" collapsed="false">
      <c r="A1492" s="0" t="n">
        <v>505</v>
      </c>
      <c r="B1492" s="0" t="s">
        <v>3397</v>
      </c>
      <c r="C1492" s="0" t="s">
        <v>11776</v>
      </c>
      <c r="E1492" s="0" t="s">
        <v>79</v>
      </c>
      <c r="F1492" s="0" t="s">
        <v>11777</v>
      </c>
    </row>
    <row r="1493" customFormat="false" ht="15" hidden="false" customHeight="false" outlineLevel="0" collapsed="false">
      <c r="A1493" s="0" t="n">
        <v>506</v>
      </c>
      <c r="B1493" s="0" t="s">
        <v>3408</v>
      </c>
      <c r="C1493" s="0" t="s">
        <v>3410</v>
      </c>
      <c r="E1493" s="0" t="s">
        <v>79</v>
      </c>
      <c r="F1493" s="0" t="s">
        <v>11778</v>
      </c>
    </row>
    <row r="1494" customFormat="false" ht="15" hidden="false" customHeight="false" outlineLevel="0" collapsed="false">
      <c r="A1494" s="0" t="n">
        <v>506</v>
      </c>
      <c r="B1494" s="0" t="s">
        <v>3408</v>
      </c>
      <c r="C1494" s="0" t="s">
        <v>3411</v>
      </c>
      <c r="E1494" s="0" t="s">
        <v>79</v>
      </c>
      <c r="F1494" s="0" t="s">
        <v>11779</v>
      </c>
    </row>
    <row r="1495" customFormat="false" ht="15" hidden="false" customHeight="false" outlineLevel="0" collapsed="false">
      <c r="A1495" s="0" t="n">
        <v>506</v>
      </c>
      <c r="B1495" s="0" t="s">
        <v>3408</v>
      </c>
      <c r="C1495" s="0" t="s">
        <v>3412</v>
      </c>
      <c r="E1495" s="0" t="s">
        <v>79</v>
      </c>
      <c r="F1495" s="0" t="s">
        <v>11780</v>
      </c>
    </row>
    <row r="1496" customFormat="false" ht="15" hidden="false" customHeight="false" outlineLevel="0" collapsed="false">
      <c r="A1496" s="0" t="n">
        <v>506</v>
      </c>
      <c r="B1496" s="0" t="s">
        <v>3408</v>
      </c>
      <c r="C1496" s="0" t="s">
        <v>11781</v>
      </c>
      <c r="E1496" s="0" t="s">
        <v>79</v>
      </c>
      <c r="F1496" s="0" t="s">
        <v>11782</v>
      </c>
    </row>
    <row r="1497" customFormat="false" ht="15" hidden="false" customHeight="false" outlineLevel="0" collapsed="false">
      <c r="A1497" s="0" t="n">
        <v>506</v>
      </c>
      <c r="B1497" s="0" t="s">
        <v>3408</v>
      </c>
      <c r="C1497" s="0" t="s">
        <v>11783</v>
      </c>
      <c r="E1497" s="0" t="s">
        <v>79</v>
      </c>
      <c r="F1497" s="0" t="s">
        <v>11784</v>
      </c>
    </row>
    <row r="1498" customFormat="false" ht="15" hidden="false" customHeight="false" outlineLevel="0" collapsed="false">
      <c r="A1498" s="0" t="n">
        <v>509</v>
      </c>
      <c r="B1498" s="0" t="s">
        <v>3420</v>
      </c>
      <c r="C1498" s="0" t="s">
        <v>3423</v>
      </c>
      <c r="E1498" s="0" t="s">
        <v>79</v>
      </c>
      <c r="F1498" s="0" t="s">
        <v>11785</v>
      </c>
    </row>
    <row r="1499" customFormat="false" ht="15" hidden="false" customHeight="false" outlineLevel="0" collapsed="false">
      <c r="A1499" s="0" t="n">
        <v>509</v>
      </c>
      <c r="B1499" s="0" t="s">
        <v>3420</v>
      </c>
      <c r="C1499" s="0" t="s">
        <v>3424</v>
      </c>
      <c r="E1499" s="0" t="s">
        <v>79</v>
      </c>
      <c r="F1499" s="0" t="s">
        <v>11786</v>
      </c>
    </row>
    <row r="1500" customFormat="false" ht="15" hidden="false" customHeight="false" outlineLevel="0" collapsed="false">
      <c r="A1500" s="0" t="n">
        <v>509</v>
      </c>
      <c r="B1500" s="0" t="s">
        <v>3420</v>
      </c>
      <c r="C1500" s="0" t="s">
        <v>3425</v>
      </c>
      <c r="E1500" s="0" t="s">
        <v>79</v>
      </c>
      <c r="F1500" s="0" t="s">
        <v>11787</v>
      </c>
    </row>
    <row r="1501" customFormat="false" ht="15" hidden="false" customHeight="false" outlineLevel="0" collapsed="false">
      <c r="A1501" s="0" t="n">
        <v>509</v>
      </c>
      <c r="B1501" s="0" t="s">
        <v>3420</v>
      </c>
      <c r="C1501" s="0" t="s">
        <v>11788</v>
      </c>
      <c r="E1501" s="0" t="s">
        <v>79</v>
      </c>
      <c r="F1501" s="0" t="s">
        <v>11789</v>
      </c>
    </row>
    <row r="1502" customFormat="false" ht="15" hidden="false" customHeight="false" outlineLevel="0" collapsed="false">
      <c r="A1502" s="0" t="n">
        <v>509</v>
      </c>
      <c r="B1502" s="0" t="s">
        <v>3420</v>
      </c>
      <c r="C1502" s="0" t="s">
        <v>11790</v>
      </c>
      <c r="E1502" s="0" t="s">
        <v>79</v>
      </c>
      <c r="F1502" s="0" t="s">
        <v>11791</v>
      </c>
    </row>
    <row r="1503" customFormat="false" ht="15" hidden="false" customHeight="false" outlineLevel="0" collapsed="false">
      <c r="A1503" s="0" t="n">
        <v>511</v>
      </c>
      <c r="B1503" s="0" t="s">
        <v>3429</v>
      </c>
      <c r="C1503" s="0" t="s">
        <v>3431</v>
      </c>
      <c r="E1503" s="0" t="s">
        <v>59</v>
      </c>
      <c r="F1503" s="0" t="s">
        <v>11792</v>
      </c>
    </row>
    <row r="1504" customFormat="false" ht="15" hidden="false" customHeight="false" outlineLevel="0" collapsed="false">
      <c r="A1504" s="0" t="n">
        <v>511</v>
      </c>
      <c r="B1504" s="0" t="s">
        <v>3429</v>
      </c>
      <c r="C1504" s="0" t="s">
        <v>3432</v>
      </c>
      <c r="E1504" s="0" t="s">
        <v>59</v>
      </c>
      <c r="F1504" s="0" t="s">
        <v>11793</v>
      </c>
    </row>
    <row r="1505" customFormat="false" ht="15" hidden="false" customHeight="false" outlineLevel="0" collapsed="false">
      <c r="A1505" s="0" t="n">
        <v>511</v>
      </c>
      <c r="B1505" s="0" t="s">
        <v>3429</v>
      </c>
      <c r="C1505" s="0" t="s">
        <v>3433</v>
      </c>
      <c r="E1505" s="0" t="s">
        <v>59</v>
      </c>
      <c r="F1505" s="0" t="s">
        <v>11794</v>
      </c>
    </row>
    <row r="1506" customFormat="false" ht="15" hidden="false" customHeight="false" outlineLevel="0" collapsed="false">
      <c r="A1506" s="0" t="n">
        <v>511</v>
      </c>
      <c r="B1506" s="0" t="s">
        <v>3429</v>
      </c>
      <c r="C1506" s="0" t="s">
        <v>11795</v>
      </c>
      <c r="E1506" s="0" t="s">
        <v>59</v>
      </c>
      <c r="F1506" s="0" t="s">
        <v>11796</v>
      </c>
    </row>
    <row r="1507" customFormat="false" ht="15" hidden="false" customHeight="false" outlineLevel="0" collapsed="false">
      <c r="A1507" s="0" t="n">
        <v>511</v>
      </c>
      <c r="B1507" s="0" t="s">
        <v>3429</v>
      </c>
      <c r="C1507" s="0" t="s">
        <v>11797</v>
      </c>
      <c r="E1507" s="0" t="s">
        <v>59</v>
      </c>
      <c r="F1507" s="0" t="s">
        <v>11798</v>
      </c>
    </row>
    <row r="1508" customFormat="false" ht="15" hidden="false" customHeight="false" outlineLevel="0" collapsed="false">
      <c r="A1508" s="0" t="n">
        <v>512</v>
      </c>
      <c r="B1508" s="0" t="s">
        <v>3434</v>
      </c>
      <c r="C1508" s="0" t="s">
        <v>3437</v>
      </c>
      <c r="E1508" s="0" t="s">
        <v>79</v>
      </c>
      <c r="F1508" s="0" t="s">
        <v>11799</v>
      </c>
    </row>
    <row r="1509" customFormat="false" ht="15" hidden="false" customHeight="false" outlineLevel="0" collapsed="false">
      <c r="A1509" s="0" t="n">
        <v>512</v>
      </c>
      <c r="B1509" s="0" t="s">
        <v>3434</v>
      </c>
      <c r="C1509" s="0" t="s">
        <v>3438</v>
      </c>
      <c r="E1509" s="0" t="s">
        <v>79</v>
      </c>
      <c r="F1509" s="0" t="s">
        <v>11800</v>
      </c>
    </row>
    <row r="1510" customFormat="false" ht="15" hidden="false" customHeight="false" outlineLevel="0" collapsed="false">
      <c r="A1510" s="0" t="n">
        <v>512</v>
      </c>
      <c r="B1510" s="0" t="s">
        <v>3434</v>
      </c>
      <c r="C1510" s="0" t="s">
        <v>3439</v>
      </c>
      <c r="E1510" s="0" t="s">
        <v>79</v>
      </c>
      <c r="F1510" s="0" t="s">
        <v>11801</v>
      </c>
    </row>
    <row r="1511" customFormat="false" ht="15" hidden="false" customHeight="false" outlineLevel="0" collapsed="false">
      <c r="A1511" s="0" t="n">
        <v>512</v>
      </c>
      <c r="B1511" s="0" t="s">
        <v>3434</v>
      </c>
      <c r="C1511" s="0" t="s">
        <v>11802</v>
      </c>
      <c r="E1511" s="0" t="s">
        <v>79</v>
      </c>
      <c r="F1511" s="0" t="s">
        <v>11803</v>
      </c>
    </row>
    <row r="1512" customFormat="false" ht="15" hidden="false" customHeight="false" outlineLevel="0" collapsed="false">
      <c r="A1512" s="0" t="n">
        <v>512</v>
      </c>
      <c r="B1512" s="0" t="s">
        <v>3434</v>
      </c>
      <c r="C1512" s="0" t="s">
        <v>11804</v>
      </c>
      <c r="E1512" s="0" t="s">
        <v>79</v>
      </c>
      <c r="F1512" s="0" t="s">
        <v>11805</v>
      </c>
    </row>
    <row r="1513" customFormat="false" ht="15" hidden="false" customHeight="false" outlineLevel="0" collapsed="false">
      <c r="A1513" s="0" t="n">
        <v>513</v>
      </c>
      <c r="B1513" s="0" t="s">
        <v>3445</v>
      </c>
      <c r="C1513" s="0" t="s">
        <v>3448</v>
      </c>
      <c r="E1513" s="0" t="s">
        <v>59</v>
      </c>
      <c r="F1513" s="0" t="s">
        <v>11806</v>
      </c>
    </row>
    <row r="1514" customFormat="false" ht="15" hidden="false" customHeight="false" outlineLevel="0" collapsed="false">
      <c r="A1514" s="0" t="n">
        <v>513</v>
      </c>
      <c r="B1514" s="0" t="s">
        <v>3445</v>
      </c>
      <c r="C1514" s="0" t="s">
        <v>3449</v>
      </c>
      <c r="E1514" s="0" t="s">
        <v>59</v>
      </c>
      <c r="F1514" s="0" t="s">
        <v>11807</v>
      </c>
    </row>
    <row r="1515" customFormat="false" ht="15" hidden="false" customHeight="false" outlineLevel="0" collapsed="false">
      <c r="A1515" s="0" t="n">
        <v>513</v>
      </c>
      <c r="B1515" s="0" t="s">
        <v>3445</v>
      </c>
      <c r="C1515" s="0" t="s">
        <v>3450</v>
      </c>
      <c r="E1515" s="0" t="s">
        <v>59</v>
      </c>
      <c r="F1515" s="0" t="s">
        <v>11808</v>
      </c>
    </row>
    <row r="1516" customFormat="false" ht="15" hidden="false" customHeight="false" outlineLevel="0" collapsed="false">
      <c r="A1516" s="0" t="n">
        <v>513</v>
      </c>
      <c r="B1516" s="0" t="s">
        <v>3445</v>
      </c>
      <c r="C1516" s="0" t="s">
        <v>11809</v>
      </c>
      <c r="E1516" s="0" t="s">
        <v>59</v>
      </c>
      <c r="F1516" s="0" t="s">
        <v>11810</v>
      </c>
    </row>
    <row r="1517" customFormat="false" ht="15" hidden="false" customHeight="false" outlineLevel="0" collapsed="false">
      <c r="A1517" s="0" t="n">
        <v>513</v>
      </c>
      <c r="B1517" s="0" t="s">
        <v>3445</v>
      </c>
      <c r="C1517" s="0" t="s">
        <v>11811</v>
      </c>
      <c r="E1517" s="0" t="s">
        <v>59</v>
      </c>
      <c r="F1517" s="0" t="s">
        <v>11812</v>
      </c>
    </row>
    <row r="1518" customFormat="false" ht="15" hidden="false" customHeight="false" outlineLevel="0" collapsed="false">
      <c r="A1518" s="0" t="n">
        <v>515</v>
      </c>
      <c r="B1518" s="0" t="s">
        <v>3468</v>
      </c>
      <c r="C1518" s="0" t="s">
        <v>3471</v>
      </c>
      <c r="E1518" s="0" t="s">
        <v>79</v>
      </c>
      <c r="F1518" s="0" t="s">
        <v>11813</v>
      </c>
    </row>
    <row r="1519" customFormat="false" ht="15" hidden="false" customHeight="false" outlineLevel="0" collapsed="false">
      <c r="A1519" s="0" t="n">
        <v>515</v>
      </c>
      <c r="B1519" s="0" t="s">
        <v>3468</v>
      </c>
      <c r="C1519" s="0" t="s">
        <v>3472</v>
      </c>
      <c r="E1519" s="0" t="s">
        <v>79</v>
      </c>
      <c r="F1519" s="0" t="s">
        <v>11814</v>
      </c>
    </row>
    <row r="1520" customFormat="false" ht="15" hidden="false" customHeight="false" outlineLevel="0" collapsed="false">
      <c r="A1520" s="0" t="n">
        <v>515</v>
      </c>
      <c r="B1520" s="0" t="s">
        <v>3468</v>
      </c>
      <c r="C1520" s="0" t="s">
        <v>3473</v>
      </c>
      <c r="E1520" s="0" t="s">
        <v>79</v>
      </c>
      <c r="F1520" s="0" t="s">
        <v>11815</v>
      </c>
    </row>
    <row r="1521" customFormat="false" ht="15" hidden="false" customHeight="false" outlineLevel="0" collapsed="false">
      <c r="A1521" s="0" t="n">
        <v>515</v>
      </c>
      <c r="B1521" s="0" t="s">
        <v>3468</v>
      </c>
      <c r="C1521" s="0" t="s">
        <v>11816</v>
      </c>
      <c r="E1521" s="0" t="s">
        <v>79</v>
      </c>
      <c r="F1521" s="0" t="s">
        <v>11817</v>
      </c>
    </row>
    <row r="1522" customFormat="false" ht="15" hidden="false" customHeight="false" outlineLevel="0" collapsed="false">
      <c r="A1522" s="0" t="n">
        <v>515</v>
      </c>
      <c r="B1522" s="0" t="s">
        <v>3468</v>
      </c>
      <c r="C1522" s="0" t="s">
        <v>11818</v>
      </c>
      <c r="E1522" s="0" t="s">
        <v>79</v>
      </c>
      <c r="F1522" s="0" t="s">
        <v>11819</v>
      </c>
    </row>
    <row r="1523" customFormat="false" ht="15" hidden="false" customHeight="false" outlineLevel="0" collapsed="false">
      <c r="A1523" s="0" t="n">
        <v>516</v>
      </c>
      <c r="B1523" s="0" t="s">
        <v>3476</v>
      </c>
      <c r="C1523" s="0" t="s">
        <v>3479</v>
      </c>
      <c r="E1523" s="0" t="s">
        <v>59</v>
      </c>
      <c r="F1523" s="0" t="s">
        <v>11820</v>
      </c>
    </row>
    <row r="1524" customFormat="false" ht="15" hidden="false" customHeight="false" outlineLevel="0" collapsed="false">
      <c r="A1524" s="0" t="n">
        <v>516</v>
      </c>
      <c r="B1524" s="0" t="s">
        <v>3476</v>
      </c>
      <c r="C1524" s="0" t="s">
        <v>3480</v>
      </c>
      <c r="E1524" s="0" t="s">
        <v>59</v>
      </c>
      <c r="F1524" s="0" t="s">
        <v>11821</v>
      </c>
    </row>
    <row r="1525" customFormat="false" ht="15" hidden="false" customHeight="false" outlineLevel="0" collapsed="false">
      <c r="A1525" s="0" t="n">
        <v>516</v>
      </c>
      <c r="B1525" s="0" t="s">
        <v>3476</v>
      </c>
      <c r="C1525" s="0" t="s">
        <v>3481</v>
      </c>
      <c r="E1525" s="0" t="s">
        <v>59</v>
      </c>
      <c r="F1525" s="0" t="s">
        <v>11822</v>
      </c>
    </row>
    <row r="1526" customFormat="false" ht="15" hidden="false" customHeight="false" outlineLevel="0" collapsed="false">
      <c r="A1526" s="0" t="n">
        <v>516</v>
      </c>
      <c r="B1526" s="0" t="s">
        <v>3476</v>
      </c>
      <c r="C1526" s="0" t="s">
        <v>11823</v>
      </c>
      <c r="E1526" s="0" t="s">
        <v>59</v>
      </c>
      <c r="F1526" s="0" t="s">
        <v>11824</v>
      </c>
    </row>
    <row r="1527" customFormat="false" ht="15" hidden="false" customHeight="false" outlineLevel="0" collapsed="false">
      <c r="A1527" s="0" t="n">
        <v>516</v>
      </c>
      <c r="B1527" s="0" t="s">
        <v>3476</v>
      </c>
      <c r="C1527" s="0" t="s">
        <v>11825</v>
      </c>
      <c r="E1527" s="0" t="s">
        <v>59</v>
      </c>
      <c r="F1527" s="0" t="s">
        <v>11826</v>
      </c>
    </row>
    <row r="1528" customFormat="false" ht="15" hidden="false" customHeight="false" outlineLevel="0" collapsed="false">
      <c r="A1528" s="0" t="n">
        <v>518</v>
      </c>
      <c r="B1528" s="0" t="s">
        <v>3492</v>
      </c>
      <c r="C1528" s="0" t="s">
        <v>3495</v>
      </c>
      <c r="E1528" s="0" t="s">
        <v>59</v>
      </c>
      <c r="F1528" s="0" t="s">
        <v>11827</v>
      </c>
    </row>
    <row r="1529" customFormat="false" ht="15" hidden="false" customHeight="false" outlineLevel="0" collapsed="false">
      <c r="A1529" s="0" t="n">
        <v>518</v>
      </c>
      <c r="B1529" s="0" t="s">
        <v>3492</v>
      </c>
      <c r="C1529" s="0" t="s">
        <v>3496</v>
      </c>
      <c r="E1529" s="0" t="s">
        <v>59</v>
      </c>
      <c r="F1529" s="0" t="s">
        <v>11828</v>
      </c>
    </row>
    <row r="1530" customFormat="false" ht="15" hidden="false" customHeight="false" outlineLevel="0" collapsed="false">
      <c r="A1530" s="0" t="n">
        <v>518</v>
      </c>
      <c r="B1530" s="0" t="s">
        <v>3492</v>
      </c>
      <c r="C1530" s="0" t="s">
        <v>3497</v>
      </c>
      <c r="E1530" s="0" t="s">
        <v>59</v>
      </c>
      <c r="F1530" s="0" t="s">
        <v>11829</v>
      </c>
    </row>
    <row r="1531" customFormat="false" ht="15" hidden="false" customHeight="false" outlineLevel="0" collapsed="false">
      <c r="A1531" s="0" t="n">
        <v>518</v>
      </c>
      <c r="B1531" s="0" t="s">
        <v>3492</v>
      </c>
      <c r="C1531" s="0" t="s">
        <v>11830</v>
      </c>
      <c r="E1531" s="0" t="s">
        <v>59</v>
      </c>
      <c r="F1531" s="0" t="s">
        <v>11831</v>
      </c>
    </row>
    <row r="1532" customFormat="false" ht="15" hidden="false" customHeight="false" outlineLevel="0" collapsed="false">
      <c r="A1532" s="0" t="n">
        <v>518</v>
      </c>
      <c r="B1532" s="0" t="s">
        <v>3492</v>
      </c>
      <c r="C1532" s="0" t="s">
        <v>11832</v>
      </c>
      <c r="E1532" s="0" t="s">
        <v>59</v>
      </c>
      <c r="F1532" s="0" t="s">
        <v>11833</v>
      </c>
    </row>
    <row r="1533" customFormat="false" ht="15" hidden="false" customHeight="false" outlineLevel="0" collapsed="false">
      <c r="A1533" s="0" t="n">
        <v>520</v>
      </c>
      <c r="B1533" s="0" t="s">
        <v>3507</v>
      </c>
      <c r="C1533" s="0" t="s">
        <v>3509</v>
      </c>
      <c r="E1533" s="0" t="s">
        <v>79</v>
      </c>
      <c r="F1533" s="0" t="s">
        <v>11834</v>
      </c>
    </row>
    <row r="1534" customFormat="false" ht="15" hidden="false" customHeight="false" outlineLevel="0" collapsed="false">
      <c r="A1534" s="0" t="n">
        <v>520</v>
      </c>
      <c r="B1534" s="0" t="s">
        <v>3507</v>
      </c>
      <c r="C1534" s="0" t="s">
        <v>3510</v>
      </c>
      <c r="E1534" s="0" t="s">
        <v>79</v>
      </c>
      <c r="F1534" s="0" t="s">
        <v>11835</v>
      </c>
    </row>
    <row r="1535" customFormat="false" ht="15" hidden="false" customHeight="false" outlineLevel="0" collapsed="false">
      <c r="A1535" s="0" t="n">
        <v>520</v>
      </c>
      <c r="B1535" s="0" t="s">
        <v>3507</v>
      </c>
      <c r="C1535" s="0" t="s">
        <v>3511</v>
      </c>
      <c r="E1535" s="0" t="s">
        <v>79</v>
      </c>
      <c r="F1535" s="0" t="s">
        <v>11836</v>
      </c>
    </row>
    <row r="1536" customFormat="false" ht="15" hidden="false" customHeight="false" outlineLevel="0" collapsed="false">
      <c r="A1536" s="0" t="n">
        <v>520</v>
      </c>
      <c r="B1536" s="0" t="s">
        <v>3507</v>
      </c>
      <c r="C1536" s="0" t="s">
        <v>2236</v>
      </c>
      <c r="E1536" s="0" t="s">
        <v>79</v>
      </c>
      <c r="F1536" s="0" t="s">
        <v>11837</v>
      </c>
    </row>
    <row r="1537" customFormat="false" ht="15" hidden="false" customHeight="false" outlineLevel="0" collapsed="false">
      <c r="A1537" s="0" t="n">
        <v>520</v>
      </c>
      <c r="B1537" s="0" t="s">
        <v>3507</v>
      </c>
      <c r="C1537" s="0" t="s">
        <v>11838</v>
      </c>
      <c r="E1537" s="0" t="s">
        <v>79</v>
      </c>
      <c r="F1537" s="0" t="s">
        <v>11839</v>
      </c>
    </row>
    <row r="1538" customFormat="false" ht="15" hidden="false" customHeight="false" outlineLevel="0" collapsed="false">
      <c r="A1538" s="0" t="n">
        <v>521</v>
      </c>
      <c r="B1538" s="0" t="s">
        <v>3512</v>
      </c>
      <c r="C1538" s="0" t="s">
        <v>3514</v>
      </c>
      <c r="E1538" s="0" t="s">
        <v>79</v>
      </c>
      <c r="F1538" s="0" t="s">
        <v>11840</v>
      </c>
    </row>
    <row r="1539" customFormat="false" ht="15" hidden="false" customHeight="false" outlineLevel="0" collapsed="false">
      <c r="A1539" s="0" t="n">
        <v>521</v>
      </c>
      <c r="B1539" s="0" t="s">
        <v>3512</v>
      </c>
      <c r="C1539" s="0" t="s">
        <v>3515</v>
      </c>
      <c r="E1539" s="0" t="s">
        <v>79</v>
      </c>
      <c r="F1539" s="0" t="s">
        <v>11841</v>
      </c>
    </row>
    <row r="1540" customFormat="false" ht="15" hidden="false" customHeight="false" outlineLevel="0" collapsed="false">
      <c r="A1540" s="0" t="n">
        <v>521</v>
      </c>
      <c r="B1540" s="0" t="s">
        <v>3512</v>
      </c>
      <c r="C1540" s="0" t="s">
        <v>3516</v>
      </c>
      <c r="E1540" s="0" t="s">
        <v>79</v>
      </c>
      <c r="F1540" s="0" t="s">
        <v>11842</v>
      </c>
    </row>
    <row r="1541" customFormat="false" ht="15" hidden="false" customHeight="false" outlineLevel="0" collapsed="false">
      <c r="A1541" s="0" t="n">
        <v>521</v>
      </c>
      <c r="B1541" s="0" t="s">
        <v>3512</v>
      </c>
      <c r="C1541" s="0" t="s">
        <v>11843</v>
      </c>
      <c r="E1541" s="0" t="s">
        <v>79</v>
      </c>
      <c r="F1541" s="0" t="s">
        <v>11844</v>
      </c>
    </row>
    <row r="1542" customFormat="false" ht="15" hidden="false" customHeight="false" outlineLevel="0" collapsed="false">
      <c r="A1542" s="0" t="n">
        <v>522</v>
      </c>
      <c r="B1542" s="0" t="s">
        <v>3517</v>
      </c>
      <c r="C1542" s="0" t="s">
        <v>3520</v>
      </c>
      <c r="E1542" s="0" t="s">
        <v>79</v>
      </c>
      <c r="F1542" s="0" t="s">
        <v>11845</v>
      </c>
    </row>
    <row r="1543" customFormat="false" ht="15" hidden="false" customHeight="false" outlineLevel="0" collapsed="false">
      <c r="A1543" s="0" t="n">
        <v>522</v>
      </c>
      <c r="B1543" s="0" t="s">
        <v>3517</v>
      </c>
      <c r="C1543" s="0" t="s">
        <v>3521</v>
      </c>
      <c r="E1543" s="0" t="s">
        <v>79</v>
      </c>
      <c r="F1543" s="0" t="s">
        <v>11846</v>
      </c>
    </row>
    <row r="1544" customFormat="false" ht="15" hidden="false" customHeight="false" outlineLevel="0" collapsed="false">
      <c r="A1544" s="0" t="n">
        <v>522</v>
      </c>
      <c r="B1544" s="0" t="s">
        <v>3517</v>
      </c>
      <c r="C1544" s="0" t="s">
        <v>3522</v>
      </c>
      <c r="E1544" s="0" t="s">
        <v>79</v>
      </c>
      <c r="F1544" s="0" t="s">
        <v>11847</v>
      </c>
    </row>
    <row r="1545" customFormat="false" ht="15" hidden="false" customHeight="false" outlineLevel="0" collapsed="false">
      <c r="A1545" s="0" t="n">
        <v>522</v>
      </c>
      <c r="B1545" s="0" t="s">
        <v>3517</v>
      </c>
      <c r="C1545" s="0" t="s">
        <v>11848</v>
      </c>
      <c r="E1545" s="0" t="s">
        <v>79</v>
      </c>
      <c r="F1545" s="0" t="s">
        <v>11849</v>
      </c>
    </row>
    <row r="1546" customFormat="false" ht="15" hidden="false" customHeight="false" outlineLevel="0" collapsed="false">
      <c r="A1546" s="0" t="n">
        <v>523</v>
      </c>
      <c r="B1546" s="0" t="s">
        <v>3527</v>
      </c>
      <c r="C1546" s="0" t="s">
        <v>3529</v>
      </c>
      <c r="E1546" s="0" t="s">
        <v>79</v>
      </c>
      <c r="F1546" s="0" t="s">
        <v>11850</v>
      </c>
    </row>
    <row r="1547" customFormat="false" ht="15" hidden="false" customHeight="false" outlineLevel="0" collapsed="false">
      <c r="A1547" s="0" t="n">
        <v>523</v>
      </c>
      <c r="B1547" s="0" t="s">
        <v>3527</v>
      </c>
      <c r="C1547" s="0" t="s">
        <v>3530</v>
      </c>
      <c r="E1547" s="0" t="s">
        <v>79</v>
      </c>
      <c r="F1547" s="0" t="s">
        <v>11851</v>
      </c>
    </row>
    <row r="1548" customFormat="false" ht="15" hidden="false" customHeight="false" outlineLevel="0" collapsed="false">
      <c r="A1548" s="0" t="n">
        <v>523</v>
      </c>
      <c r="B1548" s="0" t="s">
        <v>3527</v>
      </c>
      <c r="C1548" s="0" t="s">
        <v>3531</v>
      </c>
      <c r="E1548" s="0" t="s">
        <v>79</v>
      </c>
      <c r="F1548" s="0" t="s">
        <v>11852</v>
      </c>
    </row>
    <row r="1549" customFormat="false" ht="15" hidden="false" customHeight="false" outlineLevel="0" collapsed="false">
      <c r="A1549" s="0" t="n">
        <v>523</v>
      </c>
      <c r="B1549" s="0" t="s">
        <v>3527</v>
      </c>
      <c r="C1549" s="0" t="s">
        <v>11853</v>
      </c>
      <c r="E1549" s="0" t="s">
        <v>79</v>
      </c>
      <c r="F1549" s="0" t="s">
        <v>11854</v>
      </c>
    </row>
    <row r="1550" customFormat="false" ht="15" hidden="false" customHeight="false" outlineLevel="0" collapsed="false">
      <c r="A1550" s="0" t="n">
        <v>523</v>
      </c>
      <c r="B1550" s="0" t="s">
        <v>3527</v>
      </c>
      <c r="C1550" s="0" t="s">
        <v>11855</v>
      </c>
      <c r="E1550" s="0" t="s">
        <v>79</v>
      </c>
      <c r="F1550" s="0" t="s">
        <v>11856</v>
      </c>
    </row>
    <row r="1551" customFormat="false" ht="15" hidden="false" customHeight="false" outlineLevel="0" collapsed="false">
      <c r="A1551" s="0" t="n">
        <v>524</v>
      </c>
      <c r="B1551" s="0" t="s">
        <v>3532</v>
      </c>
      <c r="C1551" s="0" t="s">
        <v>3535</v>
      </c>
      <c r="E1551" s="0" t="s">
        <v>79</v>
      </c>
      <c r="F1551" s="0" t="s">
        <v>11857</v>
      </c>
    </row>
    <row r="1552" customFormat="false" ht="15" hidden="false" customHeight="false" outlineLevel="0" collapsed="false">
      <c r="A1552" s="0" t="n">
        <v>524</v>
      </c>
      <c r="B1552" s="0" t="s">
        <v>3532</v>
      </c>
      <c r="C1552" s="0" t="s">
        <v>3536</v>
      </c>
      <c r="E1552" s="0" t="s">
        <v>79</v>
      </c>
      <c r="F1552" s="0" t="s">
        <v>11858</v>
      </c>
    </row>
    <row r="1553" customFormat="false" ht="15" hidden="false" customHeight="false" outlineLevel="0" collapsed="false">
      <c r="A1553" s="0" t="n">
        <v>524</v>
      </c>
      <c r="B1553" s="0" t="s">
        <v>3532</v>
      </c>
      <c r="C1553" s="0" t="s">
        <v>3537</v>
      </c>
      <c r="E1553" s="0" t="s">
        <v>79</v>
      </c>
      <c r="F1553" s="0" t="s">
        <v>11859</v>
      </c>
    </row>
    <row r="1554" customFormat="false" ht="15" hidden="false" customHeight="false" outlineLevel="0" collapsed="false">
      <c r="A1554" s="0" t="n">
        <v>524</v>
      </c>
      <c r="B1554" s="0" t="s">
        <v>3532</v>
      </c>
      <c r="C1554" s="0" t="s">
        <v>11860</v>
      </c>
      <c r="E1554" s="0" t="s">
        <v>79</v>
      </c>
      <c r="F1554" s="0" t="s">
        <v>11861</v>
      </c>
    </row>
    <row r="1555" customFormat="false" ht="15" hidden="false" customHeight="false" outlineLevel="0" collapsed="false">
      <c r="A1555" s="0" t="n">
        <v>524</v>
      </c>
      <c r="B1555" s="0" t="s">
        <v>3532</v>
      </c>
      <c r="C1555" s="0" t="s">
        <v>11862</v>
      </c>
      <c r="E1555" s="0" t="s">
        <v>79</v>
      </c>
      <c r="F1555" s="0" t="s">
        <v>11863</v>
      </c>
    </row>
    <row r="1556" customFormat="false" ht="15" hidden="false" customHeight="false" outlineLevel="0" collapsed="false">
      <c r="A1556" s="0" t="n">
        <v>525</v>
      </c>
      <c r="B1556" s="0" t="s">
        <v>3541</v>
      </c>
      <c r="C1556" s="0" t="s">
        <v>3544</v>
      </c>
      <c r="E1556" s="0" t="s">
        <v>79</v>
      </c>
      <c r="F1556" s="0" t="s">
        <v>11864</v>
      </c>
    </row>
    <row r="1557" customFormat="false" ht="15" hidden="false" customHeight="false" outlineLevel="0" collapsed="false">
      <c r="A1557" s="0" t="n">
        <v>525</v>
      </c>
      <c r="B1557" s="0" t="s">
        <v>3541</v>
      </c>
      <c r="C1557" s="0" t="s">
        <v>3545</v>
      </c>
      <c r="E1557" s="0" t="s">
        <v>79</v>
      </c>
      <c r="F1557" s="0" t="s">
        <v>11865</v>
      </c>
    </row>
    <row r="1558" customFormat="false" ht="15" hidden="false" customHeight="false" outlineLevel="0" collapsed="false">
      <c r="A1558" s="0" t="n">
        <v>525</v>
      </c>
      <c r="B1558" s="0" t="s">
        <v>3541</v>
      </c>
      <c r="C1558" s="0" t="s">
        <v>3546</v>
      </c>
      <c r="E1558" s="0" t="s">
        <v>79</v>
      </c>
      <c r="F1558" s="0" t="s">
        <v>11866</v>
      </c>
    </row>
    <row r="1559" customFormat="false" ht="15" hidden="false" customHeight="false" outlineLevel="0" collapsed="false">
      <c r="A1559" s="0" t="n">
        <v>525</v>
      </c>
      <c r="B1559" s="0" t="s">
        <v>3541</v>
      </c>
      <c r="C1559" s="0" t="s">
        <v>11867</v>
      </c>
      <c r="E1559" s="0" t="s">
        <v>79</v>
      </c>
      <c r="F1559" s="0" t="s">
        <v>11868</v>
      </c>
    </row>
    <row r="1560" customFormat="false" ht="15" hidden="false" customHeight="false" outlineLevel="0" collapsed="false">
      <c r="A1560" s="0" t="n">
        <v>525</v>
      </c>
      <c r="B1560" s="0" t="s">
        <v>3541</v>
      </c>
      <c r="C1560" s="0" t="s">
        <v>11869</v>
      </c>
      <c r="E1560" s="0" t="s">
        <v>79</v>
      </c>
      <c r="F1560" s="0" t="s">
        <v>11870</v>
      </c>
    </row>
    <row r="1561" customFormat="false" ht="15" hidden="false" customHeight="false" outlineLevel="0" collapsed="false">
      <c r="A1561" s="0" t="n">
        <v>527</v>
      </c>
      <c r="B1561" s="0" t="s">
        <v>3553</v>
      </c>
      <c r="C1561" s="0" t="s">
        <v>3555</v>
      </c>
      <c r="E1561" s="0" t="s">
        <v>79</v>
      </c>
      <c r="F1561" s="0" t="s">
        <v>11871</v>
      </c>
    </row>
    <row r="1562" customFormat="false" ht="15" hidden="false" customHeight="false" outlineLevel="0" collapsed="false">
      <c r="A1562" s="0" t="n">
        <v>527</v>
      </c>
      <c r="B1562" s="0" t="s">
        <v>3553</v>
      </c>
      <c r="C1562" s="0" t="s">
        <v>3556</v>
      </c>
      <c r="E1562" s="0" t="s">
        <v>79</v>
      </c>
      <c r="F1562" s="0" t="s">
        <v>11872</v>
      </c>
    </row>
    <row r="1563" customFormat="false" ht="15" hidden="false" customHeight="false" outlineLevel="0" collapsed="false">
      <c r="A1563" s="0" t="n">
        <v>527</v>
      </c>
      <c r="B1563" s="0" t="s">
        <v>3553</v>
      </c>
      <c r="C1563" s="0" t="s">
        <v>3557</v>
      </c>
      <c r="E1563" s="0" t="s">
        <v>79</v>
      </c>
      <c r="F1563" s="0" t="s">
        <v>11873</v>
      </c>
    </row>
    <row r="1564" customFormat="false" ht="15" hidden="false" customHeight="false" outlineLevel="0" collapsed="false">
      <c r="A1564" s="0" t="n">
        <v>527</v>
      </c>
      <c r="B1564" s="0" t="s">
        <v>3553</v>
      </c>
      <c r="C1564" s="0" t="s">
        <v>11874</v>
      </c>
      <c r="E1564" s="0" t="s">
        <v>79</v>
      </c>
      <c r="F1564" s="0" t="s">
        <v>11875</v>
      </c>
    </row>
    <row r="1565" customFormat="false" ht="15" hidden="false" customHeight="false" outlineLevel="0" collapsed="false">
      <c r="A1565" s="0" t="n">
        <v>527</v>
      </c>
      <c r="B1565" s="0" t="s">
        <v>3553</v>
      </c>
      <c r="C1565" s="0" t="s">
        <v>11876</v>
      </c>
      <c r="E1565" s="0" t="s">
        <v>79</v>
      </c>
      <c r="F1565" s="0" t="s">
        <v>11877</v>
      </c>
    </row>
    <row r="1566" customFormat="false" ht="15" hidden="false" customHeight="false" outlineLevel="0" collapsed="false">
      <c r="A1566" s="0" t="n">
        <v>528</v>
      </c>
      <c r="B1566" s="0" t="s">
        <v>3558</v>
      </c>
      <c r="C1566" s="0" t="s">
        <v>3561</v>
      </c>
      <c r="E1566" s="0" t="s">
        <v>79</v>
      </c>
      <c r="F1566" s="0" t="s">
        <v>11878</v>
      </c>
    </row>
    <row r="1567" customFormat="false" ht="15" hidden="false" customHeight="false" outlineLevel="0" collapsed="false">
      <c r="A1567" s="0" t="n">
        <v>528</v>
      </c>
      <c r="B1567" s="0" t="s">
        <v>3558</v>
      </c>
      <c r="C1567" s="0" t="s">
        <v>3562</v>
      </c>
      <c r="E1567" s="0" t="s">
        <v>79</v>
      </c>
      <c r="F1567" s="0" t="s">
        <v>11879</v>
      </c>
    </row>
    <row r="1568" customFormat="false" ht="15" hidden="false" customHeight="false" outlineLevel="0" collapsed="false">
      <c r="A1568" s="0" t="n">
        <v>528</v>
      </c>
      <c r="B1568" s="0" t="s">
        <v>3558</v>
      </c>
      <c r="C1568" s="0" t="s">
        <v>3563</v>
      </c>
      <c r="E1568" s="0" t="s">
        <v>79</v>
      </c>
      <c r="F1568" s="0" t="s">
        <v>11880</v>
      </c>
    </row>
    <row r="1569" customFormat="false" ht="15" hidden="false" customHeight="false" outlineLevel="0" collapsed="false">
      <c r="A1569" s="0" t="n">
        <v>528</v>
      </c>
      <c r="B1569" s="0" t="s">
        <v>3558</v>
      </c>
      <c r="C1569" s="0" t="s">
        <v>11881</v>
      </c>
      <c r="E1569" s="0" t="s">
        <v>79</v>
      </c>
      <c r="F1569" s="0" t="s">
        <v>11882</v>
      </c>
    </row>
    <row r="1570" customFormat="false" ht="15" hidden="false" customHeight="false" outlineLevel="0" collapsed="false">
      <c r="A1570" s="0" t="n">
        <v>528</v>
      </c>
      <c r="B1570" s="0" t="s">
        <v>3558</v>
      </c>
      <c r="C1570" s="0" t="s">
        <v>11883</v>
      </c>
      <c r="E1570" s="0" t="s">
        <v>79</v>
      </c>
      <c r="F1570" s="0" t="s">
        <v>11884</v>
      </c>
    </row>
    <row r="1571" customFormat="false" ht="15" hidden="false" customHeight="false" outlineLevel="0" collapsed="false">
      <c r="A1571" s="0" t="n">
        <v>529</v>
      </c>
      <c r="B1571" s="0" t="s">
        <v>3568</v>
      </c>
      <c r="C1571" s="0" t="s">
        <v>3571</v>
      </c>
      <c r="E1571" s="0" t="s">
        <v>79</v>
      </c>
      <c r="F1571" s="0" t="s">
        <v>11885</v>
      </c>
    </row>
    <row r="1572" customFormat="false" ht="15" hidden="false" customHeight="false" outlineLevel="0" collapsed="false">
      <c r="A1572" s="0" t="n">
        <v>529</v>
      </c>
      <c r="B1572" s="0" t="s">
        <v>3568</v>
      </c>
      <c r="C1572" s="0" t="s">
        <v>3572</v>
      </c>
      <c r="E1572" s="0" t="s">
        <v>79</v>
      </c>
      <c r="F1572" s="0" t="s">
        <v>11886</v>
      </c>
    </row>
    <row r="1573" customFormat="false" ht="15" hidden="false" customHeight="false" outlineLevel="0" collapsed="false">
      <c r="A1573" s="0" t="n">
        <v>529</v>
      </c>
      <c r="B1573" s="0" t="s">
        <v>3568</v>
      </c>
      <c r="C1573" s="0" t="s">
        <v>3573</v>
      </c>
      <c r="E1573" s="0" t="s">
        <v>79</v>
      </c>
      <c r="F1573" s="0" t="s">
        <v>11887</v>
      </c>
    </row>
    <row r="1574" customFormat="false" ht="15" hidden="false" customHeight="false" outlineLevel="0" collapsed="false">
      <c r="A1574" s="0" t="n">
        <v>533</v>
      </c>
      <c r="B1574" s="0" t="s">
        <v>3592</v>
      </c>
      <c r="C1574" s="0" t="s">
        <v>3594</v>
      </c>
      <c r="E1574" s="0" t="s">
        <v>79</v>
      </c>
      <c r="F1574" s="0" t="s">
        <v>11888</v>
      </c>
    </row>
    <row r="1575" customFormat="false" ht="15" hidden="false" customHeight="false" outlineLevel="0" collapsed="false">
      <c r="A1575" s="0" t="n">
        <v>533</v>
      </c>
      <c r="B1575" s="0" t="s">
        <v>3592</v>
      </c>
      <c r="C1575" s="0" t="s">
        <v>3595</v>
      </c>
      <c r="E1575" s="0" t="s">
        <v>79</v>
      </c>
      <c r="F1575" s="0" t="s">
        <v>11889</v>
      </c>
    </row>
    <row r="1576" customFormat="false" ht="15" hidden="false" customHeight="false" outlineLevel="0" collapsed="false">
      <c r="A1576" s="0" t="n">
        <v>534</v>
      </c>
      <c r="B1576" s="0" t="s">
        <v>3596</v>
      </c>
      <c r="C1576" s="0" t="s">
        <v>3599</v>
      </c>
      <c r="E1576" s="0" t="s">
        <v>79</v>
      </c>
      <c r="F1576" s="0" t="s">
        <v>11890</v>
      </c>
    </row>
    <row r="1577" customFormat="false" ht="15" hidden="false" customHeight="false" outlineLevel="0" collapsed="false">
      <c r="A1577" s="0" t="n">
        <v>534</v>
      </c>
      <c r="B1577" s="0" t="s">
        <v>3596</v>
      </c>
      <c r="C1577" s="0" t="s">
        <v>3600</v>
      </c>
      <c r="E1577" s="0" t="s">
        <v>79</v>
      </c>
      <c r="F1577" s="0" t="s">
        <v>11891</v>
      </c>
    </row>
    <row r="1578" customFormat="false" ht="15" hidden="false" customHeight="false" outlineLevel="0" collapsed="false">
      <c r="A1578" s="0" t="n">
        <v>534</v>
      </c>
      <c r="B1578" s="0" t="s">
        <v>3596</v>
      </c>
      <c r="C1578" s="0" t="s">
        <v>3601</v>
      </c>
      <c r="E1578" s="0" t="s">
        <v>79</v>
      </c>
      <c r="F1578" s="0" t="s">
        <v>11892</v>
      </c>
    </row>
    <row r="1579" customFormat="false" ht="15" hidden="false" customHeight="false" outlineLevel="0" collapsed="false">
      <c r="A1579" s="0" t="n">
        <v>534</v>
      </c>
      <c r="B1579" s="0" t="s">
        <v>3596</v>
      </c>
      <c r="C1579" s="0" t="s">
        <v>11893</v>
      </c>
      <c r="E1579" s="0" t="s">
        <v>79</v>
      </c>
      <c r="F1579" s="0" t="s">
        <v>11894</v>
      </c>
    </row>
    <row r="1580" customFormat="false" ht="15" hidden="false" customHeight="false" outlineLevel="0" collapsed="false">
      <c r="A1580" s="0" t="n">
        <v>534</v>
      </c>
      <c r="B1580" s="0" t="s">
        <v>3596</v>
      </c>
      <c r="C1580" s="0" t="s">
        <v>11895</v>
      </c>
      <c r="E1580" s="0" t="s">
        <v>79</v>
      </c>
      <c r="F1580" s="0" t="s">
        <v>11896</v>
      </c>
    </row>
    <row r="1581" customFormat="false" ht="15" hidden="false" customHeight="false" outlineLevel="0" collapsed="false">
      <c r="A1581" s="0" t="n">
        <v>537</v>
      </c>
      <c r="B1581" s="0" t="s">
        <v>3609</v>
      </c>
      <c r="C1581" s="0" t="s">
        <v>3612</v>
      </c>
      <c r="E1581" s="0" t="s">
        <v>79</v>
      </c>
      <c r="F1581" s="0" t="s">
        <v>11897</v>
      </c>
    </row>
    <row r="1582" customFormat="false" ht="15" hidden="false" customHeight="false" outlineLevel="0" collapsed="false">
      <c r="A1582" s="0" t="n">
        <v>537</v>
      </c>
      <c r="B1582" s="0" t="s">
        <v>3609</v>
      </c>
      <c r="C1582" s="0" t="s">
        <v>3613</v>
      </c>
      <c r="E1582" s="0" t="s">
        <v>79</v>
      </c>
      <c r="F1582" s="0" t="s">
        <v>11898</v>
      </c>
    </row>
    <row r="1583" customFormat="false" ht="15" hidden="false" customHeight="false" outlineLevel="0" collapsed="false">
      <c r="A1583" s="0" t="n">
        <v>537</v>
      </c>
      <c r="B1583" s="0" t="s">
        <v>3609</v>
      </c>
      <c r="C1583" s="0" t="s">
        <v>3614</v>
      </c>
      <c r="E1583" s="0" t="s">
        <v>79</v>
      </c>
      <c r="F1583" s="0" t="s">
        <v>11899</v>
      </c>
    </row>
    <row r="1584" customFormat="false" ht="15" hidden="false" customHeight="false" outlineLevel="0" collapsed="false">
      <c r="A1584" s="0" t="n">
        <v>537</v>
      </c>
      <c r="B1584" s="0" t="s">
        <v>3609</v>
      </c>
      <c r="C1584" s="0" t="s">
        <v>11900</v>
      </c>
      <c r="E1584" s="0" t="s">
        <v>79</v>
      </c>
      <c r="F1584" s="0" t="s">
        <v>11901</v>
      </c>
    </row>
    <row r="1585" customFormat="false" ht="15" hidden="false" customHeight="false" outlineLevel="0" collapsed="false">
      <c r="A1585" s="0" t="n">
        <v>537</v>
      </c>
      <c r="B1585" s="0" t="s">
        <v>3609</v>
      </c>
      <c r="C1585" s="0" t="s">
        <v>11902</v>
      </c>
      <c r="E1585" s="0" t="s">
        <v>79</v>
      </c>
      <c r="F1585" s="0" t="s">
        <v>11903</v>
      </c>
    </row>
    <row r="1586" customFormat="false" ht="15" hidden="false" customHeight="false" outlineLevel="0" collapsed="false">
      <c r="A1586" s="0" t="n">
        <v>538</v>
      </c>
      <c r="B1586" s="0" t="s">
        <v>3619</v>
      </c>
      <c r="C1586" s="0" t="s">
        <v>3621</v>
      </c>
      <c r="E1586" s="0" t="s">
        <v>59</v>
      </c>
      <c r="F1586" s="0" t="s">
        <v>11904</v>
      </c>
    </row>
    <row r="1587" customFormat="false" ht="15" hidden="false" customHeight="false" outlineLevel="0" collapsed="false">
      <c r="A1587" s="0" t="n">
        <v>538</v>
      </c>
      <c r="B1587" s="0" t="s">
        <v>3619</v>
      </c>
      <c r="C1587" s="0" t="s">
        <v>3622</v>
      </c>
      <c r="E1587" s="0" t="s">
        <v>59</v>
      </c>
      <c r="F1587" s="0" t="s">
        <v>11905</v>
      </c>
    </row>
    <row r="1588" customFormat="false" ht="15" hidden="false" customHeight="false" outlineLevel="0" collapsed="false">
      <c r="A1588" s="0" t="n">
        <v>538</v>
      </c>
      <c r="B1588" s="0" t="s">
        <v>3619</v>
      </c>
      <c r="C1588" s="0" t="s">
        <v>3623</v>
      </c>
      <c r="E1588" s="0" t="s">
        <v>59</v>
      </c>
      <c r="F1588" s="0" t="s">
        <v>11906</v>
      </c>
    </row>
    <row r="1589" customFormat="false" ht="15" hidden="false" customHeight="false" outlineLevel="0" collapsed="false">
      <c r="A1589" s="0" t="n">
        <v>538</v>
      </c>
      <c r="B1589" s="0" t="s">
        <v>3619</v>
      </c>
      <c r="C1589" s="0" t="s">
        <v>11907</v>
      </c>
      <c r="E1589" s="0" t="s">
        <v>59</v>
      </c>
      <c r="F1589" s="0" t="s">
        <v>11908</v>
      </c>
    </row>
    <row r="1590" customFormat="false" ht="15" hidden="false" customHeight="false" outlineLevel="0" collapsed="false">
      <c r="A1590" s="0" t="n">
        <v>538</v>
      </c>
      <c r="B1590" s="0" t="s">
        <v>3619</v>
      </c>
      <c r="C1590" s="0" t="s">
        <v>11909</v>
      </c>
      <c r="E1590" s="0" t="s">
        <v>59</v>
      </c>
      <c r="F1590" s="0" t="s">
        <v>11910</v>
      </c>
    </row>
    <row r="1591" customFormat="false" ht="15" hidden="false" customHeight="false" outlineLevel="0" collapsed="false">
      <c r="A1591" s="0" t="n">
        <v>539</v>
      </c>
      <c r="B1591" s="0" t="s">
        <v>3624</v>
      </c>
      <c r="C1591" s="0" t="s">
        <v>3626</v>
      </c>
      <c r="E1591" s="0" t="s">
        <v>79</v>
      </c>
      <c r="F1591" s="0" t="s">
        <v>11911</v>
      </c>
    </row>
    <row r="1592" customFormat="false" ht="15" hidden="false" customHeight="false" outlineLevel="0" collapsed="false">
      <c r="A1592" s="0" t="n">
        <v>539</v>
      </c>
      <c r="B1592" s="0" t="s">
        <v>3624</v>
      </c>
      <c r="C1592" s="0" t="s">
        <v>3627</v>
      </c>
      <c r="E1592" s="0" t="s">
        <v>79</v>
      </c>
      <c r="F1592" s="0" t="s">
        <v>11912</v>
      </c>
    </row>
    <row r="1593" customFormat="false" ht="15" hidden="false" customHeight="false" outlineLevel="0" collapsed="false">
      <c r="A1593" s="0" t="n">
        <v>539</v>
      </c>
      <c r="B1593" s="0" t="s">
        <v>3624</v>
      </c>
      <c r="C1593" s="0" t="s">
        <v>3628</v>
      </c>
      <c r="E1593" s="0" t="s">
        <v>79</v>
      </c>
      <c r="F1593" s="0" t="s">
        <v>11913</v>
      </c>
    </row>
    <row r="1594" customFormat="false" ht="15" hidden="false" customHeight="false" outlineLevel="0" collapsed="false">
      <c r="A1594" s="0" t="n">
        <v>540</v>
      </c>
      <c r="B1594" s="0" t="s">
        <v>3629</v>
      </c>
      <c r="C1594" s="0" t="s">
        <v>3631</v>
      </c>
      <c r="E1594" s="0" t="s">
        <v>79</v>
      </c>
      <c r="F1594" s="0" t="s">
        <v>11914</v>
      </c>
    </row>
    <row r="1595" customFormat="false" ht="15" hidden="false" customHeight="false" outlineLevel="0" collapsed="false">
      <c r="A1595" s="0" t="n">
        <v>540</v>
      </c>
      <c r="B1595" s="0" t="s">
        <v>3629</v>
      </c>
      <c r="C1595" s="0" t="s">
        <v>3632</v>
      </c>
      <c r="E1595" s="0" t="s">
        <v>79</v>
      </c>
      <c r="F1595" s="0" t="s">
        <v>11915</v>
      </c>
    </row>
    <row r="1596" customFormat="false" ht="15" hidden="false" customHeight="false" outlineLevel="0" collapsed="false">
      <c r="A1596" s="0" t="n">
        <v>540</v>
      </c>
      <c r="B1596" s="0" t="s">
        <v>3629</v>
      </c>
      <c r="C1596" s="0" t="s">
        <v>3633</v>
      </c>
      <c r="E1596" s="0" t="s">
        <v>79</v>
      </c>
      <c r="F1596" s="0" t="s">
        <v>11916</v>
      </c>
    </row>
    <row r="1597" customFormat="false" ht="15" hidden="false" customHeight="false" outlineLevel="0" collapsed="false">
      <c r="A1597" s="0" t="n">
        <v>540</v>
      </c>
      <c r="B1597" s="0" t="s">
        <v>3629</v>
      </c>
      <c r="C1597" s="0" t="s">
        <v>8164</v>
      </c>
      <c r="E1597" s="0" t="s">
        <v>79</v>
      </c>
      <c r="F1597" s="0" t="s">
        <v>11917</v>
      </c>
    </row>
    <row r="1598" customFormat="false" ht="15" hidden="false" customHeight="false" outlineLevel="0" collapsed="false">
      <c r="A1598" s="0" t="n">
        <v>540</v>
      </c>
      <c r="B1598" s="0" t="s">
        <v>3629</v>
      </c>
      <c r="C1598" s="0" t="s">
        <v>11918</v>
      </c>
      <c r="E1598" s="0" t="s">
        <v>79</v>
      </c>
      <c r="F1598" s="0" t="s">
        <v>11919</v>
      </c>
    </row>
    <row r="1599" customFormat="false" ht="15" hidden="false" customHeight="false" outlineLevel="0" collapsed="false">
      <c r="A1599" s="0" t="n">
        <v>541</v>
      </c>
      <c r="B1599" s="0" t="s">
        <v>3635</v>
      </c>
      <c r="C1599" s="0" t="s">
        <v>3637</v>
      </c>
      <c r="E1599" s="0" t="s">
        <v>59</v>
      </c>
      <c r="F1599" s="0" t="s">
        <v>11920</v>
      </c>
    </row>
    <row r="1600" customFormat="false" ht="15" hidden="false" customHeight="false" outlineLevel="0" collapsed="false">
      <c r="A1600" s="0" t="n">
        <v>541</v>
      </c>
      <c r="B1600" s="0" t="s">
        <v>3635</v>
      </c>
      <c r="C1600" s="0" t="s">
        <v>3638</v>
      </c>
      <c r="E1600" s="0" t="s">
        <v>59</v>
      </c>
      <c r="F1600" s="0" t="s">
        <v>11921</v>
      </c>
    </row>
    <row r="1601" customFormat="false" ht="15" hidden="false" customHeight="false" outlineLevel="0" collapsed="false">
      <c r="A1601" s="0" t="n">
        <v>541</v>
      </c>
      <c r="B1601" s="0" t="s">
        <v>3635</v>
      </c>
      <c r="C1601" s="0" t="s">
        <v>3639</v>
      </c>
      <c r="E1601" s="0" t="s">
        <v>59</v>
      </c>
      <c r="F1601" s="0" t="s">
        <v>11922</v>
      </c>
    </row>
    <row r="1602" customFormat="false" ht="15" hidden="false" customHeight="false" outlineLevel="0" collapsed="false">
      <c r="A1602" s="0" t="n">
        <v>541</v>
      </c>
      <c r="B1602" s="0" t="s">
        <v>3635</v>
      </c>
      <c r="C1602" s="0" t="s">
        <v>11923</v>
      </c>
      <c r="E1602" s="0" t="s">
        <v>59</v>
      </c>
      <c r="F1602" s="0" t="s">
        <v>11924</v>
      </c>
    </row>
    <row r="1603" customFormat="false" ht="15" hidden="false" customHeight="false" outlineLevel="0" collapsed="false">
      <c r="A1603" s="0" t="n">
        <v>541</v>
      </c>
      <c r="B1603" s="0" t="s">
        <v>3635</v>
      </c>
      <c r="C1603" s="0" t="s">
        <v>11925</v>
      </c>
      <c r="E1603" s="0" t="s">
        <v>59</v>
      </c>
      <c r="F1603" s="0" t="s">
        <v>11926</v>
      </c>
    </row>
    <row r="1604" customFormat="false" ht="15" hidden="false" customHeight="false" outlineLevel="0" collapsed="false">
      <c r="A1604" s="0" t="n">
        <v>546</v>
      </c>
      <c r="B1604" s="0" t="s">
        <v>3661</v>
      </c>
      <c r="C1604" s="0" t="s">
        <v>3666</v>
      </c>
      <c r="E1604" s="0" t="s">
        <v>79</v>
      </c>
      <c r="F1604" s="0" t="s">
        <v>11927</v>
      </c>
    </row>
    <row r="1605" customFormat="false" ht="15" hidden="false" customHeight="false" outlineLevel="0" collapsed="false">
      <c r="A1605" s="0" t="n">
        <v>546</v>
      </c>
      <c r="B1605" s="0" t="s">
        <v>3661</v>
      </c>
      <c r="C1605" s="0" t="s">
        <v>3667</v>
      </c>
      <c r="E1605" s="0" t="s">
        <v>79</v>
      </c>
      <c r="F1605" s="0" t="s">
        <v>11928</v>
      </c>
    </row>
    <row r="1606" customFormat="false" ht="15" hidden="false" customHeight="false" outlineLevel="0" collapsed="false">
      <c r="A1606" s="0" t="n">
        <v>546</v>
      </c>
      <c r="B1606" s="0" t="s">
        <v>3661</v>
      </c>
      <c r="C1606" s="0" t="s">
        <v>3668</v>
      </c>
      <c r="E1606" s="0" t="s">
        <v>79</v>
      </c>
      <c r="F1606" s="0" t="s">
        <v>11929</v>
      </c>
    </row>
    <row r="1607" customFormat="false" ht="15" hidden="false" customHeight="false" outlineLevel="0" collapsed="false">
      <c r="A1607" s="0" t="n">
        <v>546</v>
      </c>
      <c r="B1607" s="0" t="s">
        <v>3661</v>
      </c>
      <c r="C1607" s="0" t="s">
        <v>11930</v>
      </c>
      <c r="E1607" s="0" t="s">
        <v>79</v>
      </c>
      <c r="F1607" s="0" t="s">
        <v>11931</v>
      </c>
    </row>
    <row r="1608" customFormat="false" ht="15" hidden="false" customHeight="false" outlineLevel="0" collapsed="false">
      <c r="A1608" s="0" t="n">
        <v>546</v>
      </c>
      <c r="B1608" s="0" t="s">
        <v>3661</v>
      </c>
      <c r="C1608" s="0" t="s">
        <v>11932</v>
      </c>
      <c r="E1608" s="0" t="s">
        <v>79</v>
      </c>
      <c r="F1608" s="0" t="s">
        <v>11933</v>
      </c>
    </row>
    <row r="1609" customFormat="false" ht="15" hidden="false" customHeight="false" outlineLevel="0" collapsed="false">
      <c r="A1609" s="0" t="n">
        <v>548</v>
      </c>
      <c r="B1609" s="0" t="s">
        <v>3679</v>
      </c>
      <c r="C1609" s="0" t="s">
        <v>3681</v>
      </c>
      <c r="E1609" s="0" t="s">
        <v>59</v>
      </c>
      <c r="F1609" s="0" t="s">
        <v>11934</v>
      </c>
    </row>
    <row r="1610" customFormat="false" ht="15" hidden="false" customHeight="false" outlineLevel="0" collapsed="false">
      <c r="A1610" s="0" t="n">
        <v>548</v>
      </c>
      <c r="B1610" s="0" t="s">
        <v>3679</v>
      </c>
      <c r="C1610" s="0" t="s">
        <v>3682</v>
      </c>
      <c r="E1610" s="0" t="s">
        <v>59</v>
      </c>
      <c r="F1610" s="0" t="s">
        <v>11935</v>
      </c>
    </row>
    <row r="1611" customFormat="false" ht="15" hidden="false" customHeight="false" outlineLevel="0" collapsed="false">
      <c r="A1611" s="0" t="n">
        <v>548</v>
      </c>
      <c r="B1611" s="0" t="s">
        <v>3679</v>
      </c>
      <c r="C1611" s="0" t="s">
        <v>3683</v>
      </c>
      <c r="E1611" s="0" t="s">
        <v>59</v>
      </c>
      <c r="F1611" s="0" t="s">
        <v>11936</v>
      </c>
    </row>
    <row r="1612" customFormat="false" ht="15" hidden="false" customHeight="false" outlineLevel="0" collapsed="false">
      <c r="A1612" s="0" t="n">
        <v>548</v>
      </c>
      <c r="B1612" s="0" t="s">
        <v>3679</v>
      </c>
      <c r="C1612" s="0" t="s">
        <v>11937</v>
      </c>
      <c r="E1612" s="0" t="s">
        <v>59</v>
      </c>
      <c r="F1612" s="0" t="s">
        <v>11938</v>
      </c>
    </row>
    <row r="1613" customFormat="false" ht="15" hidden="false" customHeight="false" outlineLevel="0" collapsed="false">
      <c r="A1613" s="0" t="n">
        <v>548</v>
      </c>
      <c r="B1613" s="0" t="s">
        <v>3679</v>
      </c>
      <c r="C1613" s="0" t="s">
        <v>11939</v>
      </c>
      <c r="E1613" s="0" t="s">
        <v>59</v>
      </c>
      <c r="F1613" s="0" t="s">
        <v>11940</v>
      </c>
    </row>
    <row r="1614" customFormat="false" ht="15" hidden="false" customHeight="false" outlineLevel="0" collapsed="false">
      <c r="A1614" s="0" t="n">
        <v>549</v>
      </c>
      <c r="B1614" s="0" t="s">
        <v>3684</v>
      </c>
      <c r="C1614" s="0" t="s">
        <v>3686</v>
      </c>
      <c r="E1614" s="0" t="s">
        <v>79</v>
      </c>
      <c r="F1614" s="0" t="s">
        <v>11941</v>
      </c>
    </row>
    <row r="1615" customFormat="false" ht="15" hidden="false" customHeight="false" outlineLevel="0" collapsed="false">
      <c r="A1615" s="0" t="n">
        <v>549</v>
      </c>
      <c r="B1615" s="0" t="s">
        <v>3684</v>
      </c>
      <c r="C1615" s="0" t="s">
        <v>3687</v>
      </c>
      <c r="E1615" s="0" t="s">
        <v>79</v>
      </c>
      <c r="F1615" s="0" t="s">
        <v>11942</v>
      </c>
    </row>
    <row r="1616" customFormat="false" ht="15" hidden="false" customHeight="false" outlineLevel="0" collapsed="false">
      <c r="A1616" s="0" t="n">
        <v>549</v>
      </c>
      <c r="B1616" s="0" t="s">
        <v>3684</v>
      </c>
      <c r="C1616" s="0" t="s">
        <v>3688</v>
      </c>
      <c r="E1616" s="0" t="s">
        <v>79</v>
      </c>
      <c r="F1616" s="0" t="s">
        <v>11943</v>
      </c>
    </row>
    <row r="1617" customFormat="false" ht="15" hidden="false" customHeight="false" outlineLevel="0" collapsed="false">
      <c r="A1617" s="0" t="n">
        <v>549</v>
      </c>
      <c r="B1617" s="0" t="s">
        <v>3684</v>
      </c>
      <c r="C1617" s="0" t="s">
        <v>11944</v>
      </c>
      <c r="E1617" s="0" t="s">
        <v>79</v>
      </c>
      <c r="F1617" s="0" t="s">
        <v>11945</v>
      </c>
    </row>
    <row r="1618" customFormat="false" ht="15" hidden="false" customHeight="false" outlineLevel="0" collapsed="false">
      <c r="A1618" s="0" t="n">
        <v>549</v>
      </c>
      <c r="B1618" s="0" t="s">
        <v>3684</v>
      </c>
      <c r="C1618" s="0" t="s">
        <v>11946</v>
      </c>
      <c r="E1618" s="0" t="s">
        <v>79</v>
      </c>
      <c r="F1618" s="0" t="s">
        <v>11947</v>
      </c>
    </row>
    <row r="1619" customFormat="false" ht="15" hidden="false" customHeight="false" outlineLevel="0" collapsed="false">
      <c r="A1619" s="0" t="n">
        <v>550</v>
      </c>
      <c r="B1619" s="0" t="s">
        <v>3689</v>
      </c>
      <c r="C1619" s="0" t="s">
        <v>3692</v>
      </c>
      <c r="E1619" s="0" t="s">
        <v>79</v>
      </c>
      <c r="F1619" s="0" t="s">
        <v>11948</v>
      </c>
    </row>
    <row r="1620" customFormat="false" ht="15" hidden="false" customHeight="false" outlineLevel="0" collapsed="false">
      <c r="A1620" s="0" t="n">
        <v>550</v>
      </c>
      <c r="B1620" s="0" t="s">
        <v>3689</v>
      </c>
      <c r="C1620" s="0" t="s">
        <v>3693</v>
      </c>
      <c r="E1620" s="0" t="s">
        <v>79</v>
      </c>
      <c r="F1620" s="0" t="s">
        <v>11949</v>
      </c>
    </row>
    <row r="1621" customFormat="false" ht="15" hidden="false" customHeight="false" outlineLevel="0" collapsed="false">
      <c r="A1621" s="0" t="n">
        <v>550</v>
      </c>
      <c r="B1621" s="0" t="s">
        <v>3689</v>
      </c>
      <c r="C1621" s="0" t="s">
        <v>3694</v>
      </c>
      <c r="E1621" s="0" t="s">
        <v>79</v>
      </c>
      <c r="F1621" s="0" t="s">
        <v>11950</v>
      </c>
    </row>
    <row r="1622" customFormat="false" ht="15" hidden="false" customHeight="false" outlineLevel="0" collapsed="false">
      <c r="A1622" s="0" t="n">
        <v>550</v>
      </c>
      <c r="B1622" s="0" t="s">
        <v>3689</v>
      </c>
      <c r="C1622" s="0" t="s">
        <v>11951</v>
      </c>
      <c r="E1622" s="0" t="s">
        <v>79</v>
      </c>
      <c r="F1622" s="0" t="s">
        <v>11952</v>
      </c>
    </row>
    <row r="1623" customFormat="false" ht="15" hidden="false" customHeight="false" outlineLevel="0" collapsed="false">
      <c r="A1623" s="0" t="n">
        <v>550</v>
      </c>
      <c r="B1623" s="0" t="s">
        <v>3689</v>
      </c>
      <c r="C1623" s="0" t="s">
        <v>11953</v>
      </c>
      <c r="E1623" s="0" t="s">
        <v>79</v>
      </c>
      <c r="F1623" s="0" t="s">
        <v>11954</v>
      </c>
    </row>
    <row r="1624" customFormat="false" ht="15" hidden="false" customHeight="false" outlineLevel="0" collapsed="false">
      <c r="A1624" s="0" t="n">
        <v>551</v>
      </c>
      <c r="B1624" s="0" t="s">
        <v>3698</v>
      </c>
      <c r="C1624" s="0" t="s">
        <v>3701</v>
      </c>
      <c r="E1624" s="0" t="s">
        <v>59</v>
      </c>
      <c r="F1624" s="0" t="s">
        <v>11955</v>
      </c>
    </row>
    <row r="1625" customFormat="false" ht="15" hidden="false" customHeight="false" outlineLevel="0" collapsed="false">
      <c r="A1625" s="0" t="n">
        <v>551</v>
      </c>
      <c r="B1625" s="0" t="s">
        <v>3698</v>
      </c>
      <c r="C1625" s="0" t="s">
        <v>3702</v>
      </c>
      <c r="E1625" s="0" t="s">
        <v>59</v>
      </c>
      <c r="F1625" s="0" t="s">
        <v>11956</v>
      </c>
    </row>
    <row r="1626" customFormat="false" ht="15" hidden="false" customHeight="false" outlineLevel="0" collapsed="false">
      <c r="A1626" s="0" t="n">
        <v>551</v>
      </c>
      <c r="B1626" s="0" t="s">
        <v>3698</v>
      </c>
      <c r="C1626" s="0" t="s">
        <v>3703</v>
      </c>
      <c r="E1626" s="0" t="s">
        <v>59</v>
      </c>
      <c r="F1626" s="0" t="s">
        <v>11957</v>
      </c>
    </row>
    <row r="1627" customFormat="false" ht="15" hidden="false" customHeight="false" outlineLevel="0" collapsed="false">
      <c r="A1627" s="0" t="n">
        <v>551</v>
      </c>
      <c r="B1627" s="0" t="s">
        <v>3698</v>
      </c>
      <c r="C1627" s="0" t="s">
        <v>11958</v>
      </c>
      <c r="E1627" s="0" t="s">
        <v>59</v>
      </c>
      <c r="F1627" s="0" t="s">
        <v>11959</v>
      </c>
    </row>
    <row r="1628" customFormat="false" ht="15" hidden="false" customHeight="false" outlineLevel="0" collapsed="false">
      <c r="A1628" s="0" t="n">
        <v>551</v>
      </c>
      <c r="B1628" s="0" t="s">
        <v>3698</v>
      </c>
      <c r="C1628" s="0" t="s">
        <v>11960</v>
      </c>
      <c r="E1628" s="0" t="s">
        <v>59</v>
      </c>
      <c r="F1628" s="0" t="s">
        <v>11961</v>
      </c>
    </row>
    <row r="1629" customFormat="false" ht="15" hidden="false" customHeight="false" outlineLevel="0" collapsed="false">
      <c r="A1629" s="0" t="n">
        <v>552</v>
      </c>
      <c r="B1629" s="0" t="s">
        <v>3707</v>
      </c>
      <c r="C1629" s="0" t="s">
        <v>3713</v>
      </c>
      <c r="D1629" s="0" t="s">
        <v>11962</v>
      </c>
      <c r="E1629" s="0" t="s">
        <v>115</v>
      </c>
    </row>
    <row r="1630" customFormat="false" ht="15" hidden="false" customHeight="false" outlineLevel="0" collapsed="false">
      <c r="A1630" s="0" t="n">
        <v>552</v>
      </c>
      <c r="B1630" s="0" t="s">
        <v>3707</v>
      </c>
      <c r="C1630" s="0" t="s">
        <v>3714</v>
      </c>
      <c r="D1630" s="0" t="s">
        <v>11963</v>
      </c>
      <c r="E1630" s="0" t="s">
        <v>115</v>
      </c>
    </row>
    <row r="1631" customFormat="false" ht="15" hidden="false" customHeight="false" outlineLevel="0" collapsed="false">
      <c r="A1631" s="0" t="n">
        <v>552</v>
      </c>
      <c r="B1631" s="0" t="s">
        <v>3707</v>
      </c>
      <c r="C1631" s="0" t="s">
        <v>3715</v>
      </c>
      <c r="D1631" s="0" t="s">
        <v>11964</v>
      </c>
      <c r="E1631" s="0" t="s">
        <v>115</v>
      </c>
    </row>
    <row r="1632" customFormat="false" ht="15" hidden="false" customHeight="false" outlineLevel="0" collapsed="false">
      <c r="A1632" s="0" t="n">
        <v>553</v>
      </c>
      <c r="B1632" s="0" t="s">
        <v>3723</v>
      </c>
      <c r="C1632" s="0" t="s">
        <v>3726</v>
      </c>
      <c r="E1632" s="0" t="s">
        <v>79</v>
      </c>
      <c r="F1632" s="0" t="s">
        <v>11965</v>
      </c>
    </row>
    <row r="1633" customFormat="false" ht="15" hidden="false" customHeight="false" outlineLevel="0" collapsed="false">
      <c r="A1633" s="0" t="n">
        <v>553</v>
      </c>
      <c r="B1633" s="0" t="s">
        <v>3723</v>
      </c>
      <c r="C1633" s="0" t="s">
        <v>3727</v>
      </c>
      <c r="E1633" s="0" t="s">
        <v>79</v>
      </c>
      <c r="F1633" s="0" t="s">
        <v>11966</v>
      </c>
    </row>
    <row r="1634" customFormat="false" ht="15" hidden="false" customHeight="false" outlineLevel="0" collapsed="false">
      <c r="A1634" s="0" t="n">
        <v>553</v>
      </c>
      <c r="B1634" s="0" t="s">
        <v>3723</v>
      </c>
      <c r="C1634" s="0" t="s">
        <v>3728</v>
      </c>
      <c r="E1634" s="0" t="s">
        <v>79</v>
      </c>
      <c r="F1634" s="0" t="s">
        <v>11967</v>
      </c>
    </row>
    <row r="1635" customFormat="false" ht="15" hidden="false" customHeight="false" outlineLevel="0" collapsed="false">
      <c r="A1635" s="0" t="n">
        <v>553</v>
      </c>
      <c r="B1635" s="0" t="s">
        <v>3723</v>
      </c>
      <c r="C1635" s="0" t="s">
        <v>11968</v>
      </c>
      <c r="E1635" s="0" t="s">
        <v>79</v>
      </c>
      <c r="F1635" s="0" t="s">
        <v>11969</v>
      </c>
    </row>
    <row r="1636" customFormat="false" ht="15" hidden="false" customHeight="false" outlineLevel="0" collapsed="false">
      <c r="A1636" s="0" t="n">
        <v>553</v>
      </c>
      <c r="B1636" s="0" t="s">
        <v>3723</v>
      </c>
      <c r="C1636" s="0" t="s">
        <v>11970</v>
      </c>
      <c r="E1636" s="0" t="s">
        <v>79</v>
      </c>
      <c r="F1636" s="0" t="s">
        <v>11971</v>
      </c>
    </row>
    <row r="1637" customFormat="false" ht="15" hidden="false" customHeight="false" outlineLevel="0" collapsed="false">
      <c r="A1637" s="0" t="n">
        <v>554</v>
      </c>
      <c r="B1637" s="0" t="s">
        <v>3732</v>
      </c>
      <c r="C1637" s="0" t="s">
        <v>3735</v>
      </c>
      <c r="E1637" s="0" t="s">
        <v>79</v>
      </c>
      <c r="F1637" s="0" t="s">
        <v>11972</v>
      </c>
    </row>
    <row r="1638" customFormat="false" ht="15" hidden="false" customHeight="false" outlineLevel="0" collapsed="false">
      <c r="A1638" s="0" t="n">
        <v>554</v>
      </c>
      <c r="B1638" s="0" t="s">
        <v>3732</v>
      </c>
      <c r="C1638" s="0" t="s">
        <v>3736</v>
      </c>
      <c r="E1638" s="0" t="s">
        <v>79</v>
      </c>
      <c r="F1638" s="0" t="s">
        <v>11973</v>
      </c>
    </row>
    <row r="1639" customFormat="false" ht="15" hidden="false" customHeight="false" outlineLevel="0" collapsed="false">
      <c r="A1639" s="0" t="n">
        <v>554</v>
      </c>
      <c r="B1639" s="0" t="s">
        <v>3732</v>
      </c>
      <c r="C1639" s="0" t="s">
        <v>3737</v>
      </c>
      <c r="E1639" s="0" t="s">
        <v>79</v>
      </c>
      <c r="F1639" s="0" t="s">
        <v>11974</v>
      </c>
    </row>
    <row r="1640" customFormat="false" ht="15" hidden="false" customHeight="false" outlineLevel="0" collapsed="false">
      <c r="A1640" s="0" t="n">
        <v>554</v>
      </c>
      <c r="B1640" s="0" t="s">
        <v>3732</v>
      </c>
      <c r="C1640" s="0" t="s">
        <v>11975</v>
      </c>
      <c r="E1640" s="0" t="s">
        <v>79</v>
      </c>
      <c r="F1640" s="0" t="s">
        <v>11976</v>
      </c>
    </row>
    <row r="1641" customFormat="false" ht="15" hidden="false" customHeight="false" outlineLevel="0" collapsed="false">
      <c r="A1641" s="0" t="n">
        <v>554</v>
      </c>
      <c r="B1641" s="0" t="s">
        <v>3732</v>
      </c>
      <c r="C1641" s="0" t="s">
        <v>11977</v>
      </c>
      <c r="E1641" s="0" t="s">
        <v>79</v>
      </c>
      <c r="F1641" s="0" t="s">
        <v>11978</v>
      </c>
    </row>
    <row r="1642" customFormat="false" ht="15" hidden="false" customHeight="false" outlineLevel="0" collapsed="false">
      <c r="A1642" s="0" t="n">
        <v>556</v>
      </c>
      <c r="B1642" s="0" t="s">
        <v>3740</v>
      </c>
      <c r="C1642" s="0" t="s">
        <v>3743</v>
      </c>
      <c r="E1642" s="0" t="s">
        <v>79</v>
      </c>
      <c r="F1642" s="0" t="s">
        <v>11979</v>
      </c>
    </row>
    <row r="1643" customFormat="false" ht="15" hidden="false" customHeight="false" outlineLevel="0" collapsed="false">
      <c r="A1643" s="0" t="n">
        <v>556</v>
      </c>
      <c r="B1643" s="0" t="s">
        <v>3740</v>
      </c>
      <c r="C1643" s="0" t="s">
        <v>3744</v>
      </c>
      <c r="E1643" s="0" t="s">
        <v>79</v>
      </c>
      <c r="F1643" s="0" t="s">
        <v>11980</v>
      </c>
    </row>
    <row r="1644" customFormat="false" ht="15" hidden="false" customHeight="false" outlineLevel="0" collapsed="false">
      <c r="A1644" s="0" t="n">
        <v>556</v>
      </c>
      <c r="B1644" s="0" t="s">
        <v>3740</v>
      </c>
      <c r="C1644" s="0" t="s">
        <v>3745</v>
      </c>
      <c r="E1644" s="0" t="s">
        <v>79</v>
      </c>
      <c r="F1644" s="0" t="s">
        <v>11981</v>
      </c>
    </row>
    <row r="1645" customFormat="false" ht="15" hidden="false" customHeight="false" outlineLevel="0" collapsed="false">
      <c r="A1645" s="0" t="n">
        <v>556</v>
      </c>
      <c r="B1645" s="0" t="s">
        <v>3740</v>
      </c>
      <c r="C1645" s="0" t="s">
        <v>11982</v>
      </c>
      <c r="E1645" s="0" t="s">
        <v>79</v>
      </c>
      <c r="F1645" s="0" t="s">
        <v>11983</v>
      </c>
    </row>
    <row r="1646" customFormat="false" ht="15" hidden="false" customHeight="false" outlineLevel="0" collapsed="false">
      <c r="A1646" s="0" t="n">
        <v>556</v>
      </c>
      <c r="B1646" s="0" t="s">
        <v>3740</v>
      </c>
      <c r="C1646" s="0" t="s">
        <v>11984</v>
      </c>
      <c r="E1646" s="0" t="s">
        <v>79</v>
      </c>
      <c r="F1646" s="0" t="s">
        <v>11985</v>
      </c>
    </row>
    <row r="1647" customFormat="false" ht="15" hidden="false" customHeight="false" outlineLevel="0" collapsed="false">
      <c r="A1647" s="0" t="n">
        <v>561</v>
      </c>
      <c r="B1647" s="0" t="s">
        <v>3768</v>
      </c>
      <c r="C1647" s="0" t="s">
        <v>3770</v>
      </c>
      <c r="E1647" s="0" t="s">
        <v>59</v>
      </c>
      <c r="F1647" s="0" t="s">
        <v>11986</v>
      </c>
    </row>
    <row r="1648" customFormat="false" ht="15" hidden="false" customHeight="false" outlineLevel="0" collapsed="false">
      <c r="A1648" s="0" t="n">
        <v>561</v>
      </c>
      <c r="B1648" s="0" t="s">
        <v>3768</v>
      </c>
      <c r="C1648" s="0" t="s">
        <v>3771</v>
      </c>
      <c r="E1648" s="0" t="s">
        <v>59</v>
      </c>
      <c r="F1648" s="0" t="s">
        <v>11987</v>
      </c>
    </row>
    <row r="1649" customFormat="false" ht="15" hidden="false" customHeight="false" outlineLevel="0" collapsed="false">
      <c r="A1649" s="0" t="n">
        <v>561</v>
      </c>
      <c r="B1649" s="0" t="s">
        <v>3768</v>
      </c>
      <c r="C1649" s="0" t="s">
        <v>3772</v>
      </c>
      <c r="E1649" s="0" t="s">
        <v>59</v>
      </c>
      <c r="F1649" s="0" t="s">
        <v>11988</v>
      </c>
    </row>
    <row r="1650" customFormat="false" ht="15" hidden="false" customHeight="false" outlineLevel="0" collapsed="false">
      <c r="A1650" s="0" t="n">
        <v>561</v>
      </c>
      <c r="B1650" s="0" t="s">
        <v>3768</v>
      </c>
      <c r="C1650" s="0" t="s">
        <v>11989</v>
      </c>
      <c r="E1650" s="0" t="s">
        <v>59</v>
      </c>
      <c r="F1650" s="0" t="s">
        <v>11990</v>
      </c>
    </row>
    <row r="1651" customFormat="false" ht="15" hidden="false" customHeight="false" outlineLevel="0" collapsed="false">
      <c r="A1651" s="0" t="n">
        <v>561</v>
      </c>
      <c r="B1651" s="0" t="s">
        <v>3768</v>
      </c>
      <c r="C1651" s="0" t="s">
        <v>11991</v>
      </c>
      <c r="E1651" s="0" t="s">
        <v>59</v>
      </c>
      <c r="F1651" s="0" t="s">
        <v>11992</v>
      </c>
    </row>
    <row r="1652" customFormat="false" ht="15" hidden="false" customHeight="false" outlineLevel="0" collapsed="false">
      <c r="A1652" s="0" t="n">
        <v>563</v>
      </c>
      <c r="B1652" s="0" t="s">
        <v>3778</v>
      </c>
      <c r="C1652" s="0" t="s">
        <v>3781</v>
      </c>
      <c r="E1652" s="0" t="s">
        <v>79</v>
      </c>
      <c r="F1652" s="0" t="s">
        <v>11993</v>
      </c>
    </row>
    <row r="1653" customFormat="false" ht="15" hidden="false" customHeight="false" outlineLevel="0" collapsed="false">
      <c r="A1653" s="0" t="n">
        <v>563</v>
      </c>
      <c r="B1653" s="0" t="s">
        <v>3778</v>
      </c>
      <c r="C1653" s="0" t="s">
        <v>3782</v>
      </c>
      <c r="E1653" s="0" t="s">
        <v>79</v>
      </c>
      <c r="F1653" s="0" t="s">
        <v>11994</v>
      </c>
    </row>
    <row r="1654" customFormat="false" ht="15" hidden="false" customHeight="false" outlineLevel="0" collapsed="false">
      <c r="A1654" s="0" t="n">
        <v>563</v>
      </c>
      <c r="B1654" s="0" t="s">
        <v>3778</v>
      </c>
      <c r="C1654" s="0" t="s">
        <v>3783</v>
      </c>
      <c r="E1654" s="0" t="s">
        <v>79</v>
      </c>
      <c r="F1654" s="0" t="s">
        <v>11995</v>
      </c>
    </row>
    <row r="1655" customFormat="false" ht="15" hidden="false" customHeight="false" outlineLevel="0" collapsed="false">
      <c r="A1655" s="0" t="n">
        <v>563</v>
      </c>
      <c r="B1655" s="0" t="s">
        <v>3778</v>
      </c>
      <c r="C1655" s="0" t="s">
        <v>11996</v>
      </c>
      <c r="E1655" s="0" t="s">
        <v>79</v>
      </c>
      <c r="F1655" s="0" t="s">
        <v>11997</v>
      </c>
    </row>
    <row r="1656" customFormat="false" ht="15" hidden="false" customHeight="false" outlineLevel="0" collapsed="false">
      <c r="A1656" s="0" t="n">
        <v>563</v>
      </c>
      <c r="B1656" s="0" t="s">
        <v>3778</v>
      </c>
      <c r="C1656" s="0" t="s">
        <v>11998</v>
      </c>
      <c r="E1656" s="0" t="s">
        <v>79</v>
      </c>
      <c r="F1656" s="0" t="s">
        <v>11999</v>
      </c>
    </row>
    <row r="1657" customFormat="false" ht="15" hidden="false" customHeight="false" outlineLevel="0" collapsed="false">
      <c r="A1657" s="0" t="n">
        <v>564</v>
      </c>
      <c r="B1657" s="0" t="s">
        <v>3787</v>
      </c>
      <c r="C1657" s="0" t="s">
        <v>3790</v>
      </c>
      <c r="E1657" s="0" t="s">
        <v>79</v>
      </c>
      <c r="F1657" s="0" t="s">
        <v>12000</v>
      </c>
    </row>
    <row r="1658" customFormat="false" ht="15" hidden="false" customHeight="false" outlineLevel="0" collapsed="false">
      <c r="A1658" s="0" t="n">
        <v>564</v>
      </c>
      <c r="B1658" s="0" t="s">
        <v>3787</v>
      </c>
      <c r="C1658" s="0" t="s">
        <v>3791</v>
      </c>
      <c r="E1658" s="0" t="s">
        <v>79</v>
      </c>
      <c r="F1658" s="0" t="s">
        <v>12001</v>
      </c>
    </row>
    <row r="1659" customFormat="false" ht="15" hidden="false" customHeight="false" outlineLevel="0" collapsed="false">
      <c r="A1659" s="0" t="n">
        <v>564</v>
      </c>
      <c r="B1659" s="0" t="s">
        <v>3787</v>
      </c>
      <c r="C1659" s="0" t="s">
        <v>3792</v>
      </c>
      <c r="E1659" s="0" t="s">
        <v>79</v>
      </c>
      <c r="F1659" s="0" t="s">
        <v>12002</v>
      </c>
    </row>
    <row r="1660" customFormat="false" ht="15" hidden="false" customHeight="false" outlineLevel="0" collapsed="false">
      <c r="A1660" s="0" t="n">
        <v>564</v>
      </c>
      <c r="B1660" s="0" t="s">
        <v>3787</v>
      </c>
      <c r="C1660" s="0" t="s">
        <v>12003</v>
      </c>
      <c r="E1660" s="0" t="s">
        <v>79</v>
      </c>
      <c r="F1660" s="0" t="s">
        <v>12004</v>
      </c>
    </row>
    <row r="1661" customFormat="false" ht="15" hidden="false" customHeight="false" outlineLevel="0" collapsed="false">
      <c r="A1661" s="0" t="n">
        <v>564</v>
      </c>
      <c r="B1661" s="0" t="s">
        <v>3787</v>
      </c>
      <c r="C1661" s="0" t="s">
        <v>12005</v>
      </c>
      <c r="E1661" s="0" t="s">
        <v>79</v>
      </c>
      <c r="F1661" s="0" t="s">
        <v>12006</v>
      </c>
    </row>
    <row r="1662" customFormat="false" ht="15" hidden="false" customHeight="false" outlineLevel="0" collapsed="false">
      <c r="A1662" s="0" t="n">
        <v>565</v>
      </c>
      <c r="B1662" s="0" t="s">
        <v>3796</v>
      </c>
      <c r="C1662" s="0" t="s">
        <v>3798</v>
      </c>
      <c r="E1662" s="0" t="s">
        <v>79</v>
      </c>
      <c r="F1662" s="0" t="s">
        <v>12007</v>
      </c>
    </row>
    <row r="1663" customFormat="false" ht="15" hidden="false" customHeight="false" outlineLevel="0" collapsed="false">
      <c r="A1663" s="0" t="n">
        <v>565</v>
      </c>
      <c r="B1663" s="0" t="s">
        <v>3796</v>
      </c>
      <c r="C1663" s="0" t="s">
        <v>3799</v>
      </c>
      <c r="E1663" s="0" t="s">
        <v>79</v>
      </c>
      <c r="F1663" s="0" t="s">
        <v>12008</v>
      </c>
    </row>
    <row r="1664" customFormat="false" ht="15" hidden="false" customHeight="false" outlineLevel="0" collapsed="false">
      <c r="A1664" s="0" t="n">
        <v>566</v>
      </c>
      <c r="B1664" s="0" t="s">
        <v>3800</v>
      </c>
      <c r="C1664" s="0" t="s">
        <v>3802</v>
      </c>
      <c r="E1664" s="0" t="s">
        <v>59</v>
      </c>
      <c r="F1664" s="0" t="s">
        <v>12009</v>
      </c>
    </row>
    <row r="1665" customFormat="false" ht="15" hidden="false" customHeight="false" outlineLevel="0" collapsed="false">
      <c r="A1665" s="0" t="n">
        <v>566</v>
      </c>
      <c r="B1665" s="0" t="s">
        <v>3800</v>
      </c>
      <c r="C1665" s="0" t="s">
        <v>3803</v>
      </c>
      <c r="E1665" s="0" t="s">
        <v>59</v>
      </c>
      <c r="F1665" s="0" t="s">
        <v>12010</v>
      </c>
    </row>
    <row r="1666" customFormat="false" ht="15" hidden="false" customHeight="false" outlineLevel="0" collapsed="false">
      <c r="A1666" s="0" t="n">
        <v>566</v>
      </c>
      <c r="B1666" s="0" t="s">
        <v>3800</v>
      </c>
      <c r="C1666" s="0" t="s">
        <v>3804</v>
      </c>
      <c r="E1666" s="0" t="s">
        <v>59</v>
      </c>
      <c r="F1666" s="0" t="s">
        <v>12011</v>
      </c>
    </row>
    <row r="1667" customFormat="false" ht="15" hidden="false" customHeight="false" outlineLevel="0" collapsed="false">
      <c r="A1667" s="0" t="n">
        <v>566</v>
      </c>
      <c r="B1667" s="0" t="s">
        <v>3800</v>
      </c>
      <c r="C1667" s="0" t="s">
        <v>12012</v>
      </c>
      <c r="E1667" s="0" t="s">
        <v>59</v>
      </c>
      <c r="F1667" s="0" t="s">
        <v>12013</v>
      </c>
    </row>
    <row r="1668" customFormat="false" ht="15" hidden="false" customHeight="false" outlineLevel="0" collapsed="false">
      <c r="A1668" s="0" t="n">
        <v>566</v>
      </c>
      <c r="B1668" s="0" t="s">
        <v>3800</v>
      </c>
      <c r="C1668" s="0" t="s">
        <v>12014</v>
      </c>
      <c r="E1668" s="0" t="s">
        <v>59</v>
      </c>
      <c r="F1668" s="0" t="s">
        <v>12015</v>
      </c>
    </row>
    <row r="1669" customFormat="false" ht="15" hidden="false" customHeight="false" outlineLevel="0" collapsed="false">
      <c r="A1669" s="0" t="n">
        <v>567</v>
      </c>
      <c r="B1669" s="0" t="s">
        <v>3805</v>
      </c>
      <c r="C1669" s="0" t="s">
        <v>3808</v>
      </c>
      <c r="E1669" s="0" t="s">
        <v>79</v>
      </c>
      <c r="F1669" s="0" t="s">
        <v>12016</v>
      </c>
    </row>
    <row r="1670" customFormat="false" ht="15" hidden="false" customHeight="false" outlineLevel="0" collapsed="false">
      <c r="A1670" s="0" t="n">
        <v>567</v>
      </c>
      <c r="B1670" s="0" t="s">
        <v>3805</v>
      </c>
      <c r="C1670" s="0" t="s">
        <v>3809</v>
      </c>
      <c r="E1670" s="0" t="s">
        <v>79</v>
      </c>
      <c r="F1670" s="0" t="s">
        <v>12017</v>
      </c>
    </row>
    <row r="1671" customFormat="false" ht="15" hidden="false" customHeight="false" outlineLevel="0" collapsed="false">
      <c r="A1671" s="0" t="n">
        <v>567</v>
      </c>
      <c r="B1671" s="0" t="s">
        <v>3805</v>
      </c>
      <c r="C1671" s="0" t="s">
        <v>3810</v>
      </c>
      <c r="E1671" s="0" t="s">
        <v>79</v>
      </c>
      <c r="F1671" s="0" t="s">
        <v>12018</v>
      </c>
    </row>
    <row r="1672" customFormat="false" ht="15" hidden="false" customHeight="false" outlineLevel="0" collapsed="false">
      <c r="A1672" s="0" t="n">
        <v>567</v>
      </c>
      <c r="B1672" s="0" t="s">
        <v>3805</v>
      </c>
      <c r="C1672" s="0" t="s">
        <v>12019</v>
      </c>
      <c r="E1672" s="0" t="s">
        <v>79</v>
      </c>
      <c r="F1672" s="0" t="s">
        <v>12020</v>
      </c>
    </row>
    <row r="1673" customFormat="false" ht="15" hidden="false" customHeight="false" outlineLevel="0" collapsed="false">
      <c r="A1673" s="0" t="n">
        <v>567</v>
      </c>
      <c r="B1673" s="0" t="s">
        <v>3805</v>
      </c>
      <c r="C1673" s="0" t="s">
        <v>12021</v>
      </c>
      <c r="E1673" s="0" t="s">
        <v>79</v>
      </c>
      <c r="F1673" s="0" t="s">
        <v>12022</v>
      </c>
    </row>
    <row r="1674" customFormat="false" ht="15" hidden="false" customHeight="false" outlineLevel="0" collapsed="false">
      <c r="A1674" s="0" t="n">
        <v>568</v>
      </c>
      <c r="B1674" s="0" t="s">
        <v>3814</v>
      </c>
      <c r="C1674" s="0" t="s">
        <v>3817</v>
      </c>
      <c r="E1674" s="0" t="s">
        <v>79</v>
      </c>
      <c r="F1674" s="0" t="s">
        <v>12023</v>
      </c>
    </row>
    <row r="1675" customFormat="false" ht="15" hidden="false" customHeight="false" outlineLevel="0" collapsed="false">
      <c r="A1675" s="0" t="n">
        <v>568</v>
      </c>
      <c r="B1675" s="0" t="s">
        <v>3814</v>
      </c>
      <c r="C1675" s="0" t="s">
        <v>3818</v>
      </c>
      <c r="E1675" s="0" t="s">
        <v>79</v>
      </c>
      <c r="F1675" s="0" t="s">
        <v>12024</v>
      </c>
    </row>
    <row r="1676" customFormat="false" ht="15" hidden="false" customHeight="false" outlineLevel="0" collapsed="false">
      <c r="A1676" s="0" t="n">
        <v>568</v>
      </c>
      <c r="B1676" s="0" t="s">
        <v>3814</v>
      </c>
      <c r="C1676" s="0" t="s">
        <v>3819</v>
      </c>
      <c r="E1676" s="0" t="s">
        <v>79</v>
      </c>
      <c r="F1676" s="0" t="s">
        <v>12025</v>
      </c>
    </row>
    <row r="1677" customFormat="false" ht="15" hidden="false" customHeight="false" outlineLevel="0" collapsed="false">
      <c r="A1677" s="0" t="n">
        <v>568</v>
      </c>
      <c r="B1677" s="0" t="s">
        <v>3814</v>
      </c>
      <c r="C1677" s="0" t="s">
        <v>12026</v>
      </c>
      <c r="E1677" s="0" t="s">
        <v>79</v>
      </c>
      <c r="F1677" s="0" t="s">
        <v>12027</v>
      </c>
    </row>
    <row r="1678" customFormat="false" ht="15" hidden="false" customHeight="false" outlineLevel="0" collapsed="false">
      <c r="A1678" s="0" t="n">
        <v>570</v>
      </c>
      <c r="B1678" s="0" t="s">
        <v>3825</v>
      </c>
      <c r="C1678" s="0" t="s">
        <v>3827</v>
      </c>
      <c r="E1678" s="0" t="s">
        <v>79</v>
      </c>
      <c r="F1678" s="0" t="s">
        <v>12028</v>
      </c>
    </row>
    <row r="1679" customFormat="false" ht="15" hidden="false" customHeight="false" outlineLevel="0" collapsed="false">
      <c r="A1679" s="0" t="n">
        <v>570</v>
      </c>
      <c r="B1679" s="0" t="s">
        <v>3825</v>
      </c>
      <c r="C1679" s="0" t="s">
        <v>3828</v>
      </c>
      <c r="E1679" s="0" t="s">
        <v>79</v>
      </c>
      <c r="F1679" s="0" t="s">
        <v>12029</v>
      </c>
    </row>
    <row r="1680" customFormat="false" ht="15" hidden="false" customHeight="false" outlineLevel="0" collapsed="false">
      <c r="A1680" s="0" t="n">
        <v>570</v>
      </c>
      <c r="B1680" s="0" t="s">
        <v>3825</v>
      </c>
      <c r="C1680" s="0" t="s">
        <v>3829</v>
      </c>
      <c r="E1680" s="0" t="s">
        <v>79</v>
      </c>
      <c r="F1680" s="0" t="s">
        <v>12030</v>
      </c>
    </row>
    <row r="1681" customFormat="false" ht="15" hidden="false" customHeight="false" outlineLevel="0" collapsed="false">
      <c r="A1681" s="0" t="n">
        <v>570</v>
      </c>
      <c r="B1681" s="0" t="s">
        <v>3825</v>
      </c>
      <c r="C1681" s="0" t="s">
        <v>12031</v>
      </c>
      <c r="E1681" s="0" t="s">
        <v>79</v>
      </c>
      <c r="F1681" s="0" t="s">
        <v>12032</v>
      </c>
    </row>
    <row r="1682" customFormat="false" ht="15" hidden="false" customHeight="false" outlineLevel="0" collapsed="false">
      <c r="A1682" s="0" t="n">
        <v>570</v>
      </c>
      <c r="B1682" s="0" t="s">
        <v>3825</v>
      </c>
      <c r="C1682" s="0" t="s">
        <v>12033</v>
      </c>
      <c r="E1682" s="0" t="s">
        <v>79</v>
      </c>
      <c r="F1682" s="0" t="s">
        <v>12034</v>
      </c>
    </row>
    <row r="1683" customFormat="false" ht="15" hidden="false" customHeight="false" outlineLevel="0" collapsed="false">
      <c r="A1683" s="0" t="n">
        <v>571</v>
      </c>
      <c r="B1683" s="0" t="s">
        <v>3830</v>
      </c>
      <c r="C1683" s="0" t="s">
        <v>3832</v>
      </c>
      <c r="E1683" s="0" t="s">
        <v>79</v>
      </c>
      <c r="F1683" s="0" t="s">
        <v>12035</v>
      </c>
    </row>
    <row r="1684" customFormat="false" ht="15" hidden="false" customHeight="false" outlineLevel="0" collapsed="false">
      <c r="A1684" s="0" t="n">
        <v>571</v>
      </c>
      <c r="B1684" s="0" t="s">
        <v>3830</v>
      </c>
      <c r="C1684" s="0" t="s">
        <v>3833</v>
      </c>
      <c r="E1684" s="0" t="s">
        <v>79</v>
      </c>
      <c r="F1684" s="0" t="s">
        <v>12036</v>
      </c>
    </row>
    <row r="1685" customFormat="false" ht="15" hidden="false" customHeight="false" outlineLevel="0" collapsed="false">
      <c r="A1685" s="0" t="n">
        <v>572</v>
      </c>
      <c r="B1685" s="0" t="s">
        <v>3834</v>
      </c>
      <c r="C1685" s="0" t="s">
        <v>3837</v>
      </c>
      <c r="E1685" s="0" t="s">
        <v>79</v>
      </c>
      <c r="F1685" s="0" t="s">
        <v>12037</v>
      </c>
    </row>
    <row r="1686" customFormat="false" ht="15" hidden="false" customHeight="false" outlineLevel="0" collapsed="false">
      <c r="A1686" s="0" t="n">
        <v>572</v>
      </c>
      <c r="B1686" s="0" t="s">
        <v>3834</v>
      </c>
      <c r="C1686" s="0" t="s">
        <v>3838</v>
      </c>
      <c r="E1686" s="0" t="s">
        <v>79</v>
      </c>
      <c r="F1686" s="0" t="s">
        <v>12038</v>
      </c>
    </row>
    <row r="1687" customFormat="false" ht="15" hidden="false" customHeight="false" outlineLevel="0" collapsed="false">
      <c r="A1687" s="0" t="n">
        <v>572</v>
      </c>
      <c r="B1687" s="0" t="s">
        <v>3834</v>
      </c>
      <c r="C1687" s="0" t="s">
        <v>3839</v>
      </c>
      <c r="E1687" s="0" t="s">
        <v>79</v>
      </c>
      <c r="F1687" s="0" t="s">
        <v>12039</v>
      </c>
    </row>
    <row r="1688" customFormat="false" ht="15" hidden="false" customHeight="false" outlineLevel="0" collapsed="false">
      <c r="A1688" s="0" t="n">
        <v>572</v>
      </c>
      <c r="B1688" s="0" t="s">
        <v>3834</v>
      </c>
      <c r="C1688" s="0" t="s">
        <v>12040</v>
      </c>
      <c r="E1688" s="0" t="s">
        <v>79</v>
      </c>
      <c r="F1688" s="0" t="s">
        <v>12041</v>
      </c>
    </row>
    <row r="1689" customFormat="false" ht="15" hidden="false" customHeight="false" outlineLevel="0" collapsed="false">
      <c r="A1689" s="0" t="n">
        <v>572</v>
      </c>
      <c r="B1689" s="0" t="s">
        <v>3834</v>
      </c>
      <c r="C1689" s="0" t="s">
        <v>12042</v>
      </c>
      <c r="E1689" s="0" t="s">
        <v>79</v>
      </c>
      <c r="F1689" s="0" t="s">
        <v>12043</v>
      </c>
    </row>
    <row r="1690" customFormat="false" ht="15" hidden="false" customHeight="false" outlineLevel="0" collapsed="false">
      <c r="A1690" s="0" t="n">
        <v>573</v>
      </c>
      <c r="B1690" s="0" t="s">
        <v>3844</v>
      </c>
      <c r="C1690" s="0" t="s">
        <v>3851</v>
      </c>
      <c r="D1690" s="0" t="s">
        <v>12044</v>
      </c>
      <c r="E1690" s="0" t="s">
        <v>115</v>
      </c>
    </row>
    <row r="1691" customFormat="false" ht="15" hidden="false" customHeight="false" outlineLevel="0" collapsed="false">
      <c r="A1691" s="0" t="n">
        <v>573</v>
      </c>
      <c r="B1691" s="0" t="s">
        <v>3844</v>
      </c>
      <c r="C1691" s="0" t="s">
        <v>3852</v>
      </c>
      <c r="D1691" s="0" t="s">
        <v>12045</v>
      </c>
      <c r="E1691" s="0" t="s">
        <v>115</v>
      </c>
    </row>
    <row r="1692" customFormat="false" ht="15" hidden="false" customHeight="false" outlineLevel="0" collapsed="false">
      <c r="A1692" s="0" t="n">
        <v>573</v>
      </c>
      <c r="B1692" s="0" t="s">
        <v>3844</v>
      </c>
      <c r="C1692" s="0" t="s">
        <v>3853</v>
      </c>
      <c r="D1692" s="0" t="s">
        <v>12046</v>
      </c>
      <c r="E1692" s="0" t="s">
        <v>115</v>
      </c>
    </row>
    <row r="1693" customFormat="false" ht="15" hidden="false" customHeight="false" outlineLevel="0" collapsed="false">
      <c r="A1693" s="0" t="n">
        <v>574</v>
      </c>
      <c r="B1693" s="0" t="s">
        <v>3861</v>
      </c>
      <c r="C1693" s="0" t="s">
        <v>3863</v>
      </c>
      <c r="E1693" s="0" t="s">
        <v>79</v>
      </c>
      <c r="F1693" s="0" t="s">
        <v>12047</v>
      </c>
    </row>
    <row r="1694" customFormat="false" ht="15" hidden="false" customHeight="false" outlineLevel="0" collapsed="false">
      <c r="A1694" s="0" t="n">
        <v>574</v>
      </c>
      <c r="B1694" s="0" t="s">
        <v>3861</v>
      </c>
      <c r="C1694" s="0" t="s">
        <v>3864</v>
      </c>
      <c r="E1694" s="0" t="s">
        <v>79</v>
      </c>
      <c r="F1694" s="0" t="s">
        <v>12048</v>
      </c>
    </row>
    <row r="1695" customFormat="false" ht="15" hidden="false" customHeight="false" outlineLevel="0" collapsed="false">
      <c r="A1695" s="0" t="n">
        <v>574</v>
      </c>
      <c r="B1695" s="0" t="s">
        <v>3861</v>
      </c>
      <c r="C1695" s="0" t="s">
        <v>3865</v>
      </c>
      <c r="E1695" s="0" t="s">
        <v>79</v>
      </c>
      <c r="F1695" s="0" t="s">
        <v>12049</v>
      </c>
    </row>
    <row r="1696" customFormat="false" ht="15" hidden="false" customHeight="false" outlineLevel="0" collapsed="false">
      <c r="A1696" s="0" t="n">
        <v>575</v>
      </c>
      <c r="B1696" s="0" t="s">
        <v>3866</v>
      </c>
      <c r="C1696" s="0" t="s">
        <v>3868</v>
      </c>
      <c r="E1696" s="0" t="s">
        <v>79</v>
      </c>
      <c r="F1696" s="0" t="s">
        <v>12050</v>
      </c>
    </row>
    <row r="1697" customFormat="false" ht="15" hidden="false" customHeight="false" outlineLevel="0" collapsed="false">
      <c r="A1697" s="0" t="n">
        <v>575</v>
      </c>
      <c r="B1697" s="0" t="s">
        <v>3866</v>
      </c>
      <c r="C1697" s="0" t="s">
        <v>3869</v>
      </c>
      <c r="E1697" s="0" t="s">
        <v>79</v>
      </c>
      <c r="F1697" s="0" t="s">
        <v>12051</v>
      </c>
    </row>
    <row r="1698" customFormat="false" ht="15" hidden="false" customHeight="false" outlineLevel="0" collapsed="false">
      <c r="A1698" s="0" t="n">
        <v>575</v>
      </c>
      <c r="B1698" s="0" t="s">
        <v>3866</v>
      </c>
      <c r="C1698" s="0" t="s">
        <v>3870</v>
      </c>
      <c r="E1698" s="0" t="s">
        <v>79</v>
      </c>
      <c r="F1698" s="0" t="s">
        <v>12052</v>
      </c>
    </row>
    <row r="1699" customFormat="false" ht="15" hidden="false" customHeight="false" outlineLevel="0" collapsed="false">
      <c r="A1699" s="0" t="n">
        <v>575</v>
      </c>
      <c r="B1699" s="0" t="s">
        <v>3866</v>
      </c>
      <c r="C1699" s="0" t="s">
        <v>12053</v>
      </c>
      <c r="E1699" s="0" t="s">
        <v>79</v>
      </c>
      <c r="F1699" s="0" t="s">
        <v>12054</v>
      </c>
    </row>
    <row r="1700" customFormat="false" ht="15" hidden="false" customHeight="false" outlineLevel="0" collapsed="false">
      <c r="A1700" s="0" t="n">
        <v>575</v>
      </c>
      <c r="B1700" s="0" t="s">
        <v>3866</v>
      </c>
      <c r="C1700" s="0" t="s">
        <v>12055</v>
      </c>
      <c r="E1700" s="0" t="s">
        <v>79</v>
      </c>
      <c r="F1700" s="0" t="s">
        <v>12056</v>
      </c>
    </row>
    <row r="1701" customFormat="false" ht="15" hidden="false" customHeight="false" outlineLevel="0" collapsed="false">
      <c r="A1701" s="0" t="n">
        <v>576</v>
      </c>
      <c r="B1701" s="0" t="s">
        <v>3871</v>
      </c>
      <c r="C1701" s="0" t="s">
        <v>3874</v>
      </c>
      <c r="E1701" s="0" t="s">
        <v>79</v>
      </c>
      <c r="F1701" s="0" t="s">
        <v>12057</v>
      </c>
    </row>
    <row r="1702" customFormat="false" ht="15" hidden="false" customHeight="false" outlineLevel="0" collapsed="false">
      <c r="A1702" s="0" t="n">
        <v>576</v>
      </c>
      <c r="B1702" s="0" t="s">
        <v>3871</v>
      </c>
      <c r="C1702" s="0" t="s">
        <v>3875</v>
      </c>
      <c r="E1702" s="0" t="s">
        <v>79</v>
      </c>
      <c r="F1702" s="0" t="s">
        <v>12058</v>
      </c>
    </row>
    <row r="1703" customFormat="false" ht="15" hidden="false" customHeight="false" outlineLevel="0" collapsed="false">
      <c r="A1703" s="0" t="n">
        <v>576</v>
      </c>
      <c r="B1703" s="0" t="s">
        <v>3871</v>
      </c>
      <c r="C1703" s="0" t="s">
        <v>3876</v>
      </c>
      <c r="E1703" s="0" t="s">
        <v>79</v>
      </c>
      <c r="F1703" s="0" t="s">
        <v>12059</v>
      </c>
    </row>
    <row r="1704" customFormat="false" ht="15" hidden="false" customHeight="false" outlineLevel="0" collapsed="false">
      <c r="A1704" s="0" t="n">
        <v>576</v>
      </c>
      <c r="B1704" s="0" t="s">
        <v>3871</v>
      </c>
      <c r="C1704" s="0" t="s">
        <v>12060</v>
      </c>
      <c r="E1704" s="0" t="s">
        <v>79</v>
      </c>
      <c r="F1704" s="0" t="s">
        <v>12061</v>
      </c>
    </row>
    <row r="1705" customFormat="false" ht="15" hidden="false" customHeight="false" outlineLevel="0" collapsed="false">
      <c r="A1705" s="0" t="n">
        <v>576</v>
      </c>
      <c r="B1705" s="0" t="s">
        <v>3871</v>
      </c>
      <c r="C1705" s="0" t="s">
        <v>12062</v>
      </c>
      <c r="E1705" s="0" t="s">
        <v>79</v>
      </c>
      <c r="F1705" s="0" t="s">
        <v>12063</v>
      </c>
    </row>
    <row r="1706" customFormat="false" ht="15" hidden="false" customHeight="false" outlineLevel="0" collapsed="false">
      <c r="A1706" s="0" t="n">
        <v>578</v>
      </c>
      <c r="B1706" s="0" t="s">
        <v>3887</v>
      </c>
      <c r="C1706" s="0" t="s">
        <v>3889</v>
      </c>
      <c r="E1706" s="0" t="s">
        <v>79</v>
      </c>
      <c r="F1706" s="0" t="s">
        <v>12064</v>
      </c>
    </row>
    <row r="1707" customFormat="false" ht="15" hidden="false" customHeight="false" outlineLevel="0" collapsed="false">
      <c r="A1707" s="0" t="n">
        <v>578</v>
      </c>
      <c r="B1707" s="0" t="s">
        <v>3887</v>
      </c>
      <c r="C1707" s="0" t="s">
        <v>3890</v>
      </c>
      <c r="E1707" s="0" t="s">
        <v>79</v>
      </c>
      <c r="F1707" s="0" t="s">
        <v>12065</v>
      </c>
    </row>
    <row r="1708" customFormat="false" ht="15" hidden="false" customHeight="false" outlineLevel="0" collapsed="false">
      <c r="A1708" s="0" t="n">
        <v>578</v>
      </c>
      <c r="B1708" s="0" t="s">
        <v>3887</v>
      </c>
      <c r="C1708" s="0" t="s">
        <v>3891</v>
      </c>
      <c r="E1708" s="0" t="s">
        <v>79</v>
      </c>
      <c r="F1708" s="0" t="s">
        <v>12066</v>
      </c>
    </row>
    <row r="1709" customFormat="false" ht="15" hidden="false" customHeight="false" outlineLevel="0" collapsed="false">
      <c r="A1709" s="0" t="n">
        <v>578</v>
      </c>
      <c r="B1709" s="0" t="s">
        <v>3887</v>
      </c>
      <c r="C1709" s="0" t="s">
        <v>12067</v>
      </c>
      <c r="E1709" s="0" t="s">
        <v>79</v>
      </c>
      <c r="F1709" s="0" t="s">
        <v>12068</v>
      </c>
    </row>
    <row r="1710" customFormat="false" ht="15" hidden="false" customHeight="false" outlineLevel="0" collapsed="false">
      <c r="A1710" s="0" t="n">
        <v>578</v>
      </c>
      <c r="B1710" s="0" t="s">
        <v>3887</v>
      </c>
      <c r="C1710" s="0" t="s">
        <v>12069</v>
      </c>
      <c r="E1710" s="0" t="s">
        <v>79</v>
      </c>
      <c r="F1710" s="0" t="s">
        <v>12070</v>
      </c>
    </row>
    <row r="1711" customFormat="false" ht="15" hidden="false" customHeight="false" outlineLevel="0" collapsed="false">
      <c r="A1711" s="0" t="n">
        <v>579</v>
      </c>
      <c r="B1711" s="0" t="s">
        <v>3892</v>
      </c>
      <c r="C1711" s="0" t="s">
        <v>3895</v>
      </c>
      <c r="E1711" s="0" t="s">
        <v>79</v>
      </c>
      <c r="F1711" s="0" t="s">
        <v>12071</v>
      </c>
    </row>
    <row r="1712" customFormat="false" ht="15" hidden="false" customHeight="false" outlineLevel="0" collapsed="false">
      <c r="A1712" s="0" t="n">
        <v>579</v>
      </c>
      <c r="B1712" s="0" t="s">
        <v>3892</v>
      </c>
      <c r="C1712" s="0" t="s">
        <v>3896</v>
      </c>
      <c r="E1712" s="0" t="s">
        <v>79</v>
      </c>
      <c r="F1712" s="0" t="s">
        <v>12072</v>
      </c>
    </row>
    <row r="1713" customFormat="false" ht="15" hidden="false" customHeight="false" outlineLevel="0" collapsed="false">
      <c r="A1713" s="0" t="n">
        <v>579</v>
      </c>
      <c r="B1713" s="0" t="s">
        <v>3892</v>
      </c>
      <c r="C1713" s="0" t="s">
        <v>3897</v>
      </c>
      <c r="E1713" s="0" t="s">
        <v>79</v>
      </c>
      <c r="F1713" s="0" t="s">
        <v>12073</v>
      </c>
    </row>
    <row r="1714" customFormat="false" ht="15" hidden="false" customHeight="false" outlineLevel="0" collapsed="false">
      <c r="A1714" s="0" t="n">
        <v>579</v>
      </c>
      <c r="B1714" s="0" t="s">
        <v>3892</v>
      </c>
      <c r="C1714" s="0" t="s">
        <v>12074</v>
      </c>
      <c r="E1714" s="0" t="s">
        <v>79</v>
      </c>
      <c r="F1714" s="0" t="s">
        <v>12075</v>
      </c>
    </row>
    <row r="1715" customFormat="false" ht="15" hidden="false" customHeight="false" outlineLevel="0" collapsed="false">
      <c r="A1715" s="0" t="n">
        <v>579</v>
      </c>
      <c r="B1715" s="0" t="s">
        <v>3892</v>
      </c>
      <c r="C1715" s="0" t="s">
        <v>12076</v>
      </c>
      <c r="E1715" s="0" t="s">
        <v>79</v>
      </c>
      <c r="F1715" s="0" t="s">
        <v>12077</v>
      </c>
    </row>
    <row r="1716" customFormat="false" ht="15" hidden="false" customHeight="false" outlineLevel="0" collapsed="false">
      <c r="A1716" s="0" t="n">
        <v>581</v>
      </c>
      <c r="B1716" s="0" t="s">
        <v>3909</v>
      </c>
      <c r="C1716" s="0" t="s">
        <v>3912</v>
      </c>
      <c r="E1716" s="0" t="s">
        <v>79</v>
      </c>
      <c r="F1716" s="0" t="s">
        <v>12078</v>
      </c>
    </row>
    <row r="1717" customFormat="false" ht="15" hidden="false" customHeight="false" outlineLevel="0" collapsed="false">
      <c r="A1717" s="0" t="n">
        <v>581</v>
      </c>
      <c r="B1717" s="0" t="s">
        <v>3909</v>
      </c>
      <c r="C1717" s="0" t="s">
        <v>3913</v>
      </c>
      <c r="E1717" s="0" t="s">
        <v>79</v>
      </c>
      <c r="F1717" s="0" t="s">
        <v>12079</v>
      </c>
    </row>
    <row r="1718" customFormat="false" ht="15" hidden="false" customHeight="false" outlineLevel="0" collapsed="false">
      <c r="A1718" s="0" t="n">
        <v>581</v>
      </c>
      <c r="B1718" s="0" t="s">
        <v>3909</v>
      </c>
      <c r="C1718" s="0" t="s">
        <v>3914</v>
      </c>
      <c r="E1718" s="0" t="s">
        <v>79</v>
      </c>
      <c r="F1718" s="0" t="s">
        <v>12080</v>
      </c>
    </row>
    <row r="1719" customFormat="false" ht="15" hidden="false" customHeight="false" outlineLevel="0" collapsed="false">
      <c r="A1719" s="0" t="n">
        <v>581</v>
      </c>
      <c r="B1719" s="0" t="s">
        <v>3909</v>
      </c>
      <c r="C1719" s="0" t="s">
        <v>12081</v>
      </c>
      <c r="E1719" s="0" t="s">
        <v>79</v>
      </c>
      <c r="F1719" s="0" t="s">
        <v>12082</v>
      </c>
    </row>
    <row r="1720" customFormat="false" ht="15" hidden="false" customHeight="false" outlineLevel="0" collapsed="false">
      <c r="A1720" s="0" t="n">
        <v>581</v>
      </c>
      <c r="B1720" s="0" t="s">
        <v>3909</v>
      </c>
      <c r="C1720" s="0" t="s">
        <v>12083</v>
      </c>
      <c r="E1720" s="0" t="s">
        <v>79</v>
      </c>
      <c r="F1720" s="0" t="s">
        <v>12084</v>
      </c>
    </row>
    <row r="1721" customFormat="false" ht="15" hidden="false" customHeight="false" outlineLevel="0" collapsed="false">
      <c r="A1721" s="0" t="n">
        <v>583</v>
      </c>
      <c r="B1721" s="0" t="s">
        <v>3919</v>
      </c>
      <c r="C1721" s="0" t="s">
        <v>3921</v>
      </c>
      <c r="E1721" s="0" t="s">
        <v>79</v>
      </c>
      <c r="F1721" s="0" t="s">
        <v>12085</v>
      </c>
    </row>
    <row r="1722" customFormat="false" ht="15" hidden="false" customHeight="false" outlineLevel="0" collapsed="false">
      <c r="A1722" s="0" t="n">
        <v>583</v>
      </c>
      <c r="B1722" s="0" t="s">
        <v>3919</v>
      </c>
      <c r="C1722" s="0" t="s">
        <v>3922</v>
      </c>
      <c r="E1722" s="0" t="s">
        <v>79</v>
      </c>
      <c r="F1722" s="0" t="s">
        <v>12086</v>
      </c>
    </row>
    <row r="1723" customFormat="false" ht="15" hidden="false" customHeight="false" outlineLevel="0" collapsed="false">
      <c r="A1723" s="0" t="n">
        <v>583</v>
      </c>
      <c r="B1723" s="0" t="s">
        <v>3919</v>
      </c>
      <c r="C1723" s="0" t="s">
        <v>3923</v>
      </c>
      <c r="E1723" s="0" t="s">
        <v>79</v>
      </c>
      <c r="F1723" s="0" t="s">
        <v>12087</v>
      </c>
    </row>
    <row r="1724" customFormat="false" ht="15" hidden="false" customHeight="false" outlineLevel="0" collapsed="false">
      <c r="A1724" s="0" t="n">
        <v>583</v>
      </c>
      <c r="B1724" s="0" t="s">
        <v>3919</v>
      </c>
      <c r="C1724" s="0" t="s">
        <v>12088</v>
      </c>
      <c r="E1724" s="0" t="s">
        <v>79</v>
      </c>
      <c r="F1724" s="0" t="s">
        <v>12089</v>
      </c>
    </row>
    <row r="1725" customFormat="false" ht="15" hidden="false" customHeight="false" outlineLevel="0" collapsed="false">
      <c r="A1725" s="0" t="n">
        <v>583</v>
      </c>
      <c r="B1725" s="0" t="s">
        <v>3919</v>
      </c>
      <c r="C1725" s="0" t="s">
        <v>12090</v>
      </c>
      <c r="E1725" s="0" t="s">
        <v>79</v>
      </c>
      <c r="F1725" s="0" t="s">
        <v>12091</v>
      </c>
    </row>
    <row r="1726" customFormat="false" ht="15" hidden="false" customHeight="false" outlineLevel="0" collapsed="false">
      <c r="A1726" s="0" t="n">
        <v>584</v>
      </c>
      <c r="B1726" s="0" t="s">
        <v>3924</v>
      </c>
      <c r="C1726" s="0" t="s">
        <v>3931</v>
      </c>
      <c r="D1726" s="0" t="s">
        <v>12092</v>
      </c>
      <c r="E1726" s="0" t="s">
        <v>115</v>
      </c>
    </row>
    <row r="1727" customFormat="false" ht="15" hidden="false" customHeight="false" outlineLevel="0" collapsed="false">
      <c r="A1727" s="0" t="n">
        <v>584</v>
      </c>
      <c r="B1727" s="0" t="s">
        <v>3924</v>
      </c>
      <c r="C1727" s="0" t="s">
        <v>3932</v>
      </c>
      <c r="D1727" s="0" t="s">
        <v>12093</v>
      </c>
      <c r="E1727" s="0" t="s">
        <v>115</v>
      </c>
    </row>
    <row r="1728" customFormat="false" ht="15" hidden="false" customHeight="false" outlineLevel="0" collapsed="false">
      <c r="A1728" s="0" t="n">
        <v>584</v>
      </c>
      <c r="B1728" s="0" t="s">
        <v>3924</v>
      </c>
      <c r="C1728" s="0" t="s">
        <v>3933</v>
      </c>
      <c r="D1728" s="0" t="s">
        <v>12094</v>
      </c>
      <c r="E1728" s="0" t="s">
        <v>115</v>
      </c>
    </row>
    <row r="1729" customFormat="false" ht="15" hidden="false" customHeight="false" outlineLevel="0" collapsed="false">
      <c r="A1729" s="0" t="n">
        <v>585</v>
      </c>
      <c r="B1729" s="0" t="s">
        <v>3942</v>
      </c>
      <c r="C1729" s="0" t="s">
        <v>3949</v>
      </c>
      <c r="D1729" s="0" t="s">
        <v>12095</v>
      </c>
      <c r="E1729" s="0" t="s">
        <v>115</v>
      </c>
    </row>
    <row r="1730" customFormat="false" ht="15" hidden="false" customHeight="false" outlineLevel="0" collapsed="false">
      <c r="A1730" s="0" t="n">
        <v>585</v>
      </c>
      <c r="B1730" s="0" t="s">
        <v>3942</v>
      </c>
      <c r="C1730" s="0" t="s">
        <v>3950</v>
      </c>
      <c r="D1730" s="0" t="s">
        <v>12096</v>
      </c>
      <c r="E1730" s="0" t="s">
        <v>115</v>
      </c>
    </row>
    <row r="1731" customFormat="false" ht="15" hidden="false" customHeight="false" outlineLevel="0" collapsed="false">
      <c r="A1731" s="0" t="n">
        <v>585</v>
      </c>
      <c r="B1731" s="0" t="s">
        <v>3942</v>
      </c>
      <c r="C1731" s="0" t="s">
        <v>3951</v>
      </c>
      <c r="D1731" s="0" t="s">
        <v>12097</v>
      </c>
      <c r="E1731" s="0" t="s">
        <v>115</v>
      </c>
    </row>
    <row r="1732" customFormat="false" ht="15" hidden="false" customHeight="false" outlineLevel="0" collapsed="false">
      <c r="A1732" s="0" t="n">
        <v>586</v>
      </c>
      <c r="B1732" s="0" t="s">
        <v>3961</v>
      </c>
      <c r="C1732" s="0" t="s">
        <v>3964</v>
      </c>
      <c r="E1732" s="0" t="s">
        <v>79</v>
      </c>
      <c r="F1732" s="0" t="s">
        <v>12098</v>
      </c>
    </row>
    <row r="1733" customFormat="false" ht="15" hidden="false" customHeight="false" outlineLevel="0" collapsed="false">
      <c r="A1733" s="0" t="n">
        <v>586</v>
      </c>
      <c r="B1733" s="0" t="s">
        <v>3961</v>
      </c>
      <c r="C1733" s="0" t="s">
        <v>3965</v>
      </c>
      <c r="E1733" s="0" t="s">
        <v>79</v>
      </c>
      <c r="F1733" s="0" t="s">
        <v>12099</v>
      </c>
    </row>
    <row r="1734" customFormat="false" ht="15" hidden="false" customHeight="false" outlineLevel="0" collapsed="false">
      <c r="A1734" s="0" t="n">
        <v>586</v>
      </c>
      <c r="B1734" s="0" t="s">
        <v>3961</v>
      </c>
      <c r="C1734" s="0" t="s">
        <v>3966</v>
      </c>
      <c r="E1734" s="0" t="s">
        <v>79</v>
      </c>
      <c r="F1734" s="0" t="s">
        <v>12100</v>
      </c>
    </row>
    <row r="1735" customFormat="false" ht="15" hidden="false" customHeight="false" outlineLevel="0" collapsed="false">
      <c r="A1735" s="0" t="n">
        <v>586</v>
      </c>
      <c r="B1735" s="0" t="s">
        <v>3961</v>
      </c>
      <c r="C1735" s="0" t="s">
        <v>12101</v>
      </c>
      <c r="E1735" s="0" t="s">
        <v>79</v>
      </c>
      <c r="F1735" s="0" t="s">
        <v>12102</v>
      </c>
    </row>
    <row r="1736" customFormat="false" ht="15" hidden="false" customHeight="false" outlineLevel="0" collapsed="false">
      <c r="A1736" s="0" t="n">
        <v>586</v>
      </c>
      <c r="B1736" s="0" t="s">
        <v>3961</v>
      </c>
      <c r="C1736" s="0" t="s">
        <v>12103</v>
      </c>
      <c r="E1736" s="0" t="s">
        <v>79</v>
      </c>
      <c r="F1736" s="0" t="s">
        <v>12104</v>
      </c>
    </row>
    <row r="1737" customFormat="false" ht="15" hidden="false" customHeight="false" outlineLevel="0" collapsed="false">
      <c r="A1737" s="0" t="n">
        <v>587</v>
      </c>
      <c r="B1737" s="0" t="s">
        <v>3969</v>
      </c>
      <c r="C1737" s="0" t="s">
        <v>3975</v>
      </c>
      <c r="D1737" s="0" t="s">
        <v>12105</v>
      </c>
      <c r="E1737" s="0" t="s">
        <v>115</v>
      </c>
    </row>
    <row r="1738" customFormat="false" ht="15" hidden="false" customHeight="false" outlineLevel="0" collapsed="false">
      <c r="A1738" s="0" t="n">
        <v>587</v>
      </c>
      <c r="B1738" s="0" t="s">
        <v>3969</v>
      </c>
      <c r="C1738" s="0" t="s">
        <v>3976</v>
      </c>
      <c r="D1738" s="0" t="s">
        <v>12106</v>
      </c>
      <c r="E1738" s="0" t="s">
        <v>115</v>
      </c>
    </row>
    <row r="1739" customFormat="false" ht="15" hidden="false" customHeight="false" outlineLevel="0" collapsed="false">
      <c r="A1739" s="0" t="n">
        <v>587</v>
      </c>
      <c r="B1739" s="0" t="s">
        <v>3969</v>
      </c>
      <c r="C1739" s="0" t="s">
        <v>3977</v>
      </c>
      <c r="D1739" s="0" t="s">
        <v>12107</v>
      </c>
      <c r="E1739" s="0" t="s">
        <v>115</v>
      </c>
    </row>
    <row r="1740" customFormat="false" ht="15" hidden="false" customHeight="false" outlineLevel="0" collapsed="false">
      <c r="A1740" s="0" t="n">
        <v>588</v>
      </c>
      <c r="B1740" s="0" t="s">
        <v>3986</v>
      </c>
      <c r="C1740" s="0" t="s">
        <v>3989</v>
      </c>
      <c r="E1740" s="0" t="s">
        <v>59</v>
      </c>
      <c r="F1740" s="0" t="s">
        <v>12108</v>
      </c>
    </row>
    <row r="1741" customFormat="false" ht="15" hidden="false" customHeight="false" outlineLevel="0" collapsed="false">
      <c r="A1741" s="0" t="n">
        <v>588</v>
      </c>
      <c r="B1741" s="0" t="s">
        <v>3986</v>
      </c>
      <c r="C1741" s="0" t="s">
        <v>3990</v>
      </c>
      <c r="E1741" s="0" t="s">
        <v>59</v>
      </c>
      <c r="F1741" s="0" t="s">
        <v>12109</v>
      </c>
    </row>
    <row r="1742" customFormat="false" ht="15" hidden="false" customHeight="false" outlineLevel="0" collapsed="false">
      <c r="A1742" s="0" t="n">
        <v>588</v>
      </c>
      <c r="B1742" s="0" t="s">
        <v>3986</v>
      </c>
      <c r="C1742" s="0" t="s">
        <v>3991</v>
      </c>
      <c r="E1742" s="0" t="s">
        <v>59</v>
      </c>
      <c r="F1742" s="0" t="s">
        <v>12110</v>
      </c>
    </row>
    <row r="1743" customFormat="false" ht="15" hidden="false" customHeight="false" outlineLevel="0" collapsed="false">
      <c r="A1743" s="0" t="n">
        <v>588</v>
      </c>
      <c r="B1743" s="0" t="s">
        <v>3986</v>
      </c>
      <c r="C1743" s="0" t="s">
        <v>12111</v>
      </c>
      <c r="E1743" s="0" t="s">
        <v>59</v>
      </c>
      <c r="F1743" s="0" t="s">
        <v>12112</v>
      </c>
    </row>
    <row r="1744" customFormat="false" ht="15" hidden="false" customHeight="false" outlineLevel="0" collapsed="false">
      <c r="A1744" s="0" t="n">
        <v>588</v>
      </c>
      <c r="B1744" s="0" t="s">
        <v>3986</v>
      </c>
      <c r="C1744" s="0" t="s">
        <v>12113</v>
      </c>
      <c r="E1744" s="0" t="s">
        <v>59</v>
      </c>
      <c r="F1744" s="0" t="s">
        <v>12114</v>
      </c>
    </row>
    <row r="1745" customFormat="false" ht="15" hidden="false" customHeight="false" outlineLevel="0" collapsed="false">
      <c r="A1745" s="0" t="n">
        <v>589</v>
      </c>
      <c r="B1745" s="0" t="s">
        <v>3992</v>
      </c>
      <c r="C1745" s="0" t="s">
        <v>3994</v>
      </c>
      <c r="E1745" s="0" t="s">
        <v>59</v>
      </c>
      <c r="F1745" s="0" t="s">
        <v>12115</v>
      </c>
    </row>
    <row r="1746" customFormat="false" ht="15" hidden="false" customHeight="false" outlineLevel="0" collapsed="false">
      <c r="A1746" s="0" t="n">
        <v>589</v>
      </c>
      <c r="B1746" s="0" t="s">
        <v>3992</v>
      </c>
      <c r="C1746" s="0" t="s">
        <v>3995</v>
      </c>
      <c r="E1746" s="0" t="s">
        <v>59</v>
      </c>
      <c r="F1746" s="0" t="s">
        <v>12116</v>
      </c>
    </row>
    <row r="1747" customFormat="false" ht="15" hidden="false" customHeight="false" outlineLevel="0" collapsed="false">
      <c r="A1747" s="0" t="n">
        <v>589</v>
      </c>
      <c r="B1747" s="0" t="s">
        <v>3992</v>
      </c>
      <c r="C1747" s="0" t="s">
        <v>3996</v>
      </c>
      <c r="E1747" s="0" t="s">
        <v>59</v>
      </c>
      <c r="F1747" s="0" t="s">
        <v>12117</v>
      </c>
    </row>
    <row r="1748" customFormat="false" ht="15" hidden="false" customHeight="false" outlineLevel="0" collapsed="false">
      <c r="A1748" s="0" t="n">
        <v>589</v>
      </c>
      <c r="B1748" s="0" t="s">
        <v>3992</v>
      </c>
      <c r="C1748" s="0" t="s">
        <v>12118</v>
      </c>
      <c r="E1748" s="0" t="s">
        <v>59</v>
      </c>
      <c r="F1748" s="0" t="s">
        <v>12119</v>
      </c>
    </row>
    <row r="1749" customFormat="false" ht="15" hidden="false" customHeight="false" outlineLevel="0" collapsed="false">
      <c r="A1749" s="0" t="n">
        <v>589</v>
      </c>
      <c r="B1749" s="0" t="s">
        <v>3992</v>
      </c>
      <c r="C1749" s="0" t="s">
        <v>12120</v>
      </c>
      <c r="E1749" s="0" t="s">
        <v>59</v>
      </c>
      <c r="F1749" s="0" t="s">
        <v>12121</v>
      </c>
    </row>
    <row r="1750" customFormat="false" ht="15" hidden="false" customHeight="false" outlineLevel="0" collapsed="false">
      <c r="A1750" s="0" t="n">
        <v>590</v>
      </c>
      <c r="B1750" s="0" t="s">
        <v>4000</v>
      </c>
      <c r="C1750" s="0" t="s">
        <v>4005</v>
      </c>
      <c r="D1750" s="0" t="s">
        <v>12122</v>
      </c>
      <c r="E1750" s="0" t="s">
        <v>115</v>
      </c>
    </row>
    <row r="1751" customFormat="false" ht="15" hidden="false" customHeight="false" outlineLevel="0" collapsed="false">
      <c r="A1751" s="0" t="n">
        <v>590</v>
      </c>
      <c r="B1751" s="0" t="s">
        <v>4000</v>
      </c>
      <c r="C1751" s="0" t="s">
        <v>4006</v>
      </c>
      <c r="D1751" s="0" t="s">
        <v>12123</v>
      </c>
      <c r="E1751" s="0" t="s">
        <v>115</v>
      </c>
    </row>
    <row r="1752" customFormat="false" ht="15" hidden="false" customHeight="false" outlineLevel="0" collapsed="false">
      <c r="A1752" s="0" t="n">
        <v>590</v>
      </c>
      <c r="B1752" s="0" t="s">
        <v>4000</v>
      </c>
      <c r="C1752" s="0" t="s">
        <v>4007</v>
      </c>
      <c r="D1752" s="0" t="s">
        <v>12124</v>
      </c>
      <c r="E1752" s="0" t="s">
        <v>115</v>
      </c>
    </row>
    <row r="1753" customFormat="false" ht="15" hidden="false" customHeight="false" outlineLevel="0" collapsed="false">
      <c r="A1753" s="0" t="n">
        <v>591</v>
      </c>
      <c r="B1753" s="0" t="s">
        <v>4017</v>
      </c>
      <c r="C1753" s="0" t="s">
        <v>4020</v>
      </c>
      <c r="E1753" s="0" t="s">
        <v>79</v>
      </c>
      <c r="F1753" s="0" t="s">
        <v>12125</v>
      </c>
    </row>
    <row r="1754" customFormat="false" ht="15" hidden="false" customHeight="false" outlineLevel="0" collapsed="false">
      <c r="A1754" s="0" t="n">
        <v>591</v>
      </c>
      <c r="B1754" s="0" t="s">
        <v>4017</v>
      </c>
      <c r="C1754" s="0" t="s">
        <v>4021</v>
      </c>
      <c r="E1754" s="0" t="s">
        <v>79</v>
      </c>
      <c r="F1754" s="0" t="s">
        <v>12126</v>
      </c>
    </row>
    <row r="1755" customFormat="false" ht="15" hidden="false" customHeight="false" outlineLevel="0" collapsed="false">
      <c r="A1755" s="0" t="n">
        <v>591</v>
      </c>
      <c r="B1755" s="0" t="s">
        <v>4017</v>
      </c>
      <c r="C1755" s="0" t="s">
        <v>4022</v>
      </c>
      <c r="E1755" s="0" t="s">
        <v>79</v>
      </c>
      <c r="F1755" s="0" t="s">
        <v>12127</v>
      </c>
    </row>
    <row r="1756" customFormat="false" ht="15" hidden="false" customHeight="false" outlineLevel="0" collapsed="false">
      <c r="A1756" s="0" t="n">
        <v>591</v>
      </c>
      <c r="B1756" s="0" t="s">
        <v>4017</v>
      </c>
      <c r="C1756" s="0" t="s">
        <v>12128</v>
      </c>
      <c r="E1756" s="0" t="s">
        <v>79</v>
      </c>
      <c r="F1756" s="0" t="s">
        <v>12129</v>
      </c>
    </row>
    <row r="1757" customFormat="false" ht="15" hidden="false" customHeight="false" outlineLevel="0" collapsed="false">
      <c r="A1757" s="0" t="n">
        <v>591</v>
      </c>
      <c r="B1757" s="0" t="s">
        <v>4017</v>
      </c>
      <c r="C1757" s="0" t="s">
        <v>12130</v>
      </c>
      <c r="E1757" s="0" t="s">
        <v>79</v>
      </c>
      <c r="F1757" s="0" t="s">
        <v>12131</v>
      </c>
    </row>
    <row r="1758" customFormat="false" ht="15" hidden="false" customHeight="false" outlineLevel="0" collapsed="false">
      <c r="A1758" s="0" t="n">
        <v>592</v>
      </c>
      <c r="B1758" s="0" t="s">
        <v>4025</v>
      </c>
      <c r="C1758" s="0" t="s">
        <v>4028</v>
      </c>
      <c r="E1758" s="0" t="s">
        <v>59</v>
      </c>
      <c r="F1758" s="0" t="s">
        <v>12132</v>
      </c>
    </row>
    <row r="1759" customFormat="false" ht="15" hidden="false" customHeight="false" outlineLevel="0" collapsed="false">
      <c r="A1759" s="0" t="n">
        <v>592</v>
      </c>
      <c r="B1759" s="0" t="s">
        <v>4025</v>
      </c>
      <c r="C1759" s="0" t="s">
        <v>4029</v>
      </c>
      <c r="E1759" s="0" t="s">
        <v>59</v>
      </c>
      <c r="F1759" s="0" t="s">
        <v>12133</v>
      </c>
    </row>
    <row r="1760" customFormat="false" ht="15" hidden="false" customHeight="false" outlineLevel="0" collapsed="false">
      <c r="A1760" s="0" t="n">
        <v>592</v>
      </c>
      <c r="B1760" s="0" t="s">
        <v>4025</v>
      </c>
      <c r="C1760" s="0" t="s">
        <v>4030</v>
      </c>
      <c r="E1760" s="0" t="s">
        <v>59</v>
      </c>
      <c r="F1760" s="0" t="s">
        <v>12134</v>
      </c>
    </row>
    <row r="1761" customFormat="false" ht="15" hidden="false" customHeight="false" outlineLevel="0" collapsed="false">
      <c r="A1761" s="0" t="n">
        <v>592</v>
      </c>
      <c r="B1761" s="0" t="s">
        <v>4025</v>
      </c>
      <c r="C1761" s="0" t="s">
        <v>12135</v>
      </c>
      <c r="E1761" s="0" t="s">
        <v>59</v>
      </c>
      <c r="F1761" s="0" t="s">
        <v>12136</v>
      </c>
    </row>
    <row r="1762" customFormat="false" ht="15" hidden="false" customHeight="false" outlineLevel="0" collapsed="false">
      <c r="A1762" s="0" t="n">
        <v>592</v>
      </c>
      <c r="B1762" s="0" t="s">
        <v>4025</v>
      </c>
      <c r="C1762" s="0" t="s">
        <v>12137</v>
      </c>
      <c r="E1762" s="0" t="s">
        <v>59</v>
      </c>
      <c r="F1762" s="0" t="s">
        <v>12138</v>
      </c>
    </row>
    <row r="1763" customFormat="false" ht="15" hidden="false" customHeight="false" outlineLevel="0" collapsed="false">
      <c r="A1763" s="0" t="n">
        <v>593</v>
      </c>
      <c r="B1763" s="0" t="s">
        <v>4033</v>
      </c>
      <c r="C1763" s="0" t="s">
        <v>4036</v>
      </c>
      <c r="E1763" s="0" t="s">
        <v>79</v>
      </c>
      <c r="F1763" s="0" t="s">
        <v>12139</v>
      </c>
    </row>
    <row r="1764" customFormat="false" ht="15" hidden="false" customHeight="false" outlineLevel="0" collapsed="false">
      <c r="A1764" s="0" t="n">
        <v>593</v>
      </c>
      <c r="B1764" s="0" t="s">
        <v>4033</v>
      </c>
      <c r="C1764" s="0" t="s">
        <v>4037</v>
      </c>
      <c r="E1764" s="0" t="s">
        <v>79</v>
      </c>
      <c r="F1764" s="0" t="s">
        <v>12140</v>
      </c>
    </row>
    <row r="1765" customFormat="false" ht="15" hidden="false" customHeight="false" outlineLevel="0" collapsed="false">
      <c r="A1765" s="0" t="n">
        <v>593</v>
      </c>
      <c r="B1765" s="0" t="s">
        <v>4033</v>
      </c>
      <c r="C1765" s="0" t="s">
        <v>4038</v>
      </c>
      <c r="E1765" s="0" t="s">
        <v>79</v>
      </c>
      <c r="F1765" s="0" t="s">
        <v>12141</v>
      </c>
    </row>
    <row r="1766" customFormat="false" ht="15" hidden="false" customHeight="false" outlineLevel="0" collapsed="false">
      <c r="A1766" s="0" t="n">
        <v>593</v>
      </c>
      <c r="B1766" s="0" t="s">
        <v>4033</v>
      </c>
      <c r="C1766" s="0" t="s">
        <v>12142</v>
      </c>
      <c r="E1766" s="0" t="s">
        <v>79</v>
      </c>
      <c r="F1766" s="0" t="s">
        <v>12143</v>
      </c>
    </row>
    <row r="1767" customFormat="false" ht="15" hidden="false" customHeight="false" outlineLevel="0" collapsed="false">
      <c r="A1767" s="0" t="n">
        <v>593</v>
      </c>
      <c r="B1767" s="0" t="s">
        <v>4033</v>
      </c>
      <c r="C1767" s="0" t="s">
        <v>12144</v>
      </c>
      <c r="E1767" s="0" t="s">
        <v>79</v>
      </c>
      <c r="F1767" s="0" t="s">
        <v>12145</v>
      </c>
    </row>
    <row r="1768" customFormat="false" ht="15" hidden="false" customHeight="false" outlineLevel="0" collapsed="false">
      <c r="A1768" s="0" t="n">
        <v>594</v>
      </c>
      <c r="B1768" s="0" t="s">
        <v>4044</v>
      </c>
      <c r="C1768" s="0" t="s">
        <v>4047</v>
      </c>
      <c r="E1768" s="0" t="s">
        <v>79</v>
      </c>
      <c r="F1768" s="0" t="s">
        <v>12146</v>
      </c>
    </row>
    <row r="1769" customFormat="false" ht="15" hidden="false" customHeight="false" outlineLevel="0" collapsed="false">
      <c r="A1769" s="0" t="n">
        <v>594</v>
      </c>
      <c r="B1769" s="0" t="s">
        <v>4044</v>
      </c>
      <c r="C1769" s="0" t="s">
        <v>4048</v>
      </c>
      <c r="E1769" s="0" t="s">
        <v>79</v>
      </c>
      <c r="F1769" s="0" t="s">
        <v>12147</v>
      </c>
    </row>
    <row r="1770" customFormat="false" ht="15" hidden="false" customHeight="false" outlineLevel="0" collapsed="false">
      <c r="A1770" s="0" t="n">
        <v>594</v>
      </c>
      <c r="B1770" s="0" t="s">
        <v>4044</v>
      </c>
      <c r="C1770" s="0" t="s">
        <v>4049</v>
      </c>
      <c r="E1770" s="0" t="s">
        <v>79</v>
      </c>
      <c r="F1770" s="0" t="s">
        <v>12148</v>
      </c>
    </row>
    <row r="1771" customFormat="false" ht="15" hidden="false" customHeight="false" outlineLevel="0" collapsed="false">
      <c r="A1771" s="0" t="n">
        <v>594</v>
      </c>
      <c r="B1771" s="0" t="s">
        <v>4044</v>
      </c>
      <c r="C1771" s="0" t="s">
        <v>12149</v>
      </c>
      <c r="E1771" s="0" t="s">
        <v>79</v>
      </c>
      <c r="F1771" s="0" t="s">
        <v>12150</v>
      </c>
    </row>
    <row r="1772" customFormat="false" ht="15" hidden="false" customHeight="false" outlineLevel="0" collapsed="false">
      <c r="A1772" s="0" t="n">
        <v>594</v>
      </c>
      <c r="B1772" s="0" t="s">
        <v>4044</v>
      </c>
      <c r="C1772" s="0" t="s">
        <v>12151</v>
      </c>
      <c r="E1772" s="0" t="s">
        <v>79</v>
      </c>
      <c r="F1772" s="0" t="s">
        <v>12152</v>
      </c>
    </row>
    <row r="1773" customFormat="false" ht="15" hidden="false" customHeight="false" outlineLevel="0" collapsed="false">
      <c r="A1773" s="0" t="n">
        <v>595</v>
      </c>
      <c r="B1773" s="0" t="s">
        <v>4054</v>
      </c>
      <c r="C1773" s="0" t="s">
        <v>4057</v>
      </c>
      <c r="E1773" s="0" t="s">
        <v>59</v>
      </c>
      <c r="F1773" s="0" t="s">
        <v>12153</v>
      </c>
    </row>
    <row r="1774" customFormat="false" ht="15" hidden="false" customHeight="false" outlineLevel="0" collapsed="false">
      <c r="A1774" s="0" t="n">
        <v>595</v>
      </c>
      <c r="B1774" s="0" t="s">
        <v>4054</v>
      </c>
      <c r="C1774" s="0" t="s">
        <v>4058</v>
      </c>
      <c r="E1774" s="0" t="s">
        <v>59</v>
      </c>
      <c r="F1774" s="0" t="s">
        <v>12154</v>
      </c>
    </row>
    <row r="1775" customFormat="false" ht="15" hidden="false" customHeight="false" outlineLevel="0" collapsed="false">
      <c r="A1775" s="0" t="n">
        <v>595</v>
      </c>
      <c r="B1775" s="0" t="s">
        <v>4054</v>
      </c>
      <c r="C1775" s="0" t="s">
        <v>4059</v>
      </c>
      <c r="E1775" s="0" t="s">
        <v>59</v>
      </c>
      <c r="F1775" s="0" t="s">
        <v>12155</v>
      </c>
    </row>
    <row r="1776" customFormat="false" ht="15" hidden="false" customHeight="false" outlineLevel="0" collapsed="false">
      <c r="A1776" s="0" t="n">
        <v>595</v>
      </c>
      <c r="B1776" s="0" t="s">
        <v>4054</v>
      </c>
      <c r="C1776" s="0" t="s">
        <v>12156</v>
      </c>
      <c r="E1776" s="0" t="s">
        <v>59</v>
      </c>
      <c r="F1776" s="0" t="s">
        <v>12157</v>
      </c>
    </row>
    <row r="1777" customFormat="false" ht="15" hidden="false" customHeight="false" outlineLevel="0" collapsed="false">
      <c r="A1777" s="0" t="n">
        <v>595</v>
      </c>
      <c r="B1777" s="0" t="s">
        <v>4054</v>
      </c>
      <c r="C1777" s="0" t="s">
        <v>12158</v>
      </c>
      <c r="E1777" s="0" t="s">
        <v>59</v>
      </c>
      <c r="F1777" s="0" t="s">
        <v>12159</v>
      </c>
    </row>
    <row r="1778" customFormat="false" ht="15" hidden="false" customHeight="false" outlineLevel="0" collapsed="false">
      <c r="A1778" s="0" t="n">
        <v>596</v>
      </c>
      <c r="B1778" s="0" t="s">
        <v>4060</v>
      </c>
      <c r="C1778" s="0" t="s">
        <v>4063</v>
      </c>
      <c r="E1778" s="0" t="s">
        <v>79</v>
      </c>
      <c r="F1778" s="0" t="s">
        <v>12160</v>
      </c>
    </row>
    <row r="1779" customFormat="false" ht="15" hidden="false" customHeight="false" outlineLevel="0" collapsed="false">
      <c r="A1779" s="0" t="n">
        <v>596</v>
      </c>
      <c r="B1779" s="0" t="s">
        <v>4060</v>
      </c>
      <c r="C1779" s="0" t="s">
        <v>2408</v>
      </c>
      <c r="E1779" s="0" t="s">
        <v>79</v>
      </c>
      <c r="F1779" s="0" t="s">
        <v>12161</v>
      </c>
    </row>
    <row r="1780" customFormat="false" ht="15" hidden="false" customHeight="false" outlineLevel="0" collapsed="false">
      <c r="A1780" s="0" t="n">
        <v>596</v>
      </c>
      <c r="B1780" s="0" t="s">
        <v>4060</v>
      </c>
      <c r="C1780" s="0" t="s">
        <v>4064</v>
      </c>
      <c r="E1780" s="0" t="s">
        <v>79</v>
      </c>
      <c r="F1780" s="0" t="s">
        <v>12162</v>
      </c>
    </row>
    <row r="1781" customFormat="false" ht="15" hidden="false" customHeight="false" outlineLevel="0" collapsed="false">
      <c r="A1781" s="0" t="n">
        <v>596</v>
      </c>
      <c r="B1781" s="0" t="s">
        <v>4060</v>
      </c>
      <c r="C1781" s="0" t="s">
        <v>12163</v>
      </c>
      <c r="E1781" s="0" t="s">
        <v>79</v>
      </c>
      <c r="F1781" s="0" t="s">
        <v>12164</v>
      </c>
    </row>
    <row r="1782" customFormat="false" ht="15" hidden="false" customHeight="false" outlineLevel="0" collapsed="false">
      <c r="A1782" s="0" t="n">
        <v>596</v>
      </c>
      <c r="B1782" s="0" t="s">
        <v>4060</v>
      </c>
      <c r="C1782" s="0" t="s">
        <v>12165</v>
      </c>
      <c r="E1782" s="0" t="s">
        <v>79</v>
      </c>
      <c r="F1782" s="0" t="s">
        <v>12166</v>
      </c>
    </row>
    <row r="1783" customFormat="false" ht="15" hidden="false" customHeight="false" outlineLevel="0" collapsed="false">
      <c r="A1783" s="0" t="n">
        <v>597</v>
      </c>
      <c r="B1783" s="0" t="s">
        <v>4069</v>
      </c>
      <c r="C1783" s="0" t="s">
        <v>4078</v>
      </c>
      <c r="D1783" s="0" t="s">
        <v>12167</v>
      </c>
      <c r="E1783" s="0" t="s">
        <v>115</v>
      </c>
    </row>
    <row r="1784" customFormat="false" ht="15" hidden="false" customHeight="false" outlineLevel="0" collapsed="false">
      <c r="A1784" s="0" t="n">
        <v>597</v>
      </c>
      <c r="B1784" s="0" t="s">
        <v>4069</v>
      </c>
      <c r="C1784" s="0" t="s">
        <v>4079</v>
      </c>
      <c r="D1784" s="0" t="s">
        <v>12168</v>
      </c>
      <c r="E1784" s="0" t="s">
        <v>115</v>
      </c>
    </row>
    <row r="1785" customFormat="false" ht="15" hidden="false" customHeight="false" outlineLevel="0" collapsed="false">
      <c r="A1785" s="0" t="n">
        <v>597</v>
      </c>
      <c r="B1785" s="0" t="s">
        <v>4069</v>
      </c>
      <c r="C1785" s="0" t="s">
        <v>4080</v>
      </c>
      <c r="D1785" s="0" t="s">
        <v>12169</v>
      </c>
      <c r="E1785" s="0" t="s">
        <v>115</v>
      </c>
    </row>
    <row r="1786" customFormat="false" ht="15" hidden="false" customHeight="false" outlineLevel="0" collapsed="false">
      <c r="A1786" s="0" t="n">
        <v>598</v>
      </c>
      <c r="B1786" s="0" t="s">
        <v>4089</v>
      </c>
      <c r="C1786" s="0" t="s">
        <v>4091</v>
      </c>
      <c r="E1786" s="0" t="s">
        <v>59</v>
      </c>
      <c r="F1786" s="0" t="s">
        <v>12170</v>
      </c>
    </row>
    <row r="1787" customFormat="false" ht="15" hidden="false" customHeight="false" outlineLevel="0" collapsed="false">
      <c r="A1787" s="0" t="n">
        <v>598</v>
      </c>
      <c r="B1787" s="0" t="s">
        <v>4089</v>
      </c>
      <c r="C1787" s="0" t="s">
        <v>4092</v>
      </c>
      <c r="E1787" s="0" t="s">
        <v>59</v>
      </c>
      <c r="F1787" s="0" t="s">
        <v>12171</v>
      </c>
    </row>
    <row r="1788" customFormat="false" ht="15" hidden="false" customHeight="false" outlineLevel="0" collapsed="false">
      <c r="A1788" s="0" t="n">
        <v>598</v>
      </c>
      <c r="B1788" s="0" t="s">
        <v>4089</v>
      </c>
      <c r="C1788" s="0" t="s">
        <v>4093</v>
      </c>
      <c r="E1788" s="0" t="s">
        <v>59</v>
      </c>
      <c r="F1788" s="0" t="s">
        <v>12172</v>
      </c>
    </row>
    <row r="1789" customFormat="false" ht="15" hidden="false" customHeight="false" outlineLevel="0" collapsed="false">
      <c r="A1789" s="0" t="n">
        <v>598</v>
      </c>
      <c r="B1789" s="0" t="s">
        <v>4089</v>
      </c>
      <c r="C1789" s="0" t="s">
        <v>12173</v>
      </c>
      <c r="E1789" s="0" t="s">
        <v>59</v>
      </c>
      <c r="F1789" s="0" t="s">
        <v>12174</v>
      </c>
    </row>
    <row r="1790" customFormat="false" ht="15" hidden="false" customHeight="false" outlineLevel="0" collapsed="false">
      <c r="A1790" s="0" t="n">
        <v>598</v>
      </c>
      <c r="B1790" s="0" t="s">
        <v>4089</v>
      </c>
      <c r="C1790" s="0" t="s">
        <v>12175</v>
      </c>
      <c r="E1790" s="0" t="s">
        <v>59</v>
      </c>
      <c r="F1790" s="0" t="s">
        <v>12176</v>
      </c>
    </row>
    <row r="1791" customFormat="false" ht="15" hidden="false" customHeight="false" outlineLevel="0" collapsed="false">
      <c r="A1791" s="0" t="n">
        <v>602</v>
      </c>
      <c r="B1791" s="0" t="s">
        <v>4112</v>
      </c>
      <c r="C1791" s="0" t="s">
        <v>4115</v>
      </c>
      <c r="E1791" s="0" t="s">
        <v>79</v>
      </c>
      <c r="F1791" s="0" t="s">
        <v>12177</v>
      </c>
    </row>
    <row r="1792" customFormat="false" ht="15" hidden="false" customHeight="false" outlineLevel="0" collapsed="false">
      <c r="A1792" s="0" t="n">
        <v>602</v>
      </c>
      <c r="B1792" s="0" t="s">
        <v>4112</v>
      </c>
      <c r="C1792" s="0" t="s">
        <v>4116</v>
      </c>
      <c r="E1792" s="0" t="s">
        <v>79</v>
      </c>
      <c r="F1792" s="0" t="s">
        <v>12178</v>
      </c>
    </row>
    <row r="1793" customFormat="false" ht="15" hidden="false" customHeight="false" outlineLevel="0" collapsed="false">
      <c r="A1793" s="0" t="n">
        <v>602</v>
      </c>
      <c r="B1793" s="0" t="s">
        <v>4112</v>
      </c>
      <c r="C1793" s="0" t="s">
        <v>4117</v>
      </c>
      <c r="E1793" s="0" t="s">
        <v>79</v>
      </c>
      <c r="F1793" s="0" t="s">
        <v>12179</v>
      </c>
    </row>
    <row r="1794" customFormat="false" ht="15" hidden="false" customHeight="false" outlineLevel="0" collapsed="false">
      <c r="A1794" s="0" t="n">
        <v>602</v>
      </c>
      <c r="B1794" s="0" t="s">
        <v>4112</v>
      </c>
      <c r="C1794" s="0" t="s">
        <v>12180</v>
      </c>
      <c r="E1794" s="0" t="s">
        <v>79</v>
      </c>
      <c r="F1794" s="0" t="s">
        <v>12181</v>
      </c>
    </row>
    <row r="1795" customFormat="false" ht="15" hidden="false" customHeight="false" outlineLevel="0" collapsed="false">
      <c r="A1795" s="0" t="n">
        <v>603</v>
      </c>
      <c r="B1795" s="0" t="s">
        <v>4118</v>
      </c>
      <c r="C1795" s="0" t="s">
        <v>4124</v>
      </c>
      <c r="D1795" s="0" t="s">
        <v>12182</v>
      </c>
      <c r="E1795" s="0" t="s">
        <v>115</v>
      </c>
    </row>
    <row r="1796" customFormat="false" ht="15" hidden="false" customHeight="false" outlineLevel="0" collapsed="false">
      <c r="A1796" s="0" t="n">
        <v>603</v>
      </c>
      <c r="B1796" s="0" t="s">
        <v>4118</v>
      </c>
      <c r="C1796" s="0" t="s">
        <v>4125</v>
      </c>
      <c r="D1796" s="0" t="s">
        <v>12183</v>
      </c>
      <c r="E1796" s="0" t="s">
        <v>115</v>
      </c>
    </row>
    <row r="1797" customFormat="false" ht="15" hidden="false" customHeight="false" outlineLevel="0" collapsed="false">
      <c r="A1797" s="0" t="n">
        <v>603</v>
      </c>
      <c r="B1797" s="0" t="s">
        <v>4118</v>
      </c>
      <c r="C1797" s="0" t="s">
        <v>4126</v>
      </c>
      <c r="D1797" s="0" t="s">
        <v>12184</v>
      </c>
      <c r="E1797" s="0" t="s">
        <v>115</v>
      </c>
    </row>
    <row r="1798" customFormat="false" ht="15" hidden="false" customHeight="false" outlineLevel="0" collapsed="false">
      <c r="A1798" s="0" t="n">
        <v>604</v>
      </c>
      <c r="B1798" s="0" t="s">
        <v>4134</v>
      </c>
      <c r="C1798" s="0" t="s">
        <v>4124</v>
      </c>
      <c r="D1798" s="0" t="s">
        <v>12182</v>
      </c>
      <c r="E1798" s="0" t="s">
        <v>115</v>
      </c>
    </row>
    <row r="1799" customFormat="false" ht="15" hidden="false" customHeight="false" outlineLevel="0" collapsed="false">
      <c r="A1799" s="0" t="n">
        <v>604</v>
      </c>
      <c r="B1799" s="0" t="s">
        <v>4134</v>
      </c>
      <c r="C1799" s="0" t="s">
        <v>4125</v>
      </c>
      <c r="D1799" s="0" t="s">
        <v>12183</v>
      </c>
      <c r="E1799" s="0" t="s">
        <v>115</v>
      </c>
    </row>
    <row r="1800" customFormat="false" ht="15" hidden="false" customHeight="false" outlineLevel="0" collapsed="false">
      <c r="A1800" s="0" t="n">
        <v>604</v>
      </c>
      <c r="B1800" s="0" t="s">
        <v>4134</v>
      </c>
      <c r="C1800" s="0" t="s">
        <v>4126</v>
      </c>
      <c r="D1800" s="0" t="s">
        <v>12184</v>
      </c>
      <c r="E1800" s="0" t="s">
        <v>115</v>
      </c>
    </row>
    <row r="1801" customFormat="false" ht="15" hidden="false" customHeight="false" outlineLevel="0" collapsed="false">
      <c r="A1801" s="0" t="n">
        <v>605</v>
      </c>
      <c r="B1801" s="0" t="s">
        <v>4137</v>
      </c>
      <c r="C1801" s="0" t="s">
        <v>4139</v>
      </c>
      <c r="E1801" s="0" t="s">
        <v>79</v>
      </c>
      <c r="F1801" s="0" t="s">
        <v>12185</v>
      </c>
    </row>
    <row r="1802" customFormat="false" ht="15" hidden="false" customHeight="false" outlineLevel="0" collapsed="false">
      <c r="A1802" s="0" t="n">
        <v>605</v>
      </c>
      <c r="B1802" s="0" t="s">
        <v>4137</v>
      </c>
      <c r="C1802" s="0" t="s">
        <v>4140</v>
      </c>
      <c r="E1802" s="0" t="s">
        <v>79</v>
      </c>
      <c r="F1802" s="0" t="s">
        <v>12186</v>
      </c>
    </row>
    <row r="1803" customFormat="false" ht="15" hidden="false" customHeight="false" outlineLevel="0" collapsed="false">
      <c r="A1803" s="0" t="n">
        <v>605</v>
      </c>
      <c r="B1803" s="0" t="s">
        <v>4137</v>
      </c>
      <c r="C1803" s="0" t="s">
        <v>4141</v>
      </c>
      <c r="E1803" s="0" t="s">
        <v>79</v>
      </c>
      <c r="F1803" s="0" t="s">
        <v>12187</v>
      </c>
    </row>
    <row r="1804" customFormat="false" ht="15" hidden="false" customHeight="false" outlineLevel="0" collapsed="false">
      <c r="A1804" s="0" t="n">
        <v>605</v>
      </c>
      <c r="B1804" s="0" t="s">
        <v>4137</v>
      </c>
      <c r="C1804" s="0" t="s">
        <v>12188</v>
      </c>
      <c r="E1804" s="0" t="s">
        <v>79</v>
      </c>
      <c r="F1804" s="0" t="s">
        <v>12189</v>
      </c>
    </row>
    <row r="1805" customFormat="false" ht="15" hidden="false" customHeight="false" outlineLevel="0" collapsed="false">
      <c r="A1805" s="0" t="n">
        <v>605</v>
      </c>
      <c r="B1805" s="0" t="s">
        <v>4137</v>
      </c>
      <c r="C1805" s="0" t="s">
        <v>12190</v>
      </c>
      <c r="E1805" s="0" t="s">
        <v>79</v>
      </c>
      <c r="F1805" s="0" t="s">
        <v>12191</v>
      </c>
    </row>
    <row r="1806" customFormat="false" ht="15" hidden="false" customHeight="false" outlineLevel="0" collapsed="false">
      <c r="A1806" s="0" t="n">
        <v>606</v>
      </c>
      <c r="B1806" s="0" t="s">
        <v>4142</v>
      </c>
      <c r="C1806" s="0" t="s">
        <v>4145</v>
      </c>
      <c r="E1806" s="0" t="s">
        <v>79</v>
      </c>
      <c r="F1806" s="0" t="s">
        <v>12192</v>
      </c>
    </row>
    <row r="1807" customFormat="false" ht="15" hidden="false" customHeight="false" outlineLevel="0" collapsed="false">
      <c r="A1807" s="0" t="n">
        <v>606</v>
      </c>
      <c r="B1807" s="0" t="s">
        <v>4142</v>
      </c>
      <c r="C1807" s="0" t="s">
        <v>4146</v>
      </c>
      <c r="E1807" s="0" t="s">
        <v>79</v>
      </c>
      <c r="F1807" s="0" t="s">
        <v>12193</v>
      </c>
    </row>
    <row r="1808" customFormat="false" ht="15" hidden="false" customHeight="false" outlineLevel="0" collapsed="false">
      <c r="A1808" s="0" t="n">
        <v>606</v>
      </c>
      <c r="B1808" s="0" t="s">
        <v>4142</v>
      </c>
      <c r="C1808" s="0" t="s">
        <v>4147</v>
      </c>
      <c r="E1808" s="0" t="s">
        <v>79</v>
      </c>
      <c r="F1808" s="0" t="s">
        <v>12194</v>
      </c>
    </row>
    <row r="1809" customFormat="false" ht="15" hidden="false" customHeight="false" outlineLevel="0" collapsed="false">
      <c r="A1809" s="0" t="n">
        <v>606</v>
      </c>
      <c r="B1809" s="0" t="s">
        <v>4142</v>
      </c>
      <c r="C1809" s="0" t="s">
        <v>12195</v>
      </c>
      <c r="E1809" s="0" t="s">
        <v>79</v>
      </c>
      <c r="F1809" s="0" t="s">
        <v>12196</v>
      </c>
    </row>
    <row r="1810" customFormat="false" ht="15" hidden="false" customHeight="false" outlineLevel="0" collapsed="false">
      <c r="A1810" s="0" t="n">
        <v>606</v>
      </c>
      <c r="B1810" s="0" t="s">
        <v>4142</v>
      </c>
      <c r="C1810" s="0" t="s">
        <v>12197</v>
      </c>
      <c r="E1810" s="0" t="s">
        <v>79</v>
      </c>
      <c r="F1810" s="0" t="s">
        <v>12198</v>
      </c>
    </row>
    <row r="1811" customFormat="false" ht="15" hidden="false" customHeight="false" outlineLevel="0" collapsed="false">
      <c r="A1811" s="0" t="n">
        <v>608</v>
      </c>
      <c r="B1811" s="0" t="s">
        <v>4155</v>
      </c>
      <c r="C1811" s="0" t="s">
        <v>4158</v>
      </c>
      <c r="E1811" s="0" t="s">
        <v>79</v>
      </c>
      <c r="F1811" s="0" t="s">
        <v>12199</v>
      </c>
    </row>
    <row r="1812" customFormat="false" ht="15" hidden="false" customHeight="false" outlineLevel="0" collapsed="false">
      <c r="A1812" s="0" t="n">
        <v>608</v>
      </c>
      <c r="B1812" s="0" t="s">
        <v>4155</v>
      </c>
      <c r="C1812" s="0" t="s">
        <v>4159</v>
      </c>
      <c r="E1812" s="0" t="s">
        <v>79</v>
      </c>
      <c r="F1812" s="0" t="s">
        <v>12200</v>
      </c>
    </row>
    <row r="1813" customFormat="false" ht="15" hidden="false" customHeight="false" outlineLevel="0" collapsed="false">
      <c r="A1813" s="0" t="n">
        <v>608</v>
      </c>
      <c r="B1813" s="0" t="s">
        <v>4155</v>
      </c>
      <c r="C1813" s="0" t="s">
        <v>4160</v>
      </c>
      <c r="E1813" s="0" t="s">
        <v>79</v>
      </c>
      <c r="F1813" s="0" t="s">
        <v>12201</v>
      </c>
    </row>
    <row r="1814" customFormat="false" ht="15" hidden="false" customHeight="false" outlineLevel="0" collapsed="false">
      <c r="A1814" s="0" t="n">
        <v>608</v>
      </c>
      <c r="B1814" s="0" t="s">
        <v>4155</v>
      </c>
      <c r="C1814" s="0" t="s">
        <v>12202</v>
      </c>
      <c r="E1814" s="0" t="s">
        <v>79</v>
      </c>
      <c r="F1814" s="0" t="s">
        <v>12203</v>
      </c>
    </row>
    <row r="1815" customFormat="false" ht="15" hidden="false" customHeight="false" outlineLevel="0" collapsed="false">
      <c r="A1815" s="0" t="n">
        <v>608</v>
      </c>
      <c r="B1815" s="0" t="s">
        <v>4155</v>
      </c>
      <c r="C1815" s="0" t="s">
        <v>12204</v>
      </c>
      <c r="E1815" s="0" t="s">
        <v>79</v>
      </c>
      <c r="F1815" s="0" t="s">
        <v>12205</v>
      </c>
    </row>
    <row r="1816" customFormat="false" ht="15" hidden="false" customHeight="false" outlineLevel="0" collapsed="false">
      <c r="A1816" s="0" t="n">
        <v>609</v>
      </c>
      <c r="B1816" s="0" t="s">
        <v>4165</v>
      </c>
      <c r="C1816" s="0" t="s">
        <v>4169</v>
      </c>
      <c r="E1816" s="0" t="s">
        <v>79</v>
      </c>
      <c r="F1816" s="0" t="s">
        <v>12206</v>
      </c>
    </row>
    <row r="1817" customFormat="false" ht="15" hidden="false" customHeight="false" outlineLevel="0" collapsed="false">
      <c r="A1817" s="0" t="n">
        <v>609</v>
      </c>
      <c r="B1817" s="0" t="s">
        <v>4165</v>
      </c>
      <c r="C1817" s="0" t="s">
        <v>4170</v>
      </c>
      <c r="E1817" s="0" t="s">
        <v>79</v>
      </c>
      <c r="F1817" s="0" t="s">
        <v>12207</v>
      </c>
    </row>
    <row r="1818" customFormat="false" ht="15" hidden="false" customHeight="false" outlineLevel="0" collapsed="false">
      <c r="A1818" s="0" t="n">
        <v>609</v>
      </c>
      <c r="B1818" s="0" t="s">
        <v>4165</v>
      </c>
      <c r="C1818" s="0" t="s">
        <v>4171</v>
      </c>
      <c r="E1818" s="0" t="s">
        <v>79</v>
      </c>
      <c r="F1818" s="0" t="s">
        <v>12208</v>
      </c>
    </row>
    <row r="1819" customFormat="false" ht="15" hidden="false" customHeight="false" outlineLevel="0" collapsed="false">
      <c r="A1819" s="0" t="n">
        <v>609</v>
      </c>
      <c r="B1819" s="0" t="s">
        <v>4165</v>
      </c>
      <c r="C1819" s="0" t="s">
        <v>12209</v>
      </c>
      <c r="E1819" s="0" t="s">
        <v>79</v>
      </c>
      <c r="F1819" s="0" t="s">
        <v>12210</v>
      </c>
    </row>
    <row r="1820" customFormat="false" ht="15" hidden="false" customHeight="false" outlineLevel="0" collapsed="false">
      <c r="A1820" s="0" t="n">
        <v>609</v>
      </c>
      <c r="B1820" s="0" t="s">
        <v>4165</v>
      </c>
      <c r="C1820" s="0" t="s">
        <v>12211</v>
      </c>
      <c r="E1820" s="0" t="s">
        <v>79</v>
      </c>
      <c r="F1820" s="0" t="s">
        <v>12212</v>
      </c>
    </row>
    <row r="1821" customFormat="false" ht="15" hidden="false" customHeight="false" outlineLevel="0" collapsed="false">
      <c r="A1821" s="0" t="n">
        <v>611</v>
      </c>
      <c r="B1821" s="0" t="s">
        <v>4175</v>
      </c>
      <c r="C1821" s="0" t="s">
        <v>4179</v>
      </c>
      <c r="E1821" s="0" t="s">
        <v>79</v>
      </c>
      <c r="F1821" s="0" t="s">
        <v>12213</v>
      </c>
    </row>
    <row r="1822" customFormat="false" ht="15" hidden="false" customHeight="false" outlineLevel="0" collapsed="false">
      <c r="A1822" s="0" t="n">
        <v>611</v>
      </c>
      <c r="B1822" s="0" t="s">
        <v>4175</v>
      </c>
      <c r="C1822" s="0" t="s">
        <v>4180</v>
      </c>
      <c r="E1822" s="0" t="s">
        <v>79</v>
      </c>
      <c r="F1822" s="0" t="s">
        <v>12214</v>
      </c>
    </row>
    <row r="1823" customFormat="false" ht="15" hidden="false" customHeight="false" outlineLevel="0" collapsed="false">
      <c r="A1823" s="0" t="n">
        <v>611</v>
      </c>
      <c r="B1823" s="0" t="s">
        <v>4175</v>
      </c>
      <c r="C1823" s="0" t="s">
        <v>4181</v>
      </c>
      <c r="E1823" s="0" t="s">
        <v>59</v>
      </c>
      <c r="F1823" s="0" t="s">
        <v>12215</v>
      </c>
    </row>
    <row r="1824" customFormat="false" ht="15" hidden="false" customHeight="false" outlineLevel="0" collapsed="false">
      <c r="A1824" s="0" t="n">
        <v>611</v>
      </c>
      <c r="B1824" s="0" t="s">
        <v>4175</v>
      </c>
      <c r="C1824" s="0" t="s">
        <v>12216</v>
      </c>
      <c r="E1824" s="0" t="s">
        <v>59</v>
      </c>
      <c r="F1824" s="0" t="s">
        <v>12217</v>
      </c>
    </row>
    <row r="1825" customFormat="false" ht="15" hidden="false" customHeight="false" outlineLevel="0" collapsed="false">
      <c r="A1825" s="0" t="n">
        <v>611</v>
      </c>
      <c r="B1825" s="0" t="s">
        <v>4175</v>
      </c>
      <c r="C1825" s="0" t="s">
        <v>12218</v>
      </c>
      <c r="E1825" s="0" t="s">
        <v>59</v>
      </c>
      <c r="F1825" s="0" t="s">
        <v>12219</v>
      </c>
    </row>
    <row r="1826" customFormat="false" ht="15" hidden="false" customHeight="false" outlineLevel="0" collapsed="false">
      <c r="A1826" s="0" t="n">
        <v>612</v>
      </c>
      <c r="B1826" s="0" t="s">
        <v>4184</v>
      </c>
      <c r="C1826" s="0" t="s">
        <v>4187</v>
      </c>
      <c r="E1826" s="0" t="s">
        <v>79</v>
      </c>
      <c r="F1826" s="0" t="s">
        <v>12220</v>
      </c>
    </row>
    <row r="1827" customFormat="false" ht="15" hidden="false" customHeight="false" outlineLevel="0" collapsed="false">
      <c r="A1827" s="0" t="n">
        <v>612</v>
      </c>
      <c r="B1827" s="0" t="s">
        <v>4184</v>
      </c>
      <c r="C1827" s="0" t="s">
        <v>4188</v>
      </c>
      <c r="E1827" s="0" t="s">
        <v>79</v>
      </c>
      <c r="F1827" s="0" t="s">
        <v>12221</v>
      </c>
    </row>
    <row r="1828" customFormat="false" ht="15" hidden="false" customHeight="false" outlineLevel="0" collapsed="false">
      <c r="A1828" s="0" t="n">
        <v>612</v>
      </c>
      <c r="B1828" s="0" t="s">
        <v>4184</v>
      </c>
      <c r="C1828" s="0" t="s">
        <v>4189</v>
      </c>
      <c r="E1828" s="0" t="s">
        <v>79</v>
      </c>
      <c r="F1828" s="0" t="s">
        <v>12222</v>
      </c>
    </row>
    <row r="1829" customFormat="false" ht="15" hidden="false" customHeight="false" outlineLevel="0" collapsed="false">
      <c r="A1829" s="0" t="n">
        <v>612</v>
      </c>
      <c r="B1829" s="0" t="s">
        <v>4184</v>
      </c>
      <c r="C1829" s="0" t="s">
        <v>12223</v>
      </c>
      <c r="E1829" s="0" t="s">
        <v>79</v>
      </c>
      <c r="F1829" s="0" t="s">
        <v>12224</v>
      </c>
    </row>
    <row r="1830" customFormat="false" ht="15" hidden="false" customHeight="false" outlineLevel="0" collapsed="false">
      <c r="A1830" s="0" t="n">
        <v>612</v>
      </c>
      <c r="B1830" s="0" t="s">
        <v>4184</v>
      </c>
      <c r="C1830" s="0" t="s">
        <v>12225</v>
      </c>
      <c r="E1830" s="0" t="s">
        <v>79</v>
      </c>
      <c r="F1830" s="0" t="s">
        <v>12226</v>
      </c>
    </row>
    <row r="1831" customFormat="false" ht="15" hidden="false" customHeight="false" outlineLevel="0" collapsed="false">
      <c r="A1831" s="0" t="n">
        <v>613</v>
      </c>
      <c r="B1831" s="0" t="s">
        <v>4195</v>
      </c>
      <c r="C1831" s="0" t="s">
        <v>4199</v>
      </c>
      <c r="E1831" s="0" t="s">
        <v>79</v>
      </c>
      <c r="F1831" s="0" t="s">
        <v>12227</v>
      </c>
    </row>
    <row r="1832" customFormat="false" ht="15" hidden="false" customHeight="false" outlineLevel="0" collapsed="false">
      <c r="A1832" s="0" t="n">
        <v>613</v>
      </c>
      <c r="B1832" s="0" t="s">
        <v>4195</v>
      </c>
      <c r="C1832" s="0" t="s">
        <v>4200</v>
      </c>
      <c r="E1832" s="0" t="s">
        <v>79</v>
      </c>
      <c r="F1832" s="0" t="s">
        <v>12228</v>
      </c>
    </row>
    <row r="1833" customFormat="false" ht="15" hidden="false" customHeight="false" outlineLevel="0" collapsed="false">
      <c r="A1833" s="0" t="n">
        <v>613</v>
      </c>
      <c r="B1833" s="0" t="s">
        <v>4195</v>
      </c>
      <c r="C1833" s="0" t="s">
        <v>4201</v>
      </c>
      <c r="E1833" s="0" t="s">
        <v>79</v>
      </c>
      <c r="F1833" s="0" t="s">
        <v>12229</v>
      </c>
    </row>
    <row r="1834" customFormat="false" ht="15" hidden="false" customHeight="false" outlineLevel="0" collapsed="false">
      <c r="A1834" s="0" t="n">
        <v>613</v>
      </c>
      <c r="B1834" s="0" t="s">
        <v>4195</v>
      </c>
      <c r="C1834" s="0" t="s">
        <v>12230</v>
      </c>
      <c r="E1834" s="0" t="s">
        <v>79</v>
      </c>
      <c r="F1834" s="0" t="s">
        <v>12231</v>
      </c>
    </row>
    <row r="1835" customFormat="false" ht="15" hidden="false" customHeight="false" outlineLevel="0" collapsed="false">
      <c r="A1835" s="0" t="n">
        <v>613</v>
      </c>
      <c r="B1835" s="0" t="s">
        <v>4195</v>
      </c>
      <c r="C1835" s="0" t="s">
        <v>12232</v>
      </c>
      <c r="E1835" s="0" t="s">
        <v>79</v>
      </c>
      <c r="F1835" s="0" t="s">
        <v>12233</v>
      </c>
    </row>
    <row r="1836" customFormat="false" ht="15" hidden="false" customHeight="false" outlineLevel="0" collapsed="false">
      <c r="A1836" s="0" t="n">
        <v>614</v>
      </c>
      <c r="B1836" s="0" t="s">
        <v>4205</v>
      </c>
      <c r="C1836" s="0" t="s">
        <v>4207</v>
      </c>
      <c r="E1836" s="0" t="s">
        <v>79</v>
      </c>
      <c r="F1836" s="0" t="s">
        <v>12234</v>
      </c>
    </row>
    <row r="1837" customFormat="false" ht="15" hidden="false" customHeight="false" outlineLevel="0" collapsed="false">
      <c r="A1837" s="0" t="n">
        <v>614</v>
      </c>
      <c r="B1837" s="0" t="s">
        <v>4205</v>
      </c>
      <c r="C1837" s="0" t="s">
        <v>4208</v>
      </c>
      <c r="E1837" s="0" t="s">
        <v>79</v>
      </c>
      <c r="F1837" s="0" t="s">
        <v>12235</v>
      </c>
    </row>
    <row r="1838" customFormat="false" ht="15" hidden="false" customHeight="false" outlineLevel="0" collapsed="false">
      <c r="A1838" s="0" t="n">
        <v>614</v>
      </c>
      <c r="B1838" s="0" t="s">
        <v>4205</v>
      </c>
      <c r="C1838" s="0" t="s">
        <v>4209</v>
      </c>
      <c r="E1838" s="0" t="s">
        <v>79</v>
      </c>
      <c r="F1838" s="0" t="s">
        <v>12236</v>
      </c>
    </row>
    <row r="1839" customFormat="false" ht="15" hidden="false" customHeight="false" outlineLevel="0" collapsed="false">
      <c r="A1839" s="0" t="n">
        <v>614</v>
      </c>
      <c r="B1839" s="0" t="s">
        <v>4205</v>
      </c>
      <c r="C1839" s="0" t="s">
        <v>12237</v>
      </c>
      <c r="E1839" s="0" t="s">
        <v>79</v>
      </c>
      <c r="F1839" s="0" t="s">
        <v>12238</v>
      </c>
    </row>
    <row r="1840" customFormat="false" ht="15" hidden="false" customHeight="false" outlineLevel="0" collapsed="false">
      <c r="A1840" s="0" t="n">
        <v>614</v>
      </c>
      <c r="B1840" s="0" t="s">
        <v>4205</v>
      </c>
      <c r="C1840" s="0" t="s">
        <v>12239</v>
      </c>
      <c r="E1840" s="0" t="s">
        <v>79</v>
      </c>
      <c r="F1840" s="0" t="s">
        <v>12240</v>
      </c>
    </row>
    <row r="1841" customFormat="false" ht="15" hidden="false" customHeight="false" outlineLevel="0" collapsed="false">
      <c r="A1841" s="0" t="n">
        <v>615</v>
      </c>
      <c r="B1841" s="0" t="s">
        <v>4210</v>
      </c>
      <c r="C1841" s="0" t="s">
        <v>4212</v>
      </c>
      <c r="E1841" s="0" t="s">
        <v>79</v>
      </c>
      <c r="F1841" s="0" t="s">
        <v>12241</v>
      </c>
    </row>
    <row r="1842" customFormat="false" ht="15" hidden="false" customHeight="false" outlineLevel="0" collapsed="false">
      <c r="A1842" s="0" t="n">
        <v>615</v>
      </c>
      <c r="B1842" s="0" t="s">
        <v>4210</v>
      </c>
      <c r="C1842" s="0" t="s">
        <v>4213</v>
      </c>
      <c r="E1842" s="0" t="s">
        <v>79</v>
      </c>
      <c r="F1842" s="0" t="s">
        <v>12242</v>
      </c>
    </row>
    <row r="1843" customFormat="false" ht="15" hidden="false" customHeight="false" outlineLevel="0" collapsed="false">
      <c r="A1843" s="0" t="n">
        <v>615</v>
      </c>
      <c r="B1843" s="0" t="s">
        <v>4210</v>
      </c>
      <c r="C1843" s="0" t="s">
        <v>4214</v>
      </c>
      <c r="E1843" s="0" t="s">
        <v>79</v>
      </c>
      <c r="F1843" s="0" t="s">
        <v>12243</v>
      </c>
    </row>
    <row r="1844" customFormat="false" ht="15" hidden="false" customHeight="false" outlineLevel="0" collapsed="false">
      <c r="A1844" s="0" t="n">
        <v>615</v>
      </c>
      <c r="B1844" s="0" t="s">
        <v>4210</v>
      </c>
      <c r="C1844" s="0" t="s">
        <v>12244</v>
      </c>
      <c r="E1844" s="0" t="s">
        <v>79</v>
      </c>
      <c r="F1844" s="0" t="s">
        <v>12245</v>
      </c>
    </row>
    <row r="1845" customFormat="false" ht="15" hidden="false" customHeight="false" outlineLevel="0" collapsed="false">
      <c r="A1845" s="0" t="n">
        <v>615</v>
      </c>
      <c r="B1845" s="0" t="s">
        <v>4210</v>
      </c>
      <c r="C1845" s="0" t="s">
        <v>12246</v>
      </c>
      <c r="E1845" s="0" t="s">
        <v>79</v>
      </c>
      <c r="F1845" s="0" t="s">
        <v>12247</v>
      </c>
    </row>
    <row r="1846" customFormat="false" ht="15" hidden="false" customHeight="false" outlineLevel="0" collapsed="false">
      <c r="A1846" s="0" t="n">
        <v>616</v>
      </c>
      <c r="B1846" s="0" t="s">
        <v>4215</v>
      </c>
      <c r="C1846" s="0" t="s">
        <v>4217</v>
      </c>
      <c r="E1846" s="0" t="s">
        <v>79</v>
      </c>
      <c r="F1846" s="0" t="s">
        <v>12248</v>
      </c>
    </row>
    <row r="1847" customFormat="false" ht="15" hidden="false" customHeight="false" outlineLevel="0" collapsed="false">
      <c r="A1847" s="0" t="n">
        <v>616</v>
      </c>
      <c r="B1847" s="0" t="s">
        <v>4215</v>
      </c>
      <c r="C1847" s="0" t="s">
        <v>4218</v>
      </c>
      <c r="E1847" s="0" t="s">
        <v>79</v>
      </c>
      <c r="F1847" s="0" t="s">
        <v>12249</v>
      </c>
    </row>
    <row r="1848" customFormat="false" ht="15" hidden="false" customHeight="false" outlineLevel="0" collapsed="false">
      <c r="A1848" s="0" t="n">
        <v>616</v>
      </c>
      <c r="B1848" s="0" t="s">
        <v>4215</v>
      </c>
      <c r="C1848" s="0" t="s">
        <v>4219</v>
      </c>
      <c r="E1848" s="0" t="s">
        <v>79</v>
      </c>
      <c r="F1848" s="0" t="s">
        <v>12250</v>
      </c>
    </row>
    <row r="1849" customFormat="false" ht="15" hidden="false" customHeight="false" outlineLevel="0" collapsed="false">
      <c r="A1849" s="0" t="n">
        <v>616</v>
      </c>
      <c r="B1849" s="0" t="s">
        <v>4215</v>
      </c>
      <c r="C1849" s="0" t="s">
        <v>12251</v>
      </c>
      <c r="E1849" s="0" t="s">
        <v>79</v>
      </c>
      <c r="F1849" s="0" t="s">
        <v>12252</v>
      </c>
    </row>
    <row r="1850" customFormat="false" ht="15" hidden="false" customHeight="false" outlineLevel="0" collapsed="false">
      <c r="A1850" s="0" t="n">
        <v>616</v>
      </c>
      <c r="B1850" s="0" t="s">
        <v>4215</v>
      </c>
      <c r="C1850" s="0" t="s">
        <v>12253</v>
      </c>
      <c r="E1850" s="0" t="s">
        <v>79</v>
      </c>
      <c r="F1850" s="0" t="s">
        <v>12254</v>
      </c>
    </row>
    <row r="1851" customFormat="false" ht="15" hidden="false" customHeight="false" outlineLevel="0" collapsed="false">
      <c r="A1851" s="0" t="n">
        <v>618</v>
      </c>
      <c r="B1851" s="0" t="s">
        <v>4221</v>
      </c>
      <c r="C1851" s="0" t="s">
        <v>4224</v>
      </c>
      <c r="E1851" s="0" t="s">
        <v>79</v>
      </c>
      <c r="F1851" s="0" t="s">
        <v>12255</v>
      </c>
    </row>
    <row r="1852" customFormat="false" ht="15" hidden="false" customHeight="false" outlineLevel="0" collapsed="false">
      <c r="A1852" s="0" t="n">
        <v>618</v>
      </c>
      <c r="B1852" s="0" t="s">
        <v>4221</v>
      </c>
      <c r="C1852" s="0" t="s">
        <v>4225</v>
      </c>
      <c r="E1852" s="0" t="s">
        <v>79</v>
      </c>
      <c r="F1852" s="0" t="s">
        <v>12256</v>
      </c>
    </row>
    <row r="1853" customFormat="false" ht="15" hidden="false" customHeight="false" outlineLevel="0" collapsed="false">
      <c r="A1853" s="0" t="n">
        <v>619</v>
      </c>
      <c r="B1853" s="0" t="s">
        <v>4229</v>
      </c>
      <c r="C1853" s="0" t="s">
        <v>4232</v>
      </c>
      <c r="E1853" s="0" t="s">
        <v>79</v>
      </c>
      <c r="F1853" s="0" t="s">
        <v>12257</v>
      </c>
    </row>
    <row r="1854" customFormat="false" ht="15" hidden="false" customHeight="false" outlineLevel="0" collapsed="false">
      <c r="A1854" s="0" t="n">
        <v>619</v>
      </c>
      <c r="B1854" s="0" t="s">
        <v>4229</v>
      </c>
      <c r="C1854" s="0" t="s">
        <v>4233</v>
      </c>
      <c r="E1854" s="0" t="s">
        <v>79</v>
      </c>
      <c r="F1854" s="0" t="s">
        <v>12258</v>
      </c>
    </row>
    <row r="1855" customFormat="false" ht="15" hidden="false" customHeight="false" outlineLevel="0" collapsed="false">
      <c r="A1855" s="0" t="n">
        <v>619</v>
      </c>
      <c r="B1855" s="0" t="s">
        <v>4229</v>
      </c>
      <c r="C1855" s="0" t="s">
        <v>4234</v>
      </c>
      <c r="E1855" s="0" t="s">
        <v>79</v>
      </c>
      <c r="F1855" s="0" t="s">
        <v>12259</v>
      </c>
    </row>
    <row r="1856" customFormat="false" ht="15" hidden="false" customHeight="false" outlineLevel="0" collapsed="false">
      <c r="A1856" s="0" t="n">
        <v>619</v>
      </c>
      <c r="B1856" s="0" t="s">
        <v>4229</v>
      </c>
      <c r="C1856" s="0" t="s">
        <v>12260</v>
      </c>
      <c r="E1856" s="0" t="s">
        <v>79</v>
      </c>
      <c r="F1856" s="0" t="s">
        <v>12261</v>
      </c>
    </row>
    <row r="1857" customFormat="false" ht="15" hidden="false" customHeight="false" outlineLevel="0" collapsed="false">
      <c r="A1857" s="0" t="n">
        <v>619</v>
      </c>
      <c r="B1857" s="0" t="s">
        <v>4229</v>
      </c>
      <c r="C1857" s="0" t="s">
        <v>12262</v>
      </c>
      <c r="E1857" s="0" t="s">
        <v>79</v>
      </c>
      <c r="F1857" s="0" t="s">
        <v>12263</v>
      </c>
    </row>
    <row r="1858" customFormat="false" ht="15" hidden="false" customHeight="false" outlineLevel="0" collapsed="false">
      <c r="A1858" s="0" t="n">
        <v>620</v>
      </c>
      <c r="B1858" s="0" t="s">
        <v>4237</v>
      </c>
      <c r="C1858" s="0" t="s">
        <v>4240</v>
      </c>
      <c r="E1858" s="0" t="s">
        <v>79</v>
      </c>
      <c r="F1858" s="0" t="s">
        <v>12264</v>
      </c>
    </row>
    <row r="1859" customFormat="false" ht="15" hidden="false" customHeight="false" outlineLevel="0" collapsed="false">
      <c r="A1859" s="0" t="n">
        <v>620</v>
      </c>
      <c r="B1859" s="0" t="s">
        <v>4237</v>
      </c>
      <c r="C1859" s="0" t="s">
        <v>4241</v>
      </c>
      <c r="E1859" s="0" t="s">
        <v>79</v>
      </c>
      <c r="F1859" s="0" t="s">
        <v>12265</v>
      </c>
    </row>
    <row r="1860" customFormat="false" ht="15" hidden="false" customHeight="false" outlineLevel="0" collapsed="false">
      <c r="A1860" s="0" t="n">
        <v>620</v>
      </c>
      <c r="B1860" s="0" t="s">
        <v>4237</v>
      </c>
      <c r="C1860" s="0" t="s">
        <v>4242</v>
      </c>
      <c r="E1860" s="0" t="s">
        <v>79</v>
      </c>
      <c r="F1860" s="0" t="s">
        <v>12266</v>
      </c>
    </row>
    <row r="1861" customFormat="false" ht="15" hidden="false" customHeight="false" outlineLevel="0" collapsed="false">
      <c r="A1861" s="0" t="n">
        <v>620</v>
      </c>
      <c r="B1861" s="0" t="s">
        <v>4237</v>
      </c>
      <c r="C1861" s="0" t="s">
        <v>12267</v>
      </c>
      <c r="E1861" s="0" t="s">
        <v>79</v>
      </c>
      <c r="F1861" s="0" t="s">
        <v>12268</v>
      </c>
    </row>
    <row r="1862" customFormat="false" ht="15" hidden="false" customHeight="false" outlineLevel="0" collapsed="false">
      <c r="A1862" s="0" t="n">
        <v>620</v>
      </c>
      <c r="B1862" s="0" t="s">
        <v>4237</v>
      </c>
      <c r="C1862" s="0" t="s">
        <v>12269</v>
      </c>
      <c r="E1862" s="0" t="s">
        <v>79</v>
      </c>
      <c r="F1862" s="0" t="s">
        <v>12270</v>
      </c>
    </row>
    <row r="1863" customFormat="false" ht="15" hidden="false" customHeight="false" outlineLevel="0" collapsed="false">
      <c r="A1863" s="0" t="n">
        <v>621</v>
      </c>
      <c r="B1863" s="0" t="s">
        <v>4243</v>
      </c>
      <c r="C1863" s="0" t="s">
        <v>4245</v>
      </c>
      <c r="E1863" s="0" t="s">
        <v>79</v>
      </c>
      <c r="F1863" s="0" t="s">
        <v>12271</v>
      </c>
    </row>
    <row r="1864" customFormat="false" ht="15" hidden="false" customHeight="false" outlineLevel="0" collapsed="false">
      <c r="A1864" s="0" t="n">
        <v>621</v>
      </c>
      <c r="B1864" s="0" t="s">
        <v>4243</v>
      </c>
      <c r="C1864" s="0" t="s">
        <v>4246</v>
      </c>
      <c r="E1864" s="0" t="s">
        <v>79</v>
      </c>
      <c r="F1864" s="0" t="s">
        <v>12272</v>
      </c>
    </row>
    <row r="1865" customFormat="false" ht="15" hidden="false" customHeight="false" outlineLevel="0" collapsed="false">
      <c r="A1865" s="0" t="n">
        <v>621</v>
      </c>
      <c r="B1865" s="0" t="s">
        <v>4243</v>
      </c>
      <c r="C1865" s="0" t="s">
        <v>4247</v>
      </c>
      <c r="E1865" s="0" t="s">
        <v>79</v>
      </c>
      <c r="F1865" s="0" t="s">
        <v>12273</v>
      </c>
    </row>
    <row r="1866" customFormat="false" ht="15" hidden="false" customHeight="false" outlineLevel="0" collapsed="false">
      <c r="A1866" s="0" t="n">
        <v>621</v>
      </c>
      <c r="B1866" s="0" t="s">
        <v>4243</v>
      </c>
      <c r="C1866" s="0" t="s">
        <v>12274</v>
      </c>
      <c r="E1866" s="0" t="s">
        <v>79</v>
      </c>
      <c r="F1866" s="0" t="s">
        <v>12275</v>
      </c>
    </row>
    <row r="1867" customFormat="false" ht="15" hidden="false" customHeight="false" outlineLevel="0" collapsed="false">
      <c r="A1867" s="0" t="n">
        <v>621</v>
      </c>
      <c r="B1867" s="0" t="s">
        <v>4243</v>
      </c>
      <c r="C1867" s="0" t="s">
        <v>12276</v>
      </c>
      <c r="E1867" s="0" t="s">
        <v>79</v>
      </c>
      <c r="F1867" s="0" t="s">
        <v>12277</v>
      </c>
    </row>
    <row r="1868" customFormat="false" ht="15" hidden="false" customHeight="false" outlineLevel="0" collapsed="false">
      <c r="A1868" s="0" t="n">
        <v>622</v>
      </c>
      <c r="B1868" s="0" t="s">
        <v>4248</v>
      </c>
      <c r="C1868" s="0" t="s">
        <v>4251</v>
      </c>
      <c r="E1868" s="0" t="s">
        <v>79</v>
      </c>
      <c r="F1868" s="0" t="s">
        <v>12278</v>
      </c>
    </row>
    <row r="1869" customFormat="false" ht="15" hidden="false" customHeight="false" outlineLevel="0" collapsed="false">
      <c r="A1869" s="0" t="n">
        <v>622</v>
      </c>
      <c r="B1869" s="0" t="s">
        <v>4248</v>
      </c>
      <c r="C1869" s="0" t="s">
        <v>4252</v>
      </c>
      <c r="E1869" s="0" t="s">
        <v>79</v>
      </c>
      <c r="F1869" s="0" t="s">
        <v>12279</v>
      </c>
    </row>
    <row r="1870" customFormat="false" ht="15" hidden="false" customHeight="false" outlineLevel="0" collapsed="false">
      <c r="A1870" s="0" t="n">
        <v>622</v>
      </c>
      <c r="B1870" s="0" t="s">
        <v>4248</v>
      </c>
      <c r="C1870" s="0" t="s">
        <v>4253</v>
      </c>
      <c r="E1870" s="0" t="s">
        <v>79</v>
      </c>
      <c r="F1870" s="0" t="s">
        <v>12280</v>
      </c>
    </row>
    <row r="1871" customFormat="false" ht="15" hidden="false" customHeight="false" outlineLevel="0" collapsed="false">
      <c r="A1871" s="0" t="n">
        <v>622</v>
      </c>
      <c r="B1871" s="0" t="s">
        <v>4248</v>
      </c>
      <c r="C1871" s="0" t="s">
        <v>12281</v>
      </c>
      <c r="E1871" s="0" t="s">
        <v>79</v>
      </c>
      <c r="F1871" s="0" t="s">
        <v>12282</v>
      </c>
    </row>
    <row r="1872" customFormat="false" ht="15" hidden="false" customHeight="false" outlineLevel="0" collapsed="false">
      <c r="A1872" s="0" t="n">
        <v>623</v>
      </c>
      <c r="B1872" s="0" t="s">
        <v>4254</v>
      </c>
      <c r="C1872" s="0" t="s">
        <v>4256</v>
      </c>
      <c r="E1872" s="0" t="s">
        <v>79</v>
      </c>
      <c r="F1872" s="0" t="s">
        <v>12283</v>
      </c>
    </row>
    <row r="1873" customFormat="false" ht="15" hidden="false" customHeight="false" outlineLevel="0" collapsed="false">
      <c r="A1873" s="0" t="n">
        <v>623</v>
      </c>
      <c r="B1873" s="0" t="s">
        <v>4254</v>
      </c>
      <c r="C1873" s="0" t="s">
        <v>4257</v>
      </c>
      <c r="E1873" s="0" t="s">
        <v>79</v>
      </c>
      <c r="F1873" s="0" t="s">
        <v>12284</v>
      </c>
    </row>
    <row r="1874" customFormat="false" ht="15" hidden="false" customHeight="false" outlineLevel="0" collapsed="false">
      <c r="A1874" s="0" t="n">
        <v>623</v>
      </c>
      <c r="B1874" s="0" t="s">
        <v>4254</v>
      </c>
      <c r="C1874" s="0" t="s">
        <v>4258</v>
      </c>
      <c r="E1874" s="0" t="s">
        <v>79</v>
      </c>
      <c r="F1874" s="0" t="s">
        <v>12285</v>
      </c>
    </row>
    <row r="1875" customFormat="false" ht="15" hidden="false" customHeight="false" outlineLevel="0" collapsed="false">
      <c r="A1875" s="0" t="n">
        <v>623</v>
      </c>
      <c r="B1875" s="0" t="s">
        <v>4254</v>
      </c>
      <c r="C1875" s="0" t="s">
        <v>12286</v>
      </c>
      <c r="E1875" s="0" t="s">
        <v>79</v>
      </c>
      <c r="F1875" s="0" t="s">
        <v>12287</v>
      </c>
    </row>
    <row r="1876" customFormat="false" ht="15" hidden="false" customHeight="false" outlineLevel="0" collapsed="false">
      <c r="A1876" s="0" t="n">
        <v>623</v>
      </c>
      <c r="B1876" s="0" t="s">
        <v>4254</v>
      </c>
      <c r="C1876" s="0" t="s">
        <v>12288</v>
      </c>
      <c r="E1876" s="0" t="s">
        <v>79</v>
      </c>
      <c r="F1876" s="0" t="s">
        <v>12289</v>
      </c>
    </row>
    <row r="1877" customFormat="false" ht="15" hidden="false" customHeight="false" outlineLevel="0" collapsed="false">
      <c r="A1877" s="0" t="n">
        <v>625</v>
      </c>
      <c r="B1877" s="0" t="s">
        <v>4265</v>
      </c>
      <c r="C1877" s="0" t="s">
        <v>4268</v>
      </c>
      <c r="E1877" s="0" t="s">
        <v>79</v>
      </c>
      <c r="F1877" s="0" t="s">
        <v>12290</v>
      </c>
    </row>
    <row r="1878" customFormat="false" ht="15" hidden="false" customHeight="false" outlineLevel="0" collapsed="false">
      <c r="A1878" s="0" t="n">
        <v>625</v>
      </c>
      <c r="B1878" s="0" t="s">
        <v>4265</v>
      </c>
      <c r="C1878" s="0" t="s">
        <v>4269</v>
      </c>
      <c r="E1878" s="0" t="s">
        <v>79</v>
      </c>
      <c r="F1878" s="0" t="s">
        <v>12291</v>
      </c>
    </row>
    <row r="1879" customFormat="false" ht="15" hidden="false" customHeight="false" outlineLevel="0" collapsed="false">
      <c r="A1879" s="0" t="n">
        <v>626</v>
      </c>
      <c r="B1879" s="0" t="s">
        <v>4270</v>
      </c>
      <c r="C1879" s="0" t="s">
        <v>4275</v>
      </c>
      <c r="D1879" s="0" t="s">
        <v>12292</v>
      </c>
      <c r="E1879" s="0" t="s">
        <v>115</v>
      </c>
    </row>
    <row r="1880" customFormat="false" ht="15" hidden="false" customHeight="false" outlineLevel="0" collapsed="false">
      <c r="A1880" s="0" t="n">
        <v>626</v>
      </c>
      <c r="B1880" s="0" t="s">
        <v>4270</v>
      </c>
      <c r="C1880" s="0" t="s">
        <v>4276</v>
      </c>
      <c r="D1880" s="0" t="s">
        <v>12293</v>
      </c>
      <c r="E1880" s="0" t="s">
        <v>115</v>
      </c>
    </row>
    <row r="1881" customFormat="false" ht="15" hidden="false" customHeight="false" outlineLevel="0" collapsed="false">
      <c r="A1881" s="0" t="n">
        <v>626</v>
      </c>
      <c r="B1881" s="0" t="s">
        <v>4270</v>
      </c>
      <c r="C1881" s="0" t="s">
        <v>4277</v>
      </c>
      <c r="D1881" s="0" t="s">
        <v>12294</v>
      </c>
      <c r="E1881" s="0" t="s">
        <v>115</v>
      </c>
    </row>
    <row r="1882" customFormat="false" ht="15" hidden="false" customHeight="false" outlineLevel="0" collapsed="false">
      <c r="A1882" s="0" t="n">
        <v>629</v>
      </c>
      <c r="B1882" s="0" t="s">
        <v>4295</v>
      </c>
      <c r="C1882" s="0" t="s">
        <v>4297</v>
      </c>
      <c r="E1882" s="0" t="s">
        <v>79</v>
      </c>
      <c r="F1882" s="0" t="s">
        <v>12295</v>
      </c>
    </row>
    <row r="1883" customFormat="false" ht="15" hidden="false" customHeight="false" outlineLevel="0" collapsed="false">
      <c r="A1883" s="0" t="n">
        <v>629</v>
      </c>
      <c r="B1883" s="0" t="s">
        <v>4295</v>
      </c>
      <c r="C1883" s="0" t="s">
        <v>4298</v>
      </c>
      <c r="E1883" s="0" t="s">
        <v>79</v>
      </c>
      <c r="F1883" s="0" t="s">
        <v>12296</v>
      </c>
    </row>
    <row r="1884" customFormat="false" ht="15" hidden="false" customHeight="false" outlineLevel="0" collapsed="false">
      <c r="A1884" s="0" t="n">
        <v>629</v>
      </c>
      <c r="B1884" s="0" t="s">
        <v>4295</v>
      </c>
      <c r="C1884" s="0" t="s">
        <v>4299</v>
      </c>
      <c r="E1884" s="0" t="s">
        <v>79</v>
      </c>
      <c r="F1884" s="0" t="s">
        <v>12297</v>
      </c>
    </row>
    <row r="1885" customFormat="false" ht="15" hidden="false" customHeight="false" outlineLevel="0" collapsed="false">
      <c r="A1885" s="0" t="n">
        <v>629</v>
      </c>
      <c r="B1885" s="0" t="s">
        <v>4295</v>
      </c>
      <c r="C1885" s="0" t="s">
        <v>12298</v>
      </c>
      <c r="E1885" s="0" t="s">
        <v>79</v>
      </c>
      <c r="F1885" s="0" t="s">
        <v>12299</v>
      </c>
    </row>
    <row r="1886" customFormat="false" ht="15" hidden="false" customHeight="false" outlineLevel="0" collapsed="false">
      <c r="A1886" s="0" t="n">
        <v>629</v>
      </c>
      <c r="B1886" s="0" t="s">
        <v>4295</v>
      </c>
      <c r="C1886" s="0" t="s">
        <v>12300</v>
      </c>
      <c r="E1886" s="0" t="s">
        <v>79</v>
      </c>
      <c r="F1886" s="0" t="s">
        <v>12301</v>
      </c>
    </row>
    <row r="1887" customFormat="false" ht="15" hidden="false" customHeight="false" outlineLevel="0" collapsed="false">
      <c r="A1887" s="0" t="n">
        <v>633</v>
      </c>
      <c r="B1887" s="0" t="s">
        <v>4311</v>
      </c>
      <c r="C1887" s="0" t="s">
        <v>4313</v>
      </c>
      <c r="E1887" s="0" t="s">
        <v>79</v>
      </c>
      <c r="F1887" s="0" t="s">
        <v>12302</v>
      </c>
    </row>
    <row r="1888" customFormat="false" ht="15" hidden="false" customHeight="false" outlineLevel="0" collapsed="false">
      <c r="A1888" s="0" t="n">
        <v>633</v>
      </c>
      <c r="B1888" s="0" t="s">
        <v>4311</v>
      </c>
      <c r="C1888" s="0" t="s">
        <v>4314</v>
      </c>
      <c r="E1888" s="0" t="s">
        <v>79</v>
      </c>
      <c r="F1888" s="0" t="s">
        <v>12303</v>
      </c>
    </row>
    <row r="1889" customFormat="false" ht="15" hidden="false" customHeight="false" outlineLevel="0" collapsed="false">
      <c r="A1889" s="0" t="n">
        <v>633</v>
      </c>
      <c r="B1889" s="0" t="s">
        <v>4311</v>
      </c>
      <c r="C1889" s="0" t="s">
        <v>4315</v>
      </c>
      <c r="E1889" s="0" t="s">
        <v>79</v>
      </c>
      <c r="F1889" s="0" t="s">
        <v>12304</v>
      </c>
    </row>
    <row r="1890" customFormat="false" ht="15" hidden="false" customHeight="false" outlineLevel="0" collapsed="false">
      <c r="A1890" s="0" t="n">
        <v>640</v>
      </c>
      <c r="B1890" s="0" t="s">
        <v>4338</v>
      </c>
      <c r="C1890" s="0" t="s">
        <v>4341</v>
      </c>
      <c r="E1890" s="0" t="s">
        <v>79</v>
      </c>
      <c r="F1890" s="0" t="s">
        <v>12305</v>
      </c>
    </row>
    <row r="1891" customFormat="false" ht="15" hidden="false" customHeight="false" outlineLevel="0" collapsed="false">
      <c r="A1891" s="0" t="n">
        <v>640</v>
      </c>
      <c r="B1891" s="0" t="s">
        <v>4338</v>
      </c>
      <c r="C1891" s="0" t="s">
        <v>1592</v>
      </c>
      <c r="E1891" s="0" t="s">
        <v>79</v>
      </c>
      <c r="F1891" s="0" t="s">
        <v>12306</v>
      </c>
    </row>
    <row r="1892" customFormat="false" ht="15" hidden="false" customHeight="false" outlineLevel="0" collapsed="false">
      <c r="A1892" s="0" t="n">
        <v>640</v>
      </c>
      <c r="B1892" s="0" t="s">
        <v>4338</v>
      </c>
      <c r="C1892" s="0" t="s">
        <v>4342</v>
      </c>
      <c r="E1892" s="0" t="s">
        <v>79</v>
      </c>
      <c r="F1892" s="0" t="s">
        <v>12307</v>
      </c>
    </row>
    <row r="1893" customFormat="false" ht="15" hidden="false" customHeight="false" outlineLevel="0" collapsed="false">
      <c r="A1893" s="0" t="n">
        <v>640</v>
      </c>
      <c r="B1893" s="0" t="s">
        <v>4338</v>
      </c>
      <c r="C1893" s="0" t="s">
        <v>12308</v>
      </c>
      <c r="E1893" s="0" t="s">
        <v>79</v>
      </c>
      <c r="F1893" s="0" t="s">
        <v>12309</v>
      </c>
    </row>
    <row r="1894" customFormat="false" ht="15" hidden="false" customHeight="false" outlineLevel="0" collapsed="false">
      <c r="A1894" s="0" t="n">
        <v>640</v>
      </c>
      <c r="B1894" s="0" t="s">
        <v>4338</v>
      </c>
      <c r="C1894" s="0" t="s">
        <v>12310</v>
      </c>
      <c r="E1894" s="0" t="s">
        <v>79</v>
      </c>
      <c r="F1894" s="0" t="s">
        <v>12311</v>
      </c>
    </row>
    <row r="1895" customFormat="false" ht="15" hidden="false" customHeight="false" outlineLevel="0" collapsed="false">
      <c r="A1895" s="0" t="n">
        <v>642</v>
      </c>
      <c r="B1895" s="0" t="s">
        <v>4354</v>
      </c>
      <c r="C1895" s="0" t="s">
        <v>4357</v>
      </c>
      <c r="E1895" s="0" t="s">
        <v>79</v>
      </c>
      <c r="F1895" s="0" t="s">
        <v>12312</v>
      </c>
    </row>
    <row r="1896" customFormat="false" ht="15" hidden="false" customHeight="false" outlineLevel="0" collapsed="false">
      <c r="A1896" s="0" t="n">
        <v>642</v>
      </c>
      <c r="B1896" s="0" t="s">
        <v>4354</v>
      </c>
      <c r="C1896" s="0" t="s">
        <v>4358</v>
      </c>
      <c r="E1896" s="0" t="s">
        <v>79</v>
      </c>
      <c r="F1896" s="0" t="s">
        <v>12313</v>
      </c>
    </row>
    <row r="1897" customFormat="false" ht="15" hidden="false" customHeight="false" outlineLevel="0" collapsed="false">
      <c r="A1897" s="0" t="n">
        <v>642</v>
      </c>
      <c r="B1897" s="0" t="s">
        <v>4354</v>
      </c>
      <c r="C1897" s="0" t="s">
        <v>4359</v>
      </c>
      <c r="E1897" s="0" t="s">
        <v>79</v>
      </c>
      <c r="F1897" s="0" t="s">
        <v>12314</v>
      </c>
    </row>
    <row r="1898" customFormat="false" ht="15" hidden="false" customHeight="false" outlineLevel="0" collapsed="false">
      <c r="A1898" s="0" t="n">
        <v>642</v>
      </c>
      <c r="B1898" s="0" t="s">
        <v>4354</v>
      </c>
      <c r="C1898" s="0" t="s">
        <v>12315</v>
      </c>
      <c r="E1898" s="0" t="s">
        <v>79</v>
      </c>
      <c r="F1898" s="0" t="s">
        <v>12316</v>
      </c>
    </row>
    <row r="1899" customFormat="false" ht="15" hidden="false" customHeight="false" outlineLevel="0" collapsed="false">
      <c r="A1899" s="0" t="n">
        <v>642</v>
      </c>
      <c r="B1899" s="0" t="s">
        <v>4354</v>
      </c>
      <c r="C1899" s="0" t="s">
        <v>12317</v>
      </c>
      <c r="E1899" s="0" t="s">
        <v>79</v>
      </c>
      <c r="F1899" s="0" t="s">
        <v>12318</v>
      </c>
    </row>
    <row r="1900" customFormat="false" ht="15" hidden="false" customHeight="false" outlineLevel="0" collapsed="false">
      <c r="A1900" s="0" t="n">
        <v>643</v>
      </c>
      <c r="B1900" s="0" t="s">
        <v>4363</v>
      </c>
      <c r="C1900" s="0" t="s">
        <v>4366</v>
      </c>
      <c r="E1900" s="0" t="s">
        <v>79</v>
      </c>
      <c r="F1900" s="0" t="s">
        <v>12319</v>
      </c>
    </row>
    <row r="1901" customFormat="false" ht="15" hidden="false" customHeight="false" outlineLevel="0" collapsed="false">
      <c r="A1901" s="0" t="n">
        <v>643</v>
      </c>
      <c r="B1901" s="0" t="s">
        <v>4363</v>
      </c>
      <c r="C1901" s="0" t="s">
        <v>4367</v>
      </c>
      <c r="E1901" s="0" t="s">
        <v>79</v>
      </c>
      <c r="F1901" s="0" t="s">
        <v>12320</v>
      </c>
    </row>
    <row r="1902" customFormat="false" ht="15" hidden="false" customHeight="false" outlineLevel="0" collapsed="false">
      <c r="A1902" s="0" t="n">
        <v>643</v>
      </c>
      <c r="B1902" s="0" t="s">
        <v>4363</v>
      </c>
      <c r="C1902" s="0" t="s">
        <v>4368</v>
      </c>
      <c r="E1902" s="0" t="s">
        <v>79</v>
      </c>
      <c r="F1902" s="0" t="s">
        <v>12321</v>
      </c>
    </row>
    <row r="1903" customFormat="false" ht="15" hidden="false" customHeight="false" outlineLevel="0" collapsed="false">
      <c r="A1903" s="0" t="n">
        <v>643</v>
      </c>
      <c r="B1903" s="0" t="s">
        <v>4363</v>
      </c>
      <c r="C1903" s="0" t="s">
        <v>12322</v>
      </c>
      <c r="E1903" s="0" t="s">
        <v>79</v>
      </c>
      <c r="F1903" s="0" t="s">
        <v>12323</v>
      </c>
    </row>
    <row r="1904" customFormat="false" ht="15" hidden="false" customHeight="false" outlineLevel="0" collapsed="false">
      <c r="A1904" s="0" t="n">
        <v>643</v>
      </c>
      <c r="B1904" s="0" t="s">
        <v>4363</v>
      </c>
      <c r="C1904" s="0" t="s">
        <v>12324</v>
      </c>
      <c r="E1904" s="0" t="s">
        <v>79</v>
      </c>
      <c r="F1904" s="0" t="s">
        <v>12325</v>
      </c>
    </row>
    <row r="1905" customFormat="false" ht="15" hidden="false" customHeight="false" outlineLevel="0" collapsed="false">
      <c r="A1905" s="0" t="n">
        <v>644</v>
      </c>
      <c r="B1905" s="0" t="s">
        <v>4369</v>
      </c>
      <c r="C1905" s="0" t="s">
        <v>4372</v>
      </c>
      <c r="E1905" s="0" t="s">
        <v>79</v>
      </c>
      <c r="F1905" s="0" t="s">
        <v>12326</v>
      </c>
    </row>
    <row r="1906" customFormat="false" ht="15" hidden="false" customHeight="false" outlineLevel="0" collapsed="false">
      <c r="A1906" s="0" t="n">
        <v>644</v>
      </c>
      <c r="B1906" s="0" t="s">
        <v>4369</v>
      </c>
      <c r="C1906" s="0" t="s">
        <v>4373</v>
      </c>
      <c r="E1906" s="0" t="s">
        <v>79</v>
      </c>
      <c r="F1906" s="0" t="s">
        <v>12327</v>
      </c>
    </row>
    <row r="1907" customFormat="false" ht="15" hidden="false" customHeight="false" outlineLevel="0" collapsed="false">
      <c r="A1907" s="0" t="n">
        <v>644</v>
      </c>
      <c r="B1907" s="0" t="s">
        <v>4369</v>
      </c>
      <c r="C1907" s="0" t="s">
        <v>4374</v>
      </c>
      <c r="E1907" s="0" t="s">
        <v>79</v>
      </c>
      <c r="F1907" s="0" t="s">
        <v>12328</v>
      </c>
    </row>
    <row r="1908" customFormat="false" ht="15" hidden="false" customHeight="false" outlineLevel="0" collapsed="false">
      <c r="A1908" s="0" t="n">
        <v>644</v>
      </c>
      <c r="B1908" s="0" t="s">
        <v>4369</v>
      </c>
      <c r="C1908" s="0" t="s">
        <v>12329</v>
      </c>
      <c r="E1908" s="0" t="s">
        <v>79</v>
      </c>
      <c r="F1908" s="0" t="s">
        <v>12330</v>
      </c>
    </row>
    <row r="1909" customFormat="false" ht="15" hidden="false" customHeight="false" outlineLevel="0" collapsed="false">
      <c r="A1909" s="0" t="n">
        <v>644</v>
      </c>
      <c r="B1909" s="0" t="s">
        <v>4369</v>
      </c>
      <c r="C1909" s="0" t="s">
        <v>12331</v>
      </c>
      <c r="E1909" s="0" t="s">
        <v>79</v>
      </c>
      <c r="F1909" s="0" t="s">
        <v>12332</v>
      </c>
    </row>
    <row r="1910" customFormat="false" ht="15" hidden="false" customHeight="false" outlineLevel="0" collapsed="false">
      <c r="A1910" s="0" t="n">
        <v>645</v>
      </c>
      <c r="B1910" s="0" t="s">
        <v>4375</v>
      </c>
      <c r="C1910" s="0" t="s">
        <v>4378</v>
      </c>
      <c r="E1910" s="0" t="s">
        <v>79</v>
      </c>
      <c r="F1910" s="0" t="s">
        <v>12333</v>
      </c>
    </row>
    <row r="1911" customFormat="false" ht="15" hidden="false" customHeight="false" outlineLevel="0" collapsed="false">
      <c r="A1911" s="0" t="n">
        <v>645</v>
      </c>
      <c r="B1911" s="0" t="s">
        <v>4375</v>
      </c>
      <c r="C1911" s="0" t="s">
        <v>4379</v>
      </c>
      <c r="E1911" s="0" t="s">
        <v>79</v>
      </c>
      <c r="F1911" s="0" t="s">
        <v>12334</v>
      </c>
    </row>
    <row r="1912" customFormat="false" ht="15" hidden="false" customHeight="false" outlineLevel="0" collapsed="false">
      <c r="A1912" s="0" t="n">
        <v>645</v>
      </c>
      <c r="B1912" s="0" t="s">
        <v>4375</v>
      </c>
      <c r="C1912" s="0" t="s">
        <v>4380</v>
      </c>
      <c r="E1912" s="0" t="s">
        <v>79</v>
      </c>
      <c r="F1912" s="0" t="s">
        <v>12335</v>
      </c>
    </row>
    <row r="1913" customFormat="false" ht="15" hidden="false" customHeight="false" outlineLevel="0" collapsed="false">
      <c r="A1913" s="0" t="n">
        <v>645</v>
      </c>
      <c r="B1913" s="0" t="s">
        <v>4375</v>
      </c>
      <c r="C1913" s="0" t="s">
        <v>12336</v>
      </c>
      <c r="E1913" s="0" t="s">
        <v>79</v>
      </c>
      <c r="F1913" s="0" t="s">
        <v>12337</v>
      </c>
    </row>
    <row r="1914" customFormat="false" ht="15" hidden="false" customHeight="false" outlineLevel="0" collapsed="false">
      <c r="A1914" s="0" t="n">
        <v>645</v>
      </c>
      <c r="B1914" s="0" t="s">
        <v>4375</v>
      </c>
      <c r="C1914" s="0" t="s">
        <v>12338</v>
      </c>
      <c r="E1914" s="0" t="s">
        <v>79</v>
      </c>
      <c r="F1914" s="0" t="s">
        <v>12339</v>
      </c>
    </row>
    <row r="1915" customFormat="false" ht="15" hidden="false" customHeight="false" outlineLevel="0" collapsed="false">
      <c r="A1915" s="0" t="n">
        <v>647</v>
      </c>
      <c r="B1915" s="0" t="s">
        <v>4391</v>
      </c>
      <c r="C1915" s="0" t="s">
        <v>4396</v>
      </c>
      <c r="D1915" s="0" t="s">
        <v>12169</v>
      </c>
      <c r="E1915" s="0" t="s">
        <v>115</v>
      </c>
    </row>
    <row r="1916" customFormat="false" ht="15" hidden="false" customHeight="false" outlineLevel="0" collapsed="false">
      <c r="A1916" s="0" t="n">
        <v>647</v>
      </c>
      <c r="B1916" s="0" t="s">
        <v>4391</v>
      </c>
      <c r="C1916" s="0" t="s">
        <v>4397</v>
      </c>
      <c r="D1916" s="0" t="s">
        <v>12340</v>
      </c>
      <c r="E1916" s="0" t="s">
        <v>115</v>
      </c>
    </row>
    <row r="1917" customFormat="false" ht="15" hidden="false" customHeight="false" outlineLevel="0" collapsed="false">
      <c r="A1917" s="0" t="n">
        <v>647</v>
      </c>
      <c r="B1917" s="0" t="s">
        <v>4391</v>
      </c>
      <c r="C1917" s="0" t="s">
        <v>4398</v>
      </c>
      <c r="D1917" s="0" t="s">
        <v>12341</v>
      </c>
      <c r="E1917" s="0" t="s">
        <v>115</v>
      </c>
    </row>
    <row r="1918" customFormat="false" ht="15" hidden="false" customHeight="false" outlineLevel="0" collapsed="false">
      <c r="A1918" s="0" t="n">
        <v>648</v>
      </c>
      <c r="B1918" s="0" t="s">
        <v>4407</v>
      </c>
      <c r="C1918" s="0" t="s">
        <v>4396</v>
      </c>
      <c r="D1918" s="0" t="s">
        <v>12169</v>
      </c>
      <c r="E1918" s="0" t="s">
        <v>115</v>
      </c>
    </row>
    <row r="1919" customFormat="false" ht="15" hidden="false" customHeight="false" outlineLevel="0" collapsed="false">
      <c r="A1919" s="0" t="n">
        <v>648</v>
      </c>
      <c r="B1919" s="0" t="s">
        <v>4407</v>
      </c>
      <c r="C1919" s="0" t="s">
        <v>4397</v>
      </c>
      <c r="D1919" s="0" t="s">
        <v>12340</v>
      </c>
      <c r="E1919" s="0" t="s">
        <v>115</v>
      </c>
    </row>
    <row r="1920" customFormat="false" ht="15" hidden="false" customHeight="false" outlineLevel="0" collapsed="false">
      <c r="A1920" s="0" t="n">
        <v>648</v>
      </c>
      <c r="B1920" s="0" t="s">
        <v>4407</v>
      </c>
      <c r="C1920" s="0" t="s">
        <v>4398</v>
      </c>
      <c r="D1920" s="0" t="s">
        <v>12341</v>
      </c>
      <c r="E1920" s="0" t="s">
        <v>115</v>
      </c>
    </row>
    <row r="1921" customFormat="false" ht="15" hidden="false" customHeight="false" outlineLevel="0" collapsed="false">
      <c r="A1921" s="0" t="n">
        <v>649</v>
      </c>
      <c r="B1921" s="0" t="s">
        <v>4412</v>
      </c>
      <c r="C1921" s="0" t="s">
        <v>4415</v>
      </c>
      <c r="E1921" s="0" t="s">
        <v>79</v>
      </c>
      <c r="F1921" s="0" t="s">
        <v>12342</v>
      </c>
    </row>
    <row r="1922" customFormat="false" ht="15" hidden="false" customHeight="false" outlineLevel="0" collapsed="false">
      <c r="A1922" s="0" t="n">
        <v>649</v>
      </c>
      <c r="B1922" s="0" t="s">
        <v>4412</v>
      </c>
      <c r="C1922" s="0" t="s">
        <v>4416</v>
      </c>
      <c r="E1922" s="0" t="s">
        <v>79</v>
      </c>
      <c r="F1922" s="0" t="s">
        <v>12343</v>
      </c>
    </row>
    <row r="1923" customFormat="false" ht="15" hidden="false" customHeight="false" outlineLevel="0" collapsed="false">
      <c r="A1923" s="0" t="n">
        <v>649</v>
      </c>
      <c r="B1923" s="0" t="s">
        <v>4412</v>
      </c>
      <c r="C1923" s="0" t="s">
        <v>4417</v>
      </c>
      <c r="E1923" s="0" t="s">
        <v>79</v>
      </c>
      <c r="F1923" s="0" t="s">
        <v>12344</v>
      </c>
    </row>
    <row r="1924" customFormat="false" ht="15" hidden="false" customHeight="false" outlineLevel="0" collapsed="false">
      <c r="A1924" s="0" t="n">
        <v>649</v>
      </c>
      <c r="B1924" s="0" t="s">
        <v>4412</v>
      </c>
      <c r="C1924" s="0" t="s">
        <v>12345</v>
      </c>
      <c r="E1924" s="0" t="s">
        <v>79</v>
      </c>
      <c r="F1924" s="0" t="s">
        <v>12346</v>
      </c>
    </row>
    <row r="1925" customFormat="false" ht="15" hidden="false" customHeight="false" outlineLevel="0" collapsed="false">
      <c r="A1925" s="0" t="n">
        <v>650</v>
      </c>
      <c r="B1925" s="0" t="s">
        <v>4418</v>
      </c>
      <c r="C1925" s="0" t="s">
        <v>4420</v>
      </c>
      <c r="E1925" s="0" t="s">
        <v>79</v>
      </c>
      <c r="F1925" s="0" t="s">
        <v>12347</v>
      </c>
    </row>
    <row r="1926" customFormat="false" ht="15" hidden="false" customHeight="false" outlineLevel="0" collapsed="false">
      <c r="A1926" s="0" t="n">
        <v>650</v>
      </c>
      <c r="B1926" s="0" t="s">
        <v>4418</v>
      </c>
      <c r="C1926" s="0" t="s">
        <v>4421</v>
      </c>
      <c r="E1926" s="0" t="s">
        <v>79</v>
      </c>
      <c r="F1926" s="0" t="s">
        <v>12348</v>
      </c>
    </row>
    <row r="1927" customFormat="false" ht="15" hidden="false" customHeight="false" outlineLevel="0" collapsed="false">
      <c r="A1927" s="0" t="n">
        <v>650</v>
      </c>
      <c r="B1927" s="0" t="s">
        <v>4418</v>
      </c>
      <c r="C1927" s="0" t="s">
        <v>4422</v>
      </c>
      <c r="E1927" s="0" t="s">
        <v>79</v>
      </c>
      <c r="F1927" s="0" t="s">
        <v>12349</v>
      </c>
    </row>
    <row r="1928" customFormat="false" ht="15" hidden="false" customHeight="false" outlineLevel="0" collapsed="false">
      <c r="A1928" s="0" t="n">
        <v>650</v>
      </c>
      <c r="B1928" s="0" t="s">
        <v>4418</v>
      </c>
      <c r="C1928" s="0" t="s">
        <v>12350</v>
      </c>
      <c r="E1928" s="0" t="s">
        <v>79</v>
      </c>
      <c r="F1928" s="0" t="s">
        <v>12351</v>
      </c>
    </row>
    <row r="1929" customFormat="false" ht="15" hidden="false" customHeight="false" outlineLevel="0" collapsed="false">
      <c r="A1929" s="0" t="n">
        <v>650</v>
      </c>
      <c r="B1929" s="0" t="s">
        <v>4418</v>
      </c>
      <c r="C1929" s="0" t="s">
        <v>12352</v>
      </c>
      <c r="E1929" s="0" t="s">
        <v>79</v>
      </c>
      <c r="F1929" s="0" t="s">
        <v>12353</v>
      </c>
    </row>
    <row r="1930" customFormat="false" ht="15" hidden="false" customHeight="false" outlineLevel="0" collapsed="false">
      <c r="A1930" s="0" t="n">
        <v>651</v>
      </c>
      <c r="B1930" s="0" t="s">
        <v>4423</v>
      </c>
      <c r="C1930" s="0" t="s">
        <v>4427</v>
      </c>
      <c r="E1930" s="0" t="s">
        <v>79</v>
      </c>
      <c r="F1930" s="0" t="s">
        <v>12354</v>
      </c>
    </row>
    <row r="1931" customFormat="false" ht="15" hidden="false" customHeight="false" outlineLevel="0" collapsed="false">
      <c r="A1931" s="0" t="n">
        <v>651</v>
      </c>
      <c r="B1931" s="0" t="s">
        <v>4423</v>
      </c>
      <c r="C1931" s="0" t="s">
        <v>4428</v>
      </c>
      <c r="E1931" s="0" t="s">
        <v>79</v>
      </c>
      <c r="F1931" s="0" t="s">
        <v>12355</v>
      </c>
    </row>
    <row r="1932" customFormat="false" ht="15" hidden="false" customHeight="false" outlineLevel="0" collapsed="false">
      <c r="A1932" s="0" t="n">
        <v>651</v>
      </c>
      <c r="B1932" s="0" t="s">
        <v>4423</v>
      </c>
      <c r="C1932" s="0" t="s">
        <v>4429</v>
      </c>
      <c r="E1932" s="0" t="s">
        <v>79</v>
      </c>
      <c r="F1932" s="0" t="s">
        <v>12356</v>
      </c>
    </row>
    <row r="1933" customFormat="false" ht="15" hidden="false" customHeight="false" outlineLevel="0" collapsed="false">
      <c r="A1933" s="0" t="n">
        <v>651</v>
      </c>
      <c r="B1933" s="0" t="s">
        <v>4423</v>
      </c>
      <c r="C1933" s="0" t="s">
        <v>12357</v>
      </c>
      <c r="E1933" s="0" t="s">
        <v>59</v>
      </c>
      <c r="F1933" s="0" t="s">
        <v>12358</v>
      </c>
    </row>
    <row r="1934" customFormat="false" ht="15" hidden="false" customHeight="false" outlineLevel="0" collapsed="false">
      <c r="A1934" s="0" t="n">
        <v>651</v>
      </c>
      <c r="B1934" s="0" t="s">
        <v>4423</v>
      </c>
      <c r="C1934" s="0" t="s">
        <v>12359</v>
      </c>
      <c r="E1934" s="0" t="s">
        <v>59</v>
      </c>
      <c r="F1934" s="0" t="s">
        <v>12360</v>
      </c>
    </row>
    <row r="1935" customFormat="false" ht="15" hidden="false" customHeight="false" outlineLevel="0" collapsed="false">
      <c r="A1935" s="0" t="n">
        <v>654</v>
      </c>
      <c r="B1935" s="0" t="s">
        <v>4441</v>
      </c>
      <c r="C1935" s="0" t="s">
        <v>4443</v>
      </c>
      <c r="E1935" s="0" t="s">
        <v>59</v>
      </c>
      <c r="F1935" s="0" t="s">
        <v>12361</v>
      </c>
    </row>
    <row r="1936" customFormat="false" ht="15" hidden="false" customHeight="false" outlineLevel="0" collapsed="false">
      <c r="A1936" s="0" t="n">
        <v>654</v>
      </c>
      <c r="B1936" s="0" t="s">
        <v>4441</v>
      </c>
      <c r="C1936" s="0" t="s">
        <v>4444</v>
      </c>
      <c r="E1936" s="0" t="s">
        <v>59</v>
      </c>
      <c r="F1936" s="0" t="s">
        <v>12362</v>
      </c>
    </row>
    <row r="1937" customFormat="false" ht="15" hidden="false" customHeight="false" outlineLevel="0" collapsed="false">
      <c r="A1937" s="0" t="n">
        <v>655</v>
      </c>
      <c r="B1937" s="0" t="s">
        <v>4445</v>
      </c>
      <c r="C1937" s="0" t="s">
        <v>4447</v>
      </c>
      <c r="E1937" s="0" t="s">
        <v>79</v>
      </c>
      <c r="F1937" s="0" t="s">
        <v>12363</v>
      </c>
    </row>
    <row r="1938" customFormat="false" ht="15" hidden="false" customHeight="false" outlineLevel="0" collapsed="false">
      <c r="A1938" s="0" t="n">
        <v>655</v>
      </c>
      <c r="B1938" s="0" t="s">
        <v>4445</v>
      </c>
      <c r="C1938" s="0" t="s">
        <v>4448</v>
      </c>
      <c r="E1938" s="0" t="s">
        <v>79</v>
      </c>
      <c r="F1938" s="0" t="s">
        <v>12364</v>
      </c>
    </row>
    <row r="1939" customFormat="false" ht="15" hidden="false" customHeight="false" outlineLevel="0" collapsed="false">
      <c r="A1939" s="0" t="n">
        <v>655</v>
      </c>
      <c r="B1939" s="0" t="s">
        <v>4445</v>
      </c>
      <c r="C1939" s="0" t="s">
        <v>4449</v>
      </c>
      <c r="E1939" s="0" t="s">
        <v>79</v>
      </c>
      <c r="F1939" s="0" t="s">
        <v>12365</v>
      </c>
    </row>
    <row r="1940" customFormat="false" ht="15" hidden="false" customHeight="false" outlineLevel="0" collapsed="false">
      <c r="A1940" s="0" t="n">
        <v>656</v>
      </c>
      <c r="B1940" s="0" t="s">
        <v>4450</v>
      </c>
      <c r="C1940" s="0" t="s">
        <v>4452</v>
      </c>
      <c r="E1940" s="0" t="s">
        <v>79</v>
      </c>
      <c r="F1940" s="0" t="s">
        <v>12366</v>
      </c>
    </row>
    <row r="1941" customFormat="false" ht="15" hidden="false" customHeight="false" outlineLevel="0" collapsed="false">
      <c r="A1941" s="0" t="n">
        <v>656</v>
      </c>
      <c r="B1941" s="0" t="s">
        <v>4450</v>
      </c>
      <c r="C1941" s="0" t="s">
        <v>4453</v>
      </c>
      <c r="E1941" s="0" t="s">
        <v>79</v>
      </c>
      <c r="F1941" s="0" t="s">
        <v>12367</v>
      </c>
    </row>
    <row r="1942" customFormat="false" ht="15" hidden="false" customHeight="false" outlineLevel="0" collapsed="false">
      <c r="A1942" s="0" t="n">
        <v>656</v>
      </c>
      <c r="B1942" s="0" t="s">
        <v>4450</v>
      </c>
      <c r="C1942" s="0" t="s">
        <v>4454</v>
      </c>
      <c r="E1942" s="0" t="s">
        <v>79</v>
      </c>
      <c r="F1942" s="0" t="s">
        <v>12368</v>
      </c>
    </row>
    <row r="1943" customFormat="false" ht="15" hidden="false" customHeight="false" outlineLevel="0" collapsed="false">
      <c r="A1943" s="0" t="n">
        <v>656</v>
      </c>
      <c r="B1943" s="0" t="s">
        <v>4450</v>
      </c>
      <c r="C1943" s="0" t="s">
        <v>12369</v>
      </c>
      <c r="E1943" s="0" t="s">
        <v>79</v>
      </c>
      <c r="F1943" s="0" t="s">
        <v>12370</v>
      </c>
    </row>
    <row r="1944" customFormat="false" ht="15" hidden="false" customHeight="false" outlineLevel="0" collapsed="false">
      <c r="A1944" s="0" t="n">
        <v>656</v>
      </c>
      <c r="B1944" s="0" t="s">
        <v>4450</v>
      </c>
      <c r="C1944" s="0" t="s">
        <v>12371</v>
      </c>
      <c r="E1944" s="0" t="s">
        <v>79</v>
      </c>
      <c r="F1944" s="0" t="s">
        <v>12372</v>
      </c>
    </row>
    <row r="1945" customFormat="false" ht="15" hidden="false" customHeight="false" outlineLevel="0" collapsed="false">
      <c r="A1945" s="0" t="n">
        <v>657</v>
      </c>
      <c r="B1945" s="0" t="s">
        <v>4455</v>
      </c>
      <c r="C1945" s="0" t="s">
        <v>4458</v>
      </c>
      <c r="E1945" s="0" t="s">
        <v>79</v>
      </c>
      <c r="F1945" s="0" t="s">
        <v>12373</v>
      </c>
    </row>
    <row r="1946" customFormat="false" ht="15" hidden="false" customHeight="false" outlineLevel="0" collapsed="false">
      <c r="A1946" s="0" t="n">
        <v>657</v>
      </c>
      <c r="B1946" s="0" t="s">
        <v>4455</v>
      </c>
      <c r="C1946" s="0" t="s">
        <v>4459</v>
      </c>
      <c r="E1946" s="0" t="s">
        <v>79</v>
      </c>
      <c r="F1946" s="0" t="s">
        <v>12374</v>
      </c>
    </row>
    <row r="1947" customFormat="false" ht="15" hidden="false" customHeight="false" outlineLevel="0" collapsed="false">
      <c r="A1947" s="0" t="n">
        <v>657</v>
      </c>
      <c r="B1947" s="0" t="s">
        <v>4455</v>
      </c>
      <c r="C1947" s="0" t="s">
        <v>4460</v>
      </c>
      <c r="E1947" s="0" t="s">
        <v>79</v>
      </c>
      <c r="F1947" s="0" t="s">
        <v>12375</v>
      </c>
    </row>
    <row r="1948" customFormat="false" ht="15" hidden="false" customHeight="false" outlineLevel="0" collapsed="false">
      <c r="A1948" s="0" t="n">
        <v>657</v>
      </c>
      <c r="B1948" s="0" t="s">
        <v>4455</v>
      </c>
      <c r="C1948" s="0" t="s">
        <v>12376</v>
      </c>
      <c r="E1948" s="0" t="s">
        <v>79</v>
      </c>
      <c r="F1948" s="0" t="s">
        <v>12377</v>
      </c>
    </row>
    <row r="1949" customFormat="false" ht="15" hidden="false" customHeight="false" outlineLevel="0" collapsed="false">
      <c r="A1949" s="0" t="n">
        <v>657</v>
      </c>
      <c r="B1949" s="0" t="s">
        <v>4455</v>
      </c>
      <c r="C1949" s="0" t="s">
        <v>12378</v>
      </c>
      <c r="E1949" s="0" t="s">
        <v>79</v>
      </c>
      <c r="F1949" s="0" t="s">
        <v>12379</v>
      </c>
    </row>
    <row r="1950" customFormat="false" ht="15" hidden="false" customHeight="false" outlineLevel="0" collapsed="false">
      <c r="A1950" s="0" t="n">
        <v>658</v>
      </c>
      <c r="B1950" s="0" t="s">
        <v>4463</v>
      </c>
      <c r="C1950" s="0" t="s">
        <v>4466</v>
      </c>
      <c r="E1950" s="0" t="s">
        <v>79</v>
      </c>
      <c r="F1950" s="0" t="s">
        <v>12380</v>
      </c>
    </row>
    <row r="1951" customFormat="false" ht="15" hidden="false" customHeight="false" outlineLevel="0" collapsed="false">
      <c r="A1951" s="0" t="n">
        <v>658</v>
      </c>
      <c r="B1951" s="0" t="s">
        <v>4463</v>
      </c>
      <c r="C1951" s="0" t="s">
        <v>4467</v>
      </c>
      <c r="E1951" s="0" t="s">
        <v>79</v>
      </c>
      <c r="F1951" s="0" t="s">
        <v>12381</v>
      </c>
    </row>
    <row r="1952" customFormat="false" ht="15" hidden="false" customHeight="false" outlineLevel="0" collapsed="false">
      <c r="A1952" s="0" t="n">
        <v>658</v>
      </c>
      <c r="B1952" s="0" t="s">
        <v>4463</v>
      </c>
      <c r="C1952" s="0" t="s">
        <v>4468</v>
      </c>
      <c r="E1952" s="0" t="s">
        <v>79</v>
      </c>
      <c r="F1952" s="0" t="s">
        <v>12382</v>
      </c>
    </row>
    <row r="1953" customFormat="false" ht="15" hidden="false" customHeight="false" outlineLevel="0" collapsed="false">
      <c r="A1953" s="0" t="n">
        <v>658</v>
      </c>
      <c r="B1953" s="0" t="s">
        <v>4463</v>
      </c>
      <c r="C1953" s="0" t="s">
        <v>12383</v>
      </c>
      <c r="E1953" s="0" t="s">
        <v>79</v>
      </c>
      <c r="F1953" s="0" t="s">
        <v>12384</v>
      </c>
    </row>
    <row r="1954" customFormat="false" ht="15" hidden="false" customHeight="false" outlineLevel="0" collapsed="false">
      <c r="A1954" s="0" t="n">
        <v>658</v>
      </c>
      <c r="B1954" s="0" t="s">
        <v>4463</v>
      </c>
      <c r="C1954" s="0" t="s">
        <v>12385</v>
      </c>
      <c r="E1954" s="0" t="s">
        <v>79</v>
      </c>
      <c r="F1954" s="0" t="s">
        <v>12386</v>
      </c>
    </row>
    <row r="1955" customFormat="false" ht="15" hidden="false" customHeight="false" outlineLevel="0" collapsed="false">
      <c r="A1955" s="0" t="n">
        <v>659</v>
      </c>
      <c r="B1955" s="0" t="s">
        <v>4472</v>
      </c>
      <c r="C1955" s="0" t="s">
        <v>4475</v>
      </c>
      <c r="E1955" s="0" t="s">
        <v>79</v>
      </c>
      <c r="F1955" s="0" t="s">
        <v>12387</v>
      </c>
    </row>
    <row r="1956" customFormat="false" ht="15" hidden="false" customHeight="false" outlineLevel="0" collapsed="false">
      <c r="A1956" s="0" t="n">
        <v>659</v>
      </c>
      <c r="B1956" s="0" t="s">
        <v>4472</v>
      </c>
      <c r="C1956" s="0" t="s">
        <v>4476</v>
      </c>
      <c r="E1956" s="0" t="s">
        <v>79</v>
      </c>
      <c r="F1956" s="0" t="s">
        <v>12388</v>
      </c>
    </row>
    <row r="1957" customFormat="false" ht="15" hidden="false" customHeight="false" outlineLevel="0" collapsed="false">
      <c r="A1957" s="0" t="n">
        <v>659</v>
      </c>
      <c r="B1957" s="0" t="s">
        <v>4472</v>
      </c>
      <c r="C1957" s="0" t="s">
        <v>4477</v>
      </c>
      <c r="E1957" s="0" t="s">
        <v>79</v>
      </c>
      <c r="F1957" s="0" t="s">
        <v>12389</v>
      </c>
    </row>
    <row r="1958" customFormat="false" ht="15" hidden="false" customHeight="false" outlineLevel="0" collapsed="false">
      <c r="A1958" s="0" t="n">
        <v>661</v>
      </c>
      <c r="B1958" s="0" t="s">
        <v>4480</v>
      </c>
      <c r="C1958" s="0" t="s">
        <v>4482</v>
      </c>
      <c r="E1958" s="0" t="s">
        <v>79</v>
      </c>
      <c r="F1958" s="0" t="s">
        <v>12390</v>
      </c>
    </row>
    <row r="1959" customFormat="false" ht="15" hidden="false" customHeight="false" outlineLevel="0" collapsed="false">
      <c r="A1959" s="0" t="n">
        <v>661</v>
      </c>
      <c r="B1959" s="0" t="s">
        <v>4480</v>
      </c>
      <c r="C1959" s="0" t="s">
        <v>4483</v>
      </c>
      <c r="E1959" s="0" t="s">
        <v>79</v>
      </c>
      <c r="F1959" s="0" t="s">
        <v>12391</v>
      </c>
    </row>
    <row r="1960" customFormat="false" ht="15" hidden="false" customHeight="false" outlineLevel="0" collapsed="false">
      <c r="A1960" s="0" t="n">
        <v>661</v>
      </c>
      <c r="B1960" s="0" t="s">
        <v>4480</v>
      </c>
      <c r="C1960" s="0" t="s">
        <v>4484</v>
      </c>
      <c r="E1960" s="0" t="s">
        <v>79</v>
      </c>
      <c r="F1960" s="0" t="s">
        <v>12392</v>
      </c>
    </row>
    <row r="1961" customFormat="false" ht="15" hidden="false" customHeight="false" outlineLevel="0" collapsed="false">
      <c r="A1961" s="0" t="n">
        <v>661</v>
      </c>
      <c r="B1961" s="0" t="s">
        <v>4480</v>
      </c>
      <c r="C1961" s="0" t="s">
        <v>12393</v>
      </c>
      <c r="E1961" s="0" t="s">
        <v>79</v>
      </c>
      <c r="F1961" s="0" t="s">
        <v>12394</v>
      </c>
    </row>
    <row r="1962" customFormat="false" ht="15" hidden="false" customHeight="false" outlineLevel="0" collapsed="false">
      <c r="A1962" s="0" t="n">
        <v>661</v>
      </c>
      <c r="B1962" s="0" t="s">
        <v>4480</v>
      </c>
      <c r="C1962" s="0" t="s">
        <v>12395</v>
      </c>
      <c r="E1962" s="0" t="s">
        <v>79</v>
      </c>
      <c r="F1962" s="0" t="s">
        <v>12396</v>
      </c>
    </row>
    <row r="1963" customFormat="false" ht="15" hidden="false" customHeight="false" outlineLevel="0" collapsed="false">
      <c r="A1963" s="0" t="n">
        <v>665</v>
      </c>
      <c r="B1963" s="0" t="s">
        <v>4495</v>
      </c>
      <c r="C1963" s="0" t="s">
        <v>4498</v>
      </c>
      <c r="E1963" s="0" t="s">
        <v>79</v>
      </c>
      <c r="F1963" s="0" t="s">
        <v>12397</v>
      </c>
    </row>
    <row r="1964" customFormat="false" ht="15" hidden="false" customHeight="false" outlineLevel="0" collapsed="false">
      <c r="A1964" s="0" t="n">
        <v>665</v>
      </c>
      <c r="B1964" s="0" t="s">
        <v>4495</v>
      </c>
      <c r="C1964" s="0" t="s">
        <v>4499</v>
      </c>
      <c r="E1964" s="0" t="s">
        <v>79</v>
      </c>
      <c r="F1964" s="0" t="s">
        <v>12398</v>
      </c>
    </row>
    <row r="1965" customFormat="false" ht="15" hidden="false" customHeight="false" outlineLevel="0" collapsed="false">
      <c r="A1965" s="0" t="n">
        <v>665</v>
      </c>
      <c r="B1965" s="0" t="s">
        <v>4495</v>
      </c>
      <c r="C1965" s="0" t="s">
        <v>4500</v>
      </c>
      <c r="E1965" s="0" t="s">
        <v>79</v>
      </c>
      <c r="F1965" s="0" t="s">
        <v>12399</v>
      </c>
    </row>
    <row r="1966" customFormat="false" ht="15" hidden="false" customHeight="false" outlineLevel="0" collapsed="false">
      <c r="A1966" s="0" t="n">
        <v>665</v>
      </c>
      <c r="B1966" s="0" t="s">
        <v>4495</v>
      </c>
      <c r="C1966" s="0" t="s">
        <v>12400</v>
      </c>
      <c r="E1966" s="0" t="s">
        <v>79</v>
      </c>
      <c r="F1966" s="0" t="s">
        <v>12401</v>
      </c>
    </row>
    <row r="1967" customFormat="false" ht="15" hidden="false" customHeight="false" outlineLevel="0" collapsed="false">
      <c r="A1967" s="0" t="n">
        <v>665</v>
      </c>
      <c r="B1967" s="0" t="s">
        <v>4495</v>
      </c>
      <c r="C1967" s="0" t="s">
        <v>12402</v>
      </c>
      <c r="E1967" s="0" t="s">
        <v>79</v>
      </c>
      <c r="F1967" s="0" t="s">
        <v>12403</v>
      </c>
    </row>
    <row r="1968" customFormat="false" ht="15" hidden="false" customHeight="false" outlineLevel="0" collapsed="false">
      <c r="A1968" s="0" t="n">
        <v>667</v>
      </c>
      <c r="B1968" s="0" t="s">
        <v>4513</v>
      </c>
      <c r="C1968" s="0" t="s">
        <v>4515</v>
      </c>
      <c r="E1968" s="0" t="s">
        <v>79</v>
      </c>
      <c r="F1968" s="0" t="s">
        <v>12404</v>
      </c>
    </row>
    <row r="1969" customFormat="false" ht="15" hidden="false" customHeight="false" outlineLevel="0" collapsed="false">
      <c r="A1969" s="0" t="n">
        <v>667</v>
      </c>
      <c r="B1969" s="0" t="s">
        <v>4513</v>
      </c>
      <c r="C1969" s="0" t="s">
        <v>4516</v>
      </c>
      <c r="E1969" s="0" t="s">
        <v>79</v>
      </c>
      <c r="F1969" s="0" t="s">
        <v>12405</v>
      </c>
    </row>
    <row r="1970" customFormat="false" ht="15" hidden="false" customHeight="false" outlineLevel="0" collapsed="false">
      <c r="A1970" s="0" t="n">
        <v>667</v>
      </c>
      <c r="B1970" s="0" t="s">
        <v>4513</v>
      </c>
      <c r="C1970" s="0" t="s">
        <v>4517</v>
      </c>
      <c r="E1970" s="0" t="s">
        <v>79</v>
      </c>
      <c r="F1970" s="0" t="s">
        <v>12406</v>
      </c>
    </row>
    <row r="1971" customFormat="false" ht="15" hidden="false" customHeight="false" outlineLevel="0" collapsed="false">
      <c r="A1971" s="0" t="n">
        <v>667</v>
      </c>
      <c r="B1971" s="0" t="s">
        <v>4513</v>
      </c>
      <c r="C1971" s="0" t="s">
        <v>12407</v>
      </c>
      <c r="E1971" s="0" t="s">
        <v>79</v>
      </c>
      <c r="F1971" s="0" t="s">
        <v>12408</v>
      </c>
    </row>
    <row r="1972" customFormat="false" ht="15" hidden="false" customHeight="false" outlineLevel="0" collapsed="false">
      <c r="A1972" s="0" t="n">
        <v>667</v>
      </c>
      <c r="B1972" s="0" t="s">
        <v>4513</v>
      </c>
      <c r="C1972" s="0" t="s">
        <v>12409</v>
      </c>
      <c r="E1972" s="0" t="s">
        <v>79</v>
      </c>
      <c r="F1972" s="0" t="s">
        <v>12410</v>
      </c>
    </row>
    <row r="1973" customFormat="false" ht="15" hidden="false" customHeight="false" outlineLevel="0" collapsed="false">
      <c r="A1973" s="0" t="n">
        <v>668</v>
      </c>
      <c r="B1973" s="0" t="s">
        <v>4518</v>
      </c>
      <c r="C1973" s="0" t="s">
        <v>4520</v>
      </c>
      <c r="E1973" s="0" t="s">
        <v>79</v>
      </c>
      <c r="F1973" s="0" t="s">
        <v>12411</v>
      </c>
    </row>
    <row r="1974" customFormat="false" ht="15" hidden="false" customHeight="false" outlineLevel="0" collapsed="false">
      <c r="A1974" s="0" t="n">
        <v>668</v>
      </c>
      <c r="B1974" s="0" t="s">
        <v>4518</v>
      </c>
      <c r="C1974" s="0" t="s">
        <v>4521</v>
      </c>
      <c r="E1974" s="0" t="s">
        <v>79</v>
      </c>
      <c r="F1974" s="0" t="s">
        <v>12412</v>
      </c>
    </row>
    <row r="1975" customFormat="false" ht="15" hidden="false" customHeight="false" outlineLevel="0" collapsed="false">
      <c r="A1975" s="0" t="n">
        <v>668</v>
      </c>
      <c r="B1975" s="0" t="s">
        <v>4518</v>
      </c>
      <c r="C1975" s="0" t="s">
        <v>4522</v>
      </c>
      <c r="E1975" s="0" t="s">
        <v>79</v>
      </c>
      <c r="F1975" s="0" t="s">
        <v>12413</v>
      </c>
    </row>
    <row r="1976" customFormat="false" ht="15" hidden="false" customHeight="false" outlineLevel="0" collapsed="false">
      <c r="A1976" s="0" t="n">
        <v>668</v>
      </c>
      <c r="B1976" s="0" t="s">
        <v>4518</v>
      </c>
      <c r="C1976" s="0" t="s">
        <v>12414</v>
      </c>
      <c r="E1976" s="0" t="s">
        <v>79</v>
      </c>
      <c r="F1976" s="0" t="s">
        <v>12415</v>
      </c>
    </row>
    <row r="1977" customFormat="false" ht="15" hidden="false" customHeight="false" outlineLevel="0" collapsed="false">
      <c r="A1977" s="0" t="n">
        <v>668</v>
      </c>
      <c r="B1977" s="0" t="s">
        <v>4518</v>
      </c>
      <c r="C1977" s="0" t="s">
        <v>12416</v>
      </c>
      <c r="E1977" s="0" t="s">
        <v>79</v>
      </c>
      <c r="F1977" s="0" t="s">
        <v>12417</v>
      </c>
    </row>
    <row r="1978" customFormat="false" ht="15" hidden="false" customHeight="false" outlineLevel="0" collapsed="false">
      <c r="A1978" s="0" t="n">
        <v>669</v>
      </c>
      <c r="B1978" s="0" t="s">
        <v>4525</v>
      </c>
      <c r="C1978" s="0" t="s">
        <v>4530</v>
      </c>
      <c r="D1978" s="0" t="s">
        <v>12418</v>
      </c>
      <c r="E1978" s="0" t="s">
        <v>115</v>
      </c>
    </row>
    <row r="1979" customFormat="false" ht="15" hidden="false" customHeight="false" outlineLevel="0" collapsed="false">
      <c r="A1979" s="0" t="n">
        <v>669</v>
      </c>
      <c r="B1979" s="0" t="s">
        <v>4525</v>
      </c>
      <c r="C1979" s="0" t="s">
        <v>4531</v>
      </c>
      <c r="D1979" s="0" t="s">
        <v>12419</v>
      </c>
      <c r="E1979" s="0" t="s">
        <v>115</v>
      </c>
    </row>
    <row r="1980" customFormat="false" ht="15" hidden="false" customHeight="false" outlineLevel="0" collapsed="false">
      <c r="A1980" s="0" t="n">
        <v>669</v>
      </c>
      <c r="B1980" s="0" t="s">
        <v>4525</v>
      </c>
      <c r="C1980" s="0" t="s">
        <v>4532</v>
      </c>
      <c r="D1980" s="0" t="s">
        <v>12420</v>
      </c>
      <c r="E1980" s="0" t="s">
        <v>115</v>
      </c>
    </row>
    <row r="1981" customFormat="false" ht="15" hidden="false" customHeight="false" outlineLevel="0" collapsed="false">
      <c r="A1981" s="0" t="n">
        <v>670</v>
      </c>
      <c r="B1981" s="0" t="s">
        <v>4541</v>
      </c>
      <c r="C1981" s="0" t="s">
        <v>4530</v>
      </c>
      <c r="D1981" s="0" t="s">
        <v>12418</v>
      </c>
      <c r="E1981" s="0" t="s">
        <v>115</v>
      </c>
    </row>
    <row r="1982" customFormat="false" ht="15" hidden="false" customHeight="false" outlineLevel="0" collapsed="false">
      <c r="A1982" s="0" t="n">
        <v>670</v>
      </c>
      <c r="B1982" s="0" t="s">
        <v>4541</v>
      </c>
      <c r="C1982" s="0" t="s">
        <v>4531</v>
      </c>
      <c r="D1982" s="0" t="s">
        <v>12419</v>
      </c>
      <c r="E1982" s="0" t="s">
        <v>115</v>
      </c>
    </row>
    <row r="1983" customFormat="false" ht="15" hidden="false" customHeight="false" outlineLevel="0" collapsed="false">
      <c r="A1983" s="0" t="n">
        <v>670</v>
      </c>
      <c r="B1983" s="0" t="s">
        <v>4541</v>
      </c>
      <c r="C1983" s="0" t="s">
        <v>4532</v>
      </c>
      <c r="D1983" s="0" t="s">
        <v>12420</v>
      </c>
      <c r="E1983" s="0" t="s">
        <v>115</v>
      </c>
    </row>
    <row r="1984" customFormat="false" ht="15" hidden="false" customHeight="false" outlineLevel="0" collapsed="false">
      <c r="A1984" s="0" t="n">
        <v>671</v>
      </c>
      <c r="B1984" s="0" t="s">
        <v>4544</v>
      </c>
      <c r="C1984" s="0" t="s">
        <v>4547</v>
      </c>
      <c r="E1984" s="0" t="s">
        <v>79</v>
      </c>
      <c r="F1984" s="0" t="s">
        <v>12421</v>
      </c>
    </row>
    <row r="1985" customFormat="false" ht="15" hidden="false" customHeight="false" outlineLevel="0" collapsed="false">
      <c r="A1985" s="0" t="n">
        <v>671</v>
      </c>
      <c r="B1985" s="0" t="s">
        <v>4544</v>
      </c>
      <c r="C1985" s="0" t="s">
        <v>4548</v>
      </c>
      <c r="E1985" s="0" t="s">
        <v>79</v>
      </c>
      <c r="F1985" s="0" t="s">
        <v>12422</v>
      </c>
    </row>
    <row r="1986" customFormat="false" ht="15" hidden="false" customHeight="false" outlineLevel="0" collapsed="false">
      <c r="A1986" s="0" t="n">
        <v>673</v>
      </c>
      <c r="B1986" s="0" t="s">
        <v>4558</v>
      </c>
      <c r="C1986" s="0" t="s">
        <v>4561</v>
      </c>
      <c r="E1986" s="0" t="s">
        <v>79</v>
      </c>
      <c r="F1986" s="0" t="s">
        <v>12423</v>
      </c>
    </row>
    <row r="1987" customFormat="false" ht="15" hidden="false" customHeight="false" outlineLevel="0" collapsed="false">
      <c r="A1987" s="0" t="n">
        <v>673</v>
      </c>
      <c r="B1987" s="0" t="s">
        <v>4558</v>
      </c>
      <c r="C1987" s="0" t="s">
        <v>4562</v>
      </c>
      <c r="E1987" s="0" t="s">
        <v>79</v>
      </c>
      <c r="F1987" s="0" t="s">
        <v>12424</v>
      </c>
    </row>
    <row r="1988" customFormat="false" ht="15" hidden="false" customHeight="false" outlineLevel="0" collapsed="false">
      <c r="A1988" s="0" t="n">
        <v>673</v>
      </c>
      <c r="B1988" s="0" t="s">
        <v>4558</v>
      </c>
      <c r="C1988" s="0" t="s">
        <v>4563</v>
      </c>
      <c r="E1988" s="0" t="s">
        <v>79</v>
      </c>
      <c r="F1988" s="0" t="s">
        <v>12425</v>
      </c>
    </row>
    <row r="1989" customFormat="false" ht="15" hidden="false" customHeight="false" outlineLevel="0" collapsed="false">
      <c r="A1989" s="0" t="n">
        <v>673</v>
      </c>
      <c r="B1989" s="0" t="s">
        <v>4558</v>
      </c>
      <c r="C1989" s="0" t="s">
        <v>12426</v>
      </c>
      <c r="E1989" s="0" t="s">
        <v>79</v>
      </c>
      <c r="F1989" s="0" t="s">
        <v>12427</v>
      </c>
    </row>
    <row r="1990" customFormat="false" ht="15" hidden="false" customHeight="false" outlineLevel="0" collapsed="false">
      <c r="A1990" s="0" t="n">
        <v>673</v>
      </c>
      <c r="B1990" s="0" t="s">
        <v>4558</v>
      </c>
      <c r="C1990" s="0" t="s">
        <v>12428</v>
      </c>
      <c r="E1990" s="0" t="s">
        <v>79</v>
      </c>
      <c r="F1990" s="0" t="s">
        <v>12429</v>
      </c>
    </row>
    <row r="1991" customFormat="false" ht="15" hidden="false" customHeight="false" outlineLevel="0" collapsed="false">
      <c r="A1991" s="0" t="n">
        <v>674</v>
      </c>
      <c r="B1991" s="0" t="s">
        <v>4568</v>
      </c>
      <c r="C1991" s="0" t="s">
        <v>4570</v>
      </c>
      <c r="E1991" s="0" t="s">
        <v>79</v>
      </c>
      <c r="F1991" s="0" t="s">
        <v>12430</v>
      </c>
    </row>
    <row r="1992" customFormat="false" ht="15" hidden="false" customHeight="false" outlineLevel="0" collapsed="false">
      <c r="A1992" s="0" t="n">
        <v>674</v>
      </c>
      <c r="B1992" s="0" t="s">
        <v>4568</v>
      </c>
      <c r="C1992" s="0" t="s">
        <v>4571</v>
      </c>
      <c r="E1992" s="0" t="s">
        <v>79</v>
      </c>
      <c r="F1992" s="0" t="s">
        <v>12431</v>
      </c>
    </row>
    <row r="1993" customFormat="false" ht="15" hidden="false" customHeight="false" outlineLevel="0" collapsed="false">
      <c r="A1993" s="0" t="n">
        <v>675</v>
      </c>
      <c r="B1993" s="0" t="s">
        <v>4572</v>
      </c>
      <c r="C1993" s="0" t="s">
        <v>4575</v>
      </c>
      <c r="E1993" s="0" t="s">
        <v>79</v>
      </c>
      <c r="F1993" s="0" t="s">
        <v>12432</v>
      </c>
    </row>
    <row r="1994" customFormat="false" ht="15" hidden="false" customHeight="false" outlineLevel="0" collapsed="false">
      <c r="A1994" s="0" t="n">
        <v>675</v>
      </c>
      <c r="B1994" s="0" t="s">
        <v>4572</v>
      </c>
      <c r="C1994" s="0" t="s">
        <v>4576</v>
      </c>
      <c r="E1994" s="0" t="s">
        <v>79</v>
      </c>
      <c r="F1994" s="0" t="s">
        <v>12433</v>
      </c>
    </row>
    <row r="1995" customFormat="false" ht="15" hidden="false" customHeight="false" outlineLevel="0" collapsed="false">
      <c r="A1995" s="0" t="n">
        <v>675</v>
      </c>
      <c r="B1995" s="0" t="s">
        <v>4572</v>
      </c>
      <c r="C1995" s="0" t="s">
        <v>4577</v>
      </c>
      <c r="E1995" s="0" t="s">
        <v>79</v>
      </c>
      <c r="F1995" s="0" t="s">
        <v>12434</v>
      </c>
    </row>
    <row r="1996" customFormat="false" ht="15" hidden="false" customHeight="false" outlineLevel="0" collapsed="false">
      <c r="A1996" s="0" t="n">
        <v>675</v>
      </c>
      <c r="B1996" s="0" t="s">
        <v>4572</v>
      </c>
      <c r="C1996" s="0" t="s">
        <v>12435</v>
      </c>
      <c r="E1996" s="0" t="s">
        <v>79</v>
      </c>
      <c r="F1996" s="0" t="s">
        <v>12436</v>
      </c>
    </row>
    <row r="1997" customFormat="false" ht="15" hidden="false" customHeight="false" outlineLevel="0" collapsed="false">
      <c r="A1997" s="0" t="n">
        <v>675</v>
      </c>
      <c r="B1997" s="0" t="s">
        <v>4572</v>
      </c>
      <c r="C1997" s="0" t="s">
        <v>12437</v>
      </c>
      <c r="E1997" s="0" t="s">
        <v>79</v>
      </c>
      <c r="F1997" s="0" t="s">
        <v>12438</v>
      </c>
    </row>
    <row r="1998" customFormat="false" ht="15" hidden="false" customHeight="false" outlineLevel="0" collapsed="false">
      <c r="A1998" s="0" t="n">
        <v>676</v>
      </c>
      <c r="B1998" s="0" t="s">
        <v>4581</v>
      </c>
      <c r="C1998" s="0" t="s">
        <v>4584</v>
      </c>
      <c r="E1998" s="0" t="s">
        <v>79</v>
      </c>
      <c r="F1998" s="0" t="s">
        <v>12439</v>
      </c>
    </row>
    <row r="1999" customFormat="false" ht="15" hidden="false" customHeight="false" outlineLevel="0" collapsed="false">
      <c r="A1999" s="0" t="n">
        <v>676</v>
      </c>
      <c r="B1999" s="0" t="s">
        <v>4581</v>
      </c>
      <c r="C1999" s="0" t="s">
        <v>4585</v>
      </c>
      <c r="E1999" s="0" t="s">
        <v>79</v>
      </c>
      <c r="F1999" s="0" t="s">
        <v>12440</v>
      </c>
    </row>
    <row r="2000" customFormat="false" ht="15" hidden="false" customHeight="false" outlineLevel="0" collapsed="false">
      <c r="A2000" s="0" t="n">
        <v>676</v>
      </c>
      <c r="B2000" s="0" t="s">
        <v>4581</v>
      </c>
      <c r="C2000" s="0" t="s">
        <v>4586</v>
      </c>
      <c r="E2000" s="0" t="s">
        <v>79</v>
      </c>
      <c r="F2000" s="0" t="s">
        <v>12441</v>
      </c>
    </row>
    <row r="2001" customFormat="false" ht="15" hidden="false" customHeight="false" outlineLevel="0" collapsed="false">
      <c r="A2001" s="0" t="n">
        <v>676</v>
      </c>
      <c r="B2001" s="0" t="s">
        <v>4581</v>
      </c>
      <c r="C2001" s="0" t="s">
        <v>12442</v>
      </c>
      <c r="E2001" s="0" t="s">
        <v>79</v>
      </c>
      <c r="F2001" s="0" t="s">
        <v>12443</v>
      </c>
    </row>
    <row r="2002" customFormat="false" ht="15" hidden="false" customHeight="false" outlineLevel="0" collapsed="false">
      <c r="A2002" s="0" t="n">
        <v>676</v>
      </c>
      <c r="B2002" s="0" t="s">
        <v>4581</v>
      </c>
      <c r="C2002" s="0" t="s">
        <v>12444</v>
      </c>
      <c r="E2002" s="0" t="s">
        <v>79</v>
      </c>
      <c r="F2002" s="0" t="s">
        <v>12445</v>
      </c>
    </row>
    <row r="2003" customFormat="false" ht="15" hidden="false" customHeight="false" outlineLevel="0" collapsed="false">
      <c r="A2003" s="0" t="n">
        <v>678</v>
      </c>
      <c r="B2003" s="0" t="s">
        <v>4589</v>
      </c>
      <c r="C2003" s="0" t="s">
        <v>4592</v>
      </c>
      <c r="E2003" s="0" t="s">
        <v>79</v>
      </c>
      <c r="F2003" s="0" t="s">
        <v>12446</v>
      </c>
    </row>
    <row r="2004" customFormat="false" ht="15" hidden="false" customHeight="false" outlineLevel="0" collapsed="false">
      <c r="A2004" s="0" t="n">
        <v>678</v>
      </c>
      <c r="B2004" s="0" t="s">
        <v>4589</v>
      </c>
      <c r="C2004" s="0" t="s">
        <v>4593</v>
      </c>
      <c r="E2004" s="0" t="s">
        <v>79</v>
      </c>
      <c r="F2004" s="0" t="s">
        <v>12447</v>
      </c>
    </row>
    <row r="2005" customFormat="false" ht="15" hidden="false" customHeight="false" outlineLevel="0" collapsed="false">
      <c r="A2005" s="0" t="n">
        <v>678</v>
      </c>
      <c r="B2005" s="0" t="s">
        <v>4589</v>
      </c>
      <c r="C2005" s="0" t="s">
        <v>4594</v>
      </c>
      <c r="E2005" s="0" t="s">
        <v>79</v>
      </c>
      <c r="F2005" s="0" t="s">
        <v>12448</v>
      </c>
    </row>
    <row r="2006" customFormat="false" ht="15" hidden="false" customHeight="false" outlineLevel="0" collapsed="false">
      <c r="A2006" s="0" t="n">
        <v>678</v>
      </c>
      <c r="B2006" s="0" t="s">
        <v>4589</v>
      </c>
      <c r="C2006" s="0" t="s">
        <v>12449</v>
      </c>
      <c r="E2006" s="0" t="s">
        <v>79</v>
      </c>
      <c r="F2006" s="0" t="s">
        <v>12450</v>
      </c>
    </row>
    <row r="2007" customFormat="false" ht="15" hidden="false" customHeight="false" outlineLevel="0" collapsed="false">
      <c r="A2007" s="0" t="n">
        <v>679</v>
      </c>
      <c r="B2007" s="0" t="s">
        <v>4599</v>
      </c>
      <c r="C2007" s="0" t="s">
        <v>4606</v>
      </c>
      <c r="E2007" s="0" t="s">
        <v>79</v>
      </c>
      <c r="F2007" s="0" t="s">
        <v>12451</v>
      </c>
    </row>
    <row r="2008" customFormat="false" ht="15" hidden="false" customHeight="false" outlineLevel="0" collapsed="false">
      <c r="A2008" s="0" t="n">
        <v>679</v>
      </c>
      <c r="B2008" s="0" t="s">
        <v>4599</v>
      </c>
      <c r="C2008" s="0" t="s">
        <v>4607</v>
      </c>
      <c r="E2008" s="0" t="s">
        <v>79</v>
      </c>
      <c r="F2008" s="0" t="s">
        <v>12452</v>
      </c>
    </row>
    <row r="2009" customFormat="false" ht="15" hidden="false" customHeight="false" outlineLevel="0" collapsed="false">
      <c r="A2009" s="0" t="n">
        <v>679</v>
      </c>
      <c r="B2009" s="0" t="s">
        <v>4599</v>
      </c>
      <c r="C2009" s="0" t="s">
        <v>4608</v>
      </c>
      <c r="E2009" s="0" t="s">
        <v>79</v>
      </c>
      <c r="F2009" s="0" t="s">
        <v>12453</v>
      </c>
    </row>
    <row r="2010" customFormat="false" ht="15" hidden="false" customHeight="false" outlineLevel="0" collapsed="false">
      <c r="A2010" s="0" t="n">
        <v>679</v>
      </c>
      <c r="B2010" s="0" t="s">
        <v>4599</v>
      </c>
      <c r="C2010" s="0" t="s">
        <v>12454</v>
      </c>
      <c r="E2010" s="0" t="s">
        <v>79</v>
      </c>
      <c r="F2010" s="0" t="s">
        <v>12455</v>
      </c>
    </row>
    <row r="2011" customFormat="false" ht="15" hidden="false" customHeight="false" outlineLevel="0" collapsed="false">
      <c r="A2011" s="0" t="n">
        <v>679</v>
      </c>
      <c r="B2011" s="0" t="s">
        <v>4599</v>
      </c>
      <c r="C2011" s="0" t="s">
        <v>12456</v>
      </c>
      <c r="E2011" s="0" t="s">
        <v>79</v>
      </c>
      <c r="F2011" s="0" t="s">
        <v>12457</v>
      </c>
    </row>
    <row r="2012" customFormat="false" ht="15" hidden="false" customHeight="false" outlineLevel="0" collapsed="false">
      <c r="A2012" s="0" t="n">
        <v>685</v>
      </c>
      <c r="B2012" s="0" t="s">
        <v>4641</v>
      </c>
      <c r="C2012" s="0" t="s">
        <v>4643</v>
      </c>
      <c r="E2012" s="0" t="s">
        <v>79</v>
      </c>
      <c r="F2012" s="0" t="s">
        <v>12458</v>
      </c>
    </row>
    <row r="2013" customFormat="false" ht="15" hidden="false" customHeight="false" outlineLevel="0" collapsed="false">
      <c r="A2013" s="0" t="n">
        <v>685</v>
      </c>
      <c r="B2013" s="0" t="s">
        <v>4641</v>
      </c>
      <c r="C2013" s="0" t="s">
        <v>4644</v>
      </c>
      <c r="E2013" s="0" t="s">
        <v>79</v>
      </c>
      <c r="F2013" s="0" t="s">
        <v>12459</v>
      </c>
    </row>
    <row r="2014" customFormat="false" ht="15" hidden="false" customHeight="false" outlineLevel="0" collapsed="false">
      <c r="A2014" s="0" t="n">
        <v>686</v>
      </c>
      <c r="B2014" s="0" t="s">
        <v>4645</v>
      </c>
      <c r="C2014" s="0" t="s">
        <v>4647</v>
      </c>
      <c r="E2014" s="0" t="s">
        <v>79</v>
      </c>
      <c r="F2014" s="0" t="s">
        <v>12460</v>
      </c>
    </row>
    <row r="2015" customFormat="false" ht="15" hidden="false" customHeight="false" outlineLevel="0" collapsed="false">
      <c r="A2015" s="0" t="n">
        <v>686</v>
      </c>
      <c r="B2015" s="0" t="s">
        <v>4645</v>
      </c>
      <c r="C2015" s="0" t="s">
        <v>4648</v>
      </c>
      <c r="E2015" s="0" t="s">
        <v>79</v>
      </c>
      <c r="F2015" s="0" t="s">
        <v>12461</v>
      </c>
    </row>
    <row r="2016" customFormat="false" ht="15" hidden="false" customHeight="false" outlineLevel="0" collapsed="false">
      <c r="A2016" s="0" t="n">
        <v>686</v>
      </c>
      <c r="B2016" s="0" t="s">
        <v>4645</v>
      </c>
      <c r="C2016" s="0" t="s">
        <v>4649</v>
      </c>
      <c r="E2016" s="0" t="s">
        <v>79</v>
      </c>
      <c r="F2016" s="0" t="s">
        <v>12462</v>
      </c>
    </row>
    <row r="2017" customFormat="false" ht="15" hidden="false" customHeight="false" outlineLevel="0" collapsed="false">
      <c r="A2017" s="0" t="n">
        <v>686</v>
      </c>
      <c r="B2017" s="0" t="s">
        <v>4645</v>
      </c>
      <c r="C2017" s="0" t="s">
        <v>12463</v>
      </c>
      <c r="E2017" s="0" t="s">
        <v>79</v>
      </c>
      <c r="F2017" s="0" t="s">
        <v>12464</v>
      </c>
    </row>
    <row r="2018" customFormat="false" ht="15" hidden="false" customHeight="false" outlineLevel="0" collapsed="false">
      <c r="A2018" s="0" t="n">
        <v>686</v>
      </c>
      <c r="B2018" s="0" t="s">
        <v>4645</v>
      </c>
      <c r="C2018" s="0" t="s">
        <v>12465</v>
      </c>
      <c r="E2018" s="0" t="s">
        <v>79</v>
      </c>
      <c r="F2018" s="0" t="s">
        <v>12466</v>
      </c>
    </row>
    <row r="2019" customFormat="false" ht="15" hidden="false" customHeight="false" outlineLevel="0" collapsed="false">
      <c r="A2019" s="0" t="n">
        <v>687</v>
      </c>
      <c r="B2019" s="0" t="s">
        <v>4650</v>
      </c>
      <c r="C2019" s="0" t="s">
        <v>4652</v>
      </c>
      <c r="E2019" s="0" t="s">
        <v>79</v>
      </c>
      <c r="F2019" s="0" t="s">
        <v>12467</v>
      </c>
    </row>
    <row r="2020" customFormat="false" ht="15" hidden="false" customHeight="false" outlineLevel="0" collapsed="false">
      <c r="A2020" s="0" t="n">
        <v>687</v>
      </c>
      <c r="B2020" s="0" t="s">
        <v>4650</v>
      </c>
      <c r="C2020" s="0" t="s">
        <v>4653</v>
      </c>
      <c r="E2020" s="0" t="s">
        <v>79</v>
      </c>
      <c r="F2020" s="0" t="s">
        <v>12468</v>
      </c>
    </row>
    <row r="2021" customFormat="false" ht="15" hidden="false" customHeight="false" outlineLevel="0" collapsed="false">
      <c r="A2021" s="0" t="n">
        <v>687</v>
      </c>
      <c r="B2021" s="0" t="s">
        <v>4650</v>
      </c>
      <c r="C2021" s="0" t="s">
        <v>4654</v>
      </c>
      <c r="E2021" s="0" t="s">
        <v>79</v>
      </c>
      <c r="F2021" s="0" t="s">
        <v>12469</v>
      </c>
    </row>
    <row r="2022" customFormat="false" ht="15" hidden="false" customHeight="false" outlineLevel="0" collapsed="false">
      <c r="A2022" s="0" t="n">
        <v>687</v>
      </c>
      <c r="B2022" s="0" t="s">
        <v>4650</v>
      </c>
      <c r="C2022" s="0" t="s">
        <v>12470</v>
      </c>
      <c r="E2022" s="0" t="s">
        <v>79</v>
      </c>
      <c r="F2022" s="0" t="s">
        <v>12471</v>
      </c>
    </row>
    <row r="2023" customFormat="false" ht="15" hidden="false" customHeight="false" outlineLevel="0" collapsed="false">
      <c r="A2023" s="0" t="n">
        <v>687</v>
      </c>
      <c r="B2023" s="0" t="s">
        <v>4650</v>
      </c>
      <c r="C2023" s="0" t="s">
        <v>12472</v>
      </c>
      <c r="E2023" s="0" t="s">
        <v>79</v>
      </c>
      <c r="F2023" s="0" t="s">
        <v>12473</v>
      </c>
    </row>
    <row r="2024" customFormat="false" ht="15" hidden="false" customHeight="false" outlineLevel="0" collapsed="false">
      <c r="A2024" s="0" t="n">
        <v>688</v>
      </c>
      <c r="B2024" s="0" t="s">
        <v>4657</v>
      </c>
      <c r="C2024" s="0" t="s">
        <v>4660</v>
      </c>
      <c r="E2024" s="0" t="s">
        <v>79</v>
      </c>
      <c r="F2024" s="0" t="s">
        <v>12474</v>
      </c>
    </row>
    <row r="2025" customFormat="false" ht="15" hidden="false" customHeight="false" outlineLevel="0" collapsed="false">
      <c r="A2025" s="0" t="n">
        <v>688</v>
      </c>
      <c r="B2025" s="0" t="s">
        <v>4657</v>
      </c>
      <c r="C2025" s="0" t="s">
        <v>4661</v>
      </c>
      <c r="E2025" s="0" t="s">
        <v>79</v>
      </c>
      <c r="F2025" s="0" t="s">
        <v>12475</v>
      </c>
    </row>
    <row r="2026" customFormat="false" ht="15" hidden="false" customHeight="false" outlineLevel="0" collapsed="false">
      <c r="A2026" s="0" t="n">
        <v>688</v>
      </c>
      <c r="B2026" s="0" t="s">
        <v>4657</v>
      </c>
      <c r="C2026" s="0" t="s">
        <v>4662</v>
      </c>
      <c r="E2026" s="0" t="s">
        <v>79</v>
      </c>
      <c r="F2026" s="0" t="s">
        <v>12476</v>
      </c>
    </row>
    <row r="2027" customFormat="false" ht="15" hidden="false" customHeight="false" outlineLevel="0" collapsed="false">
      <c r="A2027" s="0" t="n">
        <v>688</v>
      </c>
      <c r="B2027" s="0" t="s">
        <v>4657</v>
      </c>
      <c r="C2027" s="0" t="s">
        <v>12477</v>
      </c>
      <c r="E2027" s="0" t="s">
        <v>79</v>
      </c>
      <c r="F2027" s="0" t="s">
        <v>12478</v>
      </c>
    </row>
    <row r="2028" customFormat="false" ht="15" hidden="false" customHeight="false" outlineLevel="0" collapsed="false">
      <c r="A2028" s="0" t="n">
        <v>688</v>
      </c>
      <c r="B2028" s="0" t="s">
        <v>4657</v>
      </c>
      <c r="C2028" s="0" t="s">
        <v>12479</v>
      </c>
      <c r="E2028" s="0" t="s">
        <v>79</v>
      </c>
      <c r="F2028" s="0" t="s">
        <v>12480</v>
      </c>
    </row>
    <row r="2029" customFormat="false" ht="15" hidden="false" customHeight="false" outlineLevel="0" collapsed="false">
      <c r="A2029" s="0" t="n">
        <v>689</v>
      </c>
      <c r="B2029" s="0" t="s">
        <v>4663</v>
      </c>
      <c r="C2029" s="0" t="s">
        <v>4666</v>
      </c>
      <c r="E2029" s="0" t="s">
        <v>79</v>
      </c>
      <c r="F2029" s="0" t="s">
        <v>12481</v>
      </c>
    </row>
    <row r="2030" customFormat="false" ht="15" hidden="false" customHeight="false" outlineLevel="0" collapsed="false">
      <c r="A2030" s="0" t="n">
        <v>689</v>
      </c>
      <c r="B2030" s="0" t="s">
        <v>4663</v>
      </c>
      <c r="C2030" s="0" t="s">
        <v>4667</v>
      </c>
      <c r="E2030" s="0" t="s">
        <v>79</v>
      </c>
      <c r="F2030" s="0" t="s">
        <v>12482</v>
      </c>
    </row>
    <row r="2031" customFormat="false" ht="15" hidden="false" customHeight="false" outlineLevel="0" collapsed="false">
      <c r="A2031" s="0" t="n">
        <v>689</v>
      </c>
      <c r="B2031" s="0" t="s">
        <v>4663</v>
      </c>
      <c r="C2031" s="0" t="s">
        <v>4668</v>
      </c>
      <c r="E2031" s="0" t="s">
        <v>79</v>
      </c>
      <c r="F2031" s="0" t="s">
        <v>12483</v>
      </c>
    </row>
    <row r="2032" customFormat="false" ht="15" hidden="false" customHeight="false" outlineLevel="0" collapsed="false">
      <c r="A2032" s="0" t="n">
        <v>689</v>
      </c>
      <c r="B2032" s="0" t="s">
        <v>4663</v>
      </c>
      <c r="C2032" s="0" t="s">
        <v>12484</v>
      </c>
      <c r="E2032" s="0" t="s">
        <v>79</v>
      </c>
      <c r="F2032" s="0" t="s">
        <v>12485</v>
      </c>
    </row>
    <row r="2033" customFormat="false" ht="15" hidden="false" customHeight="false" outlineLevel="0" collapsed="false">
      <c r="A2033" s="0" t="n">
        <v>689</v>
      </c>
      <c r="B2033" s="0" t="s">
        <v>4663</v>
      </c>
      <c r="C2033" s="0" t="s">
        <v>12486</v>
      </c>
      <c r="E2033" s="0" t="s">
        <v>79</v>
      </c>
      <c r="F2033" s="0" t="s">
        <v>12487</v>
      </c>
    </row>
    <row r="2034" customFormat="false" ht="15" hidden="false" customHeight="false" outlineLevel="0" collapsed="false">
      <c r="A2034" s="0" t="n">
        <v>690</v>
      </c>
      <c r="B2034" s="0" t="s">
        <v>4675</v>
      </c>
      <c r="C2034" s="0" t="s">
        <v>4677</v>
      </c>
      <c r="E2034" s="0" t="s">
        <v>79</v>
      </c>
      <c r="F2034" s="0" t="s">
        <v>12488</v>
      </c>
    </row>
    <row r="2035" customFormat="false" ht="15" hidden="false" customHeight="false" outlineLevel="0" collapsed="false">
      <c r="A2035" s="0" t="n">
        <v>690</v>
      </c>
      <c r="B2035" s="0" t="s">
        <v>4675</v>
      </c>
      <c r="C2035" s="0" t="s">
        <v>4678</v>
      </c>
      <c r="E2035" s="0" t="s">
        <v>79</v>
      </c>
      <c r="F2035" s="0" t="s">
        <v>12489</v>
      </c>
    </row>
    <row r="2036" customFormat="false" ht="15" hidden="false" customHeight="false" outlineLevel="0" collapsed="false">
      <c r="A2036" s="0" t="n">
        <v>690</v>
      </c>
      <c r="B2036" s="0" t="s">
        <v>4675</v>
      </c>
      <c r="C2036" s="0" t="s">
        <v>4679</v>
      </c>
      <c r="E2036" s="0" t="s">
        <v>79</v>
      </c>
      <c r="F2036" s="0" t="s">
        <v>12490</v>
      </c>
    </row>
    <row r="2037" customFormat="false" ht="15" hidden="false" customHeight="false" outlineLevel="0" collapsed="false">
      <c r="A2037" s="0" t="n">
        <v>690</v>
      </c>
      <c r="B2037" s="0" t="s">
        <v>4675</v>
      </c>
      <c r="C2037" s="0" t="s">
        <v>12491</v>
      </c>
      <c r="E2037" s="0" t="s">
        <v>79</v>
      </c>
      <c r="F2037" s="0" t="s">
        <v>12492</v>
      </c>
    </row>
    <row r="2038" customFormat="false" ht="15" hidden="false" customHeight="false" outlineLevel="0" collapsed="false">
      <c r="A2038" s="0" t="n">
        <v>690</v>
      </c>
      <c r="B2038" s="0" t="s">
        <v>4675</v>
      </c>
      <c r="C2038" s="0" t="s">
        <v>12493</v>
      </c>
      <c r="E2038" s="0" t="s">
        <v>79</v>
      </c>
      <c r="F2038" s="0" t="s">
        <v>12494</v>
      </c>
    </row>
    <row r="2039" customFormat="false" ht="15" hidden="false" customHeight="false" outlineLevel="0" collapsed="false">
      <c r="A2039" s="0" t="n">
        <v>692</v>
      </c>
      <c r="B2039" s="0" t="s">
        <v>4681</v>
      </c>
      <c r="C2039" s="0" t="s">
        <v>4687</v>
      </c>
      <c r="D2039" s="0" t="s">
        <v>12495</v>
      </c>
      <c r="E2039" s="0" t="s">
        <v>115</v>
      </c>
    </row>
    <row r="2040" customFormat="false" ht="15" hidden="false" customHeight="false" outlineLevel="0" collapsed="false">
      <c r="A2040" s="0" t="n">
        <v>692</v>
      </c>
      <c r="B2040" s="0" t="s">
        <v>4681</v>
      </c>
      <c r="C2040" s="0" t="s">
        <v>4688</v>
      </c>
      <c r="D2040" s="0" t="s">
        <v>12496</v>
      </c>
      <c r="E2040" s="0" t="s">
        <v>115</v>
      </c>
    </row>
    <row r="2041" customFormat="false" ht="15" hidden="false" customHeight="false" outlineLevel="0" collapsed="false">
      <c r="A2041" s="0" t="n">
        <v>692</v>
      </c>
      <c r="B2041" s="0" t="s">
        <v>4681</v>
      </c>
      <c r="C2041" s="0" t="s">
        <v>4689</v>
      </c>
      <c r="D2041" s="0" t="s">
        <v>12497</v>
      </c>
      <c r="E2041" s="0" t="s">
        <v>115</v>
      </c>
    </row>
    <row r="2042" customFormat="false" ht="15" hidden="false" customHeight="false" outlineLevel="0" collapsed="false">
      <c r="A2042" s="0" t="n">
        <v>693</v>
      </c>
      <c r="B2042" s="0" t="s">
        <v>4697</v>
      </c>
      <c r="C2042" s="0" t="s">
        <v>4700</v>
      </c>
      <c r="E2042" s="0" t="s">
        <v>79</v>
      </c>
      <c r="F2042" s="0" t="s">
        <v>12498</v>
      </c>
    </row>
    <row r="2043" customFormat="false" ht="15" hidden="false" customHeight="false" outlineLevel="0" collapsed="false">
      <c r="A2043" s="0" t="n">
        <v>693</v>
      </c>
      <c r="B2043" s="0" t="s">
        <v>4697</v>
      </c>
      <c r="C2043" s="0" t="s">
        <v>4701</v>
      </c>
      <c r="E2043" s="0" t="s">
        <v>79</v>
      </c>
      <c r="F2043" s="0" t="s">
        <v>12499</v>
      </c>
    </row>
    <row r="2044" customFormat="false" ht="15" hidden="false" customHeight="false" outlineLevel="0" collapsed="false">
      <c r="A2044" s="0" t="n">
        <v>693</v>
      </c>
      <c r="B2044" s="0" t="s">
        <v>4697</v>
      </c>
      <c r="C2044" s="0" t="s">
        <v>4702</v>
      </c>
      <c r="E2044" s="0" t="s">
        <v>79</v>
      </c>
      <c r="F2044" s="0" t="s">
        <v>12500</v>
      </c>
    </row>
    <row r="2045" customFormat="false" ht="15" hidden="false" customHeight="false" outlineLevel="0" collapsed="false">
      <c r="A2045" s="0" t="n">
        <v>693</v>
      </c>
      <c r="B2045" s="0" t="s">
        <v>4697</v>
      </c>
      <c r="C2045" s="0" t="s">
        <v>12501</v>
      </c>
      <c r="E2045" s="0" t="s">
        <v>79</v>
      </c>
      <c r="F2045" s="0" t="s">
        <v>12502</v>
      </c>
    </row>
    <row r="2046" customFormat="false" ht="15" hidden="false" customHeight="false" outlineLevel="0" collapsed="false">
      <c r="A2046" s="0" t="n">
        <v>693</v>
      </c>
      <c r="B2046" s="0" t="s">
        <v>4697</v>
      </c>
      <c r="C2046" s="0" t="s">
        <v>12503</v>
      </c>
      <c r="E2046" s="0" t="s">
        <v>79</v>
      </c>
      <c r="F2046" s="0" t="s">
        <v>12504</v>
      </c>
    </row>
    <row r="2047" customFormat="false" ht="15" hidden="false" customHeight="false" outlineLevel="0" collapsed="false">
      <c r="A2047" s="0" t="n">
        <v>694</v>
      </c>
      <c r="B2047" s="0" t="s">
        <v>4706</v>
      </c>
      <c r="C2047" s="0" t="s">
        <v>4709</v>
      </c>
      <c r="E2047" s="0" t="s">
        <v>79</v>
      </c>
      <c r="F2047" s="0" t="s">
        <v>12505</v>
      </c>
    </row>
    <row r="2048" customFormat="false" ht="15" hidden="false" customHeight="false" outlineLevel="0" collapsed="false">
      <c r="A2048" s="0" t="n">
        <v>694</v>
      </c>
      <c r="B2048" s="0" t="s">
        <v>4706</v>
      </c>
      <c r="C2048" s="0" t="s">
        <v>4710</v>
      </c>
      <c r="E2048" s="0" t="s">
        <v>79</v>
      </c>
      <c r="F2048" s="0" t="s">
        <v>12506</v>
      </c>
    </row>
    <row r="2049" customFormat="false" ht="15" hidden="false" customHeight="false" outlineLevel="0" collapsed="false">
      <c r="A2049" s="0" t="n">
        <v>694</v>
      </c>
      <c r="B2049" s="0" t="s">
        <v>4706</v>
      </c>
      <c r="C2049" s="0" t="s">
        <v>4711</v>
      </c>
      <c r="E2049" s="0" t="s">
        <v>79</v>
      </c>
      <c r="F2049" s="0" t="s">
        <v>12507</v>
      </c>
    </row>
    <row r="2050" customFormat="false" ht="15" hidden="false" customHeight="false" outlineLevel="0" collapsed="false">
      <c r="A2050" s="0" t="n">
        <v>694</v>
      </c>
      <c r="B2050" s="0" t="s">
        <v>4706</v>
      </c>
      <c r="C2050" s="0" t="s">
        <v>12508</v>
      </c>
      <c r="E2050" s="0" t="s">
        <v>79</v>
      </c>
      <c r="F2050" s="0" t="s">
        <v>12509</v>
      </c>
    </row>
    <row r="2051" customFormat="false" ht="15" hidden="false" customHeight="false" outlineLevel="0" collapsed="false">
      <c r="A2051" s="0" t="n">
        <v>694</v>
      </c>
      <c r="B2051" s="0" t="s">
        <v>4706</v>
      </c>
      <c r="C2051" s="0" t="s">
        <v>12510</v>
      </c>
      <c r="E2051" s="0" t="s">
        <v>79</v>
      </c>
      <c r="F2051" s="0" t="s">
        <v>12511</v>
      </c>
    </row>
    <row r="2052" customFormat="false" ht="15" hidden="false" customHeight="false" outlineLevel="0" collapsed="false">
      <c r="A2052" s="0" t="n">
        <v>695</v>
      </c>
      <c r="B2052" s="0" t="s">
        <v>4716</v>
      </c>
      <c r="C2052" s="0" t="s">
        <v>2317</v>
      </c>
      <c r="D2052" s="0" t="s">
        <v>11107</v>
      </c>
      <c r="E2052" s="0" t="s">
        <v>115</v>
      </c>
    </row>
    <row r="2053" customFormat="false" ht="15" hidden="false" customHeight="false" outlineLevel="0" collapsed="false">
      <c r="A2053" s="0" t="n">
        <v>695</v>
      </c>
      <c r="B2053" s="0" t="s">
        <v>4716</v>
      </c>
      <c r="C2053" s="0" t="s">
        <v>2318</v>
      </c>
      <c r="D2053" s="0" t="s">
        <v>11108</v>
      </c>
      <c r="E2053" s="0" t="s">
        <v>115</v>
      </c>
    </row>
    <row r="2054" customFormat="false" ht="15" hidden="false" customHeight="false" outlineLevel="0" collapsed="false">
      <c r="A2054" s="0" t="n">
        <v>695</v>
      </c>
      <c r="B2054" s="0" t="s">
        <v>4716</v>
      </c>
      <c r="C2054" s="0" t="s">
        <v>2319</v>
      </c>
      <c r="D2054" s="0" t="s">
        <v>11109</v>
      </c>
      <c r="E2054" s="0" t="s">
        <v>115</v>
      </c>
    </row>
    <row r="2055" customFormat="false" ht="15" hidden="false" customHeight="false" outlineLevel="0" collapsed="false">
      <c r="A2055" s="0" t="n">
        <v>696</v>
      </c>
      <c r="B2055" s="0" t="s">
        <v>4720</v>
      </c>
      <c r="C2055" s="0" t="s">
        <v>4727</v>
      </c>
      <c r="D2055" s="0" t="s">
        <v>12512</v>
      </c>
      <c r="E2055" s="0" t="s">
        <v>115</v>
      </c>
    </row>
    <row r="2056" customFormat="false" ht="15" hidden="false" customHeight="false" outlineLevel="0" collapsed="false">
      <c r="A2056" s="0" t="n">
        <v>696</v>
      </c>
      <c r="B2056" s="0" t="s">
        <v>4720</v>
      </c>
      <c r="C2056" s="0" t="s">
        <v>4728</v>
      </c>
      <c r="D2056" s="0" t="s">
        <v>12513</v>
      </c>
      <c r="E2056" s="0" t="s">
        <v>115</v>
      </c>
    </row>
    <row r="2057" customFormat="false" ht="15" hidden="false" customHeight="false" outlineLevel="0" collapsed="false">
      <c r="A2057" s="0" t="n">
        <v>696</v>
      </c>
      <c r="B2057" s="0" t="s">
        <v>4720</v>
      </c>
      <c r="C2057" s="0" t="s">
        <v>4729</v>
      </c>
      <c r="D2057" s="0" t="s">
        <v>12514</v>
      </c>
      <c r="E2057" s="0" t="s">
        <v>115</v>
      </c>
    </row>
    <row r="2058" customFormat="false" ht="15" hidden="false" customHeight="false" outlineLevel="0" collapsed="false">
      <c r="A2058" s="0" t="n">
        <v>698</v>
      </c>
      <c r="B2058" s="0" t="s">
        <v>4738</v>
      </c>
      <c r="C2058" s="0" t="s">
        <v>4741</v>
      </c>
      <c r="E2058" s="0" t="s">
        <v>59</v>
      </c>
      <c r="F2058" s="0" t="s">
        <v>12515</v>
      </c>
    </row>
    <row r="2059" customFormat="false" ht="15" hidden="false" customHeight="false" outlineLevel="0" collapsed="false">
      <c r="A2059" s="0" t="n">
        <v>698</v>
      </c>
      <c r="B2059" s="0" t="s">
        <v>4738</v>
      </c>
      <c r="C2059" s="0" t="s">
        <v>4742</v>
      </c>
      <c r="E2059" s="0" t="s">
        <v>59</v>
      </c>
      <c r="F2059" s="0" t="s">
        <v>12516</v>
      </c>
    </row>
    <row r="2060" customFormat="false" ht="15" hidden="false" customHeight="false" outlineLevel="0" collapsed="false">
      <c r="A2060" s="0" t="n">
        <v>698</v>
      </c>
      <c r="B2060" s="0" t="s">
        <v>4738</v>
      </c>
      <c r="C2060" s="0" t="s">
        <v>4743</v>
      </c>
      <c r="E2060" s="0" t="s">
        <v>59</v>
      </c>
      <c r="F2060" s="0" t="s">
        <v>12517</v>
      </c>
    </row>
    <row r="2061" customFormat="false" ht="15" hidden="false" customHeight="false" outlineLevel="0" collapsed="false">
      <c r="A2061" s="0" t="n">
        <v>698</v>
      </c>
      <c r="B2061" s="0" t="s">
        <v>4738</v>
      </c>
      <c r="C2061" s="0" t="s">
        <v>12518</v>
      </c>
      <c r="E2061" s="0" t="s">
        <v>59</v>
      </c>
      <c r="F2061" s="0" t="s">
        <v>12519</v>
      </c>
    </row>
    <row r="2062" customFormat="false" ht="15" hidden="false" customHeight="false" outlineLevel="0" collapsed="false">
      <c r="A2062" s="0" t="n">
        <v>698</v>
      </c>
      <c r="B2062" s="0" t="s">
        <v>4738</v>
      </c>
      <c r="C2062" s="0" t="s">
        <v>12520</v>
      </c>
      <c r="E2062" s="0" t="s">
        <v>59</v>
      </c>
      <c r="F2062" s="0" t="s">
        <v>12521</v>
      </c>
    </row>
    <row r="2063" customFormat="false" ht="15" hidden="false" customHeight="false" outlineLevel="0" collapsed="false">
      <c r="A2063" s="0" t="n">
        <v>699</v>
      </c>
      <c r="B2063" s="0" t="s">
        <v>4747</v>
      </c>
      <c r="C2063" s="0" t="s">
        <v>4749</v>
      </c>
      <c r="E2063" s="0" t="s">
        <v>79</v>
      </c>
      <c r="F2063" s="0" t="s">
        <v>12522</v>
      </c>
    </row>
    <row r="2064" customFormat="false" ht="15" hidden="false" customHeight="false" outlineLevel="0" collapsed="false">
      <c r="A2064" s="0" t="n">
        <v>699</v>
      </c>
      <c r="B2064" s="0" t="s">
        <v>4747</v>
      </c>
      <c r="C2064" s="0" t="s">
        <v>4750</v>
      </c>
      <c r="E2064" s="0" t="s">
        <v>79</v>
      </c>
      <c r="F2064" s="0" t="s">
        <v>12523</v>
      </c>
    </row>
    <row r="2065" customFormat="false" ht="15" hidden="false" customHeight="false" outlineLevel="0" collapsed="false">
      <c r="A2065" s="0" t="n">
        <v>699</v>
      </c>
      <c r="B2065" s="0" t="s">
        <v>4747</v>
      </c>
      <c r="C2065" s="0" t="s">
        <v>4751</v>
      </c>
      <c r="E2065" s="0" t="s">
        <v>79</v>
      </c>
      <c r="F2065" s="0" t="s">
        <v>12524</v>
      </c>
    </row>
    <row r="2066" customFormat="false" ht="15" hidden="false" customHeight="false" outlineLevel="0" collapsed="false">
      <c r="A2066" s="0" t="n">
        <v>700</v>
      </c>
      <c r="B2066" s="0" t="s">
        <v>4752</v>
      </c>
      <c r="C2066" s="0" t="s">
        <v>4758</v>
      </c>
      <c r="D2066" s="0" t="s">
        <v>12525</v>
      </c>
      <c r="E2066" s="0" t="s">
        <v>115</v>
      </c>
    </row>
    <row r="2067" customFormat="false" ht="15" hidden="false" customHeight="false" outlineLevel="0" collapsed="false">
      <c r="A2067" s="0" t="n">
        <v>700</v>
      </c>
      <c r="B2067" s="0" t="s">
        <v>4752</v>
      </c>
      <c r="C2067" s="0" t="s">
        <v>4759</v>
      </c>
      <c r="D2067" s="0" t="s">
        <v>12526</v>
      </c>
      <c r="E2067" s="0" t="s">
        <v>115</v>
      </c>
    </row>
    <row r="2068" customFormat="false" ht="15" hidden="false" customHeight="false" outlineLevel="0" collapsed="false">
      <c r="A2068" s="0" t="n">
        <v>700</v>
      </c>
      <c r="B2068" s="0" t="s">
        <v>4752</v>
      </c>
      <c r="C2068" s="0" t="s">
        <v>4760</v>
      </c>
      <c r="D2068" s="0" t="s">
        <v>12527</v>
      </c>
      <c r="E2068" s="0" t="s">
        <v>115</v>
      </c>
    </row>
    <row r="2069" customFormat="false" ht="15" hidden="false" customHeight="false" outlineLevel="0" collapsed="false">
      <c r="A2069" s="0" t="n">
        <v>701</v>
      </c>
      <c r="B2069" s="0" t="s">
        <v>4768</v>
      </c>
      <c r="C2069" s="0" t="s">
        <v>4770</v>
      </c>
      <c r="E2069" s="0" t="s">
        <v>79</v>
      </c>
      <c r="F2069" s="0" t="s">
        <v>12528</v>
      </c>
    </row>
    <row r="2070" customFormat="false" ht="15" hidden="false" customHeight="false" outlineLevel="0" collapsed="false">
      <c r="A2070" s="0" t="n">
        <v>701</v>
      </c>
      <c r="B2070" s="0" t="s">
        <v>4768</v>
      </c>
      <c r="C2070" s="0" t="s">
        <v>4771</v>
      </c>
      <c r="E2070" s="0" t="s">
        <v>79</v>
      </c>
      <c r="F2070" s="0" t="s">
        <v>12529</v>
      </c>
    </row>
    <row r="2071" customFormat="false" ht="15" hidden="false" customHeight="false" outlineLevel="0" collapsed="false">
      <c r="A2071" s="0" t="n">
        <v>701</v>
      </c>
      <c r="B2071" s="0" t="s">
        <v>4768</v>
      </c>
      <c r="C2071" s="0" t="s">
        <v>4772</v>
      </c>
      <c r="E2071" s="0" t="s">
        <v>79</v>
      </c>
      <c r="F2071" s="0" t="s">
        <v>12530</v>
      </c>
    </row>
    <row r="2072" customFormat="false" ht="15" hidden="false" customHeight="false" outlineLevel="0" collapsed="false">
      <c r="A2072" s="0" t="n">
        <v>701</v>
      </c>
      <c r="B2072" s="0" t="s">
        <v>4768</v>
      </c>
      <c r="C2072" s="0" t="s">
        <v>12531</v>
      </c>
      <c r="E2072" s="0" t="s">
        <v>79</v>
      </c>
      <c r="F2072" s="0" t="s">
        <v>12532</v>
      </c>
    </row>
    <row r="2073" customFormat="false" ht="15" hidden="false" customHeight="false" outlineLevel="0" collapsed="false">
      <c r="A2073" s="0" t="n">
        <v>701</v>
      </c>
      <c r="B2073" s="0" t="s">
        <v>4768</v>
      </c>
      <c r="C2073" s="0" t="s">
        <v>12533</v>
      </c>
      <c r="E2073" s="0" t="s">
        <v>79</v>
      </c>
      <c r="F2073" s="0" t="s">
        <v>12534</v>
      </c>
    </row>
    <row r="2074" customFormat="false" ht="15" hidden="false" customHeight="false" outlineLevel="0" collapsed="false">
      <c r="A2074" s="0" t="n">
        <v>702</v>
      </c>
      <c r="B2074" s="0" t="s">
        <v>4773</v>
      </c>
      <c r="C2074" s="0" t="s">
        <v>4776</v>
      </c>
      <c r="E2074" s="0" t="s">
        <v>79</v>
      </c>
      <c r="F2074" s="0" t="s">
        <v>12535</v>
      </c>
    </row>
    <row r="2075" customFormat="false" ht="15" hidden="false" customHeight="false" outlineLevel="0" collapsed="false">
      <c r="A2075" s="0" t="n">
        <v>702</v>
      </c>
      <c r="B2075" s="0" t="s">
        <v>4773</v>
      </c>
      <c r="C2075" s="0" t="s">
        <v>4777</v>
      </c>
      <c r="E2075" s="0" t="s">
        <v>79</v>
      </c>
      <c r="F2075" s="0" t="s">
        <v>12536</v>
      </c>
    </row>
    <row r="2076" customFormat="false" ht="15" hidden="false" customHeight="false" outlineLevel="0" collapsed="false">
      <c r="A2076" s="0" t="n">
        <v>702</v>
      </c>
      <c r="B2076" s="0" t="s">
        <v>4773</v>
      </c>
      <c r="C2076" s="0" t="s">
        <v>4778</v>
      </c>
      <c r="E2076" s="0" t="s">
        <v>79</v>
      </c>
      <c r="F2076" s="0" t="s">
        <v>12537</v>
      </c>
    </row>
    <row r="2077" customFormat="false" ht="15" hidden="false" customHeight="false" outlineLevel="0" collapsed="false">
      <c r="A2077" s="0" t="n">
        <v>702</v>
      </c>
      <c r="B2077" s="0" t="s">
        <v>4773</v>
      </c>
      <c r="C2077" s="0" t="s">
        <v>12538</v>
      </c>
      <c r="E2077" s="0" t="s">
        <v>79</v>
      </c>
      <c r="F2077" s="0" t="s">
        <v>12539</v>
      </c>
    </row>
    <row r="2078" customFormat="false" ht="15" hidden="false" customHeight="false" outlineLevel="0" collapsed="false">
      <c r="A2078" s="0" t="n">
        <v>702</v>
      </c>
      <c r="B2078" s="0" t="s">
        <v>4773</v>
      </c>
      <c r="C2078" s="0" t="s">
        <v>12540</v>
      </c>
      <c r="E2078" s="0" t="s">
        <v>79</v>
      </c>
      <c r="F2078" s="0" t="s">
        <v>12541</v>
      </c>
    </row>
    <row r="2079" customFormat="false" ht="15" hidden="false" customHeight="false" outlineLevel="0" collapsed="false">
      <c r="A2079" s="0" t="n">
        <v>704</v>
      </c>
      <c r="B2079" s="0" t="s">
        <v>4780</v>
      </c>
      <c r="C2079" s="0" t="s">
        <v>4782</v>
      </c>
      <c r="E2079" s="0" t="s">
        <v>79</v>
      </c>
      <c r="F2079" s="0" t="s">
        <v>12542</v>
      </c>
    </row>
    <row r="2080" customFormat="false" ht="15" hidden="false" customHeight="false" outlineLevel="0" collapsed="false">
      <c r="A2080" s="0" t="n">
        <v>704</v>
      </c>
      <c r="B2080" s="0" t="s">
        <v>4780</v>
      </c>
      <c r="C2080" s="0" t="s">
        <v>4783</v>
      </c>
      <c r="E2080" s="0" t="s">
        <v>79</v>
      </c>
      <c r="F2080" s="0" t="s">
        <v>12543</v>
      </c>
    </row>
    <row r="2081" customFormat="false" ht="15" hidden="false" customHeight="false" outlineLevel="0" collapsed="false">
      <c r="A2081" s="0" t="n">
        <v>704</v>
      </c>
      <c r="B2081" s="0" t="s">
        <v>4780</v>
      </c>
      <c r="C2081" s="0" t="s">
        <v>4784</v>
      </c>
      <c r="E2081" s="0" t="s">
        <v>79</v>
      </c>
      <c r="F2081" s="0" t="s">
        <v>12544</v>
      </c>
    </row>
    <row r="2082" customFormat="false" ht="15" hidden="false" customHeight="false" outlineLevel="0" collapsed="false">
      <c r="A2082" s="0" t="n">
        <v>704</v>
      </c>
      <c r="B2082" s="0" t="s">
        <v>4780</v>
      </c>
      <c r="C2082" s="0" t="s">
        <v>12545</v>
      </c>
      <c r="E2082" s="0" t="s">
        <v>79</v>
      </c>
      <c r="F2082" s="0" t="s">
        <v>12546</v>
      </c>
    </row>
    <row r="2083" customFormat="false" ht="15" hidden="false" customHeight="false" outlineLevel="0" collapsed="false">
      <c r="A2083" s="0" t="n">
        <v>705</v>
      </c>
      <c r="B2083" s="0" t="s">
        <v>4785</v>
      </c>
      <c r="C2083" s="0" t="s">
        <v>4787</v>
      </c>
      <c r="E2083" s="0" t="s">
        <v>59</v>
      </c>
      <c r="F2083" s="0" t="s">
        <v>12547</v>
      </c>
    </row>
    <row r="2084" customFormat="false" ht="15" hidden="false" customHeight="false" outlineLevel="0" collapsed="false">
      <c r="A2084" s="0" t="n">
        <v>705</v>
      </c>
      <c r="B2084" s="0" t="s">
        <v>4785</v>
      </c>
      <c r="C2084" s="0" t="s">
        <v>4788</v>
      </c>
      <c r="E2084" s="0" t="s">
        <v>59</v>
      </c>
      <c r="F2084" s="0" t="s">
        <v>12548</v>
      </c>
    </row>
    <row r="2085" customFormat="false" ht="15" hidden="false" customHeight="false" outlineLevel="0" collapsed="false">
      <c r="A2085" s="0" t="n">
        <v>705</v>
      </c>
      <c r="B2085" s="0" t="s">
        <v>4785</v>
      </c>
      <c r="C2085" s="0" t="s">
        <v>4789</v>
      </c>
      <c r="E2085" s="0" t="s">
        <v>59</v>
      </c>
      <c r="F2085" s="0" t="s">
        <v>12549</v>
      </c>
    </row>
    <row r="2086" customFormat="false" ht="15" hidden="false" customHeight="false" outlineLevel="0" collapsed="false">
      <c r="A2086" s="0" t="n">
        <v>705</v>
      </c>
      <c r="B2086" s="0" t="s">
        <v>4785</v>
      </c>
      <c r="C2086" s="0" t="s">
        <v>12550</v>
      </c>
      <c r="E2086" s="0" t="s">
        <v>59</v>
      </c>
      <c r="F2086" s="0" t="s">
        <v>12551</v>
      </c>
    </row>
    <row r="2087" customFormat="false" ht="15" hidden="false" customHeight="false" outlineLevel="0" collapsed="false">
      <c r="A2087" s="0" t="n">
        <v>705</v>
      </c>
      <c r="B2087" s="0" t="s">
        <v>4785</v>
      </c>
      <c r="C2087" s="0" t="s">
        <v>12552</v>
      </c>
      <c r="E2087" s="0" t="s">
        <v>59</v>
      </c>
      <c r="F2087" s="0" t="s">
        <v>12553</v>
      </c>
    </row>
    <row r="2088" customFormat="false" ht="15" hidden="false" customHeight="false" outlineLevel="0" collapsed="false">
      <c r="A2088" s="0" t="n">
        <v>706</v>
      </c>
      <c r="B2088" s="0" t="s">
        <v>4790</v>
      </c>
      <c r="C2088" s="0" t="s">
        <v>4793</v>
      </c>
      <c r="E2088" s="0" t="s">
        <v>79</v>
      </c>
      <c r="F2088" s="0" t="s">
        <v>12554</v>
      </c>
    </row>
    <row r="2089" customFormat="false" ht="15" hidden="false" customHeight="false" outlineLevel="0" collapsed="false">
      <c r="A2089" s="0" t="n">
        <v>706</v>
      </c>
      <c r="B2089" s="0" t="s">
        <v>4790</v>
      </c>
      <c r="C2089" s="0" t="s">
        <v>4794</v>
      </c>
      <c r="E2089" s="0" t="s">
        <v>79</v>
      </c>
      <c r="F2089" s="0" t="s">
        <v>12555</v>
      </c>
    </row>
    <row r="2090" customFormat="false" ht="15" hidden="false" customHeight="false" outlineLevel="0" collapsed="false">
      <c r="A2090" s="0" t="n">
        <v>706</v>
      </c>
      <c r="B2090" s="0" t="s">
        <v>4790</v>
      </c>
      <c r="C2090" s="0" t="s">
        <v>4795</v>
      </c>
      <c r="E2090" s="0" t="s">
        <v>79</v>
      </c>
      <c r="F2090" s="0" t="s">
        <v>12556</v>
      </c>
    </row>
    <row r="2091" customFormat="false" ht="15" hidden="false" customHeight="false" outlineLevel="0" collapsed="false">
      <c r="A2091" s="0" t="n">
        <v>706</v>
      </c>
      <c r="B2091" s="0" t="s">
        <v>4790</v>
      </c>
      <c r="C2091" s="0" t="s">
        <v>12557</v>
      </c>
      <c r="E2091" s="0" t="s">
        <v>79</v>
      </c>
      <c r="F2091" s="0" t="s">
        <v>12558</v>
      </c>
    </row>
    <row r="2092" customFormat="false" ht="15" hidden="false" customHeight="false" outlineLevel="0" collapsed="false">
      <c r="A2092" s="0" t="n">
        <v>706</v>
      </c>
      <c r="B2092" s="0" t="s">
        <v>4790</v>
      </c>
      <c r="C2092" s="0" t="s">
        <v>12559</v>
      </c>
      <c r="E2092" s="0" t="s">
        <v>79</v>
      </c>
      <c r="F2092" s="0" t="s">
        <v>12560</v>
      </c>
    </row>
    <row r="2093" customFormat="false" ht="15" hidden="false" customHeight="false" outlineLevel="0" collapsed="false">
      <c r="A2093" s="0" t="n">
        <v>707</v>
      </c>
      <c r="B2093" s="0" t="s">
        <v>4800</v>
      </c>
      <c r="C2093" s="0" t="s">
        <v>4803</v>
      </c>
      <c r="E2093" s="0" t="s">
        <v>79</v>
      </c>
      <c r="F2093" s="0" t="s">
        <v>12561</v>
      </c>
    </row>
    <row r="2094" customFormat="false" ht="15" hidden="false" customHeight="false" outlineLevel="0" collapsed="false">
      <c r="A2094" s="0" t="n">
        <v>707</v>
      </c>
      <c r="B2094" s="0" t="s">
        <v>4800</v>
      </c>
      <c r="C2094" s="0" t="s">
        <v>4804</v>
      </c>
      <c r="E2094" s="0" t="s">
        <v>79</v>
      </c>
      <c r="F2094" s="0" t="s">
        <v>12562</v>
      </c>
    </row>
    <row r="2095" customFormat="false" ht="15" hidden="false" customHeight="false" outlineLevel="0" collapsed="false">
      <c r="A2095" s="0" t="n">
        <v>707</v>
      </c>
      <c r="B2095" s="0" t="s">
        <v>4800</v>
      </c>
      <c r="C2095" s="0" t="s">
        <v>4805</v>
      </c>
      <c r="E2095" s="0" t="s">
        <v>79</v>
      </c>
      <c r="F2095" s="0" t="s">
        <v>12563</v>
      </c>
    </row>
    <row r="2096" customFormat="false" ht="15" hidden="false" customHeight="false" outlineLevel="0" collapsed="false">
      <c r="A2096" s="0" t="n">
        <v>707</v>
      </c>
      <c r="B2096" s="0" t="s">
        <v>4800</v>
      </c>
      <c r="C2096" s="0" t="s">
        <v>12564</v>
      </c>
      <c r="E2096" s="0" t="s">
        <v>79</v>
      </c>
      <c r="F2096" s="0" t="s">
        <v>12565</v>
      </c>
    </row>
    <row r="2097" customFormat="false" ht="15" hidden="false" customHeight="false" outlineLevel="0" collapsed="false">
      <c r="A2097" s="0" t="n">
        <v>707</v>
      </c>
      <c r="B2097" s="0" t="s">
        <v>4800</v>
      </c>
      <c r="C2097" s="0" t="s">
        <v>12566</v>
      </c>
      <c r="E2097" s="0" t="s">
        <v>79</v>
      </c>
      <c r="F2097" s="0" t="s">
        <v>12567</v>
      </c>
    </row>
    <row r="2098" customFormat="false" ht="15" hidden="false" customHeight="false" outlineLevel="0" collapsed="false">
      <c r="A2098" s="0" t="n">
        <v>708</v>
      </c>
      <c r="B2098" s="0" t="s">
        <v>4811</v>
      </c>
      <c r="C2098" s="0" t="s">
        <v>4813</v>
      </c>
      <c r="E2098" s="0" t="s">
        <v>79</v>
      </c>
      <c r="F2098" s="0" t="s">
        <v>12568</v>
      </c>
    </row>
    <row r="2099" customFormat="false" ht="15" hidden="false" customHeight="false" outlineLevel="0" collapsed="false">
      <c r="A2099" s="0" t="n">
        <v>708</v>
      </c>
      <c r="B2099" s="0" t="s">
        <v>4811</v>
      </c>
      <c r="C2099" s="0" t="s">
        <v>4814</v>
      </c>
      <c r="E2099" s="0" t="s">
        <v>79</v>
      </c>
      <c r="F2099" s="0" t="s">
        <v>12569</v>
      </c>
    </row>
    <row r="2100" customFormat="false" ht="15" hidden="false" customHeight="false" outlineLevel="0" collapsed="false">
      <c r="A2100" s="0" t="n">
        <v>709</v>
      </c>
      <c r="B2100" s="0" t="s">
        <v>4815</v>
      </c>
      <c r="C2100" s="0" t="s">
        <v>4818</v>
      </c>
      <c r="E2100" s="0" t="s">
        <v>79</v>
      </c>
      <c r="F2100" s="0" t="s">
        <v>12570</v>
      </c>
    </row>
    <row r="2101" customFormat="false" ht="15" hidden="false" customHeight="false" outlineLevel="0" collapsed="false">
      <c r="A2101" s="0" t="n">
        <v>709</v>
      </c>
      <c r="B2101" s="0" t="s">
        <v>4815</v>
      </c>
      <c r="C2101" s="0" t="s">
        <v>4819</v>
      </c>
      <c r="E2101" s="0" t="s">
        <v>79</v>
      </c>
      <c r="F2101" s="0" t="s">
        <v>12571</v>
      </c>
    </row>
    <row r="2102" customFormat="false" ht="15" hidden="false" customHeight="false" outlineLevel="0" collapsed="false">
      <c r="A2102" s="0" t="n">
        <v>709</v>
      </c>
      <c r="B2102" s="0" t="s">
        <v>4815</v>
      </c>
      <c r="C2102" s="0" t="s">
        <v>4820</v>
      </c>
      <c r="E2102" s="0" t="s">
        <v>79</v>
      </c>
      <c r="F2102" s="0" t="s">
        <v>12572</v>
      </c>
    </row>
    <row r="2103" customFormat="false" ht="15" hidden="false" customHeight="false" outlineLevel="0" collapsed="false">
      <c r="A2103" s="0" t="n">
        <v>709</v>
      </c>
      <c r="B2103" s="0" t="s">
        <v>4815</v>
      </c>
      <c r="C2103" s="0" t="s">
        <v>12573</v>
      </c>
      <c r="E2103" s="0" t="s">
        <v>79</v>
      </c>
      <c r="F2103" s="0" t="s">
        <v>12574</v>
      </c>
    </row>
    <row r="2104" customFormat="false" ht="15" hidden="false" customHeight="false" outlineLevel="0" collapsed="false">
      <c r="A2104" s="0" t="n">
        <v>709</v>
      </c>
      <c r="B2104" s="0" t="s">
        <v>4815</v>
      </c>
      <c r="C2104" s="0" t="s">
        <v>12575</v>
      </c>
      <c r="E2104" s="0" t="s">
        <v>79</v>
      </c>
      <c r="F2104" s="0" t="s">
        <v>12576</v>
      </c>
    </row>
    <row r="2105" customFormat="false" ht="15" hidden="false" customHeight="false" outlineLevel="0" collapsed="false">
      <c r="A2105" s="0" t="n">
        <v>710</v>
      </c>
      <c r="B2105" s="0" t="s">
        <v>4826</v>
      </c>
      <c r="C2105" s="0" t="s">
        <v>4829</v>
      </c>
      <c r="E2105" s="0" t="s">
        <v>79</v>
      </c>
      <c r="F2105" s="0" t="s">
        <v>12577</v>
      </c>
    </row>
    <row r="2106" customFormat="false" ht="15" hidden="false" customHeight="false" outlineLevel="0" collapsed="false">
      <c r="A2106" s="0" t="n">
        <v>710</v>
      </c>
      <c r="B2106" s="0" t="s">
        <v>4826</v>
      </c>
      <c r="C2106" s="0" t="s">
        <v>4830</v>
      </c>
      <c r="E2106" s="0" t="s">
        <v>79</v>
      </c>
      <c r="F2106" s="0" t="s">
        <v>12578</v>
      </c>
    </row>
    <row r="2107" customFormat="false" ht="15" hidden="false" customHeight="false" outlineLevel="0" collapsed="false">
      <c r="A2107" s="0" t="n">
        <v>711</v>
      </c>
      <c r="B2107" s="0" t="s">
        <v>4835</v>
      </c>
      <c r="C2107" s="0" t="s">
        <v>4837</v>
      </c>
      <c r="E2107" s="0" t="s">
        <v>79</v>
      </c>
      <c r="F2107" s="0" t="s">
        <v>12579</v>
      </c>
    </row>
    <row r="2108" customFormat="false" ht="15" hidden="false" customHeight="false" outlineLevel="0" collapsed="false">
      <c r="A2108" s="0" t="n">
        <v>711</v>
      </c>
      <c r="B2108" s="0" t="s">
        <v>4835</v>
      </c>
      <c r="C2108" s="0" t="s">
        <v>4838</v>
      </c>
      <c r="E2108" s="0" t="s">
        <v>79</v>
      </c>
      <c r="F2108" s="0" t="s">
        <v>12580</v>
      </c>
    </row>
    <row r="2109" customFormat="false" ht="15" hidden="false" customHeight="false" outlineLevel="0" collapsed="false">
      <c r="A2109" s="0" t="n">
        <v>711</v>
      </c>
      <c r="B2109" s="0" t="s">
        <v>4835</v>
      </c>
      <c r="C2109" s="0" t="s">
        <v>4839</v>
      </c>
      <c r="E2109" s="0" t="s">
        <v>79</v>
      </c>
      <c r="F2109" s="0" t="s">
        <v>12581</v>
      </c>
    </row>
    <row r="2110" customFormat="false" ht="15" hidden="false" customHeight="false" outlineLevel="0" collapsed="false">
      <c r="A2110" s="0" t="n">
        <v>711</v>
      </c>
      <c r="B2110" s="0" t="s">
        <v>4835</v>
      </c>
      <c r="C2110" s="0" t="s">
        <v>12582</v>
      </c>
      <c r="E2110" s="0" t="s">
        <v>79</v>
      </c>
      <c r="F2110" s="0" t="s">
        <v>12583</v>
      </c>
    </row>
    <row r="2111" customFormat="false" ht="15" hidden="false" customHeight="false" outlineLevel="0" collapsed="false">
      <c r="A2111" s="0" t="n">
        <v>711</v>
      </c>
      <c r="B2111" s="0" t="s">
        <v>4835</v>
      </c>
      <c r="C2111" s="0" t="s">
        <v>12584</v>
      </c>
      <c r="E2111" s="0" t="s">
        <v>79</v>
      </c>
      <c r="F2111" s="0" t="s">
        <v>12585</v>
      </c>
    </row>
    <row r="2112" customFormat="false" ht="15" hidden="false" customHeight="false" outlineLevel="0" collapsed="false">
      <c r="A2112" s="0" t="n">
        <v>712</v>
      </c>
      <c r="B2112" s="0" t="s">
        <v>4840</v>
      </c>
      <c r="C2112" s="0" t="s">
        <v>4842</v>
      </c>
      <c r="E2112" s="0" t="s">
        <v>79</v>
      </c>
      <c r="F2112" s="0" t="s">
        <v>12586</v>
      </c>
    </row>
    <row r="2113" customFormat="false" ht="15" hidden="false" customHeight="false" outlineLevel="0" collapsed="false">
      <c r="A2113" s="0" t="n">
        <v>712</v>
      </c>
      <c r="B2113" s="0" t="s">
        <v>4840</v>
      </c>
      <c r="C2113" s="0" t="s">
        <v>4843</v>
      </c>
      <c r="E2113" s="0" t="s">
        <v>79</v>
      </c>
      <c r="F2113" s="0" t="s">
        <v>12587</v>
      </c>
    </row>
    <row r="2114" customFormat="false" ht="15" hidden="false" customHeight="false" outlineLevel="0" collapsed="false">
      <c r="A2114" s="0" t="n">
        <v>712</v>
      </c>
      <c r="B2114" s="0" t="s">
        <v>4840</v>
      </c>
      <c r="C2114" s="0" t="s">
        <v>4844</v>
      </c>
      <c r="E2114" s="0" t="s">
        <v>79</v>
      </c>
      <c r="F2114" s="0" t="s">
        <v>12588</v>
      </c>
    </row>
    <row r="2115" customFormat="false" ht="15" hidden="false" customHeight="false" outlineLevel="0" collapsed="false">
      <c r="A2115" s="0" t="n">
        <v>712</v>
      </c>
      <c r="B2115" s="0" t="s">
        <v>4840</v>
      </c>
      <c r="C2115" s="0" t="s">
        <v>12589</v>
      </c>
      <c r="E2115" s="0" t="s">
        <v>79</v>
      </c>
      <c r="F2115" s="0" t="s">
        <v>12590</v>
      </c>
    </row>
    <row r="2116" customFormat="false" ht="15" hidden="false" customHeight="false" outlineLevel="0" collapsed="false">
      <c r="A2116" s="0" t="n">
        <v>712</v>
      </c>
      <c r="B2116" s="0" t="s">
        <v>4840</v>
      </c>
      <c r="C2116" s="0" t="s">
        <v>12591</v>
      </c>
      <c r="E2116" s="0" t="s">
        <v>79</v>
      </c>
      <c r="F2116" s="0" t="s">
        <v>12592</v>
      </c>
    </row>
    <row r="2117" customFormat="false" ht="15" hidden="false" customHeight="false" outlineLevel="0" collapsed="false">
      <c r="A2117" s="0" t="n">
        <v>713</v>
      </c>
      <c r="B2117" s="0" t="s">
        <v>4845</v>
      </c>
      <c r="C2117" s="0" t="s">
        <v>4847</v>
      </c>
      <c r="E2117" s="0" t="s">
        <v>79</v>
      </c>
      <c r="F2117" s="0" t="s">
        <v>12593</v>
      </c>
    </row>
    <row r="2118" customFormat="false" ht="15" hidden="false" customHeight="false" outlineLevel="0" collapsed="false">
      <c r="A2118" s="0" t="n">
        <v>713</v>
      </c>
      <c r="B2118" s="0" t="s">
        <v>4845</v>
      </c>
      <c r="C2118" s="0" t="s">
        <v>4848</v>
      </c>
      <c r="E2118" s="0" t="s">
        <v>79</v>
      </c>
      <c r="F2118" s="0" t="s">
        <v>12594</v>
      </c>
    </row>
    <row r="2119" customFormat="false" ht="15" hidden="false" customHeight="false" outlineLevel="0" collapsed="false">
      <c r="A2119" s="0" t="n">
        <v>713</v>
      </c>
      <c r="B2119" s="0" t="s">
        <v>4845</v>
      </c>
      <c r="C2119" s="0" t="s">
        <v>4849</v>
      </c>
      <c r="E2119" s="0" t="s">
        <v>79</v>
      </c>
      <c r="F2119" s="0" t="s">
        <v>12595</v>
      </c>
    </row>
    <row r="2120" customFormat="false" ht="15" hidden="false" customHeight="false" outlineLevel="0" collapsed="false">
      <c r="A2120" s="0" t="n">
        <v>713</v>
      </c>
      <c r="B2120" s="0" t="s">
        <v>4845</v>
      </c>
      <c r="C2120" s="0" t="s">
        <v>12596</v>
      </c>
      <c r="E2120" s="0" t="s">
        <v>79</v>
      </c>
      <c r="F2120" s="0" t="s">
        <v>12597</v>
      </c>
    </row>
    <row r="2121" customFormat="false" ht="15" hidden="false" customHeight="false" outlineLevel="0" collapsed="false">
      <c r="A2121" s="0" t="n">
        <v>713</v>
      </c>
      <c r="B2121" s="0" t="s">
        <v>4845</v>
      </c>
      <c r="C2121" s="0" t="s">
        <v>12598</v>
      </c>
      <c r="E2121" s="0" t="s">
        <v>79</v>
      </c>
      <c r="F2121" s="0" t="s">
        <v>12599</v>
      </c>
    </row>
    <row r="2122" customFormat="false" ht="15" hidden="false" customHeight="false" outlineLevel="0" collapsed="false">
      <c r="A2122" s="0" t="n">
        <v>714</v>
      </c>
      <c r="B2122" s="0" t="s">
        <v>4850</v>
      </c>
      <c r="C2122" s="0" t="s">
        <v>4853</v>
      </c>
      <c r="E2122" s="0" t="s">
        <v>59</v>
      </c>
      <c r="F2122" s="0" t="s">
        <v>12600</v>
      </c>
    </row>
    <row r="2123" customFormat="false" ht="15" hidden="false" customHeight="false" outlineLevel="0" collapsed="false">
      <c r="A2123" s="0" t="n">
        <v>714</v>
      </c>
      <c r="B2123" s="0" t="s">
        <v>4850</v>
      </c>
      <c r="C2123" s="0" t="s">
        <v>4854</v>
      </c>
      <c r="E2123" s="0" t="s">
        <v>59</v>
      </c>
      <c r="F2123" s="0" t="s">
        <v>12601</v>
      </c>
    </row>
    <row r="2124" customFormat="false" ht="15" hidden="false" customHeight="false" outlineLevel="0" collapsed="false">
      <c r="A2124" s="0" t="n">
        <v>714</v>
      </c>
      <c r="B2124" s="0" t="s">
        <v>4850</v>
      </c>
      <c r="C2124" s="0" t="s">
        <v>4855</v>
      </c>
      <c r="E2124" s="0" t="s">
        <v>59</v>
      </c>
      <c r="F2124" s="0" t="s">
        <v>12602</v>
      </c>
    </row>
    <row r="2125" customFormat="false" ht="15" hidden="false" customHeight="false" outlineLevel="0" collapsed="false">
      <c r="A2125" s="0" t="n">
        <v>714</v>
      </c>
      <c r="B2125" s="0" t="s">
        <v>4850</v>
      </c>
      <c r="C2125" s="0" t="s">
        <v>12603</v>
      </c>
      <c r="E2125" s="0" t="s">
        <v>59</v>
      </c>
      <c r="F2125" s="0" t="s">
        <v>12604</v>
      </c>
    </row>
    <row r="2126" customFormat="false" ht="15" hidden="false" customHeight="false" outlineLevel="0" collapsed="false">
      <c r="A2126" s="0" t="n">
        <v>714</v>
      </c>
      <c r="B2126" s="0" t="s">
        <v>4850</v>
      </c>
      <c r="C2126" s="0" t="s">
        <v>12605</v>
      </c>
      <c r="E2126" s="0" t="s">
        <v>59</v>
      </c>
      <c r="F2126" s="0" t="s">
        <v>12606</v>
      </c>
    </row>
    <row r="2127" customFormat="false" ht="15" hidden="false" customHeight="false" outlineLevel="0" collapsed="false">
      <c r="A2127" s="0" t="n">
        <v>715</v>
      </c>
      <c r="B2127" s="0" t="s">
        <v>4856</v>
      </c>
      <c r="C2127" s="0" t="s">
        <v>4859</v>
      </c>
      <c r="E2127" s="0" t="s">
        <v>79</v>
      </c>
      <c r="F2127" s="0" t="s">
        <v>12607</v>
      </c>
    </row>
    <row r="2128" customFormat="false" ht="15" hidden="false" customHeight="false" outlineLevel="0" collapsed="false">
      <c r="A2128" s="0" t="n">
        <v>715</v>
      </c>
      <c r="B2128" s="0" t="s">
        <v>4856</v>
      </c>
      <c r="C2128" s="0" t="s">
        <v>4860</v>
      </c>
      <c r="E2128" s="0" t="s">
        <v>79</v>
      </c>
      <c r="F2128" s="0" t="s">
        <v>12608</v>
      </c>
    </row>
    <row r="2129" customFormat="false" ht="15" hidden="false" customHeight="false" outlineLevel="0" collapsed="false">
      <c r="A2129" s="0" t="n">
        <v>715</v>
      </c>
      <c r="B2129" s="0" t="s">
        <v>4856</v>
      </c>
      <c r="C2129" s="0" t="s">
        <v>4861</v>
      </c>
      <c r="E2129" s="0" t="s">
        <v>79</v>
      </c>
      <c r="F2129" s="0" t="s">
        <v>12609</v>
      </c>
    </row>
    <row r="2130" customFormat="false" ht="15" hidden="false" customHeight="false" outlineLevel="0" collapsed="false">
      <c r="A2130" s="0" t="n">
        <v>715</v>
      </c>
      <c r="B2130" s="0" t="s">
        <v>4856</v>
      </c>
      <c r="C2130" s="0" t="s">
        <v>12610</v>
      </c>
      <c r="E2130" s="0" t="s">
        <v>79</v>
      </c>
      <c r="F2130" s="0" t="s">
        <v>12611</v>
      </c>
    </row>
    <row r="2131" customFormat="false" ht="15" hidden="false" customHeight="false" outlineLevel="0" collapsed="false">
      <c r="A2131" s="0" t="n">
        <v>716</v>
      </c>
      <c r="B2131" s="0" t="s">
        <v>4864</v>
      </c>
      <c r="C2131" s="0" t="s">
        <v>4866</v>
      </c>
      <c r="E2131" s="0" t="s">
        <v>79</v>
      </c>
      <c r="F2131" s="0" t="s">
        <v>12612</v>
      </c>
    </row>
    <row r="2132" customFormat="false" ht="15" hidden="false" customHeight="false" outlineLevel="0" collapsed="false">
      <c r="A2132" s="0" t="n">
        <v>716</v>
      </c>
      <c r="B2132" s="0" t="s">
        <v>4864</v>
      </c>
      <c r="C2132" s="0" t="s">
        <v>4867</v>
      </c>
      <c r="E2132" s="0" t="s">
        <v>79</v>
      </c>
      <c r="F2132" s="0" t="s">
        <v>12613</v>
      </c>
    </row>
    <row r="2133" customFormat="false" ht="15" hidden="false" customHeight="false" outlineLevel="0" collapsed="false">
      <c r="A2133" s="0" t="n">
        <v>716</v>
      </c>
      <c r="B2133" s="0" t="s">
        <v>4864</v>
      </c>
      <c r="C2133" s="0" t="s">
        <v>4868</v>
      </c>
      <c r="E2133" s="0" t="s">
        <v>79</v>
      </c>
      <c r="F2133" s="0" t="s">
        <v>12614</v>
      </c>
    </row>
    <row r="2134" customFormat="false" ht="15" hidden="false" customHeight="false" outlineLevel="0" collapsed="false">
      <c r="A2134" s="0" t="n">
        <v>716</v>
      </c>
      <c r="B2134" s="0" t="s">
        <v>4864</v>
      </c>
      <c r="C2134" s="0" t="s">
        <v>12615</v>
      </c>
      <c r="E2134" s="0" t="s">
        <v>79</v>
      </c>
      <c r="F2134" s="0" t="s">
        <v>12616</v>
      </c>
    </row>
    <row r="2135" customFormat="false" ht="15" hidden="false" customHeight="false" outlineLevel="0" collapsed="false">
      <c r="A2135" s="0" t="n">
        <v>716</v>
      </c>
      <c r="B2135" s="0" t="s">
        <v>4864</v>
      </c>
      <c r="C2135" s="0" t="s">
        <v>12617</v>
      </c>
      <c r="E2135" s="0" t="s">
        <v>79</v>
      </c>
      <c r="F2135" s="0" t="s">
        <v>12618</v>
      </c>
    </row>
    <row r="2136" customFormat="false" ht="15" hidden="false" customHeight="false" outlineLevel="0" collapsed="false">
      <c r="A2136" s="0" t="n">
        <v>718</v>
      </c>
      <c r="B2136" s="0" t="s">
        <v>4874</v>
      </c>
      <c r="C2136" s="0" t="s">
        <v>4876</v>
      </c>
      <c r="E2136" s="0" t="s">
        <v>59</v>
      </c>
      <c r="F2136" s="0" t="s">
        <v>12619</v>
      </c>
    </row>
    <row r="2137" customFormat="false" ht="15" hidden="false" customHeight="false" outlineLevel="0" collapsed="false">
      <c r="A2137" s="0" t="n">
        <v>718</v>
      </c>
      <c r="B2137" s="0" t="s">
        <v>4874</v>
      </c>
      <c r="C2137" s="0" t="s">
        <v>4877</v>
      </c>
      <c r="E2137" s="0" t="s">
        <v>59</v>
      </c>
      <c r="F2137" s="0" t="s">
        <v>12620</v>
      </c>
    </row>
    <row r="2138" customFormat="false" ht="15" hidden="false" customHeight="false" outlineLevel="0" collapsed="false">
      <c r="A2138" s="0" t="n">
        <v>718</v>
      </c>
      <c r="B2138" s="0" t="s">
        <v>4874</v>
      </c>
      <c r="C2138" s="0" t="s">
        <v>4878</v>
      </c>
      <c r="E2138" s="0" t="s">
        <v>59</v>
      </c>
      <c r="F2138" s="0" t="s">
        <v>12621</v>
      </c>
    </row>
    <row r="2139" customFormat="false" ht="15" hidden="false" customHeight="false" outlineLevel="0" collapsed="false">
      <c r="A2139" s="0" t="n">
        <v>718</v>
      </c>
      <c r="B2139" s="0" t="s">
        <v>4874</v>
      </c>
      <c r="C2139" s="0" t="s">
        <v>12622</v>
      </c>
      <c r="E2139" s="0" t="s">
        <v>59</v>
      </c>
      <c r="F2139" s="0" t="s">
        <v>12623</v>
      </c>
    </row>
    <row r="2140" customFormat="false" ht="15" hidden="false" customHeight="false" outlineLevel="0" collapsed="false">
      <c r="A2140" s="0" t="n">
        <v>718</v>
      </c>
      <c r="B2140" s="0" t="s">
        <v>4874</v>
      </c>
      <c r="C2140" s="0" t="s">
        <v>12624</v>
      </c>
      <c r="E2140" s="0" t="s">
        <v>59</v>
      </c>
      <c r="F2140" s="0" t="s">
        <v>12625</v>
      </c>
    </row>
    <row r="2141" customFormat="false" ht="15" hidden="false" customHeight="false" outlineLevel="0" collapsed="false">
      <c r="A2141" s="0" t="n">
        <v>719</v>
      </c>
      <c r="B2141" s="0" t="s">
        <v>4879</v>
      </c>
      <c r="C2141" s="0" t="s">
        <v>4882</v>
      </c>
      <c r="E2141" s="0" t="s">
        <v>79</v>
      </c>
      <c r="F2141" s="0" t="s">
        <v>12626</v>
      </c>
    </row>
    <row r="2142" customFormat="false" ht="15" hidden="false" customHeight="false" outlineLevel="0" collapsed="false">
      <c r="A2142" s="0" t="n">
        <v>719</v>
      </c>
      <c r="B2142" s="0" t="s">
        <v>4879</v>
      </c>
      <c r="C2142" s="0" t="s">
        <v>4883</v>
      </c>
      <c r="E2142" s="0" t="s">
        <v>79</v>
      </c>
      <c r="F2142" s="0" t="s">
        <v>12627</v>
      </c>
    </row>
    <row r="2143" customFormat="false" ht="15" hidden="false" customHeight="false" outlineLevel="0" collapsed="false">
      <c r="A2143" s="0" t="n">
        <v>719</v>
      </c>
      <c r="B2143" s="0" t="s">
        <v>4879</v>
      </c>
      <c r="C2143" s="0" t="s">
        <v>4884</v>
      </c>
      <c r="E2143" s="0" t="s">
        <v>79</v>
      </c>
      <c r="F2143" s="0" t="s">
        <v>12628</v>
      </c>
    </row>
    <row r="2144" customFormat="false" ht="15" hidden="false" customHeight="false" outlineLevel="0" collapsed="false">
      <c r="A2144" s="0" t="n">
        <v>719</v>
      </c>
      <c r="B2144" s="0" t="s">
        <v>4879</v>
      </c>
      <c r="C2144" s="0" t="s">
        <v>12629</v>
      </c>
      <c r="E2144" s="0" t="s">
        <v>79</v>
      </c>
      <c r="F2144" s="0" t="s">
        <v>12630</v>
      </c>
    </row>
    <row r="2145" customFormat="false" ht="15" hidden="false" customHeight="false" outlineLevel="0" collapsed="false">
      <c r="A2145" s="0" t="n">
        <v>719</v>
      </c>
      <c r="B2145" s="0" t="s">
        <v>4879</v>
      </c>
      <c r="C2145" s="0" t="s">
        <v>12631</v>
      </c>
      <c r="E2145" s="0" t="s">
        <v>79</v>
      </c>
      <c r="F2145" s="0" t="s">
        <v>12632</v>
      </c>
    </row>
    <row r="2146" customFormat="false" ht="15" hidden="false" customHeight="false" outlineLevel="0" collapsed="false">
      <c r="A2146" s="0" t="n">
        <v>720</v>
      </c>
      <c r="B2146" s="0" t="s">
        <v>4885</v>
      </c>
      <c r="C2146" s="0" t="s">
        <v>2826</v>
      </c>
      <c r="D2146" s="0" t="s">
        <v>11436</v>
      </c>
      <c r="E2146" s="0" t="s">
        <v>115</v>
      </c>
    </row>
    <row r="2147" customFormat="false" ht="15" hidden="false" customHeight="false" outlineLevel="0" collapsed="false">
      <c r="A2147" s="0" t="n">
        <v>720</v>
      </c>
      <c r="B2147" s="0" t="s">
        <v>4885</v>
      </c>
      <c r="C2147" s="0" t="s">
        <v>2827</v>
      </c>
      <c r="D2147" s="0" t="s">
        <v>11437</v>
      </c>
      <c r="E2147" s="0" t="s">
        <v>115</v>
      </c>
    </row>
    <row r="2148" customFormat="false" ht="15" hidden="false" customHeight="false" outlineLevel="0" collapsed="false">
      <c r="A2148" s="0" t="n">
        <v>720</v>
      </c>
      <c r="B2148" s="0" t="s">
        <v>4885</v>
      </c>
      <c r="C2148" s="0" t="s">
        <v>2828</v>
      </c>
      <c r="D2148" s="0" t="s">
        <v>11438</v>
      </c>
      <c r="E2148" s="0" t="s">
        <v>115</v>
      </c>
    </row>
    <row r="2149" customFormat="false" ht="15" hidden="false" customHeight="false" outlineLevel="0" collapsed="false">
      <c r="A2149" s="0" t="n">
        <v>721</v>
      </c>
      <c r="B2149" s="0" t="s">
        <v>4890</v>
      </c>
      <c r="C2149" s="0" t="s">
        <v>4893</v>
      </c>
      <c r="E2149" s="0" t="s">
        <v>59</v>
      </c>
      <c r="F2149" s="0" t="s">
        <v>12633</v>
      </c>
    </row>
    <row r="2150" customFormat="false" ht="15" hidden="false" customHeight="false" outlineLevel="0" collapsed="false">
      <c r="A2150" s="0" t="n">
        <v>721</v>
      </c>
      <c r="B2150" s="0" t="s">
        <v>4890</v>
      </c>
      <c r="C2150" s="0" t="s">
        <v>4894</v>
      </c>
      <c r="E2150" s="0" t="s">
        <v>59</v>
      </c>
      <c r="F2150" s="0" t="s">
        <v>12634</v>
      </c>
    </row>
    <row r="2151" customFormat="false" ht="15" hidden="false" customHeight="false" outlineLevel="0" collapsed="false">
      <c r="A2151" s="0" t="n">
        <v>721</v>
      </c>
      <c r="B2151" s="0" t="s">
        <v>4890</v>
      </c>
      <c r="C2151" s="0" t="s">
        <v>4895</v>
      </c>
      <c r="E2151" s="0" t="s">
        <v>59</v>
      </c>
      <c r="F2151" s="0" t="s">
        <v>12635</v>
      </c>
    </row>
    <row r="2152" customFormat="false" ht="15" hidden="false" customHeight="false" outlineLevel="0" collapsed="false">
      <c r="A2152" s="0" t="n">
        <v>721</v>
      </c>
      <c r="B2152" s="0" t="s">
        <v>4890</v>
      </c>
      <c r="C2152" s="0" t="s">
        <v>12636</v>
      </c>
      <c r="E2152" s="0" t="s">
        <v>59</v>
      </c>
      <c r="F2152" s="0" t="s">
        <v>12637</v>
      </c>
    </row>
    <row r="2153" customFormat="false" ht="15" hidden="false" customHeight="false" outlineLevel="0" collapsed="false">
      <c r="A2153" s="0" t="n">
        <v>721</v>
      </c>
      <c r="B2153" s="0" t="s">
        <v>4890</v>
      </c>
      <c r="C2153" s="0" t="s">
        <v>12638</v>
      </c>
      <c r="E2153" s="0" t="s">
        <v>59</v>
      </c>
      <c r="F2153" s="0" t="s">
        <v>12639</v>
      </c>
    </row>
    <row r="2154" customFormat="false" ht="15" hidden="false" customHeight="false" outlineLevel="0" collapsed="false">
      <c r="A2154" s="0" t="n">
        <v>722</v>
      </c>
      <c r="B2154" s="0" t="s">
        <v>4899</v>
      </c>
      <c r="C2154" s="0" t="s">
        <v>4902</v>
      </c>
      <c r="E2154" s="0" t="s">
        <v>79</v>
      </c>
      <c r="F2154" s="0" t="s">
        <v>12640</v>
      </c>
    </row>
    <row r="2155" customFormat="false" ht="15" hidden="false" customHeight="false" outlineLevel="0" collapsed="false">
      <c r="A2155" s="0" t="n">
        <v>722</v>
      </c>
      <c r="B2155" s="0" t="s">
        <v>4899</v>
      </c>
      <c r="C2155" s="0" t="s">
        <v>4903</v>
      </c>
      <c r="E2155" s="0" t="s">
        <v>79</v>
      </c>
      <c r="F2155" s="0" t="s">
        <v>12641</v>
      </c>
    </row>
    <row r="2156" customFormat="false" ht="15" hidden="false" customHeight="false" outlineLevel="0" collapsed="false">
      <c r="A2156" s="0" t="n">
        <v>722</v>
      </c>
      <c r="B2156" s="0" t="s">
        <v>4899</v>
      </c>
      <c r="C2156" s="0" t="s">
        <v>4904</v>
      </c>
      <c r="E2156" s="0" t="s">
        <v>79</v>
      </c>
      <c r="F2156" s="0" t="s">
        <v>12642</v>
      </c>
    </row>
    <row r="2157" customFormat="false" ht="15" hidden="false" customHeight="false" outlineLevel="0" collapsed="false">
      <c r="A2157" s="0" t="n">
        <v>722</v>
      </c>
      <c r="B2157" s="0" t="s">
        <v>4899</v>
      </c>
      <c r="C2157" s="0" t="s">
        <v>12643</v>
      </c>
      <c r="E2157" s="0" t="s">
        <v>79</v>
      </c>
      <c r="F2157" s="0" t="s">
        <v>12644</v>
      </c>
    </row>
    <row r="2158" customFormat="false" ht="15" hidden="false" customHeight="false" outlineLevel="0" collapsed="false">
      <c r="A2158" s="0" t="n">
        <v>722</v>
      </c>
      <c r="B2158" s="0" t="s">
        <v>4899</v>
      </c>
      <c r="C2158" s="0" t="s">
        <v>12645</v>
      </c>
      <c r="E2158" s="0" t="s">
        <v>79</v>
      </c>
      <c r="F2158" s="0" t="s">
        <v>12646</v>
      </c>
    </row>
    <row r="2159" customFormat="false" ht="15" hidden="false" customHeight="false" outlineLevel="0" collapsed="false">
      <c r="A2159" s="0" t="n">
        <v>723</v>
      </c>
      <c r="B2159" s="0" t="s">
        <v>4909</v>
      </c>
      <c r="C2159" s="0" t="s">
        <v>4912</v>
      </c>
      <c r="E2159" s="0" t="s">
        <v>79</v>
      </c>
      <c r="F2159" s="0" t="s">
        <v>12647</v>
      </c>
    </row>
    <row r="2160" customFormat="false" ht="15" hidden="false" customHeight="false" outlineLevel="0" collapsed="false">
      <c r="A2160" s="0" t="n">
        <v>723</v>
      </c>
      <c r="B2160" s="0" t="s">
        <v>4909</v>
      </c>
      <c r="C2160" s="0" t="s">
        <v>4913</v>
      </c>
      <c r="E2160" s="0" t="s">
        <v>79</v>
      </c>
      <c r="F2160" s="0" t="s">
        <v>12648</v>
      </c>
    </row>
    <row r="2161" customFormat="false" ht="15" hidden="false" customHeight="false" outlineLevel="0" collapsed="false">
      <c r="A2161" s="0" t="n">
        <v>723</v>
      </c>
      <c r="B2161" s="0" t="s">
        <v>4909</v>
      </c>
      <c r="C2161" s="0" t="s">
        <v>4914</v>
      </c>
      <c r="E2161" s="0" t="s">
        <v>79</v>
      </c>
      <c r="F2161" s="0" t="s">
        <v>12649</v>
      </c>
    </row>
    <row r="2162" customFormat="false" ht="15" hidden="false" customHeight="false" outlineLevel="0" collapsed="false">
      <c r="A2162" s="0" t="n">
        <v>723</v>
      </c>
      <c r="B2162" s="0" t="s">
        <v>4909</v>
      </c>
      <c r="C2162" s="0" t="s">
        <v>12650</v>
      </c>
      <c r="E2162" s="0" t="s">
        <v>79</v>
      </c>
      <c r="F2162" s="0" t="s">
        <v>12651</v>
      </c>
    </row>
    <row r="2163" customFormat="false" ht="15" hidden="false" customHeight="false" outlineLevel="0" collapsed="false">
      <c r="A2163" s="0" t="n">
        <v>723</v>
      </c>
      <c r="B2163" s="0" t="s">
        <v>4909</v>
      </c>
      <c r="C2163" s="0" t="s">
        <v>12652</v>
      </c>
      <c r="E2163" s="0" t="s">
        <v>79</v>
      </c>
      <c r="F2163" s="0" t="s">
        <v>12653</v>
      </c>
    </row>
    <row r="2164" customFormat="false" ht="15" hidden="false" customHeight="false" outlineLevel="0" collapsed="false">
      <c r="A2164" s="0" t="n">
        <v>725</v>
      </c>
      <c r="B2164" s="0" t="s">
        <v>4924</v>
      </c>
      <c r="C2164" s="0" t="s">
        <v>4926</v>
      </c>
      <c r="E2164" s="0" t="s">
        <v>59</v>
      </c>
      <c r="F2164" s="0" t="s">
        <v>12654</v>
      </c>
    </row>
    <row r="2165" customFormat="false" ht="15" hidden="false" customHeight="false" outlineLevel="0" collapsed="false">
      <c r="A2165" s="0" t="n">
        <v>725</v>
      </c>
      <c r="B2165" s="0" t="s">
        <v>4924</v>
      </c>
      <c r="C2165" s="0" t="s">
        <v>4927</v>
      </c>
      <c r="E2165" s="0" t="s">
        <v>59</v>
      </c>
      <c r="F2165" s="0" t="s">
        <v>12655</v>
      </c>
    </row>
    <row r="2166" customFormat="false" ht="15" hidden="false" customHeight="false" outlineLevel="0" collapsed="false">
      <c r="A2166" s="0" t="n">
        <v>725</v>
      </c>
      <c r="B2166" s="0" t="s">
        <v>4924</v>
      </c>
      <c r="C2166" s="0" t="s">
        <v>4928</v>
      </c>
      <c r="E2166" s="0" t="s">
        <v>59</v>
      </c>
      <c r="F2166" s="0" t="s">
        <v>12656</v>
      </c>
    </row>
    <row r="2167" customFormat="false" ht="15" hidden="false" customHeight="false" outlineLevel="0" collapsed="false">
      <c r="A2167" s="0" t="n">
        <v>725</v>
      </c>
      <c r="B2167" s="0" t="s">
        <v>4924</v>
      </c>
      <c r="C2167" s="0" t="s">
        <v>12657</v>
      </c>
      <c r="E2167" s="0" t="s">
        <v>59</v>
      </c>
      <c r="F2167" s="0" t="s">
        <v>12658</v>
      </c>
    </row>
    <row r="2168" customFormat="false" ht="15" hidden="false" customHeight="false" outlineLevel="0" collapsed="false">
      <c r="A2168" s="0" t="n">
        <v>725</v>
      </c>
      <c r="B2168" s="0" t="s">
        <v>4924</v>
      </c>
      <c r="C2168" s="0" t="s">
        <v>12659</v>
      </c>
      <c r="E2168" s="0" t="s">
        <v>59</v>
      </c>
      <c r="F2168" s="0" t="s">
        <v>12660</v>
      </c>
    </row>
    <row r="2169" customFormat="false" ht="15" hidden="false" customHeight="false" outlineLevel="0" collapsed="false">
      <c r="A2169" s="0" t="n">
        <v>727</v>
      </c>
      <c r="B2169" s="0" t="s">
        <v>4935</v>
      </c>
      <c r="C2169" s="0" t="s">
        <v>4938</v>
      </c>
      <c r="E2169" s="0" t="s">
        <v>79</v>
      </c>
      <c r="F2169" s="0" t="s">
        <v>12661</v>
      </c>
    </row>
    <row r="2170" customFormat="false" ht="15" hidden="false" customHeight="false" outlineLevel="0" collapsed="false">
      <c r="A2170" s="0" t="n">
        <v>727</v>
      </c>
      <c r="B2170" s="0" t="s">
        <v>4935</v>
      </c>
      <c r="C2170" s="0" t="s">
        <v>4939</v>
      </c>
      <c r="E2170" s="0" t="s">
        <v>79</v>
      </c>
      <c r="F2170" s="0" t="s">
        <v>12662</v>
      </c>
    </row>
    <row r="2171" customFormat="false" ht="15" hidden="false" customHeight="false" outlineLevel="0" collapsed="false">
      <c r="A2171" s="0" t="n">
        <v>727</v>
      </c>
      <c r="B2171" s="0" t="s">
        <v>4935</v>
      </c>
      <c r="C2171" s="0" t="s">
        <v>4940</v>
      </c>
      <c r="E2171" s="0" t="s">
        <v>79</v>
      </c>
      <c r="F2171" s="0" t="s">
        <v>12663</v>
      </c>
    </row>
    <row r="2172" customFormat="false" ht="15" hidden="false" customHeight="false" outlineLevel="0" collapsed="false">
      <c r="A2172" s="0" t="n">
        <v>727</v>
      </c>
      <c r="B2172" s="0" t="s">
        <v>4935</v>
      </c>
      <c r="C2172" s="0" t="s">
        <v>12664</v>
      </c>
      <c r="E2172" s="0" t="s">
        <v>79</v>
      </c>
      <c r="F2172" s="0" t="s">
        <v>12665</v>
      </c>
    </row>
    <row r="2173" customFormat="false" ht="15" hidden="false" customHeight="false" outlineLevel="0" collapsed="false">
      <c r="A2173" s="0" t="n">
        <v>727</v>
      </c>
      <c r="B2173" s="0" t="s">
        <v>4935</v>
      </c>
      <c r="C2173" s="0" t="s">
        <v>12666</v>
      </c>
      <c r="E2173" s="0" t="s">
        <v>79</v>
      </c>
      <c r="F2173" s="0" t="s">
        <v>12667</v>
      </c>
    </row>
    <row r="2174" customFormat="false" ht="15" hidden="false" customHeight="false" outlineLevel="0" collapsed="false">
      <c r="A2174" s="0" t="n">
        <v>729</v>
      </c>
      <c r="B2174" s="0" t="s">
        <v>4944</v>
      </c>
      <c r="C2174" s="0" t="s">
        <v>4947</v>
      </c>
      <c r="E2174" s="0" t="s">
        <v>79</v>
      </c>
      <c r="F2174" s="0" t="s">
        <v>12668</v>
      </c>
    </row>
    <row r="2175" customFormat="false" ht="15" hidden="false" customHeight="false" outlineLevel="0" collapsed="false">
      <c r="A2175" s="0" t="n">
        <v>729</v>
      </c>
      <c r="B2175" s="0" t="s">
        <v>4944</v>
      </c>
      <c r="C2175" s="0" t="s">
        <v>4948</v>
      </c>
      <c r="E2175" s="0" t="s">
        <v>79</v>
      </c>
      <c r="F2175" s="0" t="s">
        <v>12669</v>
      </c>
    </row>
    <row r="2176" customFormat="false" ht="15" hidden="false" customHeight="false" outlineLevel="0" collapsed="false">
      <c r="A2176" s="0" t="n">
        <v>729</v>
      </c>
      <c r="B2176" s="0" t="s">
        <v>4944</v>
      </c>
      <c r="C2176" s="0" t="s">
        <v>4949</v>
      </c>
      <c r="E2176" s="0" t="s">
        <v>79</v>
      </c>
      <c r="F2176" s="0" t="s">
        <v>12670</v>
      </c>
    </row>
    <row r="2177" customFormat="false" ht="15" hidden="false" customHeight="false" outlineLevel="0" collapsed="false">
      <c r="A2177" s="0" t="n">
        <v>729</v>
      </c>
      <c r="B2177" s="0" t="s">
        <v>4944</v>
      </c>
      <c r="C2177" s="0" t="s">
        <v>12671</v>
      </c>
      <c r="E2177" s="0" t="s">
        <v>79</v>
      </c>
      <c r="F2177" s="0" t="s">
        <v>12672</v>
      </c>
    </row>
    <row r="2178" customFormat="false" ht="15" hidden="false" customHeight="false" outlineLevel="0" collapsed="false">
      <c r="A2178" s="0" t="n">
        <v>729</v>
      </c>
      <c r="B2178" s="0" t="s">
        <v>4944</v>
      </c>
      <c r="C2178" s="0" t="s">
        <v>12673</v>
      </c>
      <c r="E2178" s="0" t="s">
        <v>79</v>
      </c>
      <c r="F2178" s="0" t="s">
        <v>12674</v>
      </c>
    </row>
    <row r="2179" customFormat="false" ht="15" hidden="false" customHeight="false" outlineLevel="0" collapsed="false">
      <c r="A2179" s="0" t="n">
        <v>730</v>
      </c>
      <c r="B2179" s="0" t="s">
        <v>4950</v>
      </c>
      <c r="C2179" s="0" t="s">
        <v>4952</v>
      </c>
      <c r="E2179" s="0" t="s">
        <v>79</v>
      </c>
      <c r="F2179" s="0" t="s">
        <v>12675</v>
      </c>
    </row>
    <row r="2180" customFormat="false" ht="15" hidden="false" customHeight="false" outlineLevel="0" collapsed="false">
      <c r="A2180" s="0" t="n">
        <v>730</v>
      </c>
      <c r="B2180" s="0" t="s">
        <v>4950</v>
      </c>
      <c r="C2180" s="0" t="s">
        <v>4953</v>
      </c>
      <c r="E2180" s="0" t="s">
        <v>79</v>
      </c>
      <c r="F2180" s="0" t="s">
        <v>12676</v>
      </c>
    </row>
    <row r="2181" customFormat="false" ht="15" hidden="false" customHeight="false" outlineLevel="0" collapsed="false">
      <c r="A2181" s="0" t="n">
        <v>730</v>
      </c>
      <c r="B2181" s="0" t="s">
        <v>4950</v>
      </c>
      <c r="C2181" s="0" t="s">
        <v>4954</v>
      </c>
      <c r="E2181" s="0" t="s">
        <v>79</v>
      </c>
      <c r="F2181" s="0" t="s">
        <v>12677</v>
      </c>
    </row>
    <row r="2182" customFormat="false" ht="15" hidden="false" customHeight="false" outlineLevel="0" collapsed="false">
      <c r="A2182" s="0" t="n">
        <v>730</v>
      </c>
      <c r="B2182" s="0" t="s">
        <v>4950</v>
      </c>
      <c r="C2182" s="0" t="s">
        <v>12678</v>
      </c>
      <c r="E2182" s="0" t="s">
        <v>79</v>
      </c>
      <c r="F2182" s="0" t="s">
        <v>12679</v>
      </c>
    </row>
    <row r="2183" customFormat="false" ht="15" hidden="false" customHeight="false" outlineLevel="0" collapsed="false">
      <c r="A2183" s="0" t="n">
        <v>730</v>
      </c>
      <c r="B2183" s="0" t="s">
        <v>4950</v>
      </c>
      <c r="C2183" s="0" t="s">
        <v>12680</v>
      </c>
      <c r="E2183" s="0" t="s">
        <v>79</v>
      </c>
      <c r="F2183" s="0" t="s">
        <v>12681</v>
      </c>
    </row>
    <row r="2184" customFormat="false" ht="15" hidden="false" customHeight="false" outlineLevel="0" collapsed="false">
      <c r="A2184" s="0" t="n">
        <v>731</v>
      </c>
      <c r="B2184" s="0" t="s">
        <v>4957</v>
      </c>
      <c r="C2184" s="0" t="s">
        <v>4959</v>
      </c>
      <c r="E2184" s="0" t="s">
        <v>59</v>
      </c>
      <c r="F2184" s="0" t="s">
        <v>12682</v>
      </c>
    </row>
    <row r="2185" customFormat="false" ht="15" hidden="false" customHeight="false" outlineLevel="0" collapsed="false">
      <c r="A2185" s="0" t="n">
        <v>731</v>
      </c>
      <c r="B2185" s="0" t="s">
        <v>4957</v>
      </c>
      <c r="C2185" s="0" t="s">
        <v>4960</v>
      </c>
      <c r="E2185" s="0" t="s">
        <v>59</v>
      </c>
      <c r="F2185" s="0" t="s">
        <v>12683</v>
      </c>
    </row>
    <row r="2186" customFormat="false" ht="15" hidden="false" customHeight="false" outlineLevel="0" collapsed="false">
      <c r="A2186" s="0" t="n">
        <v>731</v>
      </c>
      <c r="B2186" s="0" t="s">
        <v>4957</v>
      </c>
      <c r="C2186" s="0" t="s">
        <v>4961</v>
      </c>
      <c r="E2186" s="0" t="s">
        <v>59</v>
      </c>
      <c r="F2186" s="0" t="s">
        <v>12684</v>
      </c>
    </row>
    <row r="2187" customFormat="false" ht="15" hidden="false" customHeight="false" outlineLevel="0" collapsed="false">
      <c r="A2187" s="0" t="n">
        <v>731</v>
      </c>
      <c r="B2187" s="0" t="s">
        <v>4957</v>
      </c>
      <c r="C2187" s="0" t="s">
        <v>12685</v>
      </c>
      <c r="E2187" s="0" t="s">
        <v>59</v>
      </c>
      <c r="F2187" s="0" t="s">
        <v>12686</v>
      </c>
    </row>
    <row r="2188" customFormat="false" ht="15" hidden="false" customHeight="false" outlineLevel="0" collapsed="false">
      <c r="A2188" s="0" t="n">
        <v>731</v>
      </c>
      <c r="B2188" s="0" t="s">
        <v>4957</v>
      </c>
      <c r="C2188" s="0" t="s">
        <v>12687</v>
      </c>
      <c r="E2188" s="0" t="s">
        <v>59</v>
      </c>
      <c r="F2188" s="0" t="s">
        <v>12688</v>
      </c>
    </row>
    <row r="2189" customFormat="false" ht="15" hidden="false" customHeight="false" outlineLevel="0" collapsed="false">
      <c r="A2189" s="0" t="n">
        <v>733</v>
      </c>
      <c r="B2189" s="0" t="s">
        <v>4969</v>
      </c>
      <c r="C2189" s="0" t="s">
        <v>4971</v>
      </c>
      <c r="E2189" s="0" t="s">
        <v>79</v>
      </c>
      <c r="F2189" s="0" t="s">
        <v>12689</v>
      </c>
    </row>
    <row r="2190" customFormat="false" ht="15" hidden="false" customHeight="false" outlineLevel="0" collapsed="false">
      <c r="A2190" s="0" t="n">
        <v>733</v>
      </c>
      <c r="B2190" s="0" t="s">
        <v>4969</v>
      </c>
      <c r="C2190" s="0" t="s">
        <v>4972</v>
      </c>
      <c r="E2190" s="0" t="s">
        <v>79</v>
      </c>
      <c r="F2190" s="0" t="s">
        <v>12690</v>
      </c>
    </row>
    <row r="2191" customFormat="false" ht="15" hidden="false" customHeight="false" outlineLevel="0" collapsed="false">
      <c r="A2191" s="0" t="n">
        <v>733</v>
      </c>
      <c r="B2191" s="0" t="s">
        <v>4969</v>
      </c>
      <c r="C2191" s="0" t="s">
        <v>4973</v>
      </c>
      <c r="E2191" s="0" t="s">
        <v>79</v>
      </c>
      <c r="F2191" s="0" t="s">
        <v>12691</v>
      </c>
    </row>
    <row r="2192" customFormat="false" ht="15" hidden="false" customHeight="false" outlineLevel="0" collapsed="false">
      <c r="A2192" s="0" t="n">
        <v>733</v>
      </c>
      <c r="B2192" s="0" t="s">
        <v>4969</v>
      </c>
      <c r="C2192" s="0" t="s">
        <v>12692</v>
      </c>
      <c r="E2192" s="0" t="s">
        <v>79</v>
      </c>
      <c r="F2192" s="0" t="s">
        <v>12693</v>
      </c>
    </row>
    <row r="2193" customFormat="false" ht="15" hidden="false" customHeight="false" outlineLevel="0" collapsed="false">
      <c r="A2193" s="0" t="n">
        <v>734</v>
      </c>
      <c r="B2193" s="0" t="s">
        <v>4974</v>
      </c>
      <c r="C2193" s="0" t="s">
        <v>4977</v>
      </c>
      <c r="E2193" s="0" t="s">
        <v>79</v>
      </c>
      <c r="F2193" s="0" t="s">
        <v>12694</v>
      </c>
    </row>
    <row r="2194" customFormat="false" ht="15" hidden="false" customHeight="false" outlineLevel="0" collapsed="false">
      <c r="A2194" s="0" t="n">
        <v>734</v>
      </c>
      <c r="B2194" s="0" t="s">
        <v>4974</v>
      </c>
      <c r="C2194" s="0" t="s">
        <v>4978</v>
      </c>
      <c r="E2194" s="0" t="s">
        <v>79</v>
      </c>
      <c r="F2194" s="0" t="s">
        <v>12695</v>
      </c>
    </row>
    <row r="2195" customFormat="false" ht="15" hidden="false" customHeight="false" outlineLevel="0" collapsed="false">
      <c r="A2195" s="0" t="n">
        <v>735</v>
      </c>
      <c r="B2195" s="0" t="s">
        <v>4982</v>
      </c>
      <c r="C2195" s="0" t="s">
        <v>4985</v>
      </c>
      <c r="E2195" s="0" t="s">
        <v>79</v>
      </c>
      <c r="F2195" s="0" t="s">
        <v>12696</v>
      </c>
    </row>
    <row r="2196" customFormat="false" ht="15" hidden="false" customHeight="false" outlineLevel="0" collapsed="false">
      <c r="A2196" s="0" t="n">
        <v>735</v>
      </c>
      <c r="B2196" s="0" t="s">
        <v>4982</v>
      </c>
      <c r="C2196" s="0" t="s">
        <v>4986</v>
      </c>
      <c r="E2196" s="0" t="s">
        <v>79</v>
      </c>
      <c r="F2196" s="0" t="s">
        <v>12697</v>
      </c>
    </row>
    <row r="2197" customFormat="false" ht="15" hidden="false" customHeight="false" outlineLevel="0" collapsed="false">
      <c r="A2197" s="0" t="n">
        <v>737</v>
      </c>
      <c r="B2197" s="0" t="s">
        <v>4992</v>
      </c>
      <c r="C2197" s="0" t="s">
        <v>4995</v>
      </c>
      <c r="E2197" s="0" t="s">
        <v>79</v>
      </c>
      <c r="F2197" s="0" t="s">
        <v>12698</v>
      </c>
    </row>
    <row r="2198" customFormat="false" ht="15" hidden="false" customHeight="false" outlineLevel="0" collapsed="false">
      <c r="A2198" s="0" t="n">
        <v>737</v>
      </c>
      <c r="B2198" s="0" t="s">
        <v>4992</v>
      </c>
      <c r="C2198" s="0" t="s">
        <v>4996</v>
      </c>
      <c r="E2198" s="0" t="s">
        <v>79</v>
      </c>
      <c r="F2198" s="0" t="s">
        <v>12699</v>
      </c>
    </row>
    <row r="2199" customFormat="false" ht="15" hidden="false" customHeight="false" outlineLevel="0" collapsed="false">
      <c r="A2199" s="0" t="n">
        <v>737</v>
      </c>
      <c r="B2199" s="0" t="s">
        <v>4992</v>
      </c>
      <c r="C2199" s="0" t="s">
        <v>4997</v>
      </c>
      <c r="E2199" s="0" t="s">
        <v>79</v>
      </c>
      <c r="F2199" s="0" t="s">
        <v>12700</v>
      </c>
    </row>
    <row r="2200" customFormat="false" ht="15" hidden="false" customHeight="false" outlineLevel="0" collapsed="false">
      <c r="A2200" s="0" t="n">
        <v>737</v>
      </c>
      <c r="B2200" s="0" t="s">
        <v>4992</v>
      </c>
      <c r="C2200" s="0" t="s">
        <v>12701</v>
      </c>
      <c r="E2200" s="0" t="s">
        <v>79</v>
      </c>
      <c r="F2200" s="0" t="s">
        <v>12702</v>
      </c>
    </row>
    <row r="2201" customFormat="false" ht="15" hidden="false" customHeight="false" outlineLevel="0" collapsed="false">
      <c r="A2201" s="0" t="n">
        <v>737</v>
      </c>
      <c r="B2201" s="0" t="s">
        <v>4992</v>
      </c>
      <c r="C2201" s="0" t="s">
        <v>12703</v>
      </c>
      <c r="E2201" s="0" t="s">
        <v>79</v>
      </c>
      <c r="F2201" s="0" t="s">
        <v>12704</v>
      </c>
    </row>
    <row r="2202" customFormat="false" ht="15" hidden="false" customHeight="false" outlineLevel="0" collapsed="false">
      <c r="A2202" s="0" t="n">
        <v>738</v>
      </c>
      <c r="B2202" s="0" t="s">
        <v>5000</v>
      </c>
      <c r="C2202" s="0" t="s">
        <v>5004</v>
      </c>
      <c r="E2202" s="0" t="s">
        <v>79</v>
      </c>
      <c r="F2202" s="0" t="s">
        <v>12705</v>
      </c>
    </row>
    <row r="2203" customFormat="false" ht="15" hidden="false" customHeight="false" outlineLevel="0" collapsed="false">
      <c r="A2203" s="0" t="n">
        <v>738</v>
      </c>
      <c r="B2203" s="0" t="s">
        <v>5000</v>
      </c>
      <c r="C2203" s="0" t="s">
        <v>5005</v>
      </c>
      <c r="E2203" s="0" t="s">
        <v>79</v>
      </c>
      <c r="F2203" s="0" t="s">
        <v>12706</v>
      </c>
    </row>
    <row r="2204" customFormat="false" ht="15" hidden="false" customHeight="false" outlineLevel="0" collapsed="false">
      <c r="A2204" s="0" t="n">
        <v>738</v>
      </c>
      <c r="B2204" s="0" t="s">
        <v>5000</v>
      </c>
      <c r="C2204" s="0" t="s">
        <v>5006</v>
      </c>
      <c r="E2204" s="0" t="s">
        <v>79</v>
      </c>
      <c r="F2204" s="0" t="s">
        <v>12707</v>
      </c>
    </row>
    <row r="2205" customFormat="false" ht="15" hidden="false" customHeight="false" outlineLevel="0" collapsed="false">
      <c r="A2205" s="0" t="n">
        <v>738</v>
      </c>
      <c r="B2205" s="0" t="s">
        <v>5000</v>
      </c>
      <c r="C2205" s="0" t="s">
        <v>12708</v>
      </c>
      <c r="E2205" s="0" t="s">
        <v>79</v>
      </c>
      <c r="F2205" s="0" t="s">
        <v>12709</v>
      </c>
    </row>
    <row r="2206" customFormat="false" ht="15" hidden="false" customHeight="false" outlineLevel="0" collapsed="false">
      <c r="A2206" s="0" t="n">
        <v>738</v>
      </c>
      <c r="B2206" s="0" t="s">
        <v>5000</v>
      </c>
      <c r="C2206" s="0" t="s">
        <v>12710</v>
      </c>
      <c r="E2206" s="0" t="s">
        <v>79</v>
      </c>
      <c r="F2206" s="0" t="s">
        <v>12711</v>
      </c>
    </row>
    <row r="2207" customFormat="false" ht="15" hidden="false" customHeight="false" outlineLevel="0" collapsed="false">
      <c r="A2207" s="0" t="n">
        <v>739</v>
      </c>
      <c r="B2207" s="0" t="s">
        <v>5012</v>
      </c>
      <c r="C2207" s="0" t="s">
        <v>5019</v>
      </c>
      <c r="D2207" s="0" t="s">
        <v>12712</v>
      </c>
      <c r="E2207" s="0" t="s">
        <v>115</v>
      </c>
    </row>
    <row r="2208" customFormat="false" ht="15" hidden="false" customHeight="false" outlineLevel="0" collapsed="false">
      <c r="A2208" s="0" t="n">
        <v>739</v>
      </c>
      <c r="B2208" s="0" t="s">
        <v>5012</v>
      </c>
      <c r="C2208" s="0" t="s">
        <v>5020</v>
      </c>
      <c r="D2208" s="0" t="s">
        <v>12713</v>
      </c>
      <c r="E2208" s="0" t="s">
        <v>115</v>
      </c>
    </row>
    <row r="2209" customFormat="false" ht="15" hidden="false" customHeight="false" outlineLevel="0" collapsed="false">
      <c r="A2209" s="0" t="n">
        <v>739</v>
      </c>
      <c r="B2209" s="0" t="s">
        <v>5012</v>
      </c>
      <c r="C2209" s="0" t="s">
        <v>5021</v>
      </c>
      <c r="D2209" s="0" t="s">
        <v>12714</v>
      </c>
      <c r="E2209" s="0" t="s">
        <v>115</v>
      </c>
    </row>
    <row r="2210" customFormat="false" ht="15" hidden="false" customHeight="false" outlineLevel="0" collapsed="false">
      <c r="A2210" s="0" t="n">
        <v>741</v>
      </c>
      <c r="B2210" s="0" t="s">
        <v>5030</v>
      </c>
      <c r="C2210" s="0" t="s">
        <v>5032</v>
      </c>
      <c r="E2210" s="0" t="s">
        <v>79</v>
      </c>
      <c r="F2210" s="0" t="s">
        <v>12715</v>
      </c>
    </row>
    <row r="2211" customFormat="false" ht="15" hidden="false" customHeight="false" outlineLevel="0" collapsed="false">
      <c r="A2211" s="0" t="n">
        <v>741</v>
      </c>
      <c r="B2211" s="0" t="s">
        <v>5030</v>
      </c>
      <c r="C2211" s="0" t="s">
        <v>5033</v>
      </c>
      <c r="E2211" s="0" t="s">
        <v>79</v>
      </c>
      <c r="F2211" s="0" t="s">
        <v>12716</v>
      </c>
    </row>
    <row r="2212" customFormat="false" ht="15" hidden="false" customHeight="false" outlineLevel="0" collapsed="false">
      <c r="A2212" s="0" t="n">
        <v>741</v>
      </c>
      <c r="B2212" s="0" t="s">
        <v>5030</v>
      </c>
      <c r="C2212" s="0" t="s">
        <v>5034</v>
      </c>
      <c r="E2212" s="0" t="s">
        <v>79</v>
      </c>
      <c r="F2212" s="0" t="s">
        <v>12717</v>
      </c>
    </row>
    <row r="2213" customFormat="false" ht="15" hidden="false" customHeight="false" outlineLevel="0" collapsed="false">
      <c r="A2213" s="0" t="n">
        <v>741</v>
      </c>
      <c r="B2213" s="0" t="s">
        <v>5030</v>
      </c>
      <c r="C2213" s="0" t="s">
        <v>12718</v>
      </c>
      <c r="E2213" s="0" t="s">
        <v>79</v>
      </c>
      <c r="F2213" s="0" t="s">
        <v>12719</v>
      </c>
    </row>
    <row r="2214" customFormat="false" ht="15" hidden="false" customHeight="false" outlineLevel="0" collapsed="false">
      <c r="A2214" s="0" t="n">
        <v>741</v>
      </c>
      <c r="B2214" s="0" t="s">
        <v>5030</v>
      </c>
      <c r="C2214" s="0" t="s">
        <v>12720</v>
      </c>
      <c r="E2214" s="0" t="s">
        <v>79</v>
      </c>
      <c r="F2214" s="0" t="s">
        <v>12721</v>
      </c>
    </row>
    <row r="2215" customFormat="false" ht="15" hidden="false" customHeight="false" outlineLevel="0" collapsed="false">
      <c r="A2215" s="0" t="n">
        <v>742</v>
      </c>
      <c r="B2215" s="0" t="s">
        <v>5035</v>
      </c>
      <c r="C2215" s="0" t="s">
        <v>5038</v>
      </c>
      <c r="E2215" s="0" t="s">
        <v>79</v>
      </c>
      <c r="F2215" s="0" t="s">
        <v>12722</v>
      </c>
    </row>
    <row r="2216" customFormat="false" ht="15" hidden="false" customHeight="false" outlineLevel="0" collapsed="false">
      <c r="A2216" s="0" t="n">
        <v>742</v>
      </c>
      <c r="B2216" s="0" t="s">
        <v>5035</v>
      </c>
      <c r="C2216" s="0" t="s">
        <v>5039</v>
      </c>
      <c r="E2216" s="0" t="s">
        <v>79</v>
      </c>
      <c r="F2216" s="0" t="s">
        <v>12723</v>
      </c>
    </row>
    <row r="2217" customFormat="false" ht="15" hidden="false" customHeight="false" outlineLevel="0" collapsed="false">
      <c r="A2217" s="0" t="n">
        <v>742</v>
      </c>
      <c r="B2217" s="0" t="s">
        <v>5035</v>
      </c>
      <c r="C2217" s="0" t="s">
        <v>5040</v>
      </c>
      <c r="E2217" s="0" t="s">
        <v>79</v>
      </c>
      <c r="F2217" s="0" t="s">
        <v>12724</v>
      </c>
    </row>
    <row r="2218" customFormat="false" ht="15" hidden="false" customHeight="false" outlineLevel="0" collapsed="false">
      <c r="A2218" s="0" t="n">
        <v>742</v>
      </c>
      <c r="B2218" s="0" t="s">
        <v>5035</v>
      </c>
      <c r="C2218" s="0" t="s">
        <v>12725</v>
      </c>
      <c r="E2218" s="0" t="s">
        <v>79</v>
      </c>
      <c r="F2218" s="0" t="s">
        <v>12726</v>
      </c>
    </row>
    <row r="2219" customFormat="false" ht="15" hidden="false" customHeight="false" outlineLevel="0" collapsed="false">
      <c r="A2219" s="0" t="n">
        <v>742</v>
      </c>
      <c r="B2219" s="0" t="s">
        <v>5035</v>
      </c>
      <c r="C2219" s="0" t="s">
        <v>12727</v>
      </c>
      <c r="E2219" s="0" t="s">
        <v>79</v>
      </c>
      <c r="F2219" s="0" t="s">
        <v>12728</v>
      </c>
    </row>
    <row r="2220" customFormat="false" ht="15" hidden="false" customHeight="false" outlineLevel="0" collapsed="false">
      <c r="A2220" s="0" t="n">
        <v>743</v>
      </c>
      <c r="B2220" s="0" t="s">
        <v>5043</v>
      </c>
      <c r="C2220" s="0" t="s">
        <v>5047</v>
      </c>
      <c r="E2220" s="0" t="s">
        <v>79</v>
      </c>
      <c r="F2220" s="0" t="s">
        <v>12729</v>
      </c>
    </row>
    <row r="2221" customFormat="false" ht="15" hidden="false" customHeight="false" outlineLevel="0" collapsed="false">
      <c r="A2221" s="0" t="n">
        <v>743</v>
      </c>
      <c r="B2221" s="0" t="s">
        <v>5043</v>
      </c>
      <c r="C2221" s="0" t="s">
        <v>5048</v>
      </c>
      <c r="E2221" s="0" t="s">
        <v>79</v>
      </c>
      <c r="F2221" s="0" t="s">
        <v>12730</v>
      </c>
    </row>
    <row r="2222" customFormat="false" ht="15" hidden="false" customHeight="false" outlineLevel="0" collapsed="false">
      <c r="A2222" s="0" t="n">
        <v>743</v>
      </c>
      <c r="B2222" s="0" t="s">
        <v>5043</v>
      </c>
      <c r="C2222" s="0" t="s">
        <v>5049</v>
      </c>
      <c r="E2222" s="0" t="s">
        <v>79</v>
      </c>
      <c r="F2222" s="0" t="s">
        <v>12731</v>
      </c>
    </row>
    <row r="2223" customFormat="false" ht="15" hidden="false" customHeight="false" outlineLevel="0" collapsed="false">
      <c r="A2223" s="0" t="n">
        <v>743</v>
      </c>
      <c r="B2223" s="0" t="s">
        <v>5043</v>
      </c>
      <c r="C2223" s="0" t="s">
        <v>12732</v>
      </c>
      <c r="E2223" s="0" t="s">
        <v>79</v>
      </c>
      <c r="F2223" s="0" t="s">
        <v>12733</v>
      </c>
    </row>
    <row r="2224" customFormat="false" ht="15" hidden="false" customHeight="false" outlineLevel="0" collapsed="false">
      <c r="A2224" s="0" t="n">
        <v>743</v>
      </c>
      <c r="B2224" s="0" t="s">
        <v>5043</v>
      </c>
      <c r="C2224" s="0" t="s">
        <v>12734</v>
      </c>
      <c r="E2224" s="0" t="s">
        <v>79</v>
      </c>
      <c r="F2224" s="0" t="s">
        <v>12735</v>
      </c>
    </row>
    <row r="2225" customFormat="false" ht="15" hidden="false" customHeight="false" outlineLevel="0" collapsed="false">
      <c r="A2225" s="0" t="n">
        <v>744</v>
      </c>
      <c r="B2225" s="0" t="s">
        <v>5054</v>
      </c>
      <c r="C2225" s="0" t="s">
        <v>5057</v>
      </c>
      <c r="E2225" s="0" t="s">
        <v>79</v>
      </c>
      <c r="F2225" s="0" t="s">
        <v>12736</v>
      </c>
    </row>
    <row r="2226" customFormat="false" ht="15" hidden="false" customHeight="false" outlineLevel="0" collapsed="false">
      <c r="A2226" s="0" t="n">
        <v>744</v>
      </c>
      <c r="B2226" s="0" t="s">
        <v>5054</v>
      </c>
      <c r="C2226" s="0" t="s">
        <v>5058</v>
      </c>
      <c r="E2226" s="0" t="s">
        <v>79</v>
      </c>
      <c r="F2226" s="0" t="s">
        <v>12737</v>
      </c>
    </row>
    <row r="2227" customFormat="false" ht="15" hidden="false" customHeight="false" outlineLevel="0" collapsed="false">
      <c r="A2227" s="0" t="n">
        <v>744</v>
      </c>
      <c r="B2227" s="0" t="s">
        <v>5054</v>
      </c>
      <c r="C2227" s="0" t="s">
        <v>5059</v>
      </c>
      <c r="E2227" s="0" t="s">
        <v>79</v>
      </c>
      <c r="F2227" s="0" t="s">
        <v>12738</v>
      </c>
    </row>
    <row r="2228" customFormat="false" ht="15" hidden="false" customHeight="false" outlineLevel="0" collapsed="false">
      <c r="A2228" s="0" t="n">
        <v>744</v>
      </c>
      <c r="B2228" s="0" t="s">
        <v>5054</v>
      </c>
      <c r="C2228" s="0" t="s">
        <v>12739</v>
      </c>
      <c r="E2228" s="0" t="s">
        <v>79</v>
      </c>
      <c r="F2228" s="0" t="s">
        <v>12740</v>
      </c>
    </row>
    <row r="2229" customFormat="false" ht="15" hidden="false" customHeight="false" outlineLevel="0" collapsed="false">
      <c r="A2229" s="0" t="n">
        <v>744</v>
      </c>
      <c r="B2229" s="0" t="s">
        <v>5054</v>
      </c>
      <c r="C2229" s="0" t="s">
        <v>12741</v>
      </c>
      <c r="E2229" s="0" t="s">
        <v>79</v>
      </c>
      <c r="F2229" s="0" t="s">
        <v>12742</v>
      </c>
    </row>
    <row r="2230" customFormat="false" ht="15" hidden="false" customHeight="false" outlineLevel="0" collapsed="false">
      <c r="A2230" s="0" t="n">
        <v>745</v>
      </c>
      <c r="B2230" s="0" t="s">
        <v>5065</v>
      </c>
      <c r="C2230" s="0" t="s">
        <v>5068</v>
      </c>
      <c r="E2230" s="0" t="s">
        <v>79</v>
      </c>
      <c r="F2230" s="0" t="s">
        <v>12743</v>
      </c>
    </row>
    <row r="2231" customFormat="false" ht="15" hidden="false" customHeight="false" outlineLevel="0" collapsed="false">
      <c r="A2231" s="0" t="n">
        <v>745</v>
      </c>
      <c r="B2231" s="0" t="s">
        <v>5065</v>
      </c>
      <c r="C2231" s="0" t="s">
        <v>5069</v>
      </c>
      <c r="E2231" s="0" t="s">
        <v>79</v>
      </c>
      <c r="F2231" s="0" t="s">
        <v>12744</v>
      </c>
    </row>
    <row r="2232" customFormat="false" ht="15" hidden="false" customHeight="false" outlineLevel="0" collapsed="false">
      <c r="A2232" s="0" t="n">
        <v>745</v>
      </c>
      <c r="B2232" s="0" t="s">
        <v>5065</v>
      </c>
      <c r="C2232" s="0" t="s">
        <v>5070</v>
      </c>
      <c r="E2232" s="0" t="s">
        <v>79</v>
      </c>
      <c r="F2232" s="0" t="s">
        <v>12745</v>
      </c>
    </row>
    <row r="2233" customFormat="false" ht="15" hidden="false" customHeight="false" outlineLevel="0" collapsed="false">
      <c r="A2233" s="0" t="n">
        <v>745</v>
      </c>
      <c r="B2233" s="0" t="s">
        <v>5065</v>
      </c>
      <c r="C2233" s="0" t="s">
        <v>12746</v>
      </c>
      <c r="E2233" s="0" t="s">
        <v>79</v>
      </c>
      <c r="F2233" s="0" t="s">
        <v>12747</v>
      </c>
    </row>
    <row r="2234" customFormat="false" ht="15" hidden="false" customHeight="false" outlineLevel="0" collapsed="false">
      <c r="A2234" s="0" t="n">
        <v>745</v>
      </c>
      <c r="B2234" s="0" t="s">
        <v>5065</v>
      </c>
      <c r="C2234" s="0" t="s">
        <v>12748</v>
      </c>
      <c r="E2234" s="0" t="s">
        <v>79</v>
      </c>
      <c r="F2234" s="0" t="s">
        <v>12749</v>
      </c>
    </row>
    <row r="2235" customFormat="false" ht="15" hidden="false" customHeight="false" outlineLevel="0" collapsed="false">
      <c r="A2235" s="0" t="n">
        <v>746</v>
      </c>
      <c r="B2235" s="0" t="s">
        <v>5073</v>
      </c>
      <c r="C2235" s="0" t="s">
        <v>5076</v>
      </c>
      <c r="E2235" s="0" t="s">
        <v>79</v>
      </c>
      <c r="F2235" s="0" t="s">
        <v>12750</v>
      </c>
    </row>
    <row r="2236" customFormat="false" ht="15" hidden="false" customHeight="false" outlineLevel="0" collapsed="false">
      <c r="A2236" s="0" t="n">
        <v>746</v>
      </c>
      <c r="B2236" s="0" t="s">
        <v>5073</v>
      </c>
      <c r="C2236" s="0" t="s">
        <v>5077</v>
      </c>
      <c r="E2236" s="0" t="s">
        <v>79</v>
      </c>
      <c r="F2236" s="0" t="s">
        <v>12751</v>
      </c>
    </row>
    <row r="2237" customFormat="false" ht="15" hidden="false" customHeight="false" outlineLevel="0" collapsed="false">
      <c r="A2237" s="0" t="n">
        <v>747</v>
      </c>
      <c r="B2237" s="0" t="s">
        <v>5078</v>
      </c>
      <c r="C2237" s="0" t="s">
        <v>5080</v>
      </c>
      <c r="E2237" s="0" t="s">
        <v>79</v>
      </c>
      <c r="F2237" s="0" t="s">
        <v>12752</v>
      </c>
    </row>
    <row r="2238" customFormat="false" ht="15" hidden="false" customHeight="false" outlineLevel="0" collapsed="false">
      <c r="A2238" s="0" t="n">
        <v>747</v>
      </c>
      <c r="B2238" s="0" t="s">
        <v>5078</v>
      </c>
      <c r="C2238" s="0" t="s">
        <v>5081</v>
      </c>
      <c r="E2238" s="0" t="s">
        <v>79</v>
      </c>
      <c r="F2238" s="0" t="s">
        <v>12753</v>
      </c>
    </row>
    <row r="2239" customFormat="false" ht="15" hidden="false" customHeight="false" outlineLevel="0" collapsed="false">
      <c r="A2239" s="0" t="n">
        <v>747</v>
      </c>
      <c r="B2239" s="0" t="s">
        <v>5078</v>
      </c>
      <c r="C2239" s="0" t="s">
        <v>5082</v>
      </c>
      <c r="E2239" s="0" t="s">
        <v>79</v>
      </c>
      <c r="F2239" s="0" t="s">
        <v>12754</v>
      </c>
    </row>
    <row r="2240" customFormat="false" ht="15" hidden="false" customHeight="false" outlineLevel="0" collapsed="false">
      <c r="A2240" s="0" t="n">
        <v>747</v>
      </c>
      <c r="B2240" s="0" t="s">
        <v>5078</v>
      </c>
      <c r="C2240" s="0" t="s">
        <v>12755</v>
      </c>
      <c r="E2240" s="0" t="s">
        <v>79</v>
      </c>
      <c r="F2240" s="0" t="s">
        <v>12756</v>
      </c>
    </row>
    <row r="2241" customFormat="false" ht="15" hidden="false" customHeight="false" outlineLevel="0" collapsed="false">
      <c r="A2241" s="0" t="n">
        <v>747</v>
      </c>
      <c r="B2241" s="0" t="s">
        <v>5078</v>
      </c>
      <c r="C2241" s="0" t="s">
        <v>12757</v>
      </c>
      <c r="E2241" s="0" t="s">
        <v>79</v>
      </c>
      <c r="F2241" s="0" t="s">
        <v>12758</v>
      </c>
    </row>
    <row r="2242" customFormat="false" ht="15" hidden="false" customHeight="false" outlineLevel="0" collapsed="false">
      <c r="A2242" s="0" t="n">
        <v>749</v>
      </c>
      <c r="B2242" s="0" t="s">
        <v>5088</v>
      </c>
      <c r="C2242" s="0" t="s">
        <v>5091</v>
      </c>
      <c r="E2242" s="0" t="s">
        <v>79</v>
      </c>
      <c r="F2242" s="0" t="s">
        <v>12759</v>
      </c>
    </row>
    <row r="2243" customFormat="false" ht="15" hidden="false" customHeight="false" outlineLevel="0" collapsed="false">
      <c r="A2243" s="0" t="n">
        <v>749</v>
      </c>
      <c r="B2243" s="0" t="s">
        <v>5088</v>
      </c>
      <c r="C2243" s="0" t="s">
        <v>5092</v>
      </c>
      <c r="E2243" s="0" t="s">
        <v>79</v>
      </c>
      <c r="F2243" s="0" t="s">
        <v>12760</v>
      </c>
    </row>
    <row r="2244" customFormat="false" ht="15" hidden="false" customHeight="false" outlineLevel="0" collapsed="false">
      <c r="A2244" s="0" t="n">
        <v>749</v>
      </c>
      <c r="B2244" s="0" t="s">
        <v>5088</v>
      </c>
      <c r="C2244" s="0" t="s">
        <v>5093</v>
      </c>
      <c r="E2244" s="0" t="s">
        <v>79</v>
      </c>
      <c r="F2244" s="0" t="s">
        <v>12761</v>
      </c>
    </row>
    <row r="2245" customFormat="false" ht="15" hidden="false" customHeight="false" outlineLevel="0" collapsed="false">
      <c r="A2245" s="0" t="n">
        <v>749</v>
      </c>
      <c r="B2245" s="0" t="s">
        <v>5088</v>
      </c>
      <c r="C2245" s="0" t="s">
        <v>12762</v>
      </c>
      <c r="E2245" s="0" t="s">
        <v>79</v>
      </c>
      <c r="F2245" s="0" t="s">
        <v>12763</v>
      </c>
    </row>
    <row r="2246" customFormat="false" ht="15" hidden="false" customHeight="false" outlineLevel="0" collapsed="false">
      <c r="A2246" s="0" t="n">
        <v>749</v>
      </c>
      <c r="B2246" s="0" t="s">
        <v>5088</v>
      </c>
      <c r="C2246" s="0" t="s">
        <v>12764</v>
      </c>
      <c r="E2246" s="0" t="s">
        <v>79</v>
      </c>
      <c r="F2246" s="0" t="s">
        <v>12765</v>
      </c>
    </row>
    <row r="2247" customFormat="false" ht="15" hidden="false" customHeight="false" outlineLevel="0" collapsed="false">
      <c r="A2247" s="0" t="n">
        <v>750</v>
      </c>
      <c r="B2247" s="0" t="s">
        <v>5097</v>
      </c>
      <c r="C2247" s="0" t="s">
        <v>5100</v>
      </c>
      <c r="E2247" s="0" t="s">
        <v>59</v>
      </c>
      <c r="F2247" s="0" t="s">
        <v>12766</v>
      </c>
    </row>
    <row r="2248" customFormat="false" ht="15" hidden="false" customHeight="false" outlineLevel="0" collapsed="false">
      <c r="A2248" s="0" t="n">
        <v>750</v>
      </c>
      <c r="B2248" s="0" t="s">
        <v>5097</v>
      </c>
      <c r="C2248" s="0" t="s">
        <v>5101</v>
      </c>
      <c r="E2248" s="0" t="s">
        <v>59</v>
      </c>
      <c r="F2248" s="0" t="s">
        <v>12767</v>
      </c>
    </row>
    <row r="2249" customFormat="false" ht="15" hidden="false" customHeight="false" outlineLevel="0" collapsed="false">
      <c r="A2249" s="0" t="n">
        <v>750</v>
      </c>
      <c r="B2249" s="0" t="s">
        <v>5097</v>
      </c>
      <c r="C2249" s="0" t="s">
        <v>5102</v>
      </c>
      <c r="E2249" s="0" t="s">
        <v>59</v>
      </c>
      <c r="F2249" s="0" t="s">
        <v>12768</v>
      </c>
    </row>
    <row r="2250" customFormat="false" ht="15" hidden="false" customHeight="false" outlineLevel="0" collapsed="false">
      <c r="A2250" s="0" t="n">
        <v>750</v>
      </c>
      <c r="B2250" s="0" t="s">
        <v>5097</v>
      </c>
      <c r="C2250" s="0" t="s">
        <v>12769</v>
      </c>
      <c r="E2250" s="0" t="s">
        <v>59</v>
      </c>
      <c r="F2250" s="0" t="s">
        <v>12770</v>
      </c>
    </row>
    <row r="2251" customFormat="false" ht="15" hidden="false" customHeight="false" outlineLevel="0" collapsed="false">
      <c r="A2251" s="0" t="n">
        <v>750</v>
      </c>
      <c r="B2251" s="0" t="s">
        <v>5097</v>
      </c>
      <c r="C2251" s="0" t="s">
        <v>12771</v>
      </c>
      <c r="E2251" s="0" t="s">
        <v>59</v>
      </c>
      <c r="F2251" s="0" t="s">
        <v>12772</v>
      </c>
    </row>
    <row r="2252" customFormat="false" ht="15" hidden="false" customHeight="false" outlineLevel="0" collapsed="false">
      <c r="A2252" s="0" t="n">
        <v>751</v>
      </c>
      <c r="B2252" s="0" t="s">
        <v>5103</v>
      </c>
      <c r="C2252" s="0" t="s">
        <v>5109</v>
      </c>
      <c r="D2252" s="0" t="s">
        <v>12773</v>
      </c>
      <c r="E2252" s="0" t="s">
        <v>115</v>
      </c>
    </row>
    <row r="2253" customFormat="false" ht="15" hidden="false" customHeight="false" outlineLevel="0" collapsed="false">
      <c r="A2253" s="0" t="n">
        <v>751</v>
      </c>
      <c r="B2253" s="0" t="s">
        <v>5103</v>
      </c>
      <c r="C2253" s="0" t="s">
        <v>5110</v>
      </c>
      <c r="D2253" s="0" t="s">
        <v>12774</v>
      </c>
      <c r="E2253" s="0" t="s">
        <v>115</v>
      </c>
    </row>
    <row r="2254" customFormat="false" ht="15" hidden="false" customHeight="false" outlineLevel="0" collapsed="false">
      <c r="A2254" s="0" t="n">
        <v>751</v>
      </c>
      <c r="B2254" s="0" t="s">
        <v>5103</v>
      </c>
      <c r="C2254" s="0" t="s">
        <v>5111</v>
      </c>
      <c r="D2254" s="0" t="s">
        <v>12775</v>
      </c>
      <c r="E2254" s="0" t="s">
        <v>115</v>
      </c>
    </row>
    <row r="2255" customFormat="false" ht="15" hidden="false" customHeight="false" outlineLevel="0" collapsed="false">
      <c r="A2255" s="0" t="n">
        <v>752</v>
      </c>
      <c r="B2255" s="0" t="s">
        <v>5121</v>
      </c>
      <c r="C2255" s="0" t="s">
        <v>5123</v>
      </c>
      <c r="E2255" s="0" t="s">
        <v>79</v>
      </c>
      <c r="F2255" s="0" t="s">
        <v>12776</v>
      </c>
    </row>
    <row r="2256" customFormat="false" ht="15" hidden="false" customHeight="false" outlineLevel="0" collapsed="false">
      <c r="A2256" s="0" t="n">
        <v>752</v>
      </c>
      <c r="B2256" s="0" t="s">
        <v>5121</v>
      </c>
      <c r="C2256" s="0" t="s">
        <v>5124</v>
      </c>
      <c r="E2256" s="0" t="s">
        <v>79</v>
      </c>
      <c r="F2256" s="0" t="s">
        <v>12777</v>
      </c>
    </row>
    <row r="2257" customFormat="false" ht="15" hidden="false" customHeight="false" outlineLevel="0" collapsed="false">
      <c r="A2257" s="0" t="n">
        <v>752</v>
      </c>
      <c r="B2257" s="0" t="s">
        <v>5121</v>
      </c>
      <c r="C2257" s="0" t="s">
        <v>5125</v>
      </c>
      <c r="E2257" s="0" t="s">
        <v>79</v>
      </c>
      <c r="F2257" s="0" t="s">
        <v>12778</v>
      </c>
    </row>
    <row r="2258" customFormat="false" ht="15" hidden="false" customHeight="false" outlineLevel="0" collapsed="false">
      <c r="A2258" s="0" t="n">
        <v>752</v>
      </c>
      <c r="B2258" s="0" t="s">
        <v>5121</v>
      </c>
      <c r="C2258" s="0" t="s">
        <v>12779</v>
      </c>
      <c r="E2258" s="0" t="s">
        <v>79</v>
      </c>
      <c r="F2258" s="0" t="s">
        <v>12780</v>
      </c>
    </row>
    <row r="2259" customFormat="false" ht="15" hidden="false" customHeight="false" outlineLevel="0" collapsed="false">
      <c r="A2259" s="0" t="n">
        <v>752</v>
      </c>
      <c r="B2259" s="0" t="s">
        <v>5121</v>
      </c>
      <c r="C2259" s="0" t="s">
        <v>12781</v>
      </c>
      <c r="E2259" s="0" t="s">
        <v>79</v>
      </c>
      <c r="F2259" s="0" t="s">
        <v>12782</v>
      </c>
    </row>
    <row r="2260" customFormat="false" ht="15" hidden="false" customHeight="false" outlineLevel="0" collapsed="false">
      <c r="A2260" s="0" t="n">
        <v>754</v>
      </c>
      <c r="B2260" s="0" t="s">
        <v>5130</v>
      </c>
      <c r="C2260" s="0" t="s">
        <v>5132</v>
      </c>
      <c r="E2260" s="0" t="s">
        <v>79</v>
      </c>
      <c r="F2260" s="0" t="s">
        <v>12783</v>
      </c>
    </row>
    <row r="2261" customFormat="false" ht="15" hidden="false" customHeight="false" outlineLevel="0" collapsed="false">
      <c r="A2261" s="0" t="n">
        <v>754</v>
      </c>
      <c r="B2261" s="0" t="s">
        <v>5130</v>
      </c>
      <c r="C2261" s="0" t="s">
        <v>5133</v>
      </c>
      <c r="E2261" s="0" t="s">
        <v>79</v>
      </c>
      <c r="F2261" s="0" t="s">
        <v>12784</v>
      </c>
    </row>
    <row r="2262" customFormat="false" ht="15" hidden="false" customHeight="false" outlineLevel="0" collapsed="false">
      <c r="A2262" s="0" t="n">
        <v>754</v>
      </c>
      <c r="B2262" s="0" t="s">
        <v>5130</v>
      </c>
      <c r="C2262" s="0" t="s">
        <v>5134</v>
      </c>
      <c r="E2262" s="0" t="s">
        <v>79</v>
      </c>
      <c r="F2262" s="0" t="s">
        <v>12785</v>
      </c>
    </row>
    <row r="2263" customFormat="false" ht="15" hidden="false" customHeight="false" outlineLevel="0" collapsed="false">
      <c r="A2263" s="0" t="n">
        <v>754</v>
      </c>
      <c r="B2263" s="0" t="s">
        <v>5130</v>
      </c>
      <c r="C2263" s="0" t="s">
        <v>12786</v>
      </c>
      <c r="E2263" s="0" t="s">
        <v>79</v>
      </c>
      <c r="F2263" s="0" t="s">
        <v>12787</v>
      </c>
    </row>
    <row r="2264" customFormat="false" ht="15" hidden="false" customHeight="false" outlineLevel="0" collapsed="false">
      <c r="A2264" s="0" t="n">
        <v>754</v>
      </c>
      <c r="B2264" s="0" t="s">
        <v>5130</v>
      </c>
      <c r="C2264" s="0" t="s">
        <v>12788</v>
      </c>
      <c r="E2264" s="0" t="s">
        <v>79</v>
      </c>
      <c r="F2264" s="0" t="s">
        <v>12789</v>
      </c>
    </row>
    <row r="2265" customFormat="false" ht="15" hidden="false" customHeight="false" outlineLevel="0" collapsed="false">
      <c r="A2265" s="0" t="n">
        <v>755</v>
      </c>
      <c r="B2265" s="0" t="s">
        <v>5135</v>
      </c>
      <c r="C2265" s="0" t="s">
        <v>5137</v>
      </c>
      <c r="E2265" s="0" t="s">
        <v>79</v>
      </c>
      <c r="F2265" s="0" t="s">
        <v>12790</v>
      </c>
    </row>
    <row r="2266" customFormat="false" ht="15" hidden="false" customHeight="false" outlineLevel="0" collapsed="false">
      <c r="A2266" s="0" t="n">
        <v>755</v>
      </c>
      <c r="B2266" s="0" t="s">
        <v>5135</v>
      </c>
      <c r="C2266" s="0" t="s">
        <v>5138</v>
      </c>
      <c r="E2266" s="0" t="s">
        <v>79</v>
      </c>
      <c r="F2266" s="0" t="s">
        <v>12791</v>
      </c>
    </row>
    <row r="2267" customFormat="false" ht="15" hidden="false" customHeight="false" outlineLevel="0" collapsed="false">
      <c r="A2267" s="0" t="n">
        <v>756</v>
      </c>
      <c r="B2267" s="0" t="s">
        <v>5139</v>
      </c>
      <c r="C2267" s="0" t="s">
        <v>5142</v>
      </c>
      <c r="E2267" s="0" t="s">
        <v>79</v>
      </c>
      <c r="F2267" s="0" t="s">
        <v>12792</v>
      </c>
    </row>
    <row r="2268" customFormat="false" ht="15" hidden="false" customHeight="false" outlineLevel="0" collapsed="false">
      <c r="A2268" s="0" t="n">
        <v>756</v>
      </c>
      <c r="B2268" s="0" t="s">
        <v>5139</v>
      </c>
      <c r="C2268" s="0" t="s">
        <v>5143</v>
      </c>
      <c r="E2268" s="0" t="s">
        <v>79</v>
      </c>
      <c r="F2268" s="0" t="s">
        <v>12793</v>
      </c>
    </row>
    <row r="2269" customFormat="false" ht="15" hidden="false" customHeight="false" outlineLevel="0" collapsed="false">
      <c r="A2269" s="0" t="n">
        <v>756</v>
      </c>
      <c r="B2269" s="0" t="s">
        <v>5139</v>
      </c>
      <c r="C2269" s="0" t="s">
        <v>5144</v>
      </c>
      <c r="E2269" s="0" t="s">
        <v>79</v>
      </c>
      <c r="F2269" s="0" t="s">
        <v>12794</v>
      </c>
    </row>
    <row r="2270" customFormat="false" ht="15" hidden="false" customHeight="false" outlineLevel="0" collapsed="false">
      <c r="A2270" s="0" t="n">
        <v>756</v>
      </c>
      <c r="B2270" s="0" t="s">
        <v>5139</v>
      </c>
      <c r="C2270" s="0" t="s">
        <v>12795</v>
      </c>
      <c r="E2270" s="0" t="s">
        <v>79</v>
      </c>
      <c r="F2270" s="0" t="s">
        <v>12796</v>
      </c>
    </row>
    <row r="2271" customFormat="false" ht="15" hidden="false" customHeight="false" outlineLevel="0" collapsed="false">
      <c r="A2271" s="0" t="n">
        <v>756</v>
      </c>
      <c r="B2271" s="0" t="s">
        <v>5139</v>
      </c>
      <c r="C2271" s="0" t="s">
        <v>12797</v>
      </c>
      <c r="E2271" s="0" t="s">
        <v>79</v>
      </c>
      <c r="F2271" s="0" t="s">
        <v>12798</v>
      </c>
    </row>
    <row r="2272" customFormat="false" ht="15" hidden="false" customHeight="false" outlineLevel="0" collapsed="false">
      <c r="A2272" s="0" t="n">
        <v>757</v>
      </c>
      <c r="B2272" s="0" t="s">
        <v>5148</v>
      </c>
      <c r="C2272" s="0" t="s">
        <v>5154</v>
      </c>
      <c r="D2272" s="0" t="s">
        <v>12799</v>
      </c>
      <c r="E2272" s="0" t="s">
        <v>115</v>
      </c>
    </row>
    <row r="2273" customFormat="false" ht="15" hidden="false" customHeight="false" outlineLevel="0" collapsed="false">
      <c r="A2273" s="0" t="n">
        <v>757</v>
      </c>
      <c r="B2273" s="0" t="s">
        <v>5148</v>
      </c>
      <c r="C2273" s="0" t="s">
        <v>5155</v>
      </c>
      <c r="D2273" s="0" t="s">
        <v>12800</v>
      </c>
      <c r="E2273" s="0" t="s">
        <v>115</v>
      </c>
    </row>
    <row r="2274" customFormat="false" ht="15" hidden="false" customHeight="false" outlineLevel="0" collapsed="false">
      <c r="A2274" s="0" t="n">
        <v>757</v>
      </c>
      <c r="B2274" s="0" t="s">
        <v>5148</v>
      </c>
      <c r="C2274" s="0" t="s">
        <v>5156</v>
      </c>
      <c r="D2274" s="0" t="s">
        <v>12801</v>
      </c>
      <c r="E2274" s="0" t="s">
        <v>115</v>
      </c>
    </row>
    <row r="2275" customFormat="false" ht="15" hidden="false" customHeight="false" outlineLevel="0" collapsed="false">
      <c r="A2275" s="0" t="n">
        <v>759</v>
      </c>
      <c r="B2275" s="0" t="s">
        <v>5170</v>
      </c>
      <c r="C2275" s="0" t="s">
        <v>5173</v>
      </c>
      <c r="E2275" s="0" t="s">
        <v>79</v>
      </c>
      <c r="F2275" s="0" t="s">
        <v>12802</v>
      </c>
    </row>
    <row r="2276" customFormat="false" ht="15" hidden="false" customHeight="false" outlineLevel="0" collapsed="false">
      <c r="A2276" s="0" t="n">
        <v>759</v>
      </c>
      <c r="B2276" s="0" t="s">
        <v>5170</v>
      </c>
      <c r="C2276" s="0" t="s">
        <v>5174</v>
      </c>
      <c r="E2276" s="0" t="s">
        <v>79</v>
      </c>
      <c r="F2276" s="0" t="s">
        <v>12803</v>
      </c>
    </row>
    <row r="2277" customFormat="false" ht="15" hidden="false" customHeight="false" outlineLevel="0" collapsed="false">
      <c r="A2277" s="0" t="n">
        <v>759</v>
      </c>
      <c r="B2277" s="0" t="s">
        <v>5170</v>
      </c>
      <c r="C2277" s="0" t="s">
        <v>5175</v>
      </c>
      <c r="E2277" s="0" t="s">
        <v>79</v>
      </c>
      <c r="F2277" s="0" t="s">
        <v>12804</v>
      </c>
    </row>
    <row r="2278" customFormat="false" ht="15" hidden="false" customHeight="false" outlineLevel="0" collapsed="false">
      <c r="A2278" s="0" t="n">
        <v>759</v>
      </c>
      <c r="B2278" s="0" t="s">
        <v>5170</v>
      </c>
      <c r="C2278" s="0" t="s">
        <v>12805</v>
      </c>
      <c r="E2278" s="0" t="s">
        <v>79</v>
      </c>
      <c r="F2278" s="0" t="s">
        <v>12806</v>
      </c>
    </row>
    <row r="2279" customFormat="false" ht="15" hidden="false" customHeight="false" outlineLevel="0" collapsed="false">
      <c r="A2279" s="0" t="n">
        <v>760</v>
      </c>
      <c r="B2279" s="0" t="s">
        <v>5180</v>
      </c>
      <c r="C2279" s="0" t="s">
        <v>5183</v>
      </c>
      <c r="E2279" s="0" t="s">
        <v>79</v>
      </c>
      <c r="F2279" s="0" t="s">
        <v>12807</v>
      </c>
    </row>
    <row r="2280" customFormat="false" ht="15" hidden="false" customHeight="false" outlineLevel="0" collapsed="false">
      <c r="A2280" s="0" t="n">
        <v>760</v>
      </c>
      <c r="B2280" s="0" t="s">
        <v>5180</v>
      </c>
      <c r="C2280" s="0" t="s">
        <v>5184</v>
      </c>
      <c r="E2280" s="0" t="s">
        <v>79</v>
      </c>
      <c r="F2280" s="0" t="s">
        <v>12808</v>
      </c>
    </row>
    <row r="2281" customFormat="false" ht="15" hidden="false" customHeight="false" outlineLevel="0" collapsed="false">
      <c r="A2281" s="0" t="n">
        <v>760</v>
      </c>
      <c r="B2281" s="0" t="s">
        <v>5180</v>
      </c>
      <c r="C2281" s="0" t="s">
        <v>5185</v>
      </c>
      <c r="E2281" s="0" t="s">
        <v>79</v>
      </c>
      <c r="F2281" s="0" t="s">
        <v>12809</v>
      </c>
    </row>
    <row r="2282" customFormat="false" ht="15" hidden="false" customHeight="false" outlineLevel="0" collapsed="false">
      <c r="A2282" s="0" t="n">
        <v>760</v>
      </c>
      <c r="B2282" s="0" t="s">
        <v>5180</v>
      </c>
      <c r="C2282" s="0" t="s">
        <v>12810</v>
      </c>
      <c r="E2282" s="0" t="s">
        <v>79</v>
      </c>
      <c r="F2282" s="0" t="s">
        <v>12811</v>
      </c>
    </row>
    <row r="2283" customFormat="false" ht="15" hidden="false" customHeight="false" outlineLevel="0" collapsed="false">
      <c r="A2283" s="0" t="n">
        <v>760</v>
      </c>
      <c r="B2283" s="0" t="s">
        <v>5180</v>
      </c>
      <c r="C2283" s="0" t="s">
        <v>12812</v>
      </c>
      <c r="E2283" s="0" t="s">
        <v>79</v>
      </c>
      <c r="F2283" s="0" t="s">
        <v>12813</v>
      </c>
    </row>
    <row r="2284" customFormat="false" ht="15" hidden="false" customHeight="false" outlineLevel="0" collapsed="false">
      <c r="A2284" s="0" t="n">
        <v>761</v>
      </c>
      <c r="B2284" s="0" t="s">
        <v>5188</v>
      </c>
      <c r="C2284" s="0" t="s">
        <v>5190</v>
      </c>
      <c r="E2284" s="0" t="s">
        <v>79</v>
      </c>
      <c r="F2284" s="0" t="s">
        <v>12814</v>
      </c>
    </row>
    <row r="2285" customFormat="false" ht="15" hidden="false" customHeight="false" outlineLevel="0" collapsed="false">
      <c r="A2285" s="0" t="n">
        <v>761</v>
      </c>
      <c r="B2285" s="0" t="s">
        <v>5188</v>
      </c>
      <c r="C2285" s="0" t="s">
        <v>5191</v>
      </c>
      <c r="E2285" s="0" t="s">
        <v>79</v>
      </c>
      <c r="F2285" s="0" t="s">
        <v>12815</v>
      </c>
    </row>
    <row r="2286" customFormat="false" ht="15" hidden="false" customHeight="false" outlineLevel="0" collapsed="false">
      <c r="A2286" s="0" t="n">
        <v>761</v>
      </c>
      <c r="B2286" s="0" t="s">
        <v>5188</v>
      </c>
      <c r="C2286" s="0" t="s">
        <v>5192</v>
      </c>
      <c r="E2286" s="0" t="s">
        <v>79</v>
      </c>
      <c r="F2286" s="0" t="s">
        <v>12816</v>
      </c>
    </row>
    <row r="2287" customFormat="false" ht="15" hidden="false" customHeight="false" outlineLevel="0" collapsed="false">
      <c r="A2287" s="0" t="n">
        <v>761</v>
      </c>
      <c r="B2287" s="0" t="s">
        <v>5188</v>
      </c>
      <c r="C2287" s="0" t="s">
        <v>12817</v>
      </c>
      <c r="E2287" s="0" t="s">
        <v>79</v>
      </c>
      <c r="F2287" s="0" t="s">
        <v>12818</v>
      </c>
    </row>
    <row r="2288" customFormat="false" ht="15" hidden="false" customHeight="false" outlineLevel="0" collapsed="false">
      <c r="A2288" s="0" t="n">
        <v>761</v>
      </c>
      <c r="B2288" s="0" t="s">
        <v>5188</v>
      </c>
      <c r="C2288" s="0" t="s">
        <v>12819</v>
      </c>
      <c r="E2288" s="0" t="s">
        <v>79</v>
      </c>
      <c r="F2288" s="0" t="s">
        <v>12820</v>
      </c>
    </row>
    <row r="2289" customFormat="false" ht="15" hidden="false" customHeight="false" outlineLevel="0" collapsed="false">
      <c r="A2289" s="0" t="n">
        <v>763</v>
      </c>
      <c r="B2289" s="0" t="s">
        <v>5197</v>
      </c>
      <c r="C2289" s="0" t="s">
        <v>5200</v>
      </c>
      <c r="E2289" s="0" t="s">
        <v>79</v>
      </c>
      <c r="F2289" s="0" t="s">
        <v>12821</v>
      </c>
    </row>
    <row r="2290" customFormat="false" ht="15" hidden="false" customHeight="false" outlineLevel="0" collapsed="false">
      <c r="A2290" s="0" t="n">
        <v>763</v>
      </c>
      <c r="B2290" s="0" t="s">
        <v>5197</v>
      </c>
      <c r="C2290" s="0" t="s">
        <v>5201</v>
      </c>
      <c r="E2290" s="0" t="s">
        <v>79</v>
      </c>
      <c r="F2290" s="0" t="s">
        <v>12822</v>
      </c>
    </row>
    <row r="2291" customFormat="false" ht="15" hidden="false" customHeight="false" outlineLevel="0" collapsed="false">
      <c r="A2291" s="0" t="n">
        <v>763</v>
      </c>
      <c r="B2291" s="0" t="s">
        <v>5197</v>
      </c>
      <c r="C2291" s="0" t="s">
        <v>5202</v>
      </c>
      <c r="E2291" s="0" t="s">
        <v>79</v>
      </c>
      <c r="F2291" s="0" t="s">
        <v>12823</v>
      </c>
    </row>
    <row r="2292" customFormat="false" ht="15" hidden="false" customHeight="false" outlineLevel="0" collapsed="false">
      <c r="A2292" s="0" t="n">
        <v>763</v>
      </c>
      <c r="B2292" s="0" t="s">
        <v>5197</v>
      </c>
      <c r="C2292" s="0" t="s">
        <v>12824</v>
      </c>
      <c r="E2292" s="0" t="s">
        <v>79</v>
      </c>
      <c r="F2292" s="0" t="s">
        <v>12825</v>
      </c>
    </row>
    <row r="2293" customFormat="false" ht="15" hidden="false" customHeight="false" outlineLevel="0" collapsed="false">
      <c r="A2293" s="0" t="n">
        <v>763</v>
      </c>
      <c r="B2293" s="0" t="s">
        <v>5197</v>
      </c>
      <c r="C2293" s="0" t="s">
        <v>12826</v>
      </c>
      <c r="E2293" s="0" t="s">
        <v>79</v>
      </c>
      <c r="F2293" s="0" t="s">
        <v>12827</v>
      </c>
    </row>
    <row r="2294" customFormat="false" ht="15" hidden="false" customHeight="false" outlineLevel="0" collapsed="false">
      <c r="A2294" s="0" t="n">
        <v>765</v>
      </c>
      <c r="B2294" s="0" t="s">
        <v>5208</v>
      </c>
      <c r="C2294" s="0" t="s">
        <v>5210</v>
      </c>
      <c r="E2294" s="0" t="s">
        <v>79</v>
      </c>
      <c r="F2294" s="0" t="s">
        <v>12828</v>
      </c>
    </row>
    <row r="2295" customFormat="false" ht="15" hidden="false" customHeight="false" outlineLevel="0" collapsed="false">
      <c r="A2295" s="0" t="n">
        <v>765</v>
      </c>
      <c r="B2295" s="0" t="s">
        <v>5208</v>
      </c>
      <c r="C2295" s="0" t="s">
        <v>5211</v>
      </c>
      <c r="E2295" s="0" t="s">
        <v>79</v>
      </c>
      <c r="F2295" s="0" t="s">
        <v>12829</v>
      </c>
    </row>
    <row r="2296" customFormat="false" ht="15" hidden="false" customHeight="false" outlineLevel="0" collapsed="false">
      <c r="A2296" s="0" t="n">
        <v>766</v>
      </c>
      <c r="B2296" s="0" t="s">
        <v>5212</v>
      </c>
      <c r="C2296" s="0" t="s">
        <v>5214</v>
      </c>
      <c r="E2296" s="0" t="s">
        <v>79</v>
      </c>
      <c r="F2296" s="0" t="s">
        <v>12830</v>
      </c>
    </row>
    <row r="2297" customFormat="false" ht="15" hidden="false" customHeight="false" outlineLevel="0" collapsed="false">
      <c r="A2297" s="0" t="n">
        <v>766</v>
      </c>
      <c r="B2297" s="0" t="s">
        <v>5212</v>
      </c>
      <c r="C2297" s="0" t="s">
        <v>5215</v>
      </c>
      <c r="E2297" s="0" t="s">
        <v>79</v>
      </c>
      <c r="F2297" s="0" t="s">
        <v>12831</v>
      </c>
    </row>
    <row r="2298" customFormat="false" ht="15" hidden="false" customHeight="false" outlineLevel="0" collapsed="false">
      <c r="A2298" s="0" t="n">
        <v>766</v>
      </c>
      <c r="B2298" s="0" t="s">
        <v>5212</v>
      </c>
      <c r="C2298" s="0" t="s">
        <v>5216</v>
      </c>
      <c r="E2298" s="0" t="s">
        <v>79</v>
      </c>
      <c r="F2298" s="0" t="s">
        <v>12832</v>
      </c>
    </row>
    <row r="2299" customFormat="false" ht="15" hidden="false" customHeight="false" outlineLevel="0" collapsed="false">
      <c r="A2299" s="0" t="n">
        <v>766</v>
      </c>
      <c r="B2299" s="0" t="s">
        <v>5212</v>
      </c>
      <c r="C2299" s="0" t="s">
        <v>12833</v>
      </c>
      <c r="E2299" s="0" t="s">
        <v>79</v>
      </c>
      <c r="F2299" s="0" t="s">
        <v>12834</v>
      </c>
    </row>
    <row r="2300" customFormat="false" ht="15" hidden="false" customHeight="false" outlineLevel="0" collapsed="false">
      <c r="A2300" s="0" t="n">
        <v>766</v>
      </c>
      <c r="B2300" s="0" t="s">
        <v>5212</v>
      </c>
      <c r="C2300" s="0" t="s">
        <v>4939</v>
      </c>
      <c r="E2300" s="0" t="s">
        <v>79</v>
      </c>
      <c r="F2300" s="0" t="s">
        <v>12835</v>
      </c>
    </row>
    <row r="2301" customFormat="false" ht="15" hidden="false" customHeight="false" outlineLevel="0" collapsed="false">
      <c r="A2301" s="0" t="n">
        <v>767</v>
      </c>
      <c r="B2301" s="0" t="s">
        <v>5217</v>
      </c>
      <c r="C2301" s="0" t="s">
        <v>5219</v>
      </c>
      <c r="E2301" s="0" t="s">
        <v>79</v>
      </c>
      <c r="F2301" s="0" t="s">
        <v>12836</v>
      </c>
    </row>
    <row r="2302" customFormat="false" ht="15" hidden="false" customHeight="false" outlineLevel="0" collapsed="false">
      <c r="A2302" s="0" t="n">
        <v>767</v>
      </c>
      <c r="B2302" s="0" t="s">
        <v>5217</v>
      </c>
      <c r="C2302" s="0" t="s">
        <v>5220</v>
      </c>
      <c r="E2302" s="0" t="s">
        <v>79</v>
      </c>
      <c r="F2302" s="0" t="s">
        <v>12837</v>
      </c>
    </row>
    <row r="2303" customFormat="false" ht="15" hidden="false" customHeight="false" outlineLevel="0" collapsed="false">
      <c r="A2303" s="0" t="n">
        <v>767</v>
      </c>
      <c r="B2303" s="0" t="s">
        <v>5217</v>
      </c>
      <c r="C2303" s="0" t="s">
        <v>5221</v>
      </c>
      <c r="E2303" s="0" t="s">
        <v>79</v>
      </c>
      <c r="F2303" s="0" t="s">
        <v>12838</v>
      </c>
    </row>
    <row r="2304" customFormat="false" ht="15" hidden="false" customHeight="false" outlineLevel="0" collapsed="false">
      <c r="A2304" s="0" t="n">
        <v>767</v>
      </c>
      <c r="B2304" s="0" t="s">
        <v>5217</v>
      </c>
      <c r="C2304" s="0" t="s">
        <v>12839</v>
      </c>
      <c r="E2304" s="0" t="s">
        <v>79</v>
      </c>
      <c r="F2304" s="0" t="s">
        <v>12840</v>
      </c>
    </row>
    <row r="2305" customFormat="false" ht="15" hidden="false" customHeight="false" outlineLevel="0" collapsed="false">
      <c r="A2305" s="0" t="n">
        <v>767</v>
      </c>
      <c r="B2305" s="0" t="s">
        <v>5217</v>
      </c>
      <c r="C2305" s="0" t="s">
        <v>12841</v>
      </c>
      <c r="E2305" s="0" t="s">
        <v>79</v>
      </c>
      <c r="F2305" s="0" t="s">
        <v>12842</v>
      </c>
    </row>
    <row r="2306" customFormat="false" ht="15" hidden="false" customHeight="false" outlineLevel="0" collapsed="false">
      <c r="A2306" s="0" t="n">
        <v>768</v>
      </c>
      <c r="B2306" s="0" t="s">
        <v>5222</v>
      </c>
      <c r="C2306" s="0" t="s">
        <v>5225</v>
      </c>
      <c r="E2306" s="0" t="s">
        <v>79</v>
      </c>
      <c r="F2306" s="0" t="s">
        <v>12843</v>
      </c>
    </row>
    <row r="2307" customFormat="false" ht="15" hidden="false" customHeight="false" outlineLevel="0" collapsed="false">
      <c r="A2307" s="0" t="n">
        <v>768</v>
      </c>
      <c r="B2307" s="0" t="s">
        <v>5222</v>
      </c>
      <c r="C2307" s="0" t="s">
        <v>5226</v>
      </c>
      <c r="E2307" s="0" t="s">
        <v>79</v>
      </c>
      <c r="F2307" s="0" t="s">
        <v>12844</v>
      </c>
    </row>
    <row r="2308" customFormat="false" ht="15" hidden="false" customHeight="false" outlineLevel="0" collapsed="false">
      <c r="A2308" s="0" t="n">
        <v>769</v>
      </c>
      <c r="B2308" s="0" t="s">
        <v>5230</v>
      </c>
      <c r="C2308" s="0" t="s">
        <v>5232</v>
      </c>
      <c r="E2308" s="0" t="s">
        <v>59</v>
      </c>
      <c r="F2308" s="0" t="s">
        <v>12845</v>
      </c>
    </row>
    <row r="2309" customFormat="false" ht="15" hidden="false" customHeight="false" outlineLevel="0" collapsed="false">
      <c r="A2309" s="0" t="n">
        <v>769</v>
      </c>
      <c r="B2309" s="0" t="s">
        <v>5230</v>
      </c>
      <c r="C2309" s="0" t="s">
        <v>5233</v>
      </c>
      <c r="E2309" s="0" t="s">
        <v>59</v>
      </c>
      <c r="F2309" s="0" t="s">
        <v>12846</v>
      </c>
    </row>
    <row r="2310" customFormat="false" ht="15" hidden="false" customHeight="false" outlineLevel="0" collapsed="false">
      <c r="A2310" s="0" t="n">
        <v>769</v>
      </c>
      <c r="B2310" s="0" t="s">
        <v>5230</v>
      </c>
      <c r="C2310" s="0" t="s">
        <v>5234</v>
      </c>
      <c r="E2310" s="0" t="s">
        <v>59</v>
      </c>
      <c r="F2310" s="0" t="s">
        <v>12847</v>
      </c>
    </row>
    <row r="2311" customFormat="false" ht="15" hidden="false" customHeight="false" outlineLevel="0" collapsed="false">
      <c r="A2311" s="0" t="n">
        <v>769</v>
      </c>
      <c r="B2311" s="0" t="s">
        <v>5230</v>
      </c>
      <c r="C2311" s="0" t="s">
        <v>12848</v>
      </c>
      <c r="E2311" s="0" t="s">
        <v>59</v>
      </c>
      <c r="F2311" s="0" t="s">
        <v>12849</v>
      </c>
    </row>
    <row r="2312" customFormat="false" ht="15" hidden="false" customHeight="false" outlineLevel="0" collapsed="false">
      <c r="A2312" s="0" t="n">
        <v>769</v>
      </c>
      <c r="B2312" s="0" t="s">
        <v>5230</v>
      </c>
      <c r="C2312" s="0" t="s">
        <v>12850</v>
      </c>
      <c r="E2312" s="0" t="s">
        <v>59</v>
      </c>
      <c r="F2312" s="0" t="s">
        <v>12851</v>
      </c>
    </row>
    <row r="2313" customFormat="false" ht="15" hidden="false" customHeight="false" outlineLevel="0" collapsed="false">
      <c r="A2313" s="0" t="n">
        <v>770</v>
      </c>
      <c r="B2313" s="0" t="s">
        <v>5235</v>
      </c>
      <c r="C2313" s="0" t="s">
        <v>5238</v>
      </c>
      <c r="E2313" s="0" t="s">
        <v>79</v>
      </c>
      <c r="F2313" s="0" t="s">
        <v>12852</v>
      </c>
    </row>
    <row r="2314" customFormat="false" ht="15" hidden="false" customHeight="false" outlineLevel="0" collapsed="false">
      <c r="A2314" s="0" t="n">
        <v>770</v>
      </c>
      <c r="B2314" s="0" t="s">
        <v>5235</v>
      </c>
      <c r="C2314" s="0" t="s">
        <v>5239</v>
      </c>
      <c r="E2314" s="0" t="s">
        <v>79</v>
      </c>
      <c r="F2314" s="0" t="s">
        <v>12853</v>
      </c>
    </row>
    <row r="2315" customFormat="false" ht="15" hidden="false" customHeight="false" outlineLevel="0" collapsed="false">
      <c r="A2315" s="0" t="n">
        <v>770</v>
      </c>
      <c r="B2315" s="0" t="s">
        <v>5235</v>
      </c>
      <c r="C2315" s="0" t="s">
        <v>5240</v>
      </c>
      <c r="E2315" s="0" t="s">
        <v>79</v>
      </c>
      <c r="F2315" s="0" t="s">
        <v>12854</v>
      </c>
    </row>
    <row r="2316" customFormat="false" ht="15" hidden="false" customHeight="false" outlineLevel="0" collapsed="false">
      <c r="A2316" s="0" t="n">
        <v>770</v>
      </c>
      <c r="B2316" s="0" t="s">
        <v>5235</v>
      </c>
      <c r="C2316" s="0" t="s">
        <v>12855</v>
      </c>
      <c r="E2316" s="0" t="s">
        <v>79</v>
      </c>
      <c r="F2316" s="0" t="s">
        <v>12856</v>
      </c>
    </row>
    <row r="2317" customFormat="false" ht="15" hidden="false" customHeight="false" outlineLevel="0" collapsed="false">
      <c r="A2317" s="0" t="n">
        <v>770</v>
      </c>
      <c r="B2317" s="0" t="s">
        <v>5235</v>
      </c>
      <c r="C2317" s="0" t="s">
        <v>12857</v>
      </c>
      <c r="E2317" s="0" t="s">
        <v>79</v>
      </c>
      <c r="F2317" s="0" t="s">
        <v>12858</v>
      </c>
    </row>
    <row r="2318" customFormat="false" ht="15" hidden="false" customHeight="false" outlineLevel="0" collapsed="false">
      <c r="A2318" s="0" t="n">
        <v>771</v>
      </c>
      <c r="B2318" s="0" t="s">
        <v>5245</v>
      </c>
      <c r="C2318" s="0" t="s">
        <v>5247</v>
      </c>
      <c r="E2318" s="0" t="s">
        <v>79</v>
      </c>
      <c r="F2318" s="0" t="s">
        <v>12859</v>
      </c>
    </row>
    <row r="2319" customFormat="false" ht="15" hidden="false" customHeight="false" outlineLevel="0" collapsed="false">
      <c r="A2319" s="0" t="n">
        <v>771</v>
      </c>
      <c r="B2319" s="0" t="s">
        <v>5245</v>
      </c>
      <c r="C2319" s="0" t="s">
        <v>5248</v>
      </c>
      <c r="E2319" s="0" t="s">
        <v>79</v>
      </c>
      <c r="F2319" s="0" t="s">
        <v>12860</v>
      </c>
    </row>
    <row r="2320" customFormat="false" ht="15" hidden="false" customHeight="false" outlineLevel="0" collapsed="false">
      <c r="A2320" s="0" t="n">
        <v>771</v>
      </c>
      <c r="B2320" s="0" t="s">
        <v>5245</v>
      </c>
      <c r="C2320" s="0" t="s">
        <v>5249</v>
      </c>
      <c r="E2320" s="0" t="s">
        <v>79</v>
      </c>
      <c r="F2320" s="0" t="s">
        <v>12861</v>
      </c>
    </row>
    <row r="2321" customFormat="false" ht="15" hidden="false" customHeight="false" outlineLevel="0" collapsed="false">
      <c r="A2321" s="0" t="n">
        <v>771</v>
      </c>
      <c r="B2321" s="0" t="s">
        <v>5245</v>
      </c>
      <c r="C2321" s="0" t="s">
        <v>12862</v>
      </c>
      <c r="E2321" s="0" t="s">
        <v>79</v>
      </c>
      <c r="F2321" s="0" t="s">
        <v>12863</v>
      </c>
    </row>
    <row r="2322" customFormat="false" ht="15" hidden="false" customHeight="false" outlineLevel="0" collapsed="false">
      <c r="A2322" s="0" t="n">
        <v>771</v>
      </c>
      <c r="B2322" s="0" t="s">
        <v>5245</v>
      </c>
      <c r="C2322" s="0" t="s">
        <v>12864</v>
      </c>
      <c r="E2322" s="0" t="s">
        <v>79</v>
      </c>
      <c r="F2322" s="0" t="s">
        <v>12865</v>
      </c>
    </row>
    <row r="2323" customFormat="false" ht="15" hidden="false" customHeight="false" outlineLevel="0" collapsed="false">
      <c r="A2323" s="0" t="n">
        <v>773</v>
      </c>
      <c r="B2323" s="0" t="s">
        <v>5252</v>
      </c>
      <c r="C2323" s="0" t="s">
        <v>5255</v>
      </c>
      <c r="E2323" s="0" t="s">
        <v>79</v>
      </c>
      <c r="F2323" s="0" t="s">
        <v>12866</v>
      </c>
    </row>
    <row r="2324" customFormat="false" ht="15" hidden="false" customHeight="false" outlineLevel="0" collapsed="false">
      <c r="A2324" s="0" t="n">
        <v>773</v>
      </c>
      <c r="B2324" s="0" t="s">
        <v>5252</v>
      </c>
      <c r="C2324" s="0" t="s">
        <v>5256</v>
      </c>
      <c r="E2324" s="0" t="s">
        <v>79</v>
      </c>
      <c r="F2324" s="0" t="s">
        <v>12867</v>
      </c>
    </row>
    <row r="2325" customFormat="false" ht="15" hidden="false" customHeight="false" outlineLevel="0" collapsed="false">
      <c r="A2325" s="0" t="n">
        <v>774</v>
      </c>
      <c r="B2325" s="0" t="s">
        <v>5261</v>
      </c>
      <c r="C2325" s="0" t="s">
        <v>5263</v>
      </c>
      <c r="E2325" s="0" t="s">
        <v>79</v>
      </c>
      <c r="F2325" s="0" t="s">
        <v>12868</v>
      </c>
    </row>
    <row r="2326" customFormat="false" ht="15" hidden="false" customHeight="false" outlineLevel="0" collapsed="false">
      <c r="A2326" s="0" t="n">
        <v>774</v>
      </c>
      <c r="B2326" s="0" t="s">
        <v>5261</v>
      </c>
      <c r="C2326" s="0" t="s">
        <v>5264</v>
      </c>
      <c r="E2326" s="0" t="s">
        <v>79</v>
      </c>
      <c r="F2326" s="0" t="s">
        <v>12869</v>
      </c>
    </row>
    <row r="2327" customFormat="false" ht="15" hidden="false" customHeight="false" outlineLevel="0" collapsed="false">
      <c r="A2327" s="0" t="n">
        <v>774</v>
      </c>
      <c r="B2327" s="0" t="s">
        <v>5261</v>
      </c>
      <c r="C2327" s="0" t="s">
        <v>5265</v>
      </c>
      <c r="E2327" s="0" t="s">
        <v>79</v>
      </c>
      <c r="F2327" s="0" t="s">
        <v>12870</v>
      </c>
    </row>
    <row r="2328" customFormat="false" ht="15" hidden="false" customHeight="false" outlineLevel="0" collapsed="false">
      <c r="A2328" s="0" t="n">
        <v>774</v>
      </c>
      <c r="B2328" s="0" t="s">
        <v>5261</v>
      </c>
      <c r="C2328" s="0" t="s">
        <v>12871</v>
      </c>
      <c r="E2328" s="0" t="s">
        <v>79</v>
      </c>
      <c r="F2328" s="0" t="s">
        <v>12872</v>
      </c>
    </row>
    <row r="2329" customFormat="false" ht="15" hidden="false" customHeight="false" outlineLevel="0" collapsed="false">
      <c r="A2329" s="0" t="n">
        <v>774</v>
      </c>
      <c r="B2329" s="0" t="s">
        <v>5261</v>
      </c>
      <c r="C2329" s="0" t="s">
        <v>12873</v>
      </c>
      <c r="E2329" s="0" t="s">
        <v>79</v>
      </c>
      <c r="F2329" s="0" t="s">
        <v>12874</v>
      </c>
    </row>
    <row r="2330" customFormat="false" ht="15" hidden="false" customHeight="false" outlineLevel="0" collapsed="false">
      <c r="A2330" s="0" t="n">
        <v>775</v>
      </c>
      <c r="B2330" s="0" t="s">
        <v>5266</v>
      </c>
      <c r="C2330" s="0" t="s">
        <v>5269</v>
      </c>
      <c r="E2330" s="0" t="s">
        <v>59</v>
      </c>
      <c r="F2330" s="0" t="s">
        <v>12875</v>
      </c>
    </row>
    <row r="2331" customFormat="false" ht="15" hidden="false" customHeight="false" outlineLevel="0" collapsed="false">
      <c r="A2331" s="0" t="n">
        <v>775</v>
      </c>
      <c r="B2331" s="0" t="s">
        <v>5266</v>
      </c>
      <c r="C2331" s="0" t="s">
        <v>5270</v>
      </c>
      <c r="E2331" s="0" t="s">
        <v>59</v>
      </c>
      <c r="F2331" s="0" t="s">
        <v>12876</v>
      </c>
    </row>
    <row r="2332" customFormat="false" ht="15" hidden="false" customHeight="false" outlineLevel="0" collapsed="false">
      <c r="A2332" s="0" t="n">
        <v>775</v>
      </c>
      <c r="B2332" s="0" t="s">
        <v>5266</v>
      </c>
      <c r="C2332" s="0" t="s">
        <v>5271</v>
      </c>
      <c r="E2332" s="0" t="s">
        <v>59</v>
      </c>
      <c r="F2332" s="0" t="s">
        <v>12877</v>
      </c>
    </row>
    <row r="2333" customFormat="false" ht="15" hidden="false" customHeight="false" outlineLevel="0" collapsed="false">
      <c r="A2333" s="0" t="n">
        <v>775</v>
      </c>
      <c r="B2333" s="0" t="s">
        <v>5266</v>
      </c>
      <c r="C2333" s="0" t="s">
        <v>12878</v>
      </c>
      <c r="E2333" s="0" t="s">
        <v>59</v>
      </c>
      <c r="F2333" s="0" t="s">
        <v>12879</v>
      </c>
    </row>
    <row r="2334" customFormat="false" ht="15" hidden="false" customHeight="false" outlineLevel="0" collapsed="false">
      <c r="A2334" s="0" t="n">
        <v>775</v>
      </c>
      <c r="B2334" s="0" t="s">
        <v>5266</v>
      </c>
      <c r="C2334" s="0" t="s">
        <v>12880</v>
      </c>
      <c r="E2334" s="0" t="s">
        <v>59</v>
      </c>
      <c r="F2334" s="0" t="s">
        <v>12881</v>
      </c>
    </row>
    <row r="2335" customFormat="false" ht="15" hidden="false" customHeight="false" outlineLevel="0" collapsed="false">
      <c r="A2335" s="0" t="n">
        <v>781</v>
      </c>
      <c r="B2335" s="0" t="s">
        <v>5293</v>
      </c>
      <c r="C2335" s="0" t="s">
        <v>5296</v>
      </c>
      <c r="E2335" s="0" t="s">
        <v>79</v>
      </c>
      <c r="F2335" s="0" t="s">
        <v>12882</v>
      </c>
    </row>
    <row r="2336" customFormat="false" ht="15" hidden="false" customHeight="false" outlineLevel="0" collapsed="false">
      <c r="A2336" s="0" t="n">
        <v>781</v>
      </c>
      <c r="B2336" s="0" t="s">
        <v>5293</v>
      </c>
      <c r="C2336" s="0" t="s">
        <v>5297</v>
      </c>
      <c r="E2336" s="0" t="s">
        <v>79</v>
      </c>
      <c r="F2336" s="0" t="s">
        <v>12883</v>
      </c>
    </row>
    <row r="2337" customFormat="false" ht="15" hidden="false" customHeight="false" outlineLevel="0" collapsed="false">
      <c r="A2337" s="0" t="n">
        <v>781</v>
      </c>
      <c r="B2337" s="0" t="s">
        <v>5293</v>
      </c>
      <c r="C2337" s="0" t="s">
        <v>5298</v>
      </c>
      <c r="E2337" s="0" t="s">
        <v>79</v>
      </c>
      <c r="F2337" s="0" t="s">
        <v>12884</v>
      </c>
    </row>
    <row r="2338" customFormat="false" ht="15" hidden="false" customHeight="false" outlineLevel="0" collapsed="false">
      <c r="A2338" s="0" t="n">
        <v>781</v>
      </c>
      <c r="B2338" s="0" t="s">
        <v>5293</v>
      </c>
      <c r="C2338" s="0" t="s">
        <v>12885</v>
      </c>
      <c r="E2338" s="0" t="s">
        <v>79</v>
      </c>
      <c r="F2338" s="0" t="s">
        <v>12886</v>
      </c>
    </row>
    <row r="2339" customFormat="false" ht="15" hidden="false" customHeight="false" outlineLevel="0" collapsed="false">
      <c r="A2339" s="0" t="n">
        <v>782</v>
      </c>
      <c r="B2339" s="0" t="s">
        <v>5303</v>
      </c>
      <c r="C2339" s="0" t="s">
        <v>5306</v>
      </c>
      <c r="E2339" s="0" t="s">
        <v>59</v>
      </c>
      <c r="F2339" s="0" t="s">
        <v>12887</v>
      </c>
    </row>
    <row r="2340" customFormat="false" ht="15" hidden="false" customHeight="false" outlineLevel="0" collapsed="false">
      <c r="A2340" s="0" t="n">
        <v>782</v>
      </c>
      <c r="B2340" s="0" t="s">
        <v>5303</v>
      </c>
      <c r="C2340" s="0" t="s">
        <v>5307</v>
      </c>
      <c r="E2340" s="0" t="s">
        <v>59</v>
      </c>
      <c r="F2340" s="0" t="s">
        <v>12888</v>
      </c>
    </row>
    <row r="2341" customFormat="false" ht="15" hidden="false" customHeight="false" outlineLevel="0" collapsed="false">
      <c r="A2341" s="0" t="n">
        <v>782</v>
      </c>
      <c r="B2341" s="0" t="s">
        <v>5303</v>
      </c>
      <c r="C2341" s="0" t="s">
        <v>5308</v>
      </c>
      <c r="E2341" s="0" t="s">
        <v>59</v>
      </c>
      <c r="F2341" s="0" t="s">
        <v>12889</v>
      </c>
    </row>
    <row r="2342" customFormat="false" ht="15" hidden="false" customHeight="false" outlineLevel="0" collapsed="false">
      <c r="A2342" s="0" t="n">
        <v>782</v>
      </c>
      <c r="B2342" s="0" t="s">
        <v>5303</v>
      </c>
      <c r="C2342" s="0" t="s">
        <v>12890</v>
      </c>
      <c r="E2342" s="0" t="s">
        <v>59</v>
      </c>
      <c r="F2342" s="0" t="s">
        <v>12891</v>
      </c>
    </row>
    <row r="2343" customFormat="false" ht="15" hidden="false" customHeight="false" outlineLevel="0" collapsed="false">
      <c r="A2343" s="0" t="n">
        <v>782</v>
      </c>
      <c r="B2343" s="0" t="s">
        <v>5303</v>
      </c>
      <c r="C2343" s="0" t="s">
        <v>12892</v>
      </c>
      <c r="E2343" s="0" t="s">
        <v>59</v>
      </c>
      <c r="F2343" s="0" t="s">
        <v>12893</v>
      </c>
    </row>
    <row r="2344" customFormat="false" ht="15" hidden="false" customHeight="false" outlineLevel="0" collapsed="false">
      <c r="A2344" s="0" t="n">
        <v>783</v>
      </c>
      <c r="B2344" s="0" t="s">
        <v>5313</v>
      </c>
      <c r="C2344" s="0" t="s">
        <v>5315</v>
      </c>
      <c r="E2344" s="0" t="s">
        <v>79</v>
      </c>
      <c r="F2344" s="0" t="s">
        <v>12894</v>
      </c>
    </row>
    <row r="2345" customFormat="false" ht="15" hidden="false" customHeight="false" outlineLevel="0" collapsed="false">
      <c r="A2345" s="0" t="n">
        <v>783</v>
      </c>
      <c r="B2345" s="0" t="s">
        <v>5313</v>
      </c>
      <c r="C2345" s="0" t="s">
        <v>5316</v>
      </c>
      <c r="E2345" s="0" t="s">
        <v>79</v>
      </c>
      <c r="F2345" s="0" t="s">
        <v>12895</v>
      </c>
    </row>
    <row r="2346" customFormat="false" ht="15" hidden="false" customHeight="false" outlineLevel="0" collapsed="false">
      <c r="A2346" s="0" t="n">
        <v>786</v>
      </c>
      <c r="B2346" s="0" t="s">
        <v>5322</v>
      </c>
      <c r="C2346" s="0" t="s">
        <v>5325</v>
      </c>
      <c r="E2346" s="0" t="s">
        <v>79</v>
      </c>
      <c r="F2346" s="0" t="s">
        <v>12896</v>
      </c>
    </row>
    <row r="2347" customFormat="false" ht="15" hidden="false" customHeight="false" outlineLevel="0" collapsed="false">
      <c r="A2347" s="0" t="n">
        <v>786</v>
      </c>
      <c r="B2347" s="0" t="s">
        <v>5322</v>
      </c>
      <c r="C2347" s="0" t="s">
        <v>5326</v>
      </c>
      <c r="E2347" s="0" t="s">
        <v>79</v>
      </c>
      <c r="F2347" s="0" t="s">
        <v>12897</v>
      </c>
    </row>
    <row r="2348" customFormat="false" ht="15" hidden="false" customHeight="false" outlineLevel="0" collapsed="false">
      <c r="A2348" s="0" t="n">
        <v>786</v>
      </c>
      <c r="B2348" s="0" t="s">
        <v>5322</v>
      </c>
      <c r="C2348" s="0" t="s">
        <v>5327</v>
      </c>
      <c r="E2348" s="0" t="s">
        <v>79</v>
      </c>
      <c r="F2348" s="0" t="s">
        <v>12898</v>
      </c>
    </row>
    <row r="2349" customFormat="false" ht="15" hidden="false" customHeight="false" outlineLevel="0" collapsed="false">
      <c r="A2349" s="0" t="n">
        <v>786</v>
      </c>
      <c r="B2349" s="0" t="s">
        <v>5322</v>
      </c>
      <c r="C2349" s="0" t="s">
        <v>12899</v>
      </c>
      <c r="E2349" s="0" t="s">
        <v>79</v>
      </c>
      <c r="F2349" s="0" t="s">
        <v>12900</v>
      </c>
    </row>
    <row r="2350" customFormat="false" ht="15" hidden="false" customHeight="false" outlineLevel="0" collapsed="false">
      <c r="A2350" s="0" t="n">
        <v>786</v>
      </c>
      <c r="B2350" s="0" t="s">
        <v>5322</v>
      </c>
      <c r="C2350" s="0" t="s">
        <v>12901</v>
      </c>
      <c r="E2350" s="0" t="s">
        <v>79</v>
      </c>
      <c r="F2350" s="0" t="s">
        <v>12902</v>
      </c>
    </row>
    <row r="2351" customFormat="false" ht="15" hidden="false" customHeight="false" outlineLevel="0" collapsed="false">
      <c r="A2351" s="0" t="n">
        <v>787</v>
      </c>
      <c r="B2351" s="0" t="s">
        <v>5329</v>
      </c>
      <c r="C2351" s="0" t="s">
        <v>5332</v>
      </c>
      <c r="E2351" s="0" t="s">
        <v>79</v>
      </c>
      <c r="F2351" s="0" t="s">
        <v>12903</v>
      </c>
    </row>
    <row r="2352" customFormat="false" ht="15" hidden="false" customHeight="false" outlineLevel="0" collapsed="false">
      <c r="A2352" s="0" t="n">
        <v>787</v>
      </c>
      <c r="B2352" s="0" t="s">
        <v>5329</v>
      </c>
      <c r="C2352" s="0" t="s">
        <v>5333</v>
      </c>
      <c r="E2352" s="0" t="s">
        <v>79</v>
      </c>
      <c r="F2352" s="0" t="s">
        <v>12904</v>
      </c>
    </row>
    <row r="2353" customFormat="false" ht="15" hidden="false" customHeight="false" outlineLevel="0" collapsed="false">
      <c r="A2353" s="0" t="n">
        <v>787</v>
      </c>
      <c r="B2353" s="0" t="s">
        <v>5329</v>
      </c>
      <c r="C2353" s="0" t="s">
        <v>5334</v>
      </c>
      <c r="E2353" s="0" t="s">
        <v>79</v>
      </c>
      <c r="F2353" s="0" t="s">
        <v>12905</v>
      </c>
    </row>
    <row r="2354" customFormat="false" ht="15" hidden="false" customHeight="false" outlineLevel="0" collapsed="false">
      <c r="A2354" s="0" t="n">
        <v>787</v>
      </c>
      <c r="B2354" s="0" t="s">
        <v>5329</v>
      </c>
      <c r="C2354" s="0" t="s">
        <v>12906</v>
      </c>
      <c r="E2354" s="0" t="s">
        <v>79</v>
      </c>
      <c r="F2354" s="0" t="s">
        <v>12907</v>
      </c>
    </row>
    <row r="2355" customFormat="false" ht="15" hidden="false" customHeight="false" outlineLevel="0" collapsed="false">
      <c r="A2355" s="0" t="n">
        <v>787</v>
      </c>
      <c r="B2355" s="0" t="s">
        <v>5329</v>
      </c>
      <c r="C2355" s="0" t="s">
        <v>12908</v>
      </c>
      <c r="E2355" s="0" t="s">
        <v>79</v>
      </c>
      <c r="F2355" s="0" t="s">
        <v>12909</v>
      </c>
    </row>
    <row r="2356" customFormat="false" ht="15" hidden="false" customHeight="false" outlineLevel="0" collapsed="false">
      <c r="A2356" s="0" t="n">
        <v>788</v>
      </c>
      <c r="B2356" s="0" t="s">
        <v>5339</v>
      </c>
      <c r="C2356" s="0" t="s">
        <v>5342</v>
      </c>
      <c r="E2356" s="0" t="s">
        <v>79</v>
      </c>
      <c r="F2356" s="0" t="s">
        <v>12910</v>
      </c>
    </row>
    <row r="2357" customFormat="false" ht="15" hidden="false" customHeight="false" outlineLevel="0" collapsed="false">
      <c r="A2357" s="0" t="n">
        <v>788</v>
      </c>
      <c r="B2357" s="0" t="s">
        <v>5339</v>
      </c>
      <c r="C2357" s="0" t="s">
        <v>5343</v>
      </c>
      <c r="E2357" s="0" t="s">
        <v>79</v>
      </c>
      <c r="F2357" s="0" t="s">
        <v>12911</v>
      </c>
    </row>
    <row r="2358" customFormat="false" ht="15" hidden="false" customHeight="false" outlineLevel="0" collapsed="false">
      <c r="A2358" s="0" t="n">
        <v>788</v>
      </c>
      <c r="B2358" s="0" t="s">
        <v>5339</v>
      </c>
      <c r="C2358" s="0" t="s">
        <v>5344</v>
      </c>
      <c r="E2358" s="0" t="s">
        <v>79</v>
      </c>
      <c r="F2358" s="0" t="s">
        <v>12912</v>
      </c>
    </row>
    <row r="2359" customFormat="false" ht="15" hidden="false" customHeight="false" outlineLevel="0" collapsed="false">
      <c r="A2359" s="0" t="n">
        <v>788</v>
      </c>
      <c r="B2359" s="0" t="s">
        <v>5339</v>
      </c>
      <c r="C2359" s="0" t="s">
        <v>12913</v>
      </c>
      <c r="E2359" s="0" t="s">
        <v>79</v>
      </c>
      <c r="F2359" s="0" t="s">
        <v>12914</v>
      </c>
    </row>
    <row r="2360" customFormat="false" ht="15" hidden="false" customHeight="false" outlineLevel="0" collapsed="false">
      <c r="A2360" s="0" t="n">
        <v>788</v>
      </c>
      <c r="B2360" s="0" t="s">
        <v>5339</v>
      </c>
      <c r="C2360" s="0" t="s">
        <v>12915</v>
      </c>
      <c r="E2360" s="0" t="s">
        <v>79</v>
      </c>
      <c r="F2360" s="0" t="s">
        <v>12916</v>
      </c>
    </row>
    <row r="2361" customFormat="false" ht="15" hidden="false" customHeight="false" outlineLevel="0" collapsed="false">
      <c r="A2361" s="0" t="n">
        <v>792</v>
      </c>
      <c r="B2361" s="0" t="s">
        <v>5363</v>
      </c>
      <c r="C2361" s="0" t="s">
        <v>5365</v>
      </c>
      <c r="E2361" s="0" t="s">
        <v>79</v>
      </c>
      <c r="F2361" s="0" t="s">
        <v>12917</v>
      </c>
    </row>
    <row r="2362" customFormat="false" ht="15" hidden="false" customHeight="false" outlineLevel="0" collapsed="false">
      <c r="A2362" s="0" t="n">
        <v>792</v>
      </c>
      <c r="B2362" s="0" t="s">
        <v>5363</v>
      </c>
      <c r="C2362" s="0" t="s">
        <v>5366</v>
      </c>
      <c r="E2362" s="0" t="s">
        <v>79</v>
      </c>
      <c r="F2362" s="0" t="s">
        <v>12918</v>
      </c>
    </row>
    <row r="2363" customFormat="false" ht="15" hidden="false" customHeight="false" outlineLevel="0" collapsed="false">
      <c r="A2363" s="0" t="n">
        <v>792</v>
      </c>
      <c r="B2363" s="0" t="s">
        <v>5363</v>
      </c>
      <c r="C2363" s="0" t="s">
        <v>5367</v>
      </c>
      <c r="E2363" s="0" t="s">
        <v>79</v>
      </c>
      <c r="F2363" s="0" t="s">
        <v>12919</v>
      </c>
    </row>
    <row r="2364" customFormat="false" ht="15" hidden="false" customHeight="false" outlineLevel="0" collapsed="false">
      <c r="A2364" s="0" t="n">
        <v>792</v>
      </c>
      <c r="B2364" s="0" t="s">
        <v>5363</v>
      </c>
      <c r="C2364" s="0" t="s">
        <v>12920</v>
      </c>
      <c r="E2364" s="0" t="s">
        <v>79</v>
      </c>
      <c r="F2364" s="0" t="s">
        <v>12921</v>
      </c>
    </row>
    <row r="2365" customFormat="false" ht="15" hidden="false" customHeight="false" outlineLevel="0" collapsed="false">
      <c r="A2365" s="0" t="n">
        <v>792</v>
      </c>
      <c r="B2365" s="0" t="s">
        <v>5363</v>
      </c>
      <c r="C2365" s="0" t="s">
        <v>12922</v>
      </c>
      <c r="E2365" s="0" t="s">
        <v>79</v>
      </c>
      <c r="F2365" s="0" t="s">
        <v>12923</v>
      </c>
    </row>
    <row r="2366" customFormat="false" ht="15" hidden="false" customHeight="false" outlineLevel="0" collapsed="false">
      <c r="A2366" s="0" t="n">
        <v>793</v>
      </c>
      <c r="B2366" s="0" t="s">
        <v>5368</v>
      </c>
      <c r="C2366" s="0" t="s">
        <v>5371</v>
      </c>
      <c r="E2366" s="0" t="s">
        <v>79</v>
      </c>
      <c r="F2366" s="0" t="s">
        <v>12924</v>
      </c>
    </row>
    <row r="2367" customFormat="false" ht="15" hidden="false" customHeight="false" outlineLevel="0" collapsed="false">
      <c r="A2367" s="0" t="n">
        <v>793</v>
      </c>
      <c r="B2367" s="0" t="s">
        <v>5368</v>
      </c>
      <c r="C2367" s="0" t="s">
        <v>5372</v>
      </c>
      <c r="E2367" s="0" t="s">
        <v>79</v>
      </c>
      <c r="F2367" s="0" t="s">
        <v>12925</v>
      </c>
    </row>
    <row r="2368" customFormat="false" ht="15" hidden="false" customHeight="false" outlineLevel="0" collapsed="false">
      <c r="A2368" s="0" t="n">
        <v>793</v>
      </c>
      <c r="B2368" s="0" t="s">
        <v>5368</v>
      </c>
      <c r="C2368" s="0" t="s">
        <v>5373</v>
      </c>
      <c r="E2368" s="0" t="s">
        <v>79</v>
      </c>
      <c r="F2368" s="0" t="s">
        <v>12926</v>
      </c>
    </row>
    <row r="2369" customFormat="false" ht="15" hidden="false" customHeight="false" outlineLevel="0" collapsed="false">
      <c r="A2369" s="0" t="n">
        <v>793</v>
      </c>
      <c r="B2369" s="0" t="s">
        <v>5368</v>
      </c>
      <c r="C2369" s="0" t="s">
        <v>12927</v>
      </c>
      <c r="E2369" s="0" t="s">
        <v>79</v>
      </c>
      <c r="F2369" s="0" t="s">
        <v>12928</v>
      </c>
    </row>
    <row r="2370" customFormat="false" ht="15" hidden="false" customHeight="false" outlineLevel="0" collapsed="false">
      <c r="A2370" s="0" t="n">
        <v>793</v>
      </c>
      <c r="B2370" s="0" t="s">
        <v>5368</v>
      </c>
      <c r="C2370" s="0" t="s">
        <v>12929</v>
      </c>
      <c r="E2370" s="0" t="s">
        <v>79</v>
      </c>
      <c r="F2370" s="0" t="s">
        <v>12930</v>
      </c>
    </row>
    <row r="2371" customFormat="false" ht="15" hidden="false" customHeight="false" outlineLevel="0" collapsed="false">
      <c r="A2371" s="0" t="n">
        <v>794</v>
      </c>
      <c r="B2371" s="0" t="s">
        <v>5376</v>
      </c>
      <c r="C2371" s="0" t="s">
        <v>5379</v>
      </c>
      <c r="E2371" s="0" t="s">
        <v>79</v>
      </c>
      <c r="F2371" s="0" t="s">
        <v>12931</v>
      </c>
    </row>
    <row r="2372" customFormat="false" ht="15" hidden="false" customHeight="false" outlineLevel="0" collapsed="false">
      <c r="A2372" s="0" t="n">
        <v>794</v>
      </c>
      <c r="B2372" s="0" t="s">
        <v>5376</v>
      </c>
      <c r="C2372" s="0" t="s">
        <v>5380</v>
      </c>
      <c r="E2372" s="0" t="s">
        <v>79</v>
      </c>
      <c r="F2372" s="0" t="s">
        <v>12932</v>
      </c>
    </row>
    <row r="2373" customFormat="false" ht="15" hidden="false" customHeight="false" outlineLevel="0" collapsed="false">
      <c r="A2373" s="0" t="n">
        <v>794</v>
      </c>
      <c r="B2373" s="0" t="s">
        <v>5376</v>
      </c>
      <c r="C2373" s="0" t="s">
        <v>5381</v>
      </c>
      <c r="E2373" s="0" t="s">
        <v>79</v>
      </c>
      <c r="F2373" s="0" t="s">
        <v>12933</v>
      </c>
    </row>
    <row r="2374" customFormat="false" ht="15" hidden="false" customHeight="false" outlineLevel="0" collapsed="false">
      <c r="A2374" s="0" t="n">
        <v>794</v>
      </c>
      <c r="B2374" s="0" t="s">
        <v>5376</v>
      </c>
      <c r="C2374" s="0" t="s">
        <v>12934</v>
      </c>
      <c r="E2374" s="0" t="s">
        <v>79</v>
      </c>
      <c r="F2374" s="0" t="s">
        <v>12935</v>
      </c>
    </row>
    <row r="2375" customFormat="false" ht="15" hidden="false" customHeight="false" outlineLevel="0" collapsed="false">
      <c r="A2375" s="0" t="n">
        <v>794</v>
      </c>
      <c r="B2375" s="0" t="s">
        <v>5376</v>
      </c>
      <c r="C2375" s="0" t="s">
        <v>12936</v>
      </c>
      <c r="E2375" s="0" t="s">
        <v>79</v>
      </c>
      <c r="F2375" s="0" t="s">
        <v>12937</v>
      </c>
    </row>
    <row r="2376" customFormat="false" ht="15" hidden="false" customHeight="false" outlineLevel="0" collapsed="false">
      <c r="A2376" s="0" t="n">
        <v>795</v>
      </c>
      <c r="B2376" s="0" t="s">
        <v>5385</v>
      </c>
      <c r="C2376" s="0" t="s">
        <v>5388</v>
      </c>
      <c r="E2376" s="0" t="s">
        <v>79</v>
      </c>
      <c r="F2376" s="0" t="s">
        <v>12938</v>
      </c>
    </row>
    <row r="2377" customFormat="false" ht="15" hidden="false" customHeight="false" outlineLevel="0" collapsed="false">
      <c r="A2377" s="0" t="n">
        <v>795</v>
      </c>
      <c r="B2377" s="0" t="s">
        <v>5385</v>
      </c>
      <c r="C2377" s="0" t="s">
        <v>5389</v>
      </c>
      <c r="E2377" s="0" t="s">
        <v>79</v>
      </c>
      <c r="F2377" s="0" t="s">
        <v>12939</v>
      </c>
    </row>
    <row r="2378" customFormat="false" ht="15" hidden="false" customHeight="false" outlineLevel="0" collapsed="false">
      <c r="A2378" s="0" t="n">
        <v>795</v>
      </c>
      <c r="B2378" s="0" t="s">
        <v>5385</v>
      </c>
      <c r="C2378" s="0" t="s">
        <v>5390</v>
      </c>
      <c r="E2378" s="0" t="s">
        <v>79</v>
      </c>
      <c r="F2378" s="0" t="s">
        <v>12940</v>
      </c>
    </row>
    <row r="2379" customFormat="false" ht="15" hidden="false" customHeight="false" outlineLevel="0" collapsed="false">
      <c r="A2379" s="0" t="n">
        <v>795</v>
      </c>
      <c r="B2379" s="0" t="s">
        <v>5385</v>
      </c>
      <c r="C2379" s="0" t="s">
        <v>12941</v>
      </c>
      <c r="E2379" s="0" t="s">
        <v>79</v>
      </c>
      <c r="F2379" s="0" t="s">
        <v>12942</v>
      </c>
    </row>
    <row r="2380" customFormat="false" ht="15" hidden="false" customHeight="false" outlineLevel="0" collapsed="false">
      <c r="A2380" s="0" t="n">
        <v>795</v>
      </c>
      <c r="B2380" s="0" t="s">
        <v>5385</v>
      </c>
      <c r="C2380" s="0" t="s">
        <v>12943</v>
      </c>
      <c r="E2380" s="0" t="s">
        <v>79</v>
      </c>
      <c r="F2380" s="0" t="s">
        <v>12944</v>
      </c>
    </row>
    <row r="2381" customFormat="false" ht="15" hidden="false" customHeight="false" outlineLevel="0" collapsed="false">
      <c r="A2381" s="0" t="n">
        <v>796</v>
      </c>
      <c r="B2381" s="0" t="s">
        <v>5395</v>
      </c>
      <c r="C2381" s="0" t="s">
        <v>5397</v>
      </c>
      <c r="E2381" s="0" t="s">
        <v>79</v>
      </c>
      <c r="F2381" s="0" t="s">
        <v>12945</v>
      </c>
    </row>
    <row r="2382" customFormat="false" ht="15" hidden="false" customHeight="false" outlineLevel="0" collapsed="false">
      <c r="A2382" s="0" t="n">
        <v>796</v>
      </c>
      <c r="B2382" s="0" t="s">
        <v>5395</v>
      </c>
      <c r="C2382" s="0" t="s">
        <v>5398</v>
      </c>
      <c r="E2382" s="0" t="s">
        <v>79</v>
      </c>
      <c r="F2382" s="0" t="s">
        <v>12946</v>
      </c>
    </row>
    <row r="2383" customFormat="false" ht="15" hidden="false" customHeight="false" outlineLevel="0" collapsed="false">
      <c r="A2383" s="0" t="n">
        <v>796</v>
      </c>
      <c r="B2383" s="0" t="s">
        <v>5395</v>
      </c>
      <c r="C2383" s="0" t="s">
        <v>5399</v>
      </c>
      <c r="E2383" s="0" t="s">
        <v>79</v>
      </c>
      <c r="F2383" s="0" t="s">
        <v>12947</v>
      </c>
    </row>
    <row r="2384" customFormat="false" ht="15" hidden="false" customHeight="false" outlineLevel="0" collapsed="false">
      <c r="A2384" s="0" t="n">
        <v>796</v>
      </c>
      <c r="B2384" s="0" t="s">
        <v>5395</v>
      </c>
      <c r="C2384" s="0" t="s">
        <v>12948</v>
      </c>
      <c r="E2384" s="0" t="s">
        <v>79</v>
      </c>
      <c r="F2384" s="0" t="s">
        <v>12949</v>
      </c>
    </row>
    <row r="2385" customFormat="false" ht="15" hidden="false" customHeight="false" outlineLevel="0" collapsed="false">
      <c r="A2385" s="0" t="n">
        <v>796</v>
      </c>
      <c r="B2385" s="0" t="s">
        <v>5395</v>
      </c>
      <c r="C2385" s="0" t="s">
        <v>12950</v>
      </c>
      <c r="E2385" s="0" t="s">
        <v>79</v>
      </c>
      <c r="F2385" s="0" t="s">
        <v>12951</v>
      </c>
    </row>
    <row r="2386" customFormat="false" ht="15" hidden="false" customHeight="false" outlineLevel="0" collapsed="false">
      <c r="A2386" s="0" t="n">
        <v>797</v>
      </c>
      <c r="B2386" s="0" t="s">
        <v>5400</v>
      </c>
      <c r="C2386" s="0" t="s">
        <v>5403</v>
      </c>
      <c r="E2386" s="0" t="s">
        <v>79</v>
      </c>
      <c r="F2386" s="0" t="s">
        <v>12952</v>
      </c>
    </row>
    <row r="2387" customFormat="false" ht="15" hidden="false" customHeight="false" outlineLevel="0" collapsed="false">
      <c r="A2387" s="0" t="n">
        <v>797</v>
      </c>
      <c r="B2387" s="0" t="s">
        <v>5400</v>
      </c>
      <c r="C2387" s="0" t="s">
        <v>5404</v>
      </c>
      <c r="E2387" s="0" t="s">
        <v>79</v>
      </c>
      <c r="F2387" s="0" t="s">
        <v>12953</v>
      </c>
    </row>
    <row r="2388" customFormat="false" ht="15" hidden="false" customHeight="false" outlineLevel="0" collapsed="false">
      <c r="A2388" s="0" t="n">
        <v>798</v>
      </c>
      <c r="B2388" s="0" t="s">
        <v>5409</v>
      </c>
      <c r="C2388" s="0" t="s">
        <v>5413</v>
      </c>
      <c r="E2388" s="0" t="s">
        <v>79</v>
      </c>
      <c r="F2388" s="0" t="s">
        <v>12954</v>
      </c>
    </row>
    <row r="2389" customFormat="false" ht="15" hidden="false" customHeight="false" outlineLevel="0" collapsed="false">
      <c r="A2389" s="0" t="n">
        <v>798</v>
      </c>
      <c r="B2389" s="0" t="s">
        <v>5409</v>
      </c>
      <c r="C2389" s="0" t="s">
        <v>5414</v>
      </c>
      <c r="E2389" s="0" t="s">
        <v>79</v>
      </c>
      <c r="F2389" s="0" t="s">
        <v>12955</v>
      </c>
    </row>
    <row r="2390" customFormat="false" ht="15" hidden="false" customHeight="false" outlineLevel="0" collapsed="false">
      <c r="A2390" s="0" t="n">
        <v>798</v>
      </c>
      <c r="B2390" s="0" t="s">
        <v>5409</v>
      </c>
      <c r="C2390" s="0" t="s">
        <v>5415</v>
      </c>
      <c r="E2390" s="0" t="s">
        <v>79</v>
      </c>
      <c r="F2390" s="0" t="s">
        <v>12956</v>
      </c>
    </row>
    <row r="2391" customFormat="false" ht="15" hidden="false" customHeight="false" outlineLevel="0" collapsed="false">
      <c r="A2391" s="0" t="n">
        <v>798</v>
      </c>
      <c r="B2391" s="0" t="s">
        <v>5409</v>
      </c>
      <c r="C2391" s="0" t="s">
        <v>12957</v>
      </c>
      <c r="E2391" s="0" t="s">
        <v>79</v>
      </c>
      <c r="F2391" s="0" t="s">
        <v>12958</v>
      </c>
    </row>
    <row r="2392" customFormat="false" ht="15" hidden="false" customHeight="false" outlineLevel="0" collapsed="false">
      <c r="A2392" s="0" t="n">
        <v>798</v>
      </c>
      <c r="B2392" s="0" t="s">
        <v>5409</v>
      </c>
      <c r="C2392" s="0" t="s">
        <v>12959</v>
      </c>
      <c r="E2392" s="0" t="s">
        <v>79</v>
      </c>
      <c r="F2392" s="0" t="s">
        <v>12960</v>
      </c>
    </row>
    <row r="2393" customFormat="false" ht="15" hidden="false" customHeight="false" outlineLevel="0" collapsed="false">
      <c r="A2393" s="0" t="n">
        <v>801</v>
      </c>
      <c r="B2393" s="0" t="s">
        <v>5431</v>
      </c>
      <c r="C2393" s="0" t="s">
        <v>5433</v>
      </c>
      <c r="E2393" s="0" t="s">
        <v>79</v>
      </c>
      <c r="F2393" s="0" t="s">
        <v>12961</v>
      </c>
    </row>
    <row r="2394" customFormat="false" ht="15" hidden="false" customHeight="false" outlineLevel="0" collapsed="false">
      <c r="A2394" s="0" t="n">
        <v>801</v>
      </c>
      <c r="B2394" s="0" t="s">
        <v>5431</v>
      </c>
      <c r="C2394" s="0" t="s">
        <v>5434</v>
      </c>
      <c r="E2394" s="0" t="s">
        <v>79</v>
      </c>
      <c r="F2394" s="0" t="s">
        <v>12962</v>
      </c>
    </row>
    <row r="2395" customFormat="false" ht="15" hidden="false" customHeight="false" outlineLevel="0" collapsed="false">
      <c r="A2395" s="0" t="n">
        <v>801</v>
      </c>
      <c r="B2395" s="0" t="s">
        <v>5431</v>
      </c>
      <c r="C2395" s="0" t="s">
        <v>5435</v>
      </c>
      <c r="E2395" s="0" t="s">
        <v>79</v>
      </c>
      <c r="F2395" s="0" t="s">
        <v>12963</v>
      </c>
    </row>
    <row r="2396" customFormat="false" ht="15" hidden="false" customHeight="false" outlineLevel="0" collapsed="false">
      <c r="A2396" s="0" t="n">
        <v>802</v>
      </c>
      <c r="B2396" s="0" t="s">
        <v>5436</v>
      </c>
      <c r="C2396" s="0" t="s">
        <v>5439</v>
      </c>
      <c r="E2396" s="0" t="s">
        <v>79</v>
      </c>
      <c r="F2396" s="0" t="s">
        <v>12964</v>
      </c>
    </row>
    <row r="2397" customFormat="false" ht="15" hidden="false" customHeight="false" outlineLevel="0" collapsed="false">
      <c r="A2397" s="0" t="n">
        <v>802</v>
      </c>
      <c r="B2397" s="0" t="s">
        <v>5436</v>
      </c>
      <c r="C2397" s="0" t="s">
        <v>5440</v>
      </c>
      <c r="E2397" s="0" t="s">
        <v>79</v>
      </c>
      <c r="F2397" s="0" t="s">
        <v>12965</v>
      </c>
    </row>
    <row r="2398" customFormat="false" ht="15" hidden="false" customHeight="false" outlineLevel="0" collapsed="false">
      <c r="A2398" s="0" t="n">
        <v>802</v>
      </c>
      <c r="B2398" s="0" t="s">
        <v>5436</v>
      </c>
      <c r="C2398" s="0" t="s">
        <v>5441</v>
      </c>
      <c r="E2398" s="0" t="s">
        <v>79</v>
      </c>
      <c r="F2398" s="0" t="s">
        <v>12966</v>
      </c>
    </row>
    <row r="2399" customFormat="false" ht="15" hidden="false" customHeight="false" outlineLevel="0" collapsed="false">
      <c r="A2399" s="0" t="n">
        <v>803</v>
      </c>
      <c r="B2399" s="0" t="s">
        <v>5445</v>
      </c>
      <c r="C2399" s="0" t="s">
        <v>5448</v>
      </c>
      <c r="E2399" s="0" t="s">
        <v>79</v>
      </c>
      <c r="F2399" s="0" t="s">
        <v>12967</v>
      </c>
    </row>
    <row r="2400" customFormat="false" ht="15" hidden="false" customHeight="false" outlineLevel="0" collapsed="false">
      <c r="A2400" s="0" t="n">
        <v>803</v>
      </c>
      <c r="B2400" s="0" t="s">
        <v>5445</v>
      </c>
      <c r="C2400" s="0" t="s">
        <v>5449</v>
      </c>
      <c r="E2400" s="0" t="s">
        <v>79</v>
      </c>
      <c r="F2400" s="0" t="s">
        <v>12968</v>
      </c>
    </row>
    <row r="2401" customFormat="false" ht="15" hidden="false" customHeight="false" outlineLevel="0" collapsed="false">
      <c r="A2401" s="0" t="n">
        <v>803</v>
      </c>
      <c r="B2401" s="0" t="s">
        <v>5445</v>
      </c>
      <c r="C2401" s="0" t="s">
        <v>5450</v>
      </c>
      <c r="E2401" s="0" t="s">
        <v>79</v>
      </c>
      <c r="F2401" s="0" t="s">
        <v>12969</v>
      </c>
    </row>
    <row r="2402" customFormat="false" ht="15" hidden="false" customHeight="false" outlineLevel="0" collapsed="false">
      <c r="A2402" s="0" t="n">
        <v>803</v>
      </c>
      <c r="B2402" s="0" t="s">
        <v>5445</v>
      </c>
      <c r="C2402" s="0" t="s">
        <v>12970</v>
      </c>
      <c r="E2402" s="0" t="s">
        <v>79</v>
      </c>
      <c r="F2402" s="0" t="s">
        <v>12971</v>
      </c>
    </row>
    <row r="2403" customFormat="false" ht="15" hidden="false" customHeight="false" outlineLevel="0" collapsed="false">
      <c r="A2403" s="0" t="n">
        <v>803</v>
      </c>
      <c r="B2403" s="0" t="s">
        <v>5445</v>
      </c>
      <c r="C2403" s="0" t="s">
        <v>12972</v>
      </c>
      <c r="E2403" s="0" t="s">
        <v>79</v>
      </c>
      <c r="F2403" s="0" t="s">
        <v>12973</v>
      </c>
    </row>
    <row r="2404" customFormat="false" ht="15" hidden="false" customHeight="false" outlineLevel="0" collapsed="false">
      <c r="A2404" s="0" t="n">
        <v>804</v>
      </c>
      <c r="B2404" s="0" t="s">
        <v>5455</v>
      </c>
      <c r="C2404" s="0" t="s">
        <v>5457</v>
      </c>
      <c r="E2404" s="0" t="s">
        <v>59</v>
      </c>
      <c r="F2404" s="0" t="s">
        <v>12974</v>
      </c>
    </row>
    <row r="2405" customFormat="false" ht="15" hidden="false" customHeight="false" outlineLevel="0" collapsed="false">
      <c r="A2405" s="0" t="n">
        <v>804</v>
      </c>
      <c r="B2405" s="0" t="s">
        <v>5455</v>
      </c>
      <c r="C2405" s="0" t="s">
        <v>5458</v>
      </c>
      <c r="E2405" s="0" t="s">
        <v>59</v>
      </c>
      <c r="F2405" s="0" t="s">
        <v>12975</v>
      </c>
    </row>
    <row r="2406" customFormat="false" ht="15" hidden="false" customHeight="false" outlineLevel="0" collapsed="false">
      <c r="A2406" s="0" t="n">
        <v>804</v>
      </c>
      <c r="B2406" s="0" t="s">
        <v>5455</v>
      </c>
      <c r="C2406" s="0" t="s">
        <v>5459</v>
      </c>
      <c r="E2406" s="0" t="s">
        <v>59</v>
      </c>
      <c r="F2406" s="0" t="s">
        <v>12976</v>
      </c>
    </row>
    <row r="2407" customFormat="false" ht="15" hidden="false" customHeight="false" outlineLevel="0" collapsed="false">
      <c r="A2407" s="0" t="n">
        <v>804</v>
      </c>
      <c r="B2407" s="0" t="s">
        <v>5455</v>
      </c>
      <c r="C2407" s="0" t="s">
        <v>12977</v>
      </c>
      <c r="E2407" s="0" t="s">
        <v>59</v>
      </c>
      <c r="F2407" s="0" t="s">
        <v>12978</v>
      </c>
    </row>
    <row r="2408" customFormat="false" ht="15" hidden="false" customHeight="false" outlineLevel="0" collapsed="false">
      <c r="A2408" s="0" t="n">
        <v>804</v>
      </c>
      <c r="B2408" s="0" t="s">
        <v>5455</v>
      </c>
      <c r="C2408" s="0" t="s">
        <v>12979</v>
      </c>
      <c r="E2408" s="0" t="s">
        <v>59</v>
      </c>
      <c r="F2408" s="0" t="s">
        <v>12980</v>
      </c>
    </row>
    <row r="2409" customFormat="false" ht="15" hidden="false" customHeight="false" outlineLevel="0" collapsed="false">
      <c r="A2409" s="0" t="n">
        <v>805</v>
      </c>
      <c r="B2409" s="0" t="s">
        <v>5460</v>
      </c>
      <c r="C2409" s="0" t="s">
        <v>5462</v>
      </c>
      <c r="E2409" s="0" t="s">
        <v>79</v>
      </c>
      <c r="F2409" s="0" t="s">
        <v>12981</v>
      </c>
    </row>
    <row r="2410" customFormat="false" ht="15" hidden="false" customHeight="false" outlineLevel="0" collapsed="false">
      <c r="A2410" s="0" t="n">
        <v>805</v>
      </c>
      <c r="B2410" s="0" t="s">
        <v>5460</v>
      </c>
      <c r="C2410" s="0" t="s">
        <v>5463</v>
      </c>
      <c r="E2410" s="0" t="s">
        <v>79</v>
      </c>
      <c r="F2410" s="0" t="s">
        <v>12982</v>
      </c>
    </row>
    <row r="2411" customFormat="false" ht="15" hidden="false" customHeight="false" outlineLevel="0" collapsed="false">
      <c r="A2411" s="0" t="n">
        <v>805</v>
      </c>
      <c r="B2411" s="0" t="s">
        <v>5460</v>
      </c>
      <c r="C2411" s="0" t="s">
        <v>5464</v>
      </c>
      <c r="E2411" s="0" t="s">
        <v>79</v>
      </c>
      <c r="F2411" s="0" t="s">
        <v>12983</v>
      </c>
    </row>
    <row r="2412" customFormat="false" ht="15" hidden="false" customHeight="false" outlineLevel="0" collapsed="false">
      <c r="A2412" s="0" t="n">
        <v>805</v>
      </c>
      <c r="B2412" s="0" t="s">
        <v>5460</v>
      </c>
      <c r="C2412" s="0" t="s">
        <v>12984</v>
      </c>
      <c r="E2412" s="0" t="s">
        <v>79</v>
      </c>
      <c r="F2412" s="0" t="s">
        <v>12985</v>
      </c>
    </row>
    <row r="2413" customFormat="false" ht="15" hidden="false" customHeight="false" outlineLevel="0" collapsed="false">
      <c r="A2413" s="0" t="n">
        <v>805</v>
      </c>
      <c r="B2413" s="0" t="s">
        <v>5460</v>
      </c>
      <c r="C2413" s="0" t="s">
        <v>12986</v>
      </c>
      <c r="E2413" s="0" t="s">
        <v>79</v>
      </c>
      <c r="F2413" s="0" t="s">
        <v>12987</v>
      </c>
    </row>
    <row r="2414" customFormat="false" ht="15" hidden="false" customHeight="false" outlineLevel="0" collapsed="false">
      <c r="A2414" s="0" t="n">
        <v>806</v>
      </c>
      <c r="B2414" s="0" t="s">
        <v>5465</v>
      </c>
      <c r="C2414" s="0" t="s">
        <v>5467</v>
      </c>
      <c r="E2414" s="0" t="s">
        <v>59</v>
      </c>
      <c r="F2414" s="0" t="s">
        <v>12988</v>
      </c>
    </row>
    <row r="2415" customFormat="false" ht="15" hidden="false" customHeight="false" outlineLevel="0" collapsed="false">
      <c r="A2415" s="0" t="n">
        <v>806</v>
      </c>
      <c r="B2415" s="0" t="s">
        <v>5465</v>
      </c>
      <c r="C2415" s="0" t="s">
        <v>5468</v>
      </c>
      <c r="E2415" s="0" t="s">
        <v>59</v>
      </c>
      <c r="F2415" s="0" t="s">
        <v>12989</v>
      </c>
    </row>
    <row r="2416" customFormat="false" ht="15" hidden="false" customHeight="false" outlineLevel="0" collapsed="false">
      <c r="A2416" s="0" t="n">
        <v>806</v>
      </c>
      <c r="B2416" s="0" t="s">
        <v>5465</v>
      </c>
      <c r="C2416" s="0" t="s">
        <v>5469</v>
      </c>
      <c r="E2416" s="0" t="s">
        <v>59</v>
      </c>
      <c r="F2416" s="0" t="s">
        <v>12990</v>
      </c>
    </row>
    <row r="2417" customFormat="false" ht="15" hidden="false" customHeight="false" outlineLevel="0" collapsed="false">
      <c r="A2417" s="0" t="n">
        <v>806</v>
      </c>
      <c r="B2417" s="0" t="s">
        <v>5465</v>
      </c>
      <c r="C2417" s="0" t="s">
        <v>12991</v>
      </c>
      <c r="E2417" s="0" t="s">
        <v>59</v>
      </c>
      <c r="F2417" s="0" t="s">
        <v>12992</v>
      </c>
    </row>
    <row r="2418" customFormat="false" ht="15" hidden="false" customHeight="false" outlineLevel="0" collapsed="false">
      <c r="A2418" s="0" t="n">
        <v>806</v>
      </c>
      <c r="B2418" s="0" t="s">
        <v>5465</v>
      </c>
      <c r="C2418" s="0" t="s">
        <v>12993</v>
      </c>
      <c r="E2418" s="0" t="s">
        <v>59</v>
      </c>
      <c r="F2418" s="0" t="s">
        <v>12994</v>
      </c>
    </row>
    <row r="2419" customFormat="false" ht="15" hidden="false" customHeight="false" outlineLevel="0" collapsed="false">
      <c r="A2419" s="0" t="n">
        <v>807</v>
      </c>
      <c r="B2419" s="0" t="s">
        <v>5471</v>
      </c>
      <c r="C2419" s="0" t="s">
        <v>5473</v>
      </c>
      <c r="E2419" s="0" t="s">
        <v>79</v>
      </c>
      <c r="F2419" s="0" t="s">
        <v>12995</v>
      </c>
    </row>
    <row r="2420" customFormat="false" ht="15" hidden="false" customHeight="false" outlineLevel="0" collapsed="false">
      <c r="A2420" s="0" t="n">
        <v>807</v>
      </c>
      <c r="B2420" s="0" t="s">
        <v>5471</v>
      </c>
      <c r="C2420" s="0" t="s">
        <v>5474</v>
      </c>
      <c r="E2420" s="0" t="s">
        <v>79</v>
      </c>
      <c r="F2420" s="0" t="s">
        <v>12996</v>
      </c>
    </row>
    <row r="2421" customFormat="false" ht="15" hidden="false" customHeight="false" outlineLevel="0" collapsed="false">
      <c r="A2421" s="0" t="n">
        <v>807</v>
      </c>
      <c r="B2421" s="0" t="s">
        <v>5471</v>
      </c>
      <c r="C2421" s="0" t="s">
        <v>5475</v>
      </c>
      <c r="E2421" s="0" t="s">
        <v>79</v>
      </c>
      <c r="F2421" s="0" t="s">
        <v>12997</v>
      </c>
    </row>
    <row r="2422" customFormat="false" ht="15" hidden="false" customHeight="false" outlineLevel="0" collapsed="false">
      <c r="A2422" s="0" t="n">
        <v>808</v>
      </c>
      <c r="B2422" s="0" t="s">
        <v>5476</v>
      </c>
      <c r="C2422" s="0" t="s">
        <v>5479</v>
      </c>
      <c r="E2422" s="0" t="s">
        <v>79</v>
      </c>
      <c r="F2422" s="0" t="s">
        <v>12998</v>
      </c>
    </row>
    <row r="2423" customFormat="false" ht="15" hidden="false" customHeight="false" outlineLevel="0" collapsed="false">
      <c r="A2423" s="0" t="n">
        <v>808</v>
      </c>
      <c r="B2423" s="0" t="s">
        <v>5476</v>
      </c>
      <c r="C2423" s="0" t="s">
        <v>5480</v>
      </c>
      <c r="E2423" s="0" t="s">
        <v>79</v>
      </c>
      <c r="F2423" s="0" t="s">
        <v>12999</v>
      </c>
    </row>
    <row r="2424" customFormat="false" ht="15" hidden="false" customHeight="false" outlineLevel="0" collapsed="false">
      <c r="A2424" s="0" t="n">
        <v>808</v>
      </c>
      <c r="B2424" s="0" t="s">
        <v>5476</v>
      </c>
      <c r="C2424" s="0" t="s">
        <v>5481</v>
      </c>
      <c r="E2424" s="0" t="s">
        <v>79</v>
      </c>
      <c r="F2424" s="0" t="s">
        <v>13000</v>
      </c>
    </row>
    <row r="2425" customFormat="false" ht="15" hidden="false" customHeight="false" outlineLevel="0" collapsed="false">
      <c r="A2425" s="0" t="n">
        <v>808</v>
      </c>
      <c r="B2425" s="0" t="s">
        <v>5476</v>
      </c>
      <c r="C2425" s="0" t="s">
        <v>13001</v>
      </c>
      <c r="E2425" s="0" t="s">
        <v>79</v>
      </c>
      <c r="F2425" s="0" t="s">
        <v>13002</v>
      </c>
    </row>
    <row r="2426" customFormat="false" ht="15" hidden="false" customHeight="false" outlineLevel="0" collapsed="false">
      <c r="A2426" s="0" t="n">
        <v>808</v>
      </c>
      <c r="B2426" s="0" t="s">
        <v>5476</v>
      </c>
      <c r="C2426" s="0" t="s">
        <v>13003</v>
      </c>
      <c r="E2426" s="0" t="s">
        <v>79</v>
      </c>
      <c r="F2426" s="0" t="s">
        <v>13004</v>
      </c>
    </row>
    <row r="2427" customFormat="false" ht="15" hidden="false" customHeight="false" outlineLevel="0" collapsed="false">
      <c r="A2427" s="0" t="n">
        <v>809</v>
      </c>
      <c r="B2427" s="0" t="s">
        <v>5485</v>
      </c>
      <c r="C2427" s="0" t="s">
        <v>5487</v>
      </c>
      <c r="E2427" s="0" t="s">
        <v>79</v>
      </c>
      <c r="F2427" s="0" t="s">
        <v>13005</v>
      </c>
    </row>
    <row r="2428" customFormat="false" ht="15" hidden="false" customHeight="false" outlineLevel="0" collapsed="false">
      <c r="A2428" s="0" t="n">
        <v>809</v>
      </c>
      <c r="B2428" s="0" t="s">
        <v>5485</v>
      </c>
      <c r="C2428" s="0" t="s">
        <v>5488</v>
      </c>
      <c r="E2428" s="0" t="s">
        <v>79</v>
      </c>
      <c r="F2428" s="0" t="s">
        <v>13006</v>
      </c>
    </row>
    <row r="2429" customFormat="false" ht="15" hidden="false" customHeight="false" outlineLevel="0" collapsed="false">
      <c r="A2429" s="0" t="n">
        <v>809</v>
      </c>
      <c r="B2429" s="0" t="s">
        <v>5485</v>
      </c>
      <c r="C2429" s="0" t="s">
        <v>5489</v>
      </c>
      <c r="E2429" s="0" t="s">
        <v>79</v>
      </c>
      <c r="F2429" s="0" t="s">
        <v>13007</v>
      </c>
    </row>
    <row r="2430" customFormat="false" ht="15" hidden="false" customHeight="false" outlineLevel="0" collapsed="false">
      <c r="A2430" s="0" t="n">
        <v>809</v>
      </c>
      <c r="B2430" s="0" t="s">
        <v>5485</v>
      </c>
      <c r="C2430" s="0" t="s">
        <v>13008</v>
      </c>
      <c r="E2430" s="0" t="s">
        <v>79</v>
      </c>
      <c r="F2430" s="0" t="s">
        <v>13009</v>
      </c>
    </row>
    <row r="2431" customFormat="false" ht="15" hidden="false" customHeight="false" outlineLevel="0" collapsed="false">
      <c r="A2431" s="0" t="n">
        <v>809</v>
      </c>
      <c r="B2431" s="0" t="s">
        <v>5485</v>
      </c>
      <c r="C2431" s="0" t="s">
        <v>13010</v>
      </c>
      <c r="E2431" s="0" t="s">
        <v>79</v>
      </c>
      <c r="F2431" s="0" t="s">
        <v>13011</v>
      </c>
    </row>
    <row r="2432" customFormat="false" ht="15" hidden="false" customHeight="false" outlineLevel="0" collapsed="false">
      <c r="A2432" s="0" t="n">
        <v>810</v>
      </c>
      <c r="B2432" s="0" t="s">
        <v>5490</v>
      </c>
      <c r="C2432" s="0" t="s">
        <v>5493</v>
      </c>
      <c r="E2432" s="0" t="s">
        <v>79</v>
      </c>
      <c r="F2432" s="0" t="s">
        <v>13012</v>
      </c>
    </row>
    <row r="2433" customFormat="false" ht="15" hidden="false" customHeight="false" outlineLevel="0" collapsed="false">
      <c r="A2433" s="0" t="n">
        <v>810</v>
      </c>
      <c r="B2433" s="0" t="s">
        <v>5490</v>
      </c>
      <c r="C2433" s="0" t="s">
        <v>5494</v>
      </c>
      <c r="E2433" s="0" t="s">
        <v>79</v>
      </c>
      <c r="F2433" s="0" t="s">
        <v>13013</v>
      </c>
    </row>
    <row r="2434" customFormat="false" ht="15" hidden="false" customHeight="false" outlineLevel="0" collapsed="false">
      <c r="A2434" s="0" t="n">
        <v>810</v>
      </c>
      <c r="B2434" s="0" t="s">
        <v>5490</v>
      </c>
      <c r="C2434" s="0" t="s">
        <v>5495</v>
      </c>
      <c r="E2434" s="0" t="s">
        <v>79</v>
      </c>
      <c r="F2434" s="0" t="s">
        <v>13014</v>
      </c>
    </row>
    <row r="2435" customFormat="false" ht="15" hidden="false" customHeight="false" outlineLevel="0" collapsed="false">
      <c r="A2435" s="0" t="n">
        <v>810</v>
      </c>
      <c r="B2435" s="0" t="s">
        <v>5490</v>
      </c>
      <c r="C2435" s="0" t="s">
        <v>13015</v>
      </c>
      <c r="E2435" s="0" t="s">
        <v>79</v>
      </c>
      <c r="F2435" s="0" t="s">
        <v>13016</v>
      </c>
    </row>
    <row r="2436" customFormat="false" ht="15" hidden="false" customHeight="false" outlineLevel="0" collapsed="false">
      <c r="A2436" s="0" t="n">
        <v>810</v>
      </c>
      <c r="B2436" s="0" t="s">
        <v>5490</v>
      </c>
      <c r="C2436" s="0" t="s">
        <v>13017</v>
      </c>
      <c r="E2436" s="0" t="s">
        <v>79</v>
      </c>
      <c r="F2436" s="0" t="s">
        <v>13018</v>
      </c>
    </row>
    <row r="2437" customFormat="false" ht="15" hidden="false" customHeight="false" outlineLevel="0" collapsed="false">
      <c r="A2437" s="0" t="n">
        <v>812</v>
      </c>
      <c r="B2437" s="0" t="s">
        <v>5501</v>
      </c>
      <c r="C2437" s="0" t="s">
        <v>5503</v>
      </c>
      <c r="E2437" s="0" t="s">
        <v>79</v>
      </c>
      <c r="F2437" s="0" t="s">
        <v>13019</v>
      </c>
    </row>
    <row r="2438" customFormat="false" ht="15" hidden="false" customHeight="false" outlineLevel="0" collapsed="false">
      <c r="A2438" s="0" t="n">
        <v>812</v>
      </c>
      <c r="B2438" s="0" t="s">
        <v>5501</v>
      </c>
      <c r="C2438" s="0" t="s">
        <v>5504</v>
      </c>
      <c r="E2438" s="0" t="s">
        <v>79</v>
      </c>
      <c r="F2438" s="0" t="s">
        <v>13020</v>
      </c>
    </row>
    <row r="2439" customFormat="false" ht="15" hidden="false" customHeight="false" outlineLevel="0" collapsed="false">
      <c r="A2439" s="0" t="n">
        <v>812</v>
      </c>
      <c r="B2439" s="0" t="s">
        <v>5501</v>
      </c>
      <c r="C2439" s="0" t="s">
        <v>5505</v>
      </c>
      <c r="E2439" s="0" t="s">
        <v>79</v>
      </c>
      <c r="F2439" s="0" t="s">
        <v>13021</v>
      </c>
    </row>
    <row r="2440" customFormat="false" ht="15" hidden="false" customHeight="false" outlineLevel="0" collapsed="false">
      <c r="A2440" s="0" t="n">
        <v>812</v>
      </c>
      <c r="B2440" s="0" t="s">
        <v>5501</v>
      </c>
      <c r="C2440" s="0" t="s">
        <v>13022</v>
      </c>
      <c r="E2440" s="0" t="s">
        <v>79</v>
      </c>
      <c r="F2440" s="0" t="s">
        <v>13023</v>
      </c>
    </row>
    <row r="2441" customFormat="false" ht="15" hidden="false" customHeight="false" outlineLevel="0" collapsed="false">
      <c r="A2441" s="0" t="n">
        <v>812</v>
      </c>
      <c r="B2441" s="0" t="s">
        <v>5501</v>
      </c>
      <c r="C2441" s="0" t="s">
        <v>13024</v>
      </c>
      <c r="E2441" s="0" t="s">
        <v>79</v>
      </c>
      <c r="F2441" s="0" t="s">
        <v>13025</v>
      </c>
    </row>
    <row r="2442" customFormat="false" ht="15" hidden="false" customHeight="false" outlineLevel="0" collapsed="false">
      <c r="A2442" s="0" t="n">
        <v>814</v>
      </c>
      <c r="B2442" s="0" t="s">
        <v>5508</v>
      </c>
      <c r="C2442" s="0" t="s">
        <v>5510</v>
      </c>
      <c r="E2442" s="0" t="s">
        <v>79</v>
      </c>
      <c r="F2442" s="0" t="s">
        <v>13026</v>
      </c>
    </row>
    <row r="2443" customFormat="false" ht="15" hidden="false" customHeight="false" outlineLevel="0" collapsed="false">
      <c r="A2443" s="0" t="n">
        <v>815</v>
      </c>
      <c r="B2443" s="0" t="s">
        <v>5511</v>
      </c>
      <c r="C2443" s="0" t="s">
        <v>5513</v>
      </c>
      <c r="E2443" s="0" t="s">
        <v>79</v>
      </c>
      <c r="F2443" s="0" t="s">
        <v>13027</v>
      </c>
    </row>
    <row r="2444" customFormat="false" ht="15" hidden="false" customHeight="false" outlineLevel="0" collapsed="false">
      <c r="A2444" s="0" t="n">
        <v>815</v>
      </c>
      <c r="B2444" s="0" t="s">
        <v>5511</v>
      </c>
      <c r="C2444" s="0" t="s">
        <v>5514</v>
      </c>
      <c r="E2444" s="0" t="s">
        <v>79</v>
      </c>
      <c r="F2444" s="0" t="s">
        <v>13028</v>
      </c>
    </row>
    <row r="2445" customFormat="false" ht="15" hidden="false" customHeight="false" outlineLevel="0" collapsed="false">
      <c r="A2445" s="0" t="n">
        <v>815</v>
      </c>
      <c r="B2445" s="0" t="s">
        <v>5511</v>
      </c>
      <c r="C2445" s="0" t="s">
        <v>5515</v>
      </c>
      <c r="E2445" s="0" t="s">
        <v>79</v>
      </c>
      <c r="F2445" s="0" t="s">
        <v>13029</v>
      </c>
    </row>
    <row r="2446" customFormat="false" ht="15" hidden="false" customHeight="false" outlineLevel="0" collapsed="false">
      <c r="A2446" s="0" t="n">
        <v>815</v>
      </c>
      <c r="B2446" s="0" t="s">
        <v>5511</v>
      </c>
      <c r="C2446" s="0" t="s">
        <v>13030</v>
      </c>
      <c r="E2446" s="0" t="s">
        <v>79</v>
      </c>
      <c r="F2446" s="0" t="s">
        <v>13031</v>
      </c>
    </row>
    <row r="2447" customFormat="false" ht="15" hidden="false" customHeight="false" outlineLevel="0" collapsed="false">
      <c r="A2447" s="0" t="n">
        <v>815</v>
      </c>
      <c r="B2447" s="0" t="s">
        <v>5511</v>
      </c>
      <c r="C2447" s="0" t="s">
        <v>13032</v>
      </c>
      <c r="E2447" s="0" t="s">
        <v>79</v>
      </c>
      <c r="F2447" s="0" t="s">
        <v>13033</v>
      </c>
    </row>
    <row r="2448" customFormat="false" ht="15" hidden="false" customHeight="false" outlineLevel="0" collapsed="false">
      <c r="A2448" s="0" t="n">
        <v>817</v>
      </c>
      <c r="B2448" s="0" t="s">
        <v>5520</v>
      </c>
      <c r="C2448" s="0" t="s">
        <v>5522</v>
      </c>
      <c r="E2448" s="0" t="s">
        <v>79</v>
      </c>
      <c r="F2448" s="0" t="s">
        <v>13034</v>
      </c>
    </row>
    <row r="2449" customFormat="false" ht="15" hidden="false" customHeight="false" outlineLevel="0" collapsed="false">
      <c r="A2449" s="0" t="n">
        <v>817</v>
      </c>
      <c r="B2449" s="0" t="s">
        <v>5520</v>
      </c>
      <c r="C2449" s="0" t="s">
        <v>5523</v>
      </c>
      <c r="E2449" s="0" t="s">
        <v>79</v>
      </c>
      <c r="F2449" s="0" t="s">
        <v>13035</v>
      </c>
    </row>
    <row r="2450" customFormat="false" ht="15" hidden="false" customHeight="false" outlineLevel="0" collapsed="false">
      <c r="A2450" s="0" t="n">
        <v>817</v>
      </c>
      <c r="B2450" s="0" t="s">
        <v>5520</v>
      </c>
      <c r="C2450" s="0" t="s">
        <v>5524</v>
      </c>
      <c r="E2450" s="0" t="s">
        <v>79</v>
      </c>
      <c r="F2450" s="0" t="s">
        <v>13036</v>
      </c>
    </row>
    <row r="2451" customFormat="false" ht="15" hidden="false" customHeight="false" outlineLevel="0" collapsed="false">
      <c r="A2451" s="0" t="n">
        <v>817</v>
      </c>
      <c r="B2451" s="0" t="s">
        <v>5520</v>
      </c>
      <c r="C2451" s="0" t="s">
        <v>13037</v>
      </c>
      <c r="E2451" s="0" t="s">
        <v>79</v>
      </c>
      <c r="F2451" s="0" t="s">
        <v>13038</v>
      </c>
    </row>
    <row r="2452" customFormat="false" ht="15" hidden="false" customHeight="false" outlineLevel="0" collapsed="false">
      <c r="A2452" s="0" t="n">
        <v>817</v>
      </c>
      <c r="B2452" s="0" t="s">
        <v>5520</v>
      </c>
      <c r="C2452" s="0" t="s">
        <v>13039</v>
      </c>
      <c r="E2452" s="0" t="s">
        <v>79</v>
      </c>
      <c r="F2452" s="0" t="s">
        <v>13040</v>
      </c>
    </row>
    <row r="2453" customFormat="false" ht="15" hidden="false" customHeight="false" outlineLevel="0" collapsed="false">
      <c r="A2453" s="0" t="n">
        <v>818</v>
      </c>
      <c r="B2453" s="0" t="s">
        <v>5525</v>
      </c>
      <c r="C2453" s="0" t="s">
        <v>5528</v>
      </c>
      <c r="E2453" s="0" t="s">
        <v>79</v>
      </c>
      <c r="F2453" s="0" t="s">
        <v>13041</v>
      </c>
    </row>
    <row r="2454" customFormat="false" ht="15" hidden="false" customHeight="false" outlineLevel="0" collapsed="false">
      <c r="A2454" s="0" t="n">
        <v>818</v>
      </c>
      <c r="B2454" s="0" t="s">
        <v>5525</v>
      </c>
      <c r="C2454" s="0" t="s">
        <v>5529</v>
      </c>
      <c r="E2454" s="0" t="s">
        <v>79</v>
      </c>
      <c r="F2454" s="0" t="s">
        <v>13042</v>
      </c>
    </row>
    <row r="2455" customFormat="false" ht="15" hidden="false" customHeight="false" outlineLevel="0" collapsed="false">
      <c r="A2455" s="0" t="n">
        <v>818</v>
      </c>
      <c r="B2455" s="0" t="s">
        <v>5525</v>
      </c>
      <c r="C2455" s="0" t="s">
        <v>5530</v>
      </c>
      <c r="E2455" s="0" t="s">
        <v>79</v>
      </c>
      <c r="F2455" s="0" t="s">
        <v>13043</v>
      </c>
    </row>
    <row r="2456" customFormat="false" ht="15" hidden="false" customHeight="false" outlineLevel="0" collapsed="false">
      <c r="A2456" s="0" t="n">
        <v>818</v>
      </c>
      <c r="B2456" s="0" t="s">
        <v>5525</v>
      </c>
      <c r="C2456" s="0" t="s">
        <v>13044</v>
      </c>
      <c r="E2456" s="0" t="s">
        <v>79</v>
      </c>
      <c r="F2456" s="0" t="s">
        <v>13045</v>
      </c>
    </row>
    <row r="2457" customFormat="false" ht="15" hidden="false" customHeight="false" outlineLevel="0" collapsed="false">
      <c r="A2457" s="0" t="n">
        <v>819</v>
      </c>
      <c r="B2457" s="0" t="s">
        <v>5535</v>
      </c>
      <c r="C2457" s="0" t="s">
        <v>5538</v>
      </c>
      <c r="E2457" s="0" t="s">
        <v>79</v>
      </c>
      <c r="F2457" s="0" t="s">
        <v>13046</v>
      </c>
    </row>
    <row r="2458" customFormat="false" ht="15" hidden="false" customHeight="false" outlineLevel="0" collapsed="false">
      <c r="A2458" s="0" t="n">
        <v>819</v>
      </c>
      <c r="B2458" s="0" t="s">
        <v>5535</v>
      </c>
      <c r="C2458" s="0" t="s">
        <v>5539</v>
      </c>
      <c r="E2458" s="0" t="s">
        <v>79</v>
      </c>
      <c r="F2458" s="0" t="s">
        <v>13047</v>
      </c>
    </row>
    <row r="2459" customFormat="false" ht="15" hidden="false" customHeight="false" outlineLevel="0" collapsed="false">
      <c r="A2459" s="0" t="n">
        <v>819</v>
      </c>
      <c r="B2459" s="0" t="s">
        <v>5535</v>
      </c>
      <c r="C2459" s="0" t="s">
        <v>5540</v>
      </c>
      <c r="E2459" s="0" t="s">
        <v>79</v>
      </c>
      <c r="F2459" s="0" t="s">
        <v>13048</v>
      </c>
    </row>
    <row r="2460" customFormat="false" ht="15" hidden="false" customHeight="false" outlineLevel="0" collapsed="false">
      <c r="A2460" s="0" t="n">
        <v>819</v>
      </c>
      <c r="B2460" s="0" t="s">
        <v>5535</v>
      </c>
      <c r="C2460" s="0" t="s">
        <v>13049</v>
      </c>
      <c r="E2460" s="0" t="s">
        <v>79</v>
      </c>
      <c r="F2460" s="0" t="s">
        <v>13050</v>
      </c>
    </row>
    <row r="2461" customFormat="false" ht="15" hidden="false" customHeight="false" outlineLevel="0" collapsed="false">
      <c r="A2461" s="0" t="n">
        <v>819</v>
      </c>
      <c r="B2461" s="0" t="s">
        <v>5535</v>
      </c>
      <c r="C2461" s="0" t="s">
        <v>13051</v>
      </c>
      <c r="E2461" s="0" t="s">
        <v>79</v>
      </c>
      <c r="F2461" s="0" t="s">
        <v>13052</v>
      </c>
    </row>
    <row r="2462" customFormat="false" ht="15" hidden="false" customHeight="false" outlineLevel="0" collapsed="false">
      <c r="A2462" s="0" t="n">
        <v>821</v>
      </c>
      <c r="B2462" s="0" t="s">
        <v>5549</v>
      </c>
      <c r="C2462" s="0" t="s">
        <v>5551</v>
      </c>
      <c r="E2462" s="0" t="s">
        <v>79</v>
      </c>
      <c r="F2462" s="0" t="s">
        <v>13053</v>
      </c>
    </row>
    <row r="2463" customFormat="false" ht="15" hidden="false" customHeight="false" outlineLevel="0" collapsed="false">
      <c r="A2463" s="0" t="n">
        <v>821</v>
      </c>
      <c r="B2463" s="0" t="s">
        <v>5549</v>
      </c>
      <c r="C2463" s="0" t="s">
        <v>5552</v>
      </c>
      <c r="E2463" s="0" t="s">
        <v>79</v>
      </c>
      <c r="F2463" s="0" t="s">
        <v>13054</v>
      </c>
    </row>
    <row r="2464" customFormat="false" ht="15" hidden="false" customHeight="false" outlineLevel="0" collapsed="false">
      <c r="A2464" s="0" t="n">
        <v>821</v>
      </c>
      <c r="B2464" s="0" t="s">
        <v>5549</v>
      </c>
      <c r="C2464" s="0" t="s">
        <v>5553</v>
      </c>
      <c r="E2464" s="0" t="s">
        <v>79</v>
      </c>
      <c r="F2464" s="0" t="s">
        <v>13055</v>
      </c>
    </row>
    <row r="2465" customFormat="false" ht="15" hidden="false" customHeight="false" outlineLevel="0" collapsed="false">
      <c r="A2465" s="0" t="n">
        <v>821</v>
      </c>
      <c r="B2465" s="0" t="s">
        <v>5549</v>
      </c>
      <c r="C2465" s="0" t="s">
        <v>13056</v>
      </c>
      <c r="E2465" s="0" t="s">
        <v>79</v>
      </c>
      <c r="F2465" s="0" t="s">
        <v>13057</v>
      </c>
    </row>
    <row r="2466" customFormat="false" ht="15" hidden="false" customHeight="false" outlineLevel="0" collapsed="false">
      <c r="A2466" s="0" t="n">
        <v>821</v>
      </c>
      <c r="B2466" s="0" t="s">
        <v>5549</v>
      </c>
      <c r="C2466" s="0" t="s">
        <v>13058</v>
      </c>
      <c r="E2466" s="0" t="s">
        <v>79</v>
      </c>
      <c r="F2466" s="0" t="s">
        <v>13059</v>
      </c>
    </row>
    <row r="2467" customFormat="false" ht="15" hidden="false" customHeight="false" outlineLevel="0" collapsed="false">
      <c r="A2467" s="0" t="n">
        <v>822</v>
      </c>
      <c r="B2467" s="0" t="s">
        <v>5554</v>
      </c>
      <c r="C2467" s="0" t="s">
        <v>5557</v>
      </c>
      <c r="E2467" s="0" t="s">
        <v>79</v>
      </c>
      <c r="F2467" s="0" t="s">
        <v>13060</v>
      </c>
    </row>
    <row r="2468" customFormat="false" ht="15" hidden="false" customHeight="false" outlineLevel="0" collapsed="false">
      <c r="A2468" s="0" t="n">
        <v>822</v>
      </c>
      <c r="B2468" s="0" t="s">
        <v>5554</v>
      </c>
      <c r="C2468" s="0" t="s">
        <v>5558</v>
      </c>
      <c r="E2468" s="0" t="s">
        <v>79</v>
      </c>
      <c r="F2468" s="0" t="s">
        <v>13061</v>
      </c>
    </row>
    <row r="2469" customFormat="false" ht="15" hidden="false" customHeight="false" outlineLevel="0" collapsed="false">
      <c r="A2469" s="0" t="n">
        <v>822</v>
      </c>
      <c r="B2469" s="0" t="s">
        <v>5554</v>
      </c>
      <c r="C2469" s="0" t="s">
        <v>5559</v>
      </c>
      <c r="E2469" s="0" t="s">
        <v>79</v>
      </c>
      <c r="F2469" s="0" t="s">
        <v>13062</v>
      </c>
    </row>
    <row r="2470" customFormat="false" ht="15" hidden="false" customHeight="false" outlineLevel="0" collapsed="false">
      <c r="A2470" s="0" t="n">
        <v>823</v>
      </c>
      <c r="B2470" s="0" t="s">
        <v>5563</v>
      </c>
      <c r="C2470" s="0" t="s">
        <v>5565</v>
      </c>
      <c r="E2470" s="0" t="s">
        <v>79</v>
      </c>
      <c r="F2470" s="0" t="s">
        <v>13063</v>
      </c>
    </row>
    <row r="2471" customFormat="false" ht="15" hidden="false" customHeight="false" outlineLevel="0" collapsed="false">
      <c r="A2471" s="0" t="n">
        <v>823</v>
      </c>
      <c r="B2471" s="0" t="s">
        <v>5563</v>
      </c>
      <c r="C2471" s="0" t="s">
        <v>5566</v>
      </c>
      <c r="E2471" s="0" t="s">
        <v>79</v>
      </c>
      <c r="F2471" s="0" t="s">
        <v>13064</v>
      </c>
    </row>
    <row r="2472" customFormat="false" ht="15" hidden="false" customHeight="false" outlineLevel="0" collapsed="false">
      <c r="A2472" s="0" t="n">
        <v>823</v>
      </c>
      <c r="B2472" s="0" t="s">
        <v>5563</v>
      </c>
      <c r="C2472" s="0" t="s">
        <v>5567</v>
      </c>
      <c r="E2472" s="0" t="s">
        <v>79</v>
      </c>
      <c r="F2472" s="0" t="s">
        <v>13065</v>
      </c>
    </row>
    <row r="2473" customFormat="false" ht="15" hidden="false" customHeight="false" outlineLevel="0" collapsed="false">
      <c r="A2473" s="0" t="n">
        <v>823</v>
      </c>
      <c r="B2473" s="0" t="s">
        <v>5563</v>
      </c>
      <c r="C2473" s="0" t="s">
        <v>13066</v>
      </c>
      <c r="E2473" s="0" t="s">
        <v>79</v>
      </c>
      <c r="F2473" s="0" t="s">
        <v>13067</v>
      </c>
    </row>
    <row r="2474" customFormat="false" ht="15" hidden="false" customHeight="false" outlineLevel="0" collapsed="false">
      <c r="A2474" s="0" t="n">
        <v>823</v>
      </c>
      <c r="B2474" s="0" t="s">
        <v>5563</v>
      </c>
      <c r="C2474" s="0" t="s">
        <v>13068</v>
      </c>
      <c r="E2474" s="0" t="s">
        <v>79</v>
      </c>
      <c r="F2474" s="0" t="s">
        <v>13069</v>
      </c>
    </row>
    <row r="2475" customFormat="false" ht="15" hidden="false" customHeight="false" outlineLevel="0" collapsed="false">
      <c r="A2475" s="0" t="n">
        <v>824</v>
      </c>
      <c r="B2475" s="0" t="s">
        <v>5568</v>
      </c>
      <c r="C2475" s="0" t="s">
        <v>5570</v>
      </c>
      <c r="E2475" s="0" t="s">
        <v>59</v>
      </c>
      <c r="F2475" s="0" t="s">
        <v>13070</v>
      </c>
    </row>
    <row r="2476" customFormat="false" ht="15" hidden="false" customHeight="false" outlineLevel="0" collapsed="false">
      <c r="A2476" s="0" t="n">
        <v>824</v>
      </c>
      <c r="B2476" s="0" t="s">
        <v>5568</v>
      </c>
      <c r="C2476" s="0" t="s">
        <v>5571</v>
      </c>
      <c r="E2476" s="0" t="s">
        <v>59</v>
      </c>
      <c r="F2476" s="0" t="s">
        <v>13071</v>
      </c>
    </row>
    <row r="2477" customFormat="false" ht="15" hidden="false" customHeight="false" outlineLevel="0" collapsed="false">
      <c r="A2477" s="0" t="n">
        <v>824</v>
      </c>
      <c r="B2477" s="0" t="s">
        <v>5568</v>
      </c>
      <c r="C2477" s="0" t="s">
        <v>5572</v>
      </c>
      <c r="E2477" s="0" t="s">
        <v>59</v>
      </c>
      <c r="F2477" s="0" t="s">
        <v>13072</v>
      </c>
    </row>
    <row r="2478" customFormat="false" ht="15" hidden="false" customHeight="false" outlineLevel="0" collapsed="false">
      <c r="A2478" s="0" t="n">
        <v>824</v>
      </c>
      <c r="B2478" s="0" t="s">
        <v>5568</v>
      </c>
      <c r="C2478" s="0" t="s">
        <v>13073</v>
      </c>
      <c r="E2478" s="0" t="s">
        <v>59</v>
      </c>
      <c r="F2478" s="0" t="s">
        <v>13074</v>
      </c>
    </row>
    <row r="2479" customFormat="false" ht="15" hidden="false" customHeight="false" outlineLevel="0" collapsed="false">
      <c r="A2479" s="0" t="n">
        <v>824</v>
      </c>
      <c r="B2479" s="0" t="s">
        <v>5568</v>
      </c>
      <c r="C2479" s="0" t="s">
        <v>13075</v>
      </c>
      <c r="E2479" s="0" t="s">
        <v>59</v>
      </c>
      <c r="F2479" s="0" t="s">
        <v>13076</v>
      </c>
    </row>
    <row r="2480" customFormat="false" ht="15" hidden="false" customHeight="false" outlineLevel="0" collapsed="false">
      <c r="A2480" s="0" t="n">
        <v>826</v>
      </c>
      <c r="B2480" s="0" t="s">
        <v>5580</v>
      </c>
      <c r="C2480" s="0" t="s">
        <v>5583</v>
      </c>
      <c r="E2480" s="0" t="s">
        <v>79</v>
      </c>
      <c r="F2480" s="0" t="s">
        <v>13077</v>
      </c>
    </row>
    <row r="2481" customFormat="false" ht="15" hidden="false" customHeight="false" outlineLevel="0" collapsed="false">
      <c r="A2481" s="0" t="n">
        <v>826</v>
      </c>
      <c r="B2481" s="0" t="s">
        <v>5580</v>
      </c>
      <c r="C2481" s="0" t="s">
        <v>5584</v>
      </c>
      <c r="E2481" s="0" t="s">
        <v>79</v>
      </c>
      <c r="F2481" s="0" t="s">
        <v>13078</v>
      </c>
    </row>
    <row r="2482" customFormat="false" ht="15" hidden="false" customHeight="false" outlineLevel="0" collapsed="false">
      <c r="A2482" s="0" t="n">
        <v>828</v>
      </c>
      <c r="B2482" s="0" t="s">
        <v>5589</v>
      </c>
      <c r="C2482" s="0" t="s">
        <v>5592</v>
      </c>
      <c r="E2482" s="0" t="s">
        <v>79</v>
      </c>
      <c r="F2482" s="0" t="s">
        <v>13079</v>
      </c>
    </row>
    <row r="2483" customFormat="false" ht="15" hidden="false" customHeight="false" outlineLevel="0" collapsed="false">
      <c r="A2483" s="0" t="n">
        <v>828</v>
      </c>
      <c r="B2483" s="0" t="s">
        <v>5589</v>
      </c>
      <c r="C2483" s="0" t="s">
        <v>5593</v>
      </c>
      <c r="E2483" s="0" t="s">
        <v>79</v>
      </c>
      <c r="F2483" s="0" t="s">
        <v>13080</v>
      </c>
    </row>
    <row r="2484" customFormat="false" ht="15" hidden="false" customHeight="false" outlineLevel="0" collapsed="false">
      <c r="A2484" s="0" t="n">
        <v>828</v>
      </c>
      <c r="B2484" s="0" t="s">
        <v>5589</v>
      </c>
      <c r="C2484" s="0" t="s">
        <v>5594</v>
      </c>
      <c r="E2484" s="0" t="s">
        <v>79</v>
      </c>
      <c r="F2484" s="0" t="s">
        <v>13081</v>
      </c>
    </row>
    <row r="2485" customFormat="false" ht="15" hidden="false" customHeight="false" outlineLevel="0" collapsed="false">
      <c r="A2485" s="0" t="n">
        <v>828</v>
      </c>
      <c r="B2485" s="0" t="s">
        <v>5589</v>
      </c>
      <c r="C2485" s="0" t="s">
        <v>13082</v>
      </c>
      <c r="E2485" s="0" t="s">
        <v>79</v>
      </c>
      <c r="F2485" s="0" t="s">
        <v>13083</v>
      </c>
    </row>
    <row r="2486" customFormat="false" ht="15" hidden="false" customHeight="false" outlineLevel="0" collapsed="false">
      <c r="A2486" s="0" t="n">
        <v>828</v>
      </c>
      <c r="B2486" s="0" t="s">
        <v>5589</v>
      </c>
      <c r="C2486" s="0" t="s">
        <v>13084</v>
      </c>
      <c r="E2486" s="0" t="s">
        <v>79</v>
      </c>
      <c r="F2486" s="0" t="s">
        <v>13085</v>
      </c>
    </row>
    <row r="2487" customFormat="false" ht="15" hidden="false" customHeight="false" outlineLevel="0" collapsed="false">
      <c r="A2487" s="0" t="n">
        <v>829</v>
      </c>
      <c r="B2487" s="0" t="s">
        <v>5597</v>
      </c>
      <c r="C2487" s="0" t="s">
        <v>5600</v>
      </c>
      <c r="E2487" s="0" t="s">
        <v>79</v>
      </c>
      <c r="F2487" s="0" t="s">
        <v>13086</v>
      </c>
    </row>
    <row r="2488" customFormat="false" ht="15" hidden="false" customHeight="false" outlineLevel="0" collapsed="false">
      <c r="A2488" s="0" t="n">
        <v>829</v>
      </c>
      <c r="B2488" s="0" t="s">
        <v>5597</v>
      </c>
      <c r="C2488" s="0" t="s">
        <v>5601</v>
      </c>
      <c r="E2488" s="0" t="s">
        <v>79</v>
      </c>
      <c r="F2488" s="0" t="s">
        <v>13087</v>
      </c>
    </row>
    <row r="2489" customFormat="false" ht="15" hidden="false" customHeight="false" outlineLevel="0" collapsed="false">
      <c r="A2489" s="0" t="n">
        <v>829</v>
      </c>
      <c r="B2489" s="0" t="s">
        <v>5597</v>
      </c>
      <c r="C2489" s="0" t="s">
        <v>5602</v>
      </c>
      <c r="E2489" s="0" t="s">
        <v>79</v>
      </c>
      <c r="F2489" s="0" t="s">
        <v>13088</v>
      </c>
    </row>
    <row r="2490" customFormat="false" ht="15" hidden="false" customHeight="false" outlineLevel="0" collapsed="false">
      <c r="A2490" s="0" t="n">
        <v>829</v>
      </c>
      <c r="B2490" s="0" t="s">
        <v>5597</v>
      </c>
      <c r="C2490" s="0" t="s">
        <v>13089</v>
      </c>
      <c r="E2490" s="0" t="s">
        <v>79</v>
      </c>
      <c r="F2490" s="0" t="s">
        <v>13090</v>
      </c>
    </row>
    <row r="2491" customFormat="false" ht="15" hidden="false" customHeight="false" outlineLevel="0" collapsed="false">
      <c r="A2491" s="0" t="n">
        <v>832</v>
      </c>
      <c r="B2491" s="0" t="s">
        <v>5611</v>
      </c>
      <c r="C2491" s="0" t="s">
        <v>5617</v>
      </c>
      <c r="D2491" s="0" t="s">
        <v>13091</v>
      </c>
      <c r="E2491" s="0" t="s">
        <v>115</v>
      </c>
    </row>
    <row r="2492" customFormat="false" ht="15" hidden="false" customHeight="false" outlineLevel="0" collapsed="false">
      <c r="A2492" s="0" t="n">
        <v>832</v>
      </c>
      <c r="B2492" s="0" t="s">
        <v>5611</v>
      </c>
      <c r="C2492" s="0" t="s">
        <v>5618</v>
      </c>
      <c r="D2492" s="0" t="s">
        <v>13092</v>
      </c>
      <c r="E2492" s="0" t="s">
        <v>115</v>
      </c>
    </row>
    <row r="2493" customFormat="false" ht="15" hidden="false" customHeight="false" outlineLevel="0" collapsed="false">
      <c r="A2493" s="0" t="n">
        <v>832</v>
      </c>
      <c r="B2493" s="0" t="s">
        <v>5611</v>
      </c>
      <c r="C2493" s="0" t="s">
        <v>5619</v>
      </c>
      <c r="D2493" s="0" t="s">
        <v>13093</v>
      </c>
      <c r="E2493" s="0" t="s">
        <v>115</v>
      </c>
    </row>
    <row r="2494" customFormat="false" ht="15" hidden="false" customHeight="false" outlineLevel="0" collapsed="false">
      <c r="A2494" s="0" t="n">
        <v>833</v>
      </c>
      <c r="B2494" s="0" t="s">
        <v>5628</v>
      </c>
      <c r="C2494" s="0" t="s">
        <v>5630</v>
      </c>
      <c r="E2494" s="0" t="s">
        <v>79</v>
      </c>
      <c r="F2494" s="0" t="s">
        <v>13094</v>
      </c>
    </row>
    <row r="2495" customFormat="false" ht="15" hidden="false" customHeight="false" outlineLevel="0" collapsed="false">
      <c r="A2495" s="0" t="n">
        <v>833</v>
      </c>
      <c r="B2495" s="0" t="s">
        <v>5628</v>
      </c>
      <c r="C2495" s="0" t="s">
        <v>5631</v>
      </c>
      <c r="E2495" s="0" t="s">
        <v>79</v>
      </c>
      <c r="F2495" s="0" t="s">
        <v>13095</v>
      </c>
    </row>
    <row r="2496" customFormat="false" ht="15" hidden="false" customHeight="false" outlineLevel="0" collapsed="false">
      <c r="A2496" s="0" t="n">
        <v>833</v>
      </c>
      <c r="B2496" s="0" t="s">
        <v>5628</v>
      </c>
      <c r="C2496" s="0" t="s">
        <v>5632</v>
      </c>
      <c r="E2496" s="0" t="s">
        <v>79</v>
      </c>
      <c r="F2496" s="0" t="s">
        <v>13096</v>
      </c>
    </row>
    <row r="2497" customFormat="false" ht="15" hidden="false" customHeight="false" outlineLevel="0" collapsed="false">
      <c r="A2497" s="0" t="n">
        <v>833</v>
      </c>
      <c r="B2497" s="0" t="s">
        <v>5628</v>
      </c>
      <c r="C2497" s="0" t="s">
        <v>13097</v>
      </c>
      <c r="E2497" s="0" t="s">
        <v>79</v>
      </c>
      <c r="F2497" s="0" t="s">
        <v>13098</v>
      </c>
    </row>
    <row r="2498" customFormat="false" ht="15" hidden="false" customHeight="false" outlineLevel="0" collapsed="false">
      <c r="A2498" s="0" t="n">
        <v>833</v>
      </c>
      <c r="B2498" s="0" t="s">
        <v>5628</v>
      </c>
      <c r="C2498" s="0" t="s">
        <v>13099</v>
      </c>
      <c r="E2498" s="0" t="s">
        <v>79</v>
      </c>
      <c r="F2498" s="0" t="s">
        <v>13100</v>
      </c>
    </row>
    <row r="2499" customFormat="false" ht="15" hidden="false" customHeight="false" outlineLevel="0" collapsed="false">
      <c r="A2499" s="0" t="n">
        <v>834</v>
      </c>
      <c r="B2499" s="0" t="s">
        <v>5633</v>
      </c>
      <c r="C2499" s="0" t="s">
        <v>5636</v>
      </c>
      <c r="E2499" s="0" t="s">
        <v>79</v>
      </c>
      <c r="F2499" s="0" t="s">
        <v>13101</v>
      </c>
    </row>
    <row r="2500" customFormat="false" ht="15" hidden="false" customHeight="false" outlineLevel="0" collapsed="false">
      <c r="A2500" s="0" t="n">
        <v>834</v>
      </c>
      <c r="B2500" s="0" t="s">
        <v>5633</v>
      </c>
      <c r="C2500" s="0" t="s">
        <v>5637</v>
      </c>
      <c r="E2500" s="0" t="s">
        <v>79</v>
      </c>
      <c r="F2500" s="0" t="s">
        <v>13102</v>
      </c>
    </row>
    <row r="2501" customFormat="false" ht="15" hidden="false" customHeight="false" outlineLevel="0" collapsed="false">
      <c r="A2501" s="0" t="n">
        <v>834</v>
      </c>
      <c r="B2501" s="0" t="s">
        <v>5633</v>
      </c>
      <c r="C2501" s="0" t="s">
        <v>5638</v>
      </c>
      <c r="E2501" s="0" t="s">
        <v>79</v>
      </c>
      <c r="F2501" s="0" t="s">
        <v>13103</v>
      </c>
    </row>
    <row r="2502" customFormat="false" ht="15" hidden="false" customHeight="false" outlineLevel="0" collapsed="false">
      <c r="A2502" s="0" t="n">
        <v>834</v>
      </c>
      <c r="B2502" s="0" t="s">
        <v>5633</v>
      </c>
      <c r="C2502" s="0" t="s">
        <v>13104</v>
      </c>
      <c r="E2502" s="0" t="s">
        <v>79</v>
      </c>
      <c r="F2502" s="0" t="s">
        <v>13105</v>
      </c>
    </row>
    <row r="2503" customFormat="false" ht="15" hidden="false" customHeight="false" outlineLevel="0" collapsed="false">
      <c r="A2503" s="0" t="n">
        <v>834</v>
      </c>
      <c r="B2503" s="0" t="s">
        <v>5633</v>
      </c>
      <c r="C2503" s="0" t="s">
        <v>13106</v>
      </c>
      <c r="E2503" s="0" t="s">
        <v>79</v>
      </c>
      <c r="F2503" s="0" t="s">
        <v>13107</v>
      </c>
    </row>
    <row r="2504" customFormat="false" ht="15" hidden="false" customHeight="false" outlineLevel="0" collapsed="false">
      <c r="A2504" s="0" t="n">
        <v>835</v>
      </c>
      <c r="B2504" s="0" t="s">
        <v>5642</v>
      </c>
      <c r="C2504" s="0" t="s">
        <v>5648</v>
      </c>
      <c r="D2504" s="0" t="s">
        <v>13108</v>
      </c>
      <c r="E2504" s="0" t="s">
        <v>115</v>
      </c>
    </row>
    <row r="2505" customFormat="false" ht="15" hidden="false" customHeight="false" outlineLevel="0" collapsed="false">
      <c r="A2505" s="0" t="n">
        <v>835</v>
      </c>
      <c r="B2505" s="0" t="s">
        <v>5642</v>
      </c>
      <c r="C2505" s="0" t="s">
        <v>5649</v>
      </c>
      <c r="D2505" s="0" t="s">
        <v>13109</v>
      </c>
      <c r="E2505" s="0" t="s">
        <v>115</v>
      </c>
    </row>
    <row r="2506" customFormat="false" ht="15" hidden="false" customHeight="false" outlineLevel="0" collapsed="false">
      <c r="A2506" s="0" t="n">
        <v>835</v>
      </c>
      <c r="B2506" s="0" t="s">
        <v>5642</v>
      </c>
      <c r="C2506" s="0" t="s">
        <v>5650</v>
      </c>
      <c r="D2506" s="0" t="s">
        <v>13110</v>
      </c>
      <c r="E2506" s="0" t="s">
        <v>115</v>
      </c>
    </row>
    <row r="2507" customFormat="false" ht="15" hidden="false" customHeight="false" outlineLevel="0" collapsed="false">
      <c r="A2507" s="0" t="n">
        <v>837</v>
      </c>
      <c r="B2507" s="0" t="s">
        <v>5665</v>
      </c>
      <c r="C2507" s="0" t="s">
        <v>5667</v>
      </c>
      <c r="E2507" s="0" t="s">
        <v>79</v>
      </c>
      <c r="F2507" s="0" t="s">
        <v>13111</v>
      </c>
    </row>
    <row r="2508" customFormat="false" ht="15" hidden="false" customHeight="false" outlineLevel="0" collapsed="false">
      <c r="A2508" s="0" t="n">
        <v>837</v>
      </c>
      <c r="B2508" s="0" t="s">
        <v>5665</v>
      </c>
      <c r="C2508" s="0" t="s">
        <v>5668</v>
      </c>
      <c r="E2508" s="0" t="s">
        <v>79</v>
      </c>
      <c r="F2508" s="0" t="s">
        <v>13112</v>
      </c>
    </row>
    <row r="2509" customFormat="false" ht="15" hidden="false" customHeight="false" outlineLevel="0" collapsed="false">
      <c r="A2509" s="0" t="n">
        <v>837</v>
      </c>
      <c r="B2509" s="0" t="s">
        <v>5665</v>
      </c>
      <c r="C2509" s="0" t="s">
        <v>5669</v>
      </c>
      <c r="E2509" s="0" t="s">
        <v>79</v>
      </c>
      <c r="F2509" s="0" t="s">
        <v>13113</v>
      </c>
    </row>
    <row r="2510" customFormat="false" ht="15" hidden="false" customHeight="false" outlineLevel="0" collapsed="false">
      <c r="A2510" s="0" t="n">
        <v>837</v>
      </c>
      <c r="B2510" s="0" t="s">
        <v>5665</v>
      </c>
      <c r="C2510" s="0" t="s">
        <v>13114</v>
      </c>
      <c r="E2510" s="0" t="s">
        <v>79</v>
      </c>
      <c r="F2510" s="0" t="s">
        <v>13115</v>
      </c>
    </row>
    <row r="2511" customFormat="false" ht="15" hidden="false" customHeight="false" outlineLevel="0" collapsed="false">
      <c r="A2511" s="0" t="n">
        <v>837</v>
      </c>
      <c r="B2511" s="0" t="s">
        <v>5665</v>
      </c>
      <c r="C2511" s="0" t="s">
        <v>13116</v>
      </c>
      <c r="E2511" s="0" t="s">
        <v>79</v>
      </c>
      <c r="F2511" s="0" t="s">
        <v>13117</v>
      </c>
    </row>
    <row r="2512" customFormat="false" ht="15" hidden="false" customHeight="false" outlineLevel="0" collapsed="false">
      <c r="A2512" s="0" t="n">
        <v>842</v>
      </c>
      <c r="B2512" s="0" t="s">
        <v>5691</v>
      </c>
      <c r="C2512" s="0" t="s">
        <v>5693</v>
      </c>
      <c r="E2512" s="0" t="s">
        <v>79</v>
      </c>
      <c r="F2512" s="0" t="s">
        <v>13118</v>
      </c>
    </row>
    <row r="2513" customFormat="false" ht="15" hidden="false" customHeight="false" outlineLevel="0" collapsed="false">
      <c r="A2513" s="0" t="n">
        <v>842</v>
      </c>
      <c r="B2513" s="0" t="s">
        <v>5691</v>
      </c>
      <c r="C2513" s="0" t="s">
        <v>5694</v>
      </c>
      <c r="E2513" s="0" t="s">
        <v>79</v>
      </c>
      <c r="F2513" s="0" t="s">
        <v>13119</v>
      </c>
    </row>
    <row r="2514" customFormat="false" ht="15" hidden="false" customHeight="false" outlineLevel="0" collapsed="false">
      <c r="A2514" s="0" t="n">
        <v>843</v>
      </c>
      <c r="B2514" s="0" t="s">
        <v>5695</v>
      </c>
      <c r="C2514" s="0" t="s">
        <v>5697</v>
      </c>
      <c r="E2514" s="0" t="s">
        <v>59</v>
      </c>
      <c r="F2514" s="0" t="s">
        <v>13120</v>
      </c>
    </row>
    <row r="2515" customFormat="false" ht="15" hidden="false" customHeight="false" outlineLevel="0" collapsed="false">
      <c r="A2515" s="0" t="n">
        <v>843</v>
      </c>
      <c r="B2515" s="0" t="s">
        <v>5695</v>
      </c>
      <c r="C2515" s="0" t="s">
        <v>5698</v>
      </c>
      <c r="E2515" s="0" t="s">
        <v>59</v>
      </c>
      <c r="F2515" s="0" t="s">
        <v>13121</v>
      </c>
    </row>
    <row r="2516" customFormat="false" ht="15" hidden="false" customHeight="false" outlineLevel="0" collapsed="false">
      <c r="A2516" s="0" t="n">
        <v>843</v>
      </c>
      <c r="B2516" s="0" t="s">
        <v>5695</v>
      </c>
      <c r="C2516" s="0" t="s">
        <v>5699</v>
      </c>
      <c r="E2516" s="0" t="s">
        <v>59</v>
      </c>
      <c r="F2516" s="0" t="s">
        <v>13122</v>
      </c>
    </row>
    <row r="2517" customFormat="false" ht="15" hidden="false" customHeight="false" outlineLevel="0" collapsed="false">
      <c r="A2517" s="0" t="n">
        <v>843</v>
      </c>
      <c r="B2517" s="0" t="s">
        <v>5695</v>
      </c>
      <c r="C2517" s="0" t="s">
        <v>13123</v>
      </c>
      <c r="E2517" s="0" t="s">
        <v>59</v>
      </c>
      <c r="F2517" s="0" t="s">
        <v>13124</v>
      </c>
    </row>
    <row r="2518" customFormat="false" ht="15" hidden="false" customHeight="false" outlineLevel="0" collapsed="false">
      <c r="A2518" s="0" t="n">
        <v>843</v>
      </c>
      <c r="B2518" s="0" t="s">
        <v>5695</v>
      </c>
      <c r="C2518" s="0" t="s">
        <v>13125</v>
      </c>
      <c r="E2518" s="0" t="s">
        <v>59</v>
      </c>
      <c r="F2518" s="0" t="s">
        <v>13126</v>
      </c>
    </row>
    <row r="2519" customFormat="false" ht="15" hidden="false" customHeight="false" outlineLevel="0" collapsed="false">
      <c r="A2519" s="0" t="n">
        <v>845</v>
      </c>
      <c r="B2519" s="0" t="s">
        <v>5708</v>
      </c>
      <c r="C2519" s="0" t="s">
        <v>5710</v>
      </c>
      <c r="E2519" s="0" t="s">
        <v>79</v>
      </c>
      <c r="F2519" s="0" t="s">
        <v>13127</v>
      </c>
    </row>
    <row r="2520" customFormat="false" ht="15" hidden="false" customHeight="false" outlineLevel="0" collapsed="false">
      <c r="A2520" s="0" t="n">
        <v>845</v>
      </c>
      <c r="B2520" s="0" t="s">
        <v>5708</v>
      </c>
      <c r="C2520" s="0" t="s">
        <v>5711</v>
      </c>
      <c r="E2520" s="0" t="s">
        <v>79</v>
      </c>
      <c r="F2520" s="0" t="s">
        <v>13128</v>
      </c>
    </row>
    <row r="2521" customFormat="false" ht="15" hidden="false" customHeight="false" outlineLevel="0" collapsed="false">
      <c r="A2521" s="0" t="n">
        <v>845</v>
      </c>
      <c r="B2521" s="0" t="s">
        <v>5708</v>
      </c>
      <c r="C2521" s="0" t="s">
        <v>5712</v>
      </c>
      <c r="E2521" s="0" t="s">
        <v>79</v>
      </c>
      <c r="F2521" s="0" t="s">
        <v>13129</v>
      </c>
    </row>
    <row r="2522" customFormat="false" ht="15" hidden="false" customHeight="false" outlineLevel="0" collapsed="false">
      <c r="A2522" s="0" t="n">
        <v>845</v>
      </c>
      <c r="B2522" s="0" t="s">
        <v>5708</v>
      </c>
      <c r="C2522" s="0" t="s">
        <v>13130</v>
      </c>
      <c r="E2522" s="0" t="s">
        <v>79</v>
      </c>
      <c r="F2522" s="0" t="s">
        <v>13131</v>
      </c>
    </row>
    <row r="2523" customFormat="false" ht="15" hidden="false" customHeight="false" outlineLevel="0" collapsed="false">
      <c r="A2523" s="0" t="n">
        <v>845</v>
      </c>
      <c r="B2523" s="0" t="s">
        <v>5708</v>
      </c>
      <c r="C2523" s="0" t="s">
        <v>13132</v>
      </c>
      <c r="E2523" s="0" t="s">
        <v>79</v>
      </c>
      <c r="F2523" s="0" t="s">
        <v>13133</v>
      </c>
    </row>
    <row r="2524" customFormat="false" ht="15" hidden="false" customHeight="false" outlineLevel="0" collapsed="false">
      <c r="A2524" s="0" t="n">
        <v>846</v>
      </c>
      <c r="B2524" s="0" t="s">
        <v>5713</v>
      </c>
      <c r="C2524" s="0" t="s">
        <v>5720</v>
      </c>
      <c r="D2524" s="0" t="s">
        <v>13134</v>
      </c>
      <c r="E2524" s="0" t="s">
        <v>115</v>
      </c>
    </row>
    <row r="2525" customFormat="false" ht="15" hidden="false" customHeight="false" outlineLevel="0" collapsed="false">
      <c r="A2525" s="0" t="n">
        <v>846</v>
      </c>
      <c r="B2525" s="0" t="s">
        <v>5713</v>
      </c>
      <c r="C2525" s="0" t="s">
        <v>5721</v>
      </c>
      <c r="D2525" s="0" t="s">
        <v>13135</v>
      </c>
      <c r="E2525" s="0" t="s">
        <v>115</v>
      </c>
    </row>
    <row r="2526" customFormat="false" ht="15" hidden="false" customHeight="false" outlineLevel="0" collapsed="false">
      <c r="A2526" s="0" t="n">
        <v>846</v>
      </c>
      <c r="B2526" s="0" t="s">
        <v>5713</v>
      </c>
      <c r="C2526" s="0" t="s">
        <v>5722</v>
      </c>
      <c r="D2526" s="0" t="s">
        <v>13136</v>
      </c>
      <c r="E2526" s="0" t="s">
        <v>115</v>
      </c>
    </row>
    <row r="2527" customFormat="false" ht="15" hidden="false" customHeight="false" outlineLevel="0" collapsed="false">
      <c r="A2527" s="0" t="n">
        <v>847</v>
      </c>
      <c r="B2527" s="0" t="s">
        <v>5733</v>
      </c>
      <c r="C2527" s="0" t="s">
        <v>5740</v>
      </c>
      <c r="D2527" s="0" t="s">
        <v>13137</v>
      </c>
      <c r="E2527" s="0" t="s">
        <v>115</v>
      </c>
    </row>
    <row r="2528" customFormat="false" ht="15" hidden="false" customHeight="false" outlineLevel="0" collapsed="false">
      <c r="A2528" s="0" t="n">
        <v>847</v>
      </c>
      <c r="B2528" s="0" t="s">
        <v>5733</v>
      </c>
      <c r="C2528" s="0" t="s">
        <v>5741</v>
      </c>
      <c r="D2528" s="0" t="s">
        <v>13138</v>
      </c>
      <c r="E2528" s="0" t="s">
        <v>115</v>
      </c>
    </row>
    <row r="2529" customFormat="false" ht="15" hidden="false" customHeight="false" outlineLevel="0" collapsed="false">
      <c r="A2529" s="0" t="n">
        <v>847</v>
      </c>
      <c r="B2529" s="0" t="s">
        <v>5733</v>
      </c>
      <c r="C2529" s="0" t="s">
        <v>5742</v>
      </c>
      <c r="D2529" s="0" t="s">
        <v>13139</v>
      </c>
      <c r="E2529" s="0" t="s">
        <v>115</v>
      </c>
    </row>
    <row r="2530" customFormat="false" ht="15" hidden="false" customHeight="false" outlineLevel="0" collapsed="false">
      <c r="A2530" s="0" t="n">
        <v>849</v>
      </c>
      <c r="B2530" s="0" t="s">
        <v>5758</v>
      </c>
      <c r="C2530" s="0" t="s">
        <v>5760</v>
      </c>
      <c r="E2530" s="0" t="s">
        <v>79</v>
      </c>
      <c r="F2530" s="0" t="s">
        <v>13140</v>
      </c>
    </row>
    <row r="2531" customFormat="false" ht="15" hidden="false" customHeight="false" outlineLevel="0" collapsed="false">
      <c r="A2531" s="0" t="n">
        <v>849</v>
      </c>
      <c r="B2531" s="0" t="s">
        <v>5758</v>
      </c>
      <c r="C2531" s="0" t="s">
        <v>5761</v>
      </c>
      <c r="E2531" s="0" t="s">
        <v>79</v>
      </c>
      <c r="F2531" s="0" t="s">
        <v>13141</v>
      </c>
    </row>
    <row r="2532" customFormat="false" ht="15" hidden="false" customHeight="false" outlineLevel="0" collapsed="false">
      <c r="A2532" s="0" t="n">
        <v>849</v>
      </c>
      <c r="B2532" s="0" t="s">
        <v>5758</v>
      </c>
      <c r="C2532" s="0" t="s">
        <v>5762</v>
      </c>
      <c r="E2532" s="0" t="s">
        <v>79</v>
      </c>
      <c r="F2532" s="0" t="s">
        <v>13142</v>
      </c>
    </row>
    <row r="2533" customFormat="false" ht="15" hidden="false" customHeight="false" outlineLevel="0" collapsed="false">
      <c r="A2533" s="0" t="n">
        <v>849</v>
      </c>
      <c r="B2533" s="0" t="s">
        <v>5758</v>
      </c>
      <c r="C2533" s="0" t="s">
        <v>13143</v>
      </c>
      <c r="E2533" s="0" t="s">
        <v>79</v>
      </c>
      <c r="F2533" s="0" t="s">
        <v>13144</v>
      </c>
    </row>
    <row r="2534" customFormat="false" ht="15" hidden="false" customHeight="false" outlineLevel="0" collapsed="false">
      <c r="A2534" s="0" t="n">
        <v>849</v>
      </c>
      <c r="B2534" s="0" t="s">
        <v>5758</v>
      </c>
      <c r="C2534" s="0" t="s">
        <v>13145</v>
      </c>
      <c r="E2534" s="0" t="s">
        <v>79</v>
      </c>
      <c r="F2534" s="0" t="s">
        <v>13146</v>
      </c>
    </row>
    <row r="2535" customFormat="false" ht="15" hidden="false" customHeight="false" outlineLevel="0" collapsed="false">
      <c r="A2535" s="0" t="n">
        <v>850</v>
      </c>
      <c r="B2535" s="0" t="s">
        <v>5763</v>
      </c>
      <c r="C2535" s="0" t="s">
        <v>5766</v>
      </c>
      <c r="E2535" s="0" t="s">
        <v>79</v>
      </c>
      <c r="F2535" s="0" t="s">
        <v>13147</v>
      </c>
    </row>
    <row r="2536" customFormat="false" ht="15" hidden="false" customHeight="false" outlineLevel="0" collapsed="false">
      <c r="A2536" s="0" t="n">
        <v>850</v>
      </c>
      <c r="B2536" s="0" t="s">
        <v>5763</v>
      </c>
      <c r="C2536" s="0" t="s">
        <v>5767</v>
      </c>
      <c r="E2536" s="0" t="s">
        <v>79</v>
      </c>
      <c r="F2536" s="0" t="s">
        <v>13148</v>
      </c>
    </row>
    <row r="2537" customFormat="false" ht="15" hidden="false" customHeight="false" outlineLevel="0" collapsed="false">
      <c r="A2537" s="0" t="n">
        <v>850</v>
      </c>
      <c r="B2537" s="0" t="s">
        <v>5763</v>
      </c>
      <c r="C2537" s="0" t="s">
        <v>5768</v>
      </c>
      <c r="E2537" s="0" t="s">
        <v>79</v>
      </c>
      <c r="F2537" s="0" t="s">
        <v>13149</v>
      </c>
    </row>
    <row r="2538" customFormat="false" ht="15" hidden="false" customHeight="false" outlineLevel="0" collapsed="false">
      <c r="A2538" s="0" t="n">
        <v>850</v>
      </c>
      <c r="B2538" s="0" t="s">
        <v>5763</v>
      </c>
      <c r="C2538" s="0" t="s">
        <v>13150</v>
      </c>
      <c r="E2538" s="0" t="s">
        <v>79</v>
      </c>
      <c r="F2538" s="0" t="s">
        <v>13151</v>
      </c>
    </row>
    <row r="2539" customFormat="false" ht="15" hidden="false" customHeight="false" outlineLevel="0" collapsed="false">
      <c r="A2539" s="0" t="n">
        <v>850</v>
      </c>
      <c r="B2539" s="0" t="s">
        <v>5763</v>
      </c>
      <c r="C2539" s="0" t="s">
        <v>13152</v>
      </c>
      <c r="E2539" s="0" t="s">
        <v>79</v>
      </c>
      <c r="F2539" s="0" t="s">
        <v>13153</v>
      </c>
    </row>
    <row r="2540" customFormat="false" ht="15" hidden="false" customHeight="false" outlineLevel="0" collapsed="false">
      <c r="A2540" s="0" t="n">
        <v>851</v>
      </c>
      <c r="B2540" s="0" t="s">
        <v>5773</v>
      </c>
      <c r="C2540" s="0" t="s">
        <v>5776</v>
      </c>
      <c r="E2540" s="0" t="s">
        <v>79</v>
      </c>
      <c r="F2540" s="0" t="s">
        <v>13154</v>
      </c>
    </row>
    <row r="2541" customFormat="false" ht="15" hidden="false" customHeight="false" outlineLevel="0" collapsed="false">
      <c r="A2541" s="0" t="n">
        <v>851</v>
      </c>
      <c r="B2541" s="0" t="s">
        <v>5773</v>
      </c>
      <c r="C2541" s="0" t="s">
        <v>5777</v>
      </c>
      <c r="E2541" s="0" t="s">
        <v>79</v>
      </c>
      <c r="F2541" s="0" t="s">
        <v>13155</v>
      </c>
    </row>
    <row r="2542" customFormat="false" ht="15" hidden="false" customHeight="false" outlineLevel="0" collapsed="false">
      <c r="A2542" s="0" t="n">
        <v>852</v>
      </c>
      <c r="B2542" s="0" t="s">
        <v>5780</v>
      </c>
      <c r="C2542" s="0" t="s">
        <v>5782</v>
      </c>
      <c r="E2542" s="0" t="s">
        <v>79</v>
      </c>
      <c r="F2542" s="0" t="s">
        <v>13156</v>
      </c>
    </row>
    <row r="2543" customFormat="false" ht="15" hidden="false" customHeight="false" outlineLevel="0" collapsed="false">
      <c r="A2543" s="0" t="n">
        <v>852</v>
      </c>
      <c r="B2543" s="0" t="s">
        <v>5780</v>
      </c>
      <c r="C2543" s="0" t="s">
        <v>5783</v>
      </c>
      <c r="E2543" s="0" t="s">
        <v>79</v>
      </c>
      <c r="F2543" s="0" t="s">
        <v>13157</v>
      </c>
    </row>
    <row r="2544" customFormat="false" ht="15" hidden="false" customHeight="false" outlineLevel="0" collapsed="false">
      <c r="A2544" s="0" t="n">
        <v>852</v>
      </c>
      <c r="B2544" s="0" t="s">
        <v>5780</v>
      </c>
      <c r="C2544" s="0" t="s">
        <v>5784</v>
      </c>
      <c r="E2544" s="0" t="s">
        <v>79</v>
      </c>
      <c r="F2544" s="0" t="s">
        <v>13158</v>
      </c>
    </row>
    <row r="2545" customFormat="false" ht="15" hidden="false" customHeight="false" outlineLevel="0" collapsed="false">
      <c r="A2545" s="0" t="n">
        <v>852</v>
      </c>
      <c r="B2545" s="0" t="s">
        <v>5780</v>
      </c>
      <c r="C2545" s="0" t="s">
        <v>13159</v>
      </c>
      <c r="E2545" s="0" t="s">
        <v>79</v>
      </c>
      <c r="F2545" s="0" t="s">
        <v>13160</v>
      </c>
    </row>
    <row r="2546" customFormat="false" ht="15" hidden="false" customHeight="false" outlineLevel="0" collapsed="false">
      <c r="A2546" s="0" t="n">
        <v>852</v>
      </c>
      <c r="B2546" s="0" t="s">
        <v>5780</v>
      </c>
      <c r="C2546" s="0" t="s">
        <v>13161</v>
      </c>
      <c r="E2546" s="0" t="s">
        <v>79</v>
      </c>
      <c r="F2546" s="0" t="s">
        <v>13162</v>
      </c>
    </row>
    <row r="2547" customFormat="false" ht="15" hidden="false" customHeight="false" outlineLevel="0" collapsed="false">
      <c r="A2547" s="0" t="n">
        <v>853</v>
      </c>
      <c r="B2547" s="0" t="s">
        <v>5785</v>
      </c>
      <c r="C2547" s="0" t="s">
        <v>5790</v>
      </c>
      <c r="E2547" s="0" t="s">
        <v>79</v>
      </c>
      <c r="F2547" s="0" t="s">
        <v>13163</v>
      </c>
    </row>
    <row r="2548" customFormat="false" ht="15" hidden="false" customHeight="false" outlineLevel="0" collapsed="false">
      <c r="A2548" s="0" t="n">
        <v>853</v>
      </c>
      <c r="B2548" s="0" t="s">
        <v>5785</v>
      </c>
      <c r="C2548" s="0" t="s">
        <v>5791</v>
      </c>
      <c r="E2548" s="0" t="s">
        <v>79</v>
      </c>
      <c r="F2548" s="0" t="s">
        <v>13164</v>
      </c>
    </row>
    <row r="2549" customFormat="false" ht="15" hidden="false" customHeight="false" outlineLevel="0" collapsed="false">
      <c r="A2549" s="0" t="n">
        <v>853</v>
      </c>
      <c r="B2549" s="0" t="s">
        <v>5785</v>
      </c>
      <c r="C2549" s="0" t="s">
        <v>5792</v>
      </c>
      <c r="E2549" s="0" t="s">
        <v>79</v>
      </c>
      <c r="F2549" s="0" t="s">
        <v>13165</v>
      </c>
    </row>
    <row r="2550" customFormat="false" ht="15" hidden="false" customHeight="false" outlineLevel="0" collapsed="false">
      <c r="A2550" s="0" t="n">
        <v>853</v>
      </c>
      <c r="B2550" s="0" t="s">
        <v>5785</v>
      </c>
      <c r="C2550" s="0" t="s">
        <v>13166</v>
      </c>
      <c r="E2550" s="0" t="s">
        <v>79</v>
      </c>
      <c r="F2550" s="0" t="s">
        <v>13167</v>
      </c>
    </row>
    <row r="2551" customFormat="false" ht="15" hidden="false" customHeight="false" outlineLevel="0" collapsed="false">
      <c r="A2551" s="0" t="n">
        <v>853</v>
      </c>
      <c r="B2551" s="0" t="s">
        <v>5785</v>
      </c>
      <c r="C2551" s="0" t="s">
        <v>13168</v>
      </c>
      <c r="E2551" s="0" t="s">
        <v>79</v>
      </c>
      <c r="F2551" s="0" t="s">
        <v>13169</v>
      </c>
    </row>
    <row r="2552" customFormat="false" ht="15" hidden="false" customHeight="false" outlineLevel="0" collapsed="false">
      <c r="A2552" s="0" t="n">
        <v>854</v>
      </c>
      <c r="B2552" s="0" t="s">
        <v>5798</v>
      </c>
      <c r="C2552" s="0" t="s">
        <v>5800</v>
      </c>
      <c r="E2552" s="0" t="s">
        <v>79</v>
      </c>
      <c r="F2552" s="0" t="s">
        <v>13170</v>
      </c>
    </row>
    <row r="2553" customFormat="false" ht="15" hidden="false" customHeight="false" outlineLevel="0" collapsed="false">
      <c r="A2553" s="0" t="n">
        <v>854</v>
      </c>
      <c r="B2553" s="0" t="s">
        <v>5798</v>
      </c>
      <c r="C2553" s="0" t="s">
        <v>5801</v>
      </c>
      <c r="E2553" s="0" t="s">
        <v>79</v>
      </c>
      <c r="F2553" s="0" t="s">
        <v>13171</v>
      </c>
    </row>
    <row r="2554" customFormat="false" ht="15" hidden="false" customHeight="false" outlineLevel="0" collapsed="false">
      <c r="A2554" s="0" t="n">
        <v>854</v>
      </c>
      <c r="B2554" s="0" t="s">
        <v>5798</v>
      </c>
      <c r="C2554" s="0" t="s">
        <v>5802</v>
      </c>
      <c r="E2554" s="0" t="s">
        <v>79</v>
      </c>
      <c r="F2554" s="0" t="s">
        <v>13172</v>
      </c>
    </row>
    <row r="2555" customFormat="false" ht="15" hidden="false" customHeight="false" outlineLevel="0" collapsed="false">
      <c r="A2555" s="0" t="n">
        <v>854</v>
      </c>
      <c r="B2555" s="0" t="s">
        <v>5798</v>
      </c>
      <c r="C2555" s="0" t="s">
        <v>13173</v>
      </c>
      <c r="E2555" s="0" t="s">
        <v>79</v>
      </c>
      <c r="F2555" s="0" t="s">
        <v>13174</v>
      </c>
    </row>
    <row r="2556" customFormat="false" ht="15" hidden="false" customHeight="false" outlineLevel="0" collapsed="false">
      <c r="A2556" s="0" t="n">
        <v>854</v>
      </c>
      <c r="B2556" s="0" t="s">
        <v>5798</v>
      </c>
      <c r="C2556" s="0" t="s">
        <v>13175</v>
      </c>
      <c r="E2556" s="0" t="s">
        <v>79</v>
      </c>
      <c r="F2556" s="0" t="s">
        <v>13176</v>
      </c>
    </row>
    <row r="2557" customFormat="false" ht="15" hidden="false" customHeight="false" outlineLevel="0" collapsed="false">
      <c r="A2557" s="0" t="n">
        <v>856</v>
      </c>
      <c r="B2557" s="0" t="s">
        <v>5807</v>
      </c>
      <c r="C2557" s="0" t="s">
        <v>5810</v>
      </c>
      <c r="E2557" s="0" t="s">
        <v>59</v>
      </c>
      <c r="F2557" s="0" t="s">
        <v>13177</v>
      </c>
    </row>
    <row r="2558" customFormat="false" ht="15" hidden="false" customHeight="false" outlineLevel="0" collapsed="false">
      <c r="A2558" s="0" t="n">
        <v>856</v>
      </c>
      <c r="B2558" s="0" t="s">
        <v>5807</v>
      </c>
      <c r="C2558" s="0" t="s">
        <v>5811</v>
      </c>
      <c r="E2558" s="0" t="s">
        <v>59</v>
      </c>
      <c r="F2558" s="0" t="s">
        <v>13178</v>
      </c>
    </row>
    <row r="2559" customFormat="false" ht="15" hidden="false" customHeight="false" outlineLevel="0" collapsed="false">
      <c r="A2559" s="0" t="n">
        <v>856</v>
      </c>
      <c r="B2559" s="0" t="s">
        <v>5807</v>
      </c>
      <c r="C2559" s="0" t="s">
        <v>5812</v>
      </c>
      <c r="E2559" s="0" t="s">
        <v>59</v>
      </c>
      <c r="F2559" s="0" t="s">
        <v>13179</v>
      </c>
    </row>
    <row r="2560" customFormat="false" ht="15" hidden="false" customHeight="false" outlineLevel="0" collapsed="false">
      <c r="A2560" s="0" t="n">
        <v>856</v>
      </c>
      <c r="B2560" s="0" t="s">
        <v>5807</v>
      </c>
      <c r="C2560" s="0" t="s">
        <v>13180</v>
      </c>
      <c r="E2560" s="0" t="s">
        <v>59</v>
      </c>
      <c r="F2560" s="0" t="s">
        <v>13181</v>
      </c>
    </row>
    <row r="2561" customFormat="false" ht="15" hidden="false" customHeight="false" outlineLevel="0" collapsed="false">
      <c r="A2561" s="0" t="n">
        <v>856</v>
      </c>
      <c r="B2561" s="0" t="s">
        <v>5807</v>
      </c>
      <c r="C2561" s="0" t="s">
        <v>13182</v>
      </c>
      <c r="E2561" s="0" t="s">
        <v>59</v>
      </c>
      <c r="F2561" s="0" t="s">
        <v>13183</v>
      </c>
    </row>
    <row r="2562" customFormat="false" ht="15" hidden="false" customHeight="false" outlineLevel="0" collapsed="false">
      <c r="A2562" s="0" t="n">
        <v>857</v>
      </c>
      <c r="B2562" s="0" t="s">
        <v>5817</v>
      </c>
      <c r="C2562" s="0" t="s">
        <v>5820</v>
      </c>
      <c r="E2562" s="0" t="s">
        <v>79</v>
      </c>
      <c r="F2562" s="0" t="s">
        <v>13184</v>
      </c>
    </row>
    <row r="2563" customFormat="false" ht="15" hidden="false" customHeight="false" outlineLevel="0" collapsed="false">
      <c r="A2563" s="0" t="n">
        <v>857</v>
      </c>
      <c r="B2563" s="0" t="s">
        <v>5817</v>
      </c>
      <c r="C2563" s="0" t="s">
        <v>5821</v>
      </c>
      <c r="E2563" s="0" t="s">
        <v>79</v>
      </c>
      <c r="F2563" s="0" t="s">
        <v>13185</v>
      </c>
    </row>
    <row r="2564" customFormat="false" ht="15" hidden="false" customHeight="false" outlineLevel="0" collapsed="false">
      <c r="A2564" s="0" t="n">
        <v>857</v>
      </c>
      <c r="B2564" s="0" t="s">
        <v>5817</v>
      </c>
      <c r="C2564" s="0" t="s">
        <v>5822</v>
      </c>
      <c r="E2564" s="0" t="s">
        <v>79</v>
      </c>
      <c r="F2564" s="0" t="s">
        <v>13186</v>
      </c>
    </row>
    <row r="2565" customFormat="false" ht="15" hidden="false" customHeight="false" outlineLevel="0" collapsed="false">
      <c r="A2565" s="0" t="n">
        <v>857</v>
      </c>
      <c r="B2565" s="0" t="s">
        <v>5817</v>
      </c>
      <c r="C2565" s="0" t="s">
        <v>13187</v>
      </c>
      <c r="E2565" s="0" t="s">
        <v>79</v>
      </c>
      <c r="F2565" s="0" t="s">
        <v>13188</v>
      </c>
    </row>
    <row r="2566" customFormat="false" ht="15" hidden="false" customHeight="false" outlineLevel="0" collapsed="false">
      <c r="A2566" s="0" t="n">
        <v>857</v>
      </c>
      <c r="B2566" s="0" t="s">
        <v>5817</v>
      </c>
      <c r="C2566" s="0" t="s">
        <v>13189</v>
      </c>
      <c r="E2566" s="0" t="s">
        <v>79</v>
      </c>
      <c r="F2566" s="0" t="s">
        <v>13190</v>
      </c>
    </row>
    <row r="2567" customFormat="false" ht="15" hidden="false" customHeight="false" outlineLevel="0" collapsed="false">
      <c r="A2567" s="0" t="n">
        <v>861</v>
      </c>
      <c r="B2567" s="0" t="s">
        <v>5843</v>
      </c>
      <c r="C2567" s="0" t="s">
        <v>5847</v>
      </c>
      <c r="E2567" s="0" t="s">
        <v>79</v>
      </c>
      <c r="F2567" s="0" t="s">
        <v>13191</v>
      </c>
    </row>
    <row r="2568" customFormat="false" ht="15" hidden="false" customHeight="false" outlineLevel="0" collapsed="false">
      <c r="A2568" s="0" t="n">
        <v>861</v>
      </c>
      <c r="B2568" s="0" t="s">
        <v>5843</v>
      </c>
      <c r="C2568" s="0" t="s">
        <v>5848</v>
      </c>
      <c r="E2568" s="0" t="s">
        <v>79</v>
      </c>
      <c r="F2568" s="0" t="s">
        <v>13192</v>
      </c>
    </row>
    <row r="2569" customFormat="false" ht="15" hidden="false" customHeight="false" outlineLevel="0" collapsed="false">
      <c r="A2569" s="0" t="n">
        <v>861</v>
      </c>
      <c r="B2569" s="0" t="s">
        <v>5843</v>
      </c>
      <c r="C2569" s="0" t="s">
        <v>5849</v>
      </c>
      <c r="E2569" s="0" t="s">
        <v>79</v>
      </c>
      <c r="F2569" s="0" t="s">
        <v>13193</v>
      </c>
    </row>
    <row r="2570" customFormat="false" ht="15" hidden="false" customHeight="false" outlineLevel="0" collapsed="false">
      <c r="A2570" s="0" t="n">
        <v>861</v>
      </c>
      <c r="B2570" s="0" t="s">
        <v>5843</v>
      </c>
      <c r="C2570" s="0" t="s">
        <v>13194</v>
      </c>
      <c r="E2570" s="0" t="s">
        <v>59</v>
      </c>
      <c r="F2570" s="0" t="s">
        <v>13195</v>
      </c>
    </row>
    <row r="2571" customFormat="false" ht="15" hidden="false" customHeight="false" outlineLevel="0" collapsed="false">
      <c r="A2571" s="0" t="n">
        <v>861</v>
      </c>
      <c r="B2571" s="0" t="s">
        <v>5843</v>
      </c>
      <c r="C2571" s="0" t="s">
        <v>13196</v>
      </c>
      <c r="E2571" s="0" t="s">
        <v>59</v>
      </c>
      <c r="F2571" s="0" t="s">
        <v>13197</v>
      </c>
    </row>
    <row r="2572" customFormat="false" ht="15" hidden="false" customHeight="false" outlineLevel="0" collapsed="false">
      <c r="A2572" s="0" t="n">
        <v>862</v>
      </c>
      <c r="B2572" s="0" t="s">
        <v>5854</v>
      </c>
      <c r="C2572" s="0" t="s">
        <v>5856</v>
      </c>
      <c r="E2572" s="0" t="s">
        <v>79</v>
      </c>
      <c r="F2572" s="0" t="s">
        <v>13198</v>
      </c>
    </row>
    <row r="2573" customFormat="false" ht="15" hidden="false" customHeight="false" outlineLevel="0" collapsed="false">
      <c r="A2573" s="0" t="n">
        <v>862</v>
      </c>
      <c r="B2573" s="0" t="s">
        <v>5854</v>
      </c>
      <c r="C2573" s="0" t="s">
        <v>5857</v>
      </c>
      <c r="E2573" s="0" t="s">
        <v>79</v>
      </c>
      <c r="F2573" s="0" t="s">
        <v>13199</v>
      </c>
    </row>
    <row r="2574" customFormat="false" ht="15" hidden="false" customHeight="false" outlineLevel="0" collapsed="false">
      <c r="A2574" s="0" t="n">
        <v>862</v>
      </c>
      <c r="B2574" s="0" t="s">
        <v>5854</v>
      </c>
      <c r="C2574" s="0" t="s">
        <v>5858</v>
      </c>
      <c r="E2574" s="0" t="s">
        <v>79</v>
      </c>
      <c r="F2574" s="0" t="s">
        <v>13200</v>
      </c>
    </row>
    <row r="2575" customFormat="false" ht="15" hidden="false" customHeight="false" outlineLevel="0" collapsed="false">
      <c r="A2575" s="0" t="n">
        <v>862</v>
      </c>
      <c r="B2575" s="0" t="s">
        <v>5854</v>
      </c>
      <c r="C2575" s="0" t="s">
        <v>13201</v>
      </c>
      <c r="E2575" s="0" t="s">
        <v>79</v>
      </c>
      <c r="F2575" s="0" t="s">
        <v>13202</v>
      </c>
    </row>
    <row r="2576" customFormat="false" ht="15" hidden="false" customHeight="false" outlineLevel="0" collapsed="false">
      <c r="A2576" s="0" t="n">
        <v>862</v>
      </c>
      <c r="B2576" s="0" t="s">
        <v>5854</v>
      </c>
      <c r="C2576" s="0" t="s">
        <v>13203</v>
      </c>
      <c r="E2576" s="0" t="s">
        <v>79</v>
      </c>
      <c r="F2576" s="0" t="s">
        <v>13204</v>
      </c>
    </row>
    <row r="2577" customFormat="false" ht="15" hidden="false" customHeight="false" outlineLevel="0" collapsed="false">
      <c r="A2577" s="0" t="n">
        <v>863</v>
      </c>
      <c r="B2577" s="0" t="s">
        <v>5860</v>
      </c>
      <c r="C2577" s="0" t="s">
        <v>5862</v>
      </c>
      <c r="E2577" s="0" t="s">
        <v>79</v>
      </c>
      <c r="F2577" s="0" t="s">
        <v>13205</v>
      </c>
    </row>
    <row r="2578" customFormat="false" ht="15" hidden="false" customHeight="false" outlineLevel="0" collapsed="false">
      <c r="A2578" s="0" t="n">
        <v>863</v>
      </c>
      <c r="B2578" s="0" t="s">
        <v>5860</v>
      </c>
      <c r="C2578" s="0" t="s">
        <v>5863</v>
      </c>
      <c r="E2578" s="0" t="s">
        <v>79</v>
      </c>
      <c r="F2578" s="0" t="s">
        <v>13206</v>
      </c>
    </row>
    <row r="2579" customFormat="false" ht="15" hidden="false" customHeight="false" outlineLevel="0" collapsed="false">
      <c r="A2579" s="0" t="n">
        <v>865</v>
      </c>
      <c r="B2579" s="0" t="s">
        <v>5865</v>
      </c>
      <c r="C2579" s="0" t="s">
        <v>5648</v>
      </c>
      <c r="D2579" s="0" t="s">
        <v>13108</v>
      </c>
      <c r="E2579" s="0" t="s">
        <v>115</v>
      </c>
    </row>
    <row r="2580" customFormat="false" ht="15" hidden="false" customHeight="false" outlineLevel="0" collapsed="false">
      <c r="A2580" s="0" t="n">
        <v>865</v>
      </c>
      <c r="B2580" s="0" t="s">
        <v>5865</v>
      </c>
      <c r="C2580" s="0" t="s">
        <v>5649</v>
      </c>
      <c r="D2580" s="0" t="s">
        <v>13109</v>
      </c>
      <c r="E2580" s="0" t="s">
        <v>115</v>
      </c>
    </row>
    <row r="2581" customFormat="false" ht="15" hidden="false" customHeight="false" outlineLevel="0" collapsed="false">
      <c r="A2581" s="0" t="n">
        <v>865</v>
      </c>
      <c r="B2581" s="0" t="s">
        <v>5865</v>
      </c>
      <c r="C2581" s="0" t="s">
        <v>5650</v>
      </c>
      <c r="D2581" s="0" t="s">
        <v>13110</v>
      </c>
      <c r="E2581" s="0" t="s">
        <v>115</v>
      </c>
    </row>
    <row r="2582" customFormat="false" ht="15" hidden="false" customHeight="false" outlineLevel="0" collapsed="false">
      <c r="A2582" s="0" t="n">
        <v>866</v>
      </c>
      <c r="B2582" s="0" t="s">
        <v>5870</v>
      </c>
      <c r="C2582" s="0" t="s">
        <v>5872</v>
      </c>
      <c r="E2582" s="0" t="s">
        <v>79</v>
      </c>
      <c r="F2582" s="0" t="s">
        <v>13207</v>
      </c>
    </row>
    <row r="2583" customFormat="false" ht="15" hidden="false" customHeight="false" outlineLevel="0" collapsed="false">
      <c r="A2583" s="0" t="n">
        <v>866</v>
      </c>
      <c r="B2583" s="0" t="s">
        <v>5870</v>
      </c>
      <c r="C2583" s="0" t="s">
        <v>5873</v>
      </c>
      <c r="E2583" s="0" t="s">
        <v>79</v>
      </c>
      <c r="F2583" s="0" t="s">
        <v>13208</v>
      </c>
    </row>
    <row r="2584" customFormat="false" ht="15" hidden="false" customHeight="false" outlineLevel="0" collapsed="false">
      <c r="A2584" s="0" t="n">
        <v>866</v>
      </c>
      <c r="B2584" s="0" t="s">
        <v>5870</v>
      </c>
      <c r="C2584" s="0" t="s">
        <v>5874</v>
      </c>
      <c r="E2584" s="0" t="s">
        <v>79</v>
      </c>
      <c r="F2584" s="0" t="s">
        <v>13209</v>
      </c>
    </row>
    <row r="2585" customFormat="false" ht="15" hidden="false" customHeight="false" outlineLevel="0" collapsed="false">
      <c r="A2585" s="0" t="n">
        <v>866</v>
      </c>
      <c r="B2585" s="0" t="s">
        <v>5870</v>
      </c>
      <c r="C2585" s="0" t="s">
        <v>13210</v>
      </c>
      <c r="E2585" s="0" t="s">
        <v>79</v>
      </c>
      <c r="F2585" s="0" t="s">
        <v>13211</v>
      </c>
    </row>
    <row r="2586" customFormat="false" ht="15" hidden="false" customHeight="false" outlineLevel="0" collapsed="false">
      <c r="A2586" s="0" t="n">
        <v>866</v>
      </c>
      <c r="B2586" s="0" t="s">
        <v>5870</v>
      </c>
      <c r="C2586" s="0" t="s">
        <v>13212</v>
      </c>
      <c r="E2586" s="0" t="s">
        <v>79</v>
      </c>
      <c r="F2586" s="0" t="s">
        <v>13213</v>
      </c>
    </row>
    <row r="2587" customFormat="false" ht="15" hidden="false" customHeight="false" outlineLevel="0" collapsed="false">
      <c r="A2587" s="0" t="n">
        <v>867</v>
      </c>
      <c r="B2587" s="0" t="s">
        <v>5875</v>
      </c>
      <c r="C2587" s="0" t="s">
        <v>5878</v>
      </c>
      <c r="E2587" s="0" t="s">
        <v>79</v>
      </c>
      <c r="F2587" s="0" t="s">
        <v>13214</v>
      </c>
    </row>
    <row r="2588" customFormat="false" ht="15" hidden="false" customHeight="false" outlineLevel="0" collapsed="false">
      <c r="A2588" s="0" t="n">
        <v>867</v>
      </c>
      <c r="B2588" s="0" t="s">
        <v>5875</v>
      </c>
      <c r="C2588" s="0" t="s">
        <v>5879</v>
      </c>
      <c r="E2588" s="0" t="s">
        <v>79</v>
      </c>
      <c r="F2588" s="0" t="s">
        <v>13215</v>
      </c>
    </row>
    <row r="2589" customFormat="false" ht="15" hidden="false" customHeight="false" outlineLevel="0" collapsed="false">
      <c r="A2589" s="0" t="n">
        <v>867</v>
      </c>
      <c r="B2589" s="0" t="s">
        <v>5875</v>
      </c>
      <c r="C2589" s="0" t="s">
        <v>5880</v>
      </c>
      <c r="E2589" s="0" t="s">
        <v>79</v>
      </c>
      <c r="F2589" s="0" t="s">
        <v>13216</v>
      </c>
    </row>
    <row r="2590" customFormat="false" ht="15" hidden="false" customHeight="false" outlineLevel="0" collapsed="false">
      <c r="A2590" s="0" t="n">
        <v>867</v>
      </c>
      <c r="B2590" s="0" t="s">
        <v>5875</v>
      </c>
      <c r="C2590" s="0" t="s">
        <v>13217</v>
      </c>
      <c r="E2590" s="0" t="s">
        <v>79</v>
      </c>
      <c r="F2590" s="0" t="s">
        <v>13218</v>
      </c>
    </row>
    <row r="2591" customFormat="false" ht="15" hidden="false" customHeight="false" outlineLevel="0" collapsed="false">
      <c r="A2591" s="0" t="n">
        <v>867</v>
      </c>
      <c r="B2591" s="0" t="s">
        <v>5875</v>
      </c>
      <c r="C2591" s="0" t="s">
        <v>13219</v>
      </c>
      <c r="E2591" s="0" t="s">
        <v>79</v>
      </c>
      <c r="F2591" s="0" t="s">
        <v>13220</v>
      </c>
    </row>
    <row r="2592" customFormat="false" ht="15" hidden="false" customHeight="false" outlineLevel="0" collapsed="false">
      <c r="A2592" s="0" t="n">
        <v>868</v>
      </c>
      <c r="B2592" s="0" t="s">
        <v>5884</v>
      </c>
      <c r="C2592" s="0" t="s">
        <v>5887</v>
      </c>
      <c r="E2592" s="0" t="s">
        <v>79</v>
      </c>
      <c r="F2592" s="0" t="s">
        <v>13221</v>
      </c>
    </row>
    <row r="2593" customFormat="false" ht="15" hidden="false" customHeight="false" outlineLevel="0" collapsed="false">
      <c r="A2593" s="0" t="n">
        <v>868</v>
      </c>
      <c r="B2593" s="0" t="s">
        <v>5884</v>
      </c>
      <c r="C2593" s="0" t="s">
        <v>5888</v>
      </c>
      <c r="E2593" s="0" t="s">
        <v>79</v>
      </c>
      <c r="F2593" s="0" t="s">
        <v>13222</v>
      </c>
    </row>
    <row r="2594" customFormat="false" ht="15" hidden="false" customHeight="false" outlineLevel="0" collapsed="false">
      <c r="A2594" s="0" t="n">
        <v>868</v>
      </c>
      <c r="B2594" s="0" t="s">
        <v>5884</v>
      </c>
      <c r="C2594" s="0" t="s">
        <v>5889</v>
      </c>
      <c r="E2594" s="0" t="s">
        <v>79</v>
      </c>
      <c r="F2594" s="0" t="s">
        <v>13223</v>
      </c>
    </row>
    <row r="2595" customFormat="false" ht="15" hidden="false" customHeight="false" outlineLevel="0" collapsed="false">
      <c r="A2595" s="0" t="n">
        <v>868</v>
      </c>
      <c r="B2595" s="0" t="s">
        <v>5884</v>
      </c>
      <c r="C2595" s="0" t="s">
        <v>13224</v>
      </c>
      <c r="E2595" s="0" t="s">
        <v>79</v>
      </c>
      <c r="F2595" s="0" t="s">
        <v>13225</v>
      </c>
    </row>
    <row r="2596" customFormat="false" ht="15" hidden="false" customHeight="false" outlineLevel="0" collapsed="false">
      <c r="A2596" s="0" t="n">
        <v>868</v>
      </c>
      <c r="B2596" s="0" t="s">
        <v>5884</v>
      </c>
      <c r="C2596" s="0" t="s">
        <v>13226</v>
      </c>
      <c r="E2596" s="0" t="s">
        <v>79</v>
      </c>
      <c r="F2596" s="0" t="s">
        <v>13227</v>
      </c>
    </row>
    <row r="2597" customFormat="false" ht="15" hidden="false" customHeight="false" outlineLevel="0" collapsed="false">
      <c r="A2597" s="0" t="n">
        <v>869</v>
      </c>
      <c r="B2597" s="0" t="s">
        <v>5894</v>
      </c>
      <c r="C2597" s="0" t="s">
        <v>5899</v>
      </c>
      <c r="E2597" s="0" t="s">
        <v>79</v>
      </c>
      <c r="F2597" s="0" t="s">
        <v>13228</v>
      </c>
    </row>
    <row r="2598" customFormat="false" ht="15" hidden="false" customHeight="false" outlineLevel="0" collapsed="false">
      <c r="A2598" s="0" t="n">
        <v>869</v>
      </c>
      <c r="B2598" s="0" t="s">
        <v>5894</v>
      </c>
      <c r="C2598" s="0" t="s">
        <v>5900</v>
      </c>
      <c r="E2598" s="0" t="s">
        <v>79</v>
      </c>
      <c r="F2598" s="0" t="s">
        <v>13229</v>
      </c>
    </row>
    <row r="2599" customFormat="false" ht="15" hidden="false" customHeight="false" outlineLevel="0" collapsed="false">
      <c r="A2599" s="0" t="n">
        <v>869</v>
      </c>
      <c r="B2599" s="0" t="s">
        <v>5894</v>
      </c>
      <c r="C2599" s="0" t="s">
        <v>5901</v>
      </c>
      <c r="E2599" s="0" t="s">
        <v>79</v>
      </c>
      <c r="F2599" s="0" t="s">
        <v>13230</v>
      </c>
    </row>
    <row r="2600" customFormat="false" ht="15" hidden="false" customHeight="false" outlineLevel="0" collapsed="false">
      <c r="A2600" s="0" t="n">
        <v>869</v>
      </c>
      <c r="B2600" s="0" t="s">
        <v>5894</v>
      </c>
      <c r="C2600" s="0" t="s">
        <v>13231</v>
      </c>
      <c r="E2600" s="0" t="s">
        <v>79</v>
      </c>
      <c r="F2600" s="0" t="s">
        <v>13232</v>
      </c>
    </row>
    <row r="2601" customFormat="false" ht="15" hidden="false" customHeight="false" outlineLevel="0" collapsed="false">
      <c r="A2601" s="0" t="n">
        <v>869</v>
      </c>
      <c r="B2601" s="0" t="s">
        <v>5894</v>
      </c>
      <c r="C2601" s="0" t="s">
        <v>13233</v>
      </c>
      <c r="E2601" s="0" t="s">
        <v>79</v>
      </c>
      <c r="F2601" s="0" t="s">
        <v>13234</v>
      </c>
    </row>
    <row r="2602" customFormat="false" ht="15" hidden="false" customHeight="false" outlineLevel="0" collapsed="false">
      <c r="A2602" s="0" t="n">
        <v>872</v>
      </c>
      <c r="B2602" s="0" t="s">
        <v>5914</v>
      </c>
      <c r="C2602" s="0" t="s">
        <v>5916</v>
      </c>
      <c r="E2602" s="0" t="s">
        <v>79</v>
      </c>
      <c r="F2602" s="0" t="s">
        <v>13235</v>
      </c>
    </row>
    <row r="2603" customFormat="false" ht="15" hidden="false" customHeight="false" outlineLevel="0" collapsed="false">
      <c r="A2603" s="0" t="n">
        <v>872</v>
      </c>
      <c r="B2603" s="0" t="s">
        <v>5914</v>
      </c>
      <c r="C2603" s="0" t="s">
        <v>5917</v>
      </c>
      <c r="E2603" s="0" t="s">
        <v>79</v>
      </c>
      <c r="F2603" s="0" t="s">
        <v>13236</v>
      </c>
    </row>
    <row r="2604" customFormat="false" ht="15" hidden="false" customHeight="false" outlineLevel="0" collapsed="false">
      <c r="A2604" s="0" t="n">
        <v>873</v>
      </c>
      <c r="B2604" s="0" t="s">
        <v>5918</v>
      </c>
      <c r="C2604" s="0" t="s">
        <v>5920</v>
      </c>
      <c r="E2604" s="0" t="s">
        <v>59</v>
      </c>
      <c r="F2604" s="0" t="s">
        <v>13237</v>
      </c>
    </row>
    <row r="2605" customFormat="false" ht="15" hidden="false" customHeight="false" outlineLevel="0" collapsed="false">
      <c r="A2605" s="0" t="n">
        <v>873</v>
      </c>
      <c r="B2605" s="0" t="s">
        <v>5918</v>
      </c>
      <c r="C2605" s="0" t="s">
        <v>5921</v>
      </c>
      <c r="E2605" s="0" t="s">
        <v>59</v>
      </c>
      <c r="F2605" s="0" t="s">
        <v>13238</v>
      </c>
    </row>
    <row r="2606" customFormat="false" ht="15" hidden="false" customHeight="false" outlineLevel="0" collapsed="false">
      <c r="A2606" s="0" t="n">
        <v>873</v>
      </c>
      <c r="B2606" s="0" t="s">
        <v>5918</v>
      </c>
      <c r="C2606" s="0" t="s">
        <v>5922</v>
      </c>
      <c r="E2606" s="0" t="s">
        <v>59</v>
      </c>
      <c r="F2606" s="0" t="s">
        <v>13239</v>
      </c>
    </row>
    <row r="2607" customFormat="false" ht="15" hidden="false" customHeight="false" outlineLevel="0" collapsed="false">
      <c r="A2607" s="0" t="n">
        <v>873</v>
      </c>
      <c r="B2607" s="0" t="s">
        <v>5918</v>
      </c>
      <c r="C2607" s="0" t="s">
        <v>13240</v>
      </c>
      <c r="E2607" s="0" t="s">
        <v>59</v>
      </c>
      <c r="F2607" s="0" t="s">
        <v>13241</v>
      </c>
    </row>
    <row r="2608" customFormat="false" ht="15" hidden="false" customHeight="false" outlineLevel="0" collapsed="false">
      <c r="A2608" s="0" t="n">
        <v>873</v>
      </c>
      <c r="B2608" s="0" t="s">
        <v>5918</v>
      </c>
      <c r="C2608" s="0" t="s">
        <v>13242</v>
      </c>
      <c r="E2608" s="0" t="s">
        <v>59</v>
      </c>
      <c r="F2608" s="0" t="s">
        <v>13243</v>
      </c>
    </row>
    <row r="2609" customFormat="false" ht="15" hidden="false" customHeight="false" outlineLevel="0" collapsed="false">
      <c r="A2609" s="0" t="n">
        <v>874</v>
      </c>
      <c r="B2609" s="0" t="s">
        <v>5923</v>
      </c>
      <c r="C2609" s="0" t="s">
        <v>5926</v>
      </c>
      <c r="E2609" s="0" t="s">
        <v>79</v>
      </c>
      <c r="F2609" s="0" t="s">
        <v>13244</v>
      </c>
    </row>
    <row r="2610" customFormat="false" ht="15" hidden="false" customHeight="false" outlineLevel="0" collapsed="false">
      <c r="A2610" s="0" t="n">
        <v>874</v>
      </c>
      <c r="B2610" s="0" t="s">
        <v>5923</v>
      </c>
      <c r="C2610" s="0" t="s">
        <v>5927</v>
      </c>
      <c r="E2610" s="0" t="s">
        <v>79</v>
      </c>
      <c r="F2610" s="0" t="s">
        <v>13245</v>
      </c>
    </row>
    <row r="2611" customFormat="false" ht="15" hidden="false" customHeight="false" outlineLevel="0" collapsed="false">
      <c r="A2611" s="0" t="n">
        <v>874</v>
      </c>
      <c r="B2611" s="0" t="s">
        <v>5923</v>
      </c>
      <c r="C2611" s="0" t="s">
        <v>5928</v>
      </c>
      <c r="E2611" s="0" t="s">
        <v>79</v>
      </c>
      <c r="F2611" s="0" t="s">
        <v>13246</v>
      </c>
    </row>
    <row r="2612" customFormat="false" ht="15" hidden="false" customHeight="false" outlineLevel="0" collapsed="false">
      <c r="A2612" s="0" t="n">
        <v>874</v>
      </c>
      <c r="B2612" s="0" t="s">
        <v>5923</v>
      </c>
      <c r="C2612" s="0" t="s">
        <v>13247</v>
      </c>
      <c r="E2612" s="0" t="s">
        <v>79</v>
      </c>
      <c r="F2612" s="0" t="s">
        <v>13248</v>
      </c>
    </row>
    <row r="2613" customFormat="false" ht="15" hidden="false" customHeight="false" outlineLevel="0" collapsed="false">
      <c r="A2613" s="0" t="n">
        <v>874</v>
      </c>
      <c r="B2613" s="0" t="s">
        <v>5923</v>
      </c>
      <c r="C2613" s="0" t="s">
        <v>13249</v>
      </c>
      <c r="E2613" s="0" t="s">
        <v>79</v>
      </c>
      <c r="F2613" s="0" t="s">
        <v>13250</v>
      </c>
    </row>
    <row r="2614" customFormat="false" ht="15" hidden="false" customHeight="false" outlineLevel="0" collapsed="false">
      <c r="A2614" s="0" t="n">
        <v>875</v>
      </c>
      <c r="B2614" s="0" t="s">
        <v>5932</v>
      </c>
      <c r="C2614" s="0" t="s">
        <v>5934</v>
      </c>
      <c r="E2614" s="0" t="s">
        <v>79</v>
      </c>
      <c r="F2614" s="0" t="s">
        <v>13251</v>
      </c>
    </row>
    <row r="2615" customFormat="false" ht="15" hidden="false" customHeight="false" outlineLevel="0" collapsed="false">
      <c r="A2615" s="0" t="n">
        <v>875</v>
      </c>
      <c r="B2615" s="0" t="s">
        <v>5932</v>
      </c>
      <c r="C2615" s="0" t="s">
        <v>5935</v>
      </c>
      <c r="E2615" s="0" t="s">
        <v>79</v>
      </c>
      <c r="F2615" s="0" t="s">
        <v>13252</v>
      </c>
    </row>
    <row r="2616" customFormat="false" ht="15" hidden="false" customHeight="false" outlineLevel="0" collapsed="false">
      <c r="A2616" s="0" t="n">
        <v>875</v>
      </c>
      <c r="B2616" s="0" t="s">
        <v>5932</v>
      </c>
      <c r="C2616" s="0" t="s">
        <v>5936</v>
      </c>
      <c r="E2616" s="0" t="s">
        <v>79</v>
      </c>
      <c r="F2616" s="0" t="s">
        <v>13253</v>
      </c>
    </row>
    <row r="2617" customFormat="false" ht="15" hidden="false" customHeight="false" outlineLevel="0" collapsed="false">
      <c r="A2617" s="0" t="n">
        <v>875</v>
      </c>
      <c r="B2617" s="0" t="s">
        <v>5932</v>
      </c>
      <c r="C2617" s="0" t="s">
        <v>13254</v>
      </c>
      <c r="E2617" s="0" t="s">
        <v>79</v>
      </c>
      <c r="F2617" s="0" t="s">
        <v>13255</v>
      </c>
    </row>
    <row r="2618" customFormat="false" ht="15" hidden="false" customHeight="false" outlineLevel="0" collapsed="false">
      <c r="A2618" s="0" t="n">
        <v>877</v>
      </c>
      <c r="B2618" s="0" t="s">
        <v>5938</v>
      </c>
      <c r="C2618" s="0" t="s">
        <v>5941</v>
      </c>
      <c r="E2618" s="0" t="s">
        <v>79</v>
      </c>
      <c r="F2618" s="0" t="s">
        <v>13256</v>
      </c>
    </row>
    <row r="2619" customFormat="false" ht="15" hidden="false" customHeight="false" outlineLevel="0" collapsed="false">
      <c r="A2619" s="0" t="n">
        <v>877</v>
      </c>
      <c r="B2619" s="0" t="s">
        <v>5938</v>
      </c>
      <c r="C2619" s="0" t="s">
        <v>5942</v>
      </c>
      <c r="E2619" s="0" t="s">
        <v>79</v>
      </c>
      <c r="F2619" s="0" t="s">
        <v>13257</v>
      </c>
    </row>
    <row r="2620" customFormat="false" ht="15" hidden="false" customHeight="false" outlineLevel="0" collapsed="false">
      <c r="A2620" s="0" t="n">
        <v>877</v>
      </c>
      <c r="B2620" s="0" t="s">
        <v>5938</v>
      </c>
      <c r="C2620" s="0" t="s">
        <v>5943</v>
      </c>
      <c r="E2620" s="0" t="s">
        <v>79</v>
      </c>
      <c r="F2620" s="0" t="s">
        <v>13258</v>
      </c>
    </row>
    <row r="2621" customFormat="false" ht="15" hidden="false" customHeight="false" outlineLevel="0" collapsed="false">
      <c r="A2621" s="0" t="n">
        <v>877</v>
      </c>
      <c r="B2621" s="0" t="s">
        <v>5938</v>
      </c>
      <c r="C2621" s="0" t="s">
        <v>13259</v>
      </c>
      <c r="E2621" s="0" t="s">
        <v>79</v>
      </c>
      <c r="F2621" s="0" t="s">
        <v>13260</v>
      </c>
    </row>
    <row r="2622" customFormat="false" ht="15" hidden="false" customHeight="false" outlineLevel="0" collapsed="false">
      <c r="A2622" s="0" t="n">
        <v>877</v>
      </c>
      <c r="B2622" s="0" t="s">
        <v>5938</v>
      </c>
      <c r="C2622" s="0" t="s">
        <v>13261</v>
      </c>
      <c r="E2622" s="0" t="s">
        <v>79</v>
      </c>
      <c r="F2622" s="0" t="s">
        <v>13262</v>
      </c>
    </row>
    <row r="2623" customFormat="false" ht="15" hidden="false" customHeight="false" outlineLevel="0" collapsed="false">
      <c r="A2623" s="0" t="n">
        <v>879</v>
      </c>
      <c r="B2623" s="0" t="s">
        <v>5952</v>
      </c>
      <c r="C2623" s="0" t="s">
        <v>5955</v>
      </c>
      <c r="E2623" s="0" t="s">
        <v>59</v>
      </c>
      <c r="F2623" s="0" t="s">
        <v>13263</v>
      </c>
    </row>
    <row r="2624" customFormat="false" ht="15" hidden="false" customHeight="false" outlineLevel="0" collapsed="false">
      <c r="A2624" s="0" t="n">
        <v>879</v>
      </c>
      <c r="B2624" s="0" t="s">
        <v>5952</v>
      </c>
      <c r="C2624" s="0" t="s">
        <v>5956</v>
      </c>
      <c r="E2624" s="0" t="s">
        <v>59</v>
      </c>
      <c r="F2624" s="0" t="s">
        <v>13264</v>
      </c>
    </row>
    <row r="2625" customFormat="false" ht="15" hidden="false" customHeight="false" outlineLevel="0" collapsed="false">
      <c r="A2625" s="0" t="n">
        <v>879</v>
      </c>
      <c r="B2625" s="0" t="s">
        <v>5952</v>
      </c>
      <c r="C2625" s="0" t="s">
        <v>5957</v>
      </c>
      <c r="E2625" s="0" t="s">
        <v>59</v>
      </c>
      <c r="F2625" s="0" t="s">
        <v>13265</v>
      </c>
    </row>
    <row r="2626" customFormat="false" ht="15" hidden="false" customHeight="false" outlineLevel="0" collapsed="false">
      <c r="A2626" s="0" t="n">
        <v>879</v>
      </c>
      <c r="B2626" s="0" t="s">
        <v>5952</v>
      </c>
      <c r="C2626" s="0" t="s">
        <v>13266</v>
      </c>
      <c r="E2626" s="0" t="s">
        <v>59</v>
      </c>
      <c r="F2626" s="0" t="s">
        <v>13267</v>
      </c>
    </row>
    <row r="2627" customFormat="false" ht="15" hidden="false" customHeight="false" outlineLevel="0" collapsed="false">
      <c r="A2627" s="0" t="n">
        <v>879</v>
      </c>
      <c r="B2627" s="0" t="s">
        <v>5952</v>
      </c>
      <c r="C2627" s="0" t="s">
        <v>13268</v>
      </c>
      <c r="E2627" s="0" t="s">
        <v>59</v>
      </c>
      <c r="F2627" s="0" t="s">
        <v>13269</v>
      </c>
    </row>
    <row r="2628" customFormat="false" ht="15" hidden="false" customHeight="false" outlineLevel="0" collapsed="false">
      <c r="A2628" s="0" t="n">
        <v>880</v>
      </c>
      <c r="B2628" s="0" t="s">
        <v>5958</v>
      </c>
      <c r="C2628" s="0" t="s">
        <v>5960</v>
      </c>
      <c r="E2628" s="0" t="s">
        <v>79</v>
      </c>
      <c r="F2628" s="0" t="s">
        <v>13270</v>
      </c>
    </row>
    <row r="2629" customFormat="false" ht="15" hidden="false" customHeight="false" outlineLevel="0" collapsed="false">
      <c r="A2629" s="0" t="n">
        <v>880</v>
      </c>
      <c r="B2629" s="0" t="s">
        <v>5958</v>
      </c>
      <c r="C2629" s="0" t="s">
        <v>5961</v>
      </c>
      <c r="E2629" s="0" t="s">
        <v>79</v>
      </c>
      <c r="F2629" s="0" t="s">
        <v>13271</v>
      </c>
    </row>
    <row r="2630" customFormat="false" ht="15" hidden="false" customHeight="false" outlineLevel="0" collapsed="false">
      <c r="A2630" s="0" t="n">
        <v>880</v>
      </c>
      <c r="B2630" s="0" t="s">
        <v>5958</v>
      </c>
      <c r="C2630" s="0" t="s">
        <v>5962</v>
      </c>
      <c r="E2630" s="0" t="s">
        <v>79</v>
      </c>
      <c r="F2630" s="0" t="s">
        <v>13272</v>
      </c>
    </row>
    <row r="2631" customFormat="false" ht="15" hidden="false" customHeight="false" outlineLevel="0" collapsed="false">
      <c r="A2631" s="0" t="n">
        <v>880</v>
      </c>
      <c r="B2631" s="0" t="s">
        <v>5958</v>
      </c>
      <c r="C2631" s="0" t="s">
        <v>13273</v>
      </c>
      <c r="E2631" s="0" t="s">
        <v>79</v>
      </c>
      <c r="F2631" s="0" t="s">
        <v>13274</v>
      </c>
    </row>
    <row r="2632" customFormat="false" ht="15" hidden="false" customHeight="false" outlineLevel="0" collapsed="false">
      <c r="A2632" s="0" t="n">
        <v>880</v>
      </c>
      <c r="B2632" s="0" t="s">
        <v>5958</v>
      </c>
      <c r="C2632" s="0" t="s">
        <v>13275</v>
      </c>
      <c r="E2632" s="0" t="s">
        <v>79</v>
      </c>
      <c r="F2632" s="0" t="s">
        <v>13276</v>
      </c>
    </row>
    <row r="2633" customFormat="false" ht="15" hidden="false" customHeight="false" outlineLevel="0" collapsed="false">
      <c r="A2633" s="0" t="n">
        <v>881</v>
      </c>
      <c r="B2633" s="0" t="s">
        <v>5963</v>
      </c>
      <c r="C2633" s="0" t="s">
        <v>3632</v>
      </c>
      <c r="E2633" s="0" t="s">
        <v>79</v>
      </c>
      <c r="F2633" s="0" t="s">
        <v>13277</v>
      </c>
    </row>
    <row r="2634" customFormat="false" ht="15" hidden="false" customHeight="false" outlineLevel="0" collapsed="false">
      <c r="A2634" s="0" t="n">
        <v>881</v>
      </c>
      <c r="B2634" s="0" t="s">
        <v>5963</v>
      </c>
      <c r="C2634" s="0" t="s">
        <v>5966</v>
      </c>
      <c r="E2634" s="0" t="s">
        <v>79</v>
      </c>
      <c r="F2634" s="0" t="s">
        <v>13278</v>
      </c>
    </row>
    <row r="2635" customFormat="false" ht="15" hidden="false" customHeight="false" outlineLevel="0" collapsed="false">
      <c r="A2635" s="0" t="n">
        <v>881</v>
      </c>
      <c r="B2635" s="0" t="s">
        <v>5963</v>
      </c>
      <c r="C2635" s="0" t="s">
        <v>3633</v>
      </c>
      <c r="E2635" s="0" t="s">
        <v>79</v>
      </c>
      <c r="F2635" s="0" t="s">
        <v>13279</v>
      </c>
    </row>
    <row r="2636" customFormat="false" ht="15" hidden="false" customHeight="false" outlineLevel="0" collapsed="false">
      <c r="A2636" s="0" t="n">
        <v>881</v>
      </c>
      <c r="B2636" s="0" t="s">
        <v>5963</v>
      </c>
      <c r="C2636" s="0" t="s">
        <v>13280</v>
      </c>
      <c r="E2636" s="0" t="s">
        <v>79</v>
      </c>
      <c r="F2636" s="0" t="s">
        <v>13281</v>
      </c>
    </row>
    <row r="2637" customFormat="false" ht="15" hidden="false" customHeight="false" outlineLevel="0" collapsed="false">
      <c r="A2637" s="0" t="n">
        <v>881</v>
      </c>
      <c r="B2637" s="0" t="s">
        <v>5963</v>
      </c>
      <c r="C2637" s="0" t="s">
        <v>13282</v>
      </c>
      <c r="E2637" s="0" t="s">
        <v>79</v>
      </c>
      <c r="F2637" s="0" t="s">
        <v>13283</v>
      </c>
    </row>
    <row r="2638" customFormat="false" ht="15" hidden="false" customHeight="false" outlineLevel="0" collapsed="false">
      <c r="A2638" s="0" t="n">
        <v>885</v>
      </c>
      <c r="B2638" s="0" t="s">
        <v>5987</v>
      </c>
      <c r="C2638" s="0" t="s">
        <v>5990</v>
      </c>
      <c r="E2638" s="0" t="s">
        <v>79</v>
      </c>
      <c r="F2638" s="0" t="s">
        <v>13284</v>
      </c>
    </row>
    <row r="2639" customFormat="false" ht="15" hidden="false" customHeight="false" outlineLevel="0" collapsed="false">
      <c r="A2639" s="0" t="n">
        <v>885</v>
      </c>
      <c r="B2639" s="0" t="s">
        <v>5987</v>
      </c>
      <c r="C2639" s="0" t="s">
        <v>5991</v>
      </c>
      <c r="E2639" s="0" t="s">
        <v>79</v>
      </c>
      <c r="F2639" s="0" t="s">
        <v>13285</v>
      </c>
    </row>
    <row r="2640" customFormat="false" ht="15" hidden="false" customHeight="false" outlineLevel="0" collapsed="false">
      <c r="A2640" s="0" t="n">
        <v>885</v>
      </c>
      <c r="B2640" s="0" t="s">
        <v>5987</v>
      </c>
      <c r="C2640" s="0" t="s">
        <v>5992</v>
      </c>
      <c r="E2640" s="0" t="s">
        <v>79</v>
      </c>
      <c r="F2640" s="0" t="s">
        <v>13286</v>
      </c>
    </row>
    <row r="2641" customFormat="false" ht="15" hidden="false" customHeight="false" outlineLevel="0" collapsed="false">
      <c r="A2641" s="0" t="n">
        <v>885</v>
      </c>
      <c r="B2641" s="0" t="s">
        <v>5987</v>
      </c>
      <c r="C2641" s="0" t="s">
        <v>13287</v>
      </c>
      <c r="E2641" s="0" t="s">
        <v>79</v>
      </c>
      <c r="F2641" s="0" t="s">
        <v>13288</v>
      </c>
    </row>
    <row r="2642" customFormat="false" ht="15" hidden="false" customHeight="false" outlineLevel="0" collapsed="false">
      <c r="A2642" s="0" t="n">
        <v>885</v>
      </c>
      <c r="B2642" s="0" t="s">
        <v>5987</v>
      </c>
      <c r="C2642" s="0" t="s">
        <v>13289</v>
      </c>
      <c r="E2642" s="0" t="s">
        <v>79</v>
      </c>
      <c r="F2642" s="0" t="s">
        <v>13290</v>
      </c>
    </row>
    <row r="2643" customFormat="false" ht="15" hidden="false" customHeight="false" outlineLevel="0" collapsed="false">
      <c r="A2643" s="0" t="n">
        <v>886</v>
      </c>
      <c r="B2643" s="0" t="s">
        <v>5994</v>
      </c>
      <c r="C2643" s="0" t="s">
        <v>5996</v>
      </c>
      <c r="E2643" s="0" t="s">
        <v>59</v>
      </c>
      <c r="F2643" s="0" t="s">
        <v>13291</v>
      </c>
    </row>
    <row r="2644" customFormat="false" ht="15" hidden="false" customHeight="false" outlineLevel="0" collapsed="false">
      <c r="A2644" s="0" t="n">
        <v>886</v>
      </c>
      <c r="B2644" s="0" t="s">
        <v>5994</v>
      </c>
      <c r="C2644" s="0" t="s">
        <v>5997</v>
      </c>
      <c r="E2644" s="0" t="s">
        <v>59</v>
      </c>
      <c r="F2644" s="0" t="s">
        <v>13292</v>
      </c>
    </row>
    <row r="2645" customFormat="false" ht="15" hidden="false" customHeight="false" outlineLevel="0" collapsed="false">
      <c r="A2645" s="0" t="n">
        <v>886</v>
      </c>
      <c r="B2645" s="0" t="s">
        <v>5994</v>
      </c>
      <c r="C2645" s="0" t="s">
        <v>5998</v>
      </c>
      <c r="E2645" s="0" t="s">
        <v>59</v>
      </c>
      <c r="F2645" s="0" t="s">
        <v>13293</v>
      </c>
    </row>
    <row r="2646" customFormat="false" ht="15" hidden="false" customHeight="false" outlineLevel="0" collapsed="false">
      <c r="A2646" s="0" t="n">
        <v>886</v>
      </c>
      <c r="B2646" s="0" t="s">
        <v>5994</v>
      </c>
      <c r="C2646" s="0" t="s">
        <v>13294</v>
      </c>
      <c r="E2646" s="0" t="s">
        <v>59</v>
      </c>
      <c r="F2646" s="0" t="s">
        <v>13295</v>
      </c>
    </row>
    <row r="2647" customFormat="false" ht="15" hidden="false" customHeight="false" outlineLevel="0" collapsed="false">
      <c r="A2647" s="0" t="n">
        <v>886</v>
      </c>
      <c r="B2647" s="0" t="s">
        <v>5994</v>
      </c>
      <c r="C2647" s="0" t="s">
        <v>13296</v>
      </c>
      <c r="E2647" s="0" t="s">
        <v>59</v>
      </c>
      <c r="F2647" s="0" t="s">
        <v>13297</v>
      </c>
    </row>
    <row r="2648" customFormat="false" ht="15" hidden="false" customHeight="false" outlineLevel="0" collapsed="false">
      <c r="A2648" s="0" t="n">
        <v>887</v>
      </c>
      <c r="B2648" s="0" t="s">
        <v>5999</v>
      </c>
      <c r="C2648" s="0" t="s">
        <v>6001</v>
      </c>
      <c r="E2648" s="0" t="s">
        <v>79</v>
      </c>
      <c r="F2648" s="0" t="s">
        <v>13298</v>
      </c>
    </row>
    <row r="2649" customFormat="false" ht="15" hidden="false" customHeight="false" outlineLevel="0" collapsed="false">
      <c r="A2649" s="0" t="n">
        <v>887</v>
      </c>
      <c r="B2649" s="0" t="s">
        <v>5999</v>
      </c>
      <c r="C2649" s="0" t="s">
        <v>6002</v>
      </c>
      <c r="E2649" s="0" t="s">
        <v>79</v>
      </c>
      <c r="F2649" s="0" t="s">
        <v>13299</v>
      </c>
    </row>
    <row r="2650" customFormat="false" ht="15" hidden="false" customHeight="false" outlineLevel="0" collapsed="false">
      <c r="A2650" s="0" t="n">
        <v>887</v>
      </c>
      <c r="B2650" s="0" t="s">
        <v>5999</v>
      </c>
      <c r="C2650" s="0" t="s">
        <v>6003</v>
      </c>
      <c r="E2650" s="0" t="s">
        <v>79</v>
      </c>
      <c r="F2650" s="0" t="s">
        <v>13300</v>
      </c>
    </row>
    <row r="2651" customFormat="false" ht="15" hidden="false" customHeight="false" outlineLevel="0" collapsed="false">
      <c r="A2651" s="0" t="n">
        <v>887</v>
      </c>
      <c r="B2651" s="0" t="s">
        <v>5999</v>
      </c>
      <c r="C2651" s="0" t="s">
        <v>13301</v>
      </c>
      <c r="E2651" s="0" t="s">
        <v>79</v>
      </c>
      <c r="F2651" s="0" t="s">
        <v>13302</v>
      </c>
    </row>
    <row r="2652" customFormat="false" ht="15" hidden="false" customHeight="false" outlineLevel="0" collapsed="false">
      <c r="A2652" s="0" t="n">
        <v>887</v>
      </c>
      <c r="B2652" s="0" t="s">
        <v>5999</v>
      </c>
      <c r="C2652" s="0" t="s">
        <v>13303</v>
      </c>
      <c r="E2652" s="0" t="s">
        <v>79</v>
      </c>
      <c r="F2652" s="0" t="s">
        <v>13304</v>
      </c>
    </row>
    <row r="2653" customFormat="false" ht="15" hidden="false" customHeight="false" outlineLevel="0" collapsed="false">
      <c r="A2653" s="0" t="n">
        <v>888</v>
      </c>
      <c r="B2653" s="0" t="s">
        <v>6007</v>
      </c>
      <c r="C2653" s="0" t="s">
        <v>5777</v>
      </c>
      <c r="E2653" s="0" t="s">
        <v>79</v>
      </c>
      <c r="F2653" s="0" t="s">
        <v>13305</v>
      </c>
    </row>
    <row r="2654" customFormat="false" ht="15" hidden="false" customHeight="false" outlineLevel="0" collapsed="false">
      <c r="A2654" s="0" t="n">
        <v>888</v>
      </c>
      <c r="B2654" s="0" t="s">
        <v>6007</v>
      </c>
      <c r="C2654" s="0" t="s">
        <v>6009</v>
      </c>
      <c r="E2654" s="0" t="s">
        <v>79</v>
      </c>
      <c r="F2654" s="0" t="s">
        <v>13306</v>
      </c>
    </row>
    <row r="2655" customFormat="false" ht="15" hidden="false" customHeight="false" outlineLevel="0" collapsed="false">
      <c r="A2655" s="0" t="n">
        <v>888</v>
      </c>
      <c r="B2655" s="0" t="s">
        <v>6007</v>
      </c>
      <c r="C2655" s="0" t="s">
        <v>6010</v>
      </c>
      <c r="E2655" s="0" t="s">
        <v>79</v>
      </c>
      <c r="F2655" s="0" t="s">
        <v>13307</v>
      </c>
    </row>
    <row r="2656" customFormat="false" ht="15" hidden="false" customHeight="false" outlineLevel="0" collapsed="false">
      <c r="A2656" s="0" t="n">
        <v>888</v>
      </c>
      <c r="B2656" s="0" t="s">
        <v>6007</v>
      </c>
      <c r="C2656" s="0" t="s">
        <v>13308</v>
      </c>
      <c r="E2656" s="0" t="s">
        <v>79</v>
      </c>
      <c r="F2656" s="0" t="s">
        <v>13309</v>
      </c>
    </row>
    <row r="2657" customFormat="false" ht="15" hidden="false" customHeight="false" outlineLevel="0" collapsed="false">
      <c r="A2657" s="0" t="n">
        <v>888</v>
      </c>
      <c r="B2657" s="0" t="s">
        <v>6007</v>
      </c>
      <c r="C2657" s="0" t="s">
        <v>13310</v>
      </c>
      <c r="E2657" s="0" t="s">
        <v>79</v>
      </c>
      <c r="F2657" s="0" t="s">
        <v>13311</v>
      </c>
    </row>
    <row r="2658" customFormat="false" ht="15" hidden="false" customHeight="false" outlineLevel="0" collapsed="false">
      <c r="A2658" s="0" t="n">
        <v>890</v>
      </c>
      <c r="B2658" s="0" t="s">
        <v>6016</v>
      </c>
      <c r="C2658" s="0" t="s">
        <v>6018</v>
      </c>
      <c r="E2658" s="0" t="s">
        <v>59</v>
      </c>
      <c r="F2658" s="0" t="s">
        <v>13312</v>
      </c>
    </row>
    <row r="2659" customFormat="false" ht="15" hidden="false" customHeight="false" outlineLevel="0" collapsed="false">
      <c r="A2659" s="0" t="n">
        <v>890</v>
      </c>
      <c r="B2659" s="0" t="s">
        <v>6016</v>
      </c>
      <c r="C2659" s="0" t="s">
        <v>6019</v>
      </c>
      <c r="E2659" s="0" t="s">
        <v>59</v>
      </c>
      <c r="F2659" s="0" t="s">
        <v>13313</v>
      </c>
    </row>
    <row r="2660" customFormat="false" ht="15" hidden="false" customHeight="false" outlineLevel="0" collapsed="false">
      <c r="A2660" s="0" t="n">
        <v>890</v>
      </c>
      <c r="B2660" s="0" t="s">
        <v>6016</v>
      </c>
      <c r="C2660" s="0" t="s">
        <v>6020</v>
      </c>
      <c r="E2660" s="0" t="s">
        <v>59</v>
      </c>
      <c r="F2660" s="0" t="s">
        <v>13314</v>
      </c>
    </row>
    <row r="2661" customFormat="false" ht="15" hidden="false" customHeight="false" outlineLevel="0" collapsed="false">
      <c r="A2661" s="0" t="n">
        <v>890</v>
      </c>
      <c r="B2661" s="0" t="s">
        <v>6016</v>
      </c>
      <c r="C2661" s="0" t="s">
        <v>13315</v>
      </c>
      <c r="E2661" s="0" t="s">
        <v>59</v>
      </c>
      <c r="F2661" s="0" t="s">
        <v>13316</v>
      </c>
    </row>
    <row r="2662" customFormat="false" ht="15" hidden="false" customHeight="false" outlineLevel="0" collapsed="false">
      <c r="A2662" s="0" t="n">
        <v>890</v>
      </c>
      <c r="B2662" s="0" t="s">
        <v>6016</v>
      </c>
      <c r="C2662" s="0" t="s">
        <v>13317</v>
      </c>
      <c r="E2662" s="0" t="s">
        <v>59</v>
      </c>
      <c r="F2662" s="0" t="s">
        <v>13318</v>
      </c>
    </row>
    <row r="2663" customFormat="false" ht="15" hidden="false" customHeight="false" outlineLevel="0" collapsed="false">
      <c r="A2663" s="0" t="n">
        <v>892</v>
      </c>
      <c r="B2663" s="0" t="s">
        <v>6023</v>
      </c>
      <c r="C2663" s="0" t="s">
        <v>6026</v>
      </c>
      <c r="E2663" s="0" t="s">
        <v>59</v>
      </c>
      <c r="F2663" s="0" t="s">
        <v>13319</v>
      </c>
    </row>
    <row r="2664" customFormat="false" ht="15" hidden="false" customHeight="false" outlineLevel="0" collapsed="false">
      <c r="A2664" s="0" t="n">
        <v>892</v>
      </c>
      <c r="B2664" s="0" t="s">
        <v>6023</v>
      </c>
      <c r="C2664" s="0" t="s">
        <v>6027</v>
      </c>
      <c r="E2664" s="0" t="s">
        <v>59</v>
      </c>
      <c r="F2664" s="0" t="s">
        <v>13320</v>
      </c>
    </row>
    <row r="2665" customFormat="false" ht="15" hidden="false" customHeight="false" outlineLevel="0" collapsed="false">
      <c r="A2665" s="0" t="n">
        <v>892</v>
      </c>
      <c r="B2665" s="0" t="s">
        <v>6023</v>
      </c>
      <c r="C2665" s="0" t="s">
        <v>6028</v>
      </c>
      <c r="E2665" s="0" t="s">
        <v>59</v>
      </c>
      <c r="F2665" s="0" t="s">
        <v>13321</v>
      </c>
    </row>
    <row r="2666" customFormat="false" ht="15" hidden="false" customHeight="false" outlineLevel="0" collapsed="false">
      <c r="A2666" s="0" t="n">
        <v>892</v>
      </c>
      <c r="B2666" s="0" t="s">
        <v>6023</v>
      </c>
      <c r="C2666" s="0" t="s">
        <v>13322</v>
      </c>
      <c r="E2666" s="0" t="s">
        <v>59</v>
      </c>
      <c r="F2666" s="0" t="s">
        <v>13323</v>
      </c>
    </row>
    <row r="2667" customFormat="false" ht="15" hidden="false" customHeight="false" outlineLevel="0" collapsed="false">
      <c r="A2667" s="0" t="n">
        <v>892</v>
      </c>
      <c r="B2667" s="0" t="s">
        <v>6023</v>
      </c>
      <c r="C2667" s="0" t="s">
        <v>13324</v>
      </c>
      <c r="E2667" s="0" t="s">
        <v>59</v>
      </c>
      <c r="F2667" s="0" t="s">
        <v>13325</v>
      </c>
    </row>
    <row r="2668" customFormat="false" ht="15" hidden="false" customHeight="false" outlineLevel="0" collapsed="false">
      <c r="A2668" s="0" t="n">
        <v>894</v>
      </c>
      <c r="B2668" s="0" t="s">
        <v>6034</v>
      </c>
      <c r="C2668" s="0" t="s">
        <v>6036</v>
      </c>
      <c r="E2668" s="0" t="s">
        <v>79</v>
      </c>
      <c r="F2668" s="0" t="s">
        <v>13326</v>
      </c>
    </row>
    <row r="2669" customFormat="false" ht="15" hidden="false" customHeight="false" outlineLevel="0" collapsed="false">
      <c r="A2669" s="0" t="n">
        <v>894</v>
      </c>
      <c r="B2669" s="0" t="s">
        <v>6034</v>
      </c>
      <c r="C2669" s="0" t="s">
        <v>6037</v>
      </c>
      <c r="E2669" s="0" t="s">
        <v>79</v>
      </c>
      <c r="F2669" s="0" t="s">
        <v>13327</v>
      </c>
    </row>
    <row r="2670" customFormat="false" ht="15" hidden="false" customHeight="false" outlineLevel="0" collapsed="false">
      <c r="A2670" s="0" t="n">
        <v>894</v>
      </c>
      <c r="B2670" s="0" t="s">
        <v>6034</v>
      </c>
      <c r="C2670" s="0" t="s">
        <v>6038</v>
      </c>
      <c r="E2670" s="0" t="s">
        <v>79</v>
      </c>
      <c r="F2670" s="0" t="s">
        <v>13328</v>
      </c>
    </row>
    <row r="2671" customFormat="false" ht="15" hidden="false" customHeight="false" outlineLevel="0" collapsed="false">
      <c r="A2671" s="0" t="n">
        <v>894</v>
      </c>
      <c r="B2671" s="0" t="s">
        <v>6034</v>
      </c>
      <c r="C2671" s="0" t="s">
        <v>13329</v>
      </c>
      <c r="E2671" s="0" t="s">
        <v>79</v>
      </c>
      <c r="F2671" s="0" t="s">
        <v>13330</v>
      </c>
    </row>
    <row r="2672" customFormat="false" ht="15" hidden="false" customHeight="false" outlineLevel="0" collapsed="false">
      <c r="A2672" s="0" t="n">
        <v>894</v>
      </c>
      <c r="B2672" s="0" t="s">
        <v>6034</v>
      </c>
      <c r="C2672" s="0" t="s">
        <v>13331</v>
      </c>
      <c r="E2672" s="0" t="s">
        <v>79</v>
      </c>
      <c r="F2672" s="0" t="s">
        <v>13332</v>
      </c>
    </row>
    <row r="2673" customFormat="false" ht="15" hidden="false" customHeight="false" outlineLevel="0" collapsed="false">
      <c r="A2673" s="0" t="n">
        <v>896</v>
      </c>
      <c r="B2673" s="0" t="s">
        <v>6042</v>
      </c>
      <c r="C2673" s="0" t="s">
        <v>6045</v>
      </c>
      <c r="E2673" s="0" t="s">
        <v>79</v>
      </c>
      <c r="F2673" s="0" t="s">
        <v>13333</v>
      </c>
    </row>
    <row r="2674" customFormat="false" ht="15" hidden="false" customHeight="false" outlineLevel="0" collapsed="false">
      <c r="A2674" s="0" t="n">
        <v>896</v>
      </c>
      <c r="B2674" s="0" t="s">
        <v>6042</v>
      </c>
      <c r="C2674" s="0" t="s">
        <v>6046</v>
      </c>
      <c r="E2674" s="0" t="s">
        <v>79</v>
      </c>
      <c r="F2674" s="0" t="s">
        <v>13334</v>
      </c>
    </row>
    <row r="2675" customFormat="false" ht="15" hidden="false" customHeight="false" outlineLevel="0" collapsed="false">
      <c r="A2675" s="0" t="n">
        <v>896</v>
      </c>
      <c r="B2675" s="0" t="s">
        <v>6042</v>
      </c>
      <c r="C2675" s="0" t="s">
        <v>6047</v>
      </c>
      <c r="E2675" s="0" t="s">
        <v>79</v>
      </c>
      <c r="F2675" s="0" t="s">
        <v>13335</v>
      </c>
    </row>
    <row r="2676" customFormat="false" ht="15" hidden="false" customHeight="false" outlineLevel="0" collapsed="false">
      <c r="A2676" s="0" t="n">
        <v>896</v>
      </c>
      <c r="B2676" s="0" t="s">
        <v>6042</v>
      </c>
      <c r="C2676" s="0" t="s">
        <v>13336</v>
      </c>
      <c r="E2676" s="0" t="s">
        <v>79</v>
      </c>
      <c r="F2676" s="0" t="s">
        <v>13337</v>
      </c>
    </row>
    <row r="2677" customFormat="false" ht="15" hidden="false" customHeight="false" outlineLevel="0" collapsed="false">
      <c r="A2677" s="0" t="n">
        <v>896</v>
      </c>
      <c r="B2677" s="0" t="s">
        <v>6042</v>
      </c>
      <c r="C2677" s="0" t="s">
        <v>13338</v>
      </c>
      <c r="E2677" s="0" t="s">
        <v>79</v>
      </c>
      <c r="F2677" s="0" t="s">
        <v>13339</v>
      </c>
    </row>
    <row r="2678" customFormat="false" ht="15" hidden="false" customHeight="false" outlineLevel="0" collapsed="false">
      <c r="A2678" s="0" t="n">
        <v>897</v>
      </c>
      <c r="B2678" s="0" t="s">
        <v>6052</v>
      </c>
      <c r="C2678" s="0" t="s">
        <v>6055</v>
      </c>
      <c r="E2678" s="0" t="s">
        <v>79</v>
      </c>
      <c r="F2678" s="0" t="s">
        <v>13340</v>
      </c>
    </row>
    <row r="2679" customFormat="false" ht="15" hidden="false" customHeight="false" outlineLevel="0" collapsed="false">
      <c r="A2679" s="0" t="n">
        <v>897</v>
      </c>
      <c r="B2679" s="0" t="s">
        <v>6052</v>
      </c>
      <c r="C2679" s="0" t="s">
        <v>6056</v>
      </c>
      <c r="E2679" s="0" t="s">
        <v>79</v>
      </c>
      <c r="F2679" s="0" t="s">
        <v>13341</v>
      </c>
    </row>
    <row r="2680" customFormat="false" ht="15" hidden="false" customHeight="false" outlineLevel="0" collapsed="false">
      <c r="A2680" s="0" t="n">
        <v>897</v>
      </c>
      <c r="B2680" s="0" t="s">
        <v>6052</v>
      </c>
      <c r="C2680" s="0" t="s">
        <v>6057</v>
      </c>
      <c r="E2680" s="0" t="s">
        <v>79</v>
      </c>
      <c r="F2680" s="0" t="s">
        <v>13342</v>
      </c>
    </row>
    <row r="2681" customFormat="false" ht="15" hidden="false" customHeight="false" outlineLevel="0" collapsed="false">
      <c r="A2681" s="0" t="n">
        <v>897</v>
      </c>
      <c r="B2681" s="0" t="s">
        <v>6052</v>
      </c>
      <c r="C2681" s="0" t="s">
        <v>13343</v>
      </c>
      <c r="E2681" s="0" t="s">
        <v>79</v>
      </c>
      <c r="F2681" s="0" t="s">
        <v>13344</v>
      </c>
    </row>
    <row r="2682" customFormat="false" ht="15" hidden="false" customHeight="false" outlineLevel="0" collapsed="false">
      <c r="A2682" s="0" t="n">
        <v>897</v>
      </c>
      <c r="B2682" s="0" t="s">
        <v>6052</v>
      </c>
      <c r="C2682" s="0" t="s">
        <v>13345</v>
      </c>
      <c r="E2682" s="0" t="s">
        <v>79</v>
      </c>
      <c r="F2682" s="0" t="s">
        <v>13346</v>
      </c>
    </row>
    <row r="2683" customFormat="false" ht="15" hidden="false" customHeight="false" outlineLevel="0" collapsed="false">
      <c r="A2683" s="0" t="n">
        <v>898</v>
      </c>
      <c r="B2683" s="0" t="s">
        <v>6062</v>
      </c>
      <c r="C2683" s="0" t="s">
        <v>6069</v>
      </c>
      <c r="D2683" s="0" t="s">
        <v>13347</v>
      </c>
      <c r="E2683" s="0" t="s">
        <v>115</v>
      </c>
    </row>
    <row r="2684" customFormat="false" ht="15" hidden="false" customHeight="false" outlineLevel="0" collapsed="false">
      <c r="A2684" s="0" t="n">
        <v>898</v>
      </c>
      <c r="B2684" s="0" t="s">
        <v>6062</v>
      </c>
      <c r="C2684" s="0" t="s">
        <v>6070</v>
      </c>
      <c r="D2684" s="0" t="s">
        <v>13348</v>
      </c>
      <c r="E2684" s="0" t="s">
        <v>115</v>
      </c>
    </row>
    <row r="2685" customFormat="false" ht="15" hidden="false" customHeight="false" outlineLevel="0" collapsed="false">
      <c r="A2685" s="0" t="n">
        <v>898</v>
      </c>
      <c r="B2685" s="0" t="s">
        <v>6062</v>
      </c>
      <c r="C2685" s="0" t="s">
        <v>6071</v>
      </c>
      <c r="D2685" s="0" t="s">
        <v>13349</v>
      </c>
      <c r="E2685" s="0" t="s">
        <v>115</v>
      </c>
    </row>
    <row r="2686" customFormat="false" ht="15" hidden="false" customHeight="false" outlineLevel="0" collapsed="false">
      <c r="A2686" s="0" t="n">
        <v>899</v>
      </c>
      <c r="B2686" s="0" t="s">
        <v>6081</v>
      </c>
      <c r="C2686" s="0" t="s">
        <v>6084</v>
      </c>
      <c r="E2686" s="0" t="s">
        <v>59</v>
      </c>
      <c r="F2686" s="0" t="s">
        <v>13350</v>
      </c>
    </row>
    <row r="2687" customFormat="false" ht="15" hidden="false" customHeight="false" outlineLevel="0" collapsed="false">
      <c r="A2687" s="0" t="n">
        <v>899</v>
      </c>
      <c r="B2687" s="0" t="s">
        <v>6081</v>
      </c>
      <c r="C2687" s="0" t="s">
        <v>6085</v>
      </c>
      <c r="E2687" s="0" t="s">
        <v>59</v>
      </c>
      <c r="F2687" s="0" t="s">
        <v>13351</v>
      </c>
    </row>
    <row r="2688" customFormat="false" ht="15" hidden="false" customHeight="false" outlineLevel="0" collapsed="false">
      <c r="A2688" s="0" t="n">
        <v>899</v>
      </c>
      <c r="B2688" s="0" t="s">
        <v>6081</v>
      </c>
      <c r="C2688" s="0" t="s">
        <v>6086</v>
      </c>
      <c r="E2688" s="0" t="s">
        <v>59</v>
      </c>
      <c r="F2688" s="0" t="s">
        <v>13352</v>
      </c>
    </row>
    <row r="2689" customFormat="false" ht="15" hidden="false" customHeight="false" outlineLevel="0" collapsed="false">
      <c r="A2689" s="0" t="n">
        <v>899</v>
      </c>
      <c r="B2689" s="0" t="s">
        <v>6081</v>
      </c>
      <c r="C2689" s="0" t="s">
        <v>13353</v>
      </c>
      <c r="E2689" s="0" t="s">
        <v>59</v>
      </c>
      <c r="F2689" s="0" t="s">
        <v>13354</v>
      </c>
    </row>
    <row r="2690" customFormat="false" ht="15" hidden="false" customHeight="false" outlineLevel="0" collapsed="false">
      <c r="A2690" s="0" t="n">
        <v>899</v>
      </c>
      <c r="B2690" s="0" t="s">
        <v>6081</v>
      </c>
      <c r="C2690" s="0" t="s">
        <v>13355</v>
      </c>
      <c r="E2690" s="0" t="s">
        <v>59</v>
      </c>
      <c r="F2690" s="0" t="s">
        <v>13356</v>
      </c>
    </row>
    <row r="2691" customFormat="false" ht="15" hidden="false" customHeight="false" outlineLevel="0" collapsed="false">
      <c r="A2691" s="0" t="n">
        <v>900</v>
      </c>
      <c r="B2691" s="0" t="s">
        <v>6087</v>
      </c>
      <c r="C2691" s="0" t="s">
        <v>6092</v>
      </c>
      <c r="D2691" s="0" t="s">
        <v>13357</v>
      </c>
      <c r="E2691" s="0" t="s">
        <v>115</v>
      </c>
    </row>
    <row r="2692" customFormat="false" ht="15" hidden="false" customHeight="false" outlineLevel="0" collapsed="false">
      <c r="A2692" s="0" t="n">
        <v>900</v>
      </c>
      <c r="B2692" s="0" t="s">
        <v>6087</v>
      </c>
      <c r="C2692" s="0" t="s">
        <v>6093</v>
      </c>
      <c r="D2692" s="0" t="s">
        <v>13358</v>
      </c>
      <c r="E2692" s="0" t="s">
        <v>115</v>
      </c>
    </row>
    <row r="2693" customFormat="false" ht="15" hidden="false" customHeight="false" outlineLevel="0" collapsed="false">
      <c r="A2693" s="0" t="n">
        <v>900</v>
      </c>
      <c r="B2693" s="0" t="s">
        <v>6087</v>
      </c>
      <c r="C2693" s="0" t="s">
        <v>6094</v>
      </c>
      <c r="D2693" s="0" t="s">
        <v>13359</v>
      </c>
      <c r="E2693" s="0" t="s">
        <v>115</v>
      </c>
    </row>
    <row r="2694" customFormat="false" ht="15" hidden="false" customHeight="false" outlineLevel="0" collapsed="false">
      <c r="A2694" s="0" t="n">
        <v>902</v>
      </c>
      <c r="B2694" s="0" t="s">
        <v>6103</v>
      </c>
      <c r="C2694" s="0" t="s">
        <v>6107</v>
      </c>
      <c r="E2694" s="0" t="s">
        <v>59</v>
      </c>
      <c r="F2694" s="0" t="s">
        <v>13360</v>
      </c>
    </row>
    <row r="2695" customFormat="false" ht="15" hidden="false" customHeight="false" outlineLevel="0" collapsed="false">
      <c r="A2695" s="0" t="n">
        <v>902</v>
      </c>
      <c r="B2695" s="0" t="s">
        <v>6103</v>
      </c>
      <c r="C2695" s="0" t="s">
        <v>6108</v>
      </c>
      <c r="E2695" s="0" t="s">
        <v>59</v>
      </c>
      <c r="F2695" s="0" t="s">
        <v>13361</v>
      </c>
    </row>
    <row r="2696" customFormat="false" ht="15" hidden="false" customHeight="false" outlineLevel="0" collapsed="false">
      <c r="A2696" s="0" t="n">
        <v>902</v>
      </c>
      <c r="B2696" s="0" t="s">
        <v>6103</v>
      </c>
      <c r="C2696" s="0" t="s">
        <v>6109</v>
      </c>
      <c r="E2696" s="0" t="s">
        <v>59</v>
      </c>
      <c r="F2696" s="0" t="s">
        <v>13362</v>
      </c>
    </row>
    <row r="2697" customFormat="false" ht="15" hidden="false" customHeight="false" outlineLevel="0" collapsed="false">
      <c r="A2697" s="0" t="n">
        <v>902</v>
      </c>
      <c r="B2697" s="0" t="s">
        <v>6103</v>
      </c>
      <c r="C2697" s="0" t="s">
        <v>13363</v>
      </c>
      <c r="E2697" s="0" t="s">
        <v>59</v>
      </c>
      <c r="F2697" s="0" t="s">
        <v>13364</v>
      </c>
    </row>
    <row r="2698" customFormat="false" ht="15" hidden="false" customHeight="false" outlineLevel="0" collapsed="false">
      <c r="A2698" s="0" t="n">
        <v>902</v>
      </c>
      <c r="B2698" s="0" t="s">
        <v>6103</v>
      </c>
      <c r="C2698" s="0" t="s">
        <v>13365</v>
      </c>
      <c r="E2698" s="0" t="s">
        <v>59</v>
      </c>
      <c r="F2698" s="0" t="s">
        <v>13366</v>
      </c>
    </row>
    <row r="2699" customFormat="false" ht="15" hidden="false" customHeight="false" outlineLevel="0" collapsed="false">
      <c r="A2699" s="0" t="n">
        <v>903</v>
      </c>
      <c r="B2699" s="0" t="s">
        <v>6112</v>
      </c>
      <c r="C2699" s="0" t="s">
        <v>6115</v>
      </c>
      <c r="E2699" s="0" t="s">
        <v>79</v>
      </c>
      <c r="F2699" s="0" t="s">
        <v>13367</v>
      </c>
    </row>
    <row r="2700" customFormat="false" ht="15" hidden="false" customHeight="false" outlineLevel="0" collapsed="false">
      <c r="A2700" s="0" t="n">
        <v>903</v>
      </c>
      <c r="B2700" s="0" t="s">
        <v>6112</v>
      </c>
      <c r="C2700" s="0" t="s">
        <v>6116</v>
      </c>
      <c r="E2700" s="0" t="s">
        <v>79</v>
      </c>
      <c r="F2700" s="0" t="s">
        <v>13368</v>
      </c>
    </row>
    <row r="2701" customFormat="false" ht="15" hidden="false" customHeight="false" outlineLevel="0" collapsed="false">
      <c r="A2701" s="0" t="n">
        <v>903</v>
      </c>
      <c r="B2701" s="0" t="s">
        <v>6112</v>
      </c>
      <c r="C2701" s="0" t="s">
        <v>6117</v>
      </c>
      <c r="E2701" s="0" t="s">
        <v>79</v>
      </c>
      <c r="F2701" s="0" t="s">
        <v>13369</v>
      </c>
    </row>
    <row r="2702" customFormat="false" ht="15" hidden="false" customHeight="false" outlineLevel="0" collapsed="false">
      <c r="A2702" s="0" t="n">
        <v>903</v>
      </c>
      <c r="B2702" s="0" t="s">
        <v>6112</v>
      </c>
      <c r="C2702" s="0" t="s">
        <v>13370</v>
      </c>
      <c r="E2702" s="0" t="s">
        <v>79</v>
      </c>
      <c r="F2702" s="0" t="s">
        <v>13371</v>
      </c>
    </row>
    <row r="2703" customFormat="false" ht="15" hidden="false" customHeight="false" outlineLevel="0" collapsed="false">
      <c r="A2703" s="0" t="n">
        <v>904</v>
      </c>
      <c r="B2703" s="0" t="s">
        <v>6121</v>
      </c>
      <c r="C2703" s="0" t="s">
        <v>6123</v>
      </c>
      <c r="E2703" s="0" t="s">
        <v>79</v>
      </c>
      <c r="F2703" s="0" t="s">
        <v>13372</v>
      </c>
    </row>
    <row r="2704" customFormat="false" ht="15" hidden="false" customHeight="false" outlineLevel="0" collapsed="false">
      <c r="A2704" s="0" t="n">
        <v>904</v>
      </c>
      <c r="B2704" s="0" t="s">
        <v>6121</v>
      </c>
      <c r="C2704" s="0" t="s">
        <v>6124</v>
      </c>
      <c r="E2704" s="0" t="s">
        <v>79</v>
      </c>
      <c r="F2704" s="0" t="s">
        <v>13373</v>
      </c>
    </row>
    <row r="2705" customFormat="false" ht="15" hidden="false" customHeight="false" outlineLevel="0" collapsed="false">
      <c r="A2705" s="0" t="n">
        <v>904</v>
      </c>
      <c r="B2705" s="0" t="s">
        <v>6121</v>
      </c>
      <c r="C2705" s="0" t="s">
        <v>6125</v>
      </c>
      <c r="E2705" s="0" t="s">
        <v>79</v>
      </c>
      <c r="F2705" s="0" t="s">
        <v>13374</v>
      </c>
    </row>
    <row r="2706" customFormat="false" ht="15" hidden="false" customHeight="false" outlineLevel="0" collapsed="false">
      <c r="A2706" s="0" t="n">
        <v>904</v>
      </c>
      <c r="B2706" s="0" t="s">
        <v>6121</v>
      </c>
      <c r="C2706" s="0" t="s">
        <v>13375</v>
      </c>
      <c r="E2706" s="0" t="s">
        <v>79</v>
      </c>
      <c r="F2706" s="0" t="s">
        <v>13376</v>
      </c>
    </row>
    <row r="2707" customFormat="false" ht="15" hidden="false" customHeight="false" outlineLevel="0" collapsed="false">
      <c r="A2707" s="0" t="n">
        <v>904</v>
      </c>
      <c r="B2707" s="0" t="s">
        <v>6121</v>
      </c>
      <c r="C2707" s="0" t="s">
        <v>13377</v>
      </c>
      <c r="E2707" s="0" t="s">
        <v>79</v>
      </c>
      <c r="F2707" s="0" t="s">
        <v>13378</v>
      </c>
    </row>
    <row r="2708" customFormat="false" ht="15" hidden="false" customHeight="false" outlineLevel="0" collapsed="false">
      <c r="A2708" s="0" t="n">
        <v>905</v>
      </c>
      <c r="B2708" s="0" t="s">
        <v>6126</v>
      </c>
      <c r="C2708" s="0" t="s">
        <v>6129</v>
      </c>
      <c r="E2708" s="0" t="s">
        <v>59</v>
      </c>
      <c r="F2708" s="0" t="s">
        <v>13379</v>
      </c>
    </row>
    <row r="2709" customFormat="false" ht="15" hidden="false" customHeight="false" outlineLevel="0" collapsed="false">
      <c r="A2709" s="0" t="n">
        <v>905</v>
      </c>
      <c r="B2709" s="0" t="s">
        <v>6126</v>
      </c>
      <c r="C2709" s="0" t="s">
        <v>6130</v>
      </c>
      <c r="E2709" s="0" t="s">
        <v>59</v>
      </c>
      <c r="F2709" s="0" t="s">
        <v>13380</v>
      </c>
    </row>
    <row r="2710" customFormat="false" ht="15" hidden="false" customHeight="false" outlineLevel="0" collapsed="false">
      <c r="A2710" s="0" t="n">
        <v>905</v>
      </c>
      <c r="B2710" s="0" t="s">
        <v>6126</v>
      </c>
      <c r="C2710" s="0" t="s">
        <v>6131</v>
      </c>
      <c r="E2710" s="0" t="s">
        <v>59</v>
      </c>
      <c r="F2710" s="0" t="s">
        <v>13381</v>
      </c>
    </row>
    <row r="2711" customFormat="false" ht="15" hidden="false" customHeight="false" outlineLevel="0" collapsed="false">
      <c r="A2711" s="0" t="n">
        <v>905</v>
      </c>
      <c r="B2711" s="0" t="s">
        <v>6126</v>
      </c>
      <c r="C2711" s="0" t="s">
        <v>13382</v>
      </c>
      <c r="E2711" s="0" t="s">
        <v>59</v>
      </c>
      <c r="F2711" s="0" t="s">
        <v>13383</v>
      </c>
    </row>
    <row r="2712" customFormat="false" ht="15" hidden="false" customHeight="false" outlineLevel="0" collapsed="false">
      <c r="A2712" s="0" t="n">
        <v>905</v>
      </c>
      <c r="B2712" s="0" t="s">
        <v>6126</v>
      </c>
      <c r="C2712" s="0" t="s">
        <v>13384</v>
      </c>
      <c r="E2712" s="0" t="s">
        <v>59</v>
      </c>
      <c r="F2712" s="0" t="s">
        <v>13385</v>
      </c>
    </row>
    <row r="2713" customFormat="false" ht="15" hidden="false" customHeight="false" outlineLevel="0" collapsed="false">
      <c r="A2713" s="0" t="n">
        <v>908</v>
      </c>
      <c r="B2713" s="0" t="s">
        <v>6146</v>
      </c>
      <c r="C2713" s="0" t="s">
        <v>6148</v>
      </c>
      <c r="E2713" s="0" t="s">
        <v>79</v>
      </c>
      <c r="F2713" s="0" t="s">
        <v>13386</v>
      </c>
    </row>
    <row r="2714" customFormat="false" ht="15" hidden="false" customHeight="false" outlineLevel="0" collapsed="false">
      <c r="A2714" s="0" t="n">
        <v>908</v>
      </c>
      <c r="B2714" s="0" t="s">
        <v>6146</v>
      </c>
      <c r="C2714" s="0" t="s">
        <v>6149</v>
      </c>
      <c r="E2714" s="0" t="s">
        <v>79</v>
      </c>
      <c r="F2714" s="0" t="s">
        <v>13387</v>
      </c>
    </row>
    <row r="2715" customFormat="false" ht="15" hidden="false" customHeight="false" outlineLevel="0" collapsed="false">
      <c r="A2715" s="0" t="n">
        <v>908</v>
      </c>
      <c r="B2715" s="0" t="s">
        <v>6146</v>
      </c>
      <c r="C2715" s="0" t="s">
        <v>6150</v>
      </c>
      <c r="E2715" s="0" t="s">
        <v>79</v>
      </c>
      <c r="F2715" s="0" t="s">
        <v>13388</v>
      </c>
    </row>
    <row r="2716" customFormat="false" ht="15" hidden="false" customHeight="false" outlineLevel="0" collapsed="false">
      <c r="A2716" s="0" t="n">
        <v>908</v>
      </c>
      <c r="B2716" s="0" t="s">
        <v>6146</v>
      </c>
      <c r="C2716" s="0" t="s">
        <v>13389</v>
      </c>
      <c r="E2716" s="0" t="s">
        <v>79</v>
      </c>
      <c r="F2716" s="0" t="s">
        <v>13390</v>
      </c>
    </row>
    <row r="2717" customFormat="false" ht="15" hidden="false" customHeight="false" outlineLevel="0" collapsed="false">
      <c r="A2717" s="0" t="n">
        <v>908</v>
      </c>
      <c r="B2717" s="0" t="s">
        <v>6146</v>
      </c>
      <c r="C2717" s="0" t="s">
        <v>13391</v>
      </c>
      <c r="E2717" s="0" t="s">
        <v>79</v>
      </c>
      <c r="F2717" s="0" t="s">
        <v>13392</v>
      </c>
    </row>
    <row r="2718" customFormat="false" ht="15" hidden="false" customHeight="false" outlineLevel="0" collapsed="false">
      <c r="A2718" s="0" t="n">
        <v>909</v>
      </c>
      <c r="B2718" s="0" t="s">
        <v>6151</v>
      </c>
      <c r="C2718" s="0" t="s">
        <v>6154</v>
      </c>
      <c r="E2718" s="0" t="s">
        <v>79</v>
      </c>
      <c r="F2718" s="0" t="s">
        <v>13393</v>
      </c>
    </row>
    <row r="2719" customFormat="false" ht="15" hidden="false" customHeight="false" outlineLevel="0" collapsed="false">
      <c r="A2719" s="0" t="n">
        <v>909</v>
      </c>
      <c r="B2719" s="0" t="s">
        <v>6151</v>
      </c>
      <c r="C2719" s="0" t="s">
        <v>6155</v>
      </c>
      <c r="E2719" s="0" t="s">
        <v>79</v>
      </c>
      <c r="F2719" s="0" t="s">
        <v>13394</v>
      </c>
    </row>
    <row r="2720" customFormat="false" ht="15" hidden="false" customHeight="false" outlineLevel="0" collapsed="false">
      <c r="A2720" s="0" t="n">
        <v>909</v>
      </c>
      <c r="B2720" s="0" t="s">
        <v>6151</v>
      </c>
      <c r="C2720" s="0" t="s">
        <v>6156</v>
      </c>
      <c r="E2720" s="0" t="s">
        <v>79</v>
      </c>
      <c r="F2720" s="0" t="s">
        <v>13395</v>
      </c>
    </row>
    <row r="2721" customFormat="false" ht="15" hidden="false" customHeight="false" outlineLevel="0" collapsed="false">
      <c r="A2721" s="0" t="n">
        <v>909</v>
      </c>
      <c r="B2721" s="0" t="s">
        <v>6151</v>
      </c>
      <c r="C2721" s="0" t="s">
        <v>13396</v>
      </c>
      <c r="E2721" s="0" t="s">
        <v>79</v>
      </c>
      <c r="F2721" s="0" t="s">
        <v>13397</v>
      </c>
    </row>
    <row r="2722" customFormat="false" ht="15" hidden="false" customHeight="false" outlineLevel="0" collapsed="false">
      <c r="A2722" s="0" t="n">
        <v>909</v>
      </c>
      <c r="B2722" s="0" t="s">
        <v>6151</v>
      </c>
      <c r="C2722" s="0" t="s">
        <v>13398</v>
      </c>
      <c r="E2722" s="0" t="s">
        <v>79</v>
      </c>
      <c r="F2722" s="0" t="s">
        <v>13399</v>
      </c>
    </row>
    <row r="2723" customFormat="false" ht="15" hidden="false" customHeight="false" outlineLevel="0" collapsed="false">
      <c r="A2723" s="0" t="n">
        <v>910</v>
      </c>
      <c r="B2723" s="0" t="s">
        <v>6157</v>
      </c>
      <c r="C2723" s="0" t="s">
        <v>6159</v>
      </c>
      <c r="E2723" s="0" t="s">
        <v>79</v>
      </c>
      <c r="F2723" s="0" t="s">
        <v>13400</v>
      </c>
    </row>
    <row r="2724" customFormat="false" ht="15" hidden="false" customHeight="false" outlineLevel="0" collapsed="false">
      <c r="A2724" s="0" t="n">
        <v>910</v>
      </c>
      <c r="B2724" s="0" t="s">
        <v>6157</v>
      </c>
      <c r="C2724" s="0" t="s">
        <v>6160</v>
      </c>
      <c r="E2724" s="0" t="s">
        <v>79</v>
      </c>
      <c r="F2724" s="0" t="s">
        <v>13401</v>
      </c>
    </row>
    <row r="2725" customFormat="false" ht="15" hidden="false" customHeight="false" outlineLevel="0" collapsed="false">
      <c r="A2725" s="0" t="n">
        <v>910</v>
      </c>
      <c r="B2725" s="0" t="s">
        <v>6157</v>
      </c>
      <c r="C2725" s="0" t="s">
        <v>6161</v>
      </c>
      <c r="E2725" s="0" t="s">
        <v>79</v>
      </c>
      <c r="F2725" s="0" t="s">
        <v>13402</v>
      </c>
    </row>
    <row r="2726" customFormat="false" ht="15" hidden="false" customHeight="false" outlineLevel="0" collapsed="false">
      <c r="A2726" s="0" t="n">
        <v>910</v>
      </c>
      <c r="B2726" s="0" t="s">
        <v>6157</v>
      </c>
      <c r="C2726" s="0" t="s">
        <v>13403</v>
      </c>
      <c r="E2726" s="0" t="s">
        <v>79</v>
      </c>
      <c r="F2726" s="0" t="s">
        <v>13404</v>
      </c>
    </row>
    <row r="2727" customFormat="false" ht="15" hidden="false" customHeight="false" outlineLevel="0" collapsed="false">
      <c r="A2727" s="0" t="n">
        <v>910</v>
      </c>
      <c r="B2727" s="0" t="s">
        <v>6157</v>
      </c>
      <c r="C2727" s="0" t="s">
        <v>13405</v>
      </c>
      <c r="E2727" s="0" t="s">
        <v>79</v>
      </c>
      <c r="F2727" s="0" t="s">
        <v>13406</v>
      </c>
    </row>
    <row r="2728" customFormat="false" ht="15" hidden="false" customHeight="false" outlineLevel="0" collapsed="false">
      <c r="A2728" s="0" t="n">
        <v>913</v>
      </c>
      <c r="B2728" s="0" t="s">
        <v>6171</v>
      </c>
      <c r="C2728" s="0" t="s">
        <v>6174</v>
      </c>
      <c r="E2728" s="0" t="s">
        <v>79</v>
      </c>
      <c r="F2728" s="0" t="s">
        <v>13407</v>
      </c>
    </row>
    <row r="2729" customFormat="false" ht="15" hidden="false" customHeight="false" outlineLevel="0" collapsed="false">
      <c r="A2729" s="0" t="n">
        <v>913</v>
      </c>
      <c r="B2729" s="0" t="s">
        <v>6171</v>
      </c>
      <c r="C2729" s="0" t="s">
        <v>6175</v>
      </c>
      <c r="E2729" s="0" t="s">
        <v>79</v>
      </c>
      <c r="F2729" s="0" t="s">
        <v>13408</v>
      </c>
    </row>
    <row r="2730" customFormat="false" ht="15" hidden="false" customHeight="false" outlineLevel="0" collapsed="false">
      <c r="A2730" s="0" t="n">
        <v>913</v>
      </c>
      <c r="B2730" s="0" t="s">
        <v>6171</v>
      </c>
      <c r="C2730" s="0" t="s">
        <v>6176</v>
      </c>
      <c r="E2730" s="0" t="s">
        <v>79</v>
      </c>
      <c r="F2730" s="0" t="s">
        <v>13409</v>
      </c>
    </row>
    <row r="2731" customFormat="false" ht="15" hidden="false" customHeight="false" outlineLevel="0" collapsed="false">
      <c r="A2731" s="0" t="n">
        <v>913</v>
      </c>
      <c r="B2731" s="0" t="s">
        <v>6171</v>
      </c>
      <c r="C2731" s="0" t="s">
        <v>13410</v>
      </c>
      <c r="E2731" s="0" t="s">
        <v>79</v>
      </c>
      <c r="F2731" s="0" t="s">
        <v>13411</v>
      </c>
    </row>
    <row r="2732" customFormat="false" ht="15" hidden="false" customHeight="false" outlineLevel="0" collapsed="false">
      <c r="A2732" s="0" t="n">
        <v>913</v>
      </c>
      <c r="B2732" s="0" t="s">
        <v>6171</v>
      </c>
      <c r="C2732" s="0" t="s">
        <v>13412</v>
      </c>
      <c r="E2732" s="0" t="s">
        <v>79</v>
      </c>
      <c r="F2732" s="0" t="s">
        <v>13413</v>
      </c>
    </row>
    <row r="2733" customFormat="false" ht="15" hidden="false" customHeight="false" outlineLevel="0" collapsed="false">
      <c r="A2733" s="0" t="n">
        <v>914</v>
      </c>
      <c r="B2733" s="0" t="s">
        <v>6181</v>
      </c>
      <c r="C2733" s="0" t="s">
        <v>6183</v>
      </c>
      <c r="E2733" s="0" t="s">
        <v>79</v>
      </c>
      <c r="F2733" s="0" t="s">
        <v>13414</v>
      </c>
    </row>
    <row r="2734" customFormat="false" ht="15" hidden="false" customHeight="false" outlineLevel="0" collapsed="false">
      <c r="A2734" s="0" t="n">
        <v>914</v>
      </c>
      <c r="B2734" s="0" t="s">
        <v>6181</v>
      </c>
      <c r="C2734" s="0" t="s">
        <v>6184</v>
      </c>
      <c r="E2734" s="0" t="s">
        <v>79</v>
      </c>
      <c r="F2734" s="0" t="s">
        <v>13415</v>
      </c>
    </row>
    <row r="2735" customFormat="false" ht="15" hidden="false" customHeight="false" outlineLevel="0" collapsed="false">
      <c r="A2735" s="0" t="n">
        <v>914</v>
      </c>
      <c r="B2735" s="0" t="s">
        <v>6181</v>
      </c>
      <c r="C2735" s="0" t="s">
        <v>6185</v>
      </c>
      <c r="E2735" s="0" t="s">
        <v>79</v>
      </c>
      <c r="F2735" s="0" t="s">
        <v>13416</v>
      </c>
    </row>
    <row r="2736" customFormat="false" ht="15" hidden="false" customHeight="false" outlineLevel="0" collapsed="false">
      <c r="A2736" s="0" t="n">
        <v>914</v>
      </c>
      <c r="B2736" s="0" t="s">
        <v>6181</v>
      </c>
      <c r="C2736" s="0" t="s">
        <v>13417</v>
      </c>
      <c r="E2736" s="0" t="s">
        <v>79</v>
      </c>
      <c r="F2736" s="0" t="s">
        <v>13418</v>
      </c>
    </row>
    <row r="2737" customFormat="false" ht="15" hidden="false" customHeight="false" outlineLevel="0" collapsed="false">
      <c r="A2737" s="0" t="n">
        <v>914</v>
      </c>
      <c r="B2737" s="0" t="s">
        <v>6181</v>
      </c>
      <c r="C2737" s="0" t="s">
        <v>13419</v>
      </c>
      <c r="E2737" s="0" t="s">
        <v>79</v>
      </c>
      <c r="F2737" s="0" t="s">
        <v>13420</v>
      </c>
    </row>
    <row r="2738" customFormat="false" ht="15" hidden="false" customHeight="false" outlineLevel="0" collapsed="false">
      <c r="A2738" s="0" t="n">
        <v>915</v>
      </c>
      <c r="B2738" s="0" t="s">
        <v>6186</v>
      </c>
      <c r="C2738" s="0" t="s">
        <v>6190</v>
      </c>
      <c r="D2738" s="0" t="s">
        <v>13421</v>
      </c>
      <c r="E2738" s="0" t="s">
        <v>115</v>
      </c>
    </row>
    <row r="2739" customFormat="false" ht="15" hidden="false" customHeight="false" outlineLevel="0" collapsed="false">
      <c r="A2739" s="0" t="n">
        <v>915</v>
      </c>
      <c r="B2739" s="0" t="s">
        <v>6186</v>
      </c>
      <c r="C2739" s="0" t="s">
        <v>6191</v>
      </c>
      <c r="D2739" s="0" t="s">
        <v>13422</v>
      </c>
      <c r="E2739" s="0" t="s">
        <v>115</v>
      </c>
    </row>
    <row r="2740" customFormat="false" ht="15" hidden="false" customHeight="false" outlineLevel="0" collapsed="false">
      <c r="A2740" s="0" t="n">
        <v>915</v>
      </c>
      <c r="B2740" s="0" t="s">
        <v>6186</v>
      </c>
      <c r="C2740" s="0" t="s">
        <v>6192</v>
      </c>
      <c r="D2740" s="0" t="s">
        <v>13423</v>
      </c>
      <c r="E2740" s="0" t="s">
        <v>115</v>
      </c>
    </row>
    <row r="2741" customFormat="false" ht="15" hidden="false" customHeight="false" outlineLevel="0" collapsed="false">
      <c r="A2741" s="0" t="n">
        <v>916</v>
      </c>
      <c r="B2741" s="0" t="s">
        <v>6199</v>
      </c>
      <c r="C2741" s="0" t="s">
        <v>6202</v>
      </c>
      <c r="E2741" s="0" t="s">
        <v>79</v>
      </c>
      <c r="F2741" s="0" t="s">
        <v>13424</v>
      </c>
    </row>
    <row r="2742" customFormat="false" ht="15" hidden="false" customHeight="false" outlineLevel="0" collapsed="false">
      <c r="A2742" s="0" t="n">
        <v>916</v>
      </c>
      <c r="B2742" s="0" t="s">
        <v>6199</v>
      </c>
      <c r="C2742" s="0" t="s">
        <v>6203</v>
      </c>
      <c r="E2742" s="0" t="s">
        <v>79</v>
      </c>
      <c r="F2742" s="0" t="s">
        <v>13425</v>
      </c>
    </row>
    <row r="2743" customFormat="false" ht="15" hidden="false" customHeight="false" outlineLevel="0" collapsed="false">
      <c r="A2743" s="0" t="n">
        <v>916</v>
      </c>
      <c r="B2743" s="0" t="s">
        <v>6199</v>
      </c>
      <c r="C2743" s="0" t="s">
        <v>6204</v>
      </c>
      <c r="E2743" s="0" t="s">
        <v>79</v>
      </c>
      <c r="F2743" s="0" t="s">
        <v>13426</v>
      </c>
    </row>
    <row r="2744" customFormat="false" ht="15" hidden="false" customHeight="false" outlineLevel="0" collapsed="false">
      <c r="A2744" s="0" t="n">
        <v>916</v>
      </c>
      <c r="B2744" s="0" t="s">
        <v>6199</v>
      </c>
      <c r="C2744" s="0" t="s">
        <v>13427</v>
      </c>
      <c r="E2744" s="0" t="s">
        <v>79</v>
      </c>
      <c r="F2744" s="0" t="s">
        <v>13428</v>
      </c>
    </row>
    <row r="2745" customFormat="false" ht="15" hidden="false" customHeight="false" outlineLevel="0" collapsed="false">
      <c r="A2745" s="0" t="n">
        <v>916</v>
      </c>
      <c r="B2745" s="0" t="s">
        <v>6199</v>
      </c>
      <c r="C2745" s="0" t="s">
        <v>13429</v>
      </c>
      <c r="E2745" s="0" t="s">
        <v>79</v>
      </c>
      <c r="F2745" s="0" t="s">
        <v>13430</v>
      </c>
    </row>
    <row r="2746" customFormat="false" ht="15" hidden="false" customHeight="false" outlineLevel="0" collapsed="false">
      <c r="A2746" s="0" t="n">
        <v>917</v>
      </c>
      <c r="B2746" s="0" t="s">
        <v>6207</v>
      </c>
      <c r="C2746" s="0" t="s">
        <v>6210</v>
      </c>
      <c r="E2746" s="0" t="s">
        <v>79</v>
      </c>
      <c r="F2746" s="0" t="s">
        <v>13431</v>
      </c>
    </row>
    <row r="2747" customFormat="false" ht="15" hidden="false" customHeight="false" outlineLevel="0" collapsed="false">
      <c r="A2747" s="0" t="n">
        <v>917</v>
      </c>
      <c r="B2747" s="0" t="s">
        <v>6207</v>
      </c>
      <c r="C2747" s="0" t="s">
        <v>6211</v>
      </c>
      <c r="E2747" s="0" t="s">
        <v>79</v>
      </c>
      <c r="F2747" s="0" t="s">
        <v>13432</v>
      </c>
    </row>
    <row r="2748" customFormat="false" ht="15" hidden="false" customHeight="false" outlineLevel="0" collapsed="false">
      <c r="A2748" s="0" t="n">
        <v>917</v>
      </c>
      <c r="B2748" s="0" t="s">
        <v>6207</v>
      </c>
      <c r="C2748" s="0" t="s">
        <v>6212</v>
      </c>
      <c r="E2748" s="0" t="s">
        <v>79</v>
      </c>
      <c r="F2748" s="0" t="s">
        <v>13433</v>
      </c>
    </row>
    <row r="2749" customFormat="false" ht="15" hidden="false" customHeight="false" outlineLevel="0" collapsed="false">
      <c r="A2749" s="0" t="n">
        <v>917</v>
      </c>
      <c r="B2749" s="0" t="s">
        <v>6207</v>
      </c>
      <c r="C2749" s="0" t="s">
        <v>13434</v>
      </c>
      <c r="E2749" s="0" t="s">
        <v>79</v>
      </c>
      <c r="F2749" s="0" t="s">
        <v>13435</v>
      </c>
    </row>
    <row r="2750" customFormat="false" ht="15" hidden="false" customHeight="false" outlineLevel="0" collapsed="false">
      <c r="A2750" s="0" t="n">
        <v>917</v>
      </c>
      <c r="B2750" s="0" t="s">
        <v>6207</v>
      </c>
      <c r="C2750" s="0" t="s">
        <v>13436</v>
      </c>
      <c r="E2750" s="0" t="s">
        <v>79</v>
      </c>
      <c r="F2750" s="0" t="s">
        <v>13437</v>
      </c>
    </row>
    <row r="2751" customFormat="false" ht="15" hidden="false" customHeight="false" outlineLevel="0" collapsed="false">
      <c r="A2751" s="0" t="n">
        <v>919</v>
      </c>
      <c r="B2751" s="0" t="s">
        <v>6223</v>
      </c>
      <c r="C2751" s="0" t="s">
        <v>6226</v>
      </c>
      <c r="E2751" s="0" t="s">
        <v>79</v>
      </c>
      <c r="F2751" s="0" t="s">
        <v>13438</v>
      </c>
    </row>
    <row r="2752" customFormat="false" ht="15" hidden="false" customHeight="false" outlineLevel="0" collapsed="false">
      <c r="A2752" s="0" t="n">
        <v>919</v>
      </c>
      <c r="B2752" s="0" t="s">
        <v>6223</v>
      </c>
      <c r="C2752" s="0" t="s">
        <v>6227</v>
      </c>
      <c r="E2752" s="0" t="s">
        <v>79</v>
      </c>
      <c r="F2752" s="0" t="s">
        <v>13439</v>
      </c>
    </row>
    <row r="2753" customFormat="false" ht="15" hidden="false" customHeight="false" outlineLevel="0" collapsed="false">
      <c r="A2753" s="0" t="n">
        <v>919</v>
      </c>
      <c r="B2753" s="0" t="s">
        <v>6223</v>
      </c>
      <c r="C2753" s="0" t="s">
        <v>6228</v>
      </c>
      <c r="E2753" s="0" t="s">
        <v>79</v>
      </c>
      <c r="F2753" s="0" t="s">
        <v>13440</v>
      </c>
    </row>
    <row r="2754" customFormat="false" ht="15" hidden="false" customHeight="false" outlineLevel="0" collapsed="false">
      <c r="A2754" s="0" t="n">
        <v>920</v>
      </c>
      <c r="B2754" s="0" t="s">
        <v>6233</v>
      </c>
      <c r="C2754" s="0" t="s">
        <v>6235</v>
      </c>
      <c r="E2754" s="0" t="s">
        <v>79</v>
      </c>
      <c r="F2754" s="0" t="s">
        <v>13441</v>
      </c>
    </row>
    <row r="2755" customFormat="false" ht="15" hidden="false" customHeight="false" outlineLevel="0" collapsed="false">
      <c r="A2755" s="0" t="n">
        <v>920</v>
      </c>
      <c r="B2755" s="0" t="s">
        <v>6233</v>
      </c>
      <c r="C2755" s="0" t="s">
        <v>6236</v>
      </c>
      <c r="E2755" s="0" t="s">
        <v>79</v>
      </c>
      <c r="F2755" s="0" t="s">
        <v>13442</v>
      </c>
    </row>
    <row r="2756" customFormat="false" ht="15" hidden="false" customHeight="false" outlineLevel="0" collapsed="false">
      <c r="A2756" s="0" t="n">
        <v>921</v>
      </c>
      <c r="B2756" s="0" t="s">
        <v>6237</v>
      </c>
      <c r="C2756" s="0" t="s">
        <v>6239</v>
      </c>
      <c r="E2756" s="0" t="s">
        <v>59</v>
      </c>
      <c r="F2756" s="0" t="s">
        <v>13443</v>
      </c>
    </row>
    <row r="2757" customFormat="false" ht="15" hidden="false" customHeight="false" outlineLevel="0" collapsed="false">
      <c r="A2757" s="0" t="n">
        <v>921</v>
      </c>
      <c r="B2757" s="0" t="s">
        <v>6237</v>
      </c>
      <c r="C2757" s="0" t="s">
        <v>6240</v>
      </c>
      <c r="E2757" s="0" t="s">
        <v>59</v>
      </c>
      <c r="F2757" s="0" t="s">
        <v>13444</v>
      </c>
    </row>
    <row r="2758" customFormat="false" ht="15" hidden="false" customHeight="false" outlineLevel="0" collapsed="false">
      <c r="A2758" s="0" t="n">
        <v>921</v>
      </c>
      <c r="B2758" s="0" t="s">
        <v>6237</v>
      </c>
      <c r="C2758" s="0" t="s">
        <v>6241</v>
      </c>
      <c r="E2758" s="0" t="s">
        <v>59</v>
      </c>
      <c r="F2758" s="0" t="s">
        <v>13445</v>
      </c>
    </row>
    <row r="2759" customFormat="false" ht="15" hidden="false" customHeight="false" outlineLevel="0" collapsed="false">
      <c r="A2759" s="0" t="n">
        <v>921</v>
      </c>
      <c r="B2759" s="0" t="s">
        <v>6237</v>
      </c>
      <c r="C2759" s="0" t="s">
        <v>13446</v>
      </c>
      <c r="E2759" s="0" t="s">
        <v>59</v>
      </c>
      <c r="F2759" s="0" t="s">
        <v>13447</v>
      </c>
    </row>
    <row r="2760" customFormat="false" ht="15" hidden="false" customHeight="false" outlineLevel="0" collapsed="false">
      <c r="A2760" s="0" t="n">
        <v>921</v>
      </c>
      <c r="B2760" s="0" t="s">
        <v>6237</v>
      </c>
      <c r="C2760" s="0" t="s">
        <v>13448</v>
      </c>
      <c r="E2760" s="0" t="s">
        <v>59</v>
      </c>
      <c r="F2760" s="0" t="s">
        <v>13449</v>
      </c>
    </row>
    <row r="2761" customFormat="false" ht="15" hidden="false" customHeight="false" outlineLevel="0" collapsed="false">
      <c r="A2761" s="0" t="n">
        <v>923</v>
      </c>
      <c r="B2761" s="0" t="s">
        <v>6244</v>
      </c>
      <c r="C2761" s="0" t="s">
        <v>6248</v>
      </c>
      <c r="E2761" s="0" t="s">
        <v>59</v>
      </c>
      <c r="F2761" s="0" t="s">
        <v>13450</v>
      </c>
    </row>
    <row r="2762" customFormat="false" ht="15" hidden="false" customHeight="false" outlineLevel="0" collapsed="false">
      <c r="A2762" s="0" t="n">
        <v>923</v>
      </c>
      <c r="B2762" s="0" t="s">
        <v>6244</v>
      </c>
      <c r="C2762" s="0" t="s">
        <v>6249</v>
      </c>
      <c r="E2762" s="0" t="s">
        <v>59</v>
      </c>
      <c r="F2762" s="0" t="s">
        <v>13451</v>
      </c>
    </row>
    <row r="2763" customFormat="false" ht="15" hidden="false" customHeight="false" outlineLevel="0" collapsed="false">
      <c r="A2763" s="0" t="n">
        <v>923</v>
      </c>
      <c r="B2763" s="0" t="s">
        <v>6244</v>
      </c>
      <c r="C2763" s="0" t="s">
        <v>6250</v>
      </c>
      <c r="E2763" s="0" t="s">
        <v>59</v>
      </c>
      <c r="F2763" s="0" t="s">
        <v>13452</v>
      </c>
    </row>
    <row r="2764" customFormat="false" ht="15" hidden="false" customHeight="false" outlineLevel="0" collapsed="false">
      <c r="A2764" s="0" t="n">
        <v>923</v>
      </c>
      <c r="B2764" s="0" t="s">
        <v>6244</v>
      </c>
      <c r="C2764" s="0" t="s">
        <v>13453</v>
      </c>
      <c r="E2764" s="0" t="s">
        <v>59</v>
      </c>
      <c r="F2764" s="0" t="s">
        <v>13454</v>
      </c>
    </row>
    <row r="2765" customFormat="false" ht="15" hidden="false" customHeight="false" outlineLevel="0" collapsed="false">
      <c r="A2765" s="0" t="n">
        <v>923</v>
      </c>
      <c r="B2765" s="0" t="s">
        <v>6244</v>
      </c>
      <c r="C2765" s="0" t="s">
        <v>13455</v>
      </c>
      <c r="E2765" s="0" t="s">
        <v>59</v>
      </c>
      <c r="F2765" s="0" t="s">
        <v>13456</v>
      </c>
    </row>
    <row r="2766" customFormat="false" ht="15" hidden="false" customHeight="false" outlineLevel="0" collapsed="false">
      <c r="A2766" s="0" t="n">
        <v>924</v>
      </c>
      <c r="B2766" s="0" t="s">
        <v>6254</v>
      </c>
      <c r="C2766" s="0" t="s">
        <v>6261</v>
      </c>
      <c r="D2766" s="0" t="s">
        <v>13457</v>
      </c>
      <c r="E2766" s="0" t="s">
        <v>115</v>
      </c>
    </row>
    <row r="2767" customFormat="false" ht="15" hidden="false" customHeight="false" outlineLevel="0" collapsed="false">
      <c r="A2767" s="0" t="n">
        <v>924</v>
      </c>
      <c r="B2767" s="0" t="s">
        <v>6254</v>
      </c>
      <c r="C2767" s="0" t="s">
        <v>6262</v>
      </c>
      <c r="D2767" s="0" t="s">
        <v>13458</v>
      </c>
      <c r="E2767" s="0" t="s">
        <v>115</v>
      </c>
    </row>
    <row r="2768" customFormat="false" ht="15" hidden="false" customHeight="false" outlineLevel="0" collapsed="false">
      <c r="A2768" s="0" t="n">
        <v>924</v>
      </c>
      <c r="B2768" s="0" t="s">
        <v>6254</v>
      </c>
      <c r="C2768" s="0" t="s">
        <v>6263</v>
      </c>
      <c r="D2768" s="0" t="s">
        <v>13459</v>
      </c>
      <c r="E2768" s="0" t="s">
        <v>115</v>
      </c>
    </row>
    <row r="2769" customFormat="false" ht="15" hidden="false" customHeight="false" outlineLevel="0" collapsed="false">
      <c r="A2769" s="0" t="n">
        <v>925</v>
      </c>
      <c r="B2769" s="0" t="s">
        <v>6273</v>
      </c>
      <c r="C2769" s="0" t="s">
        <v>6275</v>
      </c>
      <c r="E2769" s="0" t="s">
        <v>79</v>
      </c>
      <c r="F2769" s="0" t="s">
        <v>13460</v>
      </c>
    </row>
    <row r="2770" customFormat="false" ht="15" hidden="false" customHeight="false" outlineLevel="0" collapsed="false">
      <c r="A2770" s="0" t="n">
        <v>925</v>
      </c>
      <c r="B2770" s="0" t="s">
        <v>6273</v>
      </c>
      <c r="C2770" s="0" t="s">
        <v>6276</v>
      </c>
      <c r="E2770" s="0" t="s">
        <v>79</v>
      </c>
      <c r="F2770" s="0" t="s">
        <v>13461</v>
      </c>
    </row>
    <row r="2771" customFormat="false" ht="15" hidden="false" customHeight="false" outlineLevel="0" collapsed="false">
      <c r="A2771" s="0" t="n">
        <v>925</v>
      </c>
      <c r="B2771" s="0" t="s">
        <v>6273</v>
      </c>
      <c r="C2771" s="0" t="s">
        <v>6277</v>
      </c>
      <c r="E2771" s="0" t="s">
        <v>79</v>
      </c>
      <c r="F2771" s="0" t="s">
        <v>13462</v>
      </c>
    </row>
    <row r="2772" customFormat="false" ht="15" hidden="false" customHeight="false" outlineLevel="0" collapsed="false">
      <c r="A2772" s="0" t="n">
        <v>925</v>
      </c>
      <c r="B2772" s="0" t="s">
        <v>6273</v>
      </c>
      <c r="C2772" s="0" t="s">
        <v>13463</v>
      </c>
      <c r="E2772" s="0" t="s">
        <v>79</v>
      </c>
      <c r="F2772" s="0" t="s">
        <v>13464</v>
      </c>
    </row>
    <row r="2773" customFormat="false" ht="15" hidden="false" customHeight="false" outlineLevel="0" collapsed="false">
      <c r="A2773" s="0" t="n">
        <v>925</v>
      </c>
      <c r="B2773" s="0" t="s">
        <v>6273</v>
      </c>
      <c r="C2773" s="0" t="s">
        <v>13465</v>
      </c>
      <c r="E2773" s="0" t="s">
        <v>79</v>
      </c>
      <c r="F2773" s="0" t="s">
        <v>13466</v>
      </c>
    </row>
    <row r="2774" customFormat="false" ht="15" hidden="false" customHeight="false" outlineLevel="0" collapsed="false">
      <c r="A2774" s="0" t="n">
        <v>926</v>
      </c>
      <c r="B2774" s="0" t="s">
        <v>6278</v>
      </c>
      <c r="C2774" s="0" t="s">
        <v>6280</v>
      </c>
      <c r="E2774" s="0" t="s">
        <v>59</v>
      </c>
      <c r="F2774" s="0" t="s">
        <v>13467</v>
      </c>
    </row>
    <row r="2775" customFormat="false" ht="15" hidden="false" customHeight="false" outlineLevel="0" collapsed="false">
      <c r="A2775" s="0" t="n">
        <v>926</v>
      </c>
      <c r="B2775" s="0" t="s">
        <v>6278</v>
      </c>
      <c r="C2775" s="0" t="s">
        <v>6281</v>
      </c>
      <c r="E2775" s="0" t="s">
        <v>59</v>
      </c>
      <c r="F2775" s="0" t="s">
        <v>13468</v>
      </c>
    </row>
    <row r="2776" customFormat="false" ht="15" hidden="false" customHeight="false" outlineLevel="0" collapsed="false">
      <c r="A2776" s="0" t="n">
        <v>926</v>
      </c>
      <c r="B2776" s="0" t="s">
        <v>6278</v>
      </c>
      <c r="C2776" s="0" t="s">
        <v>6282</v>
      </c>
      <c r="E2776" s="0" t="s">
        <v>59</v>
      </c>
      <c r="F2776" s="0" t="s">
        <v>13469</v>
      </c>
    </row>
    <row r="2777" customFormat="false" ht="15" hidden="false" customHeight="false" outlineLevel="0" collapsed="false">
      <c r="A2777" s="0" t="n">
        <v>926</v>
      </c>
      <c r="B2777" s="0" t="s">
        <v>6278</v>
      </c>
      <c r="C2777" s="0" t="s">
        <v>13470</v>
      </c>
      <c r="E2777" s="0" t="s">
        <v>59</v>
      </c>
      <c r="F2777" s="0" t="s">
        <v>13471</v>
      </c>
    </row>
    <row r="2778" customFormat="false" ht="15" hidden="false" customHeight="false" outlineLevel="0" collapsed="false">
      <c r="A2778" s="0" t="n">
        <v>926</v>
      </c>
      <c r="B2778" s="0" t="s">
        <v>6278</v>
      </c>
      <c r="C2778" s="0" t="s">
        <v>13472</v>
      </c>
      <c r="E2778" s="0" t="s">
        <v>59</v>
      </c>
      <c r="F2778" s="0" t="s">
        <v>13473</v>
      </c>
    </row>
    <row r="2779" customFormat="false" ht="15" hidden="false" customHeight="false" outlineLevel="0" collapsed="false">
      <c r="A2779" s="0" t="n">
        <v>927</v>
      </c>
      <c r="B2779" s="0" t="s">
        <v>6283</v>
      </c>
      <c r="C2779" s="0" t="s">
        <v>6286</v>
      </c>
      <c r="E2779" s="0" t="s">
        <v>79</v>
      </c>
      <c r="F2779" s="0" t="s">
        <v>13474</v>
      </c>
    </row>
    <row r="2780" customFormat="false" ht="15" hidden="false" customHeight="false" outlineLevel="0" collapsed="false">
      <c r="A2780" s="0" t="n">
        <v>927</v>
      </c>
      <c r="B2780" s="0" t="s">
        <v>6283</v>
      </c>
      <c r="C2780" s="0" t="s">
        <v>6287</v>
      </c>
      <c r="E2780" s="0" t="s">
        <v>79</v>
      </c>
      <c r="F2780" s="0" t="s">
        <v>13475</v>
      </c>
    </row>
    <row r="2781" customFormat="false" ht="15" hidden="false" customHeight="false" outlineLevel="0" collapsed="false">
      <c r="A2781" s="0" t="n">
        <v>927</v>
      </c>
      <c r="B2781" s="0" t="s">
        <v>6283</v>
      </c>
      <c r="C2781" s="0" t="s">
        <v>6288</v>
      </c>
      <c r="E2781" s="0" t="s">
        <v>79</v>
      </c>
      <c r="F2781" s="0" t="s">
        <v>13476</v>
      </c>
    </row>
    <row r="2782" customFormat="false" ht="15" hidden="false" customHeight="false" outlineLevel="0" collapsed="false">
      <c r="A2782" s="0" t="n">
        <v>927</v>
      </c>
      <c r="B2782" s="0" t="s">
        <v>6283</v>
      </c>
      <c r="C2782" s="0" t="s">
        <v>13477</v>
      </c>
      <c r="E2782" s="0" t="s">
        <v>79</v>
      </c>
      <c r="F2782" s="0" t="s">
        <v>13478</v>
      </c>
    </row>
    <row r="2783" customFormat="false" ht="15" hidden="false" customHeight="false" outlineLevel="0" collapsed="false">
      <c r="A2783" s="0" t="n">
        <v>927</v>
      </c>
      <c r="B2783" s="0" t="s">
        <v>6283</v>
      </c>
      <c r="C2783" s="0" t="s">
        <v>13479</v>
      </c>
      <c r="E2783" s="0" t="s">
        <v>79</v>
      </c>
      <c r="F2783" s="0" t="s">
        <v>13480</v>
      </c>
    </row>
    <row r="2784" customFormat="false" ht="15" hidden="false" customHeight="false" outlineLevel="0" collapsed="false">
      <c r="A2784" s="0" t="n">
        <v>929</v>
      </c>
      <c r="B2784" s="0" t="s">
        <v>6300</v>
      </c>
      <c r="C2784" s="0" t="s">
        <v>6302</v>
      </c>
      <c r="E2784" s="0" t="s">
        <v>79</v>
      </c>
      <c r="F2784" s="0" t="s">
        <v>13481</v>
      </c>
    </row>
    <row r="2785" customFormat="false" ht="15" hidden="false" customHeight="false" outlineLevel="0" collapsed="false">
      <c r="A2785" s="0" t="n">
        <v>929</v>
      </c>
      <c r="B2785" s="0" t="s">
        <v>6300</v>
      </c>
      <c r="C2785" s="0" t="s">
        <v>6303</v>
      </c>
      <c r="E2785" s="0" t="s">
        <v>79</v>
      </c>
      <c r="F2785" s="0" t="s">
        <v>13482</v>
      </c>
    </row>
    <row r="2786" customFormat="false" ht="15" hidden="false" customHeight="false" outlineLevel="0" collapsed="false">
      <c r="A2786" s="0" t="n">
        <v>929</v>
      </c>
      <c r="B2786" s="0" t="s">
        <v>6300</v>
      </c>
      <c r="C2786" s="0" t="s">
        <v>6304</v>
      </c>
      <c r="E2786" s="0" t="s">
        <v>79</v>
      </c>
      <c r="F2786" s="0" t="s">
        <v>13483</v>
      </c>
    </row>
    <row r="2787" customFormat="false" ht="15" hidden="false" customHeight="false" outlineLevel="0" collapsed="false">
      <c r="A2787" s="0" t="n">
        <v>929</v>
      </c>
      <c r="B2787" s="0" t="s">
        <v>6300</v>
      </c>
      <c r="C2787" s="0" t="s">
        <v>13484</v>
      </c>
      <c r="E2787" s="0" t="s">
        <v>79</v>
      </c>
      <c r="F2787" s="0" t="s">
        <v>13485</v>
      </c>
    </row>
    <row r="2788" customFormat="false" ht="15" hidden="false" customHeight="false" outlineLevel="0" collapsed="false">
      <c r="A2788" s="0" t="n">
        <v>929</v>
      </c>
      <c r="B2788" s="0" t="s">
        <v>6300</v>
      </c>
      <c r="C2788" s="0" t="s">
        <v>13486</v>
      </c>
      <c r="E2788" s="0" t="s">
        <v>79</v>
      </c>
      <c r="F2788" s="0" t="s">
        <v>13487</v>
      </c>
    </row>
    <row r="2789" customFormat="false" ht="15" hidden="false" customHeight="false" outlineLevel="0" collapsed="false">
      <c r="A2789" s="0" t="n">
        <v>930</v>
      </c>
      <c r="B2789" s="0" t="s">
        <v>6305</v>
      </c>
      <c r="C2789" s="0" t="s">
        <v>6307</v>
      </c>
      <c r="E2789" s="0" t="s">
        <v>79</v>
      </c>
      <c r="F2789" s="0" t="s">
        <v>13488</v>
      </c>
    </row>
    <row r="2790" customFormat="false" ht="15" hidden="false" customHeight="false" outlineLevel="0" collapsed="false">
      <c r="A2790" s="0" t="n">
        <v>930</v>
      </c>
      <c r="B2790" s="0" t="s">
        <v>6305</v>
      </c>
      <c r="C2790" s="0" t="s">
        <v>6308</v>
      </c>
      <c r="E2790" s="0" t="s">
        <v>79</v>
      </c>
      <c r="F2790" s="0" t="s">
        <v>13489</v>
      </c>
    </row>
    <row r="2791" customFormat="false" ht="15" hidden="false" customHeight="false" outlineLevel="0" collapsed="false">
      <c r="A2791" s="0" t="n">
        <v>930</v>
      </c>
      <c r="B2791" s="0" t="s">
        <v>6305</v>
      </c>
      <c r="C2791" s="0" t="s">
        <v>6309</v>
      </c>
      <c r="E2791" s="0" t="s">
        <v>79</v>
      </c>
      <c r="F2791" s="0" t="s">
        <v>13490</v>
      </c>
    </row>
    <row r="2792" customFormat="false" ht="15" hidden="false" customHeight="false" outlineLevel="0" collapsed="false">
      <c r="A2792" s="0" t="n">
        <v>930</v>
      </c>
      <c r="B2792" s="0" t="s">
        <v>6305</v>
      </c>
      <c r="C2792" s="0" t="s">
        <v>13491</v>
      </c>
      <c r="E2792" s="0" t="s">
        <v>79</v>
      </c>
      <c r="F2792" s="0" t="s">
        <v>13492</v>
      </c>
    </row>
    <row r="2793" customFormat="false" ht="15" hidden="false" customHeight="false" outlineLevel="0" collapsed="false">
      <c r="A2793" s="0" t="n">
        <v>930</v>
      </c>
      <c r="B2793" s="0" t="s">
        <v>6305</v>
      </c>
      <c r="C2793" s="0" t="s">
        <v>13493</v>
      </c>
      <c r="E2793" s="0" t="s">
        <v>79</v>
      </c>
      <c r="F2793" s="0" t="s">
        <v>13494</v>
      </c>
    </row>
    <row r="2794" customFormat="false" ht="15" hidden="false" customHeight="false" outlineLevel="0" collapsed="false">
      <c r="A2794" s="0" t="n">
        <v>931</v>
      </c>
      <c r="B2794" s="0" t="s">
        <v>6310</v>
      </c>
      <c r="C2794" s="0" t="s">
        <v>6312</v>
      </c>
      <c r="E2794" s="0" t="s">
        <v>79</v>
      </c>
      <c r="F2794" s="0" t="s">
        <v>13495</v>
      </c>
    </row>
    <row r="2795" customFormat="false" ht="15" hidden="false" customHeight="false" outlineLevel="0" collapsed="false">
      <c r="A2795" s="0" t="n">
        <v>931</v>
      </c>
      <c r="B2795" s="0" t="s">
        <v>6310</v>
      </c>
      <c r="C2795" s="0" t="s">
        <v>6313</v>
      </c>
      <c r="E2795" s="0" t="s">
        <v>79</v>
      </c>
      <c r="F2795" s="0" t="s">
        <v>13496</v>
      </c>
    </row>
    <row r="2796" customFormat="false" ht="15" hidden="false" customHeight="false" outlineLevel="0" collapsed="false">
      <c r="A2796" s="0" t="n">
        <v>931</v>
      </c>
      <c r="B2796" s="0" t="s">
        <v>6310</v>
      </c>
      <c r="C2796" s="0" t="s">
        <v>6314</v>
      </c>
      <c r="E2796" s="0" t="s">
        <v>79</v>
      </c>
      <c r="F2796" s="0" t="s">
        <v>13497</v>
      </c>
    </row>
    <row r="2797" customFormat="false" ht="15" hidden="false" customHeight="false" outlineLevel="0" collapsed="false">
      <c r="A2797" s="0" t="n">
        <v>931</v>
      </c>
      <c r="B2797" s="0" t="s">
        <v>6310</v>
      </c>
      <c r="C2797" s="0" t="s">
        <v>13498</v>
      </c>
      <c r="E2797" s="0" t="s">
        <v>79</v>
      </c>
      <c r="F2797" s="0" t="s">
        <v>13499</v>
      </c>
    </row>
    <row r="2798" customFormat="false" ht="15" hidden="false" customHeight="false" outlineLevel="0" collapsed="false">
      <c r="A2798" s="0" t="n">
        <v>931</v>
      </c>
      <c r="B2798" s="0" t="s">
        <v>6310</v>
      </c>
      <c r="C2798" s="0" t="s">
        <v>13500</v>
      </c>
      <c r="E2798" s="0" t="s">
        <v>79</v>
      </c>
      <c r="F2798" s="0" t="s">
        <v>13501</v>
      </c>
    </row>
    <row r="2799" customFormat="false" ht="15" hidden="false" customHeight="false" outlineLevel="0" collapsed="false">
      <c r="A2799" s="0" t="n">
        <v>932</v>
      </c>
      <c r="B2799" s="0" t="s">
        <v>6318</v>
      </c>
      <c r="C2799" s="0" t="s">
        <v>6320</v>
      </c>
      <c r="E2799" s="0" t="s">
        <v>79</v>
      </c>
      <c r="F2799" s="0" t="s">
        <v>13502</v>
      </c>
    </row>
    <row r="2800" customFormat="false" ht="15" hidden="false" customHeight="false" outlineLevel="0" collapsed="false">
      <c r="A2800" s="0" t="n">
        <v>932</v>
      </c>
      <c r="B2800" s="0" t="s">
        <v>6318</v>
      </c>
      <c r="C2800" s="0" t="s">
        <v>6321</v>
      </c>
      <c r="E2800" s="0" t="s">
        <v>79</v>
      </c>
      <c r="F2800" s="0" t="s">
        <v>13503</v>
      </c>
    </row>
    <row r="2801" customFormat="false" ht="15" hidden="false" customHeight="false" outlineLevel="0" collapsed="false">
      <c r="A2801" s="0" t="n">
        <v>932</v>
      </c>
      <c r="B2801" s="0" t="s">
        <v>6318</v>
      </c>
      <c r="C2801" s="0" t="s">
        <v>6322</v>
      </c>
      <c r="E2801" s="0" t="s">
        <v>79</v>
      </c>
      <c r="F2801" s="0" t="s">
        <v>13504</v>
      </c>
    </row>
    <row r="2802" customFormat="false" ht="15" hidden="false" customHeight="false" outlineLevel="0" collapsed="false">
      <c r="A2802" s="0" t="n">
        <v>932</v>
      </c>
      <c r="B2802" s="0" t="s">
        <v>6318</v>
      </c>
      <c r="C2802" s="0" t="s">
        <v>13505</v>
      </c>
      <c r="E2802" s="0" t="s">
        <v>79</v>
      </c>
      <c r="F2802" s="0" t="s">
        <v>13506</v>
      </c>
    </row>
    <row r="2803" customFormat="false" ht="15" hidden="false" customHeight="false" outlineLevel="0" collapsed="false">
      <c r="A2803" s="0" t="n">
        <v>932</v>
      </c>
      <c r="B2803" s="0" t="s">
        <v>6318</v>
      </c>
      <c r="C2803" s="0" t="s">
        <v>13507</v>
      </c>
      <c r="E2803" s="0" t="s">
        <v>79</v>
      </c>
      <c r="F2803" s="0" t="s">
        <v>13508</v>
      </c>
    </row>
    <row r="2804" customFormat="false" ht="15" hidden="false" customHeight="false" outlineLevel="0" collapsed="false">
      <c r="A2804" s="0" t="n">
        <v>933</v>
      </c>
      <c r="B2804" s="0" t="s">
        <v>6323</v>
      </c>
      <c r="C2804" s="0" t="s">
        <v>6325</v>
      </c>
      <c r="E2804" s="0" t="s">
        <v>79</v>
      </c>
      <c r="F2804" s="0" t="s">
        <v>13509</v>
      </c>
    </row>
    <row r="2805" customFormat="false" ht="15" hidden="false" customHeight="false" outlineLevel="0" collapsed="false">
      <c r="A2805" s="0" t="n">
        <v>933</v>
      </c>
      <c r="B2805" s="0" t="s">
        <v>6323</v>
      </c>
      <c r="C2805" s="0" t="s">
        <v>6326</v>
      </c>
      <c r="E2805" s="0" t="s">
        <v>79</v>
      </c>
      <c r="F2805" s="0" t="s">
        <v>13510</v>
      </c>
    </row>
    <row r="2806" customFormat="false" ht="15" hidden="false" customHeight="false" outlineLevel="0" collapsed="false">
      <c r="A2806" s="0" t="n">
        <v>935</v>
      </c>
      <c r="B2806" s="0" t="s">
        <v>6333</v>
      </c>
      <c r="C2806" s="0" t="s">
        <v>6338</v>
      </c>
      <c r="D2806" s="0" t="s">
        <v>13511</v>
      </c>
      <c r="E2806" s="0" t="s">
        <v>115</v>
      </c>
    </row>
    <row r="2807" customFormat="false" ht="15" hidden="false" customHeight="false" outlineLevel="0" collapsed="false">
      <c r="A2807" s="0" t="n">
        <v>935</v>
      </c>
      <c r="B2807" s="0" t="s">
        <v>6333</v>
      </c>
      <c r="C2807" s="0" t="s">
        <v>6339</v>
      </c>
      <c r="D2807" s="0" t="s">
        <v>13512</v>
      </c>
      <c r="E2807" s="0" t="s">
        <v>115</v>
      </c>
    </row>
    <row r="2808" customFormat="false" ht="15" hidden="false" customHeight="false" outlineLevel="0" collapsed="false">
      <c r="A2808" s="0" t="n">
        <v>935</v>
      </c>
      <c r="B2808" s="0" t="s">
        <v>6333</v>
      </c>
      <c r="C2808" s="0" t="s">
        <v>6340</v>
      </c>
      <c r="D2808" s="0" t="s">
        <v>13513</v>
      </c>
      <c r="E2808" s="0" t="s">
        <v>115</v>
      </c>
    </row>
    <row r="2809" customFormat="false" ht="15" hidden="false" customHeight="false" outlineLevel="0" collapsed="false">
      <c r="A2809" s="0" t="n">
        <v>936</v>
      </c>
      <c r="B2809" s="0" t="s">
        <v>6349</v>
      </c>
      <c r="C2809" s="0" t="s">
        <v>6351</v>
      </c>
      <c r="E2809" s="0" t="s">
        <v>79</v>
      </c>
      <c r="F2809" s="0" t="s">
        <v>13514</v>
      </c>
    </row>
    <row r="2810" customFormat="false" ht="15" hidden="false" customHeight="false" outlineLevel="0" collapsed="false">
      <c r="A2810" s="0" t="n">
        <v>936</v>
      </c>
      <c r="B2810" s="0" t="s">
        <v>6349</v>
      </c>
      <c r="C2810" s="0" t="s">
        <v>6352</v>
      </c>
      <c r="E2810" s="0" t="s">
        <v>79</v>
      </c>
      <c r="F2810" s="0" t="s">
        <v>13515</v>
      </c>
    </row>
    <row r="2811" customFormat="false" ht="15" hidden="false" customHeight="false" outlineLevel="0" collapsed="false">
      <c r="A2811" s="0" t="n">
        <v>936</v>
      </c>
      <c r="B2811" s="0" t="s">
        <v>6349</v>
      </c>
      <c r="C2811" s="0" t="s">
        <v>6353</v>
      </c>
      <c r="E2811" s="0" t="s">
        <v>79</v>
      </c>
      <c r="F2811" s="0" t="s">
        <v>13516</v>
      </c>
    </row>
    <row r="2812" customFormat="false" ht="15" hidden="false" customHeight="false" outlineLevel="0" collapsed="false">
      <c r="A2812" s="0" t="n">
        <v>937</v>
      </c>
      <c r="B2812" s="0" t="s">
        <v>6354</v>
      </c>
      <c r="C2812" s="0" t="s">
        <v>6357</v>
      </c>
      <c r="E2812" s="0" t="s">
        <v>79</v>
      </c>
      <c r="F2812" s="0" t="s">
        <v>13517</v>
      </c>
    </row>
    <row r="2813" customFormat="false" ht="15" hidden="false" customHeight="false" outlineLevel="0" collapsed="false">
      <c r="A2813" s="0" t="n">
        <v>937</v>
      </c>
      <c r="B2813" s="0" t="s">
        <v>6354</v>
      </c>
      <c r="C2813" s="0" t="s">
        <v>6358</v>
      </c>
      <c r="E2813" s="0" t="s">
        <v>79</v>
      </c>
      <c r="F2813" s="0" t="s">
        <v>13518</v>
      </c>
    </row>
    <row r="2814" customFormat="false" ht="15" hidden="false" customHeight="false" outlineLevel="0" collapsed="false">
      <c r="A2814" s="0" t="n">
        <v>937</v>
      </c>
      <c r="B2814" s="0" t="s">
        <v>6354</v>
      </c>
      <c r="C2814" s="0" t="s">
        <v>6359</v>
      </c>
      <c r="E2814" s="0" t="s">
        <v>79</v>
      </c>
      <c r="F2814" s="0" t="s">
        <v>13519</v>
      </c>
    </row>
    <row r="2815" customFormat="false" ht="15" hidden="false" customHeight="false" outlineLevel="0" collapsed="false">
      <c r="A2815" s="0" t="n">
        <v>937</v>
      </c>
      <c r="B2815" s="0" t="s">
        <v>6354</v>
      </c>
      <c r="C2815" s="0" t="s">
        <v>13520</v>
      </c>
      <c r="E2815" s="0" t="s">
        <v>79</v>
      </c>
      <c r="F2815" s="0" t="s">
        <v>13521</v>
      </c>
    </row>
    <row r="2816" customFormat="false" ht="15" hidden="false" customHeight="false" outlineLevel="0" collapsed="false">
      <c r="A2816" s="0" t="n">
        <v>937</v>
      </c>
      <c r="B2816" s="0" t="s">
        <v>6354</v>
      </c>
      <c r="C2816" s="0" t="s">
        <v>13522</v>
      </c>
      <c r="E2816" s="0" t="s">
        <v>79</v>
      </c>
      <c r="F2816" s="0" t="s">
        <v>13523</v>
      </c>
    </row>
    <row r="2817" customFormat="false" ht="15" hidden="false" customHeight="false" outlineLevel="0" collapsed="false">
      <c r="A2817" s="0" t="n">
        <v>941</v>
      </c>
      <c r="B2817" s="0" t="s">
        <v>6377</v>
      </c>
      <c r="C2817" s="0" t="s">
        <v>6379</v>
      </c>
      <c r="E2817" s="0" t="s">
        <v>79</v>
      </c>
      <c r="F2817" s="0" t="s">
        <v>13524</v>
      </c>
    </row>
    <row r="2818" customFormat="false" ht="15" hidden="false" customHeight="false" outlineLevel="0" collapsed="false">
      <c r="A2818" s="0" t="n">
        <v>941</v>
      </c>
      <c r="B2818" s="0" t="s">
        <v>6377</v>
      </c>
      <c r="C2818" s="0" t="s">
        <v>6380</v>
      </c>
      <c r="E2818" s="0" t="s">
        <v>79</v>
      </c>
      <c r="F2818" s="0" t="s">
        <v>13525</v>
      </c>
    </row>
    <row r="2819" customFormat="false" ht="15" hidden="false" customHeight="false" outlineLevel="0" collapsed="false">
      <c r="A2819" s="0" t="n">
        <v>941</v>
      </c>
      <c r="B2819" s="0" t="s">
        <v>6377</v>
      </c>
      <c r="C2819" s="0" t="s">
        <v>6381</v>
      </c>
      <c r="E2819" s="0" t="s">
        <v>79</v>
      </c>
      <c r="F2819" s="0" t="s">
        <v>13526</v>
      </c>
    </row>
    <row r="2820" customFormat="false" ht="15" hidden="false" customHeight="false" outlineLevel="0" collapsed="false">
      <c r="A2820" s="0" t="n">
        <v>941</v>
      </c>
      <c r="B2820" s="0" t="s">
        <v>6377</v>
      </c>
      <c r="C2820" s="0" t="s">
        <v>13527</v>
      </c>
      <c r="E2820" s="0" t="s">
        <v>79</v>
      </c>
      <c r="F2820" s="0" t="s">
        <v>13528</v>
      </c>
    </row>
    <row r="2821" customFormat="false" ht="15" hidden="false" customHeight="false" outlineLevel="0" collapsed="false">
      <c r="A2821" s="0" t="n">
        <v>942</v>
      </c>
      <c r="B2821" s="0" t="s">
        <v>6382</v>
      </c>
      <c r="C2821" s="0" t="s">
        <v>2317</v>
      </c>
      <c r="D2821" s="0" t="s">
        <v>11107</v>
      </c>
      <c r="E2821" s="0" t="s">
        <v>115</v>
      </c>
    </row>
    <row r="2822" customFormat="false" ht="15" hidden="false" customHeight="false" outlineLevel="0" collapsed="false">
      <c r="A2822" s="0" t="n">
        <v>942</v>
      </c>
      <c r="B2822" s="0" t="s">
        <v>6382</v>
      </c>
      <c r="C2822" s="0" t="s">
        <v>2318</v>
      </c>
      <c r="D2822" s="0" t="s">
        <v>11108</v>
      </c>
      <c r="E2822" s="0" t="s">
        <v>115</v>
      </c>
    </row>
    <row r="2823" customFormat="false" ht="15" hidden="false" customHeight="false" outlineLevel="0" collapsed="false">
      <c r="A2823" s="0" t="n">
        <v>942</v>
      </c>
      <c r="B2823" s="0" t="s">
        <v>6382</v>
      </c>
      <c r="C2823" s="0" t="s">
        <v>2319</v>
      </c>
      <c r="D2823" s="0" t="s">
        <v>11109</v>
      </c>
      <c r="E2823" s="0" t="s">
        <v>115</v>
      </c>
    </row>
    <row r="2824" customFormat="false" ht="15" hidden="false" customHeight="false" outlineLevel="0" collapsed="false">
      <c r="A2824" s="0" t="n">
        <v>943</v>
      </c>
      <c r="B2824" s="0" t="s">
        <v>6387</v>
      </c>
      <c r="C2824" s="0" t="s">
        <v>6389</v>
      </c>
      <c r="E2824" s="0" t="s">
        <v>79</v>
      </c>
      <c r="F2824" s="0" t="s">
        <v>13529</v>
      </c>
    </row>
    <row r="2825" customFormat="false" ht="15" hidden="false" customHeight="false" outlineLevel="0" collapsed="false">
      <c r="A2825" s="0" t="n">
        <v>943</v>
      </c>
      <c r="B2825" s="0" t="s">
        <v>6387</v>
      </c>
      <c r="C2825" s="0" t="s">
        <v>6390</v>
      </c>
      <c r="E2825" s="0" t="s">
        <v>79</v>
      </c>
      <c r="F2825" s="0" t="s">
        <v>13530</v>
      </c>
    </row>
    <row r="2826" customFormat="false" ht="15" hidden="false" customHeight="false" outlineLevel="0" collapsed="false">
      <c r="A2826" s="0" t="n">
        <v>943</v>
      </c>
      <c r="B2826" s="0" t="s">
        <v>6387</v>
      </c>
      <c r="C2826" s="0" t="s">
        <v>6391</v>
      </c>
      <c r="E2826" s="0" t="s">
        <v>79</v>
      </c>
      <c r="F2826" s="0" t="s">
        <v>13531</v>
      </c>
    </row>
    <row r="2827" customFormat="false" ht="15" hidden="false" customHeight="false" outlineLevel="0" collapsed="false">
      <c r="A2827" s="0" t="n">
        <v>943</v>
      </c>
      <c r="B2827" s="0" t="s">
        <v>6387</v>
      </c>
      <c r="C2827" s="0" t="s">
        <v>13532</v>
      </c>
      <c r="E2827" s="0" t="s">
        <v>79</v>
      </c>
      <c r="F2827" s="0" t="s">
        <v>13533</v>
      </c>
    </row>
    <row r="2828" customFormat="false" ht="15" hidden="false" customHeight="false" outlineLevel="0" collapsed="false">
      <c r="A2828" s="0" t="n">
        <v>943</v>
      </c>
      <c r="B2828" s="0" t="s">
        <v>6387</v>
      </c>
      <c r="C2828" s="0" t="s">
        <v>13534</v>
      </c>
      <c r="E2828" s="0" t="s">
        <v>79</v>
      </c>
      <c r="F2828" s="0" t="s">
        <v>13535</v>
      </c>
    </row>
    <row r="2829" customFormat="false" ht="15" hidden="false" customHeight="false" outlineLevel="0" collapsed="false">
      <c r="A2829" s="0" t="n">
        <v>946</v>
      </c>
      <c r="B2829" s="0" t="s">
        <v>6399</v>
      </c>
      <c r="C2829" s="0" t="s">
        <v>6401</v>
      </c>
      <c r="E2829" s="0" t="s">
        <v>79</v>
      </c>
      <c r="F2829" s="0" t="s">
        <v>13536</v>
      </c>
    </row>
    <row r="2830" customFormat="false" ht="15" hidden="false" customHeight="false" outlineLevel="0" collapsed="false">
      <c r="A2830" s="0" t="n">
        <v>946</v>
      </c>
      <c r="B2830" s="0" t="s">
        <v>6399</v>
      </c>
      <c r="C2830" s="0" t="s">
        <v>6402</v>
      </c>
      <c r="E2830" s="0" t="s">
        <v>79</v>
      </c>
      <c r="F2830" s="0" t="s">
        <v>13537</v>
      </c>
    </row>
    <row r="2831" customFormat="false" ht="15" hidden="false" customHeight="false" outlineLevel="0" collapsed="false">
      <c r="A2831" s="0" t="n">
        <v>946</v>
      </c>
      <c r="B2831" s="0" t="s">
        <v>6399</v>
      </c>
      <c r="C2831" s="0" t="s">
        <v>6403</v>
      </c>
      <c r="E2831" s="0" t="s">
        <v>79</v>
      </c>
      <c r="F2831" s="0" t="s">
        <v>13538</v>
      </c>
    </row>
    <row r="2832" customFormat="false" ht="15" hidden="false" customHeight="false" outlineLevel="0" collapsed="false">
      <c r="A2832" s="0" t="n">
        <v>946</v>
      </c>
      <c r="B2832" s="0" t="s">
        <v>6399</v>
      </c>
      <c r="C2832" s="0" t="s">
        <v>13539</v>
      </c>
      <c r="E2832" s="0" t="s">
        <v>79</v>
      </c>
      <c r="F2832" s="0" t="s">
        <v>13540</v>
      </c>
    </row>
    <row r="2833" customFormat="false" ht="15" hidden="false" customHeight="false" outlineLevel="0" collapsed="false">
      <c r="A2833" s="0" t="n">
        <v>946</v>
      </c>
      <c r="B2833" s="0" t="s">
        <v>6399</v>
      </c>
      <c r="C2833" s="0" t="s">
        <v>13541</v>
      </c>
      <c r="E2833" s="0" t="s">
        <v>79</v>
      </c>
      <c r="F2833" s="0" t="s">
        <v>13542</v>
      </c>
    </row>
    <row r="2834" customFormat="false" ht="15" hidden="false" customHeight="false" outlineLevel="0" collapsed="false">
      <c r="A2834" s="0" t="n">
        <v>947</v>
      </c>
      <c r="B2834" s="0" t="s">
        <v>6404</v>
      </c>
      <c r="C2834" s="0" t="s">
        <v>6411</v>
      </c>
      <c r="D2834" s="0" t="s">
        <v>13543</v>
      </c>
      <c r="E2834" s="0" t="s">
        <v>115</v>
      </c>
    </row>
    <row r="2835" customFormat="false" ht="15" hidden="false" customHeight="false" outlineLevel="0" collapsed="false">
      <c r="A2835" s="0" t="n">
        <v>947</v>
      </c>
      <c r="B2835" s="0" t="s">
        <v>6404</v>
      </c>
      <c r="C2835" s="0" t="s">
        <v>6412</v>
      </c>
      <c r="D2835" s="0" t="s">
        <v>13544</v>
      </c>
      <c r="E2835" s="0" t="s">
        <v>115</v>
      </c>
    </row>
    <row r="2836" customFormat="false" ht="15" hidden="false" customHeight="false" outlineLevel="0" collapsed="false">
      <c r="A2836" s="0" t="n">
        <v>947</v>
      </c>
      <c r="B2836" s="0" t="s">
        <v>6404</v>
      </c>
      <c r="C2836" s="0" t="s">
        <v>6413</v>
      </c>
      <c r="D2836" s="0" t="s">
        <v>13545</v>
      </c>
      <c r="E2836" s="0" t="s">
        <v>115</v>
      </c>
    </row>
    <row r="2837" customFormat="false" ht="15" hidden="false" customHeight="false" outlineLevel="0" collapsed="false">
      <c r="A2837" s="0" t="n">
        <v>948</v>
      </c>
      <c r="B2837" s="0" t="s">
        <v>6421</v>
      </c>
      <c r="C2837" s="0" t="s">
        <v>6424</v>
      </c>
      <c r="E2837" s="0" t="s">
        <v>79</v>
      </c>
      <c r="F2837" s="0" t="s">
        <v>13546</v>
      </c>
    </row>
    <row r="2838" customFormat="false" ht="15" hidden="false" customHeight="false" outlineLevel="0" collapsed="false">
      <c r="A2838" s="0" t="n">
        <v>948</v>
      </c>
      <c r="B2838" s="0" t="s">
        <v>6421</v>
      </c>
      <c r="C2838" s="0" t="s">
        <v>6425</v>
      </c>
      <c r="E2838" s="0" t="s">
        <v>79</v>
      </c>
      <c r="F2838" s="0" t="s">
        <v>13547</v>
      </c>
    </row>
    <row r="2839" customFormat="false" ht="15" hidden="false" customHeight="false" outlineLevel="0" collapsed="false">
      <c r="A2839" s="0" t="n">
        <v>948</v>
      </c>
      <c r="B2839" s="0" t="s">
        <v>6421</v>
      </c>
      <c r="C2839" s="0" t="s">
        <v>6426</v>
      </c>
      <c r="E2839" s="0" t="s">
        <v>79</v>
      </c>
      <c r="F2839" s="0" t="s">
        <v>13548</v>
      </c>
    </row>
    <row r="2840" customFormat="false" ht="15" hidden="false" customHeight="false" outlineLevel="0" collapsed="false">
      <c r="A2840" s="0" t="n">
        <v>948</v>
      </c>
      <c r="B2840" s="0" t="s">
        <v>6421</v>
      </c>
      <c r="C2840" s="0" t="s">
        <v>13549</v>
      </c>
      <c r="E2840" s="0" t="s">
        <v>79</v>
      </c>
      <c r="F2840" s="0" t="s">
        <v>13550</v>
      </c>
    </row>
    <row r="2841" customFormat="false" ht="15" hidden="false" customHeight="false" outlineLevel="0" collapsed="false">
      <c r="A2841" s="0" t="n">
        <v>948</v>
      </c>
      <c r="B2841" s="0" t="s">
        <v>6421</v>
      </c>
      <c r="C2841" s="0" t="s">
        <v>13551</v>
      </c>
      <c r="E2841" s="0" t="s">
        <v>79</v>
      </c>
      <c r="F2841" s="0" t="s">
        <v>13552</v>
      </c>
    </row>
    <row r="2842" customFormat="false" ht="15" hidden="false" customHeight="false" outlineLevel="0" collapsed="false">
      <c r="A2842" s="0" t="n">
        <v>949</v>
      </c>
      <c r="B2842" s="0" t="s">
        <v>6427</v>
      </c>
      <c r="C2842" s="0" t="s">
        <v>6430</v>
      </c>
      <c r="E2842" s="0" t="s">
        <v>79</v>
      </c>
      <c r="F2842" s="0" t="s">
        <v>13553</v>
      </c>
    </row>
    <row r="2843" customFormat="false" ht="15" hidden="false" customHeight="false" outlineLevel="0" collapsed="false">
      <c r="A2843" s="0" t="n">
        <v>949</v>
      </c>
      <c r="B2843" s="0" t="s">
        <v>6427</v>
      </c>
      <c r="C2843" s="0" t="s">
        <v>6431</v>
      </c>
      <c r="E2843" s="0" t="s">
        <v>79</v>
      </c>
      <c r="F2843" s="0" t="s">
        <v>13554</v>
      </c>
    </row>
    <row r="2844" customFormat="false" ht="15" hidden="false" customHeight="false" outlineLevel="0" collapsed="false">
      <c r="A2844" s="0" t="n">
        <v>949</v>
      </c>
      <c r="B2844" s="0" t="s">
        <v>6427</v>
      </c>
      <c r="C2844" s="0" t="s">
        <v>6432</v>
      </c>
      <c r="E2844" s="0" t="s">
        <v>79</v>
      </c>
      <c r="F2844" s="0" t="s">
        <v>13555</v>
      </c>
    </row>
    <row r="2845" customFormat="false" ht="15" hidden="false" customHeight="false" outlineLevel="0" collapsed="false">
      <c r="A2845" s="0" t="n">
        <v>949</v>
      </c>
      <c r="B2845" s="0" t="s">
        <v>6427</v>
      </c>
      <c r="C2845" s="0" t="s">
        <v>13556</v>
      </c>
      <c r="E2845" s="0" t="s">
        <v>79</v>
      </c>
      <c r="F2845" s="0" t="s">
        <v>13557</v>
      </c>
    </row>
    <row r="2846" customFormat="false" ht="15" hidden="false" customHeight="false" outlineLevel="0" collapsed="false">
      <c r="A2846" s="0" t="n">
        <v>949</v>
      </c>
      <c r="B2846" s="0" t="s">
        <v>6427</v>
      </c>
      <c r="C2846" s="0" t="s">
        <v>13558</v>
      </c>
      <c r="E2846" s="0" t="s">
        <v>79</v>
      </c>
      <c r="F2846" s="0" t="s">
        <v>13559</v>
      </c>
    </row>
    <row r="2847" customFormat="false" ht="15" hidden="false" customHeight="false" outlineLevel="0" collapsed="false">
      <c r="A2847" s="0" t="n">
        <v>950</v>
      </c>
      <c r="B2847" s="0" t="s">
        <v>6438</v>
      </c>
      <c r="C2847" s="0" t="s">
        <v>6442</v>
      </c>
      <c r="E2847" s="0" t="s">
        <v>79</v>
      </c>
      <c r="F2847" s="0" t="s">
        <v>13560</v>
      </c>
    </row>
    <row r="2848" customFormat="false" ht="15" hidden="false" customHeight="false" outlineLevel="0" collapsed="false">
      <c r="A2848" s="0" t="n">
        <v>950</v>
      </c>
      <c r="B2848" s="0" t="s">
        <v>6438</v>
      </c>
      <c r="C2848" s="0" t="s">
        <v>6443</v>
      </c>
      <c r="E2848" s="0" t="s">
        <v>79</v>
      </c>
      <c r="F2848" s="0" t="s">
        <v>13561</v>
      </c>
    </row>
    <row r="2849" customFormat="false" ht="15" hidden="false" customHeight="false" outlineLevel="0" collapsed="false">
      <c r="A2849" s="0" t="n">
        <v>950</v>
      </c>
      <c r="B2849" s="0" t="s">
        <v>6438</v>
      </c>
      <c r="C2849" s="0" t="s">
        <v>6444</v>
      </c>
      <c r="E2849" s="0" t="s">
        <v>79</v>
      </c>
      <c r="F2849" s="0" t="s">
        <v>13562</v>
      </c>
    </row>
    <row r="2850" customFormat="false" ht="15" hidden="false" customHeight="false" outlineLevel="0" collapsed="false">
      <c r="A2850" s="0" t="n">
        <v>950</v>
      </c>
      <c r="B2850" s="0" t="s">
        <v>6438</v>
      </c>
      <c r="C2850" s="0" t="s">
        <v>13563</v>
      </c>
      <c r="E2850" s="0" t="s">
        <v>79</v>
      </c>
      <c r="F2850" s="0" t="s">
        <v>13564</v>
      </c>
    </row>
    <row r="2851" customFormat="false" ht="15" hidden="false" customHeight="false" outlineLevel="0" collapsed="false">
      <c r="A2851" s="0" t="n">
        <v>950</v>
      </c>
      <c r="B2851" s="0" t="s">
        <v>6438</v>
      </c>
      <c r="C2851" s="0" t="s">
        <v>13565</v>
      </c>
      <c r="E2851" s="0" t="s">
        <v>79</v>
      </c>
      <c r="F2851" s="0" t="s">
        <v>13566</v>
      </c>
    </row>
    <row r="2852" customFormat="false" ht="15" hidden="false" customHeight="false" outlineLevel="0" collapsed="false">
      <c r="A2852" s="0" t="n">
        <v>955</v>
      </c>
      <c r="B2852" s="0" t="s">
        <v>6458</v>
      </c>
      <c r="C2852" s="0" t="s">
        <v>6461</v>
      </c>
      <c r="E2852" s="0" t="s">
        <v>59</v>
      </c>
      <c r="F2852" s="0" t="s">
        <v>13567</v>
      </c>
    </row>
    <row r="2853" customFormat="false" ht="15" hidden="false" customHeight="false" outlineLevel="0" collapsed="false">
      <c r="A2853" s="0" t="n">
        <v>955</v>
      </c>
      <c r="B2853" s="0" t="s">
        <v>6458</v>
      </c>
      <c r="C2853" s="0" t="s">
        <v>6462</v>
      </c>
      <c r="E2853" s="0" t="s">
        <v>59</v>
      </c>
      <c r="F2853" s="0" t="s">
        <v>13568</v>
      </c>
    </row>
    <row r="2854" customFormat="false" ht="15" hidden="false" customHeight="false" outlineLevel="0" collapsed="false">
      <c r="A2854" s="0" t="n">
        <v>955</v>
      </c>
      <c r="B2854" s="0" t="s">
        <v>6458</v>
      </c>
      <c r="C2854" s="0" t="s">
        <v>6463</v>
      </c>
      <c r="E2854" s="0" t="s">
        <v>59</v>
      </c>
      <c r="F2854" s="0" t="s">
        <v>13569</v>
      </c>
    </row>
    <row r="2855" customFormat="false" ht="15" hidden="false" customHeight="false" outlineLevel="0" collapsed="false">
      <c r="A2855" s="0" t="n">
        <v>955</v>
      </c>
      <c r="B2855" s="0" t="s">
        <v>6458</v>
      </c>
      <c r="C2855" s="0" t="s">
        <v>13570</v>
      </c>
      <c r="E2855" s="0" t="s">
        <v>59</v>
      </c>
      <c r="F2855" s="0" t="s">
        <v>13571</v>
      </c>
    </row>
    <row r="2856" customFormat="false" ht="15" hidden="false" customHeight="false" outlineLevel="0" collapsed="false">
      <c r="A2856" s="0" t="n">
        <v>955</v>
      </c>
      <c r="B2856" s="0" t="s">
        <v>6458</v>
      </c>
      <c r="C2856" s="0" t="s">
        <v>13572</v>
      </c>
      <c r="E2856" s="0" t="s">
        <v>59</v>
      </c>
      <c r="F2856" s="0" t="s">
        <v>13573</v>
      </c>
    </row>
    <row r="2857" customFormat="false" ht="15" hidden="false" customHeight="false" outlineLevel="0" collapsed="false">
      <c r="A2857" s="0" t="n">
        <v>957</v>
      </c>
      <c r="B2857" s="0" t="s">
        <v>6474</v>
      </c>
      <c r="C2857" s="0" t="s">
        <v>6477</v>
      </c>
      <c r="E2857" s="0" t="s">
        <v>79</v>
      </c>
      <c r="F2857" s="0" t="s">
        <v>13574</v>
      </c>
    </row>
    <row r="2858" customFormat="false" ht="15" hidden="false" customHeight="false" outlineLevel="0" collapsed="false">
      <c r="A2858" s="0" t="n">
        <v>957</v>
      </c>
      <c r="B2858" s="0" t="s">
        <v>6474</v>
      </c>
      <c r="C2858" s="0" t="s">
        <v>6478</v>
      </c>
      <c r="E2858" s="0" t="s">
        <v>79</v>
      </c>
      <c r="F2858" s="0" t="s">
        <v>13575</v>
      </c>
    </row>
    <row r="2859" customFormat="false" ht="15" hidden="false" customHeight="false" outlineLevel="0" collapsed="false">
      <c r="A2859" s="0" t="n">
        <v>957</v>
      </c>
      <c r="B2859" s="0" t="s">
        <v>6474</v>
      </c>
      <c r="C2859" s="0" t="s">
        <v>6479</v>
      </c>
      <c r="E2859" s="0" t="s">
        <v>79</v>
      </c>
      <c r="F2859" s="0" t="s">
        <v>13576</v>
      </c>
    </row>
    <row r="2860" customFormat="false" ht="15" hidden="false" customHeight="false" outlineLevel="0" collapsed="false">
      <c r="A2860" s="0" t="n">
        <v>957</v>
      </c>
      <c r="B2860" s="0" t="s">
        <v>6474</v>
      </c>
      <c r="C2860" s="0" t="s">
        <v>13577</v>
      </c>
      <c r="E2860" s="0" t="s">
        <v>79</v>
      </c>
      <c r="F2860" s="0" t="s">
        <v>13578</v>
      </c>
    </row>
    <row r="2861" customFormat="false" ht="15" hidden="false" customHeight="false" outlineLevel="0" collapsed="false">
      <c r="A2861" s="0" t="n">
        <v>957</v>
      </c>
      <c r="B2861" s="0" t="s">
        <v>6474</v>
      </c>
      <c r="C2861" s="0" t="s">
        <v>13579</v>
      </c>
      <c r="E2861" s="0" t="s">
        <v>79</v>
      </c>
      <c r="F2861" s="0" t="s">
        <v>13580</v>
      </c>
    </row>
    <row r="2862" customFormat="false" ht="15" hidden="false" customHeight="false" outlineLevel="0" collapsed="false">
      <c r="A2862" s="0" t="n">
        <v>959</v>
      </c>
      <c r="B2862" s="0" t="s">
        <v>6490</v>
      </c>
      <c r="C2862" s="0" t="s">
        <v>6493</v>
      </c>
      <c r="E2862" s="0" t="s">
        <v>79</v>
      </c>
      <c r="F2862" s="0" t="s">
        <v>13581</v>
      </c>
    </row>
    <row r="2863" customFormat="false" ht="15" hidden="false" customHeight="false" outlineLevel="0" collapsed="false">
      <c r="A2863" s="0" t="n">
        <v>959</v>
      </c>
      <c r="B2863" s="0" t="s">
        <v>6490</v>
      </c>
      <c r="C2863" s="0" t="s">
        <v>6494</v>
      </c>
      <c r="E2863" s="0" t="s">
        <v>79</v>
      </c>
      <c r="F2863" s="0" t="s">
        <v>13582</v>
      </c>
    </row>
    <row r="2864" customFormat="false" ht="15" hidden="false" customHeight="false" outlineLevel="0" collapsed="false">
      <c r="A2864" s="0" t="n">
        <v>959</v>
      </c>
      <c r="B2864" s="0" t="s">
        <v>6490</v>
      </c>
      <c r="C2864" s="0" t="s">
        <v>6495</v>
      </c>
      <c r="E2864" s="0" t="s">
        <v>79</v>
      </c>
      <c r="F2864" s="0" t="s">
        <v>13583</v>
      </c>
    </row>
    <row r="2865" customFormat="false" ht="15" hidden="false" customHeight="false" outlineLevel="0" collapsed="false">
      <c r="A2865" s="0" t="n">
        <v>959</v>
      </c>
      <c r="B2865" s="0" t="s">
        <v>6490</v>
      </c>
      <c r="C2865" s="0" t="s">
        <v>13584</v>
      </c>
      <c r="E2865" s="0" t="s">
        <v>79</v>
      </c>
      <c r="F2865" s="0" t="s">
        <v>13585</v>
      </c>
    </row>
    <row r="2866" customFormat="false" ht="15" hidden="false" customHeight="false" outlineLevel="0" collapsed="false">
      <c r="A2866" s="0" t="n">
        <v>960</v>
      </c>
      <c r="B2866" s="0" t="s">
        <v>6498</v>
      </c>
      <c r="C2866" s="0" t="s">
        <v>6500</v>
      </c>
      <c r="E2866" s="0" t="s">
        <v>79</v>
      </c>
      <c r="F2866" s="0" t="s">
        <v>13586</v>
      </c>
    </row>
    <row r="2867" customFormat="false" ht="15" hidden="false" customHeight="false" outlineLevel="0" collapsed="false">
      <c r="A2867" s="0" t="n">
        <v>960</v>
      </c>
      <c r="B2867" s="0" t="s">
        <v>6498</v>
      </c>
      <c r="C2867" s="0" t="s">
        <v>6501</v>
      </c>
      <c r="E2867" s="0" t="s">
        <v>79</v>
      </c>
      <c r="F2867" s="0" t="s">
        <v>13587</v>
      </c>
    </row>
    <row r="2868" customFormat="false" ht="15" hidden="false" customHeight="false" outlineLevel="0" collapsed="false">
      <c r="A2868" s="0" t="n">
        <v>960</v>
      </c>
      <c r="B2868" s="0" t="s">
        <v>6498</v>
      </c>
      <c r="C2868" s="0" t="s">
        <v>6502</v>
      </c>
      <c r="E2868" s="0" t="s">
        <v>79</v>
      </c>
      <c r="F2868" s="0" t="s">
        <v>13588</v>
      </c>
    </row>
    <row r="2869" customFormat="false" ht="15" hidden="false" customHeight="false" outlineLevel="0" collapsed="false">
      <c r="A2869" s="0" t="n">
        <v>960</v>
      </c>
      <c r="B2869" s="0" t="s">
        <v>6498</v>
      </c>
      <c r="C2869" s="0" t="s">
        <v>13589</v>
      </c>
      <c r="E2869" s="0" t="s">
        <v>79</v>
      </c>
      <c r="F2869" s="0" t="s">
        <v>13590</v>
      </c>
    </row>
    <row r="2870" customFormat="false" ht="15" hidden="false" customHeight="false" outlineLevel="0" collapsed="false">
      <c r="A2870" s="0" t="n">
        <v>960</v>
      </c>
      <c r="B2870" s="0" t="s">
        <v>6498</v>
      </c>
      <c r="C2870" s="0" t="s">
        <v>13591</v>
      </c>
      <c r="E2870" s="0" t="s">
        <v>79</v>
      </c>
      <c r="F2870" s="0" t="s">
        <v>13592</v>
      </c>
    </row>
    <row r="2871" customFormat="false" ht="15" hidden="false" customHeight="false" outlineLevel="0" collapsed="false">
      <c r="A2871" s="0" t="n">
        <v>963</v>
      </c>
      <c r="B2871" s="0" t="s">
        <v>6513</v>
      </c>
      <c r="C2871" s="0" t="s">
        <v>6516</v>
      </c>
      <c r="E2871" s="0" t="s">
        <v>59</v>
      </c>
      <c r="F2871" s="0" t="s">
        <v>13593</v>
      </c>
    </row>
    <row r="2872" customFormat="false" ht="15" hidden="false" customHeight="false" outlineLevel="0" collapsed="false">
      <c r="A2872" s="0" t="n">
        <v>963</v>
      </c>
      <c r="B2872" s="0" t="s">
        <v>6513</v>
      </c>
      <c r="C2872" s="0" t="s">
        <v>6517</v>
      </c>
      <c r="E2872" s="0" t="s">
        <v>59</v>
      </c>
      <c r="F2872" s="0" t="s">
        <v>13594</v>
      </c>
    </row>
    <row r="2873" customFormat="false" ht="15" hidden="false" customHeight="false" outlineLevel="0" collapsed="false">
      <c r="A2873" s="0" t="n">
        <v>963</v>
      </c>
      <c r="B2873" s="0" t="s">
        <v>6513</v>
      </c>
      <c r="C2873" s="0" t="s">
        <v>6518</v>
      </c>
      <c r="E2873" s="0" t="s">
        <v>59</v>
      </c>
      <c r="F2873" s="0" t="s">
        <v>13595</v>
      </c>
    </row>
    <row r="2874" customFormat="false" ht="15" hidden="false" customHeight="false" outlineLevel="0" collapsed="false">
      <c r="A2874" s="0" t="n">
        <v>963</v>
      </c>
      <c r="B2874" s="0" t="s">
        <v>6513</v>
      </c>
      <c r="C2874" s="0" t="s">
        <v>13596</v>
      </c>
      <c r="E2874" s="0" t="s">
        <v>59</v>
      </c>
      <c r="F2874" s="0" t="s">
        <v>13597</v>
      </c>
    </row>
    <row r="2875" customFormat="false" ht="15" hidden="false" customHeight="false" outlineLevel="0" collapsed="false">
      <c r="A2875" s="0" t="n">
        <v>963</v>
      </c>
      <c r="B2875" s="0" t="s">
        <v>6513</v>
      </c>
      <c r="C2875" s="0" t="s">
        <v>13598</v>
      </c>
      <c r="E2875" s="0" t="s">
        <v>59</v>
      </c>
      <c r="F2875" s="0" t="s">
        <v>13599</v>
      </c>
    </row>
    <row r="2876" customFormat="false" ht="15" hidden="false" customHeight="false" outlineLevel="0" collapsed="false">
      <c r="A2876" s="0" t="n">
        <v>965</v>
      </c>
      <c r="B2876" s="0" t="s">
        <v>6521</v>
      </c>
      <c r="C2876" s="0" t="s">
        <v>6527</v>
      </c>
      <c r="D2876" s="0" t="s">
        <v>13600</v>
      </c>
      <c r="E2876" s="0" t="s">
        <v>115</v>
      </c>
    </row>
    <row r="2877" customFormat="false" ht="15" hidden="false" customHeight="false" outlineLevel="0" collapsed="false">
      <c r="A2877" s="0" t="n">
        <v>965</v>
      </c>
      <c r="B2877" s="0" t="s">
        <v>6521</v>
      </c>
      <c r="C2877" s="0" t="s">
        <v>6528</v>
      </c>
      <c r="D2877" s="0" t="s">
        <v>13601</v>
      </c>
      <c r="E2877" s="0" t="s">
        <v>115</v>
      </c>
    </row>
    <row r="2878" customFormat="false" ht="15" hidden="false" customHeight="false" outlineLevel="0" collapsed="false">
      <c r="A2878" s="0" t="n">
        <v>965</v>
      </c>
      <c r="B2878" s="0" t="s">
        <v>6521</v>
      </c>
      <c r="C2878" s="0" t="s">
        <v>6529</v>
      </c>
      <c r="D2878" s="0" t="s">
        <v>13602</v>
      </c>
      <c r="E2878" s="0" t="s">
        <v>115</v>
      </c>
    </row>
    <row r="2879" customFormat="false" ht="15" hidden="false" customHeight="false" outlineLevel="0" collapsed="false">
      <c r="A2879" s="0" t="n">
        <v>966</v>
      </c>
      <c r="B2879" s="0" t="s">
        <v>6538</v>
      </c>
      <c r="C2879" s="0" t="s">
        <v>6541</v>
      </c>
      <c r="E2879" s="0" t="s">
        <v>79</v>
      </c>
      <c r="F2879" s="0" t="s">
        <v>13603</v>
      </c>
    </row>
    <row r="2880" customFormat="false" ht="15" hidden="false" customHeight="false" outlineLevel="0" collapsed="false">
      <c r="A2880" s="0" t="n">
        <v>966</v>
      </c>
      <c r="B2880" s="0" t="s">
        <v>6538</v>
      </c>
      <c r="C2880" s="0" t="s">
        <v>6542</v>
      </c>
      <c r="E2880" s="0" t="s">
        <v>79</v>
      </c>
      <c r="F2880" s="0" t="s">
        <v>13604</v>
      </c>
    </row>
    <row r="2881" customFormat="false" ht="15" hidden="false" customHeight="false" outlineLevel="0" collapsed="false">
      <c r="A2881" s="0" t="n">
        <v>966</v>
      </c>
      <c r="B2881" s="0" t="s">
        <v>6538</v>
      </c>
      <c r="C2881" s="0" t="s">
        <v>6543</v>
      </c>
      <c r="E2881" s="0" t="s">
        <v>79</v>
      </c>
      <c r="F2881" s="0" t="s">
        <v>13605</v>
      </c>
    </row>
    <row r="2882" customFormat="false" ht="15" hidden="false" customHeight="false" outlineLevel="0" collapsed="false">
      <c r="A2882" s="0" t="n">
        <v>966</v>
      </c>
      <c r="B2882" s="0" t="s">
        <v>6538</v>
      </c>
      <c r="C2882" s="0" t="s">
        <v>13606</v>
      </c>
      <c r="E2882" s="0" t="s">
        <v>79</v>
      </c>
      <c r="F2882" s="0" t="s">
        <v>13607</v>
      </c>
    </row>
    <row r="2883" customFormat="false" ht="15" hidden="false" customHeight="false" outlineLevel="0" collapsed="false">
      <c r="A2883" s="0" t="n">
        <v>966</v>
      </c>
      <c r="B2883" s="0" t="s">
        <v>6538</v>
      </c>
      <c r="C2883" s="0" t="s">
        <v>13608</v>
      </c>
      <c r="E2883" s="0" t="s">
        <v>79</v>
      </c>
      <c r="F2883" s="0" t="s">
        <v>13609</v>
      </c>
    </row>
    <row r="2884" customFormat="false" ht="15" hidden="false" customHeight="false" outlineLevel="0" collapsed="false">
      <c r="A2884" s="0" t="n">
        <v>967</v>
      </c>
      <c r="B2884" s="0" t="s">
        <v>6546</v>
      </c>
      <c r="C2884" s="0" t="s">
        <v>6550</v>
      </c>
      <c r="E2884" s="0" t="s">
        <v>79</v>
      </c>
      <c r="F2884" s="0" t="s">
        <v>13610</v>
      </c>
    </row>
    <row r="2885" customFormat="false" ht="15" hidden="false" customHeight="false" outlineLevel="0" collapsed="false">
      <c r="A2885" s="0" t="n">
        <v>967</v>
      </c>
      <c r="B2885" s="0" t="s">
        <v>6546</v>
      </c>
      <c r="C2885" s="0" t="s">
        <v>6551</v>
      </c>
      <c r="E2885" s="0" t="s">
        <v>79</v>
      </c>
      <c r="F2885" s="0" t="s">
        <v>13611</v>
      </c>
    </row>
    <row r="2886" customFormat="false" ht="15" hidden="false" customHeight="false" outlineLevel="0" collapsed="false">
      <c r="A2886" s="0" t="n">
        <v>967</v>
      </c>
      <c r="B2886" s="0" t="s">
        <v>6546</v>
      </c>
      <c r="C2886" s="0" t="s">
        <v>6552</v>
      </c>
      <c r="E2886" s="0" t="s">
        <v>79</v>
      </c>
      <c r="F2886" s="0" t="s">
        <v>13612</v>
      </c>
    </row>
    <row r="2887" customFormat="false" ht="15" hidden="false" customHeight="false" outlineLevel="0" collapsed="false">
      <c r="A2887" s="0" t="n">
        <v>967</v>
      </c>
      <c r="B2887" s="0" t="s">
        <v>6546</v>
      </c>
      <c r="C2887" s="0" t="s">
        <v>13613</v>
      </c>
      <c r="E2887" s="0" t="s">
        <v>79</v>
      </c>
      <c r="F2887" s="0" t="s">
        <v>13614</v>
      </c>
    </row>
    <row r="2888" customFormat="false" ht="15" hidden="false" customHeight="false" outlineLevel="0" collapsed="false">
      <c r="A2888" s="0" t="n">
        <v>967</v>
      </c>
      <c r="B2888" s="0" t="s">
        <v>6546</v>
      </c>
      <c r="C2888" s="0" t="s">
        <v>13615</v>
      </c>
      <c r="E2888" s="0" t="s">
        <v>79</v>
      </c>
      <c r="F2888" s="0" t="s">
        <v>13616</v>
      </c>
    </row>
    <row r="2889" customFormat="false" ht="15" hidden="false" customHeight="false" outlineLevel="0" collapsed="false">
      <c r="A2889" s="0" t="n">
        <v>968</v>
      </c>
      <c r="B2889" s="0" t="s">
        <v>6558</v>
      </c>
      <c r="C2889" s="0" t="s">
        <v>6560</v>
      </c>
      <c r="E2889" s="0" t="s">
        <v>79</v>
      </c>
      <c r="F2889" s="0" t="s">
        <v>13617</v>
      </c>
    </row>
    <row r="2890" customFormat="false" ht="15" hidden="false" customHeight="false" outlineLevel="0" collapsed="false">
      <c r="A2890" s="0" t="n">
        <v>968</v>
      </c>
      <c r="B2890" s="0" t="s">
        <v>6558</v>
      </c>
      <c r="C2890" s="0" t="s">
        <v>6561</v>
      </c>
      <c r="E2890" s="0" t="s">
        <v>79</v>
      </c>
      <c r="F2890" s="0" t="s">
        <v>13618</v>
      </c>
    </row>
    <row r="2891" customFormat="false" ht="15" hidden="false" customHeight="false" outlineLevel="0" collapsed="false">
      <c r="A2891" s="0" t="n">
        <v>969</v>
      </c>
      <c r="B2891" s="0" t="s">
        <v>6562</v>
      </c>
      <c r="C2891" s="0" t="s">
        <v>6564</v>
      </c>
      <c r="E2891" s="0" t="s">
        <v>59</v>
      </c>
      <c r="F2891" s="0" t="s">
        <v>13619</v>
      </c>
    </row>
    <row r="2892" customFormat="false" ht="15" hidden="false" customHeight="false" outlineLevel="0" collapsed="false">
      <c r="A2892" s="0" t="n">
        <v>969</v>
      </c>
      <c r="B2892" s="0" t="s">
        <v>6562</v>
      </c>
      <c r="C2892" s="0" t="s">
        <v>6565</v>
      </c>
      <c r="E2892" s="0" t="s">
        <v>59</v>
      </c>
      <c r="F2892" s="0" t="s">
        <v>13620</v>
      </c>
    </row>
    <row r="2893" customFormat="false" ht="15" hidden="false" customHeight="false" outlineLevel="0" collapsed="false">
      <c r="A2893" s="0" t="n">
        <v>969</v>
      </c>
      <c r="B2893" s="0" t="s">
        <v>6562</v>
      </c>
      <c r="C2893" s="0" t="s">
        <v>6566</v>
      </c>
      <c r="E2893" s="0" t="s">
        <v>59</v>
      </c>
      <c r="F2893" s="0" t="s">
        <v>13621</v>
      </c>
    </row>
    <row r="2894" customFormat="false" ht="15" hidden="false" customHeight="false" outlineLevel="0" collapsed="false">
      <c r="A2894" s="0" t="n">
        <v>969</v>
      </c>
      <c r="B2894" s="0" t="s">
        <v>6562</v>
      </c>
      <c r="C2894" s="0" t="s">
        <v>13622</v>
      </c>
      <c r="E2894" s="0" t="s">
        <v>59</v>
      </c>
      <c r="F2894" s="0" t="s">
        <v>13623</v>
      </c>
    </row>
    <row r="2895" customFormat="false" ht="15" hidden="false" customHeight="false" outlineLevel="0" collapsed="false">
      <c r="A2895" s="0" t="n">
        <v>969</v>
      </c>
      <c r="B2895" s="0" t="s">
        <v>6562</v>
      </c>
      <c r="C2895" s="0" t="s">
        <v>13624</v>
      </c>
      <c r="E2895" s="0" t="s">
        <v>59</v>
      </c>
      <c r="F2895" s="0" t="s">
        <v>13625</v>
      </c>
    </row>
    <row r="2896" customFormat="false" ht="15" hidden="false" customHeight="false" outlineLevel="0" collapsed="false">
      <c r="A2896" s="0" t="n">
        <v>970</v>
      </c>
      <c r="B2896" s="0" t="s">
        <v>6569</v>
      </c>
      <c r="C2896" s="0" t="s">
        <v>6572</v>
      </c>
      <c r="E2896" s="0" t="s">
        <v>79</v>
      </c>
      <c r="F2896" s="0" t="s">
        <v>13626</v>
      </c>
    </row>
    <row r="2897" customFormat="false" ht="15" hidden="false" customHeight="false" outlineLevel="0" collapsed="false">
      <c r="A2897" s="0" t="n">
        <v>970</v>
      </c>
      <c r="B2897" s="0" t="s">
        <v>6569</v>
      </c>
      <c r="C2897" s="0" t="s">
        <v>6573</v>
      </c>
      <c r="E2897" s="0" t="s">
        <v>79</v>
      </c>
      <c r="F2897" s="0" t="s">
        <v>13627</v>
      </c>
    </row>
    <row r="2898" customFormat="false" ht="15" hidden="false" customHeight="false" outlineLevel="0" collapsed="false">
      <c r="A2898" s="0" t="n">
        <v>970</v>
      </c>
      <c r="B2898" s="0" t="s">
        <v>6569</v>
      </c>
      <c r="C2898" s="0" t="s">
        <v>6574</v>
      </c>
      <c r="E2898" s="0" t="s">
        <v>79</v>
      </c>
      <c r="F2898" s="0" t="s">
        <v>13628</v>
      </c>
    </row>
    <row r="2899" customFormat="false" ht="15" hidden="false" customHeight="false" outlineLevel="0" collapsed="false">
      <c r="A2899" s="0" t="n">
        <v>970</v>
      </c>
      <c r="B2899" s="0" t="s">
        <v>6569</v>
      </c>
      <c r="C2899" s="0" t="s">
        <v>13629</v>
      </c>
      <c r="E2899" s="0" t="s">
        <v>79</v>
      </c>
      <c r="F2899" s="0" t="s">
        <v>13630</v>
      </c>
    </row>
    <row r="2900" customFormat="false" ht="15" hidden="false" customHeight="false" outlineLevel="0" collapsed="false">
      <c r="A2900" s="0" t="n">
        <v>971</v>
      </c>
      <c r="B2900" s="0" t="s">
        <v>6579</v>
      </c>
      <c r="C2900" s="0" t="s">
        <v>6583</v>
      </c>
      <c r="E2900" s="0" t="s">
        <v>59</v>
      </c>
      <c r="F2900" s="0" t="s">
        <v>13631</v>
      </c>
    </row>
    <row r="2901" customFormat="false" ht="15" hidden="false" customHeight="false" outlineLevel="0" collapsed="false">
      <c r="A2901" s="0" t="n">
        <v>971</v>
      </c>
      <c r="B2901" s="0" t="s">
        <v>6579</v>
      </c>
      <c r="C2901" s="0" t="s">
        <v>6584</v>
      </c>
      <c r="E2901" s="0" t="s">
        <v>59</v>
      </c>
      <c r="F2901" s="0" t="s">
        <v>13632</v>
      </c>
    </row>
    <row r="2902" customFormat="false" ht="15" hidden="false" customHeight="false" outlineLevel="0" collapsed="false">
      <c r="A2902" s="0" t="n">
        <v>971</v>
      </c>
      <c r="B2902" s="0" t="s">
        <v>6579</v>
      </c>
      <c r="C2902" s="0" t="s">
        <v>6585</v>
      </c>
      <c r="E2902" s="0" t="s">
        <v>59</v>
      </c>
      <c r="F2902" s="0" t="s">
        <v>13633</v>
      </c>
    </row>
    <row r="2903" customFormat="false" ht="15" hidden="false" customHeight="false" outlineLevel="0" collapsed="false">
      <c r="A2903" s="0" t="n">
        <v>971</v>
      </c>
      <c r="B2903" s="0" t="s">
        <v>6579</v>
      </c>
      <c r="C2903" s="0" t="s">
        <v>13634</v>
      </c>
      <c r="E2903" s="0" t="s">
        <v>59</v>
      </c>
      <c r="F2903" s="0" t="s">
        <v>13635</v>
      </c>
    </row>
    <row r="2904" customFormat="false" ht="15" hidden="false" customHeight="false" outlineLevel="0" collapsed="false">
      <c r="A2904" s="0" t="n">
        <v>971</v>
      </c>
      <c r="B2904" s="0" t="s">
        <v>6579</v>
      </c>
      <c r="C2904" s="0" t="s">
        <v>13636</v>
      </c>
      <c r="E2904" s="0" t="s">
        <v>59</v>
      </c>
      <c r="F2904" s="0" t="s">
        <v>13637</v>
      </c>
    </row>
    <row r="2905" customFormat="false" ht="15" hidden="false" customHeight="false" outlineLevel="0" collapsed="false">
      <c r="A2905" s="0" t="n">
        <v>972</v>
      </c>
      <c r="B2905" s="0" t="s">
        <v>6589</v>
      </c>
      <c r="C2905" s="0" t="s">
        <v>6592</v>
      </c>
      <c r="E2905" s="0" t="s">
        <v>79</v>
      </c>
      <c r="F2905" s="0" t="s">
        <v>13638</v>
      </c>
    </row>
    <row r="2906" customFormat="false" ht="15" hidden="false" customHeight="false" outlineLevel="0" collapsed="false">
      <c r="A2906" s="0" t="n">
        <v>972</v>
      </c>
      <c r="B2906" s="0" t="s">
        <v>6589</v>
      </c>
      <c r="C2906" s="0" t="s">
        <v>6593</v>
      </c>
      <c r="E2906" s="0" t="s">
        <v>79</v>
      </c>
      <c r="F2906" s="0" t="s">
        <v>13639</v>
      </c>
    </row>
    <row r="2907" customFormat="false" ht="15" hidden="false" customHeight="false" outlineLevel="0" collapsed="false">
      <c r="A2907" s="0" t="n">
        <v>972</v>
      </c>
      <c r="B2907" s="0" t="s">
        <v>6589</v>
      </c>
      <c r="C2907" s="0" t="s">
        <v>6594</v>
      </c>
      <c r="E2907" s="0" t="s">
        <v>79</v>
      </c>
      <c r="F2907" s="0" t="s">
        <v>13640</v>
      </c>
    </row>
    <row r="2908" customFormat="false" ht="15" hidden="false" customHeight="false" outlineLevel="0" collapsed="false">
      <c r="A2908" s="0" t="n">
        <v>973</v>
      </c>
      <c r="B2908" s="0" t="s">
        <v>6595</v>
      </c>
      <c r="C2908" s="0" t="s">
        <v>6598</v>
      </c>
      <c r="E2908" s="0" t="s">
        <v>79</v>
      </c>
      <c r="F2908" s="0" t="s">
        <v>13641</v>
      </c>
    </row>
    <row r="2909" customFormat="false" ht="15" hidden="false" customHeight="false" outlineLevel="0" collapsed="false">
      <c r="A2909" s="0" t="n">
        <v>973</v>
      </c>
      <c r="B2909" s="0" t="s">
        <v>6595</v>
      </c>
      <c r="C2909" s="0" t="s">
        <v>6599</v>
      </c>
      <c r="E2909" s="0" t="s">
        <v>79</v>
      </c>
      <c r="F2909" s="0" t="s">
        <v>13642</v>
      </c>
    </row>
    <row r="2910" customFormat="false" ht="15" hidden="false" customHeight="false" outlineLevel="0" collapsed="false">
      <c r="A2910" s="0" t="n">
        <v>973</v>
      </c>
      <c r="B2910" s="0" t="s">
        <v>6595</v>
      </c>
      <c r="C2910" s="0" t="s">
        <v>6600</v>
      </c>
      <c r="E2910" s="0" t="s">
        <v>79</v>
      </c>
      <c r="F2910" s="0" t="s">
        <v>13643</v>
      </c>
    </row>
    <row r="2911" customFormat="false" ht="15" hidden="false" customHeight="false" outlineLevel="0" collapsed="false">
      <c r="A2911" s="0" t="n">
        <v>973</v>
      </c>
      <c r="B2911" s="0" t="s">
        <v>6595</v>
      </c>
      <c r="C2911" s="0" t="s">
        <v>13644</v>
      </c>
      <c r="E2911" s="0" t="s">
        <v>79</v>
      </c>
      <c r="F2911" s="0" t="s">
        <v>13645</v>
      </c>
    </row>
    <row r="2912" customFormat="false" ht="15" hidden="false" customHeight="false" outlineLevel="0" collapsed="false">
      <c r="A2912" s="0" t="n">
        <v>973</v>
      </c>
      <c r="B2912" s="0" t="s">
        <v>6595</v>
      </c>
      <c r="C2912" s="0" t="s">
        <v>13646</v>
      </c>
      <c r="E2912" s="0" t="s">
        <v>79</v>
      </c>
      <c r="F2912" s="0" t="s">
        <v>13647</v>
      </c>
    </row>
    <row r="2913" customFormat="false" ht="15" hidden="false" customHeight="false" outlineLevel="0" collapsed="false">
      <c r="A2913" s="0" t="n">
        <v>975</v>
      </c>
      <c r="B2913" s="0" t="s">
        <v>6607</v>
      </c>
      <c r="C2913" s="0" t="s">
        <v>6610</v>
      </c>
      <c r="E2913" s="0" t="s">
        <v>79</v>
      </c>
      <c r="F2913" s="0" t="s">
        <v>13648</v>
      </c>
    </row>
    <row r="2914" customFormat="false" ht="15" hidden="false" customHeight="false" outlineLevel="0" collapsed="false">
      <c r="A2914" s="0" t="n">
        <v>975</v>
      </c>
      <c r="B2914" s="0" t="s">
        <v>6607</v>
      </c>
      <c r="C2914" s="0" t="s">
        <v>6611</v>
      </c>
      <c r="E2914" s="0" t="s">
        <v>79</v>
      </c>
      <c r="F2914" s="0" t="s">
        <v>13649</v>
      </c>
    </row>
    <row r="2915" customFormat="false" ht="15" hidden="false" customHeight="false" outlineLevel="0" collapsed="false">
      <c r="A2915" s="0" t="n">
        <v>975</v>
      </c>
      <c r="B2915" s="0" t="s">
        <v>6607</v>
      </c>
      <c r="C2915" s="0" t="s">
        <v>6612</v>
      </c>
      <c r="E2915" s="0" t="s">
        <v>79</v>
      </c>
      <c r="F2915" s="0" t="s">
        <v>13650</v>
      </c>
    </row>
    <row r="2916" customFormat="false" ht="15" hidden="false" customHeight="false" outlineLevel="0" collapsed="false">
      <c r="A2916" s="0" t="n">
        <v>975</v>
      </c>
      <c r="B2916" s="0" t="s">
        <v>6607</v>
      </c>
      <c r="C2916" s="0" t="s">
        <v>13651</v>
      </c>
      <c r="E2916" s="0" t="s">
        <v>79</v>
      </c>
      <c r="F2916" s="0" t="s">
        <v>13652</v>
      </c>
    </row>
    <row r="2917" customFormat="false" ht="15" hidden="false" customHeight="false" outlineLevel="0" collapsed="false">
      <c r="A2917" s="0" t="n">
        <v>975</v>
      </c>
      <c r="B2917" s="0" t="s">
        <v>6607</v>
      </c>
      <c r="C2917" s="0" t="s">
        <v>13653</v>
      </c>
      <c r="E2917" s="0" t="s">
        <v>79</v>
      </c>
      <c r="F2917" s="0" t="s">
        <v>13654</v>
      </c>
    </row>
    <row r="2918" customFormat="false" ht="15" hidden="false" customHeight="false" outlineLevel="0" collapsed="false">
      <c r="A2918" s="0" t="n">
        <v>977</v>
      </c>
      <c r="B2918" s="0" t="s">
        <v>6623</v>
      </c>
      <c r="C2918" s="0" t="s">
        <v>6626</v>
      </c>
      <c r="E2918" s="0" t="s">
        <v>79</v>
      </c>
      <c r="F2918" s="0" t="s">
        <v>13655</v>
      </c>
    </row>
    <row r="2919" customFormat="false" ht="15" hidden="false" customHeight="false" outlineLevel="0" collapsed="false">
      <c r="A2919" s="0" t="n">
        <v>977</v>
      </c>
      <c r="B2919" s="0" t="s">
        <v>6623</v>
      </c>
      <c r="C2919" s="0" t="s">
        <v>6627</v>
      </c>
      <c r="E2919" s="0" t="s">
        <v>79</v>
      </c>
      <c r="F2919" s="0" t="s">
        <v>13656</v>
      </c>
    </row>
    <row r="2920" customFormat="false" ht="15" hidden="false" customHeight="false" outlineLevel="0" collapsed="false">
      <c r="A2920" s="0" t="n">
        <v>977</v>
      </c>
      <c r="B2920" s="0" t="s">
        <v>6623</v>
      </c>
      <c r="C2920" s="0" t="s">
        <v>6628</v>
      </c>
      <c r="E2920" s="0" t="s">
        <v>79</v>
      </c>
      <c r="F2920" s="0" t="s">
        <v>13657</v>
      </c>
    </row>
    <row r="2921" customFormat="false" ht="15" hidden="false" customHeight="false" outlineLevel="0" collapsed="false">
      <c r="A2921" s="0" t="n">
        <v>977</v>
      </c>
      <c r="B2921" s="0" t="s">
        <v>6623</v>
      </c>
      <c r="C2921" s="0" t="s">
        <v>13658</v>
      </c>
      <c r="E2921" s="0" t="s">
        <v>79</v>
      </c>
      <c r="F2921" s="0" t="s">
        <v>13659</v>
      </c>
    </row>
    <row r="2922" customFormat="false" ht="15" hidden="false" customHeight="false" outlineLevel="0" collapsed="false">
      <c r="A2922" s="0" t="n">
        <v>977</v>
      </c>
      <c r="B2922" s="0" t="s">
        <v>6623</v>
      </c>
      <c r="C2922" s="0" t="s">
        <v>13660</v>
      </c>
      <c r="E2922" s="0" t="s">
        <v>79</v>
      </c>
      <c r="F2922" s="0" t="s">
        <v>13661</v>
      </c>
    </row>
    <row r="2923" customFormat="false" ht="15" hidden="false" customHeight="false" outlineLevel="0" collapsed="false">
      <c r="A2923" s="0" t="n">
        <v>978</v>
      </c>
      <c r="B2923" s="0" t="s">
        <v>6631</v>
      </c>
      <c r="C2923" s="0" t="s">
        <v>6634</v>
      </c>
      <c r="E2923" s="0" t="s">
        <v>79</v>
      </c>
      <c r="F2923" s="0" t="s">
        <v>13662</v>
      </c>
    </row>
    <row r="2924" customFormat="false" ht="15" hidden="false" customHeight="false" outlineLevel="0" collapsed="false">
      <c r="A2924" s="0" t="n">
        <v>978</v>
      </c>
      <c r="B2924" s="0" t="s">
        <v>6631</v>
      </c>
      <c r="C2924" s="0" t="s">
        <v>6635</v>
      </c>
      <c r="E2924" s="0" t="s">
        <v>79</v>
      </c>
      <c r="F2924" s="0" t="s">
        <v>13663</v>
      </c>
    </row>
    <row r="2925" customFormat="false" ht="15" hidden="false" customHeight="false" outlineLevel="0" collapsed="false">
      <c r="A2925" s="0" t="n">
        <v>981</v>
      </c>
      <c r="B2925" s="0" t="s">
        <v>6647</v>
      </c>
      <c r="C2925" s="0" t="s">
        <v>6649</v>
      </c>
      <c r="E2925" s="0" t="s">
        <v>79</v>
      </c>
      <c r="F2925" s="0" t="s">
        <v>13664</v>
      </c>
    </row>
    <row r="2926" customFormat="false" ht="15" hidden="false" customHeight="false" outlineLevel="0" collapsed="false">
      <c r="A2926" s="0" t="n">
        <v>981</v>
      </c>
      <c r="B2926" s="0" t="s">
        <v>6647</v>
      </c>
      <c r="C2926" s="0" t="s">
        <v>6650</v>
      </c>
      <c r="E2926" s="0" t="s">
        <v>79</v>
      </c>
      <c r="F2926" s="0" t="s">
        <v>13665</v>
      </c>
    </row>
    <row r="2927" customFormat="false" ht="15" hidden="false" customHeight="false" outlineLevel="0" collapsed="false">
      <c r="A2927" s="0" t="n">
        <v>981</v>
      </c>
      <c r="B2927" s="0" t="s">
        <v>6647</v>
      </c>
      <c r="C2927" s="0" t="s">
        <v>6651</v>
      </c>
      <c r="E2927" s="0" t="s">
        <v>79</v>
      </c>
      <c r="F2927" s="0" t="s">
        <v>13666</v>
      </c>
    </row>
    <row r="2928" customFormat="false" ht="15" hidden="false" customHeight="false" outlineLevel="0" collapsed="false">
      <c r="A2928" s="0" t="n">
        <v>981</v>
      </c>
      <c r="B2928" s="0" t="s">
        <v>6647</v>
      </c>
      <c r="C2928" s="0" t="s">
        <v>13667</v>
      </c>
      <c r="E2928" s="0" t="s">
        <v>79</v>
      </c>
      <c r="F2928" s="0" t="s">
        <v>13668</v>
      </c>
    </row>
    <row r="2929" customFormat="false" ht="15" hidden="false" customHeight="false" outlineLevel="0" collapsed="false">
      <c r="A2929" s="0" t="n">
        <v>983</v>
      </c>
      <c r="B2929" s="0" t="s">
        <v>6655</v>
      </c>
      <c r="C2929" s="0" t="s">
        <v>6657</v>
      </c>
      <c r="E2929" s="0" t="s">
        <v>79</v>
      </c>
      <c r="F2929" s="0" t="s">
        <v>13669</v>
      </c>
    </row>
    <row r="2930" customFormat="false" ht="15" hidden="false" customHeight="false" outlineLevel="0" collapsed="false">
      <c r="A2930" s="0" t="n">
        <v>983</v>
      </c>
      <c r="B2930" s="0" t="s">
        <v>6655</v>
      </c>
      <c r="C2930" s="0" t="s">
        <v>6658</v>
      </c>
      <c r="E2930" s="0" t="s">
        <v>79</v>
      </c>
      <c r="F2930" s="0" t="s">
        <v>13670</v>
      </c>
    </row>
    <row r="2931" customFormat="false" ht="15" hidden="false" customHeight="false" outlineLevel="0" collapsed="false">
      <c r="A2931" s="0" t="n">
        <v>983</v>
      </c>
      <c r="B2931" s="0" t="s">
        <v>6655</v>
      </c>
      <c r="C2931" s="0" t="s">
        <v>6659</v>
      </c>
      <c r="E2931" s="0" t="s">
        <v>79</v>
      </c>
      <c r="F2931" s="0" t="s">
        <v>13671</v>
      </c>
    </row>
    <row r="2932" customFormat="false" ht="15" hidden="false" customHeight="false" outlineLevel="0" collapsed="false">
      <c r="A2932" s="0" t="n">
        <v>983</v>
      </c>
      <c r="B2932" s="0" t="s">
        <v>6655</v>
      </c>
      <c r="C2932" s="0" t="s">
        <v>13672</v>
      </c>
      <c r="E2932" s="0" t="s">
        <v>79</v>
      </c>
      <c r="F2932" s="0" t="s">
        <v>13673</v>
      </c>
    </row>
    <row r="2933" customFormat="false" ht="15" hidden="false" customHeight="false" outlineLevel="0" collapsed="false">
      <c r="A2933" s="0" t="n">
        <v>983</v>
      </c>
      <c r="B2933" s="0" t="s">
        <v>6655</v>
      </c>
      <c r="C2933" s="0" t="s">
        <v>13674</v>
      </c>
      <c r="E2933" s="0" t="s">
        <v>79</v>
      </c>
      <c r="F2933" s="0" t="s">
        <v>13675</v>
      </c>
    </row>
    <row r="2934" customFormat="false" ht="15" hidden="false" customHeight="false" outlineLevel="0" collapsed="false">
      <c r="A2934" s="0" t="n">
        <v>984</v>
      </c>
      <c r="B2934" s="0" t="s">
        <v>6660</v>
      </c>
      <c r="C2934" s="0" t="s">
        <v>6663</v>
      </c>
      <c r="E2934" s="0" t="s">
        <v>79</v>
      </c>
      <c r="F2934" s="0" t="s">
        <v>13676</v>
      </c>
    </row>
    <row r="2935" customFormat="false" ht="15" hidden="false" customHeight="false" outlineLevel="0" collapsed="false">
      <c r="A2935" s="0" t="n">
        <v>984</v>
      </c>
      <c r="B2935" s="0" t="s">
        <v>6660</v>
      </c>
      <c r="C2935" s="0" t="s">
        <v>6664</v>
      </c>
      <c r="E2935" s="0" t="s">
        <v>79</v>
      </c>
      <c r="F2935" s="0" t="s">
        <v>13677</v>
      </c>
    </row>
    <row r="2936" customFormat="false" ht="15" hidden="false" customHeight="false" outlineLevel="0" collapsed="false">
      <c r="A2936" s="0" t="n">
        <v>984</v>
      </c>
      <c r="B2936" s="0" t="s">
        <v>6660</v>
      </c>
      <c r="C2936" s="0" t="s">
        <v>6665</v>
      </c>
      <c r="E2936" s="0" t="s">
        <v>79</v>
      </c>
      <c r="F2936" s="0" t="s">
        <v>13678</v>
      </c>
    </row>
    <row r="2937" customFormat="false" ht="15" hidden="false" customHeight="false" outlineLevel="0" collapsed="false">
      <c r="A2937" s="0" t="n">
        <v>984</v>
      </c>
      <c r="B2937" s="0" t="s">
        <v>6660</v>
      </c>
      <c r="C2937" s="0" t="s">
        <v>13679</v>
      </c>
      <c r="E2937" s="0" t="s">
        <v>79</v>
      </c>
      <c r="F2937" s="0" t="s">
        <v>13680</v>
      </c>
    </row>
    <row r="2938" customFormat="false" ht="15" hidden="false" customHeight="false" outlineLevel="0" collapsed="false">
      <c r="A2938" s="0" t="n">
        <v>984</v>
      </c>
      <c r="B2938" s="0" t="s">
        <v>6660</v>
      </c>
      <c r="C2938" s="0" t="s">
        <v>13681</v>
      </c>
      <c r="E2938" s="0" t="s">
        <v>79</v>
      </c>
      <c r="F2938" s="0" t="s">
        <v>13682</v>
      </c>
    </row>
    <row r="2939" customFormat="false" ht="15" hidden="false" customHeight="false" outlineLevel="0" collapsed="false">
      <c r="A2939" s="0" t="n">
        <v>985</v>
      </c>
      <c r="B2939" s="0" t="s">
        <v>6669</v>
      </c>
      <c r="C2939" s="0" t="s">
        <v>6676</v>
      </c>
      <c r="D2939" s="0" t="s">
        <v>13683</v>
      </c>
      <c r="E2939" s="0" t="s">
        <v>115</v>
      </c>
    </row>
    <row r="2940" customFormat="false" ht="15" hidden="false" customHeight="false" outlineLevel="0" collapsed="false">
      <c r="A2940" s="0" t="n">
        <v>985</v>
      </c>
      <c r="B2940" s="0" t="s">
        <v>6669</v>
      </c>
      <c r="C2940" s="0" t="s">
        <v>6677</v>
      </c>
      <c r="D2940" s="0" t="s">
        <v>13684</v>
      </c>
      <c r="E2940" s="0" t="s">
        <v>115</v>
      </c>
    </row>
    <row r="2941" customFormat="false" ht="15" hidden="false" customHeight="false" outlineLevel="0" collapsed="false">
      <c r="A2941" s="0" t="n">
        <v>985</v>
      </c>
      <c r="B2941" s="0" t="s">
        <v>6669</v>
      </c>
      <c r="C2941" s="0" t="s">
        <v>6678</v>
      </c>
      <c r="D2941" s="0" t="s">
        <v>13685</v>
      </c>
      <c r="E2941" s="0" t="s">
        <v>115</v>
      </c>
    </row>
    <row r="2942" customFormat="false" ht="15" hidden="false" customHeight="false" outlineLevel="0" collapsed="false">
      <c r="A2942" s="0" t="n">
        <v>986</v>
      </c>
      <c r="B2942" s="0" t="s">
        <v>6687</v>
      </c>
      <c r="C2942" s="0" t="s">
        <v>6690</v>
      </c>
      <c r="E2942" s="0" t="s">
        <v>79</v>
      </c>
      <c r="F2942" s="0" t="s">
        <v>13686</v>
      </c>
    </row>
    <row r="2943" customFormat="false" ht="15" hidden="false" customHeight="false" outlineLevel="0" collapsed="false">
      <c r="A2943" s="0" t="n">
        <v>986</v>
      </c>
      <c r="B2943" s="0" t="s">
        <v>6687</v>
      </c>
      <c r="C2943" s="0" t="s">
        <v>6691</v>
      </c>
      <c r="E2943" s="0" t="s">
        <v>79</v>
      </c>
      <c r="F2943" s="0" t="s">
        <v>13687</v>
      </c>
    </row>
    <row r="2944" customFormat="false" ht="15" hidden="false" customHeight="false" outlineLevel="0" collapsed="false">
      <c r="A2944" s="0" t="n">
        <v>986</v>
      </c>
      <c r="B2944" s="0" t="s">
        <v>6687</v>
      </c>
      <c r="C2944" s="0" t="s">
        <v>6692</v>
      </c>
      <c r="E2944" s="0" t="s">
        <v>79</v>
      </c>
      <c r="F2944" s="0" t="s">
        <v>13688</v>
      </c>
    </row>
    <row r="2945" customFormat="false" ht="15" hidden="false" customHeight="false" outlineLevel="0" collapsed="false">
      <c r="A2945" s="0" t="n">
        <v>986</v>
      </c>
      <c r="B2945" s="0" t="s">
        <v>6687</v>
      </c>
      <c r="C2945" s="0" t="s">
        <v>13689</v>
      </c>
      <c r="E2945" s="0" t="s">
        <v>79</v>
      </c>
      <c r="F2945" s="0" t="s">
        <v>13690</v>
      </c>
    </row>
    <row r="2946" customFormat="false" ht="15" hidden="false" customHeight="false" outlineLevel="0" collapsed="false">
      <c r="A2946" s="0" t="n">
        <v>986</v>
      </c>
      <c r="B2946" s="0" t="s">
        <v>6687</v>
      </c>
      <c r="C2946" s="0" t="s">
        <v>13691</v>
      </c>
      <c r="E2946" s="0" t="s">
        <v>79</v>
      </c>
      <c r="F2946" s="0" t="s">
        <v>13692</v>
      </c>
    </row>
    <row r="2947" customFormat="false" ht="15" hidden="false" customHeight="false" outlineLevel="0" collapsed="false">
      <c r="A2947" s="0" t="n">
        <v>987</v>
      </c>
      <c r="B2947" s="0" t="s">
        <v>6693</v>
      </c>
      <c r="C2947" s="0" t="s">
        <v>6695</v>
      </c>
      <c r="E2947" s="0" t="s">
        <v>59</v>
      </c>
      <c r="F2947" s="0" t="s">
        <v>13693</v>
      </c>
    </row>
    <row r="2948" customFormat="false" ht="15" hidden="false" customHeight="false" outlineLevel="0" collapsed="false">
      <c r="A2948" s="0" t="n">
        <v>987</v>
      </c>
      <c r="B2948" s="0" t="s">
        <v>6693</v>
      </c>
      <c r="C2948" s="0" t="s">
        <v>6696</v>
      </c>
      <c r="E2948" s="0" t="s">
        <v>59</v>
      </c>
      <c r="F2948" s="0" t="s">
        <v>13694</v>
      </c>
    </row>
    <row r="2949" customFormat="false" ht="15" hidden="false" customHeight="false" outlineLevel="0" collapsed="false">
      <c r="A2949" s="0" t="n">
        <v>987</v>
      </c>
      <c r="B2949" s="0" t="s">
        <v>6693</v>
      </c>
      <c r="C2949" s="0" t="s">
        <v>6697</v>
      </c>
      <c r="E2949" s="0" t="s">
        <v>59</v>
      </c>
      <c r="F2949" s="0" t="s">
        <v>13695</v>
      </c>
    </row>
    <row r="2950" customFormat="false" ht="15" hidden="false" customHeight="false" outlineLevel="0" collapsed="false">
      <c r="A2950" s="0" t="n">
        <v>987</v>
      </c>
      <c r="B2950" s="0" t="s">
        <v>6693</v>
      </c>
      <c r="C2950" s="0" t="s">
        <v>13696</v>
      </c>
      <c r="E2950" s="0" t="s">
        <v>59</v>
      </c>
      <c r="F2950" s="0" t="s">
        <v>13697</v>
      </c>
    </row>
    <row r="2951" customFormat="false" ht="15" hidden="false" customHeight="false" outlineLevel="0" collapsed="false">
      <c r="A2951" s="0" t="n">
        <v>987</v>
      </c>
      <c r="B2951" s="0" t="s">
        <v>6693</v>
      </c>
      <c r="C2951" s="0" t="s">
        <v>13698</v>
      </c>
      <c r="E2951" s="0" t="s">
        <v>59</v>
      </c>
      <c r="F2951" s="0" t="s">
        <v>13699</v>
      </c>
    </row>
    <row r="2952" customFormat="false" ht="15" hidden="false" customHeight="false" outlineLevel="0" collapsed="false">
      <c r="A2952" s="0" t="n">
        <v>988</v>
      </c>
      <c r="B2952" s="0" t="s">
        <v>6698</v>
      </c>
      <c r="C2952" s="0" t="s">
        <v>6704</v>
      </c>
      <c r="D2952" s="0" t="s">
        <v>13700</v>
      </c>
      <c r="E2952" s="0" t="s">
        <v>115</v>
      </c>
    </row>
    <row r="2953" customFormat="false" ht="15" hidden="false" customHeight="false" outlineLevel="0" collapsed="false">
      <c r="A2953" s="0" t="n">
        <v>988</v>
      </c>
      <c r="B2953" s="0" t="s">
        <v>6698</v>
      </c>
      <c r="C2953" s="0" t="s">
        <v>6705</v>
      </c>
      <c r="D2953" s="0" t="s">
        <v>13701</v>
      </c>
      <c r="E2953" s="0" t="s">
        <v>115</v>
      </c>
    </row>
    <row r="2954" customFormat="false" ht="15" hidden="false" customHeight="false" outlineLevel="0" collapsed="false">
      <c r="A2954" s="0" t="n">
        <v>988</v>
      </c>
      <c r="B2954" s="0" t="s">
        <v>6698</v>
      </c>
      <c r="C2954" s="0" t="s">
        <v>6706</v>
      </c>
      <c r="D2954" s="0" t="s">
        <v>13702</v>
      </c>
      <c r="E2954" s="0" t="s">
        <v>115</v>
      </c>
    </row>
    <row r="2955" customFormat="false" ht="15" hidden="false" customHeight="false" outlineLevel="0" collapsed="false">
      <c r="A2955" s="0" t="n">
        <v>989</v>
      </c>
      <c r="B2955" s="0" t="s">
        <v>6715</v>
      </c>
      <c r="C2955" s="0" t="s">
        <v>6704</v>
      </c>
      <c r="D2955" s="0" t="s">
        <v>13700</v>
      </c>
      <c r="E2955" s="0" t="s">
        <v>115</v>
      </c>
    </row>
    <row r="2956" customFormat="false" ht="15" hidden="false" customHeight="false" outlineLevel="0" collapsed="false">
      <c r="A2956" s="0" t="n">
        <v>989</v>
      </c>
      <c r="B2956" s="0" t="s">
        <v>6715</v>
      </c>
      <c r="C2956" s="0" t="s">
        <v>6705</v>
      </c>
      <c r="D2956" s="0" t="s">
        <v>13701</v>
      </c>
      <c r="E2956" s="0" t="s">
        <v>115</v>
      </c>
    </row>
    <row r="2957" customFormat="false" ht="15" hidden="false" customHeight="false" outlineLevel="0" collapsed="false">
      <c r="A2957" s="0" t="n">
        <v>989</v>
      </c>
      <c r="B2957" s="0" t="s">
        <v>6715</v>
      </c>
      <c r="C2957" s="0" t="s">
        <v>6706</v>
      </c>
      <c r="D2957" s="0" t="s">
        <v>13702</v>
      </c>
      <c r="E2957" s="0" t="s">
        <v>115</v>
      </c>
    </row>
    <row r="2958" customFormat="false" ht="15" hidden="false" customHeight="false" outlineLevel="0" collapsed="false">
      <c r="A2958" s="0" t="n">
        <v>990</v>
      </c>
      <c r="B2958" s="0" t="s">
        <v>6719</v>
      </c>
      <c r="C2958" s="0" t="s">
        <v>6721</v>
      </c>
      <c r="E2958" s="0" t="s">
        <v>79</v>
      </c>
      <c r="F2958" s="0" t="s">
        <v>13703</v>
      </c>
    </row>
    <row r="2959" customFormat="false" ht="15" hidden="false" customHeight="false" outlineLevel="0" collapsed="false">
      <c r="A2959" s="0" t="n">
        <v>990</v>
      </c>
      <c r="B2959" s="0" t="s">
        <v>6719</v>
      </c>
      <c r="C2959" s="0" t="s">
        <v>6722</v>
      </c>
      <c r="E2959" s="0" t="s">
        <v>79</v>
      </c>
      <c r="F2959" s="0" t="s">
        <v>13704</v>
      </c>
    </row>
    <row r="2960" customFormat="false" ht="15" hidden="false" customHeight="false" outlineLevel="0" collapsed="false">
      <c r="A2960" s="0" t="n">
        <v>990</v>
      </c>
      <c r="B2960" s="0" t="s">
        <v>6719</v>
      </c>
      <c r="C2960" s="0" t="s">
        <v>6723</v>
      </c>
      <c r="E2960" s="0" t="s">
        <v>79</v>
      </c>
      <c r="F2960" s="0" t="s">
        <v>13705</v>
      </c>
    </row>
    <row r="2961" customFormat="false" ht="15" hidden="false" customHeight="false" outlineLevel="0" collapsed="false">
      <c r="A2961" s="0" t="n">
        <v>990</v>
      </c>
      <c r="B2961" s="0" t="s">
        <v>6719</v>
      </c>
      <c r="C2961" s="0" t="s">
        <v>13706</v>
      </c>
      <c r="E2961" s="0" t="s">
        <v>79</v>
      </c>
      <c r="F2961" s="0" t="s">
        <v>13707</v>
      </c>
    </row>
    <row r="2962" customFormat="false" ht="15" hidden="false" customHeight="false" outlineLevel="0" collapsed="false">
      <c r="A2962" s="0" t="n">
        <v>990</v>
      </c>
      <c r="B2962" s="0" t="s">
        <v>6719</v>
      </c>
      <c r="C2962" s="0" t="s">
        <v>13708</v>
      </c>
      <c r="E2962" s="0" t="s">
        <v>79</v>
      </c>
      <c r="F2962" s="0" t="s">
        <v>13709</v>
      </c>
    </row>
    <row r="2963" customFormat="false" ht="15" hidden="false" customHeight="false" outlineLevel="0" collapsed="false">
      <c r="A2963" s="0" t="n">
        <v>992</v>
      </c>
      <c r="B2963" s="0" t="s">
        <v>6728</v>
      </c>
      <c r="C2963" s="0" t="s">
        <v>6730</v>
      </c>
      <c r="E2963" s="0" t="s">
        <v>79</v>
      </c>
      <c r="F2963" s="0" t="s">
        <v>13710</v>
      </c>
    </row>
    <row r="2964" customFormat="false" ht="15" hidden="false" customHeight="false" outlineLevel="0" collapsed="false">
      <c r="A2964" s="0" t="n">
        <v>992</v>
      </c>
      <c r="B2964" s="0" t="s">
        <v>6728</v>
      </c>
      <c r="C2964" s="0" t="s">
        <v>6731</v>
      </c>
      <c r="E2964" s="0" t="s">
        <v>79</v>
      </c>
      <c r="F2964" s="0" t="s">
        <v>13711</v>
      </c>
    </row>
    <row r="2965" customFormat="false" ht="15" hidden="false" customHeight="false" outlineLevel="0" collapsed="false">
      <c r="A2965" s="0" t="n">
        <v>993</v>
      </c>
      <c r="B2965" s="0" t="s">
        <v>6732</v>
      </c>
      <c r="C2965" s="0" t="s">
        <v>6734</v>
      </c>
      <c r="E2965" s="0" t="s">
        <v>79</v>
      </c>
      <c r="F2965" s="0" t="s">
        <v>13712</v>
      </c>
    </row>
    <row r="2966" customFormat="false" ht="15" hidden="false" customHeight="false" outlineLevel="0" collapsed="false">
      <c r="A2966" s="0" t="n">
        <v>993</v>
      </c>
      <c r="B2966" s="0" t="s">
        <v>6732</v>
      </c>
      <c r="C2966" s="0" t="s">
        <v>6735</v>
      </c>
      <c r="E2966" s="0" t="s">
        <v>79</v>
      </c>
      <c r="F2966" s="0" t="s">
        <v>13713</v>
      </c>
    </row>
    <row r="2967" customFormat="false" ht="15" hidden="false" customHeight="false" outlineLevel="0" collapsed="false">
      <c r="A2967" s="0" t="n">
        <v>993</v>
      </c>
      <c r="B2967" s="0" t="s">
        <v>6732</v>
      </c>
      <c r="C2967" s="0" t="s">
        <v>6736</v>
      </c>
      <c r="E2967" s="0" t="s">
        <v>79</v>
      </c>
      <c r="F2967" s="0" t="s">
        <v>13714</v>
      </c>
    </row>
    <row r="2968" customFormat="false" ht="15" hidden="false" customHeight="false" outlineLevel="0" collapsed="false">
      <c r="A2968" s="0" t="n">
        <v>993</v>
      </c>
      <c r="B2968" s="0" t="s">
        <v>6732</v>
      </c>
      <c r="C2968" s="0" t="s">
        <v>13715</v>
      </c>
      <c r="E2968" s="0" t="s">
        <v>79</v>
      </c>
      <c r="F2968" s="0" t="s">
        <v>13716</v>
      </c>
    </row>
    <row r="2969" customFormat="false" ht="15" hidden="false" customHeight="false" outlineLevel="0" collapsed="false">
      <c r="A2969" s="0" t="n">
        <v>993</v>
      </c>
      <c r="B2969" s="0" t="s">
        <v>6732</v>
      </c>
      <c r="C2969" s="0" t="s">
        <v>13717</v>
      </c>
      <c r="E2969" s="0" t="s">
        <v>79</v>
      </c>
      <c r="F2969" s="0" t="s">
        <v>13718</v>
      </c>
    </row>
    <row r="2970" customFormat="false" ht="15" hidden="false" customHeight="false" outlineLevel="0" collapsed="false">
      <c r="A2970" s="0" t="n">
        <v>995</v>
      </c>
      <c r="B2970" s="0" t="s">
        <v>6738</v>
      </c>
      <c r="C2970" s="0" t="s">
        <v>6741</v>
      </c>
      <c r="E2970" s="0" t="s">
        <v>79</v>
      </c>
      <c r="F2970" s="0" t="s">
        <v>13719</v>
      </c>
    </row>
    <row r="2971" customFormat="false" ht="15" hidden="false" customHeight="false" outlineLevel="0" collapsed="false">
      <c r="A2971" s="0" t="n">
        <v>995</v>
      </c>
      <c r="B2971" s="0" t="s">
        <v>6738</v>
      </c>
      <c r="C2971" s="0" t="s">
        <v>6742</v>
      </c>
      <c r="E2971" s="0" t="s">
        <v>79</v>
      </c>
      <c r="F2971" s="0" t="s">
        <v>13720</v>
      </c>
    </row>
    <row r="2972" customFormat="false" ht="15" hidden="false" customHeight="false" outlineLevel="0" collapsed="false">
      <c r="A2972" s="0" t="n">
        <v>997</v>
      </c>
      <c r="B2972" s="0" t="s">
        <v>6746</v>
      </c>
      <c r="C2972" s="0" t="s">
        <v>6749</v>
      </c>
      <c r="E2972" s="0" t="s">
        <v>79</v>
      </c>
      <c r="F2972" s="0" t="s">
        <v>13721</v>
      </c>
    </row>
    <row r="2973" customFormat="false" ht="15" hidden="false" customHeight="false" outlineLevel="0" collapsed="false">
      <c r="A2973" s="0" t="n">
        <v>997</v>
      </c>
      <c r="B2973" s="0" t="s">
        <v>6746</v>
      </c>
      <c r="C2973" s="0" t="s">
        <v>6750</v>
      </c>
      <c r="E2973" s="0" t="s">
        <v>79</v>
      </c>
      <c r="F2973" s="0" t="s">
        <v>13722</v>
      </c>
    </row>
    <row r="2974" customFormat="false" ht="15" hidden="false" customHeight="false" outlineLevel="0" collapsed="false">
      <c r="A2974" s="0" t="n">
        <v>997</v>
      </c>
      <c r="B2974" s="0" t="s">
        <v>6746</v>
      </c>
      <c r="C2974" s="0" t="s">
        <v>6751</v>
      </c>
      <c r="E2974" s="0" t="s">
        <v>79</v>
      </c>
      <c r="F2974" s="0" t="s">
        <v>13723</v>
      </c>
    </row>
    <row r="2975" customFormat="false" ht="15" hidden="false" customHeight="false" outlineLevel="0" collapsed="false">
      <c r="A2975" s="0" t="n">
        <v>997</v>
      </c>
      <c r="B2975" s="0" t="s">
        <v>6746</v>
      </c>
      <c r="C2975" s="0" t="s">
        <v>13724</v>
      </c>
      <c r="E2975" s="0" t="s">
        <v>79</v>
      </c>
      <c r="F2975" s="0" t="s">
        <v>13725</v>
      </c>
    </row>
    <row r="2976" customFormat="false" ht="15" hidden="false" customHeight="false" outlineLevel="0" collapsed="false">
      <c r="A2976" s="0" t="n">
        <v>997</v>
      </c>
      <c r="B2976" s="0" t="s">
        <v>6746</v>
      </c>
      <c r="C2976" s="0" t="s">
        <v>13726</v>
      </c>
      <c r="E2976" s="0" t="s">
        <v>79</v>
      </c>
      <c r="F2976" s="0" t="s">
        <v>13727</v>
      </c>
    </row>
    <row r="2977" customFormat="false" ht="15" hidden="false" customHeight="false" outlineLevel="0" collapsed="false">
      <c r="A2977" s="0" t="n">
        <v>998</v>
      </c>
      <c r="B2977" s="0" t="s">
        <v>6755</v>
      </c>
      <c r="C2977" s="0" t="s">
        <v>6758</v>
      </c>
      <c r="E2977" s="0" t="s">
        <v>79</v>
      </c>
      <c r="F2977" s="0" t="s">
        <v>13728</v>
      </c>
    </row>
    <row r="2978" customFormat="false" ht="15" hidden="false" customHeight="false" outlineLevel="0" collapsed="false">
      <c r="A2978" s="0" t="n">
        <v>998</v>
      </c>
      <c r="B2978" s="0" t="s">
        <v>6755</v>
      </c>
      <c r="C2978" s="0" t="s">
        <v>6759</v>
      </c>
      <c r="E2978" s="0" t="s">
        <v>79</v>
      </c>
      <c r="F2978" s="0" t="s">
        <v>13729</v>
      </c>
    </row>
    <row r="2979" customFormat="false" ht="15" hidden="false" customHeight="false" outlineLevel="0" collapsed="false">
      <c r="A2979" s="0" t="n">
        <v>999</v>
      </c>
      <c r="B2979" s="0" t="s">
        <v>6760</v>
      </c>
      <c r="C2979" s="0" t="s">
        <v>6763</v>
      </c>
      <c r="E2979" s="0" t="s">
        <v>79</v>
      </c>
      <c r="F2979" s="0" t="s">
        <v>13730</v>
      </c>
    </row>
    <row r="2980" customFormat="false" ht="15" hidden="false" customHeight="false" outlineLevel="0" collapsed="false">
      <c r="A2980" s="0" t="n">
        <v>999</v>
      </c>
      <c r="B2980" s="0" t="s">
        <v>6760</v>
      </c>
      <c r="C2980" s="0" t="s">
        <v>6764</v>
      </c>
      <c r="E2980" s="0" t="s">
        <v>79</v>
      </c>
      <c r="F2980" s="0" t="s">
        <v>13731</v>
      </c>
    </row>
    <row r="2981" customFormat="false" ht="15" hidden="false" customHeight="false" outlineLevel="0" collapsed="false">
      <c r="A2981" s="0" t="n">
        <v>999</v>
      </c>
      <c r="B2981" s="0" t="s">
        <v>6760</v>
      </c>
      <c r="C2981" s="0" t="s">
        <v>6765</v>
      </c>
      <c r="E2981" s="0" t="s">
        <v>79</v>
      </c>
      <c r="F2981" s="0" t="s">
        <v>13732</v>
      </c>
    </row>
    <row r="2982" customFormat="false" ht="15" hidden="false" customHeight="false" outlineLevel="0" collapsed="false">
      <c r="A2982" s="0" t="n">
        <v>999</v>
      </c>
      <c r="B2982" s="0" t="s">
        <v>6760</v>
      </c>
      <c r="C2982" s="0" t="s">
        <v>13733</v>
      </c>
      <c r="E2982" s="0" t="s">
        <v>79</v>
      </c>
      <c r="F2982" s="0" t="s">
        <v>13734</v>
      </c>
    </row>
    <row r="2983" customFormat="false" ht="15" hidden="false" customHeight="false" outlineLevel="0" collapsed="false">
      <c r="A2983" s="0" t="n">
        <v>1001</v>
      </c>
      <c r="B2983" s="0" t="s">
        <v>6772</v>
      </c>
      <c r="C2983" s="0" t="s">
        <v>6774</v>
      </c>
      <c r="E2983" s="0" t="s">
        <v>79</v>
      </c>
      <c r="F2983" s="0" t="s">
        <v>13735</v>
      </c>
    </row>
    <row r="2984" customFormat="false" ht="15" hidden="false" customHeight="false" outlineLevel="0" collapsed="false">
      <c r="A2984" s="0" t="n">
        <v>1001</v>
      </c>
      <c r="B2984" s="0" t="s">
        <v>6772</v>
      </c>
      <c r="C2984" s="0" t="s">
        <v>6775</v>
      </c>
      <c r="E2984" s="0" t="s">
        <v>79</v>
      </c>
      <c r="F2984" s="0" t="s">
        <v>13736</v>
      </c>
    </row>
    <row r="2985" customFormat="false" ht="15" hidden="false" customHeight="false" outlineLevel="0" collapsed="false">
      <c r="A2985" s="0" t="n">
        <v>1001</v>
      </c>
      <c r="B2985" s="0" t="s">
        <v>6772</v>
      </c>
      <c r="C2985" s="0" t="s">
        <v>6776</v>
      </c>
      <c r="E2985" s="0" t="s">
        <v>79</v>
      </c>
      <c r="F2985" s="0" t="s">
        <v>13737</v>
      </c>
    </row>
    <row r="2986" customFormat="false" ht="15" hidden="false" customHeight="false" outlineLevel="0" collapsed="false">
      <c r="A2986" s="0" t="n">
        <v>1001</v>
      </c>
      <c r="B2986" s="0" t="s">
        <v>6772</v>
      </c>
      <c r="C2986" s="0" t="s">
        <v>13738</v>
      </c>
      <c r="E2986" s="0" t="s">
        <v>79</v>
      </c>
      <c r="F2986" s="0" t="s">
        <v>13739</v>
      </c>
    </row>
    <row r="2987" customFormat="false" ht="15" hidden="false" customHeight="false" outlineLevel="0" collapsed="false">
      <c r="A2987" s="0" t="n">
        <v>1001</v>
      </c>
      <c r="B2987" s="0" t="s">
        <v>6772</v>
      </c>
      <c r="C2987" s="0" t="s">
        <v>13740</v>
      </c>
      <c r="E2987" s="0" t="s">
        <v>79</v>
      </c>
      <c r="F2987" s="0" t="s">
        <v>13741</v>
      </c>
    </row>
    <row r="2988" customFormat="false" ht="15" hidden="false" customHeight="false" outlineLevel="0" collapsed="false">
      <c r="A2988" s="0" t="n">
        <v>1002</v>
      </c>
      <c r="B2988" s="0" t="s">
        <v>6777</v>
      </c>
      <c r="C2988" s="0" t="s">
        <v>6780</v>
      </c>
      <c r="E2988" s="0" t="s">
        <v>79</v>
      </c>
      <c r="F2988" s="0" t="s">
        <v>13742</v>
      </c>
    </row>
    <row r="2989" customFormat="false" ht="15" hidden="false" customHeight="false" outlineLevel="0" collapsed="false">
      <c r="A2989" s="0" t="n">
        <v>1002</v>
      </c>
      <c r="B2989" s="0" t="s">
        <v>6777</v>
      </c>
      <c r="C2989" s="0" t="s">
        <v>6781</v>
      </c>
      <c r="E2989" s="0" t="s">
        <v>79</v>
      </c>
      <c r="F2989" s="0" t="s">
        <v>13743</v>
      </c>
    </row>
    <row r="2990" customFormat="false" ht="15" hidden="false" customHeight="false" outlineLevel="0" collapsed="false">
      <c r="A2990" s="0" t="n">
        <v>1002</v>
      </c>
      <c r="B2990" s="0" t="s">
        <v>6777</v>
      </c>
      <c r="C2990" s="0" t="s">
        <v>6782</v>
      </c>
      <c r="E2990" s="0" t="s">
        <v>79</v>
      </c>
      <c r="F2990" s="0" t="s">
        <v>13744</v>
      </c>
    </row>
    <row r="2991" customFormat="false" ht="15" hidden="false" customHeight="false" outlineLevel="0" collapsed="false">
      <c r="A2991" s="0" t="n">
        <v>1002</v>
      </c>
      <c r="B2991" s="0" t="s">
        <v>6777</v>
      </c>
      <c r="C2991" s="0" t="s">
        <v>13745</v>
      </c>
      <c r="E2991" s="0" t="s">
        <v>79</v>
      </c>
      <c r="F2991" s="0" t="s">
        <v>13746</v>
      </c>
    </row>
    <row r="2992" customFormat="false" ht="15" hidden="false" customHeight="false" outlineLevel="0" collapsed="false">
      <c r="A2992" s="0" t="n">
        <v>1002</v>
      </c>
      <c r="B2992" s="0" t="s">
        <v>6777</v>
      </c>
      <c r="C2992" s="0" t="s">
        <v>13747</v>
      </c>
      <c r="E2992" s="0" t="s">
        <v>79</v>
      </c>
      <c r="F2992" s="0" t="s">
        <v>13748</v>
      </c>
    </row>
    <row r="2993" customFormat="false" ht="15" hidden="false" customHeight="false" outlineLevel="0" collapsed="false">
      <c r="A2993" s="0" t="n">
        <v>1004</v>
      </c>
      <c r="B2993" s="0" t="s">
        <v>6793</v>
      </c>
      <c r="C2993" s="0" t="s">
        <v>6795</v>
      </c>
      <c r="E2993" s="0" t="s">
        <v>79</v>
      </c>
      <c r="F2993" s="0" t="s">
        <v>13749</v>
      </c>
    </row>
    <row r="2994" customFormat="false" ht="15" hidden="false" customHeight="false" outlineLevel="0" collapsed="false">
      <c r="A2994" s="0" t="n">
        <v>1004</v>
      </c>
      <c r="B2994" s="0" t="s">
        <v>6793</v>
      </c>
      <c r="C2994" s="0" t="s">
        <v>6796</v>
      </c>
      <c r="E2994" s="0" t="s">
        <v>79</v>
      </c>
      <c r="F2994" s="0" t="s">
        <v>13750</v>
      </c>
    </row>
    <row r="2995" customFormat="false" ht="15" hidden="false" customHeight="false" outlineLevel="0" collapsed="false">
      <c r="A2995" s="0" t="n">
        <v>1004</v>
      </c>
      <c r="B2995" s="0" t="s">
        <v>6793</v>
      </c>
      <c r="C2995" s="0" t="s">
        <v>6797</v>
      </c>
      <c r="E2995" s="0" t="s">
        <v>79</v>
      </c>
      <c r="F2995" s="0" t="s">
        <v>13751</v>
      </c>
    </row>
    <row r="2996" customFormat="false" ht="15" hidden="false" customHeight="false" outlineLevel="0" collapsed="false">
      <c r="A2996" s="0" t="n">
        <v>1004</v>
      </c>
      <c r="B2996" s="0" t="s">
        <v>6793</v>
      </c>
      <c r="C2996" s="0" t="s">
        <v>13752</v>
      </c>
      <c r="E2996" s="0" t="s">
        <v>79</v>
      </c>
      <c r="F2996" s="0" t="s">
        <v>13753</v>
      </c>
    </row>
    <row r="2997" customFormat="false" ht="15" hidden="false" customHeight="false" outlineLevel="0" collapsed="false">
      <c r="A2997" s="0" t="n">
        <v>1004</v>
      </c>
      <c r="B2997" s="0" t="s">
        <v>6793</v>
      </c>
      <c r="C2997" s="0" t="s">
        <v>13754</v>
      </c>
      <c r="E2997" s="0" t="s">
        <v>79</v>
      </c>
      <c r="F2997" s="0" t="s">
        <v>13755</v>
      </c>
    </row>
    <row r="2998" customFormat="false" ht="15" hidden="false" customHeight="false" outlineLevel="0" collapsed="false">
      <c r="A2998" s="0" t="n">
        <v>1008</v>
      </c>
      <c r="B2998" s="0" t="s">
        <v>6811</v>
      </c>
      <c r="C2998" s="0" t="s">
        <v>6813</v>
      </c>
      <c r="E2998" s="0" t="s">
        <v>79</v>
      </c>
      <c r="F2998" s="0" t="s">
        <v>13756</v>
      </c>
    </row>
    <row r="2999" customFormat="false" ht="15" hidden="false" customHeight="false" outlineLevel="0" collapsed="false">
      <c r="A2999" s="0" t="n">
        <v>1008</v>
      </c>
      <c r="B2999" s="0" t="s">
        <v>6811</v>
      </c>
      <c r="C2999" s="0" t="s">
        <v>6814</v>
      </c>
      <c r="E2999" s="0" t="s">
        <v>79</v>
      </c>
      <c r="F2999" s="0" t="s">
        <v>13757</v>
      </c>
    </row>
    <row r="3000" customFormat="false" ht="15" hidden="false" customHeight="false" outlineLevel="0" collapsed="false">
      <c r="A3000" s="0" t="n">
        <v>1008</v>
      </c>
      <c r="B3000" s="0" t="s">
        <v>6811</v>
      </c>
      <c r="C3000" s="0" t="s">
        <v>6815</v>
      </c>
      <c r="E3000" s="0" t="s">
        <v>79</v>
      </c>
      <c r="F3000" s="0" t="s">
        <v>13758</v>
      </c>
    </row>
    <row r="3001" customFormat="false" ht="15" hidden="false" customHeight="false" outlineLevel="0" collapsed="false">
      <c r="A3001" s="0" t="n">
        <v>1008</v>
      </c>
      <c r="B3001" s="0" t="s">
        <v>6811</v>
      </c>
      <c r="C3001" s="0" t="s">
        <v>13759</v>
      </c>
      <c r="E3001" s="0" t="s">
        <v>79</v>
      </c>
      <c r="F3001" s="0" t="s">
        <v>13760</v>
      </c>
    </row>
    <row r="3002" customFormat="false" ht="15" hidden="false" customHeight="false" outlineLevel="0" collapsed="false">
      <c r="A3002" s="0" t="n">
        <v>1008</v>
      </c>
      <c r="B3002" s="0" t="s">
        <v>6811</v>
      </c>
      <c r="C3002" s="0" t="s">
        <v>13761</v>
      </c>
      <c r="E3002" s="0" t="s">
        <v>79</v>
      </c>
      <c r="F3002" s="0" t="s">
        <v>13762</v>
      </c>
    </row>
    <row r="3003" customFormat="false" ht="15" hidden="false" customHeight="false" outlineLevel="0" collapsed="false">
      <c r="A3003" s="0" t="n">
        <v>1010</v>
      </c>
      <c r="B3003" s="0" t="s">
        <v>6822</v>
      </c>
      <c r="C3003" s="0" t="s">
        <v>6826</v>
      </c>
      <c r="E3003" s="0" t="s">
        <v>79</v>
      </c>
      <c r="F3003" s="0" t="s">
        <v>13763</v>
      </c>
    </row>
    <row r="3004" customFormat="false" ht="15" hidden="false" customHeight="false" outlineLevel="0" collapsed="false">
      <c r="A3004" s="0" t="n">
        <v>1010</v>
      </c>
      <c r="B3004" s="0" t="s">
        <v>6822</v>
      </c>
      <c r="C3004" s="0" t="s">
        <v>6827</v>
      </c>
      <c r="E3004" s="0" t="s">
        <v>79</v>
      </c>
      <c r="F3004" s="0" t="s">
        <v>13764</v>
      </c>
    </row>
    <row r="3005" customFormat="false" ht="15" hidden="false" customHeight="false" outlineLevel="0" collapsed="false">
      <c r="A3005" s="0" t="n">
        <v>1010</v>
      </c>
      <c r="B3005" s="0" t="s">
        <v>6822</v>
      </c>
      <c r="C3005" s="0" t="s">
        <v>6828</v>
      </c>
      <c r="E3005" s="0" t="s">
        <v>79</v>
      </c>
      <c r="F3005" s="0" t="s">
        <v>13765</v>
      </c>
    </row>
    <row r="3006" customFormat="false" ht="15" hidden="false" customHeight="false" outlineLevel="0" collapsed="false">
      <c r="A3006" s="0" t="n">
        <v>1010</v>
      </c>
      <c r="B3006" s="0" t="s">
        <v>6822</v>
      </c>
      <c r="C3006" s="0" t="s">
        <v>13766</v>
      </c>
      <c r="E3006" s="0" t="s">
        <v>79</v>
      </c>
      <c r="F3006" s="0" t="s">
        <v>13767</v>
      </c>
    </row>
    <row r="3007" customFormat="false" ht="15" hidden="false" customHeight="false" outlineLevel="0" collapsed="false">
      <c r="A3007" s="0" t="n">
        <v>1010</v>
      </c>
      <c r="B3007" s="0" t="s">
        <v>6822</v>
      </c>
      <c r="C3007" s="0" t="s">
        <v>13768</v>
      </c>
      <c r="E3007" s="0" t="s">
        <v>79</v>
      </c>
      <c r="F3007" s="0" t="s">
        <v>13769</v>
      </c>
    </row>
    <row r="3008" customFormat="false" ht="15" hidden="false" customHeight="false" outlineLevel="0" collapsed="false">
      <c r="A3008" s="0" t="n">
        <v>1012</v>
      </c>
      <c r="B3008" s="0" t="s">
        <v>6839</v>
      </c>
      <c r="C3008" s="0" t="s">
        <v>6842</v>
      </c>
      <c r="E3008" s="0" t="s">
        <v>79</v>
      </c>
      <c r="F3008" s="0" t="s">
        <v>13770</v>
      </c>
    </row>
    <row r="3009" customFormat="false" ht="15" hidden="false" customHeight="false" outlineLevel="0" collapsed="false">
      <c r="A3009" s="0" t="n">
        <v>1012</v>
      </c>
      <c r="B3009" s="0" t="s">
        <v>6839</v>
      </c>
      <c r="C3009" s="0" t="s">
        <v>6843</v>
      </c>
      <c r="E3009" s="0" t="s">
        <v>79</v>
      </c>
      <c r="F3009" s="0" t="s">
        <v>13771</v>
      </c>
    </row>
    <row r="3010" customFormat="false" ht="15" hidden="false" customHeight="false" outlineLevel="0" collapsed="false">
      <c r="A3010" s="0" t="n">
        <v>1012</v>
      </c>
      <c r="B3010" s="0" t="s">
        <v>6839</v>
      </c>
      <c r="C3010" s="0" t="s">
        <v>6844</v>
      </c>
      <c r="E3010" s="0" t="s">
        <v>79</v>
      </c>
      <c r="F3010" s="0" t="s">
        <v>13772</v>
      </c>
    </row>
    <row r="3011" customFormat="false" ht="15" hidden="false" customHeight="false" outlineLevel="0" collapsed="false">
      <c r="A3011" s="0" t="n">
        <v>1012</v>
      </c>
      <c r="B3011" s="0" t="s">
        <v>6839</v>
      </c>
      <c r="C3011" s="0" t="s">
        <v>13773</v>
      </c>
      <c r="E3011" s="0" t="s">
        <v>79</v>
      </c>
      <c r="F3011" s="0" t="s">
        <v>13774</v>
      </c>
    </row>
    <row r="3012" customFormat="false" ht="15" hidden="false" customHeight="false" outlineLevel="0" collapsed="false">
      <c r="A3012" s="0" t="n">
        <v>1012</v>
      </c>
      <c r="B3012" s="0" t="s">
        <v>6839</v>
      </c>
      <c r="C3012" s="0" t="s">
        <v>13775</v>
      </c>
      <c r="E3012" s="0" t="s">
        <v>79</v>
      </c>
      <c r="F3012" s="0" t="s">
        <v>13776</v>
      </c>
    </row>
    <row r="3013" customFormat="false" ht="15" hidden="false" customHeight="false" outlineLevel="0" collapsed="false">
      <c r="A3013" s="0" t="n">
        <v>1013</v>
      </c>
      <c r="B3013" s="0" t="s">
        <v>6849</v>
      </c>
      <c r="C3013" s="0" t="s">
        <v>6851</v>
      </c>
      <c r="E3013" s="0" t="s">
        <v>79</v>
      </c>
      <c r="F3013" s="0" t="s">
        <v>13777</v>
      </c>
    </row>
    <row r="3014" customFormat="false" ht="15" hidden="false" customHeight="false" outlineLevel="0" collapsed="false">
      <c r="A3014" s="0" t="n">
        <v>1013</v>
      </c>
      <c r="B3014" s="0" t="s">
        <v>6849</v>
      </c>
      <c r="C3014" s="0" t="s">
        <v>6852</v>
      </c>
      <c r="E3014" s="0" t="s">
        <v>79</v>
      </c>
      <c r="F3014" s="0" t="s">
        <v>13778</v>
      </c>
    </row>
    <row r="3015" customFormat="false" ht="15" hidden="false" customHeight="false" outlineLevel="0" collapsed="false">
      <c r="A3015" s="0" t="n">
        <v>1013</v>
      </c>
      <c r="B3015" s="0" t="s">
        <v>6849</v>
      </c>
      <c r="C3015" s="0" t="s">
        <v>6853</v>
      </c>
      <c r="E3015" s="0" t="s">
        <v>79</v>
      </c>
      <c r="F3015" s="0" t="s">
        <v>13779</v>
      </c>
    </row>
    <row r="3016" customFormat="false" ht="15" hidden="false" customHeight="false" outlineLevel="0" collapsed="false">
      <c r="A3016" s="0" t="n">
        <v>1013</v>
      </c>
      <c r="B3016" s="0" t="s">
        <v>6849</v>
      </c>
      <c r="C3016" s="0" t="s">
        <v>13780</v>
      </c>
      <c r="E3016" s="0" t="s">
        <v>79</v>
      </c>
      <c r="F3016" s="0" t="s">
        <v>13781</v>
      </c>
    </row>
    <row r="3017" customFormat="false" ht="15" hidden="false" customHeight="false" outlineLevel="0" collapsed="false">
      <c r="A3017" s="0" t="n">
        <v>1013</v>
      </c>
      <c r="B3017" s="0" t="s">
        <v>6849</v>
      </c>
      <c r="C3017" s="0" t="s">
        <v>13782</v>
      </c>
      <c r="E3017" s="0" t="s">
        <v>79</v>
      </c>
      <c r="F3017" s="0" t="s">
        <v>13783</v>
      </c>
    </row>
    <row r="3018" customFormat="false" ht="15" hidden="false" customHeight="false" outlineLevel="0" collapsed="false">
      <c r="A3018" s="0" t="n">
        <v>1014</v>
      </c>
      <c r="B3018" s="0" t="s">
        <v>6854</v>
      </c>
      <c r="C3018" s="0" t="s">
        <v>6859</v>
      </c>
      <c r="E3018" s="0" t="s">
        <v>79</v>
      </c>
      <c r="F3018" s="0" t="s">
        <v>13784</v>
      </c>
    </row>
    <row r="3019" customFormat="false" ht="15" hidden="false" customHeight="false" outlineLevel="0" collapsed="false">
      <c r="A3019" s="0" t="n">
        <v>1014</v>
      </c>
      <c r="B3019" s="0" t="s">
        <v>6854</v>
      </c>
      <c r="C3019" s="0" t="s">
        <v>6860</v>
      </c>
      <c r="E3019" s="0" t="s">
        <v>79</v>
      </c>
      <c r="F3019" s="0" t="s">
        <v>13785</v>
      </c>
    </row>
    <row r="3020" customFormat="false" ht="15" hidden="false" customHeight="false" outlineLevel="0" collapsed="false">
      <c r="A3020" s="0" t="n">
        <v>1014</v>
      </c>
      <c r="B3020" s="0" t="s">
        <v>6854</v>
      </c>
      <c r="C3020" s="0" t="s">
        <v>6861</v>
      </c>
      <c r="E3020" s="0" t="s">
        <v>79</v>
      </c>
      <c r="F3020" s="0" t="s">
        <v>13786</v>
      </c>
    </row>
    <row r="3021" customFormat="false" ht="15" hidden="false" customHeight="false" outlineLevel="0" collapsed="false">
      <c r="A3021" s="0" t="n">
        <v>1014</v>
      </c>
      <c r="B3021" s="0" t="s">
        <v>6854</v>
      </c>
      <c r="C3021" s="0" t="s">
        <v>13787</v>
      </c>
      <c r="E3021" s="0" t="s">
        <v>79</v>
      </c>
      <c r="F3021" s="0" t="s">
        <v>13788</v>
      </c>
    </row>
    <row r="3022" customFormat="false" ht="15" hidden="false" customHeight="false" outlineLevel="0" collapsed="false">
      <c r="A3022" s="0" t="n">
        <v>1014</v>
      </c>
      <c r="B3022" s="0" t="s">
        <v>6854</v>
      </c>
      <c r="C3022" s="0" t="s">
        <v>13789</v>
      </c>
      <c r="E3022" s="0" t="s">
        <v>79</v>
      </c>
      <c r="F3022" s="0" t="s">
        <v>13790</v>
      </c>
    </row>
    <row r="3023" customFormat="false" ht="15" hidden="false" customHeight="false" outlineLevel="0" collapsed="false">
      <c r="A3023" s="0" t="n">
        <v>1016</v>
      </c>
      <c r="B3023" s="0" t="s">
        <v>6869</v>
      </c>
      <c r="C3023" s="0" t="s">
        <v>6871</v>
      </c>
      <c r="E3023" s="0" t="s">
        <v>79</v>
      </c>
      <c r="F3023" s="0" t="s">
        <v>13791</v>
      </c>
    </row>
    <row r="3024" customFormat="false" ht="15" hidden="false" customHeight="false" outlineLevel="0" collapsed="false">
      <c r="A3024" s="0" t="n">
        <v>1016</v>
      </c>
      <c r="B3024" s="0" t="s">
        <v>6869</v>
      </c>
      <c r="C3024" s="0" t="s">
        <v>6872</v>
      </c>
      <c r="E3024" s="0" t="s">
        <v>79</v>
      </c>
      <c r="F3024" s="0" t="s">
        <v>13792</v>
      </c>
    </row>
    <row r="3025" customFormat="false" ht="15" hidden="false" customHeight="false" outlineLevel="0" collapsed="false">
      <c r="A3025" s="0" t="n">
        <v>1016</v>
      </c>
      <c r="B3025" s="0" t="s">
        <v>6869</v>
      </c>
      <c r="C3025" s="0" t="s">
        <v>6873</v>
      </c>
      <c r="E3025" s="0" t="s">
        <v>79</v>
      </c>
      <c r="F3025" s="0" t="s">
        <v>13793</v>
      </c>
    </row>
    <row r="3026" customFormat="false" ht="15" hidden="false" customHeight="false" outlineLevel="0" collapsed="false">
      <c r="A3026" s="0" t="n">
        <v>1020</v>
      </c>
      <c r="B3026" s="0" t="s">
        <v>6883</v>
      </c>
      <c r="C3026" s="0" t="s">
        <v>6886</v>
      </c>
      <c r="E3026" s="0" t="s">
        <v>79</v>
      </c>
      <c r="F3026" s="0" t="s">
        <v>13794</v>
      </c>
    </row>
    <row r="3027" customFormat="false" ht="15" hidden="false" customHeight="false" outlineLevel="0" collapsed="false">
      <c r="A3027" s="0" t="n">
        <v>1020</v>
      </c>
      <c r="B3027" s="0" t="s">
        <v>6883</v>
      </c>
      <c r="C3027" s="0" t="s">
        <v>6887</v>
      </c>
      <c r="E3027" s="0" t="s">
        <v>79</v>
      </c>
      <c r="F3027" s="0" t="s">
        <v>13795</v>
      </c>
    </row>
    <row r="3028" customFormat="false" ht="15" hidden="false" customHeight="false" outlineLevel="0" collapsed="false">
      <c r="A3028" s="0" t="n">
        <v>1020</v>
      </c>
      <c r="B3028" s="0" t="s">
        <v>6883</v>
      </c>
      <c r="C3028" s="0" t="s">
        <v>6888</v>
      </c>
      <c r="E3028" s="0" t="s">
        <v>79</v>
      </c>
      <c r="F3028" s="0" t="s">
        <v>13796</v>
      </c>
    </row>
    <row r="3029" customFormat="false" ht="15" hidden="false" customHeight="false" outlineLevel="0" collapsed="false">
      <c r="A3029" s="0" t="n">
        <v>1020</v>
      </c>
      <c r="B3029" s="0" t="s">
        <v>6883</v>
      </c>
      <c r="C3029" s="0" t="s">
        <v>13797</v>
      </c>
      <c r="E3029" s="0" t="s">
        <v>79</v>
      </c>
      <c r="F3029" s="0" t="s">
        <v>13798</v>
      </c>
    </row>
    <row r="3030" customFormat="false" ht="15" hidden="false" customHeight="false" outlineLevel="0" collapsed="false">
      <c r="A3030" s="0" t="n">
        <v>1020</v>
      </c>
      <c r="B3030" s="0" t="s">
        <v>6883</v>
      </c>
      <c r="C3030" s="0" t="s">
        <v>13799</v>
      </c>
      <c r="E3030" s="0" t="s">
        <v>79</v>
      </c>
      <c r="F3030" s="0" t="s">
        <v>13800</v>
      </c>
    </row>
    <row r="3031" customFormat="false" ht="15" hidden="false" customHeight="false" outlineLevel="0" collapsed="false">
      <c r="A3031" s="0" t="n">
        <v>1022</v>
      </c>
      <c r="B3031" s="0" t="s">
        <v>6897</v>
      </c>
      <c r="C3031" s="0" t="s">
        <v>6900</v>
      </c>
      <c r="E3031" s="0" t="s">
        <v>79</v>
      </c>
      <c r="F3031" s="0" t="s">
        <v>13801</v>
      </c>
    </row>
    <row r="3032" customFormat="false" ht="15" hidden="false" customHeight="false" outlineLevel="0" collapsed="false">
      <c r="A3032" s="0" t="n">
        <v>1022</v>
      </c>
      <c r="B3032" s="0" t="s">
        <v>6897</v>
      </c>
      <c r="C3032" s="0" t="s">
        <v>6901</v>
      </c>
      <c r="E3032" s="0" t="s">
        <v>79</v>
      </c>
      <c r="F3032" s="0" t="s">
        <v>13802</v>
      </c>
    </row>
    <row r="3033" customFormat="false" ht="15" hidden="false" customHeight="false" outlineLevel="0" collapsed="false">
      <c r="A3033" s="0" t="n">
        <v>1022</v>
      </c>
      <c r="B3033" s="0" t="s">
        <v>6897</v>
      </c>
      <c r="C3033" s="0" t="s">
        <v>6902</v>
      </c>
      <c r="E3033" s="0" t="s">
        <v>79</v>
      </c>
      <c r="F3033" s="0" t="s">
        <v>13803</v>
      </c>
    </row>
    <row r="3034" customFormat="false" ht="15" hidden="false" customHeight="false" outlineLevel="0" collapsed="false">
      <c r="A3034" s="0" t="n">
        <v>1022</v>
      </c>
      <c r="B3034" s="0" t="s">
        <v>6897</v>
      </c>
      <c r="C3034" s="0" t="s">
        <v>13804</v>
      </c>
      <c r="E3034" s="0" t="s">
        <v>79</v>
      </c>
      <c r="F3034" s="0" t="s">
        <v>13805</v>
      </c>
    </row>
    <row r="3035" customFormat="false" ht="15" hidden="false" customHeight="false" outlineLevel="0" collapsed="false">
      <c r="A3035" s="0" t="n">
        <v>1022</v>
      </c>
      <c r="B3035" s="0" t="s">
        <v>6897</v>
      </c>
      <c r="C3035" s="0" t="s">
        <v>13806</v>
      </c>
      <c r="E3035" s="0" t="s">
        <v>79</v>
      </c>
      <c r="F3035" s="0" t="s">
        <v>13807</v>
      </c>
    </row>
    <row r="3036" customFormat="false" ht="15" hidden="false" customHeight="false" outlineLevel="0" collapsed="false">
      <c r="A3036" s="0" t="n">
        <v>1024</v>
      </c>
      <c r="B3036" s="0" t="s">
        <v>6908</v>
      </c>
      <c r="C3036" s="0" t="s">
        <v>6911</v>
      </c>
      <c r="E3036" s="0" t="s">
        <v>79</v>
      </c>
      <c r="F3036" s="0" t="s">
        <v>13808</v>
      </c>
    </row>
    <row r="3037" customFormat="false" ht="15" hidden="false" customHeight="false" outlineLevel="0" collapsed="false">
      <c r="A3037" s="0" t="n">
        <v>1024</v>
      </c>
      <c r="B3037" s="0" t="s">
        <v>6908</v>
      </c>
      <c r="C3037" s="0" t="s">
        <v>6912</v>
      </c>
      <c r="E3037" s="0" t="s">
        <v>79</v>
      </c>
      <c r="F3037" s="0" t="s">
        <v>13809</v>
      </c>
    </row>
    <row r="3038" customFormat="false" ht="15" hidden="false" customHeight="false" outlineLevel="0" collapsed="false">
      <c r="A3038" s="0" t="n">
        <v>1026</v>
      </c>
      <c r="B3038" s="0" t="s">
        <v>6922</v>
      </c>
      <c r="C3038" s="0" t="s">
        <v>6924</v>
      </c>
      <c r="E3038" s="0" t="s">
        <v>79</v>
      </c>
      <c r="F3038" s="0" t="s">
        <v>13810</v>
      </c>
    </row>
    <row r="3039" customFormat="false" ht="15" hidden="false" customHeight="false" outlineLevel="0" collapsed="false">
      <c r="A3039" s="0" t="n">
        <v>1026</v>
      </c>
      <c r="B3039" s="0" t="s">
        <v>6922</v>
      </c>
      <c r="C3039" s="0" t="s">
        <v>6925</v>
      </c>
      <c r="E3039" s="0" t="s">
        <v>79</v>
      </c>
      <c r="F3039" s="0" t="s">
        <v>13811</v>
      </c>
    </row>
    <row r="3040" customFormat="false" ht="15" hidden="false" customHeight="false" outlineLevel="0" collapsed="false">
      <c r="A3040" s="0" t="n">
        <v>1026</v>
      </c>
      <c r="B3040" s="0" t="s">
        <v>6922</v>
      </c>
      <c r="C3040" s="0" t="s">
        <v>6926</v>
      </c>
      <c r="E3040" s="0" t="s">
        <v>79</v>
      </c>
      <c r="F3040" s="0" t="s">
        <v>13812</v>
      </c>
    </row>
    <row r="3041" customFormat="false" ht="15" hidden="false" customHeight="false" outlineLevel="0" collapsed="false">
      <c r="A3041" s="0" t="n">
        <v>1026</v>
      </c>
      <c r="B3041" s="0" t="s">
        <v>6922</v>
      </c>
      <c r="C3041" s="0" t="s">
        <v>13813</v>
      </c>
      <c r="E3041" s="0" t="s">
        <v>79</v>
      </c>
      <c r="F3041" s="0" t="s">
        <v>13814</v>
      </c>
    </row>
    <row r="3042" customFormat="false" ht="15" hidden="false" customHeight="false" outlineLevel="0" collapsed="false">
      <c r="A3042" s="0" t="n">
        <v>1026</v>
      </c>
      <c r="B3042" s="0" t="s">
        <v>6922</v>
      </c>
      <c r="C3042" s="0" t="s">
        <v>13815</v>
      </c>
      <c r="E3042" s="0" t="s">
        <v>79</v>
      </c>
      <c r="F3042" s="0" t="s">
        <v>13816</v>
      </c>
    </row>
    <row r="3043" customFormat="false" ht="15" hidden="false" customHeight="false" outlineLevel="0" collapsed="false">
      <c r="A3043" s="0" t="n">
        <v>1027</v>
      </c>
      <c r="B3043" s="0" t="s">
        <v>6927</v>
      </c>
      <c r="C3043" s="0" t="s">
        <v>6931</v>
      </c>
      <c r="E3043" s="0" t="s">
        <v>79</v>
      </c>
      <c r="F3043" s="0" t="s">
        <v>13817</v>
      </c>
    </row>
    <row r="3044" customFormat="false" ht="15" hidden="false" customHeight="false" outlineLevel="0" collapsed="false">
      <c r="A3044" s="0" t="n">
        <v>1027</v>
      </c>
      <c r="B3044" s="0" t="s">
        <v>6927</v>
      </c>
      <c r="C3044" s="0" t="s">
        <v>6932</v>
      </c>
      <c r="E3044" s="0" t="s">
        <v>79</v>
      </c>
      <c r="F3044" s="0" t="s">
        <v>13818</v>
      </c>
    </row>
    <row r="3045" customFormat="false" ht="15" hidden="false" customHeight="false" outlineLevel="0" collapsed="false">
      <c r="A3045" s="0" t="n">
        <v>1027</v>
      </c>
      <c r="B3045" s="0" t="s">
        <v>6927</v>
      </c>
      <c r="C3045" s="0" t="s">
        <v>6933</v>
      </c>
      <c r="E3045" s="0" t="s">
        <v>79</v>
      </c>
      <c r="F3045" s="0" t="s">
        <v>13819</v>
      </c>
    </row>
    <row r="3046" customFormat="false" ht="15" hidden="false" customHeight="false" outlineLevel="0" collapsed="false">
      <c r="A3046" s="0" t="n">
        <v>1027</v>
      </c>
      <c r="B3046" s="0" t="s">
        <v>6927</v>
      </c>
      <c r="C3046" s="0" t="s">
        <v>13820</v>
      </c>
      <c r="E3046" s="0" t="s">
        <v>79</v>
      </c>
      <c r="F3046" s="0" t="s">
        <v>13821</v>
      </c>
    </row>
    <row r="3047" customFormat="false" ht="15" hidden="false" customHeight="false" outlineLevel="0" collapsed="false">
      <c r="A3047" s="0" t="n">
        <v>1027</v>
      </c>
      <c r="B3047" s="0" t="s">
        <v>6927</v>
      </c>
      <c r="C3047" s="0" t="s">
        <v>13822</v>
      </c>
      <c r="E3047" s="0" t="s">
        <v>79</v>
      </c>
      <c r="F3047" s="0" t="s">
        <v>13823</v>
      </c>
    </row>
    <row r="3048" customFormat="false" ht="15" hidden="false" customHeight="false" outlineLevel="0" collapsed="false">
      <c r="A3048" s="0" t="n">
        <v>1029</v>
      </c>
      <c r="B3048" s="0" t="s">
        <v>6940</v>
      </c>
      <c r="C3048" s="0" t="s">
        <v>6944</v>
      </c>
      <c r="D3048" s="0" t="s">
        <v>13824</v>
      </c>
      <c r="E3048" s="0" t="s">
        <v>115</v>
      </c>
    </row>
    <row r="3049" customFormat="false" ht="15" hidden="false" customHeight="false" outlineLevel="0" collapsed="false">
      <c r="A3049" s="0" t="n">
        <v>1029</v>
      </c>
      <c r="B3049" s="0" t="s">
        <v>6940</v>
      </c>
      <c r="C3049" s="0" t="s">
        <v>6945</v>
      </c>
      <c r="D3049" s="0" t="s">
        <v>13825</v>
      </c>
      <c r="E3049" s="0" t="s">
        <v>115</v>
      </c>
    </row>
    <row r="3050" customFormat="false" ht="15" hidden="false" customHeight="false" outlineLevel="0" collapsed="false">
      <c r="A3050" s="0" t="n">
        <v>1029</v>
      </c>
      <c r="B3050" s="0" t="s">
        <v>6940</v>
      </c>
      <c r="C3050" s="0" t="s">
        <v>6946</v>
      </c>
      <c r="D3050" s="0" t="s">
        <v>13826</v>
      </c>
      <c r="E3050" s="0" t="s">
        <v>115</v>
      </c>
    </row>
    <row r="3051" customFormat="false" ht="15" hidden="false" customHeight="false" outlineLevel="0" collapsed="false">
      <c r="A3051" s="0" t="n">
        <v>1031</v>
      </c>
      <c r="B3051" s="0" t="s">
        <v>6961</v>
      </c>
      <c r="C3051" s="0" t="s">
        <v>6963</v>
      </c>
      <c r="E3051" s="0" t="s">
        <v>79</v>
      </c>
      <c r="F3051" s="0" t="s">
        <v>13827</v>
      </c>
    </row>
    <row r="3052" customFormat="false" ht="15" hidden="false" customHeight="false" outlineLevel="0" collapsed="false">
      <c r="A3052" s="0" t="n">
        <v>1031</v>
      </c>
      <c r="B3052" s="0" t="s">
        <v>6961</v>
      </c>
      <c r="C3052" s="0" t="s">
        <v>6964</v>
      </c>
      <c r="E3052" s="0" t="s">
        <v>79</v>
      </c>
      <c r="F3052" s="0" t="s">
        <v>13828</v>
      </c>
    </row>
    <row r="3053" customFormat="false" ht="15" hidden="false" customHeight="false" outlineLevel="0" collapsed="false">
      <c r="A3053" s="0" t="n">
        <v>1031</v>
      </c>
      <c r="B3053" s="0" t="s">
        <v>6961</v>
      </c>
      <c r="C3053" s="0" t="s">
        <v>6965</v>
      </c>
      <c r="E3053" s="0" t="s">
        <v>79</v>
      </c>
      <c r="F3053" s="0" t="s">
        <v>13829</v>
      </c>
    </row>
    <row r="3054" customFormat="false" ht="15" hidden="false" customHeight="false" outlineLevel="0" collapsed="false">
      <c r="A3054" s="0" t="n">
        <v>1031</v>
      </c>
      <c r="B3054" s="0" t="s">
        <v>6961</v>
      </c>
      <c r="C3054" s="0" t="s">
        <v>13830</v>
      </c>
      <c r="E3054" s="0" t="s">
        <v>79</v>
      </c>
      <c r="F3054" s="0" t="s">
        <v>13831</v>
      </c>
    </row>
    <row r="3055" customFormat="false" ht="15" hidden="false" customHeight="false" outlineLevel="0" collapsed="false">
      <c r="A3055" s="0" t="n">
        <v>1031</v>
      </c>
      <c r="B3055" s="0" t="s">
        <v>6961</v>
      </c>
      <c r="C3055" s="0" t="s">
        <v>13832</v>
      </c>
      <c r="E3055" s="0" t="s">
        <v>79</v>
      </c>
      <c r="F3055" s="0" t="s">
        <v>13833</v>
      </c>
    </row>
    <row r="3056" customFormat="false" ht="15" hidden="false" customHeight="false" outlineLevel="0" collapsed="false">
      <c r="A3056" s="0" t="n">
        <v>1032</v>
      </c>
      <c r="B3056" s="0" t="s">
        <v>6966</v>
      </c>
      <c r="C3056" s="0" t="s">
        <v>6969</v>
      </c>
      <c r="E3056" s="0" t="s">
        <v>79</v>
      </c>
      <c r="F3056" s="0" t="s">
        <v>13834</v>
      </c>
    </row>
    <row r="3057" customFormat="false" ht="15" hidden="false" customHeight="false" outlineLevel="0" collapsed="false">
      <c r="A3057" s="0" t="n">
        <v>1032</v>
      </c>
      <c r="B3057" s="0" t="s">
        <v>6966</v>
      </c>
      <c r="C3057" s="0" t="s">
        <v>6970</v>
      </c>
      <c r="E3057" s="0" t="s">
        <v>79</v>
      </c>
      <c r="F3057" s="0" t="s">
        <v>13835</v>
      </c>
    </row>
    <row r="3058" customFormat="false" ht="15" hidden="false" customHeight="false" outlineLevel="0" collapsed="false">
      <c r="A3058" s="0" t="n">
        <v>1032</v>
      </c>
      <c r="B3058" s="0" t="s">
        <v>6966</v>
      </c>
      <c r="C3058" s="0" t="s">
        <v>6971</v>
      </c>
      <c r="E3058" s="0" t="s">
        <v>79</v>
      </c>
      <c r="F3058" s="0" t="s">
        <v>13836</v>
      </c>
    </row>
    <row r="3059" customFormat="false" ht="15" hidden="false" customHeight="false" outlineLevel="0" collapsed="false">
      <c r="A3059" s="0" t="n">
        <v>1032</v>
      </c>
      <c r="B3059" s="0" t="s">
        <v>6966</v>
      </c>
      <c r="C3059" s="0" t="s">
        <v>13837</v>
      </c>
      <c r="E3059" s="0" t="s">
        <v>79</v>
      </c>
      <c r="F3059" s="0" t="s">
        <v>13838</v>
      </c>
    </row>
    <row r="3060" customFormat="false" ht="15" hidden="false" customHeight="false" outlineLevel="0" collapsed="false">
      <c r="A3060" s="0" t="n">
        <v>1032</v>
      </c>
      <c r="B3060" s="0" t="s">
        <v>6966</v>
      </c>
      <c r="C3060" s="0" t="s">
        <v>13839</v>
      </c>
      <c r="E3060" s="0" t="s">
        <v>79</v>
      </c>
      <c r="F3060" s="0" t="s">
        <v>13840</v>
      </c>
    </row>
    <row r="3061" customFormat="false" ht="15" hidden="false" customHeight="false" outlineLevel="0" collapsed="false">
      <c r="A3061" s="0" t="n">
        <v>1034</v>
      </c>
      <c r="B3061" s="0" t="s">
        <v>6982</v>
      </c>
      <c r="C3061" s="0" t="s">
        <v>6984</v>
      </c>
      <c r="E3061" s="0" t="s">
        <v>79</v>
      </c>
      <c r="F3061" s="0" t="s">
        <v>13841</v>
      </c>
    </row>
    <row r="3062" customFormat="false" ht="15" hidden="false" customHeight="false" outlineLevel="0" collapsed="false">
      <c r="A3062" s="0" t="n">
        <v>1034</v>
      </c>
      <c r="B3062" s="0" t="s">
        <v>6982</v>
      </c>
      <c r="C3062" s="0" t="s">
        <v>6985</v>
      </c>
      <c r="E3062" s="0" t="s">
        <v>79</v>
      </c>
      <c r="F3062" s="0" t="s">
        <v>13842</v>
      </c>
    </row>
    <row r="3063" customFormat="false" ht="15" hidden="false" customHeight="false" outlineLevel="0" collapsed="false">
      <c r="A3063" s="0" t="n">
        <v>1036</v>
      </c>
      <c r="B3063" s="0" t="s">
        <v>6989</v>
      </c>
      <c r="C3063" s="0" t="s">
        <v>6991</v>
      </c>
      <c r="E3063" s="0" t="s">
        <v>79</v>
      </c>
      <c r="F3063" s="0" t="s">
        <v>13843</v>
      </c>
    </row>
    <row r="3064" customFormat="false" ht="15" hidden="false" customHeight="false" outlineLevel="0" collapsed="false">
      <c r="A3064" s="0" t="n">
        <v>1036</v>
      </c>
      <c r="B3064" s="0" t="s">
        <v>6989</v>
      </c>
      <c r="C3064" s="0" t="s">
        <v>6992</v>
      </c>
      <c r="E3064" s="0" t="s">
        <v>79</v>
      </c>
      <c r="F3064" s="0" t="s">
        <v>13844</v>
      </c>
    </row>
    <row r="3065" customFormat="false" ht="15" hidden="false" customHeight="false" outlineLevel="0" collapsed="false">
      <c r="A3065" s="0" t="n">
        <v>1036</v>
      </c>
      <c r="B3065" s="0" t="s">
        <v>6989</v>
      </c>
      <c r="C3065" s="0" t="s">
        <v>6993</v>
      </c>
      <c r="E3065" s="0" t="s">
        <v>79</v>
      </c>
      <c r="F3065" s="0" t="s">
        <v>13845</v>
      </c>
    </row>
    <row r="3066" customFormat="false" ht="15" hidden="false" customHeight="false" outlineLevel="0" collapsed="false">
      <c r="A3066" s="0" t="n">
        <v>1036</v>
      </c>
      <c r="B3066" s="0" t="s">
        <v>6989</v>
      </c>
      <c r="C3066" s="0" t="s">
        <v>13846</v>
      </c>
      <c r="E3066" s="0" t="s">
        <v>79</v>
      </c>
      <c r="F3066" s="0" t="s">
        <v>13847</v>
      </c>
    </row>
    <row r="3067" customFormat="false" ht="15" hidden="false" customHeight="false" outlineLevel="0" collapsed="false">
      <c r="A3067" s="0" t="n">
        <v>1036</v>
      </c>
      <c r="B3067" s="0" t="s">
        <v>6989</v>
      </c>
      <c r="C3067" s="0" t="s">
        <v>13848</v>
      </c>
      <c r="E3067" s="0" t="s">
        <v>79</v>
      </c>
      <c r="F3067" s="0" t="s">
        <v>13849</v>
      </c>
    </row>
    <row r="3068" customFormat="false" ht="15" hidden="false" customHeight="false" outlineLevel="0" collapsed="false">
      <c r="A3068" s="0" t="n">
        <v>1037</v>
      </c>
      <c r="B3068" s="0" t="s">
        <v>6994</v>
      </c>
      <c r="C3068" s="0" t="s">
        <v>6997</v>
      </c>
      <c r="E3068" s="0" t="s">
        <v>59</v>
      </c>
      <c r="F3068" s="0" t="s">
        <v>13850</v>
      </c>
    </row>
    <row r="3069" customFormat="false" ht="15" hidden="false" customHeight="false" outlineLevel="0" collapsed="false">
      <c r="A3069" s="0" t="n">
        <v>1037</v>
      </c>
      <c r="B3069" s="0" t="s">
        <v>6994</v>
      </c>
      <c r="C3069" s="0" t="s">
        <v>6998</v>
      </c>
      <c r="E3069" s="0" t="s">
        <v>59</v>
      </c>
      <c r="F3069" s="0" t="s">
        <v>13851</v>
      </c>
    </row>
    <row r="3070" customFormat="false" ht="15" hidden="false" customHeight="false" outlineLevel="0" collapsed="false">
      <c r="A3070" s="0" t="n">
        <v>1037</v>
      </c>
      <c r="B3070" s="0" t="s">
        <v>6994</v>
      </c>
      <c r="C3070" s="0" t="s">
        <v>6999</v>
      </c>
      <c r="E3070" s="0" t="s">
        <v>59</v>
      </c>
      <c r="F3070" s="0" t="s">
        <v>13852</v>
      </c>
    </row>
    <row r="3071" customFormat="false" ht="15" hidden="false" customHeight="false" outlineLevel="0" collapsed="false">
      <c r="A3071" s="0" t="n">
        <v>1037</v>
      </c>
      <c r="B3071" s="0" t="s">
        <v>6994</v>
      </c>
      <c r="C3071" s="0" t="s">
        <v>13853</v>
      </c>
      <c r="E3071" s="0" t="s">
        <v>59</v>
      </c>
      <c r="F3071" s="0" t="s">
        <v>13854</v>
      </c>
    </row>
    <row r="3072" customFormat="false" ht="15" hidden="false" customHeight="false" outlineLevel="0" collapsed="false">
      <c r="A3072" s="0" t="n">
        <v>1037</v>
      </c>
      <c r="B3072" s="0" t="s">
        <v>6994</v>
      </c>
      <c r="C3072" s="0" t="s">
        <v>13855</v>
      </c>
      <c r="E3072" s="0" t="s">
        <v>59</v>
      </c>
      <c r="F3072" s="0" t="s">
        <v>13856</v>
      </c>
    </row>
    <row r="3073" customFormat="false" ht="15" hidden="false" customHeight="false" outlineLevel="0" collapsed="false">
      <c r="A3073" s="0" t="n">
        <v>1038</v>
      </c>
      <c r="B3073" s="0" t="s">
        <v>7004</v>
      </c>
      <c r="C3073" s="0" t="s">
        <v>7006</v>
      </c>
      <c r="E3073" s="0" t="s">
        <v>79</v>
      </c>
      <c r="F3073" s="0" t="s">
        <v>13857</v>
      </c>
    </row>
    <row r="3074" customFormat="false" ht="15" hidden="false" customHeight="false" outlineLevel="0" collapsed="false">
      <c r="A3074" s="0" t="n">
        <v>1038</v>
      </c>
      <c r="B3074" s="0" t="s">
        <v>7004</v>
      </c>
      <c r="C3074" s="0" t="s">
        <v>7007</v>
      </c>
      <c r="E3074" s="0" t="s">
        <v>79</v>
      </c>
      <c r="F3074" s="0" t="s">
        <v>13858</v>
      </c>
    </row>
    <row r="3075" customFormat="false" ht="15" hidden="false" customHeight="false" outlineLevel="0" collapsed="false">
      <c r="A3075" s="0" t="n">
        <v>1038</v>
      </c>
      <c r="B3075" s="0" t="s">
        <v>7004</v>
      </c>
      <c r="C3075" s="0" t="s">
        <v>7008</v>
      </c>
      <c r="E3075" s="0" t="s">
        <v>79</v>
      </c>
      <c r="F3075" s="0" t="s">
        <v>13859</v>
      </c>
    </row>
    <row r="3076" customFormat="false" ht="15" hidden="false" customHeight="false" outlineLevel="0" collapsed="false">
      <c r="A3076" s="0" t="n">
        <v>1038</v>
      </c>
      <c r="B3076" s="0" t="s">
        <v>7004</v>
      </c>
      <c r="C3076" s="0" t="s">
        <v>13860</v>
      </c>
      <c r="E3076" s="0" t="s">
        <v>79</v>
      </c>
      <c r="F3076" s="0" t="s">
        <v>13861</v>
      </c>
    </row>
    <row r="3077" customFormat="false" ht="15" hidden="false" customHeight="false" outlineLevel="0" collapsed="false">
      <c r="A3077" s="0" t="n">
        <v>1041</v>
      </c>
      <c r="B3077" s="0" t="s">
        <v>7014</v>
      </c>
      <c r="C3077" s="0" t="s">
        <v>7018</v>
      </c>
      <c r="E3077" s="0" t="s">
        <v>59</v>
      </c>
      <c r="F3077" s="0" t="s">
        <v>13862</v>
      </c>
    </row>
    <row r="3078" customFormat="false" ht="15" hidden="false" customHeight="false" outlineLevel="0" collapsed="false">
      <c r="A3078" s="0" t="n">
        <v>1041</v>
      </c>
      <c r="B3078" s="0" t="s">
        <v>7014</v>
      </c>
      <c r="C3078" s="0" t="s">
        <v>7019</v>
      </c>
      <c r="E3078" s="0" t="s">
        <v>59</v>
      </c>
      <c r="F3078" s="0" t="s">
        <v>13863</v>
      </c>
    </row>
    <row r="3079" customFormat="false" ht="15" hidden="false" customHeight="false" outlineLevel="0" collapsed="false">
      <c r="A3079" s="0" t="n">
        <v>1041</v>
      </c>
      <c r="B3079" s="0" t="s">
        <v>7014</v>
      </c>
      <c r="C3079" s="0" t="s">
        <v>7020</v>
      </c>
      <c r="E3079" s="0" t="s">
        <v>59</v>
      </c>
      <c r="F3079" s="0" t="s">
        <v>13864</v>
      </c>
    </row>
    <row r="3080" customFormat="false" ht="15" hidden="false" customHeight="false" outlineLevel="0" collapsed="false">
      <c r="A3080" s="0" t="n">
        <v>1041</v>
      </c>
      <c r="B3080" s="0" t="s">
        <v>7014</v>
      </c>
      <c r="C3080" s="0" t="s">
        <v>13865</v>
      </c>
      <c r="E3080" s="0" t="s">
        <v>59</v>
      </c>
      <c r="F3080" s="0" t="s">
        <v>13866</v>
      </c>
    </row>
    <row r="3081" customFormat="false" ht="15" hidden="false" customHeight="false" outlineLevel="0" collapsed="false">
      <c r="A3081" s="0" t="n">
        <v>1041</v>
      </c>
      <c r="B3081" s="0" t="s">
        <v>7014</v>
      </c>
      <c r="C3081" s="0" t="s">
        <v>13867</v>
      </c>
      <c r="E3081" s="0" t="s">
        <v>59</v>
      </c>
      <c r="F3081" s="0" t="s">
        <v>13868</v>
      </c>
    </row>
    <row r="3082" customFormat="false" ht="15" hidden="false" customHeight="false" outlineLevel="0" collapsed="false">
      <c r="A3082" s="0" t="n">
        <v>1043</v>
      </c>
      <c r="B3082" s="0" t="s">
        <v>7025</v>
      </c>
      <c r="C3082" s="0" t="s">
        <v>7028</v>
      </c>
      <c r="E3082" s="0" t="s">
        <v>79</v>
      </c>
      <c r="F3082" s="0" t="s">
        <v>13869</v>
      </c>
    </row>
    <row r="3083" customFormat="false" ht="15" hidden="false" customHeight="false" outlineLevel="0" collapsed="false">
      <c r="A3083" s="0" t="n">
        <v>1043</v>
      </c>
      <c r="B3083" s="0" t="s">
        <v>7025</v>
      </c>
      <c r="C3083" s="0" t="s">
        <v>7029</v>
      </c>
      <c r="E3083" s="0" t="s">
        <v>79</v>
      </c>
      <c r="F3083" s="0" t="s">
        <v>13870</v>
      </c>
    </row>
    <row r="3084" customFormat="false" ht="15" hidden="false" customHeight="false" outlineLevel="0" collapsed="false">
      <c r="A3084" s="0" t="n">
        <v>1043</v>
      </c>
      <c r="B3084" s="0" t="s">
        <v>7025</v>
      </c>
      <c r="C3084" s="0" t="s">
        <v>7030</v>
      </c>
      <c r="E3084" s="0" t="s">
        <v>79</v>
      </c>
      <c r="F3084" s="0" t="s">
        <v>13871</v>
      </c>
    </row>
    <row r="3085" customFormat="false" ht="15" hidden="false" customHeight="false" outlineLevel="0" collapsed="false">
      <c r="A3085" s="0" t="n">
        <v>1043</v>
      </c>
      <c r="B3085" s="0" t="s">
        <v>7025</v>
      </c>
      <c r="C3085" s="0" t="s">
        <v>13872</v>
      </c>
      <c r="E3085" s="0" t="s">
        <v>79</v>
      </c>
      <c r="F3085" s="0" t="s">
        <v>13873</v>
      </c>
    </row>
    <row r="3086" customFormat="false" ht="15" hidden="false" customHeight="false" outlineLevel="0" collapsed="false">
      <c r="A3086" s="0" t="n">
        <v>1043</v>
      </c>
      <c r="B3086" s="0" t="s">
        <v>7025</v>
      </c>
      <c r="C3086" s="0" t="s">
        <v>13874</v>
      </c>
      <c r="E3086" s="0" t="s">
        <v>79</v>
      </c>
      <c r="F3086" s="0" t="s">
        <v>13875</v>
      </c>
    </row>
    <row r="3087" customFormat="false" ht="15" hidden="false" customHeight="false" outlineLevel="0" collapsed="false">
      <c r="A3087" s="0" t="n">
        <v>1044</v>
      </c>
      <c r="B3087" s="0" t="s">
        <v>7032</v>
      </c>
      <c r="C3087" s="0" t="s">
        <v>7035</v>
      </c>
      <c r="E3087" s="0" t="s">
        <v>79</v>
      </c>
      <c r="F3087" s="0" t="s">
        <v>13876</v>
      </c>
    </row>
    <row r="3088" customFormat="false" ht="15" hidden="false" customHeight="false" outlineLevel="0" collapsed="false">
      <c r="A3088" s="0" t="n">
        <v>1044</v>
      </c>
      <c r="B3088" s="0" t="s">
        <v>7032</v>
      </c>
      <c r="C3088" s="0" t="s">
        <v>7036</v>
      </c>
      <c r="E3088" s="0" t="s">
        <v>79</v>
      </c>
      <c r="F3088" s="0" t="s">
        <v>13877</v>
      </c>
    </row>
    <row r="3089" customFormat="false" ht="15" hidden="false" customHeight="false" outlineLevel="0" collapsed="false">
      <c r="A3089" s="0" t="n">
        <v>1044</v>
      </c>
      <c r="B3089" s="0" t="s">
        <v>7032</v>
      </c>
      <c r="C3089" s="0" t="s">
        <v>7037</v>
      </c>
      <c r="E3089" s="0" t="s">
        <v>79</v>
      </c>
      <c r="F3089" s="0" t="s">
        <v>13878</v>
      </c>
    </row>
    <row r="3090" customFormat="false" ht="15" hidden="false" customHeight="false" outlineLevel="0" collapsed="false">
      <c r="A3090" s="0" t="n">
        <v>1044</v>
      </c>
      <c r="B3090" s="0" t="s">
        <v>7032</v>
      </c>
      <c r="C3090" s="0" t="s">
        <v>13879</v>
      </c>
      <c r="E3090" s="0" t="s">
        <v>79</v>
      </c>
      <c r="F3090" s="0" t="s">
        <v>13880</v>
      </c>
    </row>
    <row r="3091" customFormat="false" ht="15" hidden="false" customHeight="false" outlineLevel="0" collapsed="false">
      <c r="A3091" s="0" t="n">
        <v>1044</v>
      </c>
      <c r="B3091" s="0" t="s">
        <v>7032</v>
      </c>
      <c r="C3091" s="0" t="s">
        <v>13881</v>
      </c>
      <c r="E3091" s="0" t="s">
        <v>79</v>
      </c>
      <c r="F3091" s="0" t="s">
        <v>13882</v>
      </c>
    </row>
    <row r="3092" customFormat="false" ht="15" hidden="false" customHeight="false" outlineLevel="0" collapsed="false">
      <c r="A3092" s="0" t="n">
        <v>1045</v>
      </c>
      <c r="B3092" s="0" t="s">
        <v>7038</v>
      </c>
      <c r="C3092" s="0" t="s">
        <v>7040</v>
      </c>
      <c r="E3092" s="0" t="s">
        <v>79</v>
      </c>
      <c r="F3092" s="0" t="s">
        <v>13883</v>
      </c>
    </row>
    <row r="3093" customFormat="false" ht="15" hidden="false" customHeight="false" outlineLevel="0" collapsed="false">
      <c r="A3093" s="0" t="n">
        <v>1045</v>
      </c>
      <c r="B3093" s="0" t="s">
        <v>7038</v>
      </c>
      <c r="C3093" s="0" t="s">
        <v>7041</v>
      </c>
      <c r="E3093" s="0" t="s">
        <v>79</v>
      </c>
      <c r="F3093" s="0" t="s">
        <v>13884</v>
      </c>
    </row>
    <row r="3094" customFormat="false" ht="15" hidden="false" customHeight="false" outlineLevel="0" collapsed="false">
      <c r="A3094" s="0" t="n">
        <v>1045</v>
      </c>
      <c r="B3094" s="0" t="s">
        <v>7038</v>
      </c>
      <c r="C3094" s="0" t="s">
        <v>7042</v>
      </c>
      <c r="E3094" s="0" t="s">
        <v>79</v>
      </c>
      <c r="F3094" s="0" t="s">
        <v>13885</v>
      </c>
    </row>
    <row r="3095" customFormat="false" ht="15" hidden="false" customHeight="false" outlineLevel="0" collapsed="false">
      <c r="A3095" s="0" t="n">
        <v>1045</v>
      </c>
      <c r="B3095" s="0" t="s">
        <v>7038</v>
      </c>
      <c r="C3095" s="0" t="s">
        <v>13886</v>
      </c>
      <c r="E3095" s="0" t="s">
        <v>79</v>
      </c>
      <c r="F3095" s="0" t="s">
        <v>13887</v>
      </c>
    </row>
    <row r="3096" customFormat="false" ht="15" hidden="false" customHeight="false" outlineLevel="0" collapsed="false">
      <c r="A3096" s="0" t="n">
        <v>1046</v>
      </c>
      <c r="B3096" s="0" t="s">
        <v>7043</v>
      </c>
      <c r="C3096" s="0" t="s">
        <v>7045</v>
      </c>
      <c r="E3096" s="0" t="s">
        <v>79</v>
      </c>
      <c r="F3096" s="0" t="s">
        <v>13888</v>
      </c>
    </row>
    <row r="3097" customFormat="false" ht="15" hidden="false" customHeight="false" outlineLevel="0" collapsed="false">
      <c r="A3097" s="0" t="n">
        <v>1046</v>
      </c>
      <c r="B3097" s="0" t="s">
        <v>7043</v>
      </c>
      <c r="C3097" s="0" t="s">
        <v>7046</v>
      </c>
      <c r="E3097" s="0" t="s">
        <v>79</v>
      </c>
      <c r="F3097" s="0" t="s">
        <v>13889</v>
      </c>
    </row>
    <row r="3098" customFormat="false" ht="15" hidden="false" customHeight="false" outlineLevel="0" collapsed="false">
      <c r="A3098" s="0" t="n">
        <v>1046</v>
      </c>
      <c r="B3098" s="0" t="s">
        <v>7043</v>
      </c>
      <c r="C3098" s="0" t="s">
        <v>7047</v>
      </c>
      <c r="E3098" s="0" t="s">
        <v>79</v>
      </c>
      <c r="F3098" s="0" t="s">
        <v>13890</v>
      </c>
    </row>
    <row r="3099" customFormat="false" ht="15" hidden="false" customHeight="false" outlineLevel="0" collapsed="false">
      <c r="A3099" s="0" t="n">
        <v>1047</v>
      </c>
      <c r="B3099" s="0" t="s">
        <v>7048</v>
      </c>
      <c r="C3099" s="0" t="s">
        <v>7050</v>
      </c>
      <c r="E3099" s="0" t="s">
        <v>79</v>
      </c>
      <c r="F3099" s="0" t="s">
        <v>13891</v>
      </c>
    </row>
    <row r="3100" customFormat="false" ht="15" hidden="false" customHeight="false" outlineLevel="0" collapsed="false">
      <c r="A3100" s="0" t="n">
        <v>1047</v>
      </c>
      <c r="B3100" s="0" t="s">
        <v>7048</v>
      </c>
      <c r="C3100" s="0" t="s">
        <v>7051</v>
      </c>
      <c r="E3100" s="0" t="s">
        <v>79</v>
      </c>
      <c r="F3100" s="0" t="s">
        <v>13892</v>
      </c>
    </row>
    <row r="3101" customFormat="false" ht="15" hidden="false" customHeight="false" outlineLevel="0" collapsed="false">
      <c r="A3101" s="0" t="n">
        <v>1047</v>
      </c>
      <c r="B3101" s="0" t="s">
        <v>7048</v>
      </c>
      <c r="C3101" s="0" t="s">
        <v>7052</v>
      </c>
      <c r="E3101" s="0" t="s">
        <v>79</v>
      </c>
      <c r="F3101" s="0" t="s">
        <v>13893</v>
      </c>
    </row>
    <row r="3102" customFormat="false" ht="15" hidden="false" customHeight="false" outlineLevel="0" collapsed="false">
      <c r="A3102" s="0" t="n">
        <v>1047</v>
      </c>
      <c r="B3102" s="0" t="s">
        <v>7048</v>
      </c>
      <c r="C3102" s="0" t="s">
        <v>13894</v>
      </c>
      <c r="E3102" s="0" t="s">
        <v>79</v>
      </c>
      <c r="F3102" s="0" t="s">
        <v>13895</v>
      </c>
    </row>
    <row r="3103" customFormat="false" ht="15" hidden="false" customHeight="false" outlineLevel="0" collapsed="false">
      <c r="A3103" s="0" t="n">
        <v>1048</v>
      </c>
      <c r="B3103" s="0" t="s">
        <v>7053</v>
      </c>
      <c r="C3103" s="0" t="s">
        <v>7059</v>
      </c>
      <c r="D3103" s="0" t="s">
        <v>13896</v>
      </c>
      <c r="E3103" s="0" t="s">
        <v>115</v>
      </c>
    </row>
    <row r="3104" customFormat="false" ht="15" hidden="false" customHeight="false" outlineLevel="0" collapsed="false">
      <c r="A3104" s="0" t="n">
        <v>1048</v>
      </c>
      <c r="B3104" s="0" t="s">
        <v>7053</v>
      </c>
      <c r="C3104" s="0" t="s">
        <v>7060</v>
      </c>
      <c r="D3104" s="0" t="s">
        <v>13897</v>
      </c>
      <c r="E3104" s="0" t="s">
        <v>115</v>
      </c>
    </row>
    <row r="3105" customFormat="false" ht="15" hidden="false" customHeight="false" outlineLevel="0" collapsed="false">
      <c r="A3105" s="0" t="n">
        <v>1048</v>
      </c>
      <c r="B3105" s="0" t="s">
        <v>7053</v>
      </c>
      <c r="C3105" s="0" t="s">
        <v>7061</v>
      </c>
      <c r="D3105" s="0" t="s">
        <v>13898</v>
      </c>
      <c r="E3105" s="0" t="s">
        <v>115</v>
      </c>
    </row>
    <row r="3106" customFormat="false" ht="15" hidden="false" customHeight="false" outlineLevel="0" collapsed="false">
      <c r="A3106" s="0" t="n">
        <v>1050</v>
      </c>
      <c r="B3106" s="0" t="s">
        <v>7072</v>
      </c>
      <c r="C3106" s="0" t="s">
        <v>7075</v>
      </c>
      <c r="E3106" s="0" t="s">
        <v>79</v>
      </c>
      <c r="F3106" s="0" t="s">
        <v>13899</v>
      </c>
    </row>
    <row r="3107" customFormat="false" ht="15" hidden="false" customHeight="false" outlineLevel="0" collapsed="false">
      <c r="A3107" s="0" t="n">
        <v>1050</v>
      </c>
      <c r="B3107" s="0" t="s">
        <v>7072</v>
      </c>
      <c r="C3107" s="0" t="s">
        <v>7076</v>
      </c>
      <c r="E3107" s="0" t="s">
        <v>79</v>
      </c>
      <c r="F3107" s="0" t="s">
        <v>13900</v>
      </c>
    </row>
    <row r="3108" customFormat="false" ht="15" hidden="false" customHeight="false" outlineLevel="0" collapsed="false">
      <c r="A3108" s="0" t="n">
        <v>1050</v>
      </c>
      <c r="B3108" s="0" t="s">
        <v>7072</v>
      </c>
      <c r="C3108" s="0" t="s">
        <v>7077</v>
      </c>
      <c r="E3108" s="0" t="s">
        <v>79</v>
      </c>
      <c r="F3108" s="0" t="s">
        <v>13901</v>
      </c>
    </row>
    <row r="3109" customFormat="false" ht="15" hidden="false" customHeight="false" outlineLevel="0" collapsed="false">
      <c r="A3109" s="0" t="n">
        <v>1050</v>
      </c>
      <c r="B3109" s="0" t="s">
        <v>7072</v>
      </c>
      <c r="C3109" s="0" t="s">
        <v>13902</v>
      </c>
      <c r="E3109" s="0" t="s">
        <v>79</v>
      </c>
      <c r="F3109" s="0" t="s">
        <v>13903</v>
      </c>
    </row>
    <row r="3110" customFormat="false" ht="15" hidden="false" customHeight="false" outlineLevel="0" collapsed="false">
      <c r="A3110" s="0" t="n">
        <v>1050</v>
      </c>
      <c r="B3110" s="0" t="s">
        <v>7072</v>
      </c>
      <c r="C3110" s="0" t="s">
        <v>13904</v>
      </c>
      <c r="E3110" s="0" t="s">
        <v>79</v>
      </c>
      <c r="F3110" s="0" t="s">
        <v>13905</v>
      </c>
    </row>
    <row r="3111" customFormat="false" ht="15" hidden="false" customHeight="false" outlineLevel="0" collapsed="false">
      <c r="A3111" s="0" t="n">
        <v>1051</v>
      </c>
      <c r="B3111" s="0" t="s">
        <v>7081</v>
      </c>
      <c r="C3111" s="0" t="s">
        <v>7084</v>
      </c>
      <c r="E3111" s="0" t="s">
        <v>79</v>
      </c>
      <c r="F3111" s="0" t="s">
        <v>13906</v>
      </c>
    </row>
    <row r="3112" customFormat="false" ht="15" hidden="false" customHeight="false" outlineLevel="0" collapsed="false">
      <c r="A3112" s="0" t="n">
        <v>1051</v>
      </c>
      <c r="B3112" s="0" t="s">
        <v>7081</v>
      </c>
      <c r="C3112" s="0" t="s">
        <v>7085</v>
      </c>
      <c r="E3112" s="0" t="s">
        <v>79</v>
      </c>
      <c r="F3112" s="0" t="s">
        <v>13907</v>
      </c>
    </row>
    <row r="3113" customFormat="false" ht="15" hidden="false" customHeight="false" outlineLevel="0" collapsed="false">
      <c r="A3113" s="0" t="n">
        <v>1051</v>
      </c>
      <c r="B3113" s="0" t="s">
        <v>7081</v>
      </c>
      <c r="C3113" s="0" t="s">
        <v>7086</v>
      </c>
      <c r="E3113" s="0" t="s">
        <v>79</v>
      </c>
      <c r="F3113" s="0" t="s">
        <v>13908</v>
      </c>
    </row>
    <row r="3114" customFormat="false" ht="15" hidden="false" customHeight="false" outlineLevel="0" collapsed="false">
      <c r="A3114" s="0" t="n">
        <v>1051</v>
      </c>
      <c r="B3114" s="0" t="s">
        <v>7081</v>
      </c>
      <c r="C3114" s="0" t="s">
        <v>13909</v>
      </c>
      <c r="E3114" s="0" t="s">
        <v>79</v>
      </c>
      <c r="F3114" s="0" t="s">
        <v>13910</v>
      </c>
    </row>
    <row r="3115" customFormat="false" ht="15" hidden="false" customHeight="false" outlineLevel="0" collapsed="false">
      <c r="A3115" s="0" t="n">
        <v>1051</v>
      </c>
      <c r="B3115" s="0" t="s">
        <v>7081</v>
      </c>
      <c r="C3115" s="0" t="s">
        <v>13911</v>
      </c>
      <c r="E3115" s="0" t="s">
        <v>79</v>
      </c>
      <c r="F3115" s="0" t="s">
        <v>13912</v>
      </c>
    </row>
    <row r="3116" customFormat="false" ht="15" hidden="false" customHeight="false" outlineLevel="0" collapsed="false">
      <c r="A3116" s="0" t="n">
        <v>1052</v>
      </c>
      <c r="B3116" s="0" t="s">
        <v>7090</v>
      </c>
      <c r="C3116" s="0" t="s">
        <v>7092</v>
      </c>
      <c r="E3116" s="0" t="s">
        <v>79</v>
      </c>
      <c r="F3116" s="0" t="s">
        <v>13913</v>
      </c>
    </row>
    <row r="3117" customFormat="false" ht="15" hidden="false" customHeight="false" outlineLevel="0" collapsed="false">
      <c r="A3117" s="0" t="n">
        <v>1052</v>
      </c>
      <c r="B3117" s="0" t="s">
        <v>7090</v>
      </c>
      <c r="C3117" s="0" t="s">
        <v>7093</v>
      </c>
      <c r="E3117" s="0" t="s">
        <v>79</v>
      </c>
      <c r="F3117" s="0" t="s">
        <v>13914</v>
      </c>
    </row>
    <row r="3118" customFormat="false" ht="15" hidden="false" customHeight="false" outlineLevel="0" collapsed="false">
      <c r="A3118" s="0" t="n">
        <v>1052</v>
      </c>
      <c r="B3118" s="0" t="s">
        <v>7090</v>
      </c>
      <c r="C3118" s="0" t="s">
        <v>7094</v>
      </c>
      <c r="E3118" s="0" t="s">
        <v>79</v>
      </c>
      <c r="F3118" s="0" t="s">
        <v>13915</v>
      </c>
    </row>
    <row r="3119" customFormat="false" ht="15" hidden="false" customHeight="false" outlineLevel="0" collapsed="false">
      <c r="A3119" s="0" t="n">
        <v>1052</v>
      </c>
      <c r="B3119" s="0" t="s">
        <v>7090</v>
      </c>
      <c r="C3119" s="0" t="s">
        <v>13916</v>
      </c>
      <c r="E3119" s="0" t="s">
        <v>79</v>
      </c>
      <c r="F3119" s="0" t="s">
        <v>13917</v>
      </c>
    </row>
    <row r="3120" customFormat="false" ht="15" hidden="false" customHeight="false" outlineLevel="0" collapsed="false">
      <c r="A3120" s="0" t="n">
        <v>1052</v>
      </c>
      <c r="B3120" s="0" t="s">
        <v>7090</v>
      </c>
      <c r="C3120" s="0" t="s">
        <v>13918</v>
      </c>
      <c r="E3120" s="0" t="s">
        <v>79</v>
      </c>
      <c r="F3120" s="0" t="s">
        <v>13919</v>
      </c>
    </row>
    <row r="3121" customFormat="false" ht="15" hidden="false" customHeight="false" outlineLevel="0" collapsed="false">
      <c r="A3121" s="0" t="n">
        <v>1053</v>
      </c>
      <c r="B3121" s="0" t="s">
        <v>7095</v>
      </c>
      <c r="C3121" s="0" t="s">
        <v>7098</v>
      </c>
      <c r="E3121" s="0" t="s">
        <v>79</v>
      </c>
      <c r="F3121" s="0" t="s">
        <v>13920</v>
      </c>
    </row>
    <row r="3122" customFormat="false" ht="15" hidden="false" customHeight="false" outlineLevel="0" collapsed="false">
      <c r="A3122" s="0" t="n">
        <v>1053</v>
      </c>
      <c r="B3122" s="0" t="s">
        <v>7095</v>
      </c>
      <c r="C3122" s="0" t="s">
        <v>7099</v>
      </c>
      <c r="E3122" s="0" t="s">
        <v>79</v>
      </c>
      <c r="F3122" s="0" t="s">
        <v>13921</v>
      </c>
    </row>
    <row r="3123" customFormat="false" ht="15" hidden="false" customHeight="false" outlineLevel="0" collapsed="false">
      <c r="A3123" s="0" t="n">
        <v>1053</v>
      </c>
      <c r="B3123" s="0" t="s">
        <v>7095</v>
      </c>
      <c r="C3123" s="0" t="s">
        <v>7100</v>
      </c>
      <c r="E3123" s="0" t="s">
        <v>79</v>
      </c>
      <c r="F3123" s="0" t="s">
        <v>13922</v>
      </c>
    </row>
    <row r="3124" customFormat="false" ht="15" hidden="false" customHeight="false" outlineLevel="0" collapsed="false">
      <c r="A3124" s="0" t="n">
        <v>1053</v>
      </c>
      <c r="B3124" s="0" t="s">
        <v>7095</v>
      </c>
      <c r="C3124" s="0" t="s">
        <v>13923</v>
      </c>
      <c r="E3124" s="0" t="s">
        <v>79</v>
      </c>
      <c r="F3124" s="0" t="s">
        <v>13924</v>
      </c>
    </row>
    <row r="3125" customFormat="false" ht="15" hidden="false" customHeight="false" outlineLevel="0" collapsed="false">
      <c r="A3125" s="0" t="n">
        <v>1053</v>
      </c>
      <c r="B3125" s="0" t="s">
        <v>7095</v>
      </c>
      <c r="C3125" s="0" t="s">
        <v>13925</v>
      </c>
      <c r="E3125" s="0" t="s">
        <v>79</v>
      </c>
      <c r="F3125" s="0" t="s">
        <v>13926</v>
      </c>
    </row>
    <row r="3126" customFormat="false" ht="15" hidden="false" customHeight="false" outlineLevel="0" collapsed="false">
      <c r="A3126" s="0" t="n">
        <v>1054</v>
      </c>
      <c r="B3126" s="0" t="s">
        <v>7105</v>
      </c>
      <c r="C3126" s="0" t="s">
        <v>7108</v>
      </c>
      <c r="E3126" s="0" t="s">
        <v>79</v>
      </c>
      <c r="F3126" s="0" t="s">
        <v>13927</v>
      </c>
    </row>
    <row r="3127" customFormat="false" ht="15" hidden="false" customHeight="false" outlineLevel="0" collapsed="false">
      <c r="A3127" s="0" t="n">
        <v>1054</v>
      </c>
      <c r="B3127" s="0" t="s">
        <v>7105</v>
      </c>
      <c r="C3127" s="0" t="s">
        <v>7109</v>
      </c>
      <c r="E3127" s="0" t="s">
        <v>79</v>
      </c>
      <c r="F3127" s="0" t="s">
        <v>13928</v>
      </c>
    </row>
    <row r="3128" customFormat="false" ht="15" hidden="false" customHeight="false" outlineLevel="0" collapsed="false">
      <c r="A3128" s="0" t="n">
        <v>1054</v>
      </c>
      <c r="B3128" s="0" t="s">
        <v>7105</v>
      </c>
      <c r="C3128" s="0" t="s">
        <v>7110</v>
      </c>
      <c r="E3128" s="0" t="s">
        <v>79</v>
      </c>
      <c r="F3128" s="0" t="s">
        <v>13929</v>
      </c>
    </row>
    <row r="3129" customFormat="false" ht="15" hidden="false" customHeight="false" outlineLevel="0" collapsed="false">
      <c r="A3129" s="0" t="n">
        <v>1054</v>
      </c>
      <c r="B3129" s="0" t="s">
        <v>7105</v>
      </c>
      <c r="C3129" s="0" t="s">
        <v>13930</v>
      </c>
      <c r="E3129" s="0" t="s">
        <v>79</v>
      </c>
      <c r="F3129" s="0" t="s">
        <v>13931</v>
      </c>
    </row>
    <row r="3130" customFormat="false" ht="15" hidden="false" customHeight="false" outlineLevel="0" collapsed="false">
      <c r="A3130" s="0" t="n">
        <v>1054</v>
      </c>
      <c r="B3130" s="0" t="s">
        <v>7105</v>
      </c>
      <c r="C3130" s="0" t="s">
        <v>13932</v>
      </c>
      <c r="E3130" s="0" t="s">
        <v>79</v>
      </c>
      <c r="F3130" s="0" t="s">
        <v>13933</v>
      </c>
    </row>
    <row r="3131" customFormat="false" ht="15" hidden="false" customHeight="false" outlineLevel="0" collapsed="false">
      <c r="A3131" s="0" t="n">
        <v>1055</v>
      </c>
      <c r="B3131" s="0" t="s">
        <v>7113</v>
      </c>
      <c r="C3131" s="0" t="s">
        <v>7115</v>
      </c>
      <c r="E3131" s="0" t="s">
        <v>79</v>
      </c>
      <c r="F3131" s="0" t="s">
        <v>13934</v>
      </c>
    </row>
    <row r="3132" customFormat="false" ht="15" hidden="false" customHeight="false" outlineLevel="0" collapsed="false">
      <c r="A3132" s="0" t="n">
        <v>1055</v>
      </c>
      <c r="B3132" s="0" t="s">
        <v>7113</v>
      </c>
      <c r="C3132" s="0" t="s">
        <v>7116</v>
      </c>
      <c r="E3132" s="0" t="s">
        <v>79</v>
      </c>
      <c r="F3132" s="0" t="s">
        <v>13935</v>
      </c>
    </row>
    <row r="3133" customFormat="false" ht="15" hidden="false" customHeight="false" outlineLevel="0" collapsed="false">
      <c r="A3133" s="0" t="n">
        <v>1055</v>
      </c>
      <c r="B3133" s="0" t="s">
        <v>7113</v>
      </c>
      <c r="C3133" s="0" t="s">
        <v>7117</v>
      </c>
      <c r="E3133" s="0" t="s">
        <v>79</v>
      </c>
      <c r="F3133" s="0" t="s">
        <v>13936</v>
      </c>
    </row>
    <row r="3134" customFormat="false" ht="15" hidden="false" customHeight="false" outlineLevel="0" collapsed="false">
      <c r="A3134" s="0" t="n">
        <v>1055</v>
      </c>
      <c r="B3134" s="0" t="s">
        <v>7113</v>
      </c>
      <c r="C3134" s="0" t="s">
        <v>13937</v>
      </c>
      <c r="E3134" s="0" t="s">
        <v>79</v>
      </c>
      <c r="F3134" s="0" t="s">
        <v>13938</v>
      </c>
    </row>
    <row r="3135" customFormat="false" ht="15" hidden="false" customHeight="false" outlineLevel="0" collapsed="false">
      <c r="A3135" s="0" t="n">
        <v>1055</v>
      </c>
      <c r="B3135" s="0" t="s">
        <v>7113</v>
      </c>
      <c r="C3135" s="0" t="s">
        <v>13939</v>
      </c>
      <c r="E3135" s="0" t="s">
        <v>79</v>
      </c>
      <c r="F3135" s="0" t="s">
        <v>13940</v>
      </c>
    </row>
    <row r="3136" customFormat="false" ht="15" hidden="false" customHeight="false" outlineLevel="0" collapsed="false">
      <c r="A3136" s="0" t="n">
        <v>1056</v>
      </c>
      <c r="B3136" s="0" t="s">
        <v>7118</v>
      </c>
      <c r="C3136" s="0" t="s">
        <v>7121</v>
      </c>
      <c r="E3136" s="0" t="s">
        <v>79</v>
      </c>
      <c r="F3136" s="0" t="s">
        <v>13941</v>
      </c>
    </row>
    <row r="3137" customFormat="false" ht="15" hidden="false" customHeight="false" outlineLevel="0" collapsed="false">
      <c r="A3137" s="0" t="n">
        <v>1056</v>
      </c>
      <c r="B3137" s="0" t="s">
        <v>7118</v>
      </c>
      <c r="C3137" s="0" t="s">
        <v>7122</v>
      </c>
      <c r="E3137" s="0" t="s">
        <v>79</v>
      </c>
      <c r="F3137" s="0" t="s">
        <v>13942</v>
      </c>
    </row>
    <row r="3138" customFormat="false" ht="15" hidden="false" customHeight="false" outlineLevel="0" collapsed="false">
      <c r="A3138" s="0" t="n">
        <v>1056</v>
      </c>
      <c r="B3138" s="0" t="s">
        <v>7118</v>
      </c>
      <c r="C3138" s="0" t="s">
        <v>7123</v>
      </c>
      <c r="E3138" s="0" t="s">
        <v>79</v>
      </c>
      <c r="F3138" s="0" t="s">
        <v>13943</v>
      </c>
    </row>
    <row r="3139" customFormat="false" ht="15" hidden="false" customHeight="false" outlineLevel="0" collapsed="false">
      <c r="A3139" s="0" t="n">
        <v>1056</v>
      </c>
      <c r="B3139" s="0" t="s">
        <v>7118</v>
      </c>
      <c r="C3139" s="0" t="s">
        <v>13944</v>
      </c>
      <c r="E3139" s="0" t="s">
        <v>79</v>
      </c>
      <c r="F3139" s="0" t="s">
        <v>13945</v>
      </c>
    </row>
    <row r="3140" customFormat="false" ht="15" hidden="false" customHeight="false" outlineLevel="0" collapsed="false">
      <c r="A3140" s="0" t="n">
        <v>1056</v>
      </c>
      <c r="B3140" s="0" t="s">
        <v>7118</v>
      </c>
      <c r="C3140" s="0" t="s">
        <v>13946</v>
      </c>
      <c r="E3140" s="0" t="s">
        <v>79</v>
      </c>
      <c r="F3140" s="0" t="s">
        <v>13947</v>
      </c>
    </row>
    <row r="3141" customFormat="false" ht="15" hidden="false" customHeight="false" outlineLevel="0" collapsed="false">
      <c r="A3141" s="0" t="n">
        <v>1057</v>
      </c>
      <c r="B3141" s="0" t="s">
        <v>7128</v>
      </c>
      <c r="C3141" s="0" t="s">
        <v>7130</v>
      </c>
      <c r="E3141" s="0" t="s">
        <v>79</v>
      </c>
      <c r="F3141" s="0" t="s">
        <v>13948</v>
      </c>
    </row>
    <row r="3142" customFormat="false" ht="15" hidden="false" customHeight="false" outlineLevel="0" collapsed="false">
      <c r="A3142" s="0" t="n">
        <v>1057</v>
      </c>
      <c r="B3142" s="0" t="s">
        <v>7128</v>
      </c>
      <c r="C3142" s="0" t="s">
        <v>7131</v>
      </c>
      <c r="E3142" s="0" t="s">
        <v>79</v>
      </c>
      <c r="F3142" s="0" t="s">
        <v>13949</v>
      </c>
    </row>
    <row r="3143" customFormat="false" ht="15" hidden="false" customHeight="false" outlineLevel="0" collapsed="false">
      <c r="A3143" s="0" t="n">
        <v>1057</v>
      </c>
      <c r="B3143" s="0" t="s">
        <v>7128</v>
      </c>
      <c r="C3143" s="0" t="s">
        <v>7132</v>
      </c>
      <c r="E3143" s="0" t="s">
        <v>79</v>
      </c>
      <c r="F3143" s="0" t="s">
        <v>13950</v>
      </c>
    </row>
    <row r="3144" customFormat="false" ht="15" hidden="false" customHeight="false" outlineLevel="0" collapsed="false">
      <c r="A3144" s="0" t="n">
        <v>1057</v>
      </c>
      <c r="B3144" s="0" t="s">
        <v>7128</v>
      </c>
      <c r="C3144" s="0" t="s">
        <v>13951</v>
      </c>
      <c r="E3144" s="0" t="s">
        <v>79</v>
      </c>
      <c r="F3144" s="0" t="s">
        <v>13952</v>
      </c>
    </row>
    <row r="3145" customFormat="false" ht="15" hidden="false" customHeight="false" outlineLevel="0" collapsed="false">
      <c r="A3145" s="0" t="n">
        <v>1057</v>
      </c>
      <c r="B3145" s="0" t="s">
        <v>7128</v>
      </c>
      <c r="C3145" s="0" t="s">
        <v>13953</v>
      </c>
      <c r="E3145" s="0" t="s">
        <v>79</v>
      </c>
      <c r="F3145" s="0" t="s">
        <v>13954</v>
      </c>
    </row>
    <row r="3146" customFormat="false" ht="15" hidden="false" customHeight="false" outlineLevel="0" collapsed="false">
      <c r="A3146" s="0" t="n">
        <v>1058</v>
      </c>
      <c r="B3146" s="0" t="s">
        <v>7134</v>
      </c>
      <c r="C3146" s="0" t="s">
        <v>7137</v>
      </c>
      <c r="E3146" s="0" t="s">
        <v>79</v>
      </c>
      <c r="F3146" s="0" t="s">
        <v>13955</v>
      </c>
    </row>
    <row r="3147" customFormat="false" ht="15" hidden="false" customHeight="false" outlineLevel="0" collapsed="false">
      <c r="A3147" s="0" t="n">
        <v>1058</v>
      </c>
      <c r="B3147" s="0" t="s">
        <v>7134</v>
      </c>
      <c r="C3147" s="0" t="s">
        <v>7138</v>
      </c>
      <c r="E3147" s="0" t="s">
        <v>79</v>
      </c>
      <c r="F3147" s="0" t="s">
        <v>13956</v>
      </c>
    </row>
    <row r="3148" customFormat="false" ht="15" hidden="false" customHeight="false" outlineLevel="0" collapsed="false">
      <c r="A3148" s="0" t="n">
        <v>1058</v>
      </c>
      <c r="B3148" s="0" t="s">
        <v>7134</v>
      </c>
      <c r="C3148" s="0" t="s">
        <v>7139</v>
      </c>
      <c r="E3148" s="0" t="s">
        <v>79</v>
      </c>
      <c r="F3148" s="0" t="s">
        <v>13957</v>
      </c>
    </row>
    <row r="3149" customFormat="false" ht="15" hidden="false" customHeight="false" outlineLevel="0" collapsed="false">
      <c r="A3149" s="0" t="n">
        <v>1058</v>
      </c>
      <c r="B3149" s="0" t="s">
        <v>7134</v>
      </c>
      <c r="C3149" s="0" t="s">
        <v>13958</v>
      </c>
      <c r="E3149" s="0" t="s">
        <v>79</v>
      </c>
      <c r="F3149" s="0" t="s">
        <v>13959</v>
      </c>
    </row>
    <row r="3150" customFormat="false" ht="15" hidden="false" customHeight="false" outlineLevel="0" collapsed="false">
      <c r="A3150" s="0" t="n">
        <v>1058</v>
      </c>
      <c r="B3150" s="0" t="s">
        <v>7134</v>
      </c>
      <c r="C3150" s="0" t="s">
        <v>13960</v>
      </c>
      <c r="E3150" s="0" t="s">
        <v>79</v>
      </c>
      <c r="F3150" s="0" t="s">
        <v>13961</v>
      </c>
    </row>
    <row r="3151" customFormat="false" ht="15" hidden="false" customHeight="false" outlineLevel="0" collapsed="false">
      <c r="A3151" s="0" t="n">
        <v>1059</v>
      </c>
      <c r="B3151" s="0" t="s">
        <v>7144</v>
      </c>
      <c r="C3151" s="0" t="s">
        <v>7147</v>
      </c>
      <c r="E3151" s="0" t="s">
        <v>79</v>
      </c>
      <c r="F3151" s="0" t="s">
        <v>13962</v>
      </c>
    </row>
    <row r="3152" customFormat="false" ht="15" hidden="false" customHeight="false" outlineLevel="0" collapsed="false">
      <c r="A3152" s="0" t="n">
        <v>1059</v>
      </c>
      <c r="B3152" s="0" t="s">
        <v>7144</v>
      </c>
      <c r="C3152" s="0" t="s">
        <v>7148</v>
      </c>
      <c r="E3152" s="0" t="s">
        <v>79</v>
      </c>
      <c r="F3152" s="0" t="s">
        <v>13963</v>
      </c>
    </row>
    <row r="3153" customFormat="false" ht="15" hidden="false" customHeight="false" outlineLevel="0" collapsed="false">
      <c r="A3153" s="0" t="n">
        <v>1060</v>
      </c>
      <c r="B3153" s="0" t="s">
        <v>7149</v>
      </c>
      <c r="C3153" s="0" t="s">
        <v>6338</v>
      </c>
      <c r="D3153" s="0" t="s">
        <v>13511</v>
      </c>
      <c r="E3153" s="0" t="s">
        <v>115</v>
      </c>
    </row>
    <row r="3154" customFormat="false" ht="15" hidden="false" customHeight="false" outlineLevel="0" collapsed="false">
      <c r="A3154" s="0" t="n">
        <v>1060</v>
      </c>
      <c r="B3154" s="0" t="s">
        <v>7149</v>
      </c>
      <c r="C3154" s="0" t="s">
        <v>6339</v>
      </c>
      <c r="D3154" s="0" t="s">
        <v>13512</v>
      </c>
      <c r="E3154" s="0" t="s">
        <v>115</v>
      </c>
    </row>
    <row r="3155" customFormat="false" ht="15" hidden="false" customHeight="false" outlineLevel="0" collapsed="false">
      <c r="A3155" s="0" t="n">
        <v>1060</v>
      </c>
      <c r="B3155" s="0" t="s">
        <v>7149</v>
      </c>
      <c r="C3155" s="0" t="s">
        <v>6340</v>
      </c>
      <c r="D3155" s="0" t="s">
        <v>13513</v>
      </c>
      <c r="E3155" s="0" t="s">
        <v>115</v>
      </c>
    </row>
    <row r="3156" customFormat="false" ht="15" hidden="false" customHeight="false" outlineLevel="0" collapsed="false">
      <c r="A3156" s="0" t="n">
        <v>1061</v>
      </c>
      <c r="B3156" s="0" t="s">
        <v>7150</v>
      </c>
      <c r="C3156" s="0" t="s">
        <v>7153</v>
      </c>
      <c r="E3156" s="0" t="s">
        <v>79</v>
      </c>
      <c r="F3156" s="0" t="s">
        <v>13964</v>
      </c>
    </row>
    <row r="3157" customFormat="false" ht="15" hidden="false" customHeight="false" outlineLevel="0" collapsed="false">
      <c r="A3157" s="0" t="n">
        <v>1061</v>
      </c>
      <c r="B3157" s="0" t="s">
        <v>7150</v>
      </c>
      <c r="C3157" s="0" t="s">
        <v>7154</v>
      </c>
      <c r="E3157" s="0" t="s">
        <v>79</v>
      </c>
      <c r="F3157" s="0" t="s">
        <v>13965</v>
      </c>
    </row>
    <row r="3158" customFormat="false" ht="15" hidden="false" customHeight="false" outlineLevel="0" collapsed="false">
      <c r="A3158" s="0" t="n">
        <v>1061</v>
      </c>
      <c r="B3158" s="0" t="s">
        <v>7150</v>
      </c>
      <c r="C3158" s="0" t="s">
        <v>7155</v>
      </c>
      <c r="E3158" s="0" t="s">
        <v>79</v>
      </c>
      <c r="F3158" s="0" t="s">
        <v>13966</v>
      </c>
    </row>
    <row r="3159" customFormat="false" ht="15" hidden="false" customHeight="false" outlineLevel="0" collapsed="false">
      <c r="A3159" s="0" t="n">
        <v>1061</v>
      </c>
      <c r="B3159" s="0" t="s">
        <v>7150</v>
      </c>
      <c r="C3159" s="0" t="s">
        <v>13967</v>
      </c>
      <c r="E3159" s="0" t="s">
        <v>79</v>
      </c>
      <c r="F3159" s="0" t="s">
        <v>13968</v>
      </c>
    </row>
    <row r="3160" customFormat="false" ht="15" hidden="false" customHeight="false" outlineLevel="0" collapsed="false">
      <c r="A3160" s="0" t="n">
        <v>1061</v>
      </c>
      <c r="B3160" s="0" t="s">
        <v>7150</v>
      </c>
      <c r="C3160" s="0" t="s">
        <v>13969</v>
      </c>
      <c r="E3160" s="0" t="s">
        <v>79</v>
      </c>
      <c r="F3160" s="0" t="s">
        <v>13970</v>
      </c>
    </row>
    <row r="3161" customFormat="false" ht="15" hidden="false" customHeight="false" outlineLevel="0" collapsed="false">
      <c r="A3161" s="0" t="n">
        <v>1062</v>
      </c>
      <c r="B3161" s="0" t="s">
        <v>7160</v>
      </c>
      <c r="C3161" s="0" t="s">
        <v>7163</v>
      </c>
      <c r="E3161" s="0" t="s">
        <v>79</v>
      </c>
      <c r="F3161" s="0" t="s">
        <v>13971</v>
      </c>
    </row>
    <row r="3162" customFormat="false" ht="15" hidden="false" customHeight="false" outlineLevel="0" collapsed="false">
      <c r="A3162" s="0" t="n">
        <v>1062</v>
      </c>
      <c r="B3162" s="0" t="s">
        <v>7160</v>
      </c>
      <c r="C3162" s="0" t="s">
        <v>7164</v>
      </c>
      <c r="E3162" s="0" t="s">
        <v>79</v>
      </c>
      <c r="F3162" s="0" t="s">
        <v>13972</v>
      </c>
    </row>
    <row r="3163" customFormat="false" ht="15" hidden="false" customHeight="false" outlineLevel="0" collapsed="false">
      <c r="A3163" s="0" t="n">
        <v>1063</v>
      </c>
      <c r="B3163" s="0" t="s">
        <v>7165</v>
      </c>
      <c r="C3163" s="0" t="s">
        <v>7168</v>
      </c>
      <c r="E3163" s="0" t="s">
        <v>79</v>
      </c>
      <c r="F3163" s="0" t="s">
        <v>13973</v>
      </c>
    </row>
    <row r="3164" customFormat="false" ht="15" hidden="false" customHeight="false" outlineLevel="0" collapsed="false">
      <c r="A3164" s="0" t="n">
        <v>1063</v>
      </c>
      <c r="B3164" s="0" t="s">
        <v>7165</v>
      </c>
      <c r="C3164" s="0" t="s">
        <v>7169</v>
      </c>
      <c r="E3164" s="0" t="s">
        <v>79</v>
      </c>
      <c r="F3164" s="0" t="s">
        <v>13974</v>
      </c>
    </row>
    <row r="3165" customFormat="false" ht="15" hidden="false" customHeight="false" outlineLevel="0" collapsed="false">
      <c r="A3165" s="0" t="n">
        <v>1063</v>
      </c>
      <c r="B3165" s="0" t="s">
        <v>7165</v>
      </c>
      <c r="C3165" s="0" t="s">
        <v>7170</v>
      </c>
      <c r="E3165" s="0" t="s">
        <v>79</v>
      </c>
      <c r="F3165" s="0" t="s">
        <v>13975</v>
      </c>
    </row>
    <row r="3166" customFormat="false" ht="15" hidden="false" customHeight="false" outlineLevel="0" collapsed="false">
      <c r="A3166" s="0" t="n">
        <v>1063</v>
      </c>
      <c r="B3166" s="0" t="s">
        <v>7165</v>
      </c>
      <c r="C3166" s="0" t="s">
        <v>13976</v>
      </c>
      <c r="E3166" s="0" t="s">
        <v>79</v>
      </c>
      <c r="F3166" s="0" t="s">
        <v>13977</v>
      </c>
    </row>
    <row r="3167" customFormat="false" ht="15" hidden="false" customHeight="false" outlineLevel="0" collapsed="false">
      <c r="A3167" s="0" t="n">
        <v>1063</v>
      </c>
      <c r="B3167" s="0" t="s">
        <v>7165</v>
      </c>
      <c r="C3167" s="0" t="s">
        <v>13978</v>
      </c>
      <c r="E3167" s="0" t="s">
        <v>79</v>
      </c>
      <c r="F3167" s="0" t="s">
        <v>13979</v>
      </c>
    </row>
    <row r="3168" customFormat="false" ht="15" hidden="false" customHeight="false" outlineLevel="0" collapsed="false">
      <c r="A3168" s="0" t="n">
        <v>1064</v>
      </c>
      <c r="B3168" s="0" t="s">
        <v>7175</v>
      </c>
      <c r="C3168" s="0" t="s">
        <v>5740</v>
      </c>
      <c r="D3168" s="0" t="s">
        <v>13137</v>
      </c>
      <c r="E3168" s="0" t="s">
        <v>115</v>
      </c>
    </row>
    <row r="3169" customFormat="false" ht="15" hidden="false" customHeight="false" outlineLevel="0" collapsed="false">
      <c r="A3169" s="0" t="n">
        <v>1064</v>
      </c>
      <c r="B3169" s="0" t="s">
        <v>7175</v>
      </c>
      <c r="C3169" s="0" t="s">
        <v>5741</v>
      </c>
      <c r="D3169" s="0" t="s">
        <v>13138</v>
      </c>
      <c r="E3169" s="0" t="s">
        <v>115</v>
      </c>
    </row>
    <row r="3170" customFormat="false" ht="15" hidden="false" customHeight="false" outlineLevel="0" collapsed="false">
      <c r="A3170" s="0" t="n">
        <v>1064</v>
      </c>
      <c r="B3170" s="0" t="s">
        <v>7175</v>
      </c>
      <c r="C3170" s="0" t="s">
        <v>5742</v>
      </c>
      <c r="D3170" s="0" t="s">
        <v>13139</v>
      </c>
      <c r="E3170" s="0" t="s">
        <v>115</v>
      </c>
    </row>
    <row r="3171" customFormat="false" ht="15" hidden="false" customHeight="false" outlineLevel="0" collapsed="false">
      <c r="A3171" s="0" t="n">
        <v>1065</v>
      </c>
      <c r="B3171" s="0" t="s">
        <v>7180</v>
      </c>
      <c r="C3171" s="0" t="s">
        <v>7182</v>
      </c>
      <c r="E3171" s="0" t="s">
        <v>59</v>
      </c>
      <c r="F3171" s="0" t="s">
        <v>13980</v>
      </c>
    </row>
    <row r="3172" customFormat="false" ht="15" hidden="false" customHeight="false" outlineLevel="0" collapsed="false">
      <c r="A3172" s="0" t="n">
        <v>1065</v>
      </c>
      <c r="B3172" s="0" t="s">
        <v>7180</v>
      </c>
      <c r="C3172" s="0" t="s">
        <v>7183</v>
      </c>
      <c r="E3172" s="0" t="s">
        <v>59</v>
      </c>
      <c r="F3172" s="0" t="s">
        <v>13981</v>
      </c>
    </row>
    <row r="3173" customFormat="false" ht="15" hidden="false" customHeight="false" outlineLevel="0" collapsed="false">
      <c r="A3173" s="0" t="n">
        <v>1065</v>
      </c>
      <c r="B3173" s="0" t="s">
        <v>7180</v>
      </c>
      <c r="C3173" s="0" t="s">
        <v>7184</v>
      </c>
      <c r="E3173" s="0" t="s">
        <v>59</v>
      </c>
      <c r="F3173" s="0" t="s">
        <v>13982</v>
      </c>
    </row>
    <row r="3174" customFormat="false" ht="15" hidden="false" customHeight="false" outlineLevel="0" collapsed="false">
      <c r="A3174" s="0" t="n">
        <v>1065</v>
      </c>
      <c r="B3174" s="0" t="s">
        <v>7180</v>
      </c>
      <c r="C3174" s="0" t="s">
        <v>13983</v>
      </c>
      <c r="E3174" s="0" t="s">
        <v>59</v>
      </c>
      <c r="F3174" s="0" t="s">
        <v>13984</v>
      </c>
    </row>
    <row r="3175" customFormat="false" ht="15" hidden="false" customHeight="false" outlineLevel="0" collapsed="false">
      <c r="A3175" s="0" t="n">
        <v>1065</v>
      </c>
      <c r="B3175" s="0" t="s">
        <v>7180</v>
      </c>
      <c r="C3175" s="0" t="s">
        <v>13985</v>
      </c>
      <c r="E3175" s="0" t="s">
        <v>59</v>
      </c>
      <c r="F3175" s="0" t="s">
        <v>13986</v>
      </c>
    </row>
    <row r="3176" customFormat="false" ht="15" hidden="false" customHeight="false" outlineLevel="0" collapsed="false">
      <c r="A3176" s="0" t="n">
        <v>1066</v>
      </c>
      <c r="B3176" s="0" t="s">
        <v>7185</v>
      </c>
      <c r="C3176" s="0" t="s">
        <v>7188</v>
      </c>
      <c r="E3176" s="0" t="s">
        <v>59</v>
      </c>
      <c r="F3176" s="0" t="s">
        <v>13987</v>
      </c>
    </row>
    <row r="3177" customFormat="false" ht="15" hidden="false" customHeight="false" outlineLevel="0" collapsed="false">
      <c r="A3177" s="0" t="n">
        <v>1066</v>
      </c>
      <c r="B3177" s="0" t="s">
        <v>7185</v>
      </c>
      <c r="C3177" s="0" t="s">
        <v>7189</v>
      </c>
      <c r="E3177" s="0" t="s">
        <v>59</v>
      </c>
      <c r="F3177" s="0" t="s">
        <v>13988</v>
      </c>
    </row>
    <row r="3178" customFormat="false" ht="15" hidden="false" customHeight="false" outlineLevel="0" collapsed="false">
      <c r="A3178" s="0" t="n">
        <v>1066</v>
      </c>
      <c r="B3178" s="0" t="s">
        <v>7185</v>
      </c>
      <c r="C3178" s="0" t="s">
        <v>7190</v>
      </c>
      <c r="E3178" s="0" t="s">
        <v>59</v>
      </c>
      <c r="F3178" s="0" t="s">
        <v>13989</v>
      </c>
    </row>
    <row r="3179" customFormat="false" ht="15" hidden="false" customHeight="false" outlineLevel="0" collapsed="false">
      <c r="A3179" s="0" t="n">
        <v>1066</v>
      </c>
      <c r="B3179" s="0" t="s">
        <v>7185</v>
      </c>
      <c r="C3179" s="0" t="s">
        <v>13990</v>
      </c>
      <c r="E3179" s="0" t="s">
        <v>59</v>
      </c>
      <c r="F3179" s="0" t="s">
        <v>13991</v>
      </c>
    </row>
    <row r="3180" customFormat="false" ht="15" hidden="false" customHeight="false" outlineLevel="0" collapsed="false">
      <c r="A3180" s="0" t="n">
        <v>1066</v>
      </c>
      <c r="B3180" s="0" t="s">
        <v>7185</v>
      </c>
      <c r="C3180" s="0" t="s">
        <v>13992</v>
      </c>
      <c r="E3180" s="0" t="s">
        <v>59</v>
      </c>
      <c r="F3180" s="0" t="s">
        <v>13993</v>
      </c>
    </row>
    <row r="3181" customFormat="false" ht="15" hidden="false" customHeight="false" outlineLevel="0" collapsed="false">
      <c r="A3181" s="0" t="n">
        <v>1067</v>
      </c>
      <c r="B3181" s="0" t="s">
        <v>7194</v>
      </c>
      <c r="C3181" s="0" t="s">
        <v>7197</v>
      </c>
      <c r="E3181" s="0" t="s">
        <v>79</v>
      </c>
      <c r="F3181" s="0" t="s">
        <v>13994</v>
      </c>
    </row>
    <row r="3182" customFormat="false" ht="15" hidden="false" customHeight="false" outlineLevel="0" collapsed="false">
      <c r="A3182" s="0" t="n">
        <v>1067</v>
      </c>
      <c r="B3182" s="0" t="s">
        <v>7194</v>
      </c>
      <c r="C3182" s="0" t="s">
        <v>7198</v>
      </c>
      <c r="E3182" s="0" t="s">
        <v>79</v>
      </c>
      <c r="F3182" s="0" t="s">
        <v>13995</v>
      </c>
    </row>
    <row r="3183" customFormat="false" ht="15" hidden="false" customHeight="false" outlineLevel="0" collapsed="false">
      <c r="A3183" s="0" t="n">
        <v>1067</v>
      </c>
      <c r="B3183" s="0" t="s">
        <v>7194</v>
      </c>
      <c r="C3183" s="0" t="s">
        <v>7199</v>
      </c>
      <c r="E3183" s="0" t="s">
        <v>79</v>
      </c>
      <c r="F3183" s="0" t="s">
        <v>13996</v>
      </c>
    </row>
    <row r="3184" customFormat="false" ht="15" hidden="false" customHeight="false" outlineLevel="0" collapsed="false">
      <c r="A3184" s="0" t="n">
        <v>1067</v>
      </c>
      <c r="B3184" s="0" t="s">
        <v>7194</v>
      </c>
      <c r="C3184" s="0" t="s">
        <v>13997</v>
      </c>
      <c r="E3184" s="0" t="s">
        <v>79</v>
      </c>
      <c r="F3184" s="0" t="s">
        <v>13998</v>
      </c>
    </row>
    <row r="3185" customFormat="false" ht="15" hidden="false" customHeight="false" outlineLevel="0" collapsed="false">
      <c r="A3185" s="0" t="n">
        <v>1067</v>
      </c>
      <c r="B3185" s="0" t="s">
        <v>7194</v>
      </c>
      <c r="C3185" s="0" t="s">
        <v>13999</v>
      </c>
      <c r="E3185" s="0" t="s">
        <v>79</v>
      </c>
      <c r="F3185" s="0" t="s">
        <v>14000</v>
      </c>
    </row>
    <row r="3186" customFormat="false" ht="15" hidden="false" customHeight="false" outlineLevel="0" collapsed="false">
      <c r="A3186" s="0" t="n">
        <v>1068</v>
      </c>
      <c r="B3186" s="0" t="s">
        <v>7205</v>
      </c>
      <c r="C3186" s="0" t="s">
        <v>7207</v>
      </c>
      <c r="E3186" s="0" t="s">
        <v>79</v>
      </c>
      <c r="F3186" s="0" t="s">
        <v>14001</v>
      </c>
    </row>
    <row r="3187" customFormat="false" ht="15" hidden="false" customHeight="false" outlineLevel="0" collapsed="false">
      <c r="A3187" s="0" t="n">
        <v>1068</v>
      </c>
      <c r="B3187" s="0" t="s">
        <v>7205</v>
      </c>
      <c r="C3187" s="0" t="s">
        <v>7208</v>
      </c>
      <c r="E3187" s="0" t="s">
        <v>79</v>
      </c>
      <c r="F3187" s="0" t="s">
        <v>14002</v>
      </c>
    </row>
    <row r="3188" customFormat="false" ht="15" hidden="false" customHeight="false" outlineLevel="0" collapsed="false">
      <c r="A3188" s="0" t="n">
        <v>1070</v>
      </c>
      <c r="B3188" s="0" t="s">
        <v>7211</v>
      </c>
      <c r="C3188" s="0" t="s">
        <v>7214</v>
      </c>
      <c r="E3188" s="0" t="s">
        <v>59</v>
      </c>
      <c r="F3188" s="0" t="s">
        <v>14003</v>
      </c>
    </row>
    <row r="3189" customFormat="false" ht="15" hidden="false" customHeight="false" outlineLevel="0" collapsed="false">
      <c r="A3189" s="0" t="n">
        <v>1070</v>
      </c>
      <c r="B3189" s="0" t="s">
        <v>7211</v>
      </c>
      <c r="C3189" s="0" t="s">
        <v>7215</v>
      </c>
      <c r="E3189" s="0" t="s">
        <v>59</v>
      </c>
      <c r="F3189" s="0" t="s">
        <v>14004</v>
      </c>
    </row>
    <row r="3190" customFormat="false" ht="15" hidden="false" customHeight="false" outlineLevel="0" collapsed="false">
      <c r="A3190" s="0" t="n">
        <v>1070</v>
      </c>
      <c r="B3190" s="0" t="s">
        <v>7211</v>
      </c>
      <c r="C3190" s="0" t="s">
        <v>7216</v>
      </c>
      <c r="E3190" s="0" t="s">
        <v>59</v>
      </c>
      <c r="F3190" s="0" t="s">
        <v>14005</v>
      </c>
    </row>
    <row r="3191" customFormat="false" ht="15" hidden="false" customHeight="false" outlineLevel="0" collapsed="false">
      <c r="A3191" s="0" t="n">
        <v>1070</v>
      </c>
      <c r="B3191" s="0" t="s">
        <v>7211</v>
      </c>
      <c r="C3191" s="0" t="s">
        <v>14006</v>
      </c>
      <c r="E3191" s="0" t="s">
        <v>59</v>
      </c>
      <c r="F3191" s="0" t="s">
        <v>14007</v>
      </c>
    </row>
    <row r="3192" customFormat="false" ht="15" hidden="false" customHeight="false" outlineLevel="0" collapsed="false">
      <c r="A3192" s="0" t="n">
        <v>1070</v>
      </c>
      <c r="B3192" s="0" t="s">
        <v>7211</v>
      </c>
      <c r="C3192" s="0" t="s">
        <v>14008</v>
      </c>
      <c r="E3192" s="0" t="s">
        <v>59</v>
      </c>
      <c r="F3192" s="0" t="s">
        <v>14009</v>
      </c>
    </row>
    <row r="3193" customFormat="false" ht="15" hidden="false" customHeight="false" outlineLevel="0" collapsed="false">
      <c r="A3193" s="0" t="n">
        <v>1071</v>
      </c>
      <c r="B3193" s="0" t="s">
        <v>7220</v>
      </c>
      <c r="C3193" s="0" t="s">
        <v>7223</v>
      </c>
      <c r="E3193" s="0" t="s">
        <v>79</v>
      </c>
      <c r="F3193" s="0" t="s">
        <v>14010</v>
      </c>
    </row>
    <row r="3194" customFormat="false" ht="15" hidden="false" customHeight="false" outlineLevel="0" collapsed="false">
      <c r="A3194" s="0" t="n">
        <v>1071</v>
      </c>
      <c r="B3194" s="0" t="s">
        <v>7220</v>
      </c>
      <c r="C3194" s="0" t="s">
        <v>7224</v>
      </c>
      <c r="E3194" s="0" t="s">
        <v>79</v>
      </c>
      <c r="F3194" s="0" t="s">
        <v>14011</v>
      </c>
    </row>
    <row r="3195" customFormat="false" ht="15" hidden="false" customHeight="false" outlineLevel="0" collapsed="false">
      <c r="A3195" s="0" t="n">
        <v>1071</v>
      </c>
      <c r="B3195" s="0" t="s">
        <v>7220</v>
      </c>
      <c r="C3195" s="0" t="s">
        <v>7225</v>
      </c>
      <c r="E3195" s="0" t="s">
        <v>79</v>
      </c>
      <c r="F3195" s="0" t="s">
        <v>14012</v>
      </c>
    </row>
    <row r="3196" customFormat="false" ht="15" hidden="false" customHeight="false" outlineLevel="0" collapsed="false">
      <c r="A3196" s="0" t="n">
        <v>1071</v>
      </c>
      <c r="B3196" s="0" t="s">
        <v>7220</v>
      </c>
      <c r="C3196" s="0" t="s">
        <v>14013</v>
      </c>
      <c r="E3196" s="0" t="s">
        <v>79</v>
      </c>
      <c r="F3196" s="0" t="s">
        <v>14014</v>
      </c>
    </row>
    <row r="3197" customFormat="false" ht="15" hidden="false" customHeight="false" outlineLevel="0" collapsed="false">
      <c r="A3197" s="0" t="n">
        <v>1071</v>
      </c>
      <c r="B3197" s="0" t="s">
        <v>7220</v>
      </c>
      <c r="C3197" s="0" t="s">
        <v>14015</v>
      </c>
      <c r="E3197" s="0" t="s">
        <v>79</v>
      </c>
      <c r="F3197" s="0" t="s">
        <v>14016</v>
      </c>
    </row>
    <row r="3198" customFormat="false" ht="15" hidden="false" customHeight="false" outlineLevel="0" collapsed="false">
      <c r="A3198" s="0" t="n">
        <v>1073</v>
      </c>
      <c r="B3198" s="0" t="s">
        <v>7232</v>
      </c>
      <c r="C3198" s="0" t="s">
        <v>7234</v>
      </c>
      <c r="E3198" s="0" t="s">
        <v>79</v>
      </c>
      <c r="F3198" s="0" t="s">
        <v>14017</v>
      </c>
    </row>
    <row r="3199" customFormat="false" ht="15" hidden="false" customHeight="false" outlineLevel="0" collapsed="false">
      <c r="A3199" s="0" t="n">
        <v>1073</v>
      </c>
      <c r="B3199" s="0" t="s">
        <v>7232</v>
      </c>
      <c r="C3199" s="0" t="s">
        <v>7235</v>
      </c>
      <c r="E3199" s="0" t="s">
        <v>79</v>
      </c>
      <c r="F3199" s="0" t="s">
        <v>14018</v>
      </c>
    </row>
    <row r="3200" customFormat="false" ht="15" hidden="false" customHeight="false" outlineLevel="0" collapsed="false">
      <c r="A3200" s="0" t="n">
        <v>1073</v>
      </c>
      <c r="B3200" s="0" t="s">
        <v>7232</v>
      </c>
      <c r="C3200" s="0" t="s">
        <v>7236</v>
      </c>
      <c r="E3200" s="0" t="s">
        <v>79</v>
      </c>
      <c r="F3200" s="0" t="s">
        <v>14019</v>
      </c>
    </row>
    <row r="3201" customFormat="false" ht="15" hidden="false" customHeight="false" outlineLevel="0" collapsed="false">
      <c r="A3201" s="0" t="n">
        <v>1073</v>
      </c>
      <c r="B3201" s="0" t="s">
        <v>7232</v>
      </c>
      <c r="C3201" s="0" t="s">
        <v>14020</v>
      </c>
      <c r="E3201" s="0" t="s">
        <v>79</v>
      </c>
      <c r="F3201" s="0" t="s">
        <v>14021</v>
      </c>
    </row>
    <row r="3202" customFormat="false" ht="15" hidden="false" customHeight="false" outlineLevel="0" collapsed="false">
      <c r="A3202" s="0" t="n">
        <v>1073</v>
      </c>
      <c r="B3202" s="0" t="s">
        <v>7232</v>
      </c>
      <c r="C3202" s="0" t="s">
        <v>14022</v>
      </c>
      <c r="E3202" s="0" t="s">
        <v>79</v>
      </c>
      <c r="F3202" s="0" t="s">
        <v>14023</v>
      </c>
    </row>
    <row r="3203" customFormat="false" ht="15" hidden="false" customHeight="false" outlineLevel="0" collapsed="false">
      <c r="A3203" s="0" t="n">
        <v>1074</v>
      </c>
      <c r="B3203" s="0" t="s">
        <v>7237</v>
      </c>
      <c r="C3203" s="0" t="s">
        <v>7240</v>
      </c>
      <c r="E3203" s="0" t="s">
        <v>79</v>
      </c>
      <c r="F3203" s="0" t="s">
        <v>14024</v>
      </c>
    </row>
    <row r="3204" customFormat="false" ht="15" hidden="false" customHeight="false" outlineLevel="0" collapsed="false">
      <c r="A3204" s="0" t="n">
        <v>1074</v>
      </c>
      <c r="B3204" s="0" t="s">
        <v>7237</v>
      </c>
      <c r="C3204" s="0" t="s">
        <v>7241</v>
      </c>
      <c r="E3204" s="0" t="s">
        <v>79</v>
      </c>
      <c r="F3204" s="0" t="s">
        <v>14025</v>
      </c>
    </row>
    <row r="3205" customFormat="false" ht="15" hidden="false" customHeight="false" outlineLevel="0" collapsed="false">
      <c r="A3205" s="0" t="n">
        <v>1074</v>
      </c>
      <c r="B3205" s="0" t="s">
        <v>7237</v>
      </c>
      <c r="C3205" s="0" t="s">
        <v>7242</v>
      </c>
      <c r="E3205" s="0" t="s">
        <v>79</v>
      </c>
      <c r="F3205" s="0" t="s">
        <v>14026</v>
      </c>
    </row>
    <row r="3206" customFormat="false" ht="15" hidden="false" customHeight="false" outlineLevel="0" collapsed="false">
      <c r="A3206" s="0" t="n">
        <v>1074</v>
      </c>
      <c r="B3206" s="0" t="s">
        <v>7237</v>
      </c>
      <c r="C3206" s="0" t="s">
        <v>14027</v>
      </c>
      <c r="E3206" s="0" t="s">
        <v>79</v>
      </c>
      <c r="F3206" s="0" t="s">
        <v>14028</v>
      </c>
    </row>
    <row r="3207" customFormat="false" ht="15" hidden="false" customHeight="false" outlineLevel="0" collapsed="false">
      <c r="A3207" s="0" t="n">
        <v>1074</v>
      </c>
      <c r="B3207" s="0" t="s">
        <v>7237</v>
      </c>
      <c r="C3207" s="0" t="s">
        <v>14029</v>
      </c>
      <c r="E3207" s="0" t="s">
        <v>79</v>
      </c>
      <c r="F3207" s="0" t="s">
        <v>14030</v>
      </c>
    </row>
    <row r="3208" customFormat="false" ht="15" hidden="false" customHeight="false" outlineLevel="0" collapsed="false">
      <c r="A3208" s="0" t="n">
        <v>1076</v>
      </c>
      <c r="B3208" s="0" t="s">
        <v>7249</v>
      </c>
      <c r="C3208" s="0" t="s">
        <v>7251</v>
      </c>
      <c r="E3208" s="0" t="s">
        <v>79</v>
      </c>
      <c r="F3208" s="0" t="s">
        <v>14031</v>
      </c>
    </row>
    <row r="3209" customFormat="false" ht="15" hidden="false" customHeight="false" outlineLevel="0" collapsed="false">
      <c r="A3209" s="0" t="n">
        <v>1076</v>
      </c>
      <c r="B3209" s="0" t="s">
        <v>7249</v>
      </c>
      <c r="C3209" s="0" t="s">
        <v>7252</v>
      </c>
      <c r="E3209" s="0" t="s">
        <v>79</v>
      </c>
      <c r="F3209" s="0" t="s">
        <v>14032</v>
      </c>
    </row>
    <row r="3210" customFormat="false" ht="15" hidden="false" customHeight="false" outlineLevel="0" collapsed="false">
      <c r="A3210" s="0" t="n">
        <v>1076</v>
      </c>
      <c r="B3210" s="0" t="s">
        <v>7249</v>
      </c>
      <c r="C3210" s="0" t="s">
        <v>7253</v>
      </c>
      <c r="E3210" s="0" t="s">
        <v>79</v>
      </c>
      <c r="F3210" s="0" t="s">
        <v>14033</v>
      </c>
    </row>
    <row r="3211" customFormat="false" ht="15" hidden="false" customHeight="false" outlineLevel="0" collapsed="false">
      <c r="A3211" s="0" t="n">
        <v>1076</v>
      </c>
      <c r="B3211" s="0" t="s">
        <v>7249</v>
      </c>
      <c r="C3211" s="0" t="s">
        <v>14034</v>
      </c>
      <c r="E3211" s="0" t="s">
        <v>79</v>
      </c>
      <c r="F3211" s="0" t="s">
        <v>14035</v>
      </c>
    </row>
    <row r="3212" customFormat="false" ht="15" hidden="false" customHeight="false" outlineLevel="0" collapsed="false">
      <c r="A3212" s="0" t="n">
        <v>1076</v>
      </c>
      <c r="B3212" s="0" t="s">
        <v>7249</v>
      </c>
      <c r="C3212" s="0" t="s">
        <v>14036</v>
      </c>
      <c r="E3212" s="0" t="s">
        <v>79</v>
      </c>
      <c r="F3212" s="0" t="s">
        <v>14037</v>
      </c>
    </row>
    <row r="3213" customFormat="false" ht="15" hidden="false" customHeight="false" outlineLevel="0" collapsed="false">
      <c r="A3213" s="0" t="n">
        <v>1078</v>
      </c>
      <c r="B3213" s="0" t="s">
        <v>7255</v>
      </c>
      <c r="C3213" s="0" t="s">
        <v>7258</v>
      </c>
      <c r="E3213" s="0" t="s">
        <v>79</v>
      </c>
      <c r="F3213" s="0" t="s">
        <v>14038</v>
      </c>
    </row>
    <row r="3214" customFormat="false" ht="15" hidden="false" customHeight="false" outlineLevel="0" collapsed="false">
      <c r="A3214" s="0" t="n">
        <v>1078</v>
      </c>
      <c r="B3214" s="0" t="s">
        <v>7255</v>
      </c>
      <c r="C3214" s="0" t="s">
        <v>7259</v>
      </c>
      <c r="E3214" s="0" t="s">
        <v>79</v>
      </c>
      <c r="F3214" s="0" t="s">
        <v>14039</v>
      </c>
    </row>
    <row r="3215" customFormat="false" ht="15" hidden="false" customHeight="false" outlineLevel="0" collapsed="false">
      <c r="A3215" s="0" t="n">
        <v>1078</v>
      </c>
      <c r="B3215" s="0" t="s">
        <v>7255</v>
      </c>
      <c r="C3215" s="0" t="s">
        <v>7260</v>
      </c>
      <c r="E3215" s="0" t="s">
        <v>79</v>
      </c>
      <c r="F3215" s="0" t="s">
        <v>14040</v>
      </c>
    </row>
    <row r="3216" customFormat="false" ht="15" hidden="false" customHeight="false" outlineLevel="0" collapsed="false">
      <c r="A3216" s="0" t="n">
        <v>1078</v>
      </c>
      <c r="B3216" s="0" t="s">
        <v>7255</v>
      </c>
      <c r="C3216" s="0" t="s">
        <v>14041</v>
      </c>
      <c r="E3216" s="0" t="s">
        <v>79</v>
      </c>
      <c r="F3216" s="0" t="s">
        <v>14042</v>
      </c>
    </row>
    <row r="3217" customFormat="false" ht="15" hidden="false" customHeight="false" outlineLevel="0" collapsed="false">
      <c r="A3217" s="0" t="n">
        <v>1078</v>
      </c>
      <c r="B3217" s="0" t="s">
        <v>7255</v>
      </c>
      <c r="C3217" s="0" t="s">
        <v>14043</v>
      </c>
      <c r="E3217" s="0" t="s">
        <v>79</v>
      </c>
      <c r="F3217" s="0" t="s">
        <v>14044</v>
      </c>
    </row>
    <row r="3218" customFormat="false" ht="15" hidden="false" customHeight="false" outlineLevel="0" collapsed="false">
      <c r="A3218" s="0" t="n">
        <v>1080</v>
      </c>
      <c r="B3218" s="0" t="s">
        <v>7270</v>
      </c>
      <c r="C3218" s="0" t="s">
        <v>7279</v>
      </c>
      <c r="D3218" s="0" t="s">
        <v>14045</v>
      </c>
      <c r="E3218" s="0" t="s">
        <v>115</v>
      </c>
    </row>
    <row r="3219" customFormat="false" ht="15" hidden="false" customHeight="false" outlineLevel="0" collapsed="false">
      <c r="A3219" s="0" t="n">
        <v>1080</v>
      </c>
      <c r="B3219" s="0" t="s">
        <v>7270</v>
      </c>
      <c r="C3219" s="0" t="s">
        <v>7280</v>
      </c>
      <c r="D3219" s="0" t="s">
        <v>14046</v>
      </c>
      <c r="E3219" s="0" t="s">
        <v>115</v>
      </c>
    </row>
    <row r="3220" customFormat="false" ht="15" hidden="false" customHeight="false" outlineLevel="0" collapsed="false">
      <c r="A3220" s="0" t="n">
        <v>1080</v>
      </c>
      <c r="B3220" s="0" t="s">
        <v>7270</v>
      </c>
      <c r="C3220" s="0" t="s">
        <v>7281</v>
      </c>
      <c r="D3220" s="0" t="s">
        <v>14047</v>
      </c>
      <c r="E3220" s="0" t="s">
        <v>115</v>
      </c>
    </row>
    <row r="3221" customFormat="false" ht="15" hidden="false" customHeight="false" outlineLevel="0" collapsed="false">
      <c r="A3221" s="0" t="n">
        <v>1081</v>
      </c>
      <c r="B3221" s="0" t="s">
        <v>7290</v>
      </c>
      <c r="C3221" s="0" t="s">
        <v>6676</v>
      </c>
      <c r="D3221" s="0" t="s">
        <v>13683</v>
      </c>
      <c r="E3221" s="0" t="s">
        <v>115</v>
      </c>
    </row>
    <row r="3222" customFormat="false" ht="15" hidden="false" customHeight="false" outlineLevel="0" collapsed="false">
      <c r="A3222" s="0" t="n">
        <v>1081</v>
      </c>
      <c r="B3222" s="0" t="s">
        <v>7290</v>
      </c>
      <c r="C3222" s="0" t="s">
        <v>6677</v>
      </c>
      <c r="D3222" s="0" t="s">
        <v>13684</v>
      </c>
      <c r="E3222" s="0" t="s">
        <v>115</v>
      </c>
    </row>
    <row r="3223" customFormat="false" ht="15" hidden="false" customHeight="false" outlineLevel="0" collapsed="false">
      <c r="A3223" s="0" t="n">
        <v>1081</v>
      </c>
      <c r="B3223" s="0" t="s">
        <v>7290</v>
      </c>
      <c r="C3223" s="0" t="s">
        <v>6678</v>
      </c>
      <c r="D3223" s="0" t="s">
        <v>13685</v>
      </c>
      <c r="E3223" s="0" t="s">
        <v>115</v>
      </c>
    </row>
    <row r="3224" customFormat="false" ht="15" hidden="false" customHeight="false" outlineLevel="0" collapsed="false">
      <c r="A3224" s="0" t="n">
        <v>1082</v>
      </c>
      <c r="B3224" s="0" t="s">
        <v>7296</v>
      </c>
      <c r="C3224" s="0" t="s">
        <v>7298</v>
      </c>
      <c r="E3224" s="0" t="s">
        <v>79</v>
      </c>
      <c r="F3224" s="0" t="s">
        <v>14048</v>
      </c>
    </row>
    <row r="3225" customFormat="false" ht="15" hidden="false" customHeight="false" outlineLevel="0" collapsed="false">
      <c r="A3225" s="0" t="n">
        <v>1082</v>
      </c>
      <c r="B3225" s="0" t="s">
        <v>7296</v>
      </c>
      <c r="C3225" s="0" t="s">
        <v>7299</v>
      </c>
      <c r="E3225" s="0" t="s">
        <v>79</v>
      </c>
      <c r="F3225" s="0" t="s">
        <v>14049</v>
      </c>
    </row>
    <row r="3226" customFormat="false" ht="15" hidden="false" customHeight="false" outlineLevel="0" collapsed="false">
      <c r="A3226" s="0" t="n">
        <v>1082</v>
      </c>
      <c r="B3226" s="0" t="s">
        <v>7296</v>
      </c>
      <c r="C3226" s="0" t="s">
        <v>7300</v>
      </c>
      <c r="E3226" s="0" t="s">
        <v>79</v>
      </c>
      <c r="F3226" s="0" t="s">
        <v>14050</v>
      </c>
    </row>
    <row r="3227" customFormat="false" ht="15" hidden="false" customHeight="false" outlineLevel="0" collapsed="false">
      <c r="A3227" s="0" t="n">
        <v>1083</v>
      </c>
      <c r="B3227" s="0" t="s">
        <v>7301</v>
      </c>
      <c r="C3227" s="0" t="s">
        <v>3792</v>
      </c>
      <c r="E3227" s="0" t="s">
        <v>79</v>
      </c>
      <c r="F3227" s="0" t="s">
        <v>14051</v>
      </c>
    </row>
    <row r="3228" customFormat="false" ht="15" hidden="false" customHeight="false" outlineLevel="0" collapsed="false">
      <c r="A3228" s="0" t="n">
        <v>1083</v>
      </c>
      <c r="B3228" s="0" t="s">
        <v>7301</v>
      </c>
      <c r="C3228" s="0" t="s">
        <v>7304</v>
      </c>
      <c r="E3228" s="0" t="s">
        <v>79</v>
      </c>
      <c r="F3228" s="0" t="s">
        <v>14052</v>
      </c>
    </row>
    <row r="3229" customFormat="false" ht="15" hidden="false" customHeight="false" outlineLevel="0" collapsed="false">
      <c r="A3229" s="0" t="n">
        <v>1083</v>
      </c>
      <c r="B3229" s="0" t="s">
        <v>7301</v>
      </c>
      <c r="C3229" s="0" t="s">
        <v>7305</v>
      </c>
      <c r="E3229" s="0" t="s">
        <v>79</v>
      </c>
      <c r="F3229" s="0" t="s">
        <v>14053</v>
      </c>
    </row>
    <row r="3230" customFormat="false" ht="15" hidden="false" customHeight="false" outlineLevel="0" collapsed="false">
      <c r="A3230" s="0" t="n">
        <v>1083</v>
      </c>
      <c r="B3230" s="0" t="s">
        <v>7301</v>
      </c>
      <c r="C3230" s="0" t="s">
        <v>14054</v>
      </c>
      <c r="E3230" s="0" t="s">
        <v>79</v>
      </c>
      <c r="F3230" s="0" t="s">
        <v>14055</v>
      </c>
    </row>
    <row r="3231" customFormat="false" ht="15" hidden="false" customHeight="false" outlineLevel="0" collapsed="false">
      <c r="A3231" s="0" t="n">
        <v>1083</v>
      </c>
      <c r="B3231" s="0" t="s">
        <v>7301</v>
      </c>
      <c r="C3231" s="0" t="s">
        <v>14056</v>
      </c>
      <c r="E3231" s="0" t="s">
        <v>79</v>
      </c>
      <c r="F3231" s="0" t="s">
        <v>14057</v>
      </c>
    </row>
    <row r="3232" customFormat="false" ht="15" hidden="false" customHeight="false" outlineLevel="0" collapsed="false">
      <c r="A3232" s="0" t="n">
        <v>1084</v>
      </c>
      <c r="B3232" s="0" t="s">
        <v>7311</v>
      </c>
      <c r="C3232" s="0" t="s">
        <v>7313</v>
      </c>
      <c r="E3232" s="0" t="s">
        <v>79</v>
      </c>
      <c r="F3232" s="0" t="s">
        <v>14058</v>
      </c>
    </row>
    <row r="3233" customFormat="false" ht="15" hidden="false" customHeight="false" outlineLevel="0" collapsed="false">
      <c r="A3233" s="0" t="n">
        <v>1084</v>
      </c>
      <c r="B3233" s="0" t="s">
        <v>7311</v>
      </c>
      <c r="C3233" s="0" t="s">
        <v>7314</v>
      </c>
      <c r="E3233" s="0" t="s">
        <v>79</v>
      </c>
      <c r="F3233" s="0" t="s">
        <v>14059</v>
      </c>
    </row>
    <row r="3234" customFormat="false" ht="15" hidden="false" customHeight="false" outlineLevel="0" collapsed="false">
      <c r="A3234" s="0" t="n">
        <v>1084</v>
      </c>
      <c r="B3234" s="0" t="s">
        <v>7311</v>
      </c>
      <c r="C3234" s="0" t="s">
        <v>7315</v>
      </c>
      <c r="E3234" s="0" t="s">
        <v>79</v>
      </c>
      <c r="F3234" s="0" t="s">
        <v>14060</v>
      </c>
    </row>
    <row r="3235" customFormat="false" ht="15" hidden="false" customHeight="false" outlineLevel="0" collapsed="false">
      <c r="A3235" s="0" t="n">
        <v>1084</v>
      </c>
      <c r="B3235" s="0" t="s">
        <v>7311</v>
      </c>
      <c r="C3235" s="0" t="s">
        <v>14061</v>
      </c>
      <c r="E3235" s="0" t="s">
        <v>79</v>
      </c>
      <c r="F3235" s="0" t="s">
        <v>14062</v>
      </c>
    </row>
    <row r="3236" customFormat="false" ht="15" hidden="false" customHeight="false" outlineLevel="0" collapsed="false">
      <c r="A3236" s="0" t="n">
        <v>1084</v>
      </c>
      <c r="B3236" s="0" t="s">
        <v>7311</v>
      </c>
      <c r="C3236" s="0" t="s">
        <v>14063</v>
      </c>
      <c r="E3236" s="0" t="s">
        <v>79</v>
      </c>
      <c r="F3236" s="0" t="s">
        <v>14064</v>
      </c>
    </row>
    <row r="3237" customFormat="false" ht="15" hidden="false" customHeight="false" outlineLevel="0" collapsed="false">
      <c r="A3237" s="0" t="n">
        <v>1086</v>
      </c>
      <c r="B3237" s="0" t="s">
        <v>7321</v>
      </c>
      <c r="C3237" s="0" t="s">
        <v>7324</v>
      </c>
      <c r="E3237" s="0" t="s">
        <v>59</v>
      </c>
      <c r="F3237" s="0" t="s">
        <v>14065</v>
      </c>
    </row>
    <row r="3238" customFormat="false" ht="15" hidden="false" customHeight="false" outlineLevel="0" collapsed="false">
      <c r="A3238" s="0" t="n">
        <v>1086</v>
      </c>
      <c r="B3238" s="0" t="s">
        <v>7321</v>
      </c>
      <c r="C3238" s="0" t="s">
        <v>7325</v>
      </c>
      <c r="E3238" s="0" t="s">
        <v>59</v>
      </c>
      <c r="F3238" s="0" t="s">
        <v>14066</v>
      </c>
    </row>
    <row r="3239" customFormat="false" ht="15" hidden="false" customHeight="false" outlineLevel="0" collapsed="false">
      <c r="A3239" s="0" t="n">
        <v>1086</v>
      </c>
      <c r="B3239" s="0" t="s">
        <v>7321</v>
      </c>
      <c r="C3239" s="0" t="s">
        <v>7326</v>
      </c>
      <c r="E3239" s="0" t="s">
        <v>59</v>
      </c>
      <c r="F3239" s="0" t="s">
        <v>14067</v>
      </c>
    </row>
    <row r="3240" customFormat="false" ht="15" hidden="false" customHeight="false" outlineLevel="0" collapsed="false">
      <c r="A3240" s="0" t="n">
        <v>1086</v>
      </c>
      <c r="B3240" s="0" t="s">
        <v>7321</v>
      </c>
      <c r="C3240" s="0" t="s">
        <v>14068</v>
      </c>
      <c r="E3240" s="0" t="s">
        <v>59</v>
      </c>
      <c r="F3240" s="0" t="s">
        <v>14069</v>
      </c>
    </row>
    <row r="3241" customFormat="false" ht="15" hidden="false" customHeight="false" outlineLevel="0" collapsed="false">
      <c r="A3241" s="0" t="n">
        <v>1086</v>
      </c>
      <c r="B3241" s="0" t="s">
        <v>7321</v>
      </c>
      <c r="C3241" s="0" t="s">
        <v>14070</v>
      </c>
      <c r="E3241" s="0" t="s">
        <v>59</v>
      </c>
      <c r="F3241" s="0" t="s">
        <v>14071</v>
      </c>
    </row>
    <row r="3242" customFormat="false" ht="15" hidden="false" customHeight="false" outlineLevel="0" collapsed="false">
      <c r="A3242" s="0" t="n">
        <v>1087</v>
      </c>
      <c r="B3242" s="0" t="s">
        <v>7327</v>
      </c>
      <c r="C3242" s="0" t="s">
        <v>7329</v>
      </c>
      <c r="E3242" s="0" t="s">
        <v>79</v>
      </c>
      <c r="F3242" s="0" t="s">
        <v>14072</v>
      </c>
    </row>
    <row r="3243" customFormat="false" ht="15" hidden="false" customHeight="false" outlineLevel="0" collapsed="false">
      <c r="A3243" s="0" t="n">
        <v>1087</v>
      </c>
      <c r="B3243" s="0" t="s">
        <v>7327</v>
      </c>
      <c r="C3243" s="0" t="s">
        <v>7330</v>
      </c>
      <c r="E3243" s="0" t="s">
        <v>79</v>
      </c>
      <c r="F3243" s="0" t="s">
        <v>14073</v>
      </c>
    </row>
    <row r="3244" customFormat="false" ht="15" hidden="false" customHeight="false" outlineLevel="0" collapsed="false">
      <c r="A3244" s="0" t="n">
        <v>1087</v>
      </c>
      <c r="B3244" s="0" t="s">
        <v>7327</v>
      </c>
      <c r="C3244" s="0" t="s">
        <v>7331</v>
      </c>
      <c r="E3244" s="0" t="s">
        <v>79</v>
      </c>
      <c r="F3244" s="0" t="s">
        <v>14074</v>
      </c>
    </row>
    <row r="3245" customFormat="false" ht="15" hidden="false" customHeight="false" outlineLevel="0" collapsed="false">
      <c r="A3245" s="0" t="n">
        <v>1087</v>
      </c>
      <c r="B3245" s="0" t="s">
        <v>7327</v>
      </c>
      <c r="C3245" s="0" t="s">
        <v>14075</v>
      </c>
      <c r="E3245" s="0" t="s">
        <v>79</v>
      </c>
      <c r="F3245" s="0" t="s">
        <v>14076</v>
      </c>
    </row>
    <row r="3246" customFormat="false" ht="15" hidden="false" customHeight="false" outlineLevel="0" collapsed="false">
      <c r="A3246" s="0" t="n">
        <v>1087</v>
      </c>
      <c r="B3246" s="0" t="s">
        <v>7327</v>
      </c>
      <c r="C3246" s="0" t="s">
        <v>14077</v>
      </c>
      <c r="E3246" s="0" t="s">
        <v>79</v>
      </c>
      <c r="F3246" s="0" t="s">
        <v>14078</v>
      </c>
    </row>
    <row r="3247" customFormat="false" ht="15" hidden="false" customHeight="false" outlineLevel="0" collapsed="false">
      <c r="A3247" s="0" t="n">
        <v>1088</v>
      </c>
      <c r="B3247" s="0" t="s">
        <v>7332</v>
      </c>
      <c r="C3247" s="0" t="s">
        <v>7337</v>
      </c>
      <c r="D3247" s="0" t="s">
        <v>14079</v>
      </c>
      <c r="E3247" s="0" t="s">
        <v>115</v>
      </c>
    </row>
    <row r="3248" customFormat="false" ht="15" hidden="false" customHeight="false" outlineLevel="0" collapsed="false">
      <c r="A3248" s="0" t="n">
        <v>1088</v>
      </c>
      <c r="B3248" s="0" t="s">
        <v>7332</v>
      </c>
      <c r="C3248" s="0" t="s">
        <v>7338</v>
      </c>
      <c r="D3248" s="0" t="s">
        <v>14080</v>
      </c>
      <c r="E3248" s="0" t="s">
        <v>115</v>
      </c>
    </row>
    <row r="3249" customFormat="false" ht="15" hidden="false" customHeight="false" outlineLevel="0" collapsed="false">
      <c r="A3249" s="0" t="n">
        <v>1088</v>
      </c>
      <c r="B3249" s="0" t="s">
        <v>7332</v>
      </c>
      <c r="C3249" s="0" t="s">
        <v>7339</v>
      </c>
      <c r="D3249" s="0" t="s">
        <v>14081</v>
      </c>
      <c r="E3249" s="0" t="s">
        <v>115</v>
      </c>
    </row>
    <row r="3250" customFormat="false" ht="15" hidden="false" customHeight="false" outlineLevel="0" collapsed="false">
      <c r="A3250" s="0" t="n">
        <v>1089</v>
      </c>
      <c r="B3250" s="0" t="s">
        <v>7349</v>
      </c>
      <c r="C3250" s="0" t="s">
        <v>7337</v>
      </c>
      <c r="D3250" s="0" t="s">
        <v>14079</v>
      </c>
      <c r="E3250" s="0" t="s">
        <v>115</v>
      </c>
    </row>
    <row r="3251" customFormat="false" ht="15" hidden="false" customHeight="false" outlineLevel="0" collapsed="false">
      <c r="A3251" s="0" t="n">
        <v>1089</v>
      </c>
      <c r="B3251" s="0" t="s">
        <v>7349</v>
      </c>
      <c r="C3251" s="0" t="s">
        <v>7338</v>
      </c>
      <c r="D3251" s="0" t="s">
        <v>14080</v>
      </c>
      <c r="E3251" s="0" t="s">
        <v>115</v>
      </c>
    </row>
    <row r="3252" customFormat="false" ht="15" hidden="false" customHeight="false" outlineLevel="0" collapsed="false">
      <c r="A3252" s="0" t="n">
        <v>1089</v>
      </c>
      <c r="B3252" s="0" t="s">
        <v>7349</v>
      </c>
      <c r="C3252" s="0" t="s">
        <v>7339</v>
      </c>
      <c r="D3252" s="0" t="s">
        <v>14081</v>
      </c>
      <c r="E3252" s="0" t="s">
        <v>115</v>
      </c>
    </row>
    <row r="3253" customFormat="false" ht="15" hidden="false" customHeight="false" outlineLevel="0" collapsed="false">
      <c r="A3253" s="0" t="n">
        <v>1090</v>
      </c>
      <c r="B3253" s="0" t="s">
        <v>7352</v>
      </c>
      <c r="C3253" s="0" t="s">
        <v>7355</v>
      </c>
      <c r="E3253" s="0" t="s">
        <v>59</v>
      </c>
      <c r="F3253" s="0" t="s">
        <v>14082</v>
      </c>
    </row>
    <row r="3254" customFormat="false" ht="15" hidden="false" customHeight="false" outlineLevel="0" collapsed="false">
      <c r="A3254" s="0" t="n">
        <v>1090</v>
      </c>
      <c r="B3254" s="0" t="s">
        <v>7352</v>
      </c>
      <c r="C3254" s="0" t="s">
        <v>7356</v>
      </c>
      <c r="E3254" s="0" t="s">
        <v>59</v>
      </c>
      <c r="F3254" s="0" t="s">
        <v>14083</v>
      </c>
    </row>
    <row r="3255" customFormat="false" ht="15" hidden="false" customHeight="false" outlineLevel="0" collapsed="false">
      <c r="A3255" s="0" t="n">
        <v>1090</v>
      </c>
      <c r="B3255" s="0" t="s">
        <v>7352</v>
      </c>
      <c r="C3255" s="0" t="s">
        <v>7357</v>
      </c>
      <c r="E3255" s="0" t="s">
        <v>59</v>
      </c>
      <c r="F3255" s="0" t="s">
        <v>14084</v>
      </c>
    </row>
    <row r="3256" customFormat="false" ht="15" hidden="false" customHeight="false" outlineLevel="0" collapsed="false">
      <c r="A3256" s="0" t="n">
        <v>1090</v>
      </c>
      <c r="B3256" s="0" t="s">
        <v>7352</v>
      </c>
      <c r="C3256" s="0" t="s">
        <v>14085</v>
      </c>
      <c r="E3256" s="0" t="s">
        <v>59</v>
      </c>
      <c r="F3256" s="0" t="s">
        <v>14086</v>
      </c>
    </row>
    <row r="3257" customFormat="false" ht="15" hidden="false" customHeight="false" outlineLevel="0" collapsed="false">
      <c r="A3257" s="0" t="n">
        <v>1090</v>
      </c>
      <c r="B3257" s="0" t="s">
        <v>7352</v>
      </c>
      <c r="C3257" s="0" t="s">
        <v>14087</v>
      </c>
      <c r="E3257" s="0" t="s">
        <v>59</v>
      </c>
      <c r="F3257" s="0" t="s">
        <v>14088</v>
      </c>
    </row>
    <row r="3258" customFormat="false" ht="15" hidden="false" customHeight="false" outlineLevel="0" collapsed="false">
      <c r="A3258" s="0" t="n">
        <v>1091</v>
      </c>
      <c r="B3258" s="0" t="s">
        <v>7361</v>
      </c>
      <c r="C3258" s="0" t="s">
        <v>7363</v>
      </c>
      <c r="E3258" s="0" t="s">
        <v>79</v>
      </c>
      <c r="F3258" s="0" t="s">
        <v>14089</v>
      </c>
    </row>
    <row r="3259" customFormat="false" ht="15" hidden="false" customHeight="false" outlineLevel="0" collapsed="false">
      <c r="A3259" s="0" t="n">
        <v>1091</v>
      </c>
      <c r="B3259" s="0" t="s">
        <v>7361</v>
      </c>
      <c r="C3259" s="0" t="s">
        <v>7364</v>
      </c>
      <c r="E3259" s="0" t="s">
        <v>79</v>
      </c>
      <c r="F3259" s="0" t="s">
        <v>14090</v>
      </c>
    </row>
    <row r="3260" customFormat="false" ht="15" hidden="false" customHeight="false" outlineLevel="0" collapsed="false">
      <c r="A3260" s="0" t="n">
        <v>1091</v>
      </c>
      <c r="B3260" s="0" t="s">
        <v>7361</v>
      </c>
      <c r="C3260" s="0" t="s">
        <v>7365</v>
      </c>
      <c r="E3260" s="0" t="s">
        <v>79</v>
      </c>
      <c r="F3260" s="0" t="s">
        <v>14091</v>
      </c>
    </row>
    <row r="3261" customFormat="false" ht="15" hidden="false" customHeight="false" outlineLevel="0" collapsed="false">
      <c r="A3261" s="0" t="n">
        <v>1091</v>
      </c>
      <c r="B3261" s="0" t="s">
        <v>7361</v>
      </c>
      <c r="C3261" s="0" t="s">
        <v>14092</v>
      </c>
      <c r="E3261" s="0" t="s">
        <v>79</v>
      </c>
      <c r="F3261" s="0" t="s">
        <v>14093</v>
      </c>
    </row>
    <row r="3262" customFormat="false" ht="15" hidden="false" customHeight="false" outlineLevel="0" collapsed="false">
      <c r="A3262" s="0" t="n">
        <v>1091</v>
      </c>
      <c r="B3262" s="0" t="s">
        <v>7361</v>
      </c>
      <c r="C3262" s="0" t="s">
        <v>14094</v>
      </c>
      <c r="E3262" s="0" t="s">
        <v>79</v>
      </c>
      <c r="F3262" s="0" t="s">
        <v>14095</v>
      </c>
    </row>
    <row r="3263" customFormat="false" ht="15" hidden="false" customHeight="false" outlineLevel="0" collapsed="false">
      <c r="A3263" s="0" t="n">
        <v>1094</v>
      </c>
      <c r="B3263" s="0" t="s">
        <v>7381</v>
      </c>
      <c r="C3263" s="0" t="s">
        <v>7387</v>
      </c>
      <c r="E3263" s="0" t="s">
        <v>79</v>
      </c>
      <c r="F3263" s="0" t="s">
        <v>14096</v>
      </c>
    </row>
    <row r="3264" customFormat="false" ht="15" hidden="false" customHeight="false" outlineLevel="0" collapsed="false">
      <c r="A3264" s="0" t="n">
        <v>1094</v>
      </c>
      <c r="B3264" s="0" t="s">
        <v>7381</v>
      </c>
      <c r="C3264" s="0" t="s">
        <v>7388</v>
      </c>
      <c r="E3264" s="0" t="s">
        <v>79</v>
      </c>
      <c r="F3264" s="0" t="s">
        <v>14097</v>
      </c>
    </row>
    <row r="3265" customFormat="false" ht="15" hidden="false" customHeight="false" outlineLevel="0" collapsed="false">
      <c r="A3265" s="0" t="n">
        <v>1095</v>
      </c>
      <c r="B3265" s="0" t="s">
        <v>7394</v>
      </c>
      <c r="C3265" s="0" t="s">
        <v>7396</v>
      </c>
      <c r="E3265" s="0" t="s">
        <v>79</v>
      </c>
      <c r="F3265" s="0" t="s">
        <v>14098</v>
      </c>
    </row>
    <row r="3266" customFormat="false" ht="15" hidden="false" customHeight="false" outlineLevel="0" collapsed="false">
      <c r="A3266" s="0" t="n">
        <v>1095</v>
      </c>
      <c r="B3266" s="0" t="s">
        <v>7394</v>
      </c>
      <c r="C3266" s="0" t="s">
        <v>7397</v>
      </c>
      <c r="E3266" s="0" t="s">
        <v>79</v>
      </c>
      <c r="F3266" s="0" t="s">
        <v>14099</v>
      </c>
    </row>
    <row r="3267" customFormat="false" ht="15" hidden="false" customHeight="false" outlineLevel="0" collapsed="false">
      <c r="A3267" s="0" t="n">
        <v>1095</v>
      </c>
      <c r="B3267" s="0" t="s">
        <v>7394</v>
      </c>
      <c r="C3267" s="0" t="s">
        <v>7398</v>
      </c>
      <c r="E3267" s="0" t="s">
        <v>79</v>
      </c>
      <c r="F3267" s="0" t="s">
        <v>14100</v>
      </c>
    </row>
    <row r="3268" customFormat="false" ht="15" hidden="false" customHeight="false" outlineLevel="0" collapsed="false">
      <c r="A3268" s="0" t="n">
        <v>1095</v>
      </c>
      <c r="B3268" s="0" t="s">
        <v>7394</v>
      </c>
      <c r="C3268" s="0" t="s">
        <v>14101</v>
      </c>
      <c r="E3268" s="0" t="s">
        <v>79</v>
      </c>
      <c r="F3268" s="0" t="s">
        <v>14102</v>
      </c>
    </row>
    <row r="3269" customFormat="false" ht="15" hidden="false" customHeight="false" outlineLevel="0" collapsed="false">
      <c r="A3269" s="0" t="n">
        <v>1095</v>
      </c>
      <c r="B3269" s="0" t="s">
        <v>7394</v>
      </c>
      <c r="C3269" s="0" t="s">
        <v>14103</v>
      </c>
      <c r="E3269" s="0" t="s">
        <v>79</v>
      </c>
      <c r="F3269" s="0" t="s">
        <v>14104</v>
      </c>
    </row>
    <row r="3270" customFormat="false" ht="15" hidden="false" customHeight="false" outlineLevel="0" collapsed="false">
      <c r="A3270" s="0" t="n">
        <v>1096</v>
      </c>
      <c r="B3270" s="0" t="s">
        <v>7399</v>
      </c>
      <c r="C3270" s="0" t="s">
        <v>7401</v>
      </c>
      <c r="E3270" s="0" t="s">
        <v>79</v>
      </c>
      <c r="F3270" s="0" t="s">
        <v>14105</v>
      </c>
    </row>
    <row r="3271" customFormat="false" ht="15" hidden="false" customHeight="false" outlineLevel="0" collapsed="false">
      <c r="A3271" s="0" t="n">
        <v>1096</v>
      </c>
      <c r="B3271" s="0" t="s">
        <v>7399</v>
      </c>
      <c r="C3271" s="0" t="s">
        <v>7402</v>
      </c>
      <c r="E3271" s="0" t="s">
        <v>79</v>
      </c>
      <c r="F3271" s="0" t="s">
        <v>14106</v>
      </c>
    </row>
    <row r="3272" customFormat="false" ht="15" hidden="false" customHeight="false" outlineLevel="0" collapsed="false">
      <c r="A3272" s="0" t="n">
        <v>1097</v>
      </c>
      <c r="B3272" s="0" t="s">
        <v>7403</v>
      </c>
      <c r="C3272" s="0" t="s">
        <v>7406</v>
      </c>
      <c r="E3272" s="0" t="s">
        <v>79</v>
      </c>
      <c r="F3272" s="0" t="s">
        <v>14107</v>
      </c>
    </row>
    <row r="3273" customFormat="false" ht="15" hidden="false" customHeight="false" outlineLevel="0" collapsed="false">
      <c r="A3273" s="0" t="n">
        <v>1097</v>
      </c>
      <c r="B3273" s="0" t="s">
        <v>7403</v>
      </c>
      <c r="C3273" s="0" t="s">
        <v>7407</v>
      </c>
      <c r="E3273" s="0" t="s">
        <v>79</v>
      </c>
      <c r="F3273" s="0" t="s">
        <v>14108</v>
      </c>
    </row>
    <row r="3274" customFormat="false" ht="15" hidden="false" customHeight="false" outlineLevel="0" collapsed="false">
      <c r="A3274" s="0" t="n">
        <v>1097</v>
      </c>
      <c r="B3274" s="0" t="s">
        <v>7403</v>
      </c>
      <c r="C3274" s="0" t="s">
        <v>7408</v>
      </c>
      <c r="E3274" s="0" t="s">
        <v>79</v>
      </c>
      <c r="F3274" s="0" t="s">
        <v>14109</v>
      </c>
    </row>
    <row r="3275" customFormat="false" ht="15" hidden="false" customHeight="false" outlineLevel="0" collapsed="false">
      <c r="A3275" s="0" t="n">
        <v>1097</v>
      </c>
      <c r="B3275" s="0" t="s">
        <v>7403</v>
      </c>
      <c r="C3275" s="0" t="s">
        <v>14110</v>
      </c>
      <c r="E3275" s="0" t="s">
        <v>79</v>
      </c>
      <c r="F3275" s="0" t="s">
        <v>14111</v>
      </c>
    </row>
    <row r="3276" customFormat="false" ht="15" hidden="false" customHeight="false" outlineLevel="0" collapsed="false">
      <c r="A3276" s="0" t="n">
        <v>1097</v>
      </c>
      <c r="B3276" s="0" t="s">
        <v>7403</v>
      </c>
      <c r="C3276" s="0" t="s">
        <v>14112</v>
      </c>
      <c r="E3276" s="0" t="s">
        <v>79</v>
      </c>
      <c r="F3276" s="0" t="s">
        <v>14113</v>
      </c>
    </row>
    <row r="3277" customFormat="false" ht="15" hidden="false" customHeight="false" outlineLevel="0" collapsed="false">
      <c r="A3277" s="0" t="n">
        <v>1098</v>
      </c>
      <c r="B3277" s="0" t="s">
        <v>7409</v>
      </c>
      <c r="C3277" s="0" t="s">
        <v>7412</v>
      </c>
      <c r="E3277" s="0" t="s">
        <v>79</v>
      </c>
      <c r="F3277" s="0" t="s">
        <v>14114</v>
      </c>
    </row>
    <row r="3278" customFormat="false" ht="15" hidden="false" customHeight="false" outlineLevel="0" collapsed="false">
      <c r="A3278" s="0" t="n">
        <v>1098</v>
      </c>
      <c r="B3278" s="0" t="s">
        <v>7409</v>
      </c>
      <c r="C3278" s="0" t="s">
        <v>7413</v>
      </c>
      <c r="E3278" s="0" t="s">
        <v>79</v>
      </c>
      <c r="F3278" s="0" t="s">
        <v>14115</v>
      </c>
    </row>
    <row r="3279" customFormat="false" ht="15" hidden="false" customHeight="false" outlineLevel="0" collapsed="false">
      <c r="A3279" s="0" t="n">
        <v>1098</v>
      </c>
      <c r="B3279" s="0" t="s">
        <v>7409</v>
      </c>
      <c r="C3279" s="0" t="s">
        <v>7414</v>
      </c>
      <c r="E3279" s="0" t="s">
        <v>79</v>
      </c>
      <c r="F3279" s="0" t="s">
        <v>14116</v>
      </c>
    </row>
    <row r="3280" customFormat="false" ht="15" hidden="false" customHeight="false" outlineLevel="0" collapsed="false">
      <c r="A3280" s="0" t="n">
        <v>1098</v>
      </c>
      <c r="B3280" s="0" t="s">
        <v>7409</v>
      </c>
      <c r="C3280" s="0" t="s">
        <v>14117</v>
      </c>
      <c r="E3280" s="0" t="s">
        <v>79</v>
      </c>
      <c r="F3280" s="0" t="s">
        <v>14118</v>
      </c>
    </row>
    <row r="3281" customFormat="false" ht="15" hidden="false" customHeight="false" outlineLevel="0" collapsed="false">
      <c r="A3281" s="0" t="n">
        <v>1098</v>
      </c>
      <c r="B3281" s="0" t="s">
        <v>7409</v>
      </c>
      <c r="C3281" s="0" t="s">
        <v>14119</v>
      </c>
      <c r="E3281" s="0" t="s">
        <v>79</v>
      </c>
      <c r="F3281" s="0" t="s">
        <v>14120</v>
      </c>
    </row>
    <row r="3282" customFormat="false" ht="15" hidden="false" customHeight="false" outlineLevel="0" collapsed="false">
      <c r="A3282" s="0" t="n">
        <v>1099</v>
      </c>
      <c r="B3282" s="0" t="s">
        <v>7419</v>
      </c>
      <c r="C3282" s="0" t="s">
        <v>7421</v>
      </c>
      <c r="E3282" s="0" t="s">
        <v>79</v>
      </c>
      <c r="F3282" s="0" t="s">
        <v>14121</v>
      </c>
    </row>
    <row r="3283" customFormat="false" ht="15" hidden="false" customHeight="false" outlineLevel="0" collapsed="false">
      <c r="A3283" s="0" t="n">
        <v>1099</v>
      </c>
      <c r="B3283" s="0" t="s">
        <v>7419</v>
      </c>
      <c r="C3283" s="0" t="s">
        <v>7422</v>
      </c>
      <c r="E3283" s="0" t="s">
        <v>79</v>
      </c>
      <c r="F3283" s="0" t="s">
        <v>14122</v>
      </c>
    </row>
    <row r="3284" customFormat="false" ht="15" hidden="false" customHeight="false" outlineLevel="0" collapsed="false">
      <c r="A3284" s="0" t="n">
        <v>1099</v>
      </c>
      <c r="B3284" s="0" t="s">
        <v>7419</v>
      </c>
      <c r="C3284" s="0" t="s">
        <v>7423</v>
      </c>
      <c r="E3284" s="0" t="s">
        <v>79</v>
      </c>
      <c r="F3284" s="0" t="s">
        <v>14123</v>
      </c>
    </row>
    <row r="3285" customFormat="false" ht="15" hidden="false" customHeight="false" outlineLevel="0" collapsed="false">
      <c r="A3285" s="0" t="n">
        <v>1099</v>
      </c>
      <c r="B3285" s="0" t="s">
        <v>7419</v>
      </c>
      <c r="C3285" s="0" t="s">
        <v>14124</v>
      </c>
      <c r="E3285" s="0" t="s">
        <v>79</v>
      </c>
      <c r="F3285" s="0" t="s">
        <v>14125</v>
      </c>
    </row>
    <row r="3286" customFormat="false" ht="15" hidden="false" customHeight="false" outlineLevel="0" collapsed="false">
      <c r="A3286" s="0" t="n">
        <v>1099</v>
      </c>
      <c r="B3286" s="0" t="s">
        <v>7419</v>
      </c>
      <c r="C3286" s="0" t="s">
        <v>14126</v>
      </c>
      <c r="E3286" s="0" t="s">
        <v>79</v>
      </c>
      <c r="F3286" s="0" t="s">
        <v>14127</v>
      </c>
    </row>
    <row r="3287" customFormat="false" ht="15" hidden="false" customHeight="false" outlineLevel="0" collapsed="false">
      <c r="A3287" s="0" t="n">
        <v>1100</v>
      </c>
      <c r="B3287" s="0" t="s">
        <v>7424</v>
      </c>
      <c r="C3287" s="0" t="s">
        <v>7426</v>
      </c>
      <c r="E3287" s="0" t="s">
        <v>79</v>
      </c>
      <c r="F3287" s="0" t="s">
        <v>14128</v>
      </c>
    </row>
    <row r="3288" customFormat="false" ht="15" hidden="false" customHeight="false" outlineLevel="0" collapsed="false">
      <c r="A3288" s="0" t="n">
        <v>1100</v>
      </c>
      <c r="B3288" s="0" t="s">
        <v>7424</v>
      </c>
      <c r="C3288" s="0" t="s">
        <v>7427</v>
      </c>
      <c r="E3288" s="0" t="s">
        <v>79</v>
      </c>
      <c r="F3288" s="0" t="s">
        <v>14129</v>
      </c>
    </row>
    <row r="3289" customFormat="false" ht="15" hidden="false" customHeight="false" outlineLevel="0" collapsed="false">
      <c r="A3289" s="0" t="n">
        <v>1100</v>
      </c>
      <c r="B3289" s="0" t="s">
        <v>7424</v>
      </c>
      <c r="C3289" s="0" t="s">
        <v>7428</v>
      </c>
      <c r="E3289" s="0" t="s">
        <v>79</v>
      </c>
      <c r="F3289" s="0" t="s">
        <v>14130</v>
      </c>
    </row>
    <row r="3290" customFormat="false" ht="15" hidden="false" customHeight="false" outlineLevel="0" collapsed="false">
      <c r="A3290" s="0" t="n">
        <v>1100</v>
      </c>
      <c r="B3290" s="0" t="s">
        <v>7424</v>
      </c>
      <c r="C3290" s="0" t="s">
        <v>14131</v>
      </c>
      <c r="E3290" s="0" t="s">
        <v>79</v>
      </c>
      <c r="F3290" s="0" t="s">
        <v>14132</v>
      </c>
    </row>
    <row r="3291" customFormat="false" ht="15" hidden="false" customHeight="false" outlineLevel="0" collapsed="false">
      <c r="A3291" s="0" t="n">
        <v>1100</v>
      </c>
      <c r="B3291" s="0" t="s">
        <v>7424</v>
      </c>
      <c r="C3291" s="0" t="s">
        <v>14133</v>
      </c>
      <c r="E3291" s="0" t="s">
        <v>79</v>
      </c>
      <c r="F3291" s="0" t="s">
        <v>14134</v>
      </c>
    </row>
    <row r="3292" customFormat="false" ht="15" hidden="false" customHeight="false" outlineLevel="0" collapsed="false">
      <c r="A3292" s="0" t="n">
        <v>1101</v>
      </c>
      <c r="B3292" s="0" t="s">
        <v>7429</v>
      </c>
      <c r="C3292" s="0" t="s">
        <v>7432</v>
      </c>
      <c r="E3292" s="0" t="s">
        <v>79</v>
      </c>
      <c r="F3292" s="0" t="s">
        <v>14135</v>
      </c>
    </row>
    <row r="3293" customFormat="false" ht="15" hidden="false" customHeight="false" outlineLevel="0" collapsed="false">
      <c r="A3293" s="0" t="n">
        <v>1101</v>
      </c>
      <c r="B3293" s="0" t="s">
        <v>7429</v>
      </c>
      <c r="C3293" s="0" t="s">
        <v>7433</v>
      </c>
      <c r="E3293" s="0" t="s">
        <v>79</v>
      </c>
      <c r="F3293" s="0" t="s">
        <v>14136</v>
      </c>
    </row>
    <row r="3294" customFormat="false" ht="15" hidden="false" customHeight="false" outlineLevel="0" collapsed="false">
      <c r="A3294" s="0" t="n">
        <v>1101</v>
      </c>
      <c r="B3294" s="0" t="s">
        <v>7429</v>
      </c>
      <c r="C3294" s="0" t="s">
        <v>7434</v>
      </c>
      <c r="E3294" s="0" t="s">
        <v>79</v>
      </c>
      <c r="F3294" s="0" t="s">
        <v>14137</v>
      </c>
    </row>
    <row r="3295" customFormat="false" ht="15" hidden="false" customHeight="false" outlineLevel="0" collapsed="false">
      <c r="A3295" s="0" t="n">
        <v>1101</v>
      </c>
      <c r="B3295" s="0" t="s">
        <v>7429</v>
      </c>
      <c r="C3295" s="0" t="s">
        <v>14138</v>
      </c>
      <c r="E3295" s="0" t="s">
        <v>79</v>
      </c>
      <c r="F3295" s="0" t="s">
        <v>14139</v>
      </c>
    </row>
    <row r="3296" customFormat="false" ht="15" hidden="false" customHeight="false" outlineLevel="0" collapsed="false">
      <c r="A3296" s="0" t="n">
        <v>1101</v>
      </c>
      <c r="B3296" s="0" t="s">
        <v>7429</v>
      </c>
      <c r="C3296" s="0" t="s">
        <v>14140</v>
      </c>
      <c r="E3296" s="0" t="s">
        <v>79</v>
      </c>
      <c r="F3296" s="0" t="s">
        <v>14141</v>
      </c>
    </row>
    <row r="3297" customFormat="false" ht="15" hidden="false" customHeight="false" outlineLevel="0" collapsed="false">
      <c r="A3297" s="0" t="n">
        <v>1102</v>
      </c>
      <c r="B3297" s="0" t="s">
        <v>7435</v>
      </c>
      <c r="C3297" s="0" t="s">
        <v>7437</v>
      </c>
      <c r="E3297" s="0" t="s">
        <v>79</v>
      </c>
      <c r="F3297" s="0" t="s">
        <v>14142</v>
      </c>
    </row>
    <row r="3298" customFormat="false" ht="15" hidden="false" customHeight="false" outlineLevel="0" collapsed="false">
      <c r="A3298" s="0" t="n">
        <v>1102</v>
      </c>
      <c r="B3298" s="0" t="s">
        <v>7435</v>
      </c>
      <c r="C3298" s="0" t="s">
        <v>7438</v>
      </c>
      <c r="E3298" s="0" t="s">
        <v>79</v>
      </c>
      <c r="F3298" s="0" t="s">
        <v>14143</v>
      </c>
    </row>
    <row r="3299" customFormat="false" ht="15" hidden="false" customHeight="false" outlineLevel="0" collapsed="false">
      <c r="A3299" s="0" t="n">
        <v>1102</v>
      </c>
      <c r="B3299" s="0" t="s">
        <v>7435</v>
      </c>
      <c r="C3299" s="0" t="s">
        <v>7439</v>
      </c>
      <c r="E3299" s="0" t="s">
        <v>79</v>
      </c>
      <c r="F3299" s="0" t="s">
        <v>14144</v>
      </c>
    </row>
    <row r="3300" customFormat="false" ht="15" hidden="false" customHeight="false" outlineLevel="0" collapsed="false">
      <c r="A3300" s="0" t="n">
        <v>1103</v>
      </c>
      <c r="B3300" s="0" t="s">
        <v>7440</v>
      </c>
      <c r="C3300" s="0" t="s">
        <v>7443</v>
      </c>
      <c r="E3300" s="0" t="s">
        <v>79</v>
      </c>
      <c r="F3300" s="0" t="s">
        <v>14145</v>
      </c>
    </row>
    <row r="3301" customFormat="false" ht="15" hidden="false" customHeight="false" outlineLevel="0" collapsed="false">
      <c r="A3301" s="0" t="n">
        <v>1103</v>
      </c>
      <c r="B3301" s="0" t="s">
        <v>7440</v>
      </c>
      <c r="C3301" s="0" t="s">
        <v>7444</v>
      </c>
      <c r="E3301" s="0" t="s">
        <v>79</v>
      </c>
      <c r="F3301" s="0" t="s">
        <v>14146</v>
      </c>
    </row>
    <row r="3302" customFormat="false" ht="15" hidden="false" customHeight="false" outlineLevel="0" collapsed="false">
      <c r="A3302" s="0" t="n">
        <v>1103</v>
      </c>
      <c r="B3302" s="0" t="s">
        <v>7440</v>
      </c>
      <c r="C3302" s="0" t="s">
        <v>7445</v>
      </c>
      <c r="E3302" s="0" t="s">
        <v>79</v>
      </c>
      <c r="F3302" s="0" t="s">
        <v>14147</v>
      </c>
    </row>
    <row r="3303" customFormat="false" ht="15" hidden="false" customHeight="false" outlineLevel="0" collapsed="false">
      <c r="A3303" s="0" t="n">
        <v>1103</v>
      </c>
      <c r="B3303" s="0" t="s">
        <v>7440</v>
      </c>
      <c r="C3303" s="0" t="s">
        <v>14148</v>
      </c>
      <c r="E3303" s="0" t="s">
        <v>79</v>
      </c>
      <c r="F3303" s="0" t="s">
        <v>14149</v>
      </c>
    </row>
    <row r="3304" customFormat="false" ht="15" hidden="false" customHeight="false" outlineLevel="0" collapsed="false">
      <c r="A3304" s="0" t="n">
        <v>1103</v>
      </c>
      <c r="B3304" s="0" t="s">
        <v>7440</v>
      </c>
      <c r="C3304" s="0" t="s">
        <v>14150</v>
      </c>
      <c r="E3304" s="0" t="s">
        <v>79</v>
      </c>
      <c r="F3304" s="0" t="s">
        <v>14151</v>
      </c>
    </row>
    <row r="3305" customFormat="false" ht="15" hidden="false" customHeight="false" outlineLevel="0" collapsed="false">
      <c r="A3305" s="0" t="n">
        <v>1105</v>
      </c>
      <c r="B3305" s="0" t="s">
        <v>7451</v>
      </c>
      <c r="C3305" s="0" t="s">
        <v>7455</v>
      </c>
      <c r="E3305" s="0" t="s">
        <v>79</v>
      </c>
      <c r="F3305" s="0" t="s">
        <v>14152</v>
      </c>
    </row>
    <row r="3306" customFormat="false" ht="15" hidden="false" customHeight="false" outlineLevel="0" collapsed="false">
      <c r="A3306" s="0" t="n">
        <v>1105</v>
      </c>
      <c r="B3306" s="0" t="s">
        <v>7451</v>
      </c>
      <c r="C3306" s="0" t="s">
        <v>7456</v>
      </c>
      <c r="E3306" s="0" t="s">
        <v>79</v>
      </c>
      <c r="F3306" s="0" t="s">
        <v>14153</v>
      </c>
    </row>
    <row r="3307" customFormat="false" ht="15" hidden="false" customHeight="false" outlineLevel="0" collapsed="false">
      <c r="A3307" s="0" t="n">
        <v>1105</v>
      </c>
      <c r="B3307" s="0" t="s">
        <v>7451</v>
      </c>
      <c r="C3307" s="0" t="s">
        <v>7457</v>
      </c>
      <c r="E3307" s="0" t="s">
        <v>79</v>
      </c>
      <c r="F3307" s="0" t="s">
        <v>14154</v>
      </c>
    </row>
    <row r="3308" customFormat="false" ht="15" hidden="false" customHeight="false" outlineLevel="0" collapsed="false">
      <c r="A3308" s="0" t="n">
        <v>1105</v>
      </c>
      <c r="B3308" s="0" t="s">
        <v>7451</v>
      </c>
      <c r="C3308" s="0" t="s">
        <v>14155</v>
      </c>
      <c r="E3308" s="0" t="s">
        <v>79</v>
      </c>
      <c r="F3308" s="0" t="s">
        <v>14156</v>
      </c>
    </row>
    <row r="3309" customFormat="false" ht="15" hidden="false" customHeight="false" outlineLevel="0" collapsed="false">
      <c r="A3309" s="0" t="n">
        <v>1105</v>
      </c>
      <c r="B3309" s="0" t="s">
        <v>7451</v>
      </c>
      <c r="C3309" s="0" t="s">
        <v>14157</v>
      </c>
      <c r="E3309" s="0" t="s">
        <v>79</v>
      </c>
      <c r="F3309" s="0" t="s">
        <v>14158</v>
      </c>
    </row>
    <row r="3310" customFormat="false" ht="15" hidden="false" customHeight="false" outlineLevel="0" collapsed="false">
      <c r="A3310" s="0" t="n">
        <v>1106</v>
      </c>
      <c r="B3310" s="0" t="s">
        <v>7460</v>
      </c>
      <c r="C3310" s="0" t="s">
        <v>7462</v>
      </c>
      <c r="E3310" s="0" t="s">
        <v>79</v>
      </c>
      <c r="F3310" s="0" t="s">
        <v>14159</v>
      </c>
    </row>
    <row r="3311" customFormat="false" ht="15" hidden="false" customHeight="false" outlineLevel="0" collapsed="false">
      <c r="A3311" s="0" t="n">
        <v>1106</v>
      </c>
      <c r="B3311" s="0" t="s">
        <v>7460</v>
      </c>
      <c r="C3311" s="0" t="s">
        <v>7463</v>
      </c>
      <c r="E3311" s="0" t="s">
        <v>79</v>
      </c>
      <c r="F3311" s="0" t="s">
        <v>14160</v>
      </c>
    </row>
    <row r="3312" customFormat="false" ht="15" hidden="false" customHeight="false" outlineLevel="0" collapsed="false">
      <c r="A3312" s="0" t="n">
        <v>1106</v>
      </c>
      <c r="B3312" s="0" t="s">
        <v>7460</v>
      </c>
      <c r="C3312" s="0" t="s">
        <v>7464</v>
      </c>
      <c r="E3312" s="0" t="s">
        <v>79</v>
      </c>
      <c r="F3312" s="0" t="s">
        <v>14161</v>
      </c>
    </row>
    <row r="3313" customFormat="false" ht="15" hidden="false" customHeight="false" outlineLevel="0" collapsed="false">
      <c r="A3313" s="0" t="n">
        <v>1106</v>
      </c>
      <c r="B3313" s="0" t="s">
        <v>7460</v>
      </c>
      <c r="C3313" s="0" t="s">
        <v>14162</v>
      </c>
      <c r="E3313" s="0" t="s">
        <v>79</v>
      </c>
      <c r="F3313" s="0" t="s">
        <v>14163</v>
      </c>
    </row>
    <row r="3314" customFormat="false" ht="15" hidden="false" customHeight="false" outlineLevel="0" collapsed="false">
      <c r="A3314" s="0" t="n">
        <v>1106</v>
      </c>
      <c r="B3314" s="0" t="s">
        <v>7460</v>
      </c>
      <c r="C3314" s="0" t="s">
        <v>14164</v>
      </c>
      <c r="E3314" s="0" t="s">
        <v>79</v>
      </c>
      <c r="F3314" s="0" t="s">
        <v>14165</v>
      </c>
    </row>
    <row r="3315" customFormat="false" ht="15" hidden="false" customHeight="false" outlineLevel="0" collapsed="false">
      <c r="A3315" s="0" t="n">
        <v>1107</v>
      </c>
      <c r="B3315" s="0" t="s">
        <v>7465</v>
      </c>
      <c r="C3315" s="0" t="s">
        <v>7467</v>
      </c>
      <c r="E3315" s="0" t="s">
        <v>79</v>
      </c>
      <c r="F3315" s="0" t="s">
        <v>14166</v>
      </c>
    </row>
    <row r="3316" customFormat="false" ht="15" hidden="false" customHeight="false" outlineLevel="0" collapsed="false">
      <c r="A3316" s="0" t="n">
        <v>1107</v>
      </c>
      <c r="B3316" s="0" t="s">
        <v>7465</v>
      </c>
      <c r="C3316" s="0" t="s">
        <v>7468</v>
      </c>
      <c r="E3316" s="0" t="s">
        <v>79</v>
      </c>
      <c r="F3316" s="0" t="s">
        <v>14167</v>
      </c>
    </row>
    <row r="3317" customFormat="false" ht="15" hidden="false" customHeight="false" outlineLevel="0" collapsed="false">
      <c r="A3317" s="0" t="n">
        <v>1109</v>
      </c>
      <c r="B3317" s="0" t="s">
        <v>7475</v>
      </c>
      <c r="C3317" s="0" t="s">
        <v>7479</v>
      </c>
      <c r="E3317" s="0" t="s">
        <v>79</v>
      </c>
      <c r="F3317" s="0" t="s">
        <v>14168</v>
      </c>
    </row>
    <row r="3318" customFormat="false" ht="15" hidden="false" customHeight="false" outlineLevel="0" collapsed="false">
      <c r="A3318" s="0" t="n">
        <v>1109</v>
      </c>
      <c r="B3318" s="0" t="s">
        <v>7475</v>
      </c>
      <c r="C3318" s="0" t="s">
        <v>7480</v>
      </c>
      <c r="E3318" s="0" t="s">
        <v>79</v>
      </c>
      <c r="F3318" s="0" t="s">
        <v>14169</v>
      </c>
    </row>
    <row r="3319" customFormat="false" ht="15" hidden="false" customHeight="false" outlineLevel="0" collapsed="false">
      <c r="A3319" s="0" t="n">
        <v>1109</v>
      </c>
      <c r="B3319" s="0" t="s">
        <v>7475</v>
      </c>
      <c r="C3319" s="0" t="s">
        <v>7481</v>
      </c>
      <c r="E3319" s="0" t="s">
        <v>79</v>
      </c>
      <c r="F3319" s="0" t="s">
        <v>14170</v>
      </c>
    </row>
    <row r="3320" customFormat="false" ht="15" hidden="false" customHeight="false" outlineLevel="0" collapsed="false">
      <c r="A3320" s="0" t="n">
        <v>1109</v>
      </c>
      <c r="B3320" s="0" t="s">
        <v>7475</v>
      </c>
      <c r="C3320" s="0" t="s">
        <v>14171</v>
      </c>
      <c r="E3320" s="0" t="s">
        <v>79</v>
      </c>
      <c r="F3320" s="0" t="s">
        <v>14172</v>
      </c>
    </row>
    <row r="3321" customFormat="false" ht="15" hidden="false" customHeight="false" outlineLevel="0" collapsed="false">
      <c r="A3321" s="0" t="n">
        <v>1109</v>
      </c>
      <c r="B3321" s="0" t="s">
        <v>7475</v>
      </c>
      <c r="C3321" s="0" t="s">
        <v>14173</v>
      </c>
      <c r="E3321" s="0" t="s">
        <v>79</v>
      </c>
      <c r="F3321" s="0" t="s">
        <v>14174</v>
      </c>
    </row>
    <row r="3322" customFormat="false" ht="15" hidden="false" customHeight="false" outlineLevel="0" collapsed="false">
      <c r="A3322" s="0" t="n">
        <v>1110</v>
      </c>
      <c r="B3322" s="0" t="s">
        <v>7487</v>
      </c>
      <c r="C3322" s="0" t="s">
        <v>7489</v>
      </c>
      <c r="E3322" s="0" t="s">
        <v>79</v>
      </c>
      <c r="F3322" s="0" t="s">
        <v>14175</v>
      </c>
    </row>
    <row r="3323" customFormat="false" ht="15" hidden="false" customHeight="false" outlineLevel="0" collapsed="false">
      <c r="A3323" s="0" t="n">
        <v>1110</v>
      </c>
      <c r="B3323" s="0" t="s">
        <v>7487</v>
      </c>
      <c r="C3323" s="0" t="s">
        <v>7490</v>
      </c>
      <c r="E3323" s="0" t="s">
        <v>79</v>
      </c>
      <c r="F3323" s="0" t="s">
        <v>14176</v>
      </c>
    </row>
    <row r="3324" customFormat="false" ht="15" hidden="false" customHeight="false" outlineLevel="0" collapsed="false">
      <c r="A3324" s="0" t="n">
        <v>1111</v>
      </c>
      <c r="B3324" s="0" t="s">
        <v>7491</v>
      </c>
      <c r="C3324" s="0" t="s">
        <v>7495</v>
      </c>
      <c r="E3324" s="0" t="s">
        <v>79</v>
      </c>
      <c r="F3324" s="0" t="s">
        <v>14177</v>
      </c>
    </row>
    <row r="3325" customFormat="false" ht="15" hidden="false" customHeight="false" outlineLevel="0" collapsed="false">
      <c r="A3325" s="0" t="n">
        <v>1111</v>
      </c>
      <c r="B3325" s="0" t="s">
        <v>7491</v>
      </c>
      <c r="C3325" s="0" t="s">
        <v>7496</v>
      </c>
      <c r="E3325" s="0" t="s">
        <v>79</v>
      </c>
      <c r="F3325" s="0" t="s">
        <v>14178</v>
      </c>
    </row>
    <row r="3326" customFormat="false" ht="15" hidden="false" customHeight="false" outlineLevel="0" collapsed="false">
      <c r="A3326" s="0" t="n">
        <v>1111</v>
      </c>
      <c r="B3326" s="0" t="s">
        <v>7491</v>
      </c>
      <c r="C3326" s="0" t="s">
        <v>7497</v>
      </c>
      <c r="E3326" s="0" t="s">
        <v>79</v>
      </c>
      <c r="F3326" s="0" t="s">
        <v>14179</v>
      </c>
    </row>
    <row r="3327" customFormat="false" ht="15" hidden="false" customHeight="false" outlineLevel="0" collapsed="false">
      <c r="A3327" s="0" t="n">
        <v>1111</v>
      </c>
      <c r="B3327" s="0" t="s">
        <v>7491</v>
      </c>
      <c r="C3327" s="0" t="s">
        <v>14180</v>
      </c>
      <c r="E3327" s="0" t="s">
        <v>79</v>
      </c>
      <c r="F3327" s="0" t="s">
        <v>14181</v>
      </c>
    </row>
    <row r="3328" customFormat="false" ht="15" hidden="false" customHeight="false" outlineLevel="0" collapsed="false">
      <c r="A3328" s="0" t="n">
        <v>1111</v>
      </c>
      <c r="B3328" s="0" t="s">
        <v>7491</v>
      </c>
      <c r="C3328" s="0" t="s">
        <v>14182</v>
      </c>
      <c r="E3328" s="0" t="s">
        <v>79</v>
      </c>
      <c r="F3328" s="0" t="s">
        <v>14183</v>
      </c>
    </row>
    <row r="3329" customFormat="false" ht="15" hidden="false" customHeight="false" outlineLevel="0" collapsed="false">
      <c r="A3329" s="0" t="n">
        <v>1113</v>
      </c>
      <c r="B3329" s="0" t="s">
        <v>7508</v>
      </c>
      <c r="C3329" s="0" t="s">
        <v>7515</v>
      </c>
      <c r="D3329" s="0" t="s">
        <v>14184</v>
      </c>
      <c r="E3329" s="0" t="s">
        <v>115</v>
      </c>
    </row>
    <row r="3330" customFormat="false" ht="15" hidden="false" customHeight="false" outlineLevel="0" collapsed="false">
      <c r="A3330" s="0" t="n">
        <v>1113</v>
      </c>
      <c r="B3330" s="0" t="s">
        <v>7508</v>
      </c>
      <c r="C3330" s="0" t="s">
        <v>7516</v>
      </c>
      <c r="D3330" s="0" t="s">
        <v>14185</v>
      </c>
      <c r="E3330" s="0" t="s">
        <v>115</v>
      </c>
    </row>
    <row r="3331" customFormat="false" ht="15" hidden="false" customHeight="false" outlineLevel="0" collapsed="false">
      <c r="A3331" s="0" t="n">
        <v>1113</v>
      </c>
      <c r="B3331" s="0" t="s">
        <v>7508</v>
      </c>
      <c r="C3331" s="0" t="s">
        <v>7517</v>
      </c>
      <c r="D3331" s="0" t="s">
        <v>14186</v>
      </c>
      <c r="E3331" s="0" t="s">
        <v>115</v>
      </c>
    </row>
    <row r="3332" customFormat="false" ht="15" hidden="false" customHeight="false" outlineLevel="0" collapsed="false">
      <c r="A3332" s="0" t="n">
        <v>1114</v>
      </c>
      <c r="B3332" s="0" t="s">
        <v>7525</v>
      </c>
      <c r="C3332" s="0" t="s">
        <v>7531</v>
      </c>
      <c r="D3332" s="0" t="s">
        <v>14187</v>
      </c>
      <c r="E3332" s="0" t="s">
        <v>115</v>
      </c>
    </row>
    <row r="3333" customFormat="false" ht="15" hidden="false" customHeight="false" outlineLevel="0" collapsed="false">
      <c r="A3333" s="0" t="n">
        <v>1114</v>
      </c>
      <c r="B3333" s="0" t="s">
        <v>7525</v>
      </c>
      <c r="C3333" s="0" t="s">
        <v>7532</v>
      </c>
      <c r="D3333" s="0" t="s">
        <v>14188</v>
      </c>
      <c r="E3333" s="0" t="s">
        <v>115</v>
      </c>
    </row>
    <row r="3334" customFormat="false" ht="15" hidden="false" customHeight="false" outlineLevel="0" collapsed="false">
      <c r="A3334" s="0" t="n">
        <v>1114</v>
      </c>
      <c r="B3334" s="0" t="s">
        <v>7525</v>
      </c>
      <c r="C3334" s="0" t="s">
        <v>7533</v>
      </c>
      <c r="D3334" s="0" t="s">
        <v>14189</v>
      </c>
      <c r="E3334" s="0" t="s">
        <v>115</v>
      </c>
    </row>
    <row r="3335" customFormat="false" ht="15" hidden="false" customHeight="false" outlineLevel="0" collapsed="false">
      <c r="A3335" s="0" t="n">
        <v>1115</v>
      </c>
      <c r="B3335" s="0" t="s">
        <v>7543</v>
      </c>
      <c r="C3335" s="0" t="s">
        <v>7545</v>
      </c>
      <c r="E3335" s="0" t="s">
        <v>79</v>
      </c>
      <c r="F3335" s="0" t="s">
        <v>14190</v>
      </c>
    </row>
    <row r="3336" customFormat="false" ht="15" hidden="false" customHeight="false" outlineLevel="0" collapsed="false">
      <c r="A3336" s="0" t="n">
        <v>1115</v>
      </c>
      <c r="B3336" s="0" t="s">
        <v>7543</v>
      </c>
      <c r="C3336" s="0" t="s">
        <v>7546</v>
      </c>
      <c r="E3336" s="0" t="s">
        <v>79</v>
      </c>
      <c r="F3336" s="0" t="s">
        <v>14191</v>
      </c>
    </row>
    <row r="3337" customFormat="false" ht="15" hidden="false" customHeight="false" outlineLevel="0" collapsed="false">
      <c r="A3337" s="0" t="n">
        <v>1115</v>
      </c>
      <c r="B3337" s="0" t="s">
        <v>7543</v>
      </c>
      <c r="C3337" s="0" t="s">
        <v>7547</v>
      </c>
      <c r="E3337" s="0" t="s">
        <v>79</v>
      </c>
      <c r="F3337" s="0" t="s">
        <v>14192</v>
      </c>
    </row>
    <row r="3338" customFormat="false" ht="15" hidden="false" customHeight="false" outlineLevel="0" collapsed="false">
      <c r="A3338" s="0" t="n">
        <v>1115</v>
      </c>
      <c r="B3338" s="0" t="s">
        <v>7543</v>
      </c>
      <c r="C3338" s="0" t="s">
        <v>14193</v>
      </c>
      <c r="E3338" s="0" t="s">
        <v>79</v>
      </c>
      <c r="F3338" s="0" t="s">
        <v>14194</v>
      </c>
    </row>
    <row r="3339" customFormat="false" ht="15" hidden="false" customHeight="false" outlineLevel="0" collapsed="false">
      <c r="A3339" s="0" t="n">
        <v>1115</v>
      </c>
      <c r="B3339" s="0" t="s">
        <v>7543</v>
      </c>
      <c r="C3339" s="0" t="s">
        <v>14195</v>
      </c>
      <c r="E3339" s="0" t="s">
        <v>79</v>
      </c>
      <c r="F3339" s="0" t="s">
        <v>14196</v>
      </c>
    </row>
    <row r="3340" customFormat="false" ht="15" hidden="false" customHeight="false" outlineLevel="0" collapsed="false">
      <c r="A3340" s="0" t="n">
        <v>1116</v>
      </c>
      <c r="B3340" s="0" t="s">
        <v>7548</v>
      </c>
      <c r="C3340" s="0" t="s">
        <v>7551</v>
      </c>
      <c r="E3340" s="0" t="s">
        <v>79</v>
      </c>
      <c r="F3340" s="0" t="s">
        <v>14197</v>
      </c>
    </row>
    <row r="3341" customFormat="false" ht="15" hidden="false" customHeight="false" outlineLevel="0" collapsed="false">
      <c r="A3341" s="0" t="n">
        <v>1116</v>
      </c>
      <c r="B3341" s="0" t="s">
        <v>7548</v>
      </c>
      <c r="C3341" s="0" t="s">
        <v>7552</v>
      </c>
      <c r="E3341" s="0" t="s">
        <v>79</v>
      </c>
      <c r="F3341" s="0" t="s">
        <v>14198</v>
      </c>
    </row>
    <row r="3342" customFormat="false" ht="15" hidden="false" customHeight="false" outlineLevel="0" collapsed="false">
      <c r="A3342" s="0" t="n">
        <v>1116</v>
      </c>
      <c r="B3342" s="0" t="s">
        <v>7548</v>
      </c>
      <c r="C3342" s="0" t="s">
        <v>7553</v>
      </c>
      <c r="E3342" s="0" t="s">
        <v>79</v>
      </c>
      <c r="F3342" s="0" t="s">
        <v>14199</v>
      </c>
    </row>
    <row r="3343" customFormat="false" ht="15" hidden="false" customHeight="false" outlineLevel="0" collapsed="false">
      <c r="A3343" s="0" t="n">
        <v>1116</v>
      </c>
      <c r="B3343" s="0" t="s">
        <v>7548</v>
      </c>
      <c r="C3343" s="0" t="s">
        <v>14200</v>
      </c>
      <c r="E3343" s="0" t="s">
        <v>79</v>
      </c>
      <c r="F3343" s="0" t="s">
        <v>14201</v>
      </c>
    </row>
    <row r="3344" customFormat="false" ht="15" hidden="false" customHeight="false" outlineLevel="0" collapsed="false">
      <c r="A3344" s="0" t="n">
        <v>1116</v>
      </c>
      <c r="B3344" s="0" t="s">
        <v>7548</v>
      </c>
      <c r="C3344" s="0" t="s">
        <v>14202</v>
      </c>
      <c r="E3344" s="0" t="s">
        <v>79</v>
      </c>
      <c r="F3344" s="0" t="s">
        <v>14203</v>
      </c>
    </row>
    <row r="3345" customFormat="false" ht="15" hidden="false" customHeight="false" outlineLevel="0" collapsed="false">
      <c r="A3345" s="0" t="n">
        <v>1118</v>
      </c>
      <c r="B3345" s="0" t="s">
        <v>7563</v>
      </c>
      <c r="C3345" s="0" t="s">
        <v>7565</v>
      </c>
      <c r="E3345" s="0" t="s">
        <v>79</v>
      </c>
      <c r="F3345" s="0" t="s">
        <v>14204</v>
      </c>
    </row>
    <row r="3346" customFormat="false" ht="15" hidden="false" customHeight="false" outlineLevel="0" collapsed="false">
      <c r="A3346" s="0" t="n">
        <v>1118</v>
      </c>
      <c r="B3346" s="0" t="s">
        <v>7563</v>
      </c>
      <c r="C3346" s="0" t="s">
        <v>7566</v>
      </c>
      <c r="E3346" s="0" t="s">
        <v>79</v>
      </c>
      <c r="F3346" s="0" t="s">
        <v>14205</v>
      </c>
    </row>
    <row r="3347" customFormat="false" ht="15" hidden="false" customHeight="false" outlineLevel="0" collapsed="false">
      <c r="A3347" s="0" t="n">
        <v>1118</v>
      </c>
      <c r="B3347" s="0" t="s">
        <v>7563</v>
      </c>
      <c r="C3347" s="0" t="s">
        <v>7567</v>
      </c>
      <c r="E3347" s="0" t="s">
        <v>79</v>
      </c>
      <c r="F3347" s="0" t="s">
        <v>14206</v>
      </c>
    </row>
    <row r="3348" customFormat="false" ht="15" hidden="false" customHeight="false" outlineLevel="0" collapsed="false">
      <c r="A3348" s="0" t="n">
        <v>1118</v>
      </c>
      <c r="B3348" s="0" t="s">
        <v>7563</v>
      </c>
      <c r="C3348" s="0" t="s">
        <v>14207</v>
      </c>
      <c r="E3348" s="0" t="s">
        <v>79</v>
      </c>
      <c r="F3348" s="0" t="s">
        <v>14208</v>
      </c>
    </row>
    <row r="3349" customFormat="false" ht="15" hidden="false" customHeight="false" outlineLevel="0" collapsed="false">
      <c r="A3349" s="0" t="n">
        <v>1119</v>
      </c>
      <c r="B3349" s="0" t="s">
        <v>7568</v>
      </c>
      <c r="C3349" s="0" t="s">
        <v>7571</v>
      </c>
      <c r="E3349" s="0" t="s">
        <v>59</v>
      </c>
      <c r="F3349" s="0" t="s">
        <v>14209</v>
      </c>
    </row>
    <row r="3350" customFormat="false" ht="15" hidden="false" customHeight="false" outlineLevel="0" collapsed="false">
      <c r="A3350" s="0" t="n">
        <v>1119</v>
      </c>
      <c r="B3350" s="0" t="s">
        <v>7568</v>
      </c>
      <c r="C3350" s="0" t="s">
        <v>7572</v>
      </c>
      <c r="E3350" s="0" t="s">
        <v>59</v>
      </c>
      <c r="F3350" s="0" t="s">
        <v>14210</v>
      </c>
    </row>
    <row r="3351" customFormat="false" ht="15" hidden="false" customHeight="false" outlineLevel="0" collapsed="false">
      <c r="A3351" s="0" t="n">
        <v>1119</v>
      </c>
      <c r="B3351" s="0" t="s">
        <v>7568</v>
      </c>
      <c r="C3351" s="0" t="s">
        <v>7573</v>
      </c>
      <c r="E3351" s="0" t="s">
        <v>59</v>
      </c>
      <c r="F3351" s="0" t="s">
        <v>14211</v>
      </c>
    </row>
    <row r="3352" customFormat="false" ht="15" hidden="false" customHeight="false" outlineLevel="0" collapsed="false">
      <c r="A3352" s="0" t="n">
        <v>1119</v>
      </c>
      <c r="B3352" s="0" t="s">
        <v>7568</v>
      </c>
      <c r="C3352" s="0" t="s">
        <v>14212</v>
      </c>
      <c r="E3352" s="0" t="s">
        <v>59</v>
      </c>
      <c r="F3352" s="0" t="s">
        <v>14213</v>
      </c>
    </row>
    <row r="3353" customFormat="false" ht="15" hidden="false" customHeight="false" outlineLevel="0" collapsed="false">
      <c r="A3353" s="0" t="n">
        <v>1119</v>
      </c>
      <c r="B3353" s="0" t="s">
        <v>7568</v>
      </c>
      <c r="C3353" s="0" t="s">
        <v>14214</v>
      </c>
      <c r="E3353" s="0" t="s">
        <v>59</v>
      </c>
      <c r="F3353" s="0" t="s">
        <v>14215</v>
      </c>
    </row>
    <row r="3354" customFormat="false" ht="15" hidden="false" customHeight="false" outlineLevel="0" collapsed="false">
      <c r="A3354" s="0" t="n">
        <v>1120</v>
      </c>
      <c r="B3354" s="0" t="s">
        <v>7574</v>
      </c>
      <c r="C3354" s="0" t="s">
        <v>7576</v>
      </c>
      <c r="E3354" s="0" t="s">
        <v>59</v>
      </c>
      <c r="F3354" s="0" t="s">
        <v>14216</v>
      </c>
    </row>
    <row r="3355" customFormat="false" ht="15" hidden="false" customHeight="false" outlineLevel="0" collapsed="false">
      <c r="A3355" s="0" t="n">
        <v>1120</v>
      </c>
      <c r="B3355" s="0" t="s">
        <v>7574</v>
      </c>
      <c r="C3355" s="0" t="s">
        <v>7577</v>
      </c>
      <c r="E3355" s="0" t="s">
        <v>59</v>
      </c>
      <c r="F3355" s="0" t="s">
        <v>14217</v>
      </c>
    </row>
    <row r="3356" customFormat="false" ht="15" hidden="false" customHeight="false" outlineLevel="0" collapsed="false">
      <c r="A3356" s="0" t="n">
        <v>1120</v>
      </c>
      <c r="B3356" s="0" t="s">
        <v>7574</v>
      </c>
      <c r="C3356" s="0" t="s">
        <v>7578</v>
      </c>
      <c r="E3356" s="0" t="s">
        <v>59</v>
      </c>
      <c r="F3356" s="0" t="s">
        <v>14218</v>
      </c>
    </row>
    <row r="3357" customFormat="false" ht="15" hidden="false" customHeight="false" outlineLevel="0" collapsed="false">
      <c r="A3357" s="0" t="n">
        <v>1120</v>
      </c>
      <c r="B3357" s="0" t="s">
        <v>7574</v>
      </c>
      <c r="C3357" s="0" t="s">
        <v>14219</v>
      </c>
      <c r="E3357" s="0" t="s">
        <v>59</v>
      </c>
      <c r="F3357" s="0" t="s">
        <v>14220</v>
      </c>
    </row>
    <row r="3358" customFormat="false" ht="15" hidden="false" customHeight="false" outlineLevel="0" collapsed="false">
      <c r="A3358" s="0" t="n">
        <v>1120</v>
      </c>
      <c r="B3358" s="0" t="s">
        <v>7574</v>
      </c>
      <c r="C3358" s="0" t="s">
        <v>14221</v>
      </c>
      <c r="E3358" s="0" t="s">
        <v>59</v>
      </c>
      <c r="F3358" s="0" t="s">
        <v>14222</v>
      </c>
    </row>
    <row r="3359" customFormat="false" ht="15" hidden="false" customHeight="false" outlineLevel="0" collapsed="false">
      <c r="A3359" s="0" t="n">
        <v>1124</v>
      </c>
      <c r="B3359" s="0" t="s">
        <v>7589</v>
      </c>
      <c r="C3359" s="0" t="s">
        <v>7592</v>
      </c>
      <c r="E3359" s="0" t="s">
        <v>79</v>
      </c>
      <c r="F3359" s="0" t="s">
        <v>14223</v>
      </c>
    </row>
    <row r="3360" customFormat="false" ht="15" hidden="false" customHeight="false" outlineLevel="0" collapsed="false">
      <c r="A3360" s="0" t="n">
        <v>1124</v>
      </c>
      <c r="B3360" s="0" t="s">
        <v>7589</v>
      </c>
      <c r="C3360" s="0" t="s">
        <v>7593</v>
      </c>
      <c r="E3360" s="0" t="s">
        <v>79</v>
      </c>
      <c r="F3360" s="0" t="s">
        <v>14224</v>
      </c>
    </row>
    <row r="3361" customFormat="false" ht="15" hidden="false" customHeight="false" outlineLevel="0" collapsed="false">
      <c r="A3361" s="0" t="n">
        <v>1124</v>
      </c>
      <c r="B3361" s="0" t="s">
        <v>7589</v>
      </c>
      <c r="C3361" s="0" t="s">
        <v>7594</v>
      </c>
      <c r="E3361" s="0" t="s">
        <v>79</v>
      </c>
      <c r="F3361" s="0" t="s">
        <v>14225</v>
      </c>
    </row>
    <row r="3362" customFormat="false" ht="15" hidden="false" customHeight="false" outlineLevel="0" collapsed="false">
      <c r="A3362" s="0" t="n">
        <v>1124</v>
      </c>
      <c r="B3362" s="0" t="s">
        <v>7589</v>
      </c>
      <c r="C3362" s="0" t="s">
        <v>14226</v>
      </c>
      <c r="E3362" s="0" t="s">
        <v>79</v>
      </c>
      <c r="F3362" s="0" t="s">
        <v>14227</v>
      </c>
    </row>
    <row r="3363" customFormat="false" ht="15" hidden="false" customHeight="false" outlineLevel="0" collapsed="false">
      <c r="A3363" s="0" t="n">
        <v>1124</v>
      </c>
      <c r="B3363" s="0" t="s">
        <v>7589</v>
      </c>
      <c r="C3363" s="0" t="s">
        <v>14228</v>
      </c>
      <c r="E3363" s="0" t="s">
        <v>79</v>
      </c>
      <c r="F3363" s="0" t="s">
        <v>14229</v>
      </c>
    </row>
    <row r="3364" customFormat="false" ht="15" hidden="false" customHeight="false" outlineLevel="0" collapsed="false">
      <c r="A3364" s="0" t="n">
        <v>1125</v>
      </c>
      <c r="B3364" s="0" t="s">
        <v>7600</v>
      </c>
      <c r="C3364" s="0" t="s">
        <v>7603</v>
      </c>
      <c r="E3364" s="0" t="s">
        <v>79</v>
      </c>
      <c r="F3364" s="0" t="s">
        <v>14230</v>
      </c>
    </row>
    <row r="3365" customFormat="false" ht="15" hidden="false" customHeight="false" outlineLevel="0" collapsed="false">
      <c r="A3365" s="0" t="n">
        <v>1125</v>
      </c>
      <c r="B3365" s="0" t="s">
        <v>7600</v>
      </c>
      <c r="C3365" s="0" t="s">
        <v>7604</v>
      </c>
      <c r="E3365" s="0" t="s">
        <v>79</v>
      </c>
      <c r="F3365" s="0" t="s">
        <v>14231</v>
      </c>
    </row>
    <row r="3366" customFormat="false" ht="15" hidden="false" customHeight="false" outlineLevel="0" collapsed="false">
      <c r="A3366" s="0" t="n">
        <v>1125</v>
      </c>
      <c r="B3366" s="0" t="s">
        <v>7600</v>
      </c>
      <c r="C3366" s="0" t="s">
        <v>7605</v>
      </c>
      <c r="E3366" s="0" t="s">
        <v>79</v>
      </c>
      <c r="F3366" s="0" t="s">
        <v>14232</v>
      </c>
    </row>
    <row r="3367" customFormat="false" ht="15" hidden="false" customHeight="false" outlineLevel="0" collapsed="false">
      <c r="A3367" s="0" t="n">
        <v>1125</v>
      </c>
      <c r="B3367" s="0" t="s">
        <v>7600</v>
      </c>
      <c r="C3367" s="0" t="s">
        <v>14233</v>
      </c>
      <c r="E3367" s="0" t="s">
        <v>79</v>
      </c>
      <c r="F3367" s="0" t="s">
        <v>14234</v>
      </c>
    </row>
    <row r="3368" customFormat="false" ht="15" hidden="false" customHeight="false" outlineLevel="0" collapsed="false">
      <c r="A3368" s="0" t="n">
        <v>1125</v>
      </c>
      <c r="B3368" s="0" t="s">
        <v>7600</v>
      </c>
      <c r="C3368" s="0" t="s">
        <v>14235</v>
      </c>
      <c r="E3368" s="0" t="s">
        <v>79</v>
      </c>
      <c r="F3368" s="0" t="s">
        <v>14236</v>
      </c>
    </row>
    <row r="3369" customFormat="false" ht="15" hidden="false" customHeight="false" outlineLevel="0" collapsed="false">
      <c r="A3369" s="0" t="n">
        <v>1126</v>
      </c>
      <c r="B3369" s="0" t="s">
        <v>7609</v>
      </c>
      <c r="C3369" s="0" t="s">
        <v>7612</v>
      </c>
      <c r="E3369" s="0" t="s">
        <v>79</v>
      </c>
      <c r="F3369" s="0" t="s">
        <v>14237</v>
      </c>
    </row>
    <row r="3370" customFormat="false" ht="15" hidden="false" customHeight="false" outlineLevel="0" collapsed="false">
      <c r="A3370" s="0" t="n">
        <v>1126</v>
      </c>
      <c r="B3370" s="0" t="s">
        <v>7609</v>
      </c>
      <c r="C3370" s="0" t="s">
        <v>7613</v>
      </c>
      <c r="E3370" s="0" t="s">
        <v>79</v>
      </c>
      <c r="F3370" s="0" t="s">
        <v>14238</v>
      </c>
    </row>
    <row r="3371" customFormat="false" ht="15" hidden="false" customHeight="false" outlineLevel="0" collapsed="false">
      <c r="A3371" s="0" t="n">
        <v>1126</v>
      </c>
      <c r="B3371" s="0" t="s">
        <v>7609</v>
      </c>
      <c r="C3371" s="0" t="s">
        <v>7614</v>
      </c>
      <c r="E3371" s="0" t="s">
        <v>79</v>
      </c>
      <c r="F3371" s="0" t="s">
        <v>14239</v>
      </c>
    </row>
    <row r="3372" customFormat="false" ht="15" hidden="false" customHeight="false" outlineLevel="0" collapsed="false">
      <c r="A3372" s="0" t="n">
        <v>1126</v>
      </c>
      <c r="B3372" s="0" t="s">
        <v>7609</v>
      </c>
      <c r="C3372" s="0" t="s">
        <v>14240</v>
      </c>
      <c r="E3372" s="0" t="s">
        <v>79</v>
      </c>
      <c r="F3372" s="0" t="s">
        <v>14241</v>
      </c>
    </row>
    <row r="3373" customFormat="false" ht="15" hidden="false" customHeight="false" outlineLevel="0" collapsed="false">
      <c r="A3373" s="0" t="n">
        <v>1126</v>
      </c>
      <c r="B3373" s="0" t="s">
        <v>7609</v>
      </c>
      <c r="C3373" s="0" t="s">
        <v>14242</v>
      </c>
      <c r="E3373" s="0" t="s">
        <v>79</v>
      </c>
      <c r="F3373" s="0" t="s">
        <v>14243</v>
      </c>
    </row>
    <row r="3374" customFormat="false" ht="15" hidden="false" customHeight="false" outlineLevel="0" collapsed="false">
      <c r="A3374" s="0" t="n">
        <v>1127</v>
      </c>
      <c r="B3374" s="0" t="s">
        <v>7617</v>
      </c>
      <c r="C3374" s="0" t="s">
        <v>7619</v>
      </c>
      <c r="E3374" s="0" t="s">
        <v>79</v>
      </c>
      <c r="F3374" s="0" t="s">
        <v>14244</v>
      </c>
    </row>
    <row r="3375" customFormat="false" ht="15" hidden="false" customHeight="false" outlineLevel="0" collapsed="false">
      <c r="A3375" s="0" t="n">
        <v>1127</v>
      </c>
      <c r="B3375" s="0" t="s">
        <v>7617</v>
      </c>
      <c r="C3375" s="0" t="s">
        <v>7620</v>
      </c>
      <c r="E3375" s="0" t="s">
        <v>79</v>
      </c>
      <c r="F3375" s="0" t="s">
        <v>14245</v>
      </c>
    </row>
    <row r="3376" customFormat="false" ht="15" hidden="false" customHeight="false" outlineLevel="0" collapsed="false">
      <c r="A3376" s="0" t="n">
        <v>1127</v>
      </c>
      <c r="B3376" s="0" t="s">
        <v>7617</v>
      </c>
      <c r="C3376" s="0" t="s">
        <v>7621</v>
      </c>
      <c r="E3376" s="0" t="s">
        <v>79</v>
      </c>
      <c r="F3376" s="0" t="s">
        <v>14246</v>
      </c>
    </row>
    <row r="3377" customFormat="false" ht="15" hidden="false" customHeight="false" outlineLevel="0" collapsed="false">
      <c r="A3377" s="0" t="n">
        <v>1128</v>
      </c>
      <c r="B3377" s="0" t="s">
        <v>7622</v>
      </c>
      <c r="C3377" s="0" t="s">
        <v>7624</v>
      </c>
      <c r="E3377" s="0" t="s">
        <v>79</v>
      </c>
      <c r="F3377" s="0" t="s">
        <v>14247</v>
      </c>
    </row>
    <row r="3378" customFormat="false" ht="15" hidden="false" customHeight="false" outlineLevel="0" collapsed="false">
      <c r="A3378" s="0" t="n">
        <v>1128</v>
      </c>
      <c r="B3378" s="0" t="s">
        <v>7622</v>
      </c>
      <c r="C3378" s="0" t="s">
        <v>7625</v>
      </c>
      <c r="E3378" s="0" t="s">
        <v>79</v>
      </c>
      <c r="F3378" s="0" t="s">
        <v>14248</v>
      </c>
    </row>
    <row r="3379" customFormat="false" ht="15" hidden="false" customHeight="false" outlineLevel="0" collapsed="false">
      <c r="A3379" s="0" t="n">
        <v>1128</v>
      </c>
      <c r="B3379" s="0" t="s">
        <v>7622</v>
      </c>
      <c r="C3379" s="0" t="s">
        <v>7626</v>
      </c>
      <c r="E3379" s="0" t="s">
        <v>79</v>
      </c>
      <c r="F3379" s="0" t="s">
        <v>14249</v>
      </c>
    </row>
    <row r="3380" customFormat="false" ht="15" hidden="false" customHeight="false" outlineLevel="0" collapsed="false">
      <c r="A3380" s="0" t="n">
        <v>1128</v>
      </c>
      <c r="B3380" s="0" t="s">
        <v>7622</v>
      </c>
      <c r="C3380" s="0" t="s">
        <v>14250</v>
      </c>
      <c r="E3380" s="0" t="s">
        <v>79</v>
      </c>
      <c r="F3380" s="0" t="s">
        <v>14251</v>
      </c>
    </row>
    <row r="3381" customFormat="false" ht="15" hidden="false" customHeight="false" outlineLevel="0" collapsed="false">
      <c r="A3381" s="0" t="n">
        <v>1128</v>
      </c>
      <c r="B3381" s="0" t="s">
        <v>7622</v>
      </c>
      <c r="C3381" s="0" t="s">
        <v>14252</v>
      </c>
      <c r="E3381" s="0" t="s">
        <v>79</v>
      </c>
      <c r="F3381" s="0" t="s">
        <v>14253</v>
      </c>
    </row>
    <row r="3382" customFormat="false" ht="15" hidden="false" customHeight="false" outlineLevel="0" collapsed="false">
      <c r="A3382" s="0" t="n">
        <v>1129</v>
      </c>
      <c r="B3382" s="0" t="s">
        <v>7627</v>
      </c>
      <c r="C3382" s="0" t="s">
        <v>7630</v>
      </c>
      <c r="E3382" s="0" t="s">
        <v>79</v>
      </c>
      <c r="F3382" s="0" t="s">
        <v>14254</v>
      </c>
    </row>
    <row r="3383" customFormat="false" ht="15" hidden="false" customHeight="false" outlineLevel="0" collapsed="false">
      <c r="A3383" s="0" t="n">
        <v>1129</v>
      </c>
      <c r="B3383" s="0" t="s">
        <v>7627</v>
      </c>
      <c r="C3383" s="0" t="s">
        <v>7631</v>
      </c>
      <c r="E3383" s="0" t="s">
        <v>79</v>
      </c>
      <c r="F3383" s="0" t="s">
        <v>14255</v>
      </c>
    </row>
    <row r="3384" customFormat="false" ht="15" hidden="false" customHeight="false" outlineLevel="0" collapsed="false">
      <c r="A3384" s="0" t="n">
        <v>1129</v>
      </c>
      <c r="B3384" s="0" t="s">
        <v>7627</v>
      </c>
      <c r="C3384" s="0" t="s">
        <v>7632</v>
      </c>
      <c r="E3384" s="0" t="s">
        <v>79</v>
      </c>
      <c r="F3384" s="0" t="s">
        <v>14256</v>
      </c>
    </row>
    <row r="3385" customFormat="false" ht="15" hidden="false" customHeight="false" outlineLevel="0" collapsed="false">
      <c r="A3385" s="0" t="n">
        <v>1129</v>
      </c>
      <c r="B3385" s="0" t="s">
        <v>7627</v>
      </c>
      <c r="C3385" s="0" t="s">
        <v>14257</v>
      </c>
      <c r="E3385" s="0" t="s">
        <v>79</v>
      </c>
      <c r="F3385" s="0" t="s">
        <v>14258</v>
      </c>
    </row>
    <row r="3386" customFormat="false" ht="15" hidden="false" customHeight="false" outlineLevel="0" collapsed="false">
      <c r="A3386" s="0" t="n">
        <v>1130</v>
      </c>
      <c r="B3386" s="0" t="s">
        <v>7634</v>
      </c>
      <c r="C3386" s="0" t="s">
        <v>7636</v>
      </c>
      <c r="E3386" s="0" t="s">
        <v>79</v>
      </c>
      <c r="F3386" s="0" t="s">
        <v>14259</v>
      </c>
    </row>
    <row r="3387" customFormat="false" ht="15" hidden="false" customHeight="false" outlineLevel="0" collapsed="false">
      <c r="A3387" s="0" t="n">
        <v>1130</v>
      </c>
      <c r="B3387" s="0" t="s">
        <v>7634</v>
      </c>
      <c r="C3387" s="0" t="s">
        <v>7637</v>
      </c>
      <c r="E3387" s="0" t="s">
        <v>79</v>
      </c>
      <c r="F3387" s="0" t="s">
        <v>14260</v>
      </c>
    </row>
    <row r="3388" customFormat="false" ht="15" hidden="false" customHeight="false" outlineLevel="0" collapsed="false">
      <c r="A3388" s="0" t="n">
        <v>1130</v>
      </c>
      <c r="B3388" s="0" t="s">
        <v>7634</v>
      </c>
      <c r="C3388" s="0" t="s">
        <v>7638</v>
      </c>
      <c r="E3388" s="0" t="s">
        <v>79</v>
      </c>
      <c r="F3388" s="0" t="s">
        <v>14261</v>
      </c>
    </row>
    <row r="3389" customFormat="false" ht="15" hidden="false" customHeight="false" outlineLevel="0" collapsed="false">
      <c r="A3389" s="0" t="n">
        <v>1130</v>
      </c>
      <c r="B3389" s="0" t="s">
        <v>7634</v>
      </c>
      <c r="C3389" s="0" t="s">
        <v>14262</v>
      </c>
      <c r="E3389" s="0" t="s">
        <v>79</v>
      </c>
      <c r="F3389" s="0" t="s">
        <v>14263</v>
      </c>
    </row>
    <row r="3390" customFormat="false" ht="15" hidden="false" customHeight="false" outlineLevel="0" collapsed="false">
      <c r="A3390" s="0" t="n">
        <v>1130</v>
      </c>
      <c r="B3390" s="0" t="s">
        <v>7634</v>
      </c>
      <c r="C3390" s="0" t="s">
        <v>14264</v>
      </c>
      <c r="E3390" s="0" t="s">
        <v>79</v>
      </c>
      <c r="F3390" s="0" t="s">
        <v>14265</v>
      </c>
    </row>
    <row r="3391" customFormat="false" ht="15" hidden="false" customHeight="false" outlineLevel="0" collapsed="false">
      <c r="A3391" s="0" t="n">
        <v>1131</v>
      </c>
      <c r="B3391" s="0" t="s">
        <v>7639</v>
      </c>
      <c r="C3391" s="0" t="s">
        <v>7642</v>
      </c>
      <c r="E3391" s="0" t="s">
        <v>79</v>
      </c>
      <c r="F3391" s="0" t="s">
        <v>14266</v>
      </c>
    </row>
    <row r="3392" customFormat="false" ht="15" hidden="false" customHeight="false" outlineLevel="0" collapsed="false">
      <c r="A3392" s="0" t="n">
        <v>1131</v>
      </c>
      <c r="B3392" s="0" t="s">
        <v>7639</v>
      </c>
      <c r="C3392" s="0" t="s">
        <v>7643</v>
      </c>
      <c r="E3392" s="0" t="s">
        <v>79</v>
      </c>
      <c r="F3392" s="0" t="s">
        <v>14267</v>
      </c>
    </row>
    <row r="3393" customFormat="false" ht="15" hidden="false" customHeight="false" outlineLevel="0" collapsed="false">
      <c r="A3393" s="0" t="n">
        <v>1131</v>
      </c>
      <c r="B3393" s="0" t="s">
        <v>7639</v>
      </c>
      <c r="C3393" s="0" t="s">
        <v>7644</v>
      </c>
      <c r="E3393" s="0" t="s">
        <v>79</v>
      </c>
      <c r="F3393" s="0" t="s">
        <v>14268</v>
      </c>
    </row>
    <row r="3394" customFormat="false" ht="15" hidden="false" customHeight="false" outlineLevel="0" collapsed="false">
      <c r="A3394" s="0" t="n">
        <v>1131</v>
      </c>
      <c r="B3394" s="0" t="s">
        <v>7639</v>
      </c>
      <c r="C3394" s="0" t="s">
        <v>14269</v>
      </c>
      <c r="E3394" s="0" t="s">
        <v>79</v>
      </c>
      <c r="F3394" s="0" t="s">
        <v>14270</v>
      </c>
    </row>
    <row r="3395" customFormat="false" ht="15" hidden="false" customHeight="false" outlineLevel="0" collapsed="false">
      <c r="A3395" s="0" t="n">
        <v>1131</v>
      </c>
      <c r="B3395" s="0" t="s">
        <v>7639</v>
      </c>
      <c r="C3395" s="0" t="s">
        <v>14271</v>
      </c>
      <c r="E3395" s="0" t="s">
        <v>79</v>
      </c>
      <c r="F3395" s="0" t="s">
        <v>14272</v>
      </c>
    </row>
    <row r="3396" customFormat="false" ht="15" hidden="false" customHeight="false" outlineLevel="0" collapsed="false">
      <c r="A3396" s="0" t="n">
        <v>1132</v>
      </c>
      <c r="B3396" s="0" t="s">
        <v>7649</v>
      </c>
      <c r="C3396" s="0" t="s">
        <v>7651</v>
      </c>
      <c r="E3396" s="0" t="s">
        <v>79</v>
      </c>
      <c r="F3396" s="0" t="s">
        <v>14273</v>
      </c>
    </row>
    <row r="3397" customFormat="false" ht="15" hidden="false" customHeight="false" outlineLevel="0" collapsed="false">
      <c r="A3397" s="0" t="n">
        <v>1132</v>
      </c>
      <c r="B3397" s="0" t="s">
        <v>7649</v>
      </c>
      <c r="C3397" s="0" t="s">
        <v>7652</v>
      </c>
      <c r="E3397" s="0" t="s">
        <v>79</v>
      </c>
      <c r="F3397" s="0" t="s">
        <v>14274</v>
      </c>
    </row>
    <row r="3398" customFormat="false" ht="15" hidden="false" customHeight="false" outlineLevel="0" collapsed="false">
      <c r="A3398" s="0" t="n">
        <v>1132</v>
      </c>
      <c r="B3398" s="0" t="s">
        <v>7649</v>
      </c>
      <c r="C3398" s="0" t="s">
        <v>7653</v>
      </c>
      <c r="E3398" s="0" t="s">
        <v>79</v>
      </c>
      <c r="F3398" s="0" t="s">
        <v>14275</v>
      </c>
    </row>
    <row r="3399" customFormat="false" ht="15" hidden="false" customHeight="false" outlineLevel="0" collapsed="false">
      <c r="A3399" s="0" t="n">
        <v>1132</v>
      </c>
      <c r="B3399" s="0" t="s">
        <v>7649</v>
      </c>
      <c r="C3399" s="0" t="s">
        <v>14276</v>
      </c>
      <c r="E3399" s="0" t="s">
        <v>79</v>
      </c>
      <c r="F3399" s="0" t="s">
        <v>14277</v>
      </c>
    </row>
    <row r="3400" customFormat="false" ht="15" hidden="false" customHeight="false" outlineLevel="0" collapsed="false">
      <c r="A3400" s="0" t="n">
        <v>1132</v>
      </c>
      <c r="B3400" s="0" t="s">
        <v>7649</v>
      </c>
      <c r="C3400" s="0" t="s">
        <v>14278</v>
      </c>
      <c r="E3400" s="0" t="s">
        <v>79</v>
      </c>
      <c r="F3400" s="0" t="s">
        <v>14279</v>
      </c>
    </row>
    <row r="3401" customFormat="false" ht="15" hidden="false" customHeight="false" outlineLevel="0" collapsed="false">
      <c r="A3401" s="0" t="n">
        <v>1133</v>
      </c>
      <c r="B3401" s="0" t="s">
        <v>7654</v>
      </c>
      <c r="C3401" s="0" t="s">
        <v>7657</v>
      </c>
      <c r="E3401" s="0" t="s">
        <v>59</v>
      </c>
      <c r="F3401" s="0" t="s">
        <v>14280</v>
      </c>
    </row>
    <row r="3402" customFormat="false" ht="15" hidden="false" customHeight="false" outlineLevel="0" collapsed="false">
      <c r="A3402" s="0" t="n">
        <v>1133</v>
      </c>
      <c r="B3402" s="0" t="s">
        <v>7654</v>
      </c>
      <c r="C3402" s="0" t="s">
        <v>7658</v>
      </c>
      <c r="E3402" s="0" t="s">
        <v>59</v>
      </c>
      <c r="F3402" s="0" t="s">
        <v>14281</v>
      </c>
    </row>
    <row r="3403" customFormat="false" ht="15" hidden="false" customHeight="false" outlineLevel="0" collapsed="false">
      <c r="A3403" s="0" t="n">
        <v>1133</v>
      </c>
      <c r="B3403" s="0" t="s">
        <v>7654</v>
      </c>
      <c r="C3403" s="0" t="s">
        <v>7659</v>
      </c>
      <c r="E3403" s="0" t="s">
        <v>59</v>
      </c>
      <c r="F3403" s="0" t="s">
        <v>14282</v>
      </c>
    </row>
    <row r="3404" customFormat="false" ht="15" hidden="false" customHeight="false" outlineLevel="0" collapsed="false">
      <c r="A3404" s="0" t="n">
        <v>1133</v>
      </c>
      <c r="B3404" s="0" t="s">
        <v>7654</v>
      </c>
      <c r="C3404" s="0" t="s">
        <v>14283</v>
      </c>
      <c r="E3404" s="0" t="s">
        <v>59</v>
      </c>
      <c r="F3404" s="0" t="s">
        <v>14284</v>
      </c>
    </row>
    <row r="3405" customFormat="false" ht="15" hidden="false" customHeight="false" outlineLevel="0" collapsed="false">
      <c r="A3405" s="0" t="n">
        <v>1133</v>
      </c>
      <c r="B3405" s="0" t="s">
        <v>7654</v>
      </c>
      <c r="C3405" s="0" t="s">
        <v>14285</v>
      </c>
      <c r="E3405" s="0" t="s">
        <v>59</v>
      </c>
      <c r="F3405" s="0" t="s">
        <v>14286</v>
      </c>
    </row>
    <row r="3406" customFormat="false" ht="15" hidden="false" customHeight="false" outlineLevel="0" collapsed="false">
      <c r="A3406" s="0" t="n">
        <v>1134</v>
      </c>
      <c r="B3406" s="0" t="s">
        <v>7660</v>
      </c>
      <c r="C3406" s="0" t="s">
        <v>7663</v>
      </c>
      <c r="E3406" s="0" t="s">
        <v>79</v>
      </c>
      <c r="F3406" s="0" t="s">
        <v>14287</v>
      </c>
    </row>
    <row r="3407" customFormat="false" ht="15" hidden="false" customHeight="false" outlineLevel="0" collapsed="false">
      <c r="A3407" s="0" t="n">
        <v>1134</v>
      </c>
      <c r="B3407" s="0" t="s">
        <v>7660</v>
      </c>
      <c r="C3407" s="0" t="s">
        <v>7664</v>
      </c>
      <c r="E3407" s="0" t="s">
        <v>79</v>
      </c>
      <c r="F3407" s="0" t="s">
        <v>14288</v>
      </c>
    </row>
    <row r="3408" customFormat="false" ht="15" hidden="false" customHeight="false" outlineLevel="0" collapsed="false">
      <c r="A3408" s="0" t="n">
        <v>1134</v>
      </c>
      <c r="B3408" s="0" t="s">
        <v>7660</v>
      </c>
      <c r="C3408" s="0" t="s">
        <v>7665</v>
      </c>
      <c r="E3408" s="0" t="s">
        <v>79</v>
      </c>
      <c r="F3408" s="0" t="s">
        <v>14289</v>
      </c>
    </row>
    <row r="3409" customFormat="false" ht="15" hidden="false" customHeight="false" outlineLevel="0" collapsed="false">
      <c r="A3409" s="0" t="n">
        <v>1134</v>
      </c>
      <c r="B3409" s="0" t="s">
        <v>7660</v>
      </c>
      <c r="C3409" s="0" t="s">
        <v>14290</v>
      </c>
      <c r="E3409" s="0" t="s">
        <v>79</v>
      </c>
      <c r="F3409" s="0" t="s">
        <v>14291</v>
      </c>
    </row>
    <row r="3410" customFormat="false" ht="15" hidden="false" customHeight="false" outlineLevel="0" collapsed="false">
      <c r="A3410" s="0" t="n">
        <v>1134</v>
      </c>
      <c r="B3410" s="0" t="s">
        <v>7660</v>
      </c>
      <c r="C3410" s="0" t="s">
        <v>14292</v>
      </c>
      <c r="E3410" s="0" t="s">
        <v>79</v>
      </c>
      <c r="F3410" s="0" t="s">
        <v>14293</v>
      </c>
    </row>
    <row r="3411" customFormat="false" ht="15" hidden="false" customHeight="false" outlineLevel="0" collapsed="false">
      <c r="A3411" s="0" t="n">
        <v>1135</v>
      </c>
      <c r="B3411" s="0" t="s">
        <v>7670</v>
      </c>
      <c r="C3411" s="0" t="s">
        <v>7673</v>
      </c>
      <c r="E3411" s="0" t="s">
        <v>79</v>
      </c>
      <c r="F3411" s="0" t="s">
        <v>14294</v>
      </c>
    </row>
    <row r="3412" customFormat="false" ht="15" hidden="false" customHeight="false" outlineLevel="0" collapsed="false">
      <c r="A3412" s="0" t="n">
        <v>1135</v>
      </c>
      <c r="B3412" s="0" t="s">
        <v>7670</v>
      </c>
      <c r="C3412" s="0" t="s">
        <v>7674</v>
      </c>
      <c r="E3412" s="0" t="s">
        <v>79</v>
      </c>
      <c r="F3412" s="0" t="s">
        <v>14295</v>
      </c>
    </row>
    <row r="3413" customFormat="false" ht="15" hidden="false" customHeight="false" outlineLevel="0" collapsed="false">
      <c r="A3413" s="0" t="n">
        <v>1137</v>
      </c>
      <c r="B3413" s="0" t="s">
        <v>7681</v>
      </c>
      <c r="C3413" s="0" t="s">
        <v>7685</v>
      </c>
      <c r="E3413" s="0" t="s">
        <v>59</v>
      </c>
      <c r="F3413" s="0" t="s">
        <v>14296</v>
      </c>
    </row>
    <row r="3414" customFormat="false" ht="15" hidden="false" customHeight="false" outlineLevel="0" collapsed="false">
      <c r="A3414" s="0" t="n">
        <v>1137</v>
      </c>
      <c r="B3414" s="0" t="s">
        <v>7681</v>
      </c>
      <c r="C3414" s="0" t="s">
        <v>7686</v>
      </c>
      <c r="E3414" s="0" t="s">
        <v>59</v>
      </c>
      <c r="F3414" s="0" t="s">
        <v>14297</v>
      </c>
    </row>
    <row r="3415" customFormat="false" ht="15" hidden="false" customHeight="false" outlineLevel="0" collapsed="false">
      <c r="A3415" s="0" t="n">
        <v>1137</v>
      </c>
      <c r="B3415" s="0" t="s">
        <v>7681</v>
      </c>
      <c r="C3415" s="0" t="s">
        <v>7687</v>
      </c>
      <c r="E3415" s="0" t="s">
        <v>59</v>
      </c>
      <c r="F3415" s="0" t="s">
        <v>14298</v>
      </c>
    </row>
    <row r="3416" customFormat="false" ht="15" hidden="false" customHeight="false" outlineLevel="0" collapsed="false">
      <c r="A3416" s="0" t="n">
        <v>1137</v>
      </c>
      <c r="B3416" s="0" t="s">
        <v>7681</v>
      </c>
      <c r="C3416" s="0" t="s">
        <v>14299</v>
      </c>
      <c r="E3416" s="0" t="s">
        <v>59</v>
      </c>
      <c r="F3416" s="0" t="s">
        <v>14300</v>
      </c>
    </row>
    <row r="3417" customFormat="false" ht="15" hidden="false" customHeight="false" outlineLevel="0" collapsed="false">
      <c r="A3417" s="0" t="n">
        <v>1137</v>
      </c>
      <c r="B3417" s="0" t="s">
        <v>7681</v>
      </c>
      <c r="C3417" s="0" t="s">
        <v>14301</v>
      </c>
      <c r="E3417" s="0" t="s">
        <v>59</v>
      </c>
      <c r="F3417" s="0" t="s">
        <v>14302</v>
      </c>
    </row>
    <row r="3418" customFormat="false" ht="15" hidden="false" customHeight="false" outlineLevel="0" collapsed="false">
      <c r="A3418" s="0" t="n">
        <v>1138</v>
      </c>
      <c r="B3418" s="0" t="s">
        <v>7691</v>
      </c>
      <c r="C3418" s="0" t="s">
        <v>7694</v>
      </c>
      <c r="E3418" s="0" t="s">
        <v>79</v>
      </c>
      <c r="F3418" s="0" t="s">
        <v>14303</v>
      </c>
    </row>
    <row r="3419" customFormat="false" ht="15" hidden="false" customHeight="false" outlineLevel="0" collapsed="false">
      <c r="A3419" s="0" t="n">
        <v>1138</v>
      </c>
      <c r="B3419" s="0" t="s">
        <v>7691</v>
      </c>
      <c r="C3419" s="0" t="s">
        <v>7695</v>
      </c>
      <c r="E3419" s="0" t="s">
        <v>79</v>
      </c>
      <c r="F3419" s="0" t="s">
        <v>14304</v>
      </c>
    </row>
    <row r="3420" customFormat="false" ht="15" hidden="false" customHeight="false" outlineLevel="0" collapsed="false">
      <c r="A3420" s="0" t="n">
        <v>1138</v>
      </c>
      <c r="B3420" s="0" t="s">
        <v>7691</v>
      </c>
      <c r="C3420" s="0" t="s">
        <v>7696</v>
      </c>
      <c r="E3420" s="0" t="s">
        <v>79</v>
      </c>
      <c r="F3420" s="0" t="s">
        <v>14305</v>
      </c>
    </row>
    <row r="3421" customFormat="false" ht="15" hidden="false" customHeight="false" outlineLevel="0" collapsed="false">
      <c r="A3421" s="0" t="n">
        <v>1138</v>
      </c>
      <c r="B3421" s="0" t="s">
        <v>7691</v>
      </c>
      <c r="C3421" s="0" t="s">
        <v>14306</v>
      </c>
      <c r="E3421" s="0" t="s">
        <v>79</v>
      </c>
      <c r="F3421" s="0" t="s">
        <v>14307</v>
      </c>
    </row>
    <row r="3422" customFormat="false" ht="15" hidden="false" customHeight="false" outlineLevel="0" collapsed="false">
      <c r="A3422" s="0" t="n">
        <v>1138</v>
      </c>
      <c r="B3422" s="0" t="s">
        <v>7691</v>
      </c>
      <c r="C3422" s="0" t="s">
        <v>14308</v>
      </c>
      <c r="E3422" s="0" t="s">
        <v>79</v>
      </c>
      <c r="F3422" s="0" t="s">
        <v>14309</v>
      </c>
    </row>
    <row r="3423" customFormat="false" ht="15" hidden="false" customHeight="false" outlineLevel="0" collapsed="false">
      <c r="A3423" s="0" t="n">
        <v>1139</v>
      </c>
      <c r="B3423" s="0" t="s">
        <v>7701</v>
      </c>
      <c r="C3423" s="0" t="s">
        <v>7704</v>
      </c>
      <c r="E3423" s="0" t="s">
        <v>59</v>
      </c>
      <c r="F3423" s="0" t="s">
        <v>14310</v>
      </c>
    </row>
    <row r="3424" customFormat="false" ht="15" hidden="false" customHeight="false" outlineLevel="0" collapsed="false">
      <c r="A3424" s="0" t="n">
        <v>1140</v>
      </c>
      <c r="B3424" s="0" t="s">
        <v>7708</v>
      </c>
      <c r="C3424" s="0" t="s">
        <v>7711</v>
      </c>
      <c r="E3424" s="0" t="s">
        <v>79</v>
      </c>
      <c r="F3424" s="0" t="s">
        <v>14311</v>
      </c>
    </row>
    <row r="3425" customFormat="false" ht="15" hidden="false" customHeight="false" outlineLevel="0" collapsed="false">
      <c r="A3425" s="0" t="n">
        <v>1140</v>
      </c>
      <c r="B3425" s="0" t="s">
        <v>7708</v>
      </c>
      <c r="C3425" s="0" t="s">
        <v>7712</v>
      </c>
      <c r="E3425" s="0" t="s">
        <v>79</v>
      </c>
      <c r="F3425" s="0" t="s">
        <v>14312</v>
      </c>
    </row>
    <row r="3426" customFormat="false" ht="15" hidden="false" customHeight="false" outlineLevel="0" collapsed="false">
      <c r="A3426" s="0" t="n">
        <v>1140</v>
      </c>
      <c r="B3426" s="0" t="s">
        <v>7708</v>
      </c>
      <c r="C3426" s="0" t="s">
        <v>7713</v>
      </c>
      <c r="E3426" s="0" t="s">
        <v>79</v>
      </c>
      <c r="F3426" s="0" t="s">
        <v>14313</v>
      </c>
    </row>
    <row r="3427" customFormat="false" ht="15" hidden="false" customHeight="false" outlineLevel="0" collapsed="false">
      <c r="A3427" s="0" t="n">
        <v>1140</v>
      </c>
      <c r="B3427" s="0" t="s">
        <v>7708</v>
      </c>
      <c r="C3427" s="0" t="s">
        <v>14314</v>
      </c>
      <c r="E3427" s="0" t="s">
        <v>79</v>
      </c>
      <c r="F3427" s="0" t="s">
        <v>14315</v>
      </c>
    </row>
    <row r="3428" customFormat="false" ht="15" hidden="false" customHeight="false" outlineLevel="0" collapsed="false">
      <c r="A3428" s="0" t="n">
        <v>1140</v>
      </c>
      <c r="B3428" s="0" t="s">
        <v>7708</v>
      </c>
      <c r="C3428" s="0" t="s">
        <v>14316</v>
      </c>
      <c r="E3428" s="0" t="s">
        <v>79</v>
      </c>
      <c r="F3428" s="0" t="s">
        <v>14317</v>
      </c>
    </row>
    <row r="3429" customFormat="false" ht="15" hidden="false" customHeight="false" outlineLevel="0" collapsed="false">
      <c r="A3429" s="0" t="n">
        <v>1142</v>
      </c>
      <c r="B3429" s="0" t="s">
        <v>7725</v>
      </c>
      <c r="C3429" s="0" t="s">
        <v>7728</v>
      </c>
      <c r="E3429" s="0" t="s">
        <v>59</v>
      </c>
      <c r="F3429" s="0" t="s">
        <v>14318</v>
      </c>
    </row>
    <row r="3430" customFormat="false" ht="15" hidden="false" customHeight="false" outlineLevel="0" collapsed="false">
      <c r="A3430" s="0" t="n">
        <v>1142</v>
      </c>
      <c r="B3430" s="0" t="s">
        <v>7725</v>
      </c>
      <c r="C3430" s="0" t="s">
        <v>7729</v>
      </c>
      <c r="E3430" s="0" t="s">
        <v>59</v>
      </c>
      <c r="F3430" s="0" t="s">
        <v>14319</v>
      </c>
    </row>
    <row r="3431" customFormat="false" ht="15" hidden="false" customHeight="false" outlineLevel="0" collapsed="false">
      <c r="A3431" s="0" t="n">
        <v>1142</v>
      </c>
      <c r="B3431" s="0" t="s">
        <v>7725</v>
      </c>
      <c r="C3431" s="0" t="s">
        <v>7730</v>
      </c>
      <c r="E3431" s="0" t="s">
        <v>59</v>
      </c>
      <c r="F3431" s="0" t="s">
        <v>14320</v>
      </c>
    </row>
    <row r="3432" customFormat="false" ht="15" hidden="false" customHeight="false" outlineLevel="0" collapsed="false">
      <c r="A3432" s="0" t="n">
        <v>1142</v>
      </c>
      <c r="B3432" s="0" t="s">
        <v>7725</v>
      </c>
      <c r="C3432" s="0" t="s">
        <v>14321</v>
      </c>
      <c r="E3432" s="0" t="s">
        <v>59</v>
      </c>
      <c r="F3432" s="0" t="s">
        <v>14322</v>
      </c>
    </row>
    <row r="3433" customFormat="false" ht="15" hidden="false" customHeight="false" outlineLevel="0" collapsed="false">
      <c r="A3433" s="0" t="n">
        <v>1142</v>
      </c>
      <c r="B3433" s="0" t="s">
        <v>7725</v>
      </c>
      <c r="C3433" s="0" t="s">
        <v>14323</v>
      </c>
      <c r="E3433" s="0" t="s">
        <v>59</v>
      </c>
      <c r="F3433" s="0" t="s">
        <v>14324</v>
      </c>
    </row>
    <row r="3434" customFormat="false" ht="15" hidden="false" customHeight="false" outlineLevel="0" collapsed="false">
      <c r="A3434" s="0" t="n">
        <v>1143</v>
      </c>
      <c r="B3434" s="0" t="s">
        <v>7736</v>
      </c>
      <c r="C3434" s="0" t="s">
        <v>7740</v>
      </c>
      <c r="E3434" s="0" t="s">
        <v>79</v>
      </c>
      <c r="F3434" s="0" t="s">
        <v>14325</v>
      </c>
    </row>
    <row r="3435" customFormat="false" ht="15" hidden="false" customHeight="false" outlineLevel="0" collapsed="false">
      <c r="A3435" s="0" t="n">
        <v>1143</v>
      </c>
      <c r="B3435" s="0" t="s">
        <v>7736</v>
      </c>
      <c r="C3435" s="0" t="s">
        <v>7741</v>
      </c>
      <c r="E3435" s="0" t="s">
        <v>79</v>
      </c>
      <c r="F3435" s="0" t="s">
        <v>14326</v>
      </c>
    </row>
    <row r="3436" customFormat="false" ht="15" hidden="false" customHeight="false" outlineLevel="0" collapsed="false">
      <c r="A3436" s="0" t="n">
        <v>1143</v>
      </c>
      <c r="B3436" s="0" t="s">
        <v>7736</v>
      </c>
      <c r="C3436" s="0" t="s">
        <v>7742</v>
      </c>
      <c r="E3436" s="0" t="s">
        <v>79</v>
      </c>
      <c r="F3436" s="0" t="s">
        <v>14327</v>
      </c>
    </row>
    <row r="3437" customFormat="false" ht="15" hidden="false" customHeight="false" outlineLevel="0" collapsed="false">
      <c r="A3437" s="0" t="n">
        <v>1143</v>
      </c>
      <c r="B3437" s="0" t="s">
        <v>7736</v>
      </c>
      <c r="C3437" s="0" t="s">
        <v>14328</v>
      </c>
      <c r="E3437" s="0" t="s">
        <v>79</v>
      </c>
      <c r="F3437" s="0" t="s">
        <v>14329</v>
      </c>
    </row>
    <row r="3438" customFormat="false" ht="15" hidden="false" customHeight="false" outlineLevel="0" collapsed="false">
      <c r="A3438" s="0" t="n">
        <v>1143</v>
      </c>
      <c r="B3438" s="0" t="s">
        <v>7736</v>
      </c>
      <c r="C3438" s="0" t="s">
        <v>14330</v>
      </c>
      <c r="E3438" s="0" t="s">
        <v>79</v>
      </c>
      <c r="F3438" s="0" t="s">
        <v>14331</v>
      </c>
    </row>
    <row r="3439" customFormat="false" ht="15" hidden="false" customHeight="false" outlineLevel="0" collapsed="false">
      <c r="A3439" s="0" t="n">
        <v>1144</v>
      </c>
      <c r="B3439" s="0" t="s">
        <v>7745</v>
      </c>
      <c r="C3439" s="0" t="s">
        <v>7747</v>
      </c>
      <c r="E3439" s="0" t="s">
        <v>79</v>
      </c>
      <c r="F3439" s="0" t="s">
        <v>14332</v>
      </c>
    </row>
    <row r="3440" customFormat="false" ht="15" hidden="false" customHeight="false" outlineLevel="0" collapsed="false">
      <c r="A3440" s="0" t="n">
        <v>1144</v>
      </c>
      <c r="B3440" s="0" t="s">
        <v>7745</v>
      </c>
      <c r="C3440" s="0" t="s">
        <v>7748</v>
      </c>
      <c r="E3440" s="0" t="s">
        <v>79</v>
      </c>
      <c r="F3440" s="0" t="s">
        <v>14333</v>
      </c>
    </row>
    <row r="3441" customFormat="false" ht="15" hidden="false" customHeight="false" outlineLevel="0" collapsed="false">
      <c r="A3441" s="0" t="n">
        <v>1144</v>
      </c>
      <c r="B3441" s="0" t="s">
        <v>7745</v>
      </c>
      <c r="C3441" s="0" t="s">
        <v>7749</v>
      </c>
      <c r="E3441" s="0" t="s">
        <v>79</v>
      </c>
      <c r="F3441" s="0" t="s">
        <v>14334</v>
      </c>
    </row>
    <row r="3442" customFormat="false" ht="15" hidden="false" customHeight="false" outlineLevel="0" collapsed="false">
      <c r="A3442" s="0" t="n">
        <v>1144</v>
      </c>
      <c r="B3442" s="0" t="s">
        <v>7745</v>
      </c>
      <c r="C3442" s="0" t="s">
        <v>14335</v>
      </c>
      <c r="E3442" s="0" t="s">
        <v>79</v>
      </c>
      <c r="F3442" s="0" t="s">
        <v>14336</v>
      </c>
    </row>
    <row r="3443" customFormat="false" ht="15" hidden="false" customHeight="false" outlineLevel="0" collapsed="false">
      <c r="A3443" s="0" t="n">
        <v>1144</v>
      </c>
      <c r="B3443" s="0" t="s">
        <v>7745</v>
      </c>
      <c r="C3443" s="0" t="s">
        <v>14337</v>
      </c>
      <c r="E3443" s="0" t="s">
        <v>79</v>
      </c>
      <c r="F3443" s="0" t="s">
        <v>14338</v>
      </c>
    </row>
    <row r="3444" customFormat="false" ht="15" hidden="false" customHeight="false" outlineLevel="0" collapsed="false">
      <c r="A3444" s="0" t="n">
        <v>1146</v>
      </c>
      <c r="B3444" s="0" t="s">
        <v>7751</v>
      </c>
      <c r="C3444" s="0" t="s">
        <v>7753</v>
      </c>
      <c r="E3444" s="0" t="s">
        <v>79</v>
      </c>
      <c r="F3444" s="0" t="s">
        <v>14339</v>
      </c>
    </row>
    <row r="3445" customFormat="false" ht="15" hidden="false" customHeight="false" outlineLevel="0" collapsed="false">
      <c r="A3445" s="0" t="n">
        <v>1146</v>
      </c>
      <c r="B3445" s="0" t="s">
        <v>7751</v>
      </c>
      <c r="C3445" s="0" t="s">
        <v>7754</v>
      </c>
      <c r="E3445" s="0" t="s">
        <v>79</v>
      </c>
      <c r="F3445" s="0" t="s">
        <v>14340</v>
      </c>
    </row>
    <row r="3446" customFormat="false" ht="15" hidden="false" customHeight="false" outlineLevel="0" collapsed="false">
      <c r="A3446" s="0" t="n">
        <v>1146</v>
      </c>
      <c r="B3446" s="0" t="s">
        <v>7751</v>
      </c>
      <c r="C3446" s="0" t="s">
        <v>7755</v>
      </c>
      <c r="E3446" s="0" t="s">
        <v>79</v>
      </c>
      <c r="F3446" s="0" t="s">
        <v>14341</v>
      </c>
    </row>
    <row r="3447" customFormat="false" ht="15" hidden="false" customHeight="false" outlineLevel="0" collapsed="false">
      <c r="A3447" s="0" t="n">
        <v>1146</v>
      </c>
      <c r="B3447" s="0" t="s">
        <v>7751</v>
      </c>
      <c r="C3447" s="0" t="s">
        <v>14342</v>
      </c>
      <c r="E3447" s="0" t="s">
        <v>79</v>
      </c>
      <c r="F3447" s="0" t="s">
        <v>14343</v>
      </c>
    </row>
    <row r="3448" customFormat="false" ht="15" hidden="false" customHeight="false" outlineLevel="0" collapsed="false">
      <c r="A3448" s="0" t="n">
        <v>1146</v>
      </c>
      <c r="B3448" s="0" t="s">
        <v>7751</v>
      </c>
      <c r="C3448" s="0" t="s">
        <v>14344</v>
      </c>
      <c r="E3448" s="0" t="s">
        <v>79</v>
      </c>
      <c r="F3448" s="0" t="s">
        <v>14345</v>
      </c>
    </row>
    <row r="3449" customFormat="false" ht="15" hidden="false" customHeight="false" outlineLevel="0" collapsed="false">
      <c r="A3449" s="0" t="n">
        <v>1148</v>
      </c>
      <c r="B3449" s="0" t="s">
        <v>7759</v>
      </c>
      <c r="C3449" s="0" t="s">
        <v>7761</v>
      </c>
      <c r="E3449" s="0" t="s">
        <v>79</v>
      </c>
      <c r="F3449" s="0" t="s">
        <v>14346</v>
      </c>
    </row>
    <row r="3450" customFormat="false" ht="15" hidden="false" customHeight="false" outlineLevel="0" collapsed="false">
      <c r="A3450" s="0" t="n">
        <v>1148</v>
      </c>
      <c r="B3450" s="0" t="s">
        <v>7759</v>
      </c>
      <c r="C3450" s="0" t="s">
        <v>7762</v>
      </c>
      <c r="E3450" s="0" t="s">
        <v>79</v>
      </c>
      <c r="F3450" s="0" t="s">
        <v>14347</v>
      </c>
    </row>
    <row r="3451" customFormat="false" ht="15" hidden="false" customHeight="false" outlineLevel="0" collapsed="false">
      <c r="A3451" s="0" t="n">
        <v>1148</v>
      </c>
      <c r="B3451" s="0" t="s">
        <v>7759</v>
      </c>
      <c r="C3451" s="0" t="s">
        <v>7763</v>
      </c>
      <c r="E3451" s="0" t="s">
        <v>79</v>
      </c>
      <c r="F3451" s="0" t="s">
        <v>14348</v>
      </c>
    </row>
    <row r="3452" customFormat="false" ht="15" hidden="false" customHeight="false" outlineLevel="0" collapsed="false">
      <c r="A3452" s="0" t="n">
        <v>1148</v>
      </c>
      <c r="B3452" s="0" t="s">
        <v>7759</v>
      </c>
      <c r="C3452" s="0" t="s">
        <v>14349</v>
      </c>
      <c r="E3452" s="0" t="s">
        <v>79</v>
      </c>
      <c r="F3452" s="0" t="s">
        <v>14350</v>
      </c>
    </row>
    <row r="3453" customFormat="false" ht="15" hidden="false" customHeight="false" outlineLevel="0" collapsed="false">
      <c r="A3453" s="0" t="n">
        <v>1148</v>
      </c>
      <c r="B3453" s="0" t="s">
        <v>7759</v>
      </c>
      <c r="C3453" s="0" t="s">
        <v>14351</v>
      </c>
      <c r="E3453" s="0" t="s">
        <v>79</v>
      </c>
      <c r="F3453" s="0" t="s">
        <v>14352</v>
      </c>
    </row>
    <row r="3454" customFormat="false" ht="15" hidden="false" customHeight="false" outlineLevel="0" collapsed="false">
      <c r="A3454" s="0" t="n">
        <v>1150</v>
      </c>
      <c r="B3454" s="0" t="s">
        <v>7772</v>
      </c>
      <c r="C3454" s="0" t="s">
        <v>7776</v>
      </c>
      <c r="E3454" s="0" t="s">
        <v>59</v>
      </c>
      <c r="F3454" s="0" t="s">
        <v>14353</v>
      </c>
    </row>
    <row r="3455" customFormat="false" ht="15" hidden="false" customHeight="false" outlineLevel="0" collapsed="false">
      <c r="A3455" s="0" t="n">
        <v>1150</v>
      </c>
      <c r="B3455" s="0" t="s">
        <v>7772</v>
      </c>
      <c r="C3455" s="0" t="s">
        <v>7777</v>
      </c>
      <c r="E3455" s="0" t="s">
        <v>59</v>
      </c>
      <c r="F3455" s="0" t="s">
        <v>14354</v>
      </c>
    </row>
    <row r="3456" customFormat="false" ht="15" hidden="false" customHeight="false" outlineLevel="0" collapsed="false">
      <c r="A3456" s="0" t="n">
        <v>1150</v>
      </c>
      <c r="B3456" s="0" t="s">
        <v>7772</v>
      </c>
      <c r="C3456" s="0" t="s">
        <v>7778</v>
      </c>
      <c r="E3456" s="0" t="s">
        <v>59</v>
      </c>
      <c r="F3456" s="0" t="s">
        <v>14355</v>
      </c>
    </row>
    <row r="3457" customFormat="false" ht="15" hidden="false" customHeight="false" outlineLevel="0" collapsed="false">
      <c r="A3457" s="0" t="n">
        <v>1150</v>
      </c>
      <c r="B3457" s="0" t="s">
        <v>7772</v>
      </c>
      <c r="C3457" s="0" t="s">
        <v>14356</v>
      </c>
      <c r="E3457" s="0" t="s">
        <v>59</v>
      </c>
      <c r="F3457" s="0" t="s">
        <v>14357</v>
      </c>
    </row>
    <row r="3458" customFormat="false" ht="15" hidden="false" customHeight="false" outlineLevel="0" collapsed="false">
      <c r="A3458" s="0" t="n">
        <v>1150</v>
      </c>
      <c r="B3458" s="0" t="s">
        <v>7772</v>
      </c>
      <c r="C3458" s="0" t="s">
        <v>14358</v>
      </c>
      <c r="E3458" s="0" t="s">
        <v>59</v>
      </c>
      <c r="F3458" s="0" t="s">
        <v>14359</v>
      </c>
    </row>
    <row r="3459" customFormat="false" ht="15" hidden="false" customHeight="false" outlineLevel="0" collapsed="false">
      <c r="A3459" s="0" t="n">
        <v>1151</v>
      </c>
      <c r="B3459" s="0" t="s">
        <v>7783</v>
      </c>
      <c r="C3459" s="0" t="s">
        <v>7785</v>
      </c>
      <c r="E3459" s="0" t="s">
        <v>79</v>
      </c>
      <c r="F3459" s="0" t="s">
        <v>14360</v>
      </c>
    </row>
    <row r="3460" customFormat="false" ht="15" hidden="false" customHeight="false" outlineLevel="0" collapsed="false">
      <c r="A3460" s="0" t="n">
        <v>1151</v>
      </c>
      <c r="B3460" s="0" t="s">
        <v>7783</v>
      </c>
      <c r="C3460" s="0" t="s">
        <v>7786</v>
      </c>
      <c r="E3460" s="0" t="s">
        <v>79</v>
      </c>
      <c r="F3460" s="0" t="s">
        <v>14361</v>
      </c>
    </row>
    <row r="3461" customFormat="false" ht="15" hidden="false" customHeight="false" outlineLevel="0" collapsed="false">
      <c r="A3461" s="0" t="n">
        <v>1151</v>
      </c>
      <c r="B3461" s="0" t="s">
        <v>7783</v>
      </c>
      <c r="C3461" s="0" t="s">
        <v>7787</v>
      </c>
      <c r="E3461" s="0" t="s">
        <v>79</v>
      </c>
      <c r="F3461" s="0" t="s">
        <v>14362</v>
      </c>
    </row>
    <row r="3462" customFormat="false" ht="15" hidden="false" customHeight="false" outlineLevel="0" collapsed="false">
      <c r="A3462" s="0" t="n">
        <v>1151</v>
      </c>
      <c r="B3462" s="0" t="s">
        <v>7783</v>
      </c>
      <c r="C3462" s="0" t="s">
        <v>14363</v>
      </c>
      <c r="E3462" s="0" t="s">
        <v>79</v>
      </c>
      <c r="F3462" s="0" t="s">
        <v>14364</v>
      </c>
    </row>
    <row r="3463" customFormat="false" ht="15" hidden="false" customHeight="false" outlineLevel="0" collapsed="false">
      <c r="A3463" s="0" t="n">
        <v>1151</v>
      </c>
      <c r="B3463" s="0" t="s">
        <v>7783</v>
      </c>
      <c r="C3463" s="0" t="s">
        <v>14365</v>
      </c>
      <c r="E3463" s="0" t="s">
        <v>79</v>
      </c>
      <c r="F3463" s="0" t="s">
        <v>14366</v>
      </c>
    </row>
    <row r="3464" customFormat="false" ht="15" hidden="false" customHeight="false" outlineLevel="0" collapsed="false">
      <c r="A3464" s="0" t="n">
        <v>1152</v>
      </c>
      <c r="B3464" s="0" t="s">
        <v>7788</v>
      </c>
      <c r="C3464" s="0" t="s">
        <v>7791</v>
      </c>
      <c r="E3464" s="0" t="s">
        <v>79</v>
      </c>
      <c r="F3464" s="0" t="s">
        <v>14367</v>
      </c>
    </row>
    <row r="3465" customFormat="false" ht="15" hidden="false" customHeight="false" outlineLevel="0" collapsed="false">
      <c r="A3465" s="0" t="n">
        <v>1152</v>
      </c>
      <c r="B3465" s="0" t="s">
        <v>7788</v>
      </c>
      <c r="C3465" s="0" t="s">
        <v>7792</v>
      </c>
      <c r="E3465" s="0" t="s">
        <v>79</v>
      </c>
      <c r="F3465" s="0" t="s">
        <v>14368</v>
      </c>
    </row>
    <row r="3466" customFormat="false" ht="15" hidden="false" customHeight="false" outlineLevel="0" collapsed="false">
      <c r="A3466" s="0" t="n">
        <v>1152</v>
      </c>
      <c r="B3466" s="0" t="s">
        <v>7788</v>
      </c>
      <c r="C3466" s="0" t="s">
        <v>7793</v>
      </c>
      <c r="E3466" s="0" t="s">
        <v>79</v>
      </c>
      <c r="F3466" s="0" t="s">
        <v>14369</v>
      </c>
    </row>
    <row r="3467" customFormat="false" ht="15" hidden="false" customHeight="false" outlineLevel="0" collapsed="false">
      <c r="A3467" s="0" t="n">
        <v>1152</v>
      </c>
      <c r="B3467" s="0" t="s">
        <v>7788</v>
      </c>
      <c r="C3467" s="0" t="s">
        <v>14370</v>
      </c>
      <c r="E3467" s="0" t="s">
        <v>79</v>
      </c>
      <c r="F3467" s="0" t="s">
        <v>14371</v>
      </c>
    </row>
    <row r="3468" customFormat="false" ht="15" hidden="false" customHeight="false" outlineLevel="0" collapsed="false">
      <c r="A3468" s="0" t="n">
        <v>1152</v>
      </c>
      <c r="B3468" s="0" t="s">
        <v>7788</v>
      </c>
      <c r="C3468" s="0" t="s">
        <v>14372</v>
      </c>
      <c r="E3468" s="0" t="s">
        <v>79</v>
      </c>
      <c r="F3468" s="0" t="s">
        <v>14373</v>
      </c>
    </row>
    <row r="3469" customFormat="false" ht="15" hidden="false" customHeight="false" outlineLevel="0" collapsed="false">
      <c r="A3469" s="0" t="n">
        <v>1153</v>
      </c>
      <c r="B3469" s="0" t="s">
        <v>7798</v>
      </c>
      <c r="C3469" s="0" t="s">
        <v>7800</v>
      </c>
      <c r="E3469" s="0" t="s">
        <v>79</v>
      </c>
      <c r="F3469" s="0" t="s">
        <v>14374</v>
      </c>
    </row>
    <row r="3470" customFormat="false" ht="15" hidden="false" customHeight="false" outlineLevel="0" collapsed="false">
      <c r="A3470" s="0" t="n">
        <v>1153</v>
      </c>
      <c r="B3470" s="0" t="s">
        <v>7798</v>
      </c>
      <c r="C3470" s="0" t="s">
        <v>7801</v>
      </c>
      <c r="E3470" s="0" t="s">
        <v>79</v>
      </c>
      <c r="F3470" s="0" t="s">
        <v>14375</v>
      </c>
    </row>
    <row r="3471" customFormat="false" ht="15" hidden="false" customHeight="false" outlineLevel="0" collapsed="false">
      <c r="A3471" s="0" t="n">
        <v>1153</v>
      </c>
      <c r="B3471" s="0" t="s">
        <v>7798</v>
      </c>
      <c r="C3471" s="0" t="s">
        <v>7802</v>
      </c>
      <c r="E3471" s="0" t="s">
        <v>79</v>
      </c>
      <c r="F3471" s="0" t="s">
        <v>14376</v>
      </c>
    </row>
    <row r="3472" customFormat="false" ht="15" hidden="false" customHeight="false" outlineLevel="0" collapsed="false">
      <c r="A3472" s="0" t="n">
        <v>1153</v>
      </c>
      <c r="B3472" s="0" t="s">
        <v>7798</v>
      </c>
      <c r="C3472" s="0" t="s">
        <v>14377</v>
      </c>
      <c r="E3472" s="0" t="s">
        <v>79</v>
      </c>
      <c r="F3472" s="0" t="s">
        <v>14378</v>
      </c>
    </row>
    <row r="3473" customFormat="false" ht="15" hidden="false" customHeight="false" outlineLevel="0" collapsed="false">
      <c r="A3473" s="0" t="n">
        <v>1154</v>
      </c>
      <c r="B3473" s="0" t="s">
        <v>7803</v>
      </c>
      <c r="C3473" s="0" t="s">
        <v>7808</v>
      </c>
      <c r="E3473" s="0" t="s">
        <v>79</v>
      </c>
      <c r="F3473" s="0" t="s">
        <v>14379</v>
      </c>
    </row>
    <row r="3474" customFormat="false" ht="15" hidden="false" customHeight="false" outlineLevel="0" collapsed="false">
      <c r="A3474" s="0" t="n">
        <v>1154</v>
      </c>
      <c r="B3474" s="0" t="s">
        <v>7803</v>
      </c>
      <c r="C3474" s="0" t="s">
        <v>7809</v>
      </c>
      <c r="E3474" s="0" t="s">
        <v>79</v>
      </c>
      <c r="F3474" s="0" t="s">
        <v>14380</v>
      </c>
    </row>
    <row r="3475" customFormat="false" ht="15" hidden="false" customHeight="false" outlineLevel="0" collapsed="false">
      <c r="A3475" s="0" t="n">
        <v>1154</v>
      </c>
      <c r="B3475" s="0" t="s">
        <v>7803</v>
      </c>
      <c r="C3475" s="0" t="s">
        <v>7810</v>
      </c>
      <c r="E3475" s="0" t="s">
        <v>79</v>
      </c>
      <c r="F3475" s="0" t="s">
        <v>14381</v>
      </c>
    </row>
    <row r="3476" customFormat="false" ht="15" hidden="false" customHeight="false" outlineLevel="0" collapsed="false">
      <c r="A3476" s="0" t="n">
        <v>1154</v>
      </c>
      <c r="B3476" s="0" t="s">
        <v>7803</v>
      </c>
      <c r="C3476" s="0" t="s">
        <v>14382</v>
      </c>
      <c r="E3476" s="0" t="s">
        <v>79</v>
      </c>
      <c r="F3476" s="0" t="s">
        <v>14383</v>
      </c>
    </row>
    <row r="3477" customFormat="false" ht="15" hidden="false" customHeight="false" outlineLevel="0" collapsed="false">
      <c r="A3477" s="0" t="n">
        <v>1154</v>
      </c>
      <c r="B3477" s="0" t="s">
        <v>7803</v>
      </c>
      <c r="C3477" s="0" t="s">
        <v>14384</v>
      </c>
      <c r="E3477" s="0" t="s">
        <v>79</v>
      </c>
      <c r="F3477" s="0" t="s">
        <v>14385</v>
      </c>
    </row>
    <row r="3478" customFormat="false" ht="15" hidden="false" customHeight="false" outlineLevel="0" collapsed="false">
      <c r="A3478" s="0" t="n">
        <v>1155</v>
      </c>
      <c r="B3478" s="0" t="s">
        <v>7816</v>
      </c>
      <c r="C3478" s="0" t="s">
        <v>7818</v>
      </c>
      <c r="E3478" s="0" t="s">
        <v>79</v>
      </c>
      <c r="F3478" s="0" t="s">
        <v>14386</v>
      </c>
    </row>
    <row r="3479" customFormat="false" ht="15" hidden="false" customHeight="false" outlineLevel="0" collapsed="false">
      <c r="A3479" s="0" t="n">
        <v>1155</v>
      </c>
      <c r="B3479" s="0" t="s">
        <v>7816</v>
      </c>
      <c r="C3479" s="0" t="s">
        <v>7819</v>
      </c>
      <c r="E3479" s="0" t="s">
        <v>79</v>
      </c>
      <c r="F3479" s="0" t="s">
        <v>14387</v>
      </c>
    </row>
    <row r="3480" customFormat="false" ht="15" hidden="false" customHeight="false" outlineLevel="0" collapsed="false">
      <c r="A3480" s="0" t="n">
        <v>1155</v>
      </c>
      <c r="B3480" s="0" t="s">
        <v>7816</v>
      </c>
      <c r="C3480" s="0" t="s">
        <v>7820</v>
      </c>
      <c r="E3480" s="0" t="s">
        <v>79</v>
      </c>
      <c r="F3480" s="0" t="s">
        <v>14388</v>
      </c>
    </row>
    <row r="3481" customFormat="false" ht="15" hidden="false" customHeight="false" outlineLevel="0" collapsed="false">
      <c r="A3481" s="0" t="n">
        <v>1156</v>
      </c>
      <c r="B3481" s="0" t="s">
        <v>7821</v>
      </c>
      <c r="C3481" s="0" t="s">
        <v>7824</v>
      </c>
      <c r="E3481" s="0" t="s">
        <v>79</v>
      </c>
      <c r="F3481" s="0" t="s">
        <v>14389</v>
      </c>
    </row>
    <row r="3482" customFormat="false" ht="15" hidden="false" customHeight="false" outlineLevel="0" collapsed="false">
      <c r="A3482" s="0" t="n">
        <v>1156</v>
      </c>
      <c r="B3482" s="0" t="s">
        <v>7821</v>
      </c>
      <c r="C3482" s="0" t="s">
        <v>7825</v>
      </c>
      <c r="E3482" s="0" t="s">
        <v>79</v>
      </c>
      <c r="F3482" s="0" t="s">
        <v>14390</v>
      </c>
    </row>
    <row r="3483" customFormat="false" ht="15" hidden="false" customHeight="false" outlineLevel="0" collapsed="false">
      <c r="A3483" s="0" t="n">
        <v>1156</v>
      </c>
      <c r="B3483" s="0" t="s">
        <v>7821</v>
      </c>
      <c r="C3483" s="0" t="s">
        <v>7826</v>
      </c>
      <c r="E3483" s="0" t="s">
        <v>79</v>
      </c>
      <c r="F3483" s="0" t="s">
        <v>14391</v>
      </c>
    </row>
    <row r="3484" customFormat="false" ht="15" hidden="false" customHeight="false" outlineLevel="0" collapsed="false">
      <c r="A3484" s="0" t="n">
        <v>1156</v>
      </c>
      <c r="B3484" s="0" t="s">
        <v>7821</v>
      </c>
      <c r="C3484" s="0" t="s">
        <v>14392</v>
      </c>
      <c r="E3484" s="0" t="s">
        <v>79</v>
      </c>
      <c r="F3484" s="0" t="s">
        <v>14393</v>
      </c>
    </row>
    <row r="3485" customFormat="false" ht="15" hidden="false" customHeight="false" outlineLevel="0" collapsed="false">
      <c r="A3485" s="0" t="n">
        <v>1156</v>
      </c>
      <c r="B3485" s="0" t="s">
        <v>7821</v>
      </c>
      <c r="C3485" s="0" t="s">
        <v>14394</v>
      </c>
      <c r="E3485" s="0" t="s">
        <v>79</v>
      </c>
      <c r="F3485" s="0" t="s">
        <v>14395</v>
      </c>
    </row>
    <row r="3486" customFormat="false" ht="15" hidden="false" customHeight="false" outlineLevel="0" collapsed="false">
      <c r="A3486" s="0" t="n">
        <v>1160</v>
      </c>
      <c r="B3486" s="0" t="s">
        <v>7834</v>
      </c>
      <c r="C3486" s="0" t="s">
        <v>7837</v>
      </c>
      <c r="E3486" s="0" t="s">
        <v>79</v>
      </c>
      <c r="F3486" s="0" t="s">
        <v>14396</v>
      </c>
    </row>
    <row r="3487" customFormat="false" ht="15" hidden="false" customHeight="false" outlineLevel="0" collapsed="false">
      <c r="A3487" s="0" t="n">
        <v>1160</v>
      </c>
      <c r="B3487" s="0" t="s">
        <v>7834</v>
      </c>
      <c r="C3487" s="0" t="s">
        <v>7838</v>
      </c>
      <c r="E3487" s="0" t="s">
        <v>79</v>
      </c>
      <c r="F3487" s="0" t="s">
        <v>14397</v>
      </c>
    </row>
    <row r="3488" customFormat="false" ht="15" hidden="false" customHeight="false" outlineLevel="0" collapsed="false">
      <c r="A3488" s="0" t="n">
        <v>1160</v>
      </c>
      <c r="B3488" s="0" t="s">
        <v>7834</v>
      </c>
      <c r="C3488" s="0" t="s">
        <v>7839</v>
      </c>
      <c r="E3488" s="0" t="s">
        <v>79</v>
      </c>
      <c r="F3488" s="0" t="s">
        <v>14398</v>
      </c>
    </row>
    <row r="3489" customFormat="false" ht="15" hidden="false" customHeight="false" outlineLevel="0" collapsed="false">
      <c r="A3489" s="0" t="n">
        <v>1160</v>
      </c>
      <c r="B3489" s="0" t="s">
        <v>7834</v>
      </c>
      <c r="C3489" s="0" t="s">
        <v>14399</v>
      </c>
      <c r="E3489" s="0" t="s">
        <v>79</v>
      </c>
      <c r="F3489" s="0" t="s">
        <v>14400</v>
      </c>
    </row>
    <row r="3490" customFormat="false" ht="15" hidden="false" customHeight="false" outlineLevel="0" collapsed="false">
      <c r="A3490" s="0" t="n">
        <v>1160</v>
      </c>
      <c r="B3490" s="0" t="s">
        <v>7834</v>
      </c>
      <c r="C3490" s="0" t="s">
        <v>14401</v>
      </c>
      <c r="E3490" s="0" t="s">
        <v>79</v>
      </c>
      <c r="F3490" s="0" t="s">
        <v>14402</v>
      </c>
    </row>
    <row r="3491" customFormat="false" ht="15" hidden="false" customHeight="false" outlineLevel="0" collapsed="false">
      <c r="A3491" s="0" t="n">
        <v>1161</v>
      </c>
      <c r="B3491" s="0" t="s">
        <v>7842</v>
      </c>
      <c r="C3491" s="0" t="s">
        <v>7845</v>
      </c>
      <c r="E3491" s="0" t="s">
        <v>79</v>
      </c>
      <c r="F3491" s="0" t="s">
        <v>14403</v>
      </c>
    </row>
    <row r="3492" customFormat="false" ht="15" hidden="false" customHeight="false" outlineLevel="0" collapsed="false">
      <c r="A3492" s="0" t="n">
        <v>1161</v>
      </c>
      <c r="B3492" s="0" t="s">
        <v>7842</v>
      </c>
      <c r="C3492" s="0" t="s">
        <v>7846</v>
      </c>
      <c r="E3492" s="0" t="s">
        <v>79</v>
      </c>
      <c r="F3492" s="0" t="s">
        <v>14404</v>
      </c>
    </row>
    <row r="3493" customFormat="false" ht="15" hidden="false" customHeight="false" outlineLevel="0" collapsed="false">
      <c r="A3493" s="0" t="n">
        <v>1161</v>
      </c>
      <c r="B3493" s="0" t="s">
        <v>7842</v>
      </c>
      <c r="C3493" s="0" t="s">
        <v>7847</v>
      </c>
      <c r="E3493" s="0" t="s">
        <v>79</v>
      </c>
      <c r="F3493" s="0" t="s">
        <v>14405</v>
      </c>
    </row>
    <row r="3494" customFormat="false" ht="15" hidden="false" customHeight="false" outlineLevel="0" collapsed="false">
      <c r="A3494" s="0" t="n">
        <v>1161</v>
      </c>
      <c r="B3494" s="0" t="s">
        <v>7842</v>
      </c>
      <c r="C3494" s="0" t="s">
        <v>14406</v>
      </c>
      <c r="E3494" s="0" t="s">
        <v>79</v>
      </c>
      <c r="F3494" s="0" t="s">
        <v>14407</v>
      </c>
    </row>
    <row r="3495" customFormat="false" ht="15" hidden="false" customHeight="false" outlineLevel="0" collapsed="false">
      <c r="A3495" s="0" t="n">
        <v>1161</v>
      </c>
      <c r="B3495" s="0" t="s">
        <v>7842</v>
      </c>
      <c r="C3495" s="0" t="s">
        <v>14408</v>
      </c>
      <c r="E3495" s="0" t="s">
        <v>79</v>
      </c>
      <c r="F3495" s="0" t="s">
        <v>14409</v>
      </c>
    </row>
    <row r="3496" customFormat="false" ht="15" hidden="false" customHeight="false" outlineLevel="0" collapsed="false">
      <c r="A3496" s="0" t="n">
        <v>1162</v>
      </c>
      <c r="B3496" s="0" t="s">
        <v>7852</v>
      </c>
      <c r="C3496" s="0" t="s">
        <v>7856</v>
      </c>
      <c r="E3496" s="0" t="s">
        <v>79</v>
      </c>
      <c r="F3496" s="0" t="s">
        <v>14410</v>
      </c>
    </row>
    <row r="3497" customFormat="false" ht="15" hidden="false" customHeight="false" outlineLevel="0" collapsed="false">
      <c r="A3497" s="0" t="n">
        <v>1162</v>
      </c>
      <c r="B3497" s="0" t="s">
        <v>7852</v>
      </c>
      <c r="C3497" s="0" t="s">
        <v>7857</v>
      </c>
      <c r="E3497" s="0" t="s">
        <v>79</v>
      </c>
      <c r="F3497" s="0" t="s">
        <v>14411</v>
      </c>
    </row>
    <row r="3498" customFormat="false" ht="15" hidden="false" customHeight="false" outlineLevel="0" collapsed="false">
      <c r="A3498" s="0" t="n">
        <v>1162</v>
      </c>
      <c r="B3498" s="0" t="s">
        <v>7852</v>
      </c>
      <c r="C3498" s="0" t="s">
        <v>7858</v>
      </c>
      <c r="E3498" s="0" t="s">
        <v>79</v>
      </c>
      <c r="F3498" s="0" t="s">
        <v>14412</v>
      </c>
    </row>
    <row r="3499" customFormat="false" ht="15" hidden="false" customHeight="false" outlineLevel="0" collapsed="false">
      <c r="A3499" s="0" t="n">
        <v>1162</v>
      </c>
      <c r="B3499" s="0" t="s">
        <v>7852</v>
      </c>
      <c r="C3499" s="0" t="s">
        <v>14413</v>
      </c>
      <c r="E3499" s="0" t="s">
        <v>79</v>
      </c>
      <c r="F3499" s="0" t="s">
        <v>14414</v>
      </c>
    </row>
    <row r="3500" customFormat="false" ht="15" hidden="false" customHeight="false" outlineLevel="0" collapsed="false">
      <c r="A3500" s="0" t="n">
        <v>1162</v>
      </c>
      <c r="B3500" s="0" t="s">
        <v>7852</v>
      </c>
      <c r="C3500" s="0" t="s">
        <v>14415</v>
      </c>
      <c r="E3500" s="0" t="s">
        <v>79</v>
      </c>
      <c r="F3500" s="0" t="s">
        <v>14416</v>
      </c>
    </row>
    <row r="3501" customFormat="false" ht="15" hidden="false" customHeight="false" outlineLevel="0" collapsed="false">
      <c r="A3501" s="0" t="n">
        <v>1164</v>
      </c>
      <c r="B3501" s="0" t="s">
        <v>7869</v>
      </c>
      <c r="C3501" s="0" t="s">
        <v>7872</v>
      </c>
      <c r="E3501" s="0" t="s">
        <v>79</v>
      </c>
      <c r="F3501" s="0" t="s">
        <v>14417</v>
      </c>
    </row>
    <row r="3502" customFormat="false" ht="15" hidden="false" customHeight="false" outlineLevel="0" collapsed="false">
      <c r="A3502" s="0" t="n">
        <v>1164</v>
      </c>
      <c r="B3502" s="0" t="s">
        <v>7869</v>
      </c>
      <c r="C3502" s="0" t="s">
        <v>7873</v>
      </c>
      <c r="E3502" s="0" t="s">
        <v>79</v>
      </c>
      <c r="F3502" s="0" t="s">
        <v>14418</v>
      </c>
    </row>
    <row r="3503" customFormat="false" ht="15" hidden="false" customHeight="false" outlineLevel="0" collapsed="false">
      <c r="A3503" s="0" t="n">
        <v>1164</v>
      </c>
      <c r="B3503" s="0" t="s">
        <v>7869</v>
      </c>
      <c r="C3503" s="0" t="s">
        <v>7874</v>
      </c>
      <c r="E3503" s="0" t="s">
        <v>79</v>
      </c>
      <c r="F3503" s="0" t="s">
        <v>14419</v>
      </c>
    </row>
    <row r="3504" customFormat="false" ht="15" hidden="false" customHeight="false" outlineLevel="0" collapsed="false">
      <c r="A3504" s="0" t="n">
        <v>1164</v>
      </c>
      <c r="B3504" s="0" t="s">
        <v>7869</v>
      </c>
      <c r="C3504" s="0" t="s">
        <v>14420</v>
      </c>
      <c r="E3504" s="0" t="s">
        <v>79</v>
      </c>
      <c r="F3504" s="0" t="s">
        <v>14421</v>
      </c>
    </row>
    <row r="3505" customFormat="false" ht="15" hidden="false" customHeight="false" outlineLevel="0" collapsed="false">
      <c r="A3505" s="0" t="n">
        <v>1164</v>
      </c>
      <c r="B3505" s="0" t="s">
        <v>7869</v>
      </c>
      <c r="C3505" s="0" t="s">
        <v>14422</v>
      </c>
      <c r="E3505" s="0" t="s">
        <v>79</v>
      </c>
      <c r="F3505" s="0" t="s">
        <v>14423</v>
      </c>
    </row>
    <row r="3506" customFormat="false" ht="15" hidden="false" customHeight="false" outlineLevel="0" collapsed="false">
      <c r="A3506" s="0" t="n">
        <v>1166</v>
      </c>
      <c r="B3506" s="0" t="s">
        <v>7879</v>
      </c>
      <c r="C3506" s="0" t="s">
        <v>7882</v>
      </c>
      <c r="E3506" s="0" t="s">
        <v>79</v>
      </c>
      <c r="F3506" s="0" t="s">
        <v>14424</v>
      </c>
    </row>
    <row r="3507" customFormat="false" ht="15" hidden="false" customHeight="false" outlineLevel="0" collapsed="false">
      <c r="A3507" s="0" t="n">
        <v>1166</v>
      </c>
      <c r="B3507" s="0" t="s">
        <v>7879</v>
      </c>
      <c r="C3507" s="0" t="s">
        <v>7883</v>
      </c>
      <c r="E3507" s="0" t="s">
        <v>79</v>
      </c>
      <c r="F3507" s="0" t="s">
        <v>14425</v>
      </c>
    </row>
    <row r="3508" customFormat="false" ht="15" hidden="false" customHeight="false" outlineLevel="0" collapsed="false">
      <c r="A3508" s="0" t="n">
        <v>1166</v>
      </c>
      <c r="B3508" s="0" t="s">
        <v>7879</v>
      </c>
      <c r="C3508" s="0" t="s">
        <v>7884</v>
      </c>
      <c r="E3508" s="0" t="s">
        <v>79</v>
      </c>
      <c r="F3508" s="0" t="s">
        <v>14426</v>
      </c>
    </row>
    <row r="3509" customFormat="false" ht="15" hidden="false" customHeight="false" outlineLevel="0" collapsed="false">
      <c r="A3509" s="0" t="n">
        <v>1166</v>
      </c>
      <c r="B3509" s="0" t="s">
        <v>7879</v>
      </c>
      <c r="C3509" s="0" t="s">
        <v>14427</v>
      </c>
      <c r="E3509" s="0" t="s">
        <v>79</v>
      </c>
      <c r="F3509" s="0" t="s">
        <v>14428</v>
      </c>
    </row>
    <row r="3510" customFormat="false" ht="15" hidden="false" customHeight="false" outlineLevel="0" collapsed="false">
      <c r="A3510" s="0" t="n">
        <v>1166</v>
      </c>
      <c r="B3510" s="0" t="s">
        <v>7879</v>
      </c>
      <c r="C3510" s="0" t="s">
        <v>14429</v>
      </c>
      <c r="E3510" s="0" t="s">
        <v>79</v>
      </c>
      <c r="F3510" s="0" t="s">
        <v>14430</v>
      </c>
    </row>
    <row r="3511" customFormat="false" ht="15" hidden="false" customHeight="false" outlineLevel="0" collapsed="false">
      <c r="A3511" s="0" t="n">
        <v>1169</v>
      </c>
      <c r="B3511" s="0" t="s">
        <v>7896</v>
      </c>
      <c r="C3511" s="0" t="s">
        <v>7899</v>
      </c>
      <c r="E3511" s="0" t="s">
        <v>59</v>
      </c>
      <c r="F3511" s="0" t="s">
        <v>14431</v>
      </c>
    </row>
    <row r="3512" customFormat="false" ht="15" hidden="false" customHeight="false" outlineLevel="0" collapsed="false">
      <c r="A3512" s="0" t="n">
        <v>1169</v>
      </c>
      <c r="B3512" s="0" t="s">
        <v>7896</v>
      </c>
      <c r="C3512" s="0" t="s">
        <v>7900</v>
      </c>
      <c r="E3512" s="0" t="s">
        <v>59</v>
      </c>
      <c r="F3512" s="0" t="s">
        <v>14432</v>
      </c>
    </row>
    <row r="3513" customFormat="false" ht="15" hidden="false" customHeight="false" outlineLevel="0" collapsed="false">
      <c r="A3513" s="0" t="n">
        <v>1169</v>
      </c>
      <c r="B3513" s="0" t="s">
        <v>7896</v>
      </c>
      <c r="C3513" s="0" t="s">
        <v>7901</v>
      </c>
      <c r="E3513" s="0" t="s">
        <v>59</v>
      </c>
      <c r="F3513" s="0" t="s">
        <v>14433</v>
      </c>
    </row>
    <row r="3514" customFormat="false" ht="15" hidden="false" customHeight="false" outlineLevel="0" collapsed="false">
      <c r="A3514" s="0" t="n">
        <v>1169</v>
      </c>
      <c r="B3514" s="0" t="s">
        <v>7896</v>
      </c>
      <c r="C3514" s="0" t="s">
        <v>14434</v>
      </c>
      <c r="E3514" s="0" t="s">
        <v>59</v>
      </c>
      <c r="F3514" s="0" t="s">
        <v>14435</v>
      </c>
    </row>
    <row r="3515" customFormat="false" ht="15" hidden="false" customHeight="false" outlineLevel="0" collapsed="false">
      <c r="A3515" s="0" t="n">
        <v>1169</v>
      </c>
      <c r="B3515" s="0" t="s">
        <v>7896</v>
      </c>
      <c r="C3515" s="0" t="s">
        <v>14436</v>
      </c>
      <c r="E3515" s="0" t="s">
        <v>59</v>
      </c>
      <c r="F3515" s="0" t="s">
        <v>14437</v>
      </c>
    </row>
    <row r="3516" customFormat="false" ht="15" hidden="false" customHeight="false" outlineLevel="0" collapsed="false">
      <c r="A3516" s="0" t="n">
        <v>1172</v>
      </c>
      <c r="B3516" s="0" t="s">
        <v>7914</v>
      </c>
      <c r="C3516" s="0" t="s">
        <v>7917</v>
      </c>
      <c r="E3516" s="0" t="s">
        <v>79</v>
      </c>
      <c r="F3516" s="0" t="s">
        <v>14438</v>
      </c>
    </row>
    <row r="3517" customFormat="false" ht="15" hidden="false" customHeight="false" outlineLevel="0" collapsed="false">
      <c r="A3517" s="0" t="n">
        <v>1172</v>
      </c>
      <c r="B3517" s="0" t="s">
        <v>7914</v>
      </c>
      <c r="C3517" s="0" t="s">
        <v>7918</v>
      </c>
      <c r="E3517" s="0" t="s">
        <v>79</v>
      </c>
      <c r="F3517" s="0" t="s">
        <v>14439</v>
      </c>
    </row>
    <row r="3518" customFormat="false" ht="15" hidden="false" customHeight="false" outlineLevel="0" collapsed="false">
      <c r="A3518" s="0" t="n">
        <v>1174</v>
      </c>
      <c r="B3518" s="0" t="s">
        <v>7924</v>
      </c>
      <c r="C3518" s="0" t="s">
        <v>7926</v>
      </c>
      <c r="E3518" s="0" t="s">
        <v>79</v>
      </c>
      <c r="F3518" s="0" t="s">
        <v>14440</v>
      </c>
    </row>
    <row r="3519" customFormat="false" ht="15" hidden="false" customHeight="false" outlineLevel="0" collapsed="false">
      <c r="A3519" s="0" t="n">
        <v>1174</v>
      </c>
      <c r="B3519" s="0" t="s">
        <v>7924</v>
      </c>
      <c r="C3519" s="0" t="s">
        <v>7927</v>
      </c>
      <c r="E3519" s="0" t="s">
        <v>79</v>
      </c>
      <c r="F3519" s="0" t="s">
        <v>14441</v>
      </c>
    </row>
    <row r="3520" customFormat="false" ht="15" hidden="false" customHeight="false" outlineLevel="0" collapsed="false">
      <c r="A3520" s="0" t="n">
        <v>1174</v>
      </c>
      <c r="B3520" s="0" t="s">
        <v>7924</v>
      </c>
      <c r="C3520" s="0" t="s">
        <v>7928</v>
      </c>
      <c r="E3520" s="0" t="s">
        <v>79</v>
      </c>
      <c r="F3520" s="0" t="s">
        <v>14442</v>
      </c>
    </row>
    <row r="3521" customFormat="false" ht="15" hidden="false" customHeight="false" outlineLevel="0" collapsed="false">
      <c r="A3521" s="0" t="n">
        <v>1174</v>
      </c>
      <c r="B3521" s="0" t="s">
        <v>7924</v>
      </c>
      <c r="C3521" s="0" t="s">
        <v>14443</v>
      </c>
      <c r="E3521" s="0" t="s">
        <v>79</v>
      </c>
      <c r="F3521" s="0" t="s">
        <v>14444</v>
      </c>
    </row>
    <row r="3522" customFormat="false" ht="15" hidden="false" customHeight="false" outlineLevel="0" collapsed="false">
      <c r="A3522" s="0" t="n">
        <v>1174</v>
      </c>
      <c r="B3522" s="0" t="s">
        <v>7924</v>
      </c>
      <c r="C3522" s="0" t="s">
        <v>14445</v>
      </c>
      <c r="E3522" s="0" t="s">
        <v>79</v>
      </c>
      <c r="F3522" s="0" t="s">
        <v>14446</v>
      </c>
    </row>
    <row r="3523" customFormat="false" ht="15" hidden="false" customHeight="false" outlineLevel="0" collapsed="false">
      <c r="A3523" s="0" t="n">
        <v>1175</v>
      </c>
      <c r="B3523" s="0" t="s">
        <v>7929</v>
      </c>
      <c r="C3523" s="0" t="s">
        <v>7931</v>
      </c>
      <c r="E3523" s="0" t="s">
        <v>79</v>
      </c>
      <c r="F3523" s="0" t="s">
        <v>14447</v>
      </c>
    </row>
    <row r="3524" customFormat="false" ht="15" hidden="false" customHeight="false" outlineLevel="0" collapsed="false">
      <c r="A3524" s="0" t="n">
        <v>1175</v>
      </c>
      <c r="B3524" s="0" t="s">
        <v>7929</v>
      </c>
      <c r="C3524" s="0" t="s">
        <v>7932</v>
      </c>
      <c r="E3524" s="0" t="s">
        <v>79</v>
      </c>
      <c r="F3524" s="0" t="s">
        <v>14448</v>
      </c>
    </row>
    <row r="3525" customFormat="false" ht="15" hidden="false" customHeight="false" outlineLevel="0" collapsed="false">
      <c r="A3525" s="0" t="n">
        <v>1175</v>
      </c>
      <c r="B3525" s="0" t="s">
        <v>7929</v>
      </c>
      <c r="C3525" s="0" t="s">
        <v>7933</v>
      </c>
      <c r="E3525" s="0" t="s">
        <v>79</v>
      </c>
      <c r="F3525" s="0" t="s">
        <v>14449</v>
      </c>
    </row>
    <row r="3526" customFormat="false" ht="15" hidden="false" customHeight="false" outlineLevel="0" collapsed="false">
      <c r="A3526" s="0" t="n">
        <v>1175</v>
      </c>
      <c r="B3526" s="0" t="s">
        <v>7929</v>
      </c>
      <c r="C3526" s="0" t="s">
        <v>14450</v>
      </c>
      <c r="E3526" s="0" t="s">
        <v>79</v>
      </c>
      <c r="F3526" s="0" t="s">
        <v>14451</v>
      </c>
    </row>
    <row r="3527" customFormat="false" ht="15" hidden="false" customHeight="false" outlineLevel="0" collapsed="false">
      <c r="A3527" s="0" t="n">
        <v>1175</v>
      </c>
      <c r="B3527" s="0" t="s">
        <v>7929</v>
      </c>
      <c r="C3527" s="0" t="s">
        <v>14452</v>
      </c>
      <c r="E3527" s="0" t="s">
        <v>79</v>
      </c>
      <c r="F3527" s="0" t="s">
        <v>14453</v>
      </c>
    </row>
    <row r="3528" customFormat="false" ht="15" hidden="false" customHeight="false" outlineLevel="0" collapsed="false">
      <c r="A3528" s="0" t="n">
        <v>1176</v>
      </c>
      <c r="B3528" s="0" t="s">
        <v>7934</v>
      </c>
      <c r="C3528" s="0" t="s">
        <v>7939</v>
      </c>
      <c r="E3528" s="0" t="s">
        <v>59</v>
      </c>
      <c r="F3528" s="0" t="s">
        <v>14454</v>
      </c>
    </row>
    <row r="3529" customFormat="false" ht="15" hidden="false" customHeight="false" outlineLevel="0" collapsed="false">
      <c r="A3529" s="0" t="n">
        <v>1176</v>
      </c>
      <c r="B3529" s="0" t="s">
        <v>7934</v>
      </c>
      <c r="C3529" s="0" t="s">
        <v>7940</v>
      </c>
      <c r="E3529" s="0" t="s">
        <v>59</v>
      </c>
      <c r="F3529" s="0" t="s">
        <v>14455</v>
      </c>
    </row>
    <row r="3530" customFormat="false" ht="15" hidden="false" customHeight="false" outlineLevel="0" collapsed="false">
      <c r="A3530" s="0" t="n">
        <v>1176</v>
      </c>
      <c r="B3530" s="0" t="s">
        <v>7934</v>
      </c>
      <c r="C3530" s="0" t="s">
        <v>7941</v>
      </c>
      <c r="E3530" s="0" t="s">
        <v>59</v>
      </c>
      <c r="F3530" s="0" t="s">
        <v>14456</v>
      </c>
    </row>
    <row r="3531" customFormat="false" ht="15" hidden="false" customHeight="false" outlineLevel="0" collapsed="false">
      <c r="A3531" s="0" t="n">
        <v>1176</v>
      </c>
      <c r="B3531" s="0" t="s">
        <v>7934</v>
      </c>
      <c r="C3531" s="0" t="s">
        <v>14457</v>
      </c>
      <c r="E3531" s="0" t="s">
        <v>59</v>
      </c>
      <c r="F3531" s="0" t="s">
        <v>14458</v>
      </c>
    </row>
    <row r="3532" customFormat="false" ht="15" hidden="false" customHeight="false" outlineLevel="0" collapsed="false">
      <c r="A3532" s="0" t="n">
        <v>1176</v>
      </c>
      <c r="B3532" s="0" t="s">
        <v>7934</v>
      </c>
      <c r="C3532" s="0" t="s">
        <v>14459</v>
      </c>
      <c r="E3532" s="0" t="s">
        <v>59</v>
      </c>
      <c r="F3532" s="0" t="s">
        <v>14460</v>
      </c>
    </row>
    <row r="3533" customFormat="false" ht="15" hidden="false" customHeight="false" outlineLevel="0" collapsed="false">
      <c r="A3533" s="0" t="n">
        <v>1177</v>
      </c>
      <c r="B3533" s="0" t="s">
        <v>7947</v>
      </c>
      <c r="C3533" s="0" t="s">
        <v>7949</v>
      </c>
      <c r="E3533" s="0" t="s">
        <v>79</v>
      </c>
      <c r="F3533" s="0" t="s">
        <v>14461</v>
      </c>
    </row>
    <row r="3534" customFormat="false" ht="15" hidden="false" customHeight="false" outlineLevel="0" collapsed="false">
      <c r="A3534" s="0" t="n">
        <v>1177</v>
      </c>
      <c r="B3534" s="0" t="s">
        <v>7947</v>
      </c>
      <c r="C3534" s="0" t="s">
        <v>7950</v>
      </c>
      <c r="E3534" s="0" t="s">
        <v>79</v>
      </c>
      <c r="F3534" s="0" t="s">
        <v>14462</v>
      </c>
    </row>
    <row r="3535" customFormat="false" ht="15" hidden="false" customHeight="false" outlineLevel="0" collapsed="false">
      <c r="A3535" s="0" t="n">
        <v>1178</v>
      </c>
      <c r="B3535" s="0" t="s">
        <v>7951</v>
      </c>
      <c r="C3535" s="0" t="s">
        <v>7953</v>
      </c>
      <c r="E3535" s="0" t="s">
        <v>79</v>
      </c>
      <c r="F3535" s="0" t="s">
        <v>14463</v>
      </c>
    </row>
    <row r="3536" customFormat="false" ht="15" hidden="false" customHeight="false" outlineLevel="0" collapsed="false">
      <c r="A3536" s="0" t="n">
        <v>1178</v>
      </c>
      <c r="B3536" s="0" t="s">
        <v>7951</v>
      </c>
      <c r="C3536" s="0" t="s">
        <v>7954</v>
      </c>
      <c r="E3536" s="0" t="s">
        <v>79</v>
      </c>
      <c r="F3536" s="0" t="s">
        <v>14464</v>
      </c>
    </row>
    <row r="3537" customFormat="false" ht="15" hidden="false" customHeight="false" outlineLevel="0" collapsed="false">
      <c r="A3537" s="0" t="n">
        <v>1179</v>
      </c>
      <c r="B3537" s="0" t="s">
        <v>7955</v>
      </c>
      <c r="C3537" s="0" t="s">
        <v>7958</v>
      </c>
      <c r="E3537" s="0" t="s">
        <v>79</v>
      </c>
      <c r="F3537" s="0" t="s">
        <v>14465</v>
      </c>
    </row>
    <row r="3538" customFormat="false" ht="15" hidden="false" customHeight="false" outlineLevel="0" collapsed="false">
      <c r="A3538" s="0" t="n">
        <v>1179</v>
      </c>
      <c r="B3538" s="0" t="s">
        <v>7955</v>
      </c>
      <c r="C3538" s="0" t="s">
        <v>7959</v>
      </c>
      <c r="E3538" s="0" t="s">
        <v>79</v>
      </c>
      <c r="F3538" s="0" t="s">
        <v>14466</v>
      </c>
    </row>
    <row r="3539" customFormat="false" ht="15" hidden="false" customHeight="false" outlineLevel="0" collapsed="false">
      <c r="A3539" s="0" t="n">
        <v>1179</v>
      </c>
      <c r="B3539" s="0" t="s">
        <v>7955</v>
      </c>
      <c r="C3539" s="0" t="s">
        <v>7960</v>
      </c>
      <c r="E3539" s="0" t="s">
        <v>79</v>
      </c>
      <c r="F3539" s="0" t="s">
        <v>14467</v>
      </c>
    </row>
    <row r="3540" customFormat="false" ht="15" hidden="false" customHeight="false" outlineLevel="0" collapsed="false">
      <c r="A3540" s="0" t="n">
        <v>1179</v>
      </c>
      <c r="B3540" s="0" t="s">
        <v>7955</v>
      </c>
      <c r="C3540" s="0" t="s">
        <v>14468</v>
      </c>
      <c r="E3540" s="0" t="s">
        <v>79</v>
      </c>
      <c r="F3540" s="0" t="s">
        <v>14469</v>
      </c>
    </row>
    <row r="3541" customFormat="false" ht="15" hidden="false" customHeight="false" outlineLevel="0" collapsed="false">
      <c r="A3541" s="0" t="n">
        <v>1179</v>
      </c>
      <c r="B3541" s="0" t="s">
        <v>7955</v>
      </c>
      <c r="C3541" s="0" t="s">
        <v>14470</v>
      </c>
      <c r="E3541" s="0" t="s">
        <v>79</v>
      </c>
      <c r="F3541" s="0" t="s">
        <v>14471</v>
      </c>
    </row>
    <row r="3542" customFormat="false" ht="15" hidden="false" customHeight="false" outlineLevel="0" collapsed="false">
      <c r="A3542" s="0" t="n">
        <v>1181</v>
      </c>
      <c r="B3542" s="0" t="s">
        <v>7964</v>
      </c>
      <c r="C3542" s="0" t="s">
        <v>7967</v>
      </c>
      <c r="E3542" s="0" t="s">
        <v>79</v>
      </c>
      <c r="F3542" s="0" t="s">
        <v>14472</v>
      </c>
    </row>
    <row r="3543" customFormat="false" ht="15" hidden="false" customHeight="false" outlineLevel="0" collapsed="false">
      <c r="A3543" s="0" t="n">
        <v>1181</v>
      </c>
      <c r="B3543" s="0" t="s">
        <v>7964</v>
      </c>
      <c r="C3543" s="0" t="s">
        <v>7968</v>
      </c>
      <c r="E3543" s="0" t="s">
        <v>79</v>
      </c>
      <c r="F3543" s="0" t="s">
        <v>14473</v>
      </c>
    </row>
    <row r="3544" customFormat="false" ht="15" hidden="false" customHeight="false" outlineLevel="0" collapsed="false">
      <c r="A3544" s="0" t="n">
        <v>1181</v>
      </c>
      <c r="B3544" s="0" t="s">
        <v>7964</v>
      </c>
      <c r="C3544" s="0" t="s">
        <v>7969</v>
      </c>
      <c r="E3544" s="0" t="s">
        <v>79</v>
      </c>
      <c r="F3544" s="0" t="s">
        <v>14474</v>
      </c>
    </row>
    <row r="3545" customFormat="false" ht="15" hidden="false" customHeight="false" outlineLevel="0" collapsed="false">
      <c r="A3545" s="0" t="n">
        <v>1181</v>
      </c>
      <c r="B3545" s="0" t="s">
        <v>7964</v>
      </c>
      <c r="C3545" s="0" t="s">
        <v>14475</v>
      </c>
      <c r="E3545" s="0" t="s">
        <v>79</v>
      </c>
      <c r="F3545" s="0" t="s">
        <v>14476</v>
      </c>
    </row>
    <row r="3546" customFormat="false" ht="15" hidden="false" customHeight="false" outlineLevel="0" collapsed="false">
      <c r="A3546" s="0" t="n">
        <v>1181</v>
      </c>
      <c r="B3546" s="0" t="s">
        <v>7964</v>
      </c>
      <c r="C3546" s="0" t="s">
        <v>14477</v>
      </c>
      <c r="E3546" s="0" t="s">
        <v>79</v>
      </c>
      <c r="F3546" s="0" t="s">
        <v>14478</v>
      </c>
    </row>
    <row r="3547" customFormat="false" ht="15" hidden="false" customHeight="false" outlineLevel="0" collapsed="false">
      <c r="A3547" s="0" t="n">
        <v>1182</v>
      </c>
      <c r="B3547" s="0" t="s">
        <v>7970</v>
      </c>
      <c r="C3547" s="0" t="s">
        <v>7973</v>
      </c>
      <c r="E3547" s="0" t="s">
        <v>59</v>
      </c>
      <c r="F3547" s="0" t="s">
        <v>14479</v>
      </c>
    </row>
    <row r="3548" customFormat="false" ht="15" hidden="false" customHeight="false" outlineLevel="0" collapsed="false">
      <c r="A3548" s="0" t="n">
        <v>1182</v>
      </c>
      <c r="B3548" s="0" t="s">
        <v>7970</v>
      </c>
      <c r="C3548" s="0" t="s">
        <v>7974</v>
      </c>
      <c r="E3548" s="0" t="s">
        <v>59</v>
      </c>
      <c r="F3548" s="0" t="s">
        <v>14480</v>
      </c>
    </row>
    <row r="3549" customFormat="false" ht="15" hidden="false" customHeight="false" outlineLevel="0" collapsed="false">
      <c r="A3549" s="0" t="n">
        <v>1182</v>
      </c>
      <c r="B3549" s="0" t="s">
        <v>7970</v>
      </c>
      <c r="C3549" s="0" t="s">
        <v>7975</v>
      </c>
      <c r="E3549" s="0" t="s">
        <v>59</v>
      </c>
      <c r="F3549" s="0" t="s">
        <v>14481</v>
      </c>
    </row>
    <row r="3550" customFormat="false" ht="15" hidden="false" customHeight="false" outlineLevel="0" collapsed="false">
      <c r="A3550" s="0" t="n">
        <v>1182</v>
      </c>
      <c r="B3550" s="0" t="s">
        <v>7970</v>
      </c>
      <c r="C3550" s="0" t="s">
        <v>14482</v>
      </c>
      <c r="E3550" s="0" t="s">
        <v>59</v>
      </c>
      <c r="F3550" s="0" t="s">
        <v>14483</v>
      </c>
    </row>
    <row r="3551" customFormat="false" ht="15" hidden="false" customHeight="false" outlineLevel="0" collapsed="false">
      <c r="A3551" s="0" t="n">
        <v>1182</v>
      </c>
      <c r="B3551" s="0" t="s">
        <v>7970</v>
      </c>
      <c r="C3551" s="0" t="s">
        <v>14484</v>
      </c>
      <c r="E3551" s="0" t="s">
        <v>59</v>
      </c>
      <c r="F3551" s="0" t="s">
        <v>14485</v>
      </c>
    </row>
    <row r="3552" customFormat="false" ht="15" hidden="false" customHeight="false" outlineLevel="0" collapsed="false">
      <c r="A3552" s="0" t="n">
        <v>1183</v>
      </c>
      <c r="B3552" s="0" t="s">
        <v>7980</v>
      </c>
      <c r="C3552" s="0" t="s">
        <v>7982</v>
      </c>
      <c r="E3552" s="0" t="s">
        <v>59</v>
      </c>
      <c r="F3552" s="0" t="s">
        <v>14486</v>
      </c>
    </row>
    <row r="3553" customFormat="false" ht="15" hidden="false" customHeight="false" outlineLevel="0" collapsed="false">
      <c r="A3553" s="0" t="n">
        <v>1183</v>
      </c>
      <c r="B3553" s="0" t="s">
        <v>7980</v>
      </c>
      <c r="C3553" s="0" t="s">
        <v>7983</v>
      </c>
      <c r="E3553" s="0" t="s">
        <v>59</v>
      </c>
      <c r="F3553" s="0" t="s">
        <v>14487</v>
      </c>
    </row>
    <row r="3554" customFormat="false" ht="15" hidden="false" customHeight="false" outlineLevel="0" collapsed="false">
      <c r="A3554" s="0" t="n">
        <v>1183</v>
      </c>
      <c r="B3554" s="0" t="s">
        <v>7980</v>
      </c>
      <c r="C3554" s="0" t="s">
        <v>7984</v>
      </c>
      <c r="E3554" s="0" t="s">
        <v>59</v>
      </c>
      <c r="F3554" s="0" t="s">
        <v>14488</v>
      </c>
    </row>
    <row r="3555" customFormat="false" ht="15" hidden="false" customHeight="false" outlineLevel="0" collapsed="false">
      <c r="A3555" s="0" t="n">
        <v>1183</v>
      </c>
      <c r="B3555" s="0" t="s">
        <v>7980</v>
      </c>
      <c r="C3555" s="0" t="s">
        <v>14489</v>
      </c>
      <c r="E3555" s="0" t="s">
        <v>59</v>
      </c>
      <c r="F3555" s="0" t="s">
        <v>14490</v>
      </c>
    </row>
    <row r="3556" customFormat="false" ht="15" hidden="false" customHeight="false" outlineLevel="0" collapsed="false">
      <c r="A3556" s="0" t="n">
        <v>1183</v>
      </c>
      <c r="B3556" s="0" t="s">
        <v>7980</v>
      </c>
      <c r="C3556" s="0" t="s">
        <v>14491</v>
      </c>
      <c r="E3556" s="0" t="s">
        <v>59</v>
      </c>
      <c r="F3556" s="0" t="s">
        <v>14492</v>
      </c>
    </row>
    <row r="3557" customFormat="false" ht="15" hidden="false" customHeight="false" outlineLevel="0" collapsed="false">
      <c r="A3557" s="0" t="n">
        <v>1184</v>
      </c>
      <c r="B3557" s="0" t="s">
        <v>7985</v>
      </c>
      <c r="C3557" s="0" t="s">
        <v>7987</v>
      </c>
      <c r="E3557" s="0" t="s">
        <v>79</v>
      </c>
      <c r="F3557" s="0" t="s">
        <v>14493</v>
      </c>
    </row>
    <row r="3558" customFormat="false" ht="15" hidden="false" customHeight="false" outlineLevel="0" collapsed="false">
      <c r="A3558" s="0" t="n">
        <v>1184</v>
      </c>
      <c r="B3558" s="0" t="s">
        <v>7985</v>
      </c>
      <c r="C3558" s="0" t="s">
        <v>7988</v>
      </c>
      <c r="E3558" s="0" t="s">
        <v>79</v>
      </c>
      <c r="F3558" s="0" t="s">
        <v>14494</v>
      </c>
    </row>
    <row r="3559" customFormat="false" ht="15" hidden="false" customHeight="false" outlineLevel="0" collapsed="false">
      <c r="A3559" s="0" t="n">
        <v>1184</v>
      </c>
      <c r="B3559" s="0" t="s">
        <v>7985</v>
      </c>
      <c r="C3559" s="0" t="s">
        <v>7989</v>
      </c>
      <c r="E3559" s="0" t="s">
        <v>79</v>
      </c>
      <c r="F3559" s="0" t="s">
        <v>14495</v>
      </c>
    </row>
    <row r="3560" customFormat="false" ht="15" hidden="false" customHeight="false" outlineLevel="0" collapsed="false">
      <c r="A3560" s="0" t="n">
        <v>1184</v>
      </c>
      <c r="B3560" s="0" t="s">
        <v>7985</v>
      </c>
      <c r="C3560" s="0" t="s">
        <v>14496</v>
      </c>
      <c r="E3560" s="0" t="s">
        <v>79</v>
      </c>
      <c r="F3560" s="0" t="s">
        <v>14497</v>
      </c>
    </row>
    <row r="3561" customFormat="false" ht="15" hidden="false" customHeight="false" outlineLevel="0" collapsed="false">
      <c r="A3561" s="0" t="n">
        <v>1184</v>
      </c>
      <c r="B3561" s="0" t="s">
        <v>7985</v>
      </c>
      <c r="C3561" s="0" t="s">
        <v>14498</v>
      </c>
      <c r="E3561" s="0" t="s">
        <v>79</v>
      </c>
      <c r="F3561" s="0" t="s">
        <v>14499</v>
      </c>
    </row>
    <row r="3562" customFormat="false" ht="15" hidden="false" customHeight="false" outlineLevel="0" collapsed="false">
      <c r="A3562" s="0" t="n">
        <v>1185</v>
      </c>
      <c r="B3562" s="0" t="s">
        <v>7990</v>
      </c>
      <c r="C3562" s="0" t="s">
        <v>7993</v>
      </c>
      <c r="E3562" s="0" t="s">
        <v>79</v>
      </c>
      <c r="F3562" s="0" t="s">
        <v>14500</v>
      </c>
    </row>
    <row r="3563" customFormat="false" ht="15" hidden="false" customHeight="false" outlineLevel="0" collapsed="false">
      <c r="A3563" s="0" t="n">
        <v>1185</v>
      </c>
      <c r="B3563" s="0" t="s">
        <v>7990</v>
      </c>
      <c r="C3563" s="0" t="s">
        <v>7994</v>
      </c>
      <c r="E3563" s="0" t="s">
        <v>79</v>
      </c>
      <c r="F3563" s="0" t="s">
        <v>14501</v>
      </c>
    </row>
    <row r="3564" customFormat="false" ht="15" hidden="false" customHeight="false" outlineLevel="0" collapsed="false">
      <c r="A3564" s="0" t="n">
        <v>1185</v>
      </c>
      <c r="B3564" s="0" t="s">
        <v>7990</v>
      </c>
      <c r="C3564" s="0" t="s">
        <v>7995</v>
      </c>
      <c r="E3564" s="0" t="s">
        <v>79</v>
      </c>
      <c r="F3564" s="0" t="s">
        <v>14502</v>
      </c>
    </row>
    <row r="3565" customFormat="false" ht="15" hidden="false" customHeight="false" outlineLevel="0" collapsed="false">
      <c r="A3565" s="0" t="n">
        <v>1185</v>
      </c>
      <c r="B3565" s="0" t="s">
        <v>7990</v>
      </c>
      <c r="C3565" s="0" t="s">
        <v>14503</v>
      </c>
      <c r="E3565" s="0" t="s">
        <v>79</v>
      </c>
      <c r="F3565" s="0" t="s">
        <v>14504</v>
      </c>
    </row>
    <row r="3566" customFormat="false" ht="15" hidden="false" customHeight="false" outlineLevel="0" collapsed="false">
      <c r="A3566" s="0" t="n">
        <v>1185</v>
      </c>
      <c r="B3566" s="0" t="s">
        <v>7990</v>
      </c>
      <c r="C3566" s="0" t="s">
        <v>14505</v>
      </c>
      <c r="E3566" s="0" t="s">
        <v>79</v>
      </c>
      <c r="F3566" s="0" t="s">
        <v>14506</v>
      </c>
    </row>
    <row r="3567" customFormat="false" ht="15" hidden="false" customHeight="false" outlineLevel="0" collapsed="false">
      <c r="A3567" s="0" t="n">
        <v>1186</v>
      </c>
      <c r="B3567" s="0" t="s">
        <v>8000</v>
      </c>
      <c r="C3567" s="0" t="s">
        <v>8003</v>
      </c>
      <c r="E3567" s="0" t="s">
        <v>79</v>
      </c>
      <c r="F3567" s="0" t="s">
        <v>14507</v>
      </c>
    </row>
    <row r="3568" customFormat="false" ht="15" hidden="false" customHeight="false" outlineLevel="0" collapsed="false">
      <c r="A3568" s="0" t="n">
        <v>1186</v>
      </c>
      <c r="B3568" s="0" t="s">
        <v>8000</v>
      </c>
      <c r="C3568" s="0" t="s">
        <v>8004</v>
      </c>
      <c r="E3568" s="0" t="s">
        <v>79</v>
      </c>
      <c r="F3568" s="0" t="s">
        <v>14508</v>
      </c>
    </row>
    <row r="3569" customFormat="false" ht="15" hidden="false" customHeight="false" outlineLevel="0" collapsed="false">
      <c r="A3569" s="0" t="n">
        <v>1187</v>
      </c>
      <c r="B3569" s="0" t="s">
        <v>8008</v>
      </c>
      <c r="C3569" s="0" t="s">
        <v>8011</v>
      </c>
      <c r="E3569" s="0" t="s">
        <v>79</v>
      </c>
      <c r="F3569" s="0" t="s">
        <v>14509</v>
      </c>
    </row>
    <row r="3570" customFormat="false" ht="15" hidden="false" customHeight="false" outlineLevel="0" collapsed="false">
      <c r="A3570" s="0" t="n">
        <v>1187</v>
      </c>
      <c r="B3570" s="0" t="s">
        <v>8008</v>
      </c>
      <c r="C3570" s="0" t="s">
        <v>8012</v>
      </c>
      <c r="E3570" s="0" t="s">
        <v>79</v>
      </c>
      <c r="F3570" s="0" t="s">
        <v>14510</v>
      </c>
    </row>
    <row r="3571" customFormat="false" ht="15" hidden="false" customHeight="false" outlineLevel="0" collapsed="false">
      <c r="A3571" s="0" t="n">
        <v>1187</v>
      </c>
      <c r="B3571" s="0" t="s">
        <v>8008</v>
      </c>
      <c r="C3571" s="0" t="s">
        <v>8013</v>
      </c>
      <c r="E3571" s="0" t="s">
        <v>79</v>
      </c>
      <c r="F3571" s="0" t="s">
        <v>14511</v>
      </c>
    </row>
    <row r="3572" customFormat="false" ht="15" hidden="false" customHeight="false" outlineLevel="0" collapsed="false">
      <c r="A3572" s="0" t="n">
        <v>1187</v>
      </c>
      <c r="B3572" s="0" t="s">
        <v>8008</v>
      </c>
      <c r="C3572" s="0" t="s">
        <v>14512</v>
      </c>
      <c r="E3572" s="0" t="s">
        <v>79</v>
      </c>
      <c r="F3572" s="0" t="s">
        <v>14513</v>
      </c>
    </row>
    <row r="3573" customFormat="false" ht="15" hidden="false" customHeight="false" outlineLevel="0" collapsed="false">
      <c r="A3573" s="0" t="n">
        <v>1187</v>
      </c>
      <c r="B3573" s="0" t="s">
        <v>8008</v>
      </c>
      <c r="C3573" s="0" t="s">
        <v>14514</v>
      </c>
      <c r="E3573" s="0" t="s">
        <v>79</v>
      </c>
      <c r="F3573" s="0" t="s">
        <v>14515</v>
      </c>
    </row>
    <row r="3574" customFormat="false" ht="15" hidden="false" customHeight="false" outlineLevel="0" collapsed="false">
      <c r="A3574" s="0" t="n">
        <v>1188</v>
      </c>
      <c r="B3574" s="0" t="s">
        <v>8018</v>
      </c>
      <c r="C3574" s="0" t="s">
        <v>8020</v>
      </c>
      <c r="E3574" s="0" t="s">
        <v>59</v>
      </c>
      <c r="F3574" s="0" t="s">
        <v>14516</v>
      </c>
    </row>
    <row r="3575" customFormat="false" ht="15" hidden="false" customHeight="false" outlineLevel="0" collapsed="false">
      <c r="A3575" s="0" t="n">
        <v>1188</v>
      </c>
      <c r="B3575" s="0" t="s">
        <v>8018</v>
      </c>
      <c r="C3575" s="0" t="s">
        <v>8021</v>
      </c>
      <c r="E3575" s="0" t="s">
        <v>59</v>
      </c>
      <c r="F3575" s="0" t="s">
        <v>14517</v>
      </c>
    </row>
    <row r="3576" customFormat="false" ht="15" hidden="false" customHeight="false" outlineLevel="0" collapsed="false">
      <c r="A3576" s="0" t="n">
        <v>1188</v>
      </c>
      <c r="B3576" s="0" t="s">
        <v>8018</v>
      </c>
      <c r="C3576" s="0" t="s">
        <v>8022</v>
      </c>
      <c r="E3576" s="0" t="s">
        <v>59</v>
      </c>
      <c r="F3576" s="0" t="s">
        <v>14518</v>
      </c>
    </row>
    <row r="3577" customFormat="false" ht="15" hidden="false" customHeight="false" outlineLevel="0" collapsed="false">
      <c r="A3577" s="0" t="n">
        <v>1188</v>
      </c>
      <c r="B3577" s="0" t="s">
        <v>8018</v>
      </c>
      <c r="C3577" s="0" t="s">
        <v>14519</v>
      </c>
      <c r="E3577" s="0" t="s">
        <v>59</v>
      </c>
      <c r="F3577" s="0" t="s">
        <v>14520</v>
      </c>
    </row>
    <row r="3578" customFormat="false" ht="15" hidden="false" customHeight="false" outlineLevel="0" collapsed="false">
      <c r="A3578" s="0" t="n">
        <v>1188</v>
      </c>
      <c r="B3578" s="0" t="s">
        <v>8018</v>
      </c>
      <c r="C3578" s="0" t="s">
        <v>14521</v>
      </c>
      <c r="E3578" s="0" t="s">
        <v>59</v>
      </c>
      <c r="F3578" s="0" t="s">
        <v>14522</v>
      </c>
    </row>
    <row r="3579" customFormat="false" ht="15" hidden="false" customHeight="false" outlineLevel="0" collapsed="false">
      <c r="A3579" s="0" t="n">
        <v>1189</v>
      </c>
      <c r="B3579" s="0" t="s">
        <v>8023</v>
      </c>
      <c r="C3579" s="0" t="s">
        <v>8026</v>
      </c>
      <c r="E3579" s="0" t="s">
        <v>79</v>
      </c>
      <c r="F3579" s="0" t="s">
        <v>14523</v>
      </c>
    </row>
    <row r="3580" customFormat="false" ht="15" hidden="false" customHeight="false" outlineLevel="0" collapsed="false">
      <c r="A3580" s="0" t="n">
        <v>1189</v>
      </c>
      <c r="B3580" s="0" t="s">
        <v>8023</v>
      </c>
      <c r="C3580" s="0" t="s">
        <v>8027</v>
      </c>
      <c r="E3580" s="0" t="s">
        <v>79</v>
      </c>
      <c r="F3580" s="0" t="s">
        <v>14524</v>
      </c>
    </row>
    <row r="3581" customFormat="false" ht="15" hidden="false" customHeight="false" outlineLevel="0" collapsed="false">
      <c r="A3581" s="0" t="n">
        <v>1189</v>
      </c>
      <c r="B3581" s="0" t="s">
        <v>8023</v>
      </c>
      <c r="C3581" s="0" t="s">
        <v>8028</v>
      </c>
      <c r="E3581" s="0" t="s">
        <v>79</v>
      </c>
      <c r="F3581" s="0" t="s">
        <v>14525</v>
      </c>
    </row>
    <row r="3582" customFormat="false" ht="15" hidden="false" customHeight="false" outlineLevel="0" collapsed="false">
      <c r="A3582" s="0" t="n">
        <v>1189</v>
      </c>
      <c r="B3582" s="0" t="s">
        <v>8023</v>
      </c>
      <c r="C3582" s="0" t="s">
        <v>14526</v>
      </c>
      <c r="E3582" s="0" t="s">
        <v>79</v>
      </c>
      <c r="F3582" s="0" t="s">
        <v>14527</v>
      </c>
    </row>
    <row r="3583" customFormat="false" ht="15" hidden="false" customHeight="false" outlineLevel="0" collapsed="false">
      <c r="A3583" s="0" t="n">
        <v>1189</v>
      </c>
      <c r="B3583" s="0" t="s">
        <v>8023</v>
      </c>
      <c r="C3583" s="0" t="s">
        <v>14528</v>
      </c>
      <c r="E3583" s="0" t="s">
        <v>79</v>
      </c>
      <c r="F3583" s="0" t="s">
        <v>14529</v>
      </c>
    </row>
    <row r="3584" customFormat="false" ht="15" hidden="false" customHeight="false" outlineLevel="0" collapsed="false">
      <c r="A3584" s="0" t="n">
        <v>1190</v>
      </c>
      <c r="B3584" s="0" t="s">
        <v>8031</v>
      </c>
      <c r="C3584" s="0" t="s">
        <v>8036</v>
      </c>
      <c r="E3584" s="0" t="s">
        <v>79</v>
      </c>
      <c r="F3584" s="0" t="s">
        <v>14530</v>
      </c>
    </row>
    <row r="3585" customFormat="false" ht="15" hidden="false" customHeight="false" outlineLevel="0" collapsed="false">
      <c r="A3585" s="0" t="n">
        <v>1190</v>
      </c>
      <c r="B3585" s="0" t="s">
        <v>8031</v>
      </c>
      <c r="C3585" s="0" t="s">
        <v>8037</v>
      </c>
      <c r="E3585" s="0" t="s">
        <v>79</v>
      </c>
      <c r="F3585" s="0" t="s">
        <v>14531</v>
      </c>
    </row>
    <row r="3586" customFormat="false" ht="15" hidden="false" customHeight="false" outlineLevel="0" collapsed="false">
      <c r="A3586" s="0" t="n">
        <v>1190</v>
      </c>
      <c r="B3586" s="0" t="s">
        <v>8031</v>
      </c>
      <c r="C3586" s="0" t="s">
        <v>8038</v>
      </c>
      <c r="E3586" s="0" t="s">
        <v>79</v>
      </c>
      <c r="F3586" s="0" t="s">
        <v>14532</v>
      </c>
    </row>
    <row r="3587" customFormat="false" ht="15" hidden="false" customHeight="false" outlineLevel="0" collapsed="false">
      <c r="A3587" s="0" t="n">
        <v>1190</v>
      </c>
      <c r="B3587" s="0" t="s">
        <v>8031</v>
      </c>
      <c r="C3587" s="0" t="s">
        <v>14533</v>
      </c>
      <c r="E3587" s="0" t="s">
        <v>79</v>
      </c>
      <c r="F3587" s="0" t="s">
        <v>14534</v>
      </c>
    </row>
    <row r="3588" customFormat="false" ht="15" hidden="false" customHeight="false" outlineLevel="0" collapsed="false">
      <c r="A3588" s="0" t="n">
        <v>1190</v>
      </c>
      <c r="B3588" s="0" t="s">
        <v>8031</v>
      </c>
      <c r="C3588" s="0" t="s">
        <v>14535</v>
      </c>
      <c r="E3588" s="0" t="s">
        <v>79</v>
      </c>
      <c r="F3588" s="0" t="s">
        <v>14536</v>
      </c>
    </row>
    <row r="3589" customFormat="false" ht="15" hidden="false" customHeight="false" outlineLevel="0" collapsed="false">
      <c r="A3589" s="0" t="n">
        <v>1191</v>
      </c>
      <c r="B3589" s="0" t="s">
        <v>8043</v>
      </c>
      <c r="C3589" s="0" t="s">
        <v>8045</v>
      </c>
      <c r="E3589" s="0" t="s">
        <v>79</v>
      </c>
      <c r="F3589" s="0" t="s">
        <v>14537</v>
      </c>
    </row>
    <row r="3590" customFormat="false" ht="15" hidden="false" customHeight="false" outlineLevel="0" collapsed="false">
      <c r="A3590" s="0" t="n">
        <v>1191</v>
      </c>
      <c r="B3590" s="0" t="s">
        <v>8043</v>
      </c>
      <c r="C3590" s="0" t="s">
        <v>8046</v>
      </c>
      <c r="E3590" s="0" t="s">
        <v>79</v>
      </c>
      <c r="F3590" s="0" t="s">
        <v>14538</v>
      </c>
    </row>
    <row r="3591" customFormat="false" ht="15" hidden="false" customHeight="false" outlineLevel="0" collapsed="false">
      <c r="A3591" s="0" t="n">
        <v>1191</v>
      </c>
      <c r="B3591" s="0" t="s">
        <v>8043</v>
      </c>
      <c r="C3591" s="0" t="s">
        <v>8047</v>
      </c>
      <c r="E3591" s="0" t="s">
        <v>79</v>
      </c>
      <c r="F3591" s="0" t="s">
        <v>14539</v>
      </c>
    </row>
    <row r="3592" customFormat="false" ht="15" hidden="false" customHeight="false" outlineLevel="0" collapsed="false">
      <c r="A3592" s="0" t="n">
        <v>1191</v>
      </c>
      <c r="B3592" s="0" t="s">
        <v>8043</v>
      </c>
      <c r="C3592" s="0" t="s">
        <v>14540</v>
      </c>
      <c r="E3592" s="0" t="s">
        <v>79</v>
      </c>
      <c r="F3592" s="0" t="s">
        <v>14541</v>
      </c>
    </row>
    <row r="3593" customFormat="false" ht="15" hidden="false" customHeight="false" outlineLevel="0" collapsed="false">
      <c r="A3593" s="0" t="n">
        <v>1191</v>
      </c>
      <c r="B3593" s="0" t="s">
        <v>8043</v>
      </c>
      <c r="C3593" s="0" t="s">
        <v>14542</v>
      </c>
      <c r="E3593" s="0" t="s">
        <v>79</v>
      </c>
      <c r="F3593" s="0" t="s">
        <v>14543</v>
      </c>
    </row>
    <row r="3594" customFormat="false" ht="15" hidden="false" customHeight="false" outlineLevel="0" collapsed="false">
      <c r="A3594" s="0" t="n">
        <v>1192</v>
      </c>
      <c r="B3594" s="0" t="s">
        <v>8048</v>
      </c>
      <c r="C3594" s="0" t="s">
        <v>8051</v>
      </c>
      <c r="E3594" s="0" t="s">
        <v>79</v>
      </c>
      <c r="F3594" s="0" t="s">
        <v>14544</v>
      </c>
    </row>
    <row r="3595" customFormat="false" ht="15" hidden="false" customHeight="false" outlineLevel="0" collapsed="false">
      <c r="A3595" s="0" t="n">
        <v>1192</v>
      </c>
      <c r="B3595" s="0" t="s">
        <v>8048</v>
      </c>
      <c r="C3595" s="0" t="s">
        <v>8052</v>
      </c>
      <c r="E3595" s="0" t="s">
        <v>79</v>
      </c>
      <c r="F3595" s="0" t="s">
        <v>14545</v>
      </c>
    </row>
    <row r="3596" customFormat="false" ht="15" hidden="false" customHeight="false" outlineLevel="0" collapsed="false">
      <c r="A3596" s="0" t="n">
        <v>1192</v>
      </c>
      <c r="B3596" s="0" t="s">
        <v>8048</v>
      </c>
      <c r="C3596" s="0" t="s">
        <v>8053</v>
      </c>
      <c r="E3596" s="0" t="s">
        <v>79</v>
      </c>
      <c r="F3596" s="0" t="s">
        <v>14546</v>
      </c>
    </row>
    <row r="3597" customFormat="false" ht="15" hidden="false" customHeight="false" outlineLevel="0" collapsed="false">
      <c r="A3597" s="0" t="n">
        <v>1192</v>
      </c>
      <c r="B3597" s="0" t="s">
        <v>8048</v>
      </c>
      <c r="C3597" s="0" t="s">
        <v>14547</v>
      </c>
      <c r="E3597" s="0" t="s">
        <v>79</v>
      </c>
      <c r="F3597" s="0" t="s">
        <v>14548</v>
      </c>
    </row>
    <row r="3598" customFormat="false" ht="15" hidden="false" customHeight="false" outlineLevel="0" collapsed="false">
      <c r="A3598" s="0" t="n">
        <v>1192</v>
      </c>
      <c r="B3598" s="0" t="s">
        <v>8048</v>
      </c>
      <c r="C3598" s="0" t="s">
        <v>14549</v>
      </c>
      <c r="E3598" s="0" t="s">
        <v>79</v>
      </c>
      <c r="F3598" s="0" t="s">
        <v>14550</v>
      </c>
    </row>
    <row r="3599" customFormat="false" ht="15" hidden="false" customHeight="false" outlineLevel="0" collapsed="false">
      <c r="A3599" s="0" t="n">
        <v>1193</v>
      </c>
      <c r="B3599" s="0" t="s">
        <v>8058</v>
      </c>
      <c r="C3599" s="0" t="s">
        <v>8061</v>
      </c>
      <c r="E3599" s="0" t="s">
        <v>79</v>
      </c>
      <c r="F3599" s="0" t="s">
        <v>14551</v>
      </c>
    </row>
    <row r="3600" customFormat="false" ht="15" hidden="false" customHeight="false" outlineLevel="0" collapsed="false">
      <c r="A3600" s="0" t="n">
        <v>1193</v>
      </c>
      <c r="B3600" s="0" t="s">
        <v>8058</v>
      </c>
      <c r="C3600" s="0" t="s">
        <v>8062</v>
      </c>
      <c r="E3600" s="0" t="s">
        <v>79</v>
      </c>
      <c r="F3600" s="0" t="s">
        <v>14552</v>
      </c>
    </row>
    <row r="3601" customFormat="false" ht="15" hidden="false" customHeight="false" outlineLevel="0" collapsed="false">
      <c r="A3601" s="0" t="n">
        <v>1193</v>
      </c>
      <c r="B3601" s="0" t="s">
        <v>8058</v>
      </c>
      <c r="C3601" s="0" t="s">
        <v>8063</v>
      </c>
      <c r="E3601" s="0" t="s">
        <v>79</v>
      </c>
      <c r="F3601" s="0" t="s">
        <v>14553</v>
      </c>
    </row>
    <row r="3602" customFormat="false" ht="15" hidden="false" customHeight="false" outlineLevel="0" collapsed="false">
      <c r="A3602" s="0" t="n">
        <v>1193</v>
      </c>
      <c r="B3602" s="0" t="s">
        <v>8058</v>
      </c>
      <c r="C3602" s="0" t="s">
        <v>14554</v>
      </c>
      <c r="E3602" s="0" t="s">
        <v>79</v>
      </c>
      <c r="F3602" s="0" t="s">
        <v>14555</v>
      </c>
    </row>
    <row r="3603" customFormat="false" ht="15" hidden="false" customHeight="false" outlineLevel="0" collapsed="false">
      <c r="A3603" s="0" t="n">
        <v>1193</v>
      </c>
      <c r="B3603" s="0" t="s">
        <v>8058</v>
      </c>
      <c r="C3603" s="0" t="s">
        <v>14556</v>
      </c>
      <c r="E3603" s="0" t="s">
        <v>79</v>
      </c>
      <c r="F3603" s="0" t="s">
        <v>14557</v>
      </c>
    </row>
    <row r="3604" customFormat="false" ht="15" hidden="false" customHeight="false" outlineLevel="0" collapsed="false">
      <c r="A3604" s="0" t="n">
        <v>1194</v>
      </c>
      <c r="B3604" s="0" t="s">
        <v>8068</v>
      </c>
      <c r="C3604" s="0" t="s">
        <v>8072</v>
      </c>
      <c r="E3604" s="0" t="s">
        <v>59</v>
      </c>
      <c r="F3604" s="0" t="s">
        <v>14558</v>
      </c>
    </row>
    <row r="3605" customFormat="false" ht="15" hidden="false" customHeight="false" outlineLevel="0" collapsed="false">
      <c r="A3605" s="0" t="n">
        <v>1194</v>
      </c>
      <c r="B3605" s="0" t="s">
        <v>8068</v>
      </c>
      <c r="C3605" s="0" t="s">
        <v>8073</v>
      </c>
      <c r="E3605" s="0" t="s">
        <v>59</v>
      </c>
      <c r="F3605" s="0" t="s">
        <v>14559</v>
      </c>
    </row>
    <row r="3606" customFormat="false" ht="15" hidden="false" customHeight="false" outlineLevel="0" collapsed="false">
      <c r="A3606" s="0" t="n">
        <v>1194</v>
      </c>
      <c r="B3606" s="0" t="s">
        <v>8068</v>
      </c>
      <c r="C3606" s="0" t="s">
        <v>8074</v>
      </c>
      <c r="E3606" s="0" t="s">
        <v>59</v>
      </c>
      <c r="F3606" s="0" t="s">
        <v>14560</v>
      </c>
    </row>
    <row r="3607" customFormat="false" ht="15" hidden="false" customHeight="false" outlineLevel="0" collapsed="false">
      <c r="A3607" s="0" t="n">
        <v>1194</v>
      </c>
      <c r="B3607" s="0" t="s">
        <v>8068</v>
      </c>
      <c r="C3607" s="0" t="s">
        <v>14561</v>
      </c>
      <c r="E3607" s="0" t="s">
        <v>59</v>
      </c>
      <c r="F3607" s="0" t="s">
        <v>14562</v>
      </c>
    </row>
    <row r="3608" customFormat="false" ht="15" hidden="false" customHeight="false" outlineLevel="0" collapsed="false">
      <c r="A3608" s="0" t="n">
        <v>1194</v>
      </c>
      <c r="B3608" s="0" t="s">
        <v>8068</v>
      </c>
      <c r="C3608" s="0" t="s">
        <v>14563</v>
      </c>
      <c r="E3608" s="0" t="s">
        <v>59</v>
      </c>
      <c r="F3608" s="0" t="s">
        <v>14564</v>
      </c>
    </row>
    <row r="3609" customFormat="false" ht="15" hidden="false" customHeight="false" outlineLevel="0" collapsed="false">
      <c r="A3609" s="0" t="n">
        <v>1195</v>
      </c>
      <c r="B3609" s="0" t="s">
        <v>8075</v>
      </c>
      <c r="C3609" s="0" t="s">
        <v>8078</v>
      </c>
      <c r="E3609" s="0" t="s">
        <v>79</v>
      </c>
      <c r="F3609" s="0" t="s">
        <v>14565</v>
      </c>
    </row>
    <row r="3610" customFormat="false" ht="15" hidden="false" customHeight="false" outlineLevel="0" collapsed="false">
      <c r="A3610" s="0" t="n">
        <v>1195</v>
      </c>
      <c r="B3610" s="0" t="s">
        <v>8075</v>
      </c>
      <c r="C3610" s="0" t="s">
        <v>8079</v>
      </c>
      <c r="E3610" s="0" t="s">
        <v>79</v>
      </c>
      <c r="F3610" s="0" t="s">
        <v>14566</v>
      </c>
    </row>
    <row r="3611" customFormat="false" ht="15" hidden="false" customHeight="false" outlineLevel="0" collapsed="false">
      <c r="A3611" s="0" t="n">
        <v>1195</v>
      </c>
      <c r="B3611" s="0" t="s">
        <v>8075</v>
      </c>
      <c r="C3611" s="0" t="s">
        <v>8080</v>
      </c>
      <c r="E3611" s="0" t="s">
        <v>79</v>
      </c>
      <c r="F3611" s="0" t="s">
        <v>14567</v>
      </c>
    </row>
    <row r="3612" customFormat="false" ht="15" hidden="false" customHeight="false" outlineLevel="0" collapsed="false">
      <c r="A3612" s="0" t="n">
        <v>1195</v>
      </c>
      <c r="B3612" s="0" t="s">
        <v>8075</v>
      </c>
      <c r="C3612" s="0" t="s">
        <v>14568</v>
      </c>
      <c r="E3612" s="0" t="s">
        <v>79</v>
      </c>
      <c r="F3612" s="0" t="s">
        <v>14569</v>
      </c>
    </row>
    <row r="3613" customFormat="false" ht="15" hidden="false" customHeight="false" outlineLevel="0" collapsed="false">
      <c r="A3613" s="0" t="n">
        <v>1195</v>
      </c>
      <c r="B3613" s="0" t="s">
        <v>8075</v>
      </c>
      <c r="C3613" s="0" t="s">
        <v>14570</v>
      </c>
      <c r="E3613" s="0" t="s">
        <v>79</v>
      </c>
      <c r="F3613" s="0" t="s">
        <v>14571</v>
      </c>
    </row>
    <row r="3614" customFormat="false" ht="15" hidden="false" customHeight="false" outlineLevel="0" collapsed="false">
      <c r="A3614" s="0" t="n">
        <v>1196</v>
      </c>
      <c r="B3614" s="0" t="s">
        <v>8083</v>
      </c>
      <c r="C3614" s="0" t="s">
        <v>8085</v>
      </c>
      <c r="E3614" s="0" t="s">
        <v>79</v>
      </c>
      <c r="F3614" s="0" t="s">
        <v>14572</v>
      </c>
    </row>
    <row r="3615" customFormat="false" ht="15" hidden="false" customHeight="false" outlineLevel="0" collapsed="false">
      <c r="A3615" s="0" t="n">
        <v>1196</v>
      </c>
      <c r="B3615" s="0" t="s">
        <v>8083</v>
      </c>
      <c r="C3615" s="0" t="s">
        <v>8086</v>
      </c>
      <c r="E3615" s="0" t="s">
        <v>79</v>
      </c>
      <c r="F3615" s="0" t="s">
        <v>14573</v>
      </c>
    </row>
    <row r="3616" customFormat="false" ht="15" hidden="false" customHeight="false" outlineLevel="0" collapsed="false">
      <c r="A3616" s="0" t="n">
        <v>1196</v>
      </c>
      <c r="B3616" s="0" t="s">
        <v>8083</v>
      </c>
      <c r="C3616" s="0" t="s">
        <v>8087</v>
      </c>
      <c r="E3616" s="0" t="s">
        <v>79</v>
      </c>
      <c r="F3616" s="0" t="s">
        <v>14574</v>
      </c>
    </row>
    <row r="3617" customFormat="false" ht="15" hidden="false" customHeight="false" outlineLevel="0" collapsed="false">
      <c r="A3617" s="0" t="n">
        <v>1196</v>
      </c>
      <c r="B3617" s="0" t="s">
        <v>8083</v>
      </c>
      <c r="C3617" s="0" t="s">
        <v>14575</v>
      </c>
      <c r="E3617" s="0" t="s">
        <v>79</v>
      </c>
      <c r="F3617" s="0" t="s">
        <v>14576</v>
      </c>
    </row>
    <row r="3618" customFormat="false" ht="15" hidden="false" customHeight="false" outlineLevel="0" collapsed="false">
      <c r="A3618" s="0" t="n">
        <v>1196</v>
      </c>
      <c r="B3618" s="0" t="s">
        <v>8083</v>
      </c>
      <c r="C3618" s="0" t="s">
        <v>14577</v>
      </c>
      <c r="E3618" s="0" t="s">
        <v>79</v>
      </c>
      <c r="F3618" s="0" t="s">
        <v>14578</v>
      </c>
    </row>
    <row r="3619" customFormat="false" ht="15" hidden="false" customHeight="false" outlineLevel="0" collapsed="false">
      <c r="A3619" s="0" t="n">
        <v>1197</v>
      </c>
      <c r="B3619" s="0" t="s">
        <v>8088</v>
      </c>
      <c r="C3619" s="0" t="s">
        <v>8091</v>
      </c>
      <c r="E3619" s="0" t="s">
        <v>79</v>
      </c>
      <c r="F3619" s="0" t="s">
        <v>14579</v>
      </c>
    </row>
    <row r="3620" customFormat="false" ht="15" hidden="false" customHeight="false" outlineLevel="0" collapsed="false">
      <c r="A3620" s="0" t="n">
        <v>1197</v>
      </c>
      <c r="B3620" s="0" t="s">
        <v>8088</v>
      </c>
      <c r="C3620" s="0" t="s">
        <v>8092</v>
      </c>
      <c r="E3620" s="0" t="s">
        <v>79</v>
      </c>
      <c r="F3620" s="0" t="s">
        <v>14580</v>
      </c>
    </row>
    <row r="3621" customFormat="false" ht="15" hidden="false" customHeight="false" outlineLevel="0" collapsed="false">
      <c r="A3621" s="0" t="n">
        <v>1197</v>
      </c>
      <c r="B3621" s="0" t="s">
        <v>8088</v>
      </c>
      <c r="C3621" s="0" t="s">
        <v>8093</v>
      </c>
      <c r="E3621" s="0" t="s">
        <v>79</v>
      </c>
      <c r="F3621" s="0" t="s">
        <v>14581</v>
      </c>
    </row>
    <row r="3622" customFormat="false" ht="15" hidden="false" customHeight="false" outlineLevel="0" collapsed="false">
      <c r="A3622" s="0" t="n">
        <v>1197</v>
      </c>
      <c r="B3622" s="0" t="s">
        <v>8088</v>
      </c>
      <c r="C3622" s="0" t="s">
        <v>14582</v>
      </c>
      <c r="E3622" s="0" t="s">
        <v>79</v>
      </c>
      <c r="F3622" s="0" t="s">
        <v>14583</v>
      </c>
    </row>
    <row r="3623" customFormat="false" ht="15" hidden="false" customHeight="false" outlineLevel="0" collapsed="false">
      <c r="A3623" s="0" t="n">
        <v>1197</v>
      </c>
      <c r="B3623" s="0" t="s">
        <v>8088</v>
      </c>
      <c r="C3623" s="0" t="s">
        <v>14584</v>
      </c>
      <c r="E3623" s="0" t="s">
        <v>79</v>
      </c>
      <c r="F3623" s="0" t="s">
        <v>14585</v>
      </c>
    </row>
    <row r="3624" customFormat="false" ht="15" hidden="false" customHeight="false" outlineLevel="0" collapsed="false">
      <c r="A3624" s="0" t="n">
        <v>1199</v>
      </c>
      <c r="B3624" s="0" t="s">
        <v>8100</v>
      </c>
      <c r="C3624" s="0" t="s">
        <v>8102</v>
      </c>
      <c r="E3624" s="0" t="s">
        <v>79</v>
      </c>
      <c r="F3624" s="0" t="s">
        <v>14586</v>
      </c>
    </row>
    <row r="3625" customFormat="false" ht="15" hidden="false" customHeight="false" outlineLevel="0" collapsed="false">
      <c r="A3625" s="0" t="n">
        <v>1199</v>
      </c>
      <c r="B3625" s="0" t="s">
        <v>8100</v>
      </c>
      <c r="C3625" s="0" t="s">
        <v>8103</v>
      </c>
      <c r="E3625" s="0" t="s">
        <v>79</v>
      </c>
      <c r="F3625" s="0" t="s">
        <v>14587</v>
      </c>
    </row>
    <row r="3626" customFormat="false" ht="15" hidden="false" customHeight="false" outlineLevel="0" collapsed="false">
      <c r="A3626" s="0" t="n">
        <v>1199</v>
      </c>
      <c r="B3626" s="0" t="s">
        <v>8100</v>
      </c>
      <c r="C3626" s="0" t="s">
        <v>8104</v>
      </c>
      <c r="E3626" s="0" t="s">
        <v>79</v>
      </c>
      <c r="F3626" s="0" t="s">
        <v>14588</v>
      </c>
    </row>
    <row r="3627" customFormat="false" ht="15" hidden="false" customHeight="false" outlineLevel="0" collapsed="false">
      <c r="A3627" s="0" t="n">
        <v>1199</v>
      </c>
      <c r="B3627" s="0" t="s">
        <v>8100</v>
      </c>
      <c r="C3627" s="0" t="s">
        <v>14589</v>
      </c>
      <c r="E3627" s="0" t="s">
        <v>79</v>
      </c>
      <c r="F3627" s="0" t="s">
        <v>14590</v>
      </c>
    </row>
    <row r="3628" customFormat="false" ht="15" hidden="false" customHeight="false" outlineLevel="0" collapsed="false">
      <c r="A3628" s="0" t="n">
        <v>1199</v>
      </c>
      <c r="B3628" s="0" t="s">
        <v>8100</v>
      </c>
      <c r="C3628" s="0" t="s">
        <v>14591</v>
      </c>
      <c r="E3628" s="0" t="s">
        <v>79</v>
      </c>
      <c r="F3628" s="0" t="s">
        <v>14592</v>
      </c>
    </row>
    <row r="3629" customFormat="false" ht="15" hidden="false" customHeight="false" outlineLevel="0" collapsed="false">
      <c r="A3629" s="0" t="n">
        <v>1200</v>
      </c>
      <c r="B3629" s="0" t="s">
        <v>8107</v>
      </c>
      <c r="C3629" s="0" t="s">
        <v>8110</v>
      </c>
      <c r="E3629" s="0" t="s">
        <v>79</v>
      </c>
      <c r="F3629" s="0" t="s">
        <v>14593</v>
      </c>
    </row>
    <row r="3630" customFormat="false" ht="15" hidden="false" customHeight="false" outlineLevel="0" collapsed="false">
      <c r="A3630" s="0" t="n">
        <v>1200</v>
      </c>
      <c r="B3630" s="0" t="s">
        <v>8107</v>
      </c>
      <c r="C3630" s="0" t="s">
        <v>8111</v>
      </c>
      <c r="E3630" s="0" t="s">
        <v>79</v>
      </c>
      <c r="F3630" s="0" t="s">
        <v>14594</v>
      </c>
    </row>
    <row r="3631" customFormat="false" ht="15" hidden="false" customHeight="false" outlineLevel="0" collapsed="false">
      <c r="A3631" s="0" t="n">
        <v>1200</v>
      </c>
      <c r="B3631" s="0" t="s">
        <v>8107</v>
      </c>
      <c r="C3631" s="0" t="s">
        <v>8112</v>
      </c>
      <c r="E3631" s="0" t="s">
        <v>79</v>
      </c>
      <c r="F3631" s="0" t="s">
        <v>14595</v>
      </c>
    </row>
    <row r="3632" customFormat="false" ht="15" hidden="false" customHeight="false" outlineLevel="0" collapsed="false">
      <c r="A3632" s="0" t="n">
        <v>1200</v>
      </c>
      <c r="B3632" s="0" t="s">
        <v>8107</v>
      </c>
      <c r="C3632" s="0" t="s">
        <v>14596</v>
      </c>
      <c r="E3632" s="0" t="s">
        <v>79</v>
      </c>
      <c r="F3632" s="0" t="s">
        <v>14597</v>
      </c>
    </row>
    <row r="3633" customFormat="false" ht="15" hidden="false" customHeight="false" outlineLevel="0" collapsed="false">
      <c r="A3633" s="0" t="n">
        <v>1200</v>
      </c>
      <c r="B3633" s="0" t="s">
        <v>8107</v>
      </c>
      <c r="C3633" s="0" t="s">
        <v>14598</v>
      </c>
      <c r="E3633" s="0" t="s">
        <v>79</v>
      </c>
      <c r="F3633" s="0" t="s">
        <v>14599</v>
      </c>
    </row>
    <row r="3634" customFormat="false" ht="15" hidden="false" customHeight="false" outlineLevel="0" collapsed="false">
      <c r="A3634" s="0" t="n">
        <v>1201</v>
      </c>
      <c r="B3634" s="0" t="s">
        <v>8117</v>
      </c>
      <c r="C3634" s="0" t="s">
        <v>8119</v>
      </c>
      <c r="E3634" s="0" t="s">
        <v>79</v>
      </c>
      <c r="F3634" s="0" t="s">
        <v>14600</v>
      </c>
    </row>
    <row r="3635" customFormat="false" ht="15" hidden="false" customHeight="false" outlineLevel="0" collapsed="false">
      <c r="A3635" s="0" t="n">
        <v>1201</v>
      </c>
      <c r="B3635" s="0" t="s">
        <v>8117</v>
      </c>
      <c r="C3635" s="0" t="s">
        <v>8120</v>
      </c>
      <c r="E3635" s="0" t="s">
        <v>79</v>
      </c>
      <c r="F3635" s="0" t="s">
        <v>14601</v>
      </c>
    </row>
    <row r="3636" customFormat="false" ht="15" hidden="false" customHeight="false" outlineLevel="0" collapsed="false">
      <c r="A3636" s="0" t="n">
        <v>1202</v>
      </c>
      <c r="B3636" s="0" t="s">
        <v>8121</v>
      </c>
      <c r="C3636" s="0" t="s">
        <v>8123</v>
      </c>
      <c r="E3636" s="0" t="s">
        <v>59</v>
      </c>
      <c r="F3636" s="0" t="s">
        <v>14602</v>
      </c>
    </row>
    <row r="3637" customFormat="false" ht="15" hidden="false" customHeight="false" outlineLevel="0" collapsed="false">
      <c r="A3637" s="0" t="n">
        <v>1202</v>
      </c>
      <c r="B3637" s="0" t="s">
        <v>8121</v>
      </c>
      <c r="C3637" s="0" t="s">
        <v>8124</v>
      </c>
      <c r="E3637" s="0" t="s">
        <v>59</v>
      </c>
      <c r="F3637" s="0" t="s">
        <v>14603</v>
      </c>
    </row>
    <row r="3638" customFormat="false" ht="15" hidden="false" customHeight="false" outlineLevel="0" collapsed="false">
      <c r="A3638" s="0" t="n">
        <v>1202</v>
      </c>
      <c r="B3638" s="0" t="s">
        <v>8121</v>
      </c>
      <c r="C3638" s="0" t="s">
        <v>8125</v>
      </c>
      <c r="E3638" s="0" t="s">
        <v>59</v>
      </c>
      <c r="F3638" s="0" t="s">
        <v>14604</v>
      </c>
    </row>
    <row r="3639" customFormat="false" ht="15" hidden="false" customHeight="false" outlineLevel="0" collapsed="false">
      <c r="A3639" s="0" t="n">
        <v>1202</v>
      </c>
      <c r="B3639" s="0" t="s">
        <v>8121</v>
      </c>
      <c r="C3639" s="0" t="s">
        <v>14605</v>
      </c>
      <c r="E3639" s="0" t="s">
        <v>59</v>
      </c>
      <c r="F3639" s="0" t="s">
        <v>14606</v>
      </c>
    </row>
    <row r="3640" customFormat="false" ht="15" hidden="false" customHeight="false" outlineLevel="0" collapsed="false">
      <c r="A3640" s="0" t="n">
        <v>1202</v>
      </c>
      <c r="B3640" s="0" t="s">
        <v>8121</v>
      </c>
      <c r="C3640" s="0" t="s">
        <v>14607</v>
      </c>
      <c r="E3640" s="0" t="s">
        <v>59</v>
      </c>
      <c r="F3640" s="0" t="s">
        <v>14608</v>
      </c>
    </row>
    <row r="3641" customFormat="false" ht="15" hidden="false" customHeight="false" outlineLevel="0" collapsed="false">
      <c r="A3641" s="0" t="n">
        <v>1204</v>
      </c>
      <c r="B3641" s="0" t="s">
        <v>8131</v>
      </c>
      <c r="C3641" s="0" t="s">
        <v>8134</v>
      </c>
      <c r="E3641" s="0" t="s">
        <v>79</v>
      </c>
      <c r="F3641" s="0" t="s">
        <v>14609</v>
      </c>
    </row>
    <row r="3642" customFormat="false" ht="15" hidden="false" customHeight="false" outlineLevel="0" collapsed="false">
      <c r="A3642" s="0" t="n">
        <v>1204</v>
      </c>
      <c r="B3642" s="0" t="s">
        <v>8131</v>
      </c>
      <c r="C3642" s="0" t="s">
        <v>8135</v>
      </c>
      <c r="E3642" s="0" t="s">
        <v>79</v>
      </c>
      <c r="F3642" s="0" t="s">
        <v>14610</v>
      </c>
    </row>
    <row r="3643" customFormat="false" ht="15" hidden="false" customHeight="false" outlineLevel="0" collapsed="false">
      <c r="A3643" s="0" t="n">
        <v>1204</v>
      </c>
      <c r="B3643" s="0" t="s">
        <v>8131</v>
      </c>
      <c r="C3643" s="0" t="s">
        <v>8136</v>
      </c>
      <c r="E3643" s="0" t="s">
        <v>79</v>
      </c>
      <c r="F3643" s="0" t="s">
        <v>14611</v>
      </c>
    </row>
    <row r="3644" customFormat="false" ht="15" hidden="false" customHeight="false" outlineLevel="0" collapsed="false">
      <c r="A3644" s="0" t="n">
        <v>1204</v>
      </c>
      <c r="B3644" s="0" t="s">
        <v>8131</v>
      </c>
      <c r="C3644" s="0" t="s">
        <v>14612</v>
      </c>
      <c r="E3644" s="0" t="s">
        <v>79</v>
      </c>
      <c r="F3644" s="0" t="s">
        <v>14613</v>
      </c>
    </row>
    <row r="3645" customFormat="false" ht="15" hidden="false" customHeight="false" outlineLevel="0" collapsed="false">
      <c r="A3645" s="0" t="n">
        <v>1207</v>
      </c>
      <c r="B3645" s="0" t="s">
        <v>8147</v>
      </c>
      <c r="C3645" s="0" t="s">
        <v>8149</v>
      </c>
      <c r="E3645" s="0" t="s">
        <v>79</v>
      </c>
      <c r="F3645" s="0" t="s">
        <v>14614</v>
      </c>
    </row>
    <row r="3646" customFormat="false" ht="15" hidden="false" customHeight="false" outlineLevel="0" collapsed="false">
      <c r="A3646" s="0" t="n">
        <v>1207</v>
      </c>
      <c r="B3646" s="0" t="s">
        <v>8147</v>
      </c>
      <c r="C3646" s="0" t="s">
        <v>8150</v>
      </c>
      <c r="E3646" s="0" t="s">
        <v>79</v>
      </c>
      <c r="F3646" s="0" t="s">
        <v>14615</v>
      </c>
    </row>
    <row r="3647" customFormat="false" ht="15" hidden="false" customHeight="false" outlineLevel="0" collapsed="false">
      <c r="A3647" s="0" t="n">
        <v>1207</v>
      </c>
      <c r="B3647" s="0" t="s">
        <v>8147</v>
      </c>
      <c r="C3647" s="0" t="s">
        <v>8151</v>
      </c>
      <c r="E3647" s="0" t="s">
        <v>79</v>
      </c>
      <c r="F3647" s="0" t="s">
        <v>14616</v>
      </c>
    </row>
    <row r="3648" customFormat="false" ht="15" hidden="false" customHeight="false" outlineLevel="0" collapsed="false">
      <c r="A3648" s="0" t="n">
        <v>1207</v>
      </c>
      <c r="B3648" s="0" t="s">
        <v>8147</v>
      </c>
      <c r="C3648" s="0" t="s">
        <v>14617</v>
      </c>
      <c r="E3648" s="0" t="s">
        <v>79</v>
      </c>
      <c r="F3648" s="0" t="s">
        <v>14618</v>
      </c>
    </row>
    <row r="3649" customFormat="false" ht="15" hidden="false" customHeight="false" outlineLevel="0" collapsed="false">
      <c r="A3649" s="0" t="n">
        <v>1207</v>
      </c>
      <c r="B3649" s="0" t="s">
        <v>8147</v>
      </c>
      <c r="C3649" s="0" t="s">
        <v>14619</v>
      </c>
      <c r="E3649" s="0" t="s">
        <v>79</v>
      </c>
      <c r="F3649" s="0" t="s">
        <v>14620</v>
      </c>
    </row>
    <row r="3650" customFormat="false" ht="15" hidden="false" customHeight="false" outlineLevel="0" collapsed="false">
      <c r="A3650" s="0" t="n">
        <v>1208</v>
      </c>
      <c r="B3650" s="0" t="s">
        <v>8152</v>
      </c>
      <c r="C3650" s="0" t="s">
        <v>8155</v>
      </c>
      <c r="E3650" s="0" t="s">
        <v>79</v>
      </c>
      <c r="F3650" s="0" t="s">
        <v>14621</v>
      </c>
    </row>
    <row r="3651" customFormat="false" ht="15" hidden="false" customHeight="false" outlineLevel="0" collapsed="false">
      <c r="A3651" s="0" t="n">
        <v>1208</v>
      </c>
      <c r="B3651" s="0" t="s">
        <v>8152</v>
      </c>
      <c r="C3651" s="0" t="s">
        <v>8156</v>
      </c>
      <c r="E3651" s="0" t="s">
        <v>79</v>
      </c>
      <c r="F3651" s="0" t="s">
        <v>14622</v>
      </c>
    </row>
    <row r="3652" customFormat="false" ht="15" hidden="false" customHeight="false" outlineLevel="0" collapsed="false">
      <c r="A3652" s="0" t="n">
        <v>1208</v>
      </c>
      <c r="B3652" s="0" t="s">
        <v>8152</v>
      </c>
      <c r="C3652" s="0" t="s">
        <v>8157</v>
      </c>
      <c r="E3652" s="0" t="s">
        <v>79</v>
      </c>
      <c r="F3652" s="0" t="s">
        <v>14623</v>
      </c>
    </row>
    <row r="3653" customFormat="false" ht="15" hidden="false" customHeight="false" outlineLevel="0" collapsed="false">
      <c r="A3653" s="0" t="n">
        <v>1208</v>
      </c>
      <c r="B3653" s="0" t="s">
        <v>8152</v>
      </c>
      <c r="C3653" s="0" t="s">
        <v>14624</v>
      </c>
      <c r="E3653" s="0" t="s">
        <v>79</v>
      </c>
      <c r="F3653" s="0" t="s">
        <v>14625</v>
      </c>
    </row>
    <row r="3654" customFormat="false" ht="15" hidden="false" customHeight="false" outlineLevel="0" collapsed="false">
      <c r="A3654" s="0" t="n">
        <v>1208</v>
      </c>
      <c r="B3654" s="0" t="s">
        <v>8152</v>
      </c>
      <c r="C3654" s="0" t="s">
        <v>14626</v>
      </c>
      <c r="E3654" s="0" t="s">
        <v>79</v>
      </c>
      <c r="F3654" s="0" t="s">
        <v>14627</v>
      </c>
    </row>
    <row r="3655" customFormat="false" ht="15" hidden="false" customHeight="false" outlineLevel="0" collapsed="false">
      <c r="A3655" s="0" t="n">
        <v>1209</v>
      </c>
      <c r="B3655" s="0" t="s">
        <v>8161</v>
      </c>
      <c r="C3655" s="0" t="s">
        <v>8164</v>
      </c>
      <c r="E3655" s="0" t="s">
        <v>79</v>
      </c>
      <c r="F3655" s="0" t="s">
        <v>14628</v>
      </c>
    </row>
    <row r="3656" customFormat="false" ht="15" hidden="false" customHeight="false" outlineLevel="0" collapsed="false">
      <c r="A3656" s="0" t="n">
        <v>1209</v>
      </c>
      <c r="B3656" s="0" t="s">
        <v>8161</v>
      </c>
      <c r="C3656" s="0" t="s">
        <v>2337</v>
      </c>
      <c r="E3656" s="0" t="s">
        <v>79</v>
      </c>
      <c r="F3656" s="0" t="s">
        <v>14629</v>
      </c>
    </row>
    <row r="3657" customFormat="false" ht="15" hidden="false" customHeight="false" outlineLevel="0" collapsed="false">
      <c r="A3657" s="0" t="n">
        <v>1209</v>
      </c>
      <c r="B3657" s="0" t="s">
        <v>8161</v>
      </c>
      <c r="C3657" s="0" t="s">
        <v>8165</v>
      </c>
      <c r="E3657" s="0" t="s">
        <v>79</v>
      </c>
      <c r="F3657" s="0" t="s">
        <v>14630</v>
      </c>
    </row>
    <row r="3658" customFormat="false" ht="15" hidden="false" customHeight="false" outlineLevel="0" collapsed="false">
      <c r="A3658" s="0" t="n">
        <v>1209</v>
      </c>
      <c r="B3658" s="0" t="s">
        <v>8161</v>
      </c>
      <c r="C3658" s="0" t="s">
        <v>14631</v>
      </c>
      <c r="E3658" s="0" t="s">
        <v>79</v>
      </c>
      <c r="F3658" s="0" t="s">
        <v>14632</v>
      </c>
    </row>
    <row r="3659" customFormat="false" ht="15" hidden="false" customHeight="false" outlineLevel="0" collapsed="false">
      <c r="A3659" s="0" t="n">
        <v>1209</v>
      </c>
      <c r="B3659" s="0" t="s">
        <v>8161</v>
      </c>
      <c r="C3659" s="0" t="s">
        <v>14633</v>
      </c>
      <c r="E3659" s="0" t="s">
        <v>79</v>
      </c>
      <c r="F3659" s="0" t="s">
        <v>14634</v>
      </c>
    </row>
    <row r="3660" customFormat="false" ht="15" hidden="false" customHeight="false" outlineLevel="0" collapsed="false">
      <c r="A3660" s="0" t="n">
        <v>1211</v>
      </c>
      <c r="B3660" s="0" t="s">
        <v>8175</v>
      </c>
      <c r="C3660" s="0" t="s">
        <v>8178</v>
      </c>
      <c r="E3660" s="0" t="s">
        <v>59</v>
      </c>
      <c r="F3660" s="0" t="s">
        <v>14635</v>
      </c>
    </row>
    <row r="3661" customFormat="false" ht="15" hidden="false" customHeight="false" outlineLevel="0" collapsed="false">
      <c r="A3661" s="0" t="n">
        <v>1211</v>
      </c>
      <c r="B3661" s="0" t="s">
        <v>8175</v>
      </c>
      <c r="C3661" s="0" t="s">
        <v>8179</v>
      </c>
      <c r="E3661" s="0" t="s">
        <v>59</v>
      </c>
      <c r="F3661" s="0" t="s">
        <v>14636</v>
      </c>
    </row>
    <row r="3662" customFormat="false" ht="15" hidden="false" customHeight="false" outlineLevel="0" collapsed="false">
      <c r="A3662" s="0" t="n">
        <v>1211</v>
      </c>
      <c r="B3662" s="0" t="s">
        <v>8175</v>
      </c>
      <c r="C3662" s="0" t="s">
        <v>8180</v>
      </c>
      <c r="E3662" s="0" t="s">
        <v>59</v>
      </c>
      <c r="F3662" s="0" t="s">
        <v>14637</v>
      </c>
    </row>
    <row r="3663" customFormat="false" ht="15" hidden="false" customHeight="false" outlineLevel="0" collapsed="false">
      <c r="A3663" s="0" t="n">
        <v>1211</v>
      </c>
      <c r="B3663" s="0" t="s">
        <v>8175</v>
      </c>
      <c r="C3663" s="0" t="s">
        <v>14638</v>
      </c>
      <c r="E3663" s="0" t="s">
        <v>59</v>
      </c>
      <c r="F3663" s="0" t="s">
        <v>14639</v>
      </c>
    </row>
    <row r="3664" customFormat="false" ht="15" hidden="false" customHeight="false" outlineLevel="0" collapsed="false">
      <c r="A3664" s="0" t="n">
        <v>1211</v>
      </c>
      <c r="B3664" s="0" t="s">
        <v>8175</v>
      </c>
      <c r="C3664" s="0" t="s">
        <v>14640</v>
      </c>
      <c r="E3664" s="0" t="s">
        <v>59</v>
      </c>
      <c r="F3664" s="0" t="s">
        <v>14641</v>
      </c>
    </row>
    <row r="3665" customFormat="false" ht="15" hidden="false" customHeight="false" outlineLevel="0" collapsed="false">
      <c r="A3665" s="0" t="n">
        <v>1212</v>
      </c>
      <c r="B3665" s="0" t="s">
        <v>8185</v>
      </c>
      <c r="C3665" s="0" t="s">
        <v>8188</v>
      </c>
      <c r="E3665" s="0" t="s">
        <v>79</v>
      </c>
      <c r="F3665" s="0" t="s">
        <v>14642</v>
      </c>
    </row>
    <row r="3666" customFormat="false" ht="15" hidden="false" customHeight="false" outlineLevel="0" collapsed="false">
      <c r="A3666" s="0" t="n">
        <v>1212</v>
      </c>
      <c r="B3666" s="0" t="s">
        <v>8185</v>
      </c>
      <c r="C3666" s="0" t="s">
        <v>8189</v>
      </c>
      <c r="E3666" s="0" t="s">
        <v>79</v>
      </c>
      <c r="F3666" s="0" t="s">
        <v>14643</v>
      </c>
    </row>
    <row r="3667" customFormat="false" ht="15" hidden="false" customHeight="false" outlineLevel="0" collapsed="false">
      <c r="A3667" s="0" t="n">
        <v>1212</v>
      </c>
      <c r="B3667" s="0" t="s">
        <v>8185</v>
      </c>
      <c r="C3667" s="0" t="s">
        <v>8190</v>
      </c>
      <c r="E3667" s="0" t="s">
        <v>79</v>
      </c>
      <c r="F3667" s="0" t="s">
        <v>14644</v>
      </c>
    </row>
    <row r="3668" customFormat="false" ht="15" hidden="false" customHeight="false" outlineLevel="0" collapsed="false">
      <c r="A3668" s="0" t="n">
        <v>1212</v>
      </c>
      <c r="B3668" s="0" t="s">
        <v>8185</v>
      </c>
      <c r="C3668" s="0" t="s">
        <v>14645</v>
      </c>
      <c r="E3668" s="0" t="s">
        <v>79</v>
      </c>
      <c r="F3668" s="0" t="s">
        <v>14646</v>
      </c>
    </row>
    <row r="3669" customFormat="false" ht="15" hidden="false" customHeight="false" outlineLevel="0" collapsed="false">
      <c r="A3669" s="0" t="n">
        <v>1212</v>
      </c>
      <c r="B3669" s="0" t="s">
        <v>8185</v>
      </c>
      <c r="C3669" s="0" t="s">
        <v>14647</v>
      </c>
      <c r="E3669" s="0" t="s">
        <v>79</v>
      </c>
      <c r="F3669" s="0" t="s">
        <v>14648</v>
      </c>
    </row>
    <row r="3670" customFormat="false" ht="15" hidden="false" customHeight="false" outlineLevel="0" collapsed="false">
      <c r="A3670" s="0" t="n">
        <v>1213</v>
      </c>
      <c r="B3670" s="0" t="s">
        <v>8194</v>
      </c>
      <c r="C3670" s="0" t="s">
        <v>8197</v>
      </c>
      <c r="E3670" s="0" t="s">
        <v>79</v>
      </c>
      <c r="F3670" s="0" t="s">
        <v>14649</v>
      </c>
    </row>
    <row r="3671" customFormat="false" ht="15" hidden="false" customHeight="false" outlineLevel="0" collapsed="false">
      <c r="A3671" s="0" t="n">
        <v>1213</v>
      </c>
      <c r="B3671" s="0" t="s">
        <v>8194</v>
      </c>
      <c r="C3671" s="0" t="s">
        <v>8198</v>
      </c>
      <c r="E3671" s="0" t="s">
        <v>79</v>
      </c>
      <c r="F3671" s="0" t="s">
        <v>14650</v>
      </c>
    </row>
    <row r="3672" customFormat="false" ht="15" hidden="false" customHeight="false" outlineLevel="0" collapsed="false">
      <c r="A3672" s="0" t="n">
        <v>1213</v>
      </c>
      <c r="B3672" s="0" t="s">
        <v>8194</v>
      </c>
      <c r="C3672" s="0" t="s">
        <v>8199</v>
      </c>
      <c r="E3672" s="0" t="s">
        <v>79</v>
      </c>
      <c r="F3672" s="0" t="s">
        <v>14651</v>
      </c>
    </row>
    <row r="3673" customFormat="false" ht="15" hidden="false" customHeight="false" outlineLevel="0" collapsed="false">
      <c r="A3673" s="0" t="n">
        <v>1213</v>
      </c>
      <c r="B3673" s="0" t="s">
        <v>8194</v>
      </c>
      <c r="C3673" s="0" t="s">
        <v>14652</v>
      </c>
      <c r="E3673" s="0" t="s">
        <v>79</v>
      </c>
      <c r="F3673" s="0" t="s">
        <v>14653</v>
      </c>
    </row>
    <row r="3674" customFormat="false" ht="15" hidden="false" customHeight="false" outlineLevel="0" collapsed="false">
      <c r="A3674" s="0" t="n">
        <v>1214</v>
      </c>
      <c r="B3674" s="0" t="s">
        <v>8205</v>
      </c>
      <c r="C3674" s="0" t="s">
        <v>8208</v>
      </c>
      <c r="E3674" s="0" t="s">
        <v>79</v>
      </c>
      <c r="F3674" s="0" t="s">
        <v>14654</v>
      </c>
    </row>
    <row r="3675" customFormat="false" ht="15" hidden="false" customHeight="false" outlineLevel="0" collapsed="false">
      <c r="A3675" s="0" t="n">
        <v>1214</v>
      </c>
      <c r="B3675" s="0" t="s">
        <v>8205</v>
      </c>
      <c r="C3675" s="0" t="s">
        <v>8209</v>
      </c>
      <c r="E3675" s="0" t="s">
        <v>79</v>
      </c>
      <c r="F3675" s="0" t="s">
        <v>14655</v>
      </c>
    </row>
    <row r="3676" customFormat="false" ht="15" hidden="false" customHeight="false" outlineLevel="0" collapsed="false">
      <c r="A3676" s="0" t="n">
        <v>1217</v>
      </c>
      <c r="B3676" s="0" t="s">
        <v>8216</v>
      </c>
      <c r="C3676" s="0" t="s">
        <v>8219</v>
      </c>
      <c r="E3676" s="0" t="s">
        <v>79</v>
      </c>
      <c r="F3676" s="0" t="s">
        <v>14656</v>
      </c>
    </row>
    <row r="3677" customFormat="false" ht="15" hidden="false" customHeight="false" outlineLevel="0" collapsed="false">
      <c r="A3677" s="0" t="n">
        <v>1217</v>
      </c>
      <c r="B3677" s="0" t="s">
        <v>8216</v>
      </c>
      <c r="C3677" s="0" t="s">
        <v>8220</v>
      </c>
      <c r="E3677" s="0" t="s">
        <v>79</v>
      </c>
      <c r="F3677" s="0" t="s">
        <v>14657</v>
      </c>
    </row>
    <row r="3678" customFormat="false" ht="15" hidden="false" customHeight="false" outlineLevel="0" collapsed="false">
      <c r="A3678" s="0" t="n">
        <v>1219</v>
      </c>
      <c r="B3678" s="0" t="s">
        <v>8222</v>
      </c>
      <c r="C3678" s="0" t="s">
        <v>2317</v>
      </c>
      <c r="D3678" s="0" t="s">
        <v>11107</v>
      </c>
      <c r="E3678" s="0" t="s">
        <v>115</v>
      </c>
    </row>
    <row r="3679" customFormat="false" ht="15" hidden="false" customHeight="false" outlineLevel="0" collapsed="false">
      <c r="A3679" s="0" t="n">
        <v>1219</v>
      </c>
      <c r="B3679" s="0" t="s">
        <v>8222</v>
      </c>
      <c r="C3679" s="0" t="s">
        <v>2318</v>
      </c>
      <c r="D3679" s="0" t="s">
        <v>11108</v>
      </c>
      <c r="E3679" s="0" t="s">
        <v>115</v>
      </c>
    </row>
    <row r="3680" customFormat="false" ht="15" hidden="false" customHeight="false" outlineLevel="0" collapsed="false">
      <c r="A3680" s="0" t="n">
        <v>1219</v>
      </c>
      <c r="B3680" s="0" t="s">
        <v>8222</v>
      </c>
      <c r="C3680" s="0" t="s">
        <v>2319</v>
      </c>
      <c r="D3680" s="0" t="s">
        <v>11109</v>
      </c>
      <c r="E3680" s="0" t="s">
        <v>115</v>
      </c>
    </row>
    <row r="3681" customFormat="false" ht="15" hidden="false" customHeight="false" outlineLevel="0" collapsed="false">
      <c r="A3681" s="0" t="n">
        <v>1221</v>
      </c>
      <c r="B3681" s="0" t="s">
        <v>8227</v>
      </c>
      <c r="C3681" s="0" t="s">
        <v>8229</v>
      </c>
      <c r="E3681" s="0" t="s">
        <v>79</v>
      </c>
      <c r="F3681" s="0" t="s">
        <v>14658</v>
      </c>
    </row>
    <row r="3682" customFormat="false" ht="15" hidden="false" customHeight="false" outlineLevel="0" collapsed="false">
      <c r="A3682" s="0" t="n">
        <v>1221</v>
      </c>
      <c r="B3682" s="0" t="s">
        <v>8227</v>
      </c>
      <c r="C3682" s="0" t="s">
        <v>8230</v>
      </c>
      <c r="E3682" s="0" t="s">
        <v>79</v>
      </c>
      <c r="F3682" s="0" t="s">
        <v>14659</v>
      </c>
    </row>
    <row r="3683" customFormat="false" ht="15" hidden="false" customHeight="false" outlineLevel="0" collapsed="false">
      <c r="A3683" s="0" t="n">
        <v>1221</v>
      </c>
      <c r="B3683" s="0" t="s">
        <v>8227</v>
      </c>
      <c r="C3683" s="0" t="s">
        <v>8231</v>
      </c>
      <c r="E3683" s="0" t="s">
        <v>79</v>
      </c>
      <c r="F3683" s="0" t="s">
        <v>14660</v>
      </c>
    </row>
    <row r="3684" customFormat="false" ht="15" hidden="false" customHeight="false" outlineLevel="0" collapsed="false">
      <c r="A3684" s="0" t="n">
        <v>1221</v>
      </c>
      <c r="B3684" s="0" t="s">
        <v>8227</v>
      </c>
      <c r="C3684" s="0" t="s">
        <v>14661</v>
      </c>
      <c r="E3684" s="0" t="s">
        <v>79</v>
      </c>
      <c r="F3684" s="0" t="s">
        <v>14662</v>
      </c>
    </row>
    <row r="3685" customFormat="false" ht="15" hidden="false" customHeight="false" outlineLevel="0" collapsed="false">
      <c r="A3685" s="0" t="n">
        <v>1223</v>
      </c>
      <c r="B3685" s="0" t="s">
        <v>8234</v>
      </c>
      <c r="C3685" s="0" t="s">
        <v>8237</v>
      </c>
      <c r="E3685" s="0" t="s">
        <v>79</v>
      </c>
      <c r="F3685" s="0" t="s">
        <v>14663</v>
      </c>
    </row>
    <row r="3686" customFormat="false" ht="15" hidden="false" customHeight="false" outlineLevel="0" collapsed="false">
      <c r="A3686" s="0" t="n">
        <v>1223</v>
      </c>
      <c r="B3686" s="0" t="s">
        <v>8234</v>
      </c>
      <c r="C3686" s="0" t="s">
        <v>8238</v>
      </c>
      <c r="E3686" s="0" t="s">
        <v>79</v>
      </c>
      <c r="F3686" s="0" t="s">
        <v>14664</v>
      </c>
    </row>
    <row r="3687" customFormat="false" ht="15" hidden="false" customHeight="false" outlineLevel="0" collapsed="false">
      <c r="A3687" s="0" t="n">
        <v>1223</v>
      </c>
      <c r="B3687" s="0" t="s">
        <v>8234</v>
      </c>
      <c r="C3687" s="0" t="s">
        <v>8239</v>
      </c>
      <c r="E3687" s="0" t="s">
        <v>79</v>
      </c>
      <c r="F3687" s="0" t="s">
        <v>14665</v>
      </c>
    </row>
    <row r="3688" customFormat="false" ht="15" hidden="false" customHeight="false" outlineLevel="0" collapsed="false">
      <c r="A3688" s="0" t="n">
        <v>1223</v>
      </c>
      <c r="B3688" s="0" t="s">
        <v>8234</v>
      </c>
      <c r="C3688" s="0" t="s">
        <v>14666</v>
      </c>
      <c r="E3688" s="0" t="s">
        <v>79</v>
      </c>
      <c r="F3688" s="0" t="s">
        <v>14667</v>
      </c>
    </row>
    <row r="3689" customFormat="false" ht="15" hidden="false" customHeight="false" outlineLevel="0" collapsed="false">
      <c r="A3689" s="0" t="n">
        <v>1223</v>
      </c>
      <c r="B3689" s="0" t="s">
        <v>8234</v>
      </c>
      <c r="C3689" s="0" t="s">
        <v>14668</v>
      </c>
      <c r="E3689" s="0" t="s">
        <v>79</v>
      </c>
      <c r="F3689" s="0" t="s">
        <v>14669</v>
      </c>
    </row>
    <row r="3690" customFormat="false" ht="15" hidden="false" customHeight="false" outlineLevel="0" collapsed="false">
      <c r="A3690" s="0" t="n">
        <v>1224</v>
      </c>
      <c r="B3690" s="0" t="s">
        <v>8243</v>
      </c>
      <c r="C3690" s="0" t="s">
        <v>8245</v>
      </c>
      <c r="E3690" s="0" t="s">
        <v>79</v>
      </c>
      <c r="F3690" s="0" t="s">
        <v>14670</v>
      </c>
    </row>
    <row r="3691" customFormat="false" ht="15" hidden="false" customHeight="false" outlineLevel="0" collapsed="false">
      <c r="A3691" s="0" t="n">
        <v>1224</v>
      </c>
      <c r="B3691" s="0" t="s">
        <v>8243</v>
      </c>
      <c r="C3691" s="0" t="s">
        <v>8246</v>
      </c>
      <c r="E3691" s="0" t="s">
        <v>79</v>
      </c>
      <c r="F3691" s="0" t="s">
        <v>14671</v>
      </c>
    </row>
    <row r="3692" customFormat="false" ht="15" hidden="false" customHeight="false" outlineLevel="0" collapsed="false">
      <c r="A3692" s="0" t="n">
        <v>1225</v>
      </c>
      <c r="B3692" s="0" t="s">
        <v>8247</v>
      </c>
      <c r="C3692" s="0" t="s">
        <v>8249</v>
      </c>
      <c r="E3692" s="0" t="s">
        <v>79</v>
      </c>
      <c r="F3692" s="0" t="s">
        <v>14672</v>
      </c>
    </row>
    <row r="3693" customFormat="false" ht="15" hidden="false" customHeight="false" outlineLevel="0" collapsed="false">
      <c r="A3693" s="0" t="n">
        <v>1225</v>
      </c>
      <c r="B3693" s="0" t="s">
        <v>8247</v>
      </c>
      <c r="C3693" s="0" t="s">
        <v>8250</v>
      </c>
      <c r="E3693" s="0" t="s">
        <v>79</v>
      </c>
      <c r="F3693" s="0" t="s">
        <v>14673</v>
      </c>
    </row>
    <row r="3694" customFormat="false" ht="15" hidden="false" customHeight="false" outlineLevel="0" collapsed="false">
      <c r="A3694" s="0" t="n">
        <v>1225</v>
      </c>
      <c r="B3694" s="0" t="s">
        <v>8247</v>
      </c>
      <c r="C3694" s="0" t="s">
        <v>8251</v>
      </c>
      <c r="E3694" s="0" t="s">
        <v>79</v>
      </c>
      <c r="F3694" s="0" t="s">
        <v>14674</v>
      </c>
    </row>
    <row r="3695" customFormat="false" ht="15" hidden="false" customHeight="false" outlineLevel="0" collapsed="false">
      <c r="A3695" s="0" t="n">
        <v>1225</v>
      </c>
      <c r="B3695" s="0" t="s">
        <v>8247</v>
      </c>
      <c r="C3695" s="0" t="s">
        <v>14675</v>
      </c>
      <c r="E3695" s="0" t="s">
        <v>79</v>
      </c>
      <c r="F3695" s="0" t="s">
        <v>14676</v>
      </c>
    </row>
    <row r="3696" customFormat="false" ht="15" hidden="false" customHeight="false" outlineLevel="0" collapsed="false">
      <c r="A3696" s="0" t="n">
        <v>1225</v>
      </c>
      <c r="B3696" s="0" t="s">
        <v>8247</v>
      </c>
      <c r="C3696" s="0" t="s">
        <v>14677</v>
      </c>
      <c r="E3696" s="0" t="s">
        <v>79</v>
      </c>
      <c r="F3696" s="0" t="s">
        <v>14678</v>
      </c>
    </row>
    <row r="3697" customFormat="false" ht="15" hidden="false" customHeight="false" outlineLevel="0" collapsed="false">
      <c r="A3697" s="0" t="n">
        <v>1226</v>
      </c>
      <c r="B3697" s="0" t="s">
        <v>8252</v>
      </c>
      <c r="C3697" s="0" t="s">
        <v>8255</v>
      </c>
      <c r="E3697" s="0" t="s">
        <v>79</v>
      </c>
      <c r="F3697" s="0" t="s">
        <v>14679</v>
      </c>
    </row>
    <row r="3698" customFormat="false" ht="15" hidden="false" customHeight="false" outlineLevel="0" collapsed="false">
      <c r="A3698" s="0" t="n">
        <v>1226</v>
      </c>
      <c r="B3698" s="0" t="s">
        <v>8252</v>
      </c>
      <c r="C3698" s="0" t="s">
        <v>8256</v>
      </c>
      <c r="E3698" s="0" t="s">
        <v>79</v>
      </c>
      <c r="F3698" s="0" t="s">
        <v>14680</v>
      </c>
    </row>
    <row r="3699" customFormat="false" ht="15" hidden="false" customHeight="false" outlineLevel="0" collapsed="false">
      <c r="A3699" s="0" t="n">
        <v>1226</v>
      </c>
      <c r="B3699" s="0" t="s">
        <v>8252</v>
      </c>
      <c r="C3699" s="0" t="s">
        <v>8257</v>
      </c>
      <c r="E3699" s="0" t="s">
        <v>79</v>
      </c>
      <c r="F3699" s="0" t="s">
        <v>14681</v>
      </c>
    </row>
    <row r="3700" customFormat="false" ht="15" hidden="false" customHeight="false" outlineLevel="0" collapsed="false">
      <c r="A3700" s="0" t="n">
        <v>1226</v>
      </c>
      <c r="B3700" s="0" t="s">
        <v>8252</v>
      </c>
      <c r="C3700" s="0" t="s">
        <v>14682</v>
      </c>
      <c r="E3700" s="0" t="s">
        <v>79</v>
      </c>
      <c r="F3700" s="0" t="s">
        <v>14683</v>
      </c>
    </row>
    <row r="3701" customFormat="false" ht="15" hidden="false" customHeight="false" outlineLevel="0" collapsed="false">
      <c r="A3701" s="0" t="n">
        <v>1226</v>
      </c>
      <c r="B3701" s="0" t="s">
        <v>8252</v>
      </c>
      <c r="C3701" s="0" t="s">
        <v>14684</v>
      </c>
      <c r="E3701" s="0" t="s">
        <v>79</v>
      </c>
      <c r="F3701" s="0" t="s">
        <v>14685</v>
      </c>
    </row>
    <row r="3702" customFormat="false" ht="15" hidden="false" customHeight="false" outlineLevel="0" collapsed="false">
      <c r="A3702" s="0" t="n">
        <v>1227</v>
      </c>
      <c r="B3702" s="0" t="s">
        <v>8260</v>
      </c>
      <c r="C3702" s="0" t="s">
        <v>8263</v>
      </c>
      <c r="E3702" s="0" t="s">
        <v>59</v>
      </c>
      <c r="F3702" s="0" t="s">
        <v>14686</v>
      </c>
    </row>
    <row r="3703" customFormat="false" ht="15" hidden="false" customHeight="false" outlineLevel="0" collapsed="false">
      <c r="A3703" s="0" t="n">
        <v>1227</v>
      </c>
      <c r="B3703" s="0" t="s">
        <v>8260</v>
      </c>
      <c r="C3703" s="0" t="s">
        <v>8264</v>
      </c>
      <c r="E3703" s="0" t="s">
        <v>59</v>
      </c>
      <c r="F3703" s="0" t="s">
        <v>14687</v>
      </c>
    </row>
    <row r="3704" customFormat="false" ht="15" hidden="false" customHeight="false" outlineLevel="0" collapsed="false">
      <c r="A3704" s="0" t="n">
        <v>1227</v>
      </c>
      <c r="B3704" s="0" t="s">
        <v>8260</v>
      </c>
      <c r="C3704" s="0" t="s">
        <v>8265</v>
      </c>
      <c r="E3704" s="0" t="s">
        <v>59</v>
      </c>
      <c r="F3704" s="0" t="s">
        <v>14688</v>
      </c>
    </row>
    <row r="3705" customFormat="false" ht="15" hidden="false" customHeight="false" outlineLevel="0" collapsed="false">
      <c r="A3705" s="0" t="n">
        <v>1227</v>
      </c>
      <c r="B3705" s="0" t="s">
        <v>8260</v>
      </c>
      <c r="C3705" s="0" t="s">
        <v>14689</v>
      </c>
      <c r="E3705" s="0" t="s">
        <v>59</v>
      </c>
      <c r="F3705" s="0" t="s">
        <v>14690</v>
      </c>
    </row>
    <row r="3706" customFormat="false" ht="15" hidden="false" customHeight="false" outlineLevel="0" collapsed="false">
      <c r="A3706" s="0" t="n">
        <v>1227</v>
      </c>
      <c r="B3706" s="0" t="s">
        <v>8260</v>
      </c>
      <c r="C3706" s="0" t="s">
        <v>14691</v>
      </c>
      <c r="E3706" s="0" t="s">
        <v>59</v>
      </c>
      <c r="F3706" s="0" t="s">
        <v>14692</v>
      </c>
    </row>
    <row r="3707" customFormat="false" ht="15" hidden="false" customHeight="false" outlineLevel="0" collapsed="false">
      <c r="A3707" s="0" t="n">
        <v>1228</v>
      </c>
      <c r="B3707" s="0" t="s">
        <v>8266</v>
      </c>
      <c r="C3707" s="0" t="s">
        <v>8269</v>
      </c>
      <c r="E3707" s="0" t="s">
        <v>79</v>
      </c>
      <c r="F3707" s="0" t="s">
        <v>14693</v>
      </c>
    </row>
    <row r="3708" customFormat="false" ht="15" hidden="false" customHeight="false" outlineLevel="0" collapsed="false">
      <c r="A3708" s="0" t="n">
        <v>1228</v>
      </c>
      <c r="B3708" s="0" t="s">
        <v>8266</v>
      </c>
      <c r="C3708" s="0" t="s">
        <v>8270</v>
      </c>
      <c r="E3708" s="0" t="s">
        <v>79</v>
      </c>
      <c r="F3708" s="0" t="s">
        <v>14694</v>
      </c>
    </row>
    <row r="3709" customFormat="false" ht="15" hidden="false" customHeight="false" outlineLevel="0" collapsed="false">
      <c r="A3709" s="0" t="n">
        <v>1233</v>
      </c>
      <c r="B3709" s="0" t="s">
        <v>8288</v>
      </c>
      <c r="C3709" s="0" t="s">
        <v>8290</v>
      </c>
      <c r="E3709" s="0" t="s">
        <v>79</v>
      </c>
      <c r="F3709" s="0" t="s">
        <v>14695</v>
      </c>
    </row>
    <row r="3710" customFormat="false" ht="15" hidden="false" customHeight="false" outlineLevel="0" collapsed="false">
      <c r="A3710" s="0" t="n">
        <v>1233</v>
      </c>
      <c r="B3710" s="0" t="s">
        <v>8288</v>
      </c>
      <c r="C3710" s="0" t="s">
        <v>8291</v>
      </c>
      <c r="E3710" s="0" t="s">
        <v>79</v>
      </c>
      <c r="F3710" s="0" t="s">
        <v>14696</v>
      </c>
    </row>
    <row r="3711" customFormat="false" ht="15" hidden="false" customHeight="false" outlineLevel="0" collapsed="false">
      <c r="A3711" s="0" t="n">
        <v>1233</v>
      </c>
      <c r="B3711" s="0" t="s">
        <v>8288</v>
      </c>
      <c r="C3711" s="0" t="s">
        <v>8292</v>
      </c>
      <c r="E3711" s="0" t="s">
        <v>79</v>
      </c>
      <c r="F3711" s="0" t="s">
        <v>14697</v>
      </c>
    </row>
    <row r="3712" customFormat="false" ht="15" hidden="false" customHeight="false" outlineLevel="0" collapsed="false">
      <c r="A3712" s="0" t="n">
        <v>1233</v>
      </c>
      <c r="B3712" s="0" t="s">
        <v>8288</v>
      </c>
      <c r="C3712" s="0" t="s">
        <v>14698</v>
      </c>
      <c r="E3712" s="0" t="s">
        <v>79</v>
      </c>
      <c r="F3712" s="0" t="s">
        <v>14699</v>
      </c>
    </row>
    <row r="3713" customFormat="false" ht="15" hidden="false" customHeight="false" outlineLevel="0" collapsed="false">
      <c r="A3713" s="0" t="n">
        <v>1233</v>
      </c>
      <c r="B3713" s="0" t="s">
        <v>8288</v>
      </c>
      <c r="C3713" s="0" t="s">
        <v>14700</v>
      </c>
      <c r="E3713" s="0" t="s">
        <v>79</v>
      </c>
      <c r="F3713" s="0" t="s">
        <v>14701</v>
      </c>
    </row>
    <row r="3714" customFormat="false" ht="15" hidden="false" customHeight="false" outlineLevel="0" collapsed="false">
      <c r="A3714" s="0" t="n">
        <v>1234</v>
      </c>
      <c r="B3714" s="0" t="s">
        <v>8293</v>
      </c>
      <c r="C3714" s="0" t="s">
        <v>8295</v>
      </c>
      <c r="E3714" s="0" t="s">
        <v>79</v>
      </c>
      <c r="F3714" s="0" t="s">
        <v>14702</v>
      </c>
    </row>
    <row r="3715" customFormat="false" ht="15" hidden="false" customHeight="false" outlineLevel="0" collapsed="false">
      <c r="A3715" s="0" t="n">
        <v>1234</v>
      </c>
      <c r="B3715" s="0" t="s">
        <v>8293</v>
      </c>
      <c r="C3715" s="0" t="s">
        <v>8296</v>
      </c>
      <c r="E3715" s="0" t="s">
        <v>79</v>
      </c>
      <c r="F3715" s="0" t="s">
        <v>14703</v>
      </c>
    </row>
    <row r="3716" customFormat="false" ht="15" hidden="false" customHeight="false" outlineLevel="0" collapsed="false">
      <c r="A3716" s="0" t="n">
        <v>1234</v>
      </c>
      <c r="B3716" s="0" t="s">
        <v>8293</v>
      </c>
      <c r="C3716" s="0" t="s">
        <v>8297</v>
      </c>
      <c r="E3716" s="0" t="s">
        <v>79</v>
      </c>
      <c r="F3716" s="0" t="s">
        <v>14704</v>
      </c>
    </row>
    <row r="3717" customFormat="false" ht="15" hidden="false" customHeight="false" outlineLevel="0" collapsed="false">
      <c r="A3717" s="0" t="n">
        <v>1237</v>
      </c>
      <c r="B3717" s="0" t="s">
        <v>8306</v>
      </c>
      <c r="C3717" s="0" t="s">
        <v>8312</v>
      </c>
      <c r="D3717" s="0" t="s">
        <v>14705</v>
      </c>
      <c r="E3717" s="0" t="s">
        <v>115</v>
      </c>
    </row>
    <row r="3718" customFormat="false" ht="15" hidden="false" customHeight="false" outlineLevel="0" collapsed="false">
      <c r="A3718" s="0" t="n">
        <v>1237</v>
      </c>
      <c r="B3718" s="0" t="s">
        <v>8306</v>
      </c>
      <c r="C3718" s="0" t="s">
        <v>8313</v>
      </c>
      <c r="D3718" s="0" t="s">
        <v>14706</v>
      </c>
      <c r="E3718" s="0" t="s">
        <v>115</v>
      </c>
    </row>
    <row r="3719" customFormat="false" ht="15" hidden="false" customHeight="false" outlineLevel="0" collapsed="false">
      <c r="A3719" s="0" t="n">
        <v>1237</v>
      </c>
      <c r="B3719" s="0" t="s">
        <v>8306</v>
      </c>
      <c r="C3719" s="0" t="s">
        <v>8314</v>
      </c>
      <c r="D3719" s="0" t="s">
        <v>14707</v>
      </c>
      <c r="E3719" s="0" t="s">
        <v>115</v>
      </c>
    </row>
    <row r="3720" customFormat="false" ht="15" hidden="false" customHeight="false" outlineLevel="0" collapsed="false">
      <c r="A3720" s="0" t="n">
        <v>1238</v>
      </c>
      <c r="B3720" s="0" t="s">
        <v>8324</v>
      </c>
      <c r="C3720" s="0" t="s">
        <v>2317</v>
      </c>
      <c r="D3720" s="0" t="s">
        <v>11107</v>
      </c>
      <c r="E3720" s="0" t="s">
        <v>115</v>
      </c>
    </row>
    <row r="3721" customFormat="false" ht="15" hidden="false" customHeight="false" outlineLevel="0" collapsed="false">
      <c r="A3721" s="0" t="n">
        <v>1238</v>
      </c>
      <c r="B3721" s="0" t="s">
        <v>8324</v>
      </c>
      <c r="C3721" s="0" t="s">
        <v>2318</v>
      </c>
      <c r="D3721" s="0" t="s">
        <v>11108</v>
      </c>
      <c r="E3721" s="0" t="s">
        <v>115</v>
      </c>
    </row>
    <row r="3722" customFormat="false" ht="15" hidden="false" customHeight="false" outlineLevel="0" collapsed="false">
      <c r="A3722" s="0" t="n">
        <v>1238</v>
      </c>
      <c r="B3722" s="0" t="s">
        <v>8324</v>
      </c>
      <c r="C3722" s="0" t="s">
        <v>2319</v>
      </c>
      <c r="D3722" s="0" t="s">
        <v>11109</v>
      </c>
      <c r="E3722" s="0" t="s">
        <v>115</v>
      </c>
    </row>
    <row r="3723" customFormat="false" ht="15" hidden="false" customHeight="false" outlineLevel="0" collapsed="false">
      <c r="A3723" s="0" t="n">
        <v>1239</v>
      </c>
      <c r="B3723" s="0" t="s">
        <v>8328</v>
      </c>
      <c r="C3723" s="0" t="s">
        <v>8331</v>
      </c>
      <c r="E3723" s="0" t="s">
        <v>79</v>
      </c>
      <c r="F3723" s="0" t="s">
        <v>14708</v>
      </c>
    </row>
    <row r="3724" customFormat="false" ht="15" hidden="false" customHeight="false" outlineLevel="0" collapsed="false">
      <c r="A3724" s="0" t="n">
        <v>1239</v>
      </c>
      <c r="B3724" s="0" t="s">
        <v>8328</v>
      </c>
      <c r="C3724" s="0" t="s">
        <v>8332</v>
      </c>
      <c r="E3724" s="0" t="s">
        <v>79</v>
      </c>
      <c r="F3724" s="0" t="s">
        <v>14709</v>
      </c>
    </row>
    <row r="3725" customFormat="false" ht="15" hidden="false" customHeight="false" outlineLevel="0" collapsed="false">
      <c r="A3725" s="0" t="n">
        <v>1240</v>
      </c>
      <c r="B3725" s="0" t="s">
        <v>8335</v>
      </c>
      <c r="C3725" s="0" t="s">
        <v>8337</v>
      </c>
      <c r="E3725" s="0" t="s">
        <v>79</v>
      </c>
      <c r="F3725" s="0" t="s">
        <v>14710</v>
      </c>
    </row>
    <row r="3726" customFormat="false" ht="15" hidden="false" customHeight="false" outlineLevel="0" collapsed="false">
      <c r="A3726" s="0" t="n">
        <v>1240</v>
      </c>
      <c r="B3726" s="0" t="s">
        <v>8335</v>
      </c>
      <c r="C3726" s="0" t="s">
        <v>8338</v>
      </c>
      <c r="E3726" s="0" t="s">
        <v>79</v>
      </c>
      <c r="F3726" s="0" t="s">
        <v>14711</v>
      </c>
    </row>
    <row r="3727" customFormat="false" ht="15" hidden="false" customHeight="false" outlineLevel="0" collapsed="false">
      <c r="A3727" s="0" t="n">
        <v>1240</v>
      </c>
      <c r="B3727" s="0" t="s">
        <v>8335</v>
      </c>
      <c r="C3727" s="0" t="s">
        <v>8339</v>
      </c>
      <c r="E3727" s="0" t="s">
        <v>79</v>
      </c>
      <c r="F3727" s="0" t="s">
        <v>14712</v>
      </c>
    </row>
    <row r="3728" customFormat="false" ht="15" hidden="false" customHeight="false" outlineLevel="0" collapsed="false">
      <c r="A3728" s="0" t="n">
        <v>1240</v>
      </c>
      <c r="B3728" s="0" t="s">
        <v>8335</v>
      </c>
      <c r="C3728" s="0" t="s">
        <v>14713</v>
      </c>
      <c r="E3728" s="0" t="s">
        <v>79</v>
      </c>
      <c r="F3728" s="0" t="s">
        <v>14714</v>
      </c>
    </row>
    <row r="3729" customFormat="false" ht="15" hidden="false" customHeight="false" outlineLevel="0" collapsed="false">
      <c r="A3729" s="0" t="n">
        <v>1240</v>
      </c>
      <c r="B3729" s="0" t="s">
        <v>8335</v>
      </c>
      <c r="C3729" s="0" t="s">
        <v>658</v>
      </c>
      <c r="E3729" s="0" t="s">
        <v>79</v>
      </c>
      <c r="F3729" s="0" t="s">
        <v>14715</v>
      </c>
    </row>
    <row r="3730" customFormat="false" ht="15" hidden="false" customHeight="false" outlineLevel="0" collapsed="false">
      <c r="A3730" s="0" t="n">
        <v>1243</v>
      </c>
      <c r="B3730" s="0" t="s">
        <v>8352</v>
      </c>
      <c r="C3730" s="0" t="s">
        <v>8354</v>
      </c>
      <c r="E3730" s="0" t="s">
        <v>79</v>
      </c>
      <c r="F3730" s="0" t="s">
        <v>14716</v>
      </c>
    </row>
    <row r="3731" customFormat="false" ht="15" hidden="false" customHeight="false" outlineLevel="0" collapsed="false">
      <c r="A3731" s="0" t="n">
        <v>1243</v>
      </c>
      <c r="B3731" s="0" t="s">
        <v>8352</v>
      </c>
      <c r="C3731" s="0" t="s">
        <v>8355</v>
      </c>
      <c r="E3731" s="0" t="s">
        <v>79</v>
      </c>
      <c r="F3731" s="0" t="s">
        <v>14717</v>
      </c>
    </row>
    <row r="3732" customFormat="false" ht="15" hidden="false" customHeight="false" outlineLevel="0" collapsed="false">
      <c r="A3732" s="0" t="n">
        <v>1243</v>
      </c>
      <c r="B3732" s="0" t="s">
        <v>8352</v>
      </c>
      <c r="C3732" s="0" t="s">
        <v>8356</v>
      </c>
      <c r="E3732" s="0" t="s">
        <v>79</v>
      </c>
      <c r="F3732" s="0" t="s">
        <v>14718</v>
      </c>
    </row>
    <row r="3733" customFormat="false" ht="15" hidden="false" customHeight="false" outlineLevel="0" collapsed="false">
      <c r="A3733" s="0" t="n">
        <v>1243</v>
      </c>
      <c r="B3733" s="0" t="s">
        <v>8352</v>
      </c>
      <c r="C3733" s="0" t="s">
        <v>14719</v>
      </c>
      <c r="E3733" s="0" t="s">
        <v>79</v>
      </c>
      <c r="F3733" s="0" t="s">
        <v>14720</v>
      </c>
    </row>
    <row r="3734" customFormat="false" ht="15" hidden="false" customHeight="false" outlineLevel="0" collapsed="false">
      <c r="A3734" s="0" t="n">
        <v>1243</v>
      </c>
      <c r="B3734" s="0" t="s">
        <v>8352</v>
      </c>
      <c r="C3734" s="0" t="s">
        <v>14721</v>
      </c>
      <c r="E3734" s="0" t="s">
        <v>79</v>
      </c>
      <c r="F3734" s="0" t="s">
        <v>14722</v>
      </c>
    </row>
    <row r="3735" customFormat="false" ht="15" hidden="false" customHeight="false" outlineLevel="0" collapsed="false">
      <c r="A3735" s="0" t="n">
        <v>1244</v>
      </c>
      <c r="B3735" s="0" t="s">
        <v>8357</v>
      </c>
      <c r="C3735" s="0" t="s">
        <v>8360</v>
      </c>
      <c r="E3735" s="0" t="s">
        <v>79</v>
      </c>
      <c r="F3735" s="0" t="s">
        <v>14723</v>
      </c>
    </row>
    <row r="3736" customFormat="false" ht="15" hidden="false" customHeight="false" outlineLevel="0" collapsed="false">
      <c r="A3736" s="0" t="n">
        <v>1244</v>
      </c>
      <c r="B3736" s="0" t="s">
        <v>8357</v>
      </c>
      <c r="C3736" s="0" t="s">
        <v>8361</v>
      </c>
      <c r="E3736" s="0" t="s">
        <v>79</v>
      </c>
      <c r="F3736" s="0" t="s">
        <v>14724</v>
      </c>
    </row>
    <row r="3737" customFormat="false" ht="15" hidden="false" customHeight="false" outlineLevel="0" collapsed="false">
      <c r="A3737" s="0" t="n">
        <v>1244</v>
      </c>
      <c r="B3737" s="0" t="s">
        <v>8357</v>
      </c>
      <c r="C3737" s="0" t="s">
        <v>8362</v>
      </c>
      <c r="E3737" s="0" t="s">
        <v>79</v>
      </c>
      <c r="F3737" s="0" t="s">
        <v>14725</v>
      </c>
    </row>
    <row r="3738" customFormat="false" ht="15" hidden="false" customHeight="false" outlineLevel="0" collapsed="false">
      <c r="A3738" s="0" t="n">
        <v>1244</v>
      </c>
      <c r="B3738" s="0" t="s">
        <v>8357</v>
      </c>
      <c r="C3738" s="0" t="s">
        <v>14726</v>
      </c>
      <c r="E3738" s="0" t="s">
        <v>79</v>
      </c>
      <c r="F3738" s="0" t="s">
        <v>14727</v>
      </c>
    </row>
    <row r="3739" customFormat="false" ht="15" hidden="false" customHeight="false" outlineLevel="0" collapsed="false">
      <c r="A3739" s="0" t="n">
        <v>1244</v>
      </c>
      <c r="B3739" s="0" t="s">
        <v>8357</v>
      </c>
      <c r="C3739" s="0" t="s">
        <v>14728</v>
      </c>
      <c r="E3739" s="0" t="s">
        <v>79</v>
      </c>
      <c r="F3739" s="0" t="s">
        <v>14729</v>
      </c>
    </row>
    <row r="3740" customFormat="false" ht="15" hidden="false" customHeight="false" outlineLevel="0" collapsed="false">
      <c r="A3740" s="0" t="n">
        <v>1245</v>
      </c>
      <c r="B3740" s="0" t="s">
        <v>8368</v>
      </c>
      <c r="C3740" s="0" t="s">
        <v>8372</v>
      </c>
      <c r="E3740" s="0" t="s">
        <v>79</v>
      </c>
      <c r="F3740" s="0" t="s">
        <v>14730</v>
      </c>
    </row>
    <row r="3741" customFormat="false" ht="15" hidden="false" customHeight="false" outlineLevel="0" collapsed="false">
      <c r="A3741" s="0" t="n">
        <v>1245</v>
      </c>
      <c r="B3741" s="0" t="s">
        <v>8368</v>
      </c>
      <c r="C3741" s="0" t="s">
        <v>8373</v>
      </c>
      <c r="E3741" s="0" t="s">
        <v>79</v>
      </c>
      <c r="F3741" s="0" t="s">
        <v>14731</v>
      </c>
    </row>
    <row r="3742" customFormat="false" ht="15" hidden="false" customHeight="false" outlineLevel="0" collapsed="false">
      <c r="A3742" s="0" t="n">
        <v>1245</v>
      </c>
      <c r="B3742" s="0" t="s">
        <v>8368</v>
      </c>
      <c r="C3742" s="0" t="s">
        <v>8374</v>
      </c>
      <c r="E3742" s="0" t="s">
        <v>79</v>
      </c>
      <c r="F3742" s="0" t="s">
        <v>14732</v>
      </c>
    </row>
    <row r="3743" customFormat="false" ht="15" hidden="false" customHeight="false" outlineLevel="0" collapsed="false">
      <c r="A3743" s="0" t="n">
        <v>1245</v>
      </c>
      <c r="B3743" s="0" t="s">
        <v>8368</v>
      </c>
      <c r="C3743" s="0" t="s">
        <v>14733</v>
      </c>
      <c r="E3743" s="0" t="s">
        <v>79</v>
      </c>
      <c r="F3743" s="0" t="s">
        <v>14734</v>
      </c>
    </row>
    <row r="3744" customFormat="false" ht="15" hidden="false" customHeight="false" outlineLevel="0" collapsed="false">
      <c r="A3744" s="0" t="n">
        <v>1245</v>
      </c>
      <c r="B3744" s="0" t="s">
        <v>8368</v>
      </c>
      <c r="C3744" s="0" t="s">
        <v>14735</v>
      </c>
      <c r="E3744" s="0" t="s">
        <v>79</v>
      </c>
      <c r="F3744" s="0" t="s">
        <v>14736</v>
      </c>
    </row>
    <row r="3745" customFormat="false" ht="15" hidden="false" customHeight="false" outlineLevel="0" collapsed="false">
      <c r="A3745" s="0" t="n">
        <v>1246</v>
      </c>
      <c r="B3745" s="0" t="s">
        <v>8380</v>
      </c>
      <c r="C3745" s="0" t="s">
        <v>8383</v>
      </c>
      <c r="E3745" s="0" t="s">
        <v>79</v>
      </c>
      <c r="F3745" s="0" t="s">
        <v>14737</v>
      </c>
    </row>
    <row r="3746" customFormat="false" ht="15" hidden="false" customHeight="false" outlineLevel="0" collapsed="false">
      <c r="A3746" s="0" t="n">
        <v>1246</v>
      </c>
      <c r="B3746" s="0" t="s">
        <v>8380</v>
      </c>
      <c r="C3746" s="0" t="s">
        <v>8384</v>
      </c>
      <c r="E3746" s="0" t="s">
        <v>79</v>
      </c>
      <c r="F3746" s="0" t="s">
        <v>14738</v>
      </c>
    </row>
    <row r="3747" customFormat="false" ht="15" hidden="false" customHeight="false" outlineLevel="0" collapsed="false">
      <c r="A3747" s="0" t="n">
        <v>1246</v>
      </c>
      <c r="B3747" s="0" t="s">
        <v>8380</v>
      </c>
      <c r="C3747" s="0" t="s">
        <v>8385</v>
      </c>
      <c r="E3747" s="0" t="s">
        <v>79</v>
      </c>
      <c r="F3747" s="0" t="s">
        <v>14739</v>
      </c>
    </row>
    <row r="3748" customFormat="false" ht="15" hidden="false" customHeight="false" outlineLevel="0" collapsed="false">
      <c r="A3748" s="0" t="n">
        <v>1246</v>
      </c>
      <c r="B3748" s="0" t="s">
        <v>8380</v>
      </c>
      <c r="C3748" s="0" t="s">
        <v>14740</v>
      </c>
      <c r="E3748" s="0" t="s">
        <v>79</v>
      </c>
      <c r="F3748" s="0" t="s">
        <v>14741</v>
      </c>
    </row>
    <row r="3749" customFormat="false" ht="15" hidden="false" customHeight="false" outlineLevel="0" collapsed="false">
      <c r="A3749" s="0" t="n">
        <v>1246</v>
      </c>
      <c r="B3749" s="0" t="s">
        <v>8380</v>
      </c>
      <c r="C3749" s="0" t="s">
        <v>14742</v>
      </c>
      <c r="E3749" s="0" t="s">
        <v>79</v>
      </c>
      <c r="F3749" s="0" t="s">
        <v>14743</v>
      </c>
    </row>
    <row r="3750" customFormat="false" ht="15" hidden="false" customHeight="false" outlineLevel="0" collapsed="false">
      <c r="A3750" s="0" t="n">
        <v>1247</v>
      </c>
      <c r="B3750" s="0" t="s">
        <v>8386</v>
      </c>
      <c r="C3750" s="0" t="s">
        <v>8389</v>
      </c>
      <c r="E3750" s="0" t="s">
        <v>79</v>
      </c>
      <c r="F3750" s="0" t="s">
        <v>14744</v>
      </c>
    </row>
    <row r="3751" customFormat="false" ht="15" hidden="false" customHeight="false" outlineLevel="0" collapsed="false">
      <c r="A3751" s="0" t="n">
        <v>1247</v>
      </c>
      <c r="B3751" s="0" t="s">
        <v>8386</v>
      </c>
      <c r="C3751" s="0" t="s">
        <v>8390</v>
      </c>
      <c r="E3751" s="0" t="s">
        <v>79</v>
      </c>
      <c r="F3751" s="0" t="s">
        <v>14745</v>
      </c>
    </row>
    <row r="3752" customFormat="false" ht="15" hidden="false" customHeight="false" outlineLevel="0" collapsed="false">
      <c r="A3752" s="0" t="n">
        <v>1247</v>
      </c>
      <c r="B3752" s="0" t="s">
        <v>8386</v>
      </c>
      <c r="C3752" s="0" t="s">
        <v>8391</v>
      </c>
      <c r="E3752" s="0" t="s">
        <v>79</v>
      </c>
      <c r="F3752" s="0" t="s">
        <v>14746</v>
      </c>
    </row>
    <row r="3753" customFormat="false" ht="15" hidden="false" customHeight="false" outlineLevel="0" collapsed="false">
      <c r="A3753" s="0" t="n">
        <v>1247</v>
      </c>
      <c r="B3753" s="0" t="s">
        <v>8386</v>
      </c>
      <c r="C3753" s="0" t="s">
        <v>14747</v>
      </c>
      <c r="E3753" s="0" t="s">
        <v>79</v>
      </c>
      <c r="F3753" s="0" t="s">
        <v>14748</v>
      </c>
    </row>
    <row r="3754" customFormat="false" ht="15" hidden="false" customHeight="false" outlineLevel="0" collapsed="false">
      <c r="A3754" s="0" t="n">
        <v>1247</v>
      </c>
      <c r="B3754" s="0" t="s">
        <v>8386</v>
      </c>
      <c r="C3754" s="0" t="s">
        <v>14749</v>
      </c>
      <c r="E3754" s="0" t="s">
        <v>79</v>
      </c>
      <c r="F3754" s="0" t="s">
        <v>14750</v>
      </c>
    </row>
    <row r="3755" customFormat="false" ht="15" hidden="false" customHeight="false" outlineLevel="0" collapsed="false">
      <c r="A3755" s="0" t="n">
        <v>1248</v>
      </c>
      <c r="B3755" s="0" t="s">
        <v>8394</v>
      </c>
      <c r="C3755" s="0" t="s">
        <v>8398</v>
      </c>
      <c r="E3755" s="0" t="s">
        <v>59</v>
      </c>
      <c r="F3755" s="0" t="s">
        <v>14751</v>
      </c>
    </row>
    <row r="3756" customFormat="false" ht="15" hidden="false" customHeight="false" outlineLevel="0" collapsed="false">
      <c r="A3756" s="0" t="n">
        <v>1248</v>
      </c>
      <c r="B3756" s="0" t="s">
        <v>8394</v>
      </c>
      <c r="C3756" s="0" t="s">
        <v>8399</v>
      </c>
      <c r="E3756" s="0" t="s">
        <v>59</v>
      </c>
      <c r="F3756" s="0" t="s">
        <v>14752</v>
      </c>
    </row>
    <row r="3757" customFormat="false" ht="15" hidden="false" customHeight="false" outlineLevel="0" collapsed="false">
      <c r="A3757" s="0" t="n">
        <v>1248</v>
      </c>
      <c r="B3757" s="0" t="s">
        <v>8394</v>
      </c>
      <c r="C3757" s="0" t="s">
        <v>8400</v>
      </c>
      <c r="E3757" s="0" t="s">
        <v>59</v>
      </c>
      <c r="F3757" s="0" t="s">
        <v>14753</v>
      </c>
    </row>
    <row r="3758" customFormat="false" ht="15" hidden="false" customHeight="false" outlineLevel="0" collapsed="false">
      <c r="A3758" s="0" t="n">
        <v>1248</v>
      </c>
      <c r="B3758" s="0" t="s">
        <v>8394</v>
      </c>
      <c r="C3758" s="0" t="s">
        <v>14754</v>
      </c>
      <c r="E3758" s="0" t="s">
        <v>59</v>
      </c>
      <c r="F3758" s="0" t="s">
        <v>14755</v>
      </c>
    </row>
    <row r="3759" customFormat="false" ht="15" hidden="false" customHeight="false" outlineLevel="0" collapsed="false">
      <c r="A3759" s="0" t="n">
        <v>1248</v>
      </c>
      <c r="B3759" s="0" t="s">
        <v>8394</v>
      </c>
      <c r="C3759" s="0" t="s">
        <v>14756</v>
      </c>
      <c r="E3759" s="0" t="s">
        <v>59</v>
      </c>
      <c r="F3759" s="0" t="s">
        <v>14757</v>
      </c>
    </row>
    <row r="3760" customFormat="false" ht="15" hidden="false" customHeight="false" outlineLevel="0" collapsed="false">
      <c r="A3760" s="0" t="n">
        <v>1249</v>
      </c>
      <c r="B3760" s="0" t="s">
        <v>8404</v>
      </c>
      <c r="C3760" s="0" t="s">
        <v>8406</v>
      </c>
      <c r="E3760" s="0" t="s">
        <v>79</v>
      </c>
      <c r="F3760" s="0" t="s">
        <v>14758</v>
      </c>
    </row>
    <row r="3761" customFormat="false" ht="15" hidden="false" customHeight="false" outlineLevel="0" collapsed="false">
      <c r="A3761" s="0" t="n">
        <v>1249</v>
      </c>
      <c r="B3761" s="0" t="s">
        <v>8404</v>
      </c>
      <c r="C3761" s="0" t="s">
        <v>8407</v>
      </c>
      <c r="E3761" s="0" t="s">
        <v>79</v>
      </c>
      <c r="F3761" s="0" t="s">
        <v>14759</v>
      </c>
    </row>
    <row r="3762" customFormat="false" ht="15" hidden="false" customHeight="false" outlineLevel="0" collapsed="false">
      <c r="A3762" s="0" t="n">
        <v>1249</v>
      </c>
      <c r="B3762" s="0" t="s">
        <v>8404</v>
      </c>
      <c r="C3762" s="0" t="s">
        <v>8408</v>
      </c>
      <c r="E3762" s="0" t="s">
        <v>79</v>
      </c>
      <c r="F3762" s="0" t="s">
        <v>14760</v>
      </c>
    </row>
    <row r="3763" customFormat="false" ht="15" hidden="false" customHeight="false" outlineLevel="0" collapsed="false">
      <c r="A3763" s="0" t="n">
        <v>1249</v>
      </c>
      <c r="B3763" s="0" t="s">
        <v>8404</v>
      </c>
      <c r="C3763" s="0" t="s">
        <v>14761</v>
      </c>
      <c r="E3763" s="0" t="s">
        <v>79</v>
      </c>
      <c r="F3763" s="0" t="s">
        <v>14762</v>
      </c>
    </row>
    <row r="3764" customFormat="false" ht="15" hidden="false" customHeight="false" outlineLevel="0" collapsed="false">
      <c r="A3764" s="0" t="n">
        <v>1249</v>
      </c>
      <c r="B3764" s="0" t="s">
        <v>8404</v>
      </c>
      <c r="C3764" s="0" t="s">
        <v>14763</v>
      </c>
      <c r="E3764" s="0" t="s">
        <v>79</v>
      </c>
      <c r="F3764" s="0" t="s">
        <v>14764</v>
      </c>
    </row>
    <row r="3765" customFormat="false" ht="15" hidden="false" customHeight="false" outlineLevel="0" collapsed="false">
      <c r="A3765" s="0" t="n">
        <v>1250</v>
      </c>
      <c r="B3765" s="0" t="s">
        <v>8409</v>
      </c>
      <c r="C3765" s="0" t="s">
        <v>8412</v>
      </c>
      <c r="E3765" s="0" t="s">
        <v>59</v>
      </c>
      <c r="F3765" s="0" t="s">
        <v>14765</v>
      </c>
    </row>
    <row r="3766" customFormat="false" ht="15" hidden="false" customHeight="false" outlineLevel="0" collapsed="false">
      <c r="A3766" s="0" t="n">
        <v>1250</v>
      </c>
      <c r="B3766" s="0" t="s">
        <v>8409</v>
      </c>
      <c r="C3766" s="0" t="s">
        <v>8413</v>
      </c>
      <c r="E3766" s="0" t="s">
        <v>59</v>
      </c>
      <c r="F3766" s="0" t="s">
        <v>14766</v>
      </c>
    </row>
    <row r="3767" customFormat="false" ht="15" hidden="false" customHeight="false" outlineLevel="0" collapsed="false">
      <c r="A3767" s="0" t="n">
        <v>1250</v>
      </c>
      <c r="B3767" s="0" t="s">
        <v>8409</v>
      </c>
      <c r="C3767" s="0" t="s">
        <v>8414</v>
      </c>
      <c r="E3767" s="0" t="s">
        <v>59</v>
      </c>
      <c r="F3767" s="0" t="s">
        <v>14767</v>
      </c>
    </row>
    <row r="3768" customFormat="false" ht="15" hidden="false" customHeight="false" outlineLevel="0" collapsed="false">
      <c r="A3768" s="0" t="n">
        <v>1250</v>
      </c>
      <c r="B3768" s="0" t="s">
        <v>8409</v>
      </c>
      <c r="C3768" s="0" t="s">
        <v>14768</v>
      </c>
      <c r="E3768" s="0" t="s">
        <v>59</v>
      </c>
      <c r="F3768" s="0" t="s">
        <v>14769</v>
      </c>
    </row>
    <row r="3769" customFormat="false" ht="15" hidden="false" customHeight="false" outlineLevel="0" collapsed="false">
      <c r="A3769" s="0" t="n">
        <v>1250</v>
      </c>
      <c r="B3769" s="0" t="s">
        <v>8409</v>
      </c>
      <c r="C3769" s="0" t="s">
        <v>14770</v>
      </c>
      <c r="E3769" s="0" t="s">
        <v>59</v>
      </c>
      <c r="F3769" s="0" t="s">
        <v>14771</v>
      </c>
    </row>
    <row r="3770" customFormat="false" ht="15" hidden="false" customHeight="false" outlineLevel="0" collapsed="false">
      <c r="A3770" s="0" t="n">
        <v>1252</v>
      </c>
      <c r="B3770" s="0" t="s">
        <v>8417</v>
      </c>
      <c r="C3770" s="0" t="s">
        <v>8419</v>
      </c>
      <c r="E3770" s="0" t="s">
        <v>79</v>
      </c>
      <c r="F3770" s="0" t="s">
        <v>14772</v>
      </c>
    </row>
    <row r="3771" customFormat="false" ht="15" hidden="false" customHeight="false" outlineLevel="0" collapsed="false">
      <c r="A3771" s="0" t="n">
        <v>1252</v>
      </c>
      <c r="B3771" s="0" t="s">
        <v>8417</v>
      </c>
      <c r="C3771" s="0" t="s">
        <v>8420</v>
      </c>
      <c r="E3771" s="0" t="s">
        <v>79</v>
      </c>
      <c r="F3771" s="0" t="s">
        <v>14773</v>
      </c>
    </row>
    <row r="3772" customFormat="false" ht="15" hidden="false" customHeight="false" outlineLevel="0" collapsed="false">
      <c r="A3772" s="0" t="n">
        <v>1252</v>
      </c>
      <c r="B3772" s="0" t="s">
        <v>8417</v>
      </c>
      <c r="C3772" s="0" t="s">
        <v>8421</v>
      </c>
      <c r="E3772" s="0" t="s">
        <v>79</v>
      </c>
      <c r="F3772" s="0" t="s">
        <v>14774</v>
      </c>
    </row>
    <row r="3773" customFormat="false" ht="15" hidden="false" customHeight="false" outlineLevel="0" collapsed="false">
      <c r="A3773" s="0" t="n">
        <v>1252</v>
      </c>
      <c r="B3773" s="0" t="s">
        <v>8417</v>
      </c>
      <c r="C3773" s="0" t="s">
        <v>14775</v>
      </c>
      <c r="E3773" s="0" t="s">
        <v>79</v>
      </c>
      <c r="F3773" s="0" t="s">
        <v>14776</v>
      </c>
    </row>
    <row r="3774" customFormat="false" ht="15" hidden="false" customHeight="false" outlineLevel="0" collapsed="false">
      <c r="A3774" s="0" t="n">
        <v>1252</v>
      </c>
      <c r="B3774" s="0" t="s">
        <v>8417</v>
      </c>
      <c r="C3774" s="0" t="s">
        <v>14777</v>
      </c>
      <c r="E3774" s="0" t="s">
        <v>79</v>
      </c>
      <c r="F3774" s="0" t="s">
        <v>14778</v>
      </c>
    </row>
    <row r="3775" customFormat="false" ht="15" hidden="false" customHeight="false" outlineLevel="0" collapsed="false">
      <c r="A3775" s="0" t="n">
        <v>1254</v>
      </c>
      <c r="B3775" s="0" t="s">
        <v>8425</v>
      </c>
      <c r="C3775" s="0" t="s">
        <v>8428</v>
      </c>
      <c r="E3775" s="0" t="s">
        <v>79</v>
      </c>
      <c r="F3775" s="0" t="s">
        <v>14779</v>
      </c>
    </row>
    <row r="3776" customFormat="false" ht="15" hidden="false" customHeight="false" outlineLevel="0" collapsed="false">
      <c r="A3776" s="0" t="n">
        <v>1254</v>
      </c>
      <c r="B3776" s="0" t="s">
        <v>8425</v>
      </c>
      <c r="C3776" s="0" t="s">
        <v>8429</v>
      </c>
      <c r="E3776" s="0" t="s">
        <v>79</v>
      </c>
      <c r="F3776" s="0" t="s">
        <v>14780</v>
      </c>
    </row>
    <row r="3777" customFormat="false" ht="15" hidden="false" customHeight="false" outlineLevel="0" collapsed="false">
      <c r="A3777" s="0" t="n">
        <v>1254</v>
      </c>
      <c r="B3777" s="0" t="s">
        <v>8425</v>
      </c>
      <c r="C3777" s="0" t="s">
        <v>8430</v>
      </c>
      <c r="E3777" s="0" t="s">
        <v>79</v>
      </c>
      <c r="F3777" s="0" t="s">
        <v>14781</v>
      </c>
    </row>
    <row r="3778" customFormat="false" ht="15" hidden="false" customHeight="false" outlineLevel="0" collapsed="false">
      <c r="A3778" s="0" t="n">
        <v>1254</v>
      </c>
      <c r="B3778" s="0" t="s">
        <v>8425</v>
      </c>
      <c r="C3778" s="0" t="s">
        <v>14782</v>
      </c>
      <c r="E3778" s="0" t="s">
        <v>79</v>
      </c>
      <c r="F3778" s="0" t="s">
        <v>14783</v>
      </c>
    </row>
    <row r="3779" customFormat="false" ht="15" hidden="false" customHeight="false" outlineLevel="0" collapsed="false">
      <c r="A3779" s="0" t="n">
        <v>1254</v>
      </c>
      <c r="B3779" s="0" t="s">
        <v>8425</v>
      </c>
      <c r="C3779" s="0" t="s">
        <v>14784</v>
      </c>
      <c r="E3779" s="0" t="s">
        <v>79</v>
      </c>
      <c r="F3779" s="0" t="s">
        <v>14785</v>
      </c>
    </row>
    <row r="3780" customFormat="false" ht="15" hidden="false" customHeight="false" outlineLevel="0" collapsed="false">
      <c r="A3780" s="0" t="n">
        <v>1255</v>
      </c>
      <c r="B3780" s="0" t="s">
        <v>8435</v>
      </c>
      <c r="C3780" s="0" t="s">
        <v>6092</v>
      </c>
      <c r="D3780" s="0" t="s">
        <v>13357</v>
      </c>
      <c r="E3780" s="0" t="s">
        <v>115</v>
      </c>
    </row>
    <row r="3781" customFormat="false" ht="15" hidden="false" customHeight="false" outlineLevel="0" collapsed="false">
      <c r="A3781" s="0" t="n">
        <v>1255</v>
      </c>
      <c r="B3781" s="0" t="s">
        <v>8435</v>
      </c>
      <c r="C3781" s="0" t="s">
        <v>6093</v>
      </c>
      <c r="D3781" s="0" t="s">
        <v>13358</v>
      </c>
      <c r="E3781" s="0" t="s">
        <v>115</v>
      </c>
    </row>
    <row r="3782" customFormat="false" ht="15" hidden="false" customHeight="false" outlineLevel="0" collapsed="false">
      <c r="A3782" s="0" t="n">
        <v>1255</v>
      </c>
      <c r="B3782" s="0" t="s">
        <v>8435</v>
      </c>
      <c r="C3782" s="0" t="s">
        <v>6094</v>
      </c>
      <c r="D3782" s="0" t="s">
        <v>13359</v>
      </c>
      <c r="E3782" s="0" t="s">
        <v>115</v>
      </c>
    </row>
    <row r="3783" customFormat="false" ht="15" hidden="false" customHeight="false" outlineLevel="0" collapsed="false">
      <c r="A3783" s="0" t="n">
        <v>1256</v>
      </c>
      <c r="B3783" s="0" t="s">
        <v>8441</v>
      </c>
      <c r="C3783" s="0" t="s">
        <v>8443</v>
      </c>
      <c r="E3783" s="0" t="s">
        <v>79</v>
      </c>
      <c r="F3783" s="0" t="s">
        <v>14786</v>
      </c>
    </row>
    <row r="3784" customFormat="false" ht="15" hidden="false" customHeight="false" outlineLevel="0" collapsed="false">
      <c r="A3784" s="0" t="n">
        <v>1256</v>
      </c>
      <c r="B3784" s="0" t="s">
        <v>8441</v>
      </c>
      <c r="C3784" s="0" t="s">
        <v>8444</v>
      </c>
      <c r="E3784" s="0" t="s">
        <v>79</v>
      </c>
      <c r="F3784" s="0" t="s">
        <v>14787</v>
      </c>
    </row>
    <row r="3785" customFormat="false" ht="15" hidden="false" customHeight="false" outlineLevel="0" collapsed="false">
      <c r="A3785" s="0" t="n">
        <v>1256</v>
      </c>
      <c r="B3785" s="0" t="s">
        <v>8441</v>
      </c>
      <c r="C3785" s="0" t="s">
        <v>8445</v>
      </c>
      <c r="E3785" s="0" t="s">
        <v>79</v>
      </c>
      <c r="F3785" s="0" t="s">
        <v>14788</v>
      </c>
    </row>
    <row r="3786" customFormat="false" ht="15" hidden="false" customHeight="false" outlineLevel="0" collapsed="false">
      <c r="A3786" s="0" t="n">
        <v>1256</v>
      </c>
      <c r="B3786" s="0" t="s">
        <v>8441</v>
      </c>
      <c r="C3786" s="0" t="s">
        <v>14789</v>
      </c>
      <c r="E3786" s="0" t="s">
        <v>79</v>
      </c>
      <c r="F3786" s="0" t="s">
        <v>14790</v>
      </c>
    </row>
    <row r="3787" customFormat="false" ht="15" hidden="false" customHeight="false" outlineLevel="0" collapsed="false">
      <c r="A3787" s="0" t="n">
        <v>1256</v>
      </c>
      <c r="B3787" s="0" t="s">
        <v>8441</v>
      </c>
      <c r="C3787" s="0" t="s">
        <v>14791</v>
      </c>
      <c r="E3787" s="0" t="s">
        <v>79</v>
      </c>
      <c r="F3787" s="0" t="s">
        <v>14792</v>
      </c>
    </row>
    <row r="3788" customFormat="false" ht="15" hidden="false" customHeight="false" outlineLevel="0" collapsed="false">
      <c r="A3788" s="0" t="n">
        <v>1257</v>
      </c>
      <c r="B3788" s="0" t="s">
        <v>8446</v>
      </c>
      <c r="C3788" s="0" t="s">
        <v>8448</v>
      </c>
      <c r="E3788" s="0" t="s">
        <v>79</v>
      </c>
      <c r="F3788" s="0" t="s">
        <v>14793</v>
      </c>
    </row>
    <row r="3789" customFormat="false" ht="15" hidden="false" customHeight="false" outlineLevel="0" collapsed="false">
      <c r="A3789" s="0" t="n">
        <v>1257</v>
      </c>
      <c r="B3789" s="0" t="s">
        <v>8446</v>
      </c>
      <c r="C3789" s="0" t="s">
        <v>8449</v>
      </c>
      <c r="E3789" s="0" t="s">
        <v>79</v>
      </c>
      <c r="F3789" s="0" t="s">
        <v>14794</v>
      </c>
    </row>
    <row r="3790" customFormat="false" ht="15" hidden="false" customHeight="false" outlineLevel="0" collapsed="false">
      <c r="A3790" s="0" t="n">
        <v>1257</v>
      </c>
      <c r="B3790" s="0" t="s">
        <v>8446</v>
      </c>
      <c r="C3790" s="0" t="s">
        <v>8450</v>
      </c>
      <c r="E3790" s="0" t="s">
        <v>79</v>
      </c>
      <c r="F3790" s="0" t="s">
        <v>14795</v>
      </c>
    </row>
    <row r="3791" customFormat="false" ht="15" hidden="false" customHeight="false" outlineLevel="0" collapsed="false">
      <c r="A3791" s="0" t="n">
        <v>1257</v>
      </c>
      <c r="B3791" s="0" t="s">
        <v>8446</v>
      </c>
      <c r="C3791" s="0" t="s">
        <v>14796</v>
      </c>
      <c r="E3791" s="0" t="s">
        <v>79</v>
      </c>
      <c r="F3791" s="0" t="s">
        <v>14797</v>
      </c>
    </row>
    <row r="3792" customFormat="false" ht="15" hidden="false" customHeight="false" outlineLevel="0" collapsed="false">
      <c r="A3792" s="0" t="n">
        <v>1257</v>
      </c>
      <c r="B3792" s="0" t="s">
        <v>8446</v>
      </c>
      <c r="C3792" s="0" t="s">
        <v>14798</v>
      </c>
      <c r="E3792" s="0" t="s">
        <v>79</v>
      </c>
      <c r="F3792" s="0" t="s">
        <v>14799</v>
      </c>
    </row>
    <row r="3793" customFormat="false" ht="15" hidden="false" customHeight="false" outlineLevel="0" collapsed="false">
      <c r="A3793" s="0" t="n">
        <v>1258</v>
      </c>
      <c r="B3793" s="0" t="s">
        <v>8451</v>
      </c>
      <c r="C3793" s="0" t="s">
        <v>8453</v>
      </c>
      <c r="E3793" s="0" t="s">
        <v>79</v>
      </c>
      <c r="F3793" s="0" t="s">
        <v>14800</v>
      </c>
    </row>
    <row r="3794" customFormat="false" ht="15" hidden="false" customHeight="false" outlineLevel="0" collapsed="false">
      <c r="A3794" s="0" t="n">
        <v>1258</v>
      </c>
      <c r="B3794" s="0" t="s">
        <v>8451</v>
      </c>
      <c r="C3794" s="0" t="s">
        <v>8454</v>
      </c>
      <c r="E3794" s="0" t="s">
        <v>79</v>
      </c>
      <c r="F3794" s="0" t="s">
        <v>14801</v>
      </c>
    </row>
    <row r="3795" customFormat="false" ht="15" hidden="false" customHeight="false" outlineLevel="0" collapsed="false">
      <c r="A3795" s="0" t="n">
        <v>1258</v>
      </c>
      <c r="B3795" s="0" t="s">
        <v>8451</v>
      </c>
      <c r="C3795" s="0" t="s">
        <v>8455</v>
      </c>
      <c r="E3795" s="0" t="s">
        <v>79</v>
      </c>
      <c r="F3795" s="0" t="s">
        <v>14802</v>
      </c>
    </row>
    <row r="3796" customFormat="false" ht="15" hidden="false" customHeight="false" outlineLevel="0" collapsed="false">
      <c r="A3796" s="0" t="n">
        <v>1258</v>
      </c>
      <c r="B3796" s="0" t="s">
        <v>8451</v>
      </c>
      <c r="C3796" s="0" t="s">
        <v>14803</v>
      </c>
      <c r="E3796" s="0" t="s">
        <v>79</v>
      </c>
      <c r="F3796" s="0" t="s">
        <v>14804</v>
      </c>
    </row>
    <row r="3797" customFormat="false" ht="15" hidden="false" customHeight="false" outlineLevel="0" collapsed="false">
      <c r="A3797" s="0" t="n">
        <v>1258</v>
      </c>
      <c r="B3797" s="0" t="s">
        <v>8451</v>
      </c>
      <c r="C3797" s="0" t="s">
        <v>14805</v>
      </c>
      <c r="E3797" s="0" t="s">
        <v>79</v>
      </c>
      <c r="F3797" s="0" t="s">
        <v>14806</v>
      </c>
    </row>
    <row r="3798" customFormat="false" ht="15" hidden="false" customHeight="false" outlineLevel="0" collapsed="false">
      <c r="A3798" s="0" t="n">
        <v>1259</v>
      </c>
      <c r="B3798" s="0" t="s">
        <v>8456</v>
      </c>
      <c r="C3798" s="0" t="s">
        <v>6092</v>
      </c>
      <c r="D3798" s="0" t="s">
        <v>13357</v>
      </c>
      <c r="E3798" s="0" t="s">
        <v>115</v>
      </c>
    </row>
    <row r="3799" customFormat="false" ht="15" hidden="false" customHeight="false" outlineLevel="0" collapsed="false">
      <c r="A3799" s="0" t="n">
        <v>1259</v>
      </c>
      <c r="B3799" s="0" t="s">
        <v>8456</v>
      </c>
      <c r="C3799" s="0" t="s">
        <v>6093</v>
      </c>
      <c r="D3799" s="0" t="s">
        <v>13358</v>
      </c>
      <c r="E3799" s="0" t="s">
        <v>115</v>
      </c>
    </row>
    <row r="3800" customFormat="false" ht="15" hidden="false" customHeight="false" outlineLevel="0" collapsed="false">
      <c r="A3800" s="0" t="n">
        <v>1259</v>
      </c>
      <c r="B3800" s="0" t="s">
        <v>8456</v>
      </c>
      <c r="C3800" s="0" t="s">
        <v>6094</v>
      </c>
      <c r="D3800" s="0" t="s">
        <v>13359</v>
      </c>
      <c r="E3800" s="0" t="s">
        <v>115</v>
      </c>
    </row>
    <row r="3801" customFormat="false" ht="15" hidden="false" customHeight="false" outlineLevel="0" collapsed="false">
      <c r="A3801" s="0" t="n">
        <v>1260</v>
      </c>
      <c r="B3801" s="0" t="s">
        <v>8459</v>
      </c>
      <c r="C3801" s="0" t="s">
        <v>8461</v>
      </c>
      <c r="E3801" s="0" t="s">
        <v>79</v>
      </c>
      <c r="F3801" s="0" t="s">
        <v>14807</v>
      </c>
    </row>
    <row r="3802" customFormat="false" ht="15" hidden="false" customHeight="false" outlineLevel="0" collapsed="false">
      <c r="A3802" s="0" t="n">
        <v>1260</v>
      </c>
      <c r="B3802" s="0" t="s">
        <v>8459</v>
      </c>
      <c r="C3802" s="0" t="s">
        <v>8462</v>
      </c>
      <c r="E3802" s="0" t="s">
        <v>79</v>
      </c>
      <c r="F3802" s="0" t="s">
        <v>14808</v>
      </c>
    </row>
    <row r="3803" customFormat="false" ht="15" hidden="false" customHeight="false" outlineLevel="0" collapsed="false">
      <c r="A3803" s="0" t="n">
        <v>1260</v>
      </c>
      <c r="B3803" s="0" t="s">
        <v>8459</v>
      </c>
      <c r="C3803" s="0" t="s">
        <v>8463</v>
      </c>
      <c r="E3803" s="0" t="s">
        <v>79</v>
      </c>
      <c r="F3803" s="0" t="s">
        <v>14809</v>
      </c>
    </row>
    <row r="3804" customFormat="false" ht="15" hidden="false" customHeight="false" outlineLevel="0" collapsed="false">
      <c r="A3804" s="0" t="n">
        <v>1260</v>
      </c>
      <c r="B3804" s="0" t="s">
        <v>8459</v>
      </c>
      <c r="C3804" s="0" t="s">
        <v>14810</v>
      </c>
      <c r="E3804" s="0" t="s">
        <v>79</v>
      </c>
      <c r="F3804" s="0" t="s">
        <v>14811</v>
      </c>
    </row>
    <row r="3805" customFormat="false" ht="15" hidden="false" customHeight="false" outlineLevel="0" collapsed="false">
      <c r="A3805" s="0" t="n">
        <v>1260</v>
      </c>
      <c r="B3805" s="0" t="s">
        <v>8459</v>
      </c>
      <c r="C3805" s="0" t="s">
        <v>14812</v>
      </c>
      <c r="E3805" s="0" t="s">
        <v>79</v>
      </c>
      <c r="F3805" s="0" t="s">
        <v>14813</v>
      </c>
    </row>
    <row r="3806" customFormat="false" ht="15" hidden="false" customHeight="false" outlineLevel="0" collapsed="false">
      <c r="A3806" s="0" t="n">
        <v>1261</v>
      </c>
      <c r="B3806" s="0" t="s">
        <v>8464</v>
      </c>
      <c r="C3806" s="0" t="s">
        <v>6092</v>
      </c>
      <c r="D3806" s="0" t="s">
        <v>13357</v>
      </c>
      <c r="E3806" s="0" t="s">
        <v>115</v>
      </c>
    </row>
    <row r="3807" customFormat="false" ht="15" hidden="false" customHeight="false" outlineLevel="0" collapsed="false">
      <c r="A3807" s="0" t="n">
        <v>1261</v>
      </c>
      <c r="B3807" s="0" t="s">
        <v>8464</v>
      </c>
      <c r="C3807" s="0" t="s">
        <v>6093</v>
      </c>
      <c r="D3807" s="0" t="s">
        <v>13358</v>
      </c>
      <c r="E3807" s="0" t="s">
        <v>115</v>
      </c>
    </row>
    <row r="3808" customFormat="false" ht="15" hidden="false" customHeight="false" outlineLevel="0" collapsed="false">
      <c r="A3808" s="0" t="n">
        <v>1261</v>
      </c>
      <c r="B3808" s="0" t="s">
        <v>8464</v>
      </c>
      <c r="C3808" s="0" t="s">
        <v>6094</v>
      </c>
      <c r="D3808" s="0" t="s">
        <v>13359</v>
      </c>
      <c r="E3808" s="0" t="s">
        <v>115</v>
      </c>
    </row>
    <row r="3809" customFormat="false" ht="15" hidden="false" customHeight="false" outlineLevel="0" collapsed="false">
      <c r="A3809" s="0" t="n">
        <v>1262</v>
      </c>
      <c r="B3809" s="0" t="s">
        <v>8467</v>
      </c>
      <c r="C3809" s="0" t="s">
        <v>8469</v>
      </c>
      <c r="E3809" s="0" t="s">
        <v>79</v>
      </c>
      <c r="F3809" s="0" t="s">
        <v>14814</v>
      </c>
    </row>
    <row r="3810" customFormat="false" ht="15" hidden="false" customHeight="false" outlineLevel="0" collapsed="false">
      <c r="A3810" s="0" t="n">
        <v>1262</v>
      </c>
      <c r="B3810" s="0" t="s">
        <v>8467</v>
      </c>
      <c r="C3810" s="0" t="s">
        <v>8470</v>
      </c>
      <c r="E3810" s="0" t="s">
        <v>79</v>
      </c>
      <c r="F3810" s="0" t="s">
        <v>14815</v>
      </c>
    </row>
    <row r="3811" customFormat="false" ht="15" hidden="false" customHeight="false" outlineLevel="0" collapsed="false">
      <c r="A3811" s="0" t="n">
        <v>1262</v>
      </c>
      <c r="B3811" s="0" t="s">
        <v>8467</v>
      </c>
      <c r="C3811" s="0" t="s">
        <v>8471</v>
      </c>
      <c r="E3811" s="0" t="s">
        <v>79</v>
      </c>
      <c r="F3811" s="0" t="s">
        <v>14816</v>
      </c>
    </row>
    <row r="3812" customFormat="false" ht="15" hidden="false" customHeight="false" outlineLevel="0" collapsed="false">
      <c r="A3812" s="0" t="n">
        <v>1262</v>
      </c>
      <c r="B3812" s="0" t="s">
        <v>8467</v>
      </c>
      <c r="C3812" s="0" t="s">
        <v>14817</v>
      </c>
      <c r="E3812" s="0" t="s">
        <v>79</v>
      </c>
      <c r="F3812" s="0" t="s">
        <v>14818</v>
      </c>
    </row>
    <row r="3813" customFormat="false" ht="15" hidden="false" customHeight="false" outlineLevel="0" collapsed="false">
      <c r="A3813" s="0" t="n">
        <v>1262</v>
      </c>
      <c r="B3813" s="0" t="s">
        <v>8467</v>
      </c>
      <c r="C3813" s="0" t="s">
        <v>14819</v>
      </c>
      <c r="E3813" s="0" t="s">
        <v>79</v>
      </c>
      <c r="F3813" s="0" t="s">
        <v>14820</v>
      </c>
    </row>
    <row r="3814" customFormat="false" ht="15" hidden="false" customHeight="false" outlineLevel="0" collapsed="false">
      <c r="A3814" s="0" t="n">
        <v>1263</v>
      </c>
      <c r="B3814" s="0" t="s">
        <v>8472</v>
      </c>
      <c r="C3814" s="0" t="s">
        <v>8474</v>
      </c>
      <c r="E3814" s="0" t="s">
        <v>79</v>
      </c>
      <c r="F3814" s="0" t="s">
        <v>14821</v>
      </c>
    </row>
    <row r="3815" customFormat="false" ht="15" hidden="false" customHeight="false" outlineLevel="0" collapsed="false">
      <c r="A3815" s="0" t="n">
        <v>1263</v>
      </c>
      <c r="B3815" s="0" t="s">
        <v>8472</v>
      </c>
      <c r="C3815" s="0" t="s">
        <v>8475</v>
      </c>
      <c r="E3815" s="0" t="s">
        <v>79</v>
      </c>
      <c r="F3815" s="0" t="s">
        <v>14822</v>
      </c>
    </row>
    <row r="3816" customFormat="false" ht="15" hidden="false" customHeight="false" outlineLevel="0" collapsed="false">
      <c r="A3816" s="0" t="n">
        <v>1263</v>
      </c>
      <c r="B3816" s="0" t="s">
        <v>8472</v>
      </c>
      <c r="C3816" s="0" t="s">
        <v>8476</v>
      </c>
      <c r="E3816" s="0" t="s">
        <v>79</v>
      </c>
      <c r="F3816" s="0" t="s">
        <v>14823</v>
      </c>
    </row>
    <row r="3817" customFormat="false" ht="15" hidden="false" customHeight="false" outlineLevel="0" collapsed="false">
      <c r="A3817" s="0" t="n">
        <v>1263</v>
      </c>
      <c r="B3817" s="0" t="s">
        <v>8472</v>
      </c>
      <c r="C3817" s="0" t="s">
        <v>14824</v>
      </c>
      <c r="E3817" s="0" t="s">
        <v>79</v>
      </c>
      <c r="F3817" s="0" t="s">
        <v>14825</v>
      </c>
    </row>
    <row r="3818" customFormat="false" ht="15" hidden="false" customHeight="false" outlineLevel="0" collapsed="false">
      <c r="A3818" s="0" t="n">
        <v>1265</v>
      </c>
      <c r="B3818" s="0" t="s">
        <v>8482</v>
      </c>
      <c r="C3818" s="0" t="s">
        <v>8484</v>
      </c>
      <c r="E3818" s="0" t="s">
        <v>79</v>
      </c>
      <c r="F3818" s="0" t="s">
        <v>14826</v>
      </c>
    </row>
    <row r="3819" customFormat="false" ht="15" hidden="false" customHeight="false" outlineLevel="0" collapsed="false">
      <c r="A3819" s="0" t="n">
        <v>1265</v>
      </c>
      <c r="B3819" s="0" t="s">
        <v>8482</v>
      </c>
      <c r="C3819" s="0" t="s">
        <v>8485</v>
      </c>
      <c r="E3819" s="0" t="s">
        <v>79</v>
      </c>
      <c r="F3819" s="0" t="s">
        <v>14827</v>
      </c>
    </row>
    <row r="3820" customFormat="false" ht="15" hidden="false" customHeight="false" outlineLevel="0" collapsed="false">
      <c r="A3820" s="0" t="n">
        <v>1265</v>
      </c>
      <c r="B3820" s="0" t="s">
        <v>8482</v>
      </c>
      <c r="C3820" s="0" t="s">
        <v>8486</v>
      </c>
      <c r="E3820" s="0" t="s">
        <v>79</v>
      </c>
      <c r="F3820" s="0" t="s">
        <v>14828</v>
      </c>
    </row>
    <row r="3821" customFormat="false" ht="15" hidden="false" customHeight="false" outlineLevel="0" collapsed="false">
      <c r="A3821" s="0" t="n">
        <v>1265</v>
      </c>
      <c r="B3821" s="0" t="s">
        <v>8482</v>
      </c>
      <c r="C3821" s="0" t="s">
        <v>14829</v>
      </c>
      <c r="E3821" s="0" t="s">
        <v>79</v>
      </c>
      <c r="F3821" s="0" t="s">
        <v>14830</v>
      </c>
    </row>
    <row r="3822" customFormat="false" ht="15" hidden="false" customHeight="false" outlineLevel="0" collapsed="false">
      <c r="A3822" s="0" t="n">
        <v>1265</v>
      </c>
      <c r="B3822" s="0" t="s">
        <v>8482</v>
      </c>
      <c r="C3822" s="0" t="s">
        <v>14831</v>
      </c>
      <c r="E3822" s="0" t="s">
        <v>79</v>
      </c>
      <c r="F3822" s="0" t="s">
        <v>14832</v>
      </c>
    </row>
    <row r="3823" customFormat="false" ht="15" hidden="false" customHeight="false" outlineLevel="0" collapsed="false">
      <c r="A3823" s="0" t="n">
        <v>1266</v>
      </c>
      <c r="B3823" s="0" t="s">
        <v>8487</v>
      </c>
      <c r="C3823" s="0" t="s">
        <v>8489</v>
      </c>
      <c r="E3823" s="0" t="s">
        <v>79</v>
      </c>
      <c r="F3823" s="0" t="s">
        <v>14833</v>
      </c>
    </row>
    <row r="3824" customFormat="false" ht="15" hidden="false" customHeight="false" outlineLevel="0" collapsed="false">
      <c r="A3824" s="0" t="n">
        <v>1266</v>
      </c>
      <c r="B3824" s="0" t="s">
        <v>8487</v>
      </c>
      <c r="C3824" s="0" t="s">
        <v>8490</v>
      </c>
      <c r="E3824" s="0" t="s">
        <v>79</v>
      </c>
      <c r="F3824" s="0" t="s">
        <v>14834</v>
      </c>
    </row>
    <row r="3825" customFormat="false" ht="15" hidden="false" customHeight="false" outlineLevel="0" collapsed="false">
      <c r="A3825" s="0" t="n">
        <v>1266</v>
      </c>
      <c r="B3825" s="0" t="s">
        <v>8487</v>
      </c>
      <c r="C3825" s="0" t="s">
        <v>8491</v>
      </c>
      <c r="E3825" s="0" t="s">
        <v>79</v>
      </c>
      <c r="F3825" s="0" t="s">
        <v>14835</v>
      </c>
    </row>
    <row r="3826" customFormat="false" ht="15" hidden="false" customHeight="false" outlineLevel="0" collapsed="false">
      <c r="A3826" s="0" t="n">
        <v>1268</v>
      </c>
      <c r="B3826" s="0" t="s">
        <v>8499</v>
      </c>
      <c r="C3826" s="0" t="s">
        <v>8502</v>
      </c>
      <c r="E3826" s="0" t="s">
        <v>79</v>
      </c>
      <c r="F3826" s="0" t="s">
        <v>14836</v>
      </c>
    </row>
    <row r="3827" customFormat="false" ht="15" hidden="false" customHeight="false" outlineLevel="0" collapsed="false">
      <c r="A3827" s="0" t="n">
        <v>1268</v>
      </c>
      <c r="B3827" s="0" t="s">
        <v>8499</v>
      </c>
      <c r="C3827" s="0" t="s">
        <v>8503</v>
      </c>
      <c r="E3827" s="0" t="s">
        <v>79</v>
      </c>
      <c r="F3827" s="0" t="s">
        <v>14837</v>
      </c>
    </row>
    <row r="3828" customFormat="false" ht="15" hidden="false" customHeight="false" outlineLevel="0" collapsed="false">
      <c r="A3828" s="0" t="n">
        <v>1268</v>
      </c>
      <c r="B3828" s="0" t="s">
        <v>8499</v>
      </c>
      <c r="C3828" s="0" t="s">
        <v>8504</v>
      </c>
      <c r="E3828" s="0" t="s">
        <v>79</v>
      </c>
      <c r="F3828" s="0" t="s">
        <v>14838</v>
      </c>
    </row>
    <row r="3829" customFormat="false" ht="15" hidden="false" customHeight="false" outlineLevel="0" collapsed="false">
      <c r="A3829" s="0" t="n">
        <v>1268</v>
      </c>
      <c r="B3829" s="0" t="s">
        <v>8499</v>
      </c>
      <c r="C3829" s="0" t="s">
        <v>14839</v>
      </c>
      <c r="E3829" s="0" t="s">
        <v>79</v>
      </c>
      <c r="F3829" s="0" t="s">
        <v>14840</v>
      </c>
    </row>
    <row r="3830" customFormat="false" ht="15" hidden="false" customHeight="false" outlineLevel="0" collapsed="false">
      <c r="A3830" s="0" t="n">
        <v>1268</v>
      </c>
      <c r="B3830" s="0" t="s">
        <v>8499</v>
      </c>
      <c r="C3830" s="0" t="s">
        <v>14841</v>
      </c>
      <c r="E3830" s="0" t="s">
        <v>79</v>
      </c>
      <c r="F3830" s="0" t="s">
        <v>14842</v>
      </c>
    </row>
    <row r="3831" customFormat="false" ht="15" hidden="false" customHeight="false" outlineLevel="0" collapsed="false">
      <c r="A3831" s="0" t="n">
        <v>1269</v>
      </c>
      <c r="B3831" s="0" t="s">
        <v>8508</v>
      </c>
      <c r="C3831" s="0" t="s">
        <v>8510</v>
      </c>
      <c r="E3831" s="0" t="s">
        <v>79</v>
      </c>
      <c r="F3831" s="0" t="s">
        <v>14843</v>
      </c>
    </row>
    <row r="3832" customFormat="false" ht="15" hidden="false" customHeight="false" outlineLevel="0" collapsed="false">
      <c r="A3832" s="0" t="n">
        <v>1269</v>
      </c>
      <c r="B3832" s="0" t="s">
        <v>8508</v>
      </c>
      <c r="C3832" s="0" t="s">
        <v>8511</v>
      </c>
      <c r="E3832" s="0" t="s">
        <v>79</v>
      </c>
      <c r="F3832" s="0" t="s">
        <v>14844</v>
      </c>
    </row>
    <row r="3833" customFormat="false" ht="15" hidden="false" customHeight="false" outlineLevel="0" collapsed="false">
      <c r="A3833" s="0" t="n">
        <v>1269</v>
      </c>
      <c r="B3833" s="0" t="s">
        <v>8508</v>
      </c>
      <c r="C3833" s="0" t="s">
        <v>8512</v>
      </c>
      <c r="E3833" s="0" t="s">
        <v>79</v>
      </c>
      <c r="F3833" s="0" t="s">
        <v>14845</v>
      </c>
    </row>
    <row r="3834" customFormat="false" ht="15" hidden="false" customHeight="false" outlineLevel="0" collapsed="false">
      <c r="A3834" s="0" t="n">
        <v>1269</v>
      </c>
      <c r="B3834" s="0" t="s">
        <v>8508</v>
      </c>
      <c r="C3834" s="0" t="s">
        <v>14846</v>
      </c>
      <c r="E3834" s="0" t="s">
        <v>79</v>
      </c>
      <c r="F3834" s="0" t="s">
        <v>14847</v>
      </c>
    </row>
    <row r="3835" customFormat="false" ht="15" hidden="false" customHeight="false" outlineLevel="0" collapsed="false">
      <c r="A3835" s="0" t="n">
        <v>1269</v>
      </c>
      <c r="B3835" s="0" t="s">
        <v>8508</v>
      </c>
      <c r="C3835" s="0" t="s">
        <v>14848</v>
      </c>
      <c r="E3835" s="0" t="s">
        <v>79</v>
      </c>
      <c r="F3835" s="0" t="s">
        <v>14849</v>
      </c>
    </row>
    <row r="3836" customFormat="false" ht="15" hidden="false" customHeight="false" outlineLevel="0" collapsed="false">
      <c r="A3836" s="0" t="n">
        <v>1270</v>
      </c>
      <c r="B3836" s="0" t="s">
        <v>8515</v>
      </c>
      <c r="C3836" s="0" t="s">
        <v>8518</v>
      </c>
      <c r="E3836" s="0" t="s">
        <v>79</v>
      </c>
      <c r="F3836" s="0" t="s">
        <v>14850</v>
      </c>
    </row>
    <row r="3837" customFormat="false" ht="15" hidden="false" customHeight="false" outlineLevel="0" collapsed="false">
      <c r="A3837" s="0" t="n">
        <v>1270</v>
      </c>
      <c r="B3837" s="0" t="s">
        <v>8515</v>
      </c>
      <c r="C3837" s="0" t="s">
        <v>8519</v>
      </c>
      <c r="E3837" s="0" t="s">
        <v>79</v>
      </c>
      <c r="F3837" s="0" t="s">
        <v>14851</v>
      </c>
    </row>
    <row r="3838" customFormat="false" ht="15" hidden="false" customHeight="false" outlineLevel="0" collapsed="false">
      <c r="A3838" s="0" t="n">
        <v>1270</v>
      </c>
      <c r="B3838" s="0" t="s">
        <v>8515</v>
      </c>
      <c r="C3838" s="0" t="s">
        <v>8520</v>
      </c>
      <c r="E3838" s="0" t="s">
        <v>79</v>
      </c>
      <c r="F3838" s="0" t="s">
        <v>14852</v>
      </c>
    </row>
    <row r="3839" customFormat="false" ht="15" hidden="false" customHeight="false" outlineLevel="0" collapsed="false">
      <c r="A3839" s="0" t="n">
        <v>1270</v>
      </c>
      <c r="B3839" s="0" t="s">
        <v>8515</v>
      </c>
      <c r="C3839" s="0" t="s">
        <v>14853</v>
      </c>
      <c r="E3839" s="0" t="s">
        <v>79</v>
      </c>
      <c r="F3839" s="0" t="s">
        <v>14854</v>
      </c>
    </row>
    <row r="3840" customFormat="false" ht="15" hidden="false" customHeight="false" outlineLevel="0" collapsed="false">
      <c r="A3840" s="0" t="n">
        <v>1270</v>
      </c>
      <c r="B3840" s="0" t="s">
        <v>8515</v>
      </c>
      <c r="C3840" s="0" t="s">
        <v>14855</v>
      </c>
      <c r="E3840" s="0" t="s">
        <v>79</v>
      </c>
      <c r="F3840" s="0" t="s">
        <v>14856</v>
      </c>
    </row>
    <row r="3841" customFormat="false" ht="15" hidden="false" customHeight="false" outlineLevel="0" collapsed="false">
      <c r="A3841" s="0" t="n">
        <v>1271</v>
      </c>
      <c r="B3841" s="0" t="s">
        <v>8521</v>
      </c>
      <c r="C3841" s="0" t="s">
        <v>8523</v>
      </c>
      <c r="E3841" s="0" t="s">
        <v>79</v>
      </c>
      <c r="F3841" s="0" t="s">
        <v>14857</v>
      </c>
    </row>
    <row r="3842" customFormat="false" ht="15" hidden="false" customHeight="false" outlineLevel="0" collapsed="false">
      <c r="A3842" s="0" t="n">
        <v>1271</v>
      </c>
      <c r="B3842" s="0" t="s">
        <v>8521</v>
      </c>
      <c r="C3842" s="0" t="s">
        <v>8524</v>
      </c>
      <c r="E3842" s="0" t="s">
        <v>79</v>
      </c>
      <c r="F3842" s="0" t="s">
        <v>14858</v>
      </c>
    </row>
    <row r="3843" customFormat="false" ht="15" hidden="false" customHeight="false" outlineLevel="0" collapsed="false">
      <c r="A3843" s="0" t="n">
        <v>1271</v>
      </c>
      <c r="B3843" s="0" t="s">
        <v>8521</v>
      </c>
      <c r="C3843" s="0" t="s">
        <v>8525</v>
      </c>
      <c r="E3843" s="0" t="s">
        <v>79</v>
      </c>
      <c r="F3843" s="0" t="s">
        <v>14859</v>
      </c>
    </row>
    <row r="3844" customFormat="false" ht="15" hidden="false" customHeight="false" outlineLevel="0" collapsed="false">
      <c r="A3844" s="0" t="n">
        <v>1271</v>
      </c>
      <c r="B3844" s="0" t="s">
        <v>8521</v>
      </c>
      <c r="C3844" s="0" t="s">
        <v>14860</v>
      </c>
      <c r="E3844" s="0" t="s">
        <v>79</v>
      </c>
      <c r="F3844" s="0" t="s">
        <v>14861</v>
      </c>
    </row>
    <row r="3845" customFormat="false" ht="15" hidden="false" customHeight="false" outlineLevel="0" collapsed="false">
      <c r="A3845" s="0" t="n">
        <v>1271</v>
      </c>
      <c r="B3845" s="0" t="s">
        <v>8521</v>
      </c>
      <c r="C3845" s="0" t="s">
        <v>14862</v>
      </c>
      <c r="E3845" s="0" t="s">
        <v>79</v>
      </c>
      <c r="F3845" s="0" t="s">
        <v>14863</v>
      </c>
    </row>
    <row r="3846" customFormat="false" ht="15" hidden="false" customHeight="false" outlineLevel="0" collapsed="false">
      <c r="A3846" s="0" t="n">
        <v>1272</v>
      </c>
      <c r="B3846" s="0" t="s">
        <v>8526</v>
      </c>
      <c r="C3846" s="0" t="s">
        <v>8529</v>
      </c>
      <c r="E3846" s="0" t="s">
        <v>79</v>
      </c>
      <c r="F3846" s="0" t="s">
        <v>14864</v>
      </c>
    </row>
    <row r="3847" customFormat="false" ht="15" hidden="false" customHeight="false" outlineLevel="0" collapsed="false">
      <c r="A3847" s="0" t="n">
        <v>1272</v>
      </c>
      <c r="B3847" s="0" t="s">
        <v>8526</v>
      </c>
      <c r="C3847" s="0" t="s">
        <v>8530</v>
      </c>
      <c r="E3847" s="0" t="s">
        <v>79</v>
      </c>
      <c r="F3847" s="0" t="s">
        <v>14865</v>
      </c>
    </row>
    <row r="3848" customFormat="false" ht="15" hidden="false" customHeight="false" outlineLevel="0" collapsed="false">
      <c r="A3848" s="0" t="n">
        <v>1272</v>
      </c>
      <c r="B3848" s="0" t="s">
        <v>8526</v>
      </c>
      <c r="C3848" s="0" t="s">
        <v>8531</v>
      </c>
      <c r="E3848" s="0" t="s">
        <v>79</v>
      </c>
      <c r="F3848" s="0" t="s">
        <v>14866</v>
      </c>
    </row>
    <row r="3849" customFormat="false" ht="15" hidden="false" customHeight="false" outlineLevel="0" collapsed="false">
      <c r="A3849" s="0" t="n">
        <v>1272</v>
      </c>
      <c r="B3849" s="0" t="s">
        <v>8526</v>
      </c>
      <c r="C3849" s="0" t="s">
        <v>14867</v>
      </c>
      <c r="E3849" s="0" t="s">
        <v>79</v>
      </c>
      <c r="F3849" s="0" t="s">
        <v>14868</v>
      </c>
    </row>
    <row r="3850" customFormat="false" ht="15" hidden="false" customHeight="false" outlineLevel="0" collapsed="false">
      <c r="A3850" s="0" t="n">
        <v>1272</v>
      </c>
      <c r="B3850" s="0" t="s">
        <v>8526</v>
      </c>
      <c r="C3850" s="0" t="s">
        <v>14869</v>
      </c>
      <c r="E3850" s="0" t="s">
        <v>79</v>
      </c>
      <c r="F3850" s="0" t="s">
        <v>14870</v>
      </c>
    </row>
    <row r="3851" customFormat="false" ht="15" hidden="false" customHeight="false" outlineLevel="0" collapsed="false">
      <c r="A3851" s="0" t="n">
        <v>1274</v>
      </c>
      <c r="B3851" s="0" t="s">
        <v>8542</v>
      </c>
      <c r="C3851" s="0" t="s">
        <v>8544</v>
      </c>
      <c r="E3851" s="0" t="s">
        <v>79</v>
      </c>
      <c r="F3851" s="0" t="s">
        <v>14871</v>
      </c>
    </row>
    <row r="3852" customFormat="false" ht="15" hidden="false" customHeight="false" outlineLevel="0" collapsed="false">
      <c r="A3852" s="0" t="n">
        <v>1274</v>
      </c>
      <c r="B3852" s="0" t="s">
        <v>8542</v>
      </c>
      <c r="C3852" s="0" t="s">
        <v>8545</v>
      </c>
      <c r="E3852" s="0" t="s">
        <v>79</v>
      </c>
      <c r="F3852" s="0" t="s">
        <v>14872</v>
      </c>
    </row>
    <row r="3853" customFormat="false" ht="15" hidden="false" customHeight="false" outlineLevel="0" collapsed="false">
      <c r="A3853" s="0" t="n">
        <v>1274</v>
      </c>
      <c r="B3853" s="0" t="s">
        <v>8542</v>
      </c>
      <c r="C3853" s="0" t="s">
        <v>8546</v>
      </c>
      <c r="E3853" s="0" t="s">
        <v>79</v>
      </c>
      <c r="F3853" s="0" t="s">
        <v>14873</v>
      </c>
    </row>
    <row r="3854" customFormat="false" ht="15" hidden="false" customHeight="false" outlineLevel="0" collapsed="false">
      <c r="A3854" s="0" t="n">
        <v>1274</v>
      </c>
      <c r="B3854" s="0" t="s">
        <v>8542</v>
      </c>
      <c r="C3854" s="0" t="s">
        <v>14874</v>
      </c>
      <c r="E3854" s="0" t="s">
        <v>79</v>
      </c>
      <c r="F3854" s="0" t="s">
        <v>14875</v>
      </c>
    </row>
    <row r="3855" customFormat="false" ht="15" hidden="false" customHeight="false" outlineLevel="0" collapsed="false">
      <c r="A3855" s="0" t="n">
        <v>1274</v>
      </c>
      <c r="B3855" s="0" t="s">
        <v>8542</v>
      </c>
      <c r="C3855" s="0" t="s">
        <v>14876</v>
      </c>
      <c r="E3855" s="0" t="s">
        <v>79</v>
      </c>
      <c r="F3855" s="0" t="s">
        <v>14877</v>
      </c>
    </row>
    <row r="3856" customFormat="false" ht="15" hidden="false" customHeight="false" outlineLevel="0" collapsed="false">
      <c r="A3856" s="0" t="n">
        <v>1275</v>
      </c>
      <c r="B3856" s="0" t="s">
        <v>8547</v>
      </c>
      <c r="C3856" s="0" t="s">
        <v>8549</v>
      </c>
      <c r="E3856" s="0" t="s">
        <v>79</v>
      </c>
      <c r="F3856" s="0" t="s">
        <v>14878</v>
      </c>
    </row>
    <row r="3857" customFormat="false" ht="15" hidden="false" customHeight="false" outlineLevel="0" collapsed="false">
      <c r="A3857" s="0" t="n">
        <v>1275</v>
      </c>
      <c r="B3857" s="0" t="s">
        <v>8547</v>
      </c>
      <c r="C3857" s="0" t="s">
        <v>8550</v>
      </c>
      <c r="E3857" s="0" t="s">
        <v>79</v>
      </c>
      <c r="F3857" s="0" t="s">
        <v>14879</v>
      </c>
    </row>
    <row r="3858" customFormat="false" ht="15" hidden="false" customHeight="false" outlineLevel="0" collapsed="false">
      <c r="A3858" s="0" t="n">
        <v>1275</v>
      </c>
      <c r="B3858" s="0" t="s">
        <v>8547</v>
      </c>
      <c r="C3858" s="0" t="s">
        <v>8551</v>
      </c>
      <c r="E3858" s="0" t="s">
        <v>79</v>
      </c>
      <c r="F3858" s="0" t="s">
        <v>14880</v>
      </c>
    </row>
    <row r="3859" customFormat="false" ht="15" hidden="false" customHeight="false" outlineLevel="0" collapsed="false">
      <c r="A3859" s="0" t="n">
        <v>1275</v>
      </c>
      <c r="B3859" s="0" t="s">
        <v>8547</v>
      </c>
      <c r="C3859" s="0" t="s">
        <v>14881</v>
      </c>
      <c r="E3859" s="0" t="s">
        <v>79</v>
      </c>
      <c r="F3859" s="0" t="s">
        <v>14882</v>
      </c>
    </row>
    <row r="3860" customFormat="false" ht="15" hidden="false" customHeight="false" outlineLevel="0" collapsed="false">
      <c r="A3860" s="0" t="n">
        <v>1275</v>
      </c>
      <c r="B3860" s="0" t="s">
        <v>8547</v>
      </c>
      <c r="C3860" s="0" t="s">
        <v>14883</v>
      </c>
      <c r="E3860" s="0" t="s">
        <v>79</v>
      </c>
      <c r="F3860" s="0" t="s">
        <v>14884</v>
      </c>
    </row>
    <row r="3861" customFormat="false" ht="15" hidden="false" customHeight="false" outlineLevel="0" collapsed="false">
      <c r="A3861" s="0" t="n">
        <v>1276</v>
      </c>
      <c r="B3861" s="0" t="s">
        <v>8552</v>
      </c>
      <c r="C3861" s="0" t="s">
        <v>6338</v>
      </c>
      <c r="D3861" s="0" t="s">
        <v>13511</v>
      </c>
      <c r="E3861" s="0" t="s">
        <v>115</v>
      </c>
    </row>
    <row r="3862" customFormat="false" ht="15" hidden="false" customHeight="false" outlineLevel="0" collapsed="false">
      <c r="A3862" s="0" t="n">
        <v>1276</v>
      </c>
      <c r="B3862" s="0" t="s">
        <v>8552</v>
      </c>
      <c r="C3862" s="0" t="s">
        <v>6339</v>
      </c>
      <c r="D3862" s="0" t="s">
        <v>13512</v>
      </c>
      <c r="E3862" s="0" t="s">
        <v>115</v>
      </c>
    </row>
    <row r="3863" customFormat="false" ht="15" hidden="false" customHeight="false" outlineLevel="0" collapsed="false">
      <c r="A3863" s="0" t="n">
        <v>1276</v>
      </c>
      <c r="B3863" s="0" t="s">
        <v>8552</v>
      </c>
      <c r="C3863" s="0" t="s">
        <v>6340</v>
      </c>
      <c r="D3863" s="0" t="s">
        <v>13513</v>
      </c>
      <c r="E3863" s="0" t="s">
        <v>115</v>
      </c>
    </row>
    <row r="3864" customFormat="false" ht="15" hidden="false" customHeight="false" outlineLevel="0" collapsed="false">
      <c r="A3864" s="0" t="n">
        <v>1278</v>
      </c>
      <c r="B3864" s="0" t="s">
        <v>8554</v>
      </c>
      <c r="C3864" s="0" t="s">
        <v>8557</v>
      </c>
      <c r="E3864" s="0" t="s">
        <v>59</v>
      </c>
      <c r="F3864" s="0" t="s">
        <v>14885</v>
      </c>
    </row>
    <row r="3865" customFormat="false" ht="15" hidden="false" customHeight="false" outlineLevel="0" collapsed="false">
      <c r="A3865" s="0" t="n">
        <v>1278</v>
      </c>
      <c r="B3865" s="0" t="s">
        <v>8554</v>
      </c>
      <c r="C3865" s="0" t="s">
        <v>8558</v>
      </c>
      <c r="E3865" s="0" t="s">
        <v>59</v>
      </c>
      <c r="F3865" s="0" t="s">
        <v>14886</v>
      </c>
    </row>
    <row r="3866" customFormat="false" ht="15" hidden="false" customHeight="false" outlineLevel="0" collapsed="false">
      <c r="A3866" s="0" t="n">
        <v>1278</v>
      </c>
      <c r="B3866" s="0" t="s">
        <v>8554</v>
      </c>
      <c r="C3866" s="0" t="s">
        <v>8559</v>
      </c>
      <c r="E3866" s="0" t="s">
        <v>59</v>
      </c>
      <c r="F3866" s="0" t="s">
        <v>14887</v>
      </c>
    </row>
    <row r="3867" customFormat="false" ht="15" hidden="false" customHeight="false" outlineLevel="0" collapsed="false">
      <c r="A3867" s="0" t="n">
        <v>1278</v>
      </c>
      <c r="B3867" s="0" t="s">
        <v>8554</v>
      </c>
      <c r="C3867" s="0" t="s">
        <v>14888</v>
      </c>
      <c r="E3867" s="0" t="s">
        <v>59</v>
      </c>
      <c r="F3867" s="0" t="s">
        <v>14889</v>
      </c>
    </row>
    <row r="3868" customFormat="false" ht="15" hidden="false" customHeight="false" outlineLevel="0" collapsed="false">
      <c r="A3868" s="0" t="n">
        <v>1278</v>
      </c>
      <c r="B3868" s="0" t="s">
        <v>8554</v>
      </c>
      <c r="C3868" s="0" t="s">
        <v>14890</v>
      </c>
      <c r="E3868" s="0" t="s">
        <v>59</v>
      </c>
      <c r="F3868" s="0" t="s">
        <v>14891</v>
      </c>
    </row>
    <row r="3869" customFormat="false" ht="15" hidden="false" customHeight="false" outlineLevel="0" collapsed="false">
      <c r="A3869" s="0" t="n">
        <v>1280</v>
      </c>
      <c r="B3869" s="0" t="s">
        <v>8564</v>
      </c>
      <c r="C3869" s="0" t="s">
        <v>8567</v>
      </c>
      <c r="E3869" s="0" t="s">
        <v>79</v>
      </c>
      <c r="F3869" s="0" t="s">
        <v>14892</v>
      </c>
    </row>
    <row r="3870" customFormat="false" ht="15" hidden="false" customHeight="false" outlineLevel="0" collapsed="false">
      <c r="A3870" s="0" t="n">
        <v>1280</v>
      </c>
      <c r="B3870" s="0" t="s">
        <v>8564</v>
      </c>
      <c r="C3870" s="0" t="s">
        <v>8568</v>
      </c>
      <c r="E3870" s="0" t="s">
        <v>79</v>
      </c>
      <c r="F3870" s="0" t="s">
        <v>14893</v>
      </c>
    </row>
    <row r="3871" customFormat="false" ht="15" hidden="false" customHeight="false" outlineLevel="0" collapsed="false">
      <c r="A3871" s="0" t="n">
        <v>1280</v>
      </c>
      <c r="B3871" s="0" t="s">
        <v>8564</v>
      </c>
      <c r="C3871" s="0" t="s">
        <v>8569</v>
      </c>
      <c r="E3871" s="0" t="s">
        <v>79</v>
      </c>
      <c r="F3871" s="0" t="s">
        <v>14894</v>
      </c>
    </row>
    <row r="3872" customFormat="false" ht="15" hidden="false" customHeight="false" outlineLevel="0" collapsed="false">
      <c r="A3872" s="0" t="n">
        <v>1280</v>
      </c>
      <c r="B3872" s="0" t="s">
        <v>8564</v>
      </c>
      <c r="C3872" s="0" t="s">
        <v>14895</v>
      </c>
      <c r="E3872" s="0" t="s">
        <v>79</v>
      </c>
      <c r="F3872" s="0" t="s">
        <v>14896</v>
      </c>
    </row>
    <row r="3873" customFormat="false" ht="15" hidden="false" customHeight="false" outlineLevel="0" collapsed="false">
      <c r="A3873" s="0" t="n">
        <v>1280</v>
      </c>
      <c r="B3873" s="0" t="s">
        <v>8564</v>
      </c>
      <c r="C3873" s="0" t="s">
        <v>14897</v>
      </c>
      <c r="E3873" s="0" t="s">
        <v>79</v>
      </c>
      <c r="F3873" s="0" t="s">
        <v>14898</v>
      </c>
    </row>
    <row r="3874" customFormat="false" ht="15" hidden="false" customHeight="false" outlineLevel="0" collapsed="false">
      <c r="A3874" s="0" t="n">
        <v>1281</v>
      </c>
      <c r="B3874" s="0" t="s">
        <v>8574</v>
      </c>
      <c r="C3874" s="0" t="s">
        <v>8577</v>
      </c>
      <c r="E3874" s="0" t="s">
        <v>59</v>
      </c>
      <c r="F3874" s="0" t="s">
        <v>14899</v>
      </c>
    </row>
    <row r="3875" customFormat="false" ht="15" hidden="false" customHeight="false" outlineLevel="0" collapsed="false">
      <c r="A3875" s="0" t="n">
        <v>1281</v>
      </c>
      <c r="B3875" s="0" t="s">
        <v>8574</v>
      </c>
      <c r="C3875" s="0" t="s">
        <v>8578</v>
      </c>
      <c r="E3875" s="0" t="s">
        <v>59</v>
      </c>
      <c r="F3875" s="0" t="s">
        <v>14900</v>
      </c>
    </row>
    <row r="3876" customFormat="false" ht="15" hidden="false" customHeight="false" outlineLevel="0" collapsed="false">
      <c r="A3876" s="0" t="n">
        <v>1281</v>
      </c>
      <c r="B3876" s="0" t="s">
        <v>8574</v>
      </c>
      <c r="C3876" s="0" t="s">
        <v>8579</v>
      </c>
      <c r="E3876" s="0" t="s">
        <v>59</v>
      </c>
      <c r="F3876" s="0" t="s">
        <v>14901</v>
      </c>
    </row>
    <row r="3877" customFormat="false" ht="15" hidden="false" customHeight="false" outlineLevel="0" collapsed="false">
      <c r="A3877" s="0" t="n">
        <v>1281</v>
      </c>
      <c r="B3877" s="0" t="s">
        <v>8574</v>
      </c>
      <c r="C3877" s="0" t="s">
        <v>14902</v>
      </c>
      <c r="E3877" s="0" t="s">
        <v>59</v>
      </c>
      <c r="F3877" s="0" t="s">
        <v>14903</v>
      </c>
    </row>
    <row r="3878" customFormat="false" ht="15" hidden="false" customHeight="false" outlineLevel="0" collapsed="false">
      <c r="A3878" s="0" t="n">
        <v>1281</v>
      </c>
      <c r="B3878" s="0" t="s">
        <v>8574</v>
      </c>
      <c r="C3878" s="0" t="s">
        <v>14904</v>
      </c>
      <c r="E3878" s="0" t="s">
        <v>59</v>
      </c>
      <c r="F3878" s="0" t="s">
        <v>14905</v>
      </c>
    </row>
    <row r="3879" customFormat="false" ht="15" hidden="false" customHeight="false" outlineLevel="0" collapsed="false">
      <c r="A3879" s="0" t="n">
        <v>1282</v>
      </c>
      <c r="B3879" s="0" t="s">
        <v>8583</v>
      </c>
      <c r="C3879" s="0" t="s">
        <v>8586</v>
      </c>
      <c r="E3879" s="0" t="s">
        <v>59</v>
      </c>
      <c r="F3879" s="0" t="s">
        <v>14906</v>
      </c>
    </row>
    <row r="3880" customFormat="false" ht="15" hidden="false" customHeight="false" outlineLevel="0" collapsed="false">
      <c r="A3880" s="0" t="n">
        <v>1282</v>
      </c>
      <c r="B3880" s="0" t="s">
        <v>8583</v>
      </c>
      <c r="C3880" s="0" t="s">
        <v>8587</v>
      </c>
      <c r="E3880" s="0" t="s">
        <v>59</v>
      </c>
      <c r="F3880" s="0" t="s">
        <v>14907</v>
      </c>
    </row>
    <row r="3881" customFormat="false" ht="15" hidden="false" customHeight="false" outlineLevel="0" collapsed="false">
      <c r="A3881" s="0" t="n">
        <v>1282</v>
      </c>
      <c r="B3881" s="0" t="s">
        <v>8583</v>
      </c>
      <c r="C3881" s="0" t="s">
        <v>8588</v>
      </c>
      <c r="E3881" s="0" t="s">
        <v>59</v>
      </c>
      <c r="F3881" s="0" t="s">
        <v>14908</v>
      </c>
    </row>
    <row r="3882" customFormat="false" ht="15" hidden="false" customHeight="false" outlineLevel="0" collapsed="false">
      <c r="A3882" s="0" t="n">
        <v>1282</v>
      </c>
      <c r="B3882" s="0" t="s">
        <v>8583</v>
      </c>
      <c r="C3882" s="0" t="s">
        <v>14909</v>
      </c>
      <c r="E3882" s="0" t="s">
        <v>59</v>
      </c>
      <c r="F3882" s="0" t="s">
        <v>14910</v>
      </c>
    </row>
    <row r="3883" customFormat="false" ht="15" hidden="false" customHeight="false" outlineLevel="0" collapsed="false">
      <c r="A3883" s="0" t="n">
        <v>1282</v>
      </c>
      <c r="B3883" s="0" t="s">
        <v>8583</v>
      </c>
      <c r="C3883" s="0" t="s">
        <v>14911</v>
      </c>
      <c r="E3883" s="0" t="s">
        <v>59</v>
      </c>
      <c r="F3883" s="0" t="s">
        <v>14912</v>
      </c>
    </row>
    <row r="3884" customFormat="false" ht="15" hidden="false" customHeight="false" outlineLevel="0" collapsed="false">
      <c r="A3884" s="0" t="n">
        <v>1283</v>
      </c>
      <c r="B3884" s="0" t="s">
        <v>8591</v>
      </c>
      <c r="C3884" s="0" t="s">
        <v>8593</v>
      </c>
      <c r="E3884" s="0" t="s">
        <v>79</v>
      </c>
      <c r="F3884" s="0" t="s">
        <v>14913</v>
      </c>
    </row>
    <row r="3885" customFormat="false" ht="15" hidden="false" customHeight="false" outlineLevel="0" collapsed="false">
      <c r="A3885" s="0" t="n">
        <v>1283</v>
      </c>
      <c r="B3885" s="0" t="s">
        <v>8591</v>
      </c>
      <c r="C3885" s="0" t="s">
        <v>8594</v>
      </c>
      <c r="E3885" s="0" t="s">
        <v>79</v>
      </c>
      <c r="F3885" s="0" t="s">
        <v>14914</v>
      </c>
    </row>
    <row r="3886" customFormat="false" ht="15" hidden="false" customHeight="false" outlineLevel="0" collapsed="false">
      <c r="A3886" s="0" t="n">
        <v>1283</v>
      </c>
      <c r="B3886" s="0" t="s">
        <v>8591</v>
      </c>
      <c r="C3886" s="0" t="s">
        <v>8595</v>
      </c>
      <c r="E3886" s="0" t="s">
        <v>79</v>
      </c>
      <c r="F3886" s="0" t="s">
        <v>14915</v>
      </c>
    </row>
    <row r="3887" customFormat="false" ht="15" hidden="false" customHeight="false" outlineLevel="0" collapsed="false">
      <c r="A3887" s="0" t="n">
        <v>1283</v>
      </c>
      <c r="B3887" s="0" t="s">
        <v>8591</v>
      </c>
      <c r="C3887" s="0" t="s">
        <v>14916</v>
      </c>
      <c r="E3887" s="0" t="s">
        <v>79</v>
      </c>
      <c r="F3887" s="0" t="s">
        <v>14917</v>
      </c>
    </row>
    <row r="3888" customFormat="false" ht="15" hidden="false" customHeight="false" outlineLevel="0" collapsed="false">
      <c r="A3888" s="0" t="n">
        <v>1283</v>
      </c>
      <c r="B3888" s="0" t="s">
        <v>8591</v>
      </c>
      <c r="C3888" s="0" t="s">
        <v>14918</v>
      </c>
      <c r="E3888" s="0" t="s">
        <v>79</v>
      </c>
      <c r="F3888" s="0" t="s">
        <v>14919</v>
      </c>
    </row>
    <row r="3889" customFormat="false" ht="15" hidden="false" customHeight="false" outlineLevel="0" collapsed="false">
      <c r="A3889" s="0" t="n">
        <v>1284</v>
      </c>
      <c r="B3889" s="0" t="s">
        <v>8596</v>
      </c>
      <c r="C3889" s="0" t="s">
        <v>8599</v>
      </c>
      <c r="E3889" s="0" t="s">
        <v>79</v>
      </c>
      <c r="F3889" s="0" t="s">
        <v>14920</v>
      </c>
    </row>
    <row r="3890" customFormat="false" ht="15" hidden="false" customHeight="false" outlineLevel="0" collapsed="false">
      <c r="A3890" s="0" t="n">
        <v>1284</v>
      </c>
      <c r="B3890" s="0" t="s">
        <v>8596</v>
      </c>
      <c r="C3890" s="0" t="s">
        <v>8600</v>
      </c>
      <c r="E3890" s="0" t="s">
        <v>79</v>
      </c>
      <c r="F3890" s="0" t="s">
        <v>14921</v>
      </c>
    </row>
    <row r="3891" customFormat="false" ht="15" hidden="false" customHeight="false" outlineLevel="0" collapsed="false">
      <c r="A3891" s="0" t="n">
        <v>1284</v>
      </c>
      <c r="B3891" s="0" t="s">
        <v>8596</v>
      </c>
      <c r="C3891" s="0" t="s">
        <v>8601</v>
      </c>
      <c r="E3891" s="0" t="s">
        <v>79</v>
      </c>
      <c r="F3891" s="0" t="s">
        <v>14922</v>
      </c>
    </row>
    <row r="3892" customFormat="false" ht="15" hidden="false" customHeight="false" outlineLevel="0" collapsed="false">
      <c r="A3892" s="0" t="n">
        <v>1284</v>
      </c>
      <c r="B3892" s="0" t="s">
        <v>8596</v>
      </c>
      <c r="C3892" s="0" t="s">
        <v>14923</v>
      </c>
      <c r="E3892" s="0" t="s">
        <v>79</v>
      </c>
      <c r="F3892" s="0" t="s">
        <v>14924</v>
      </c>
    </row>
    <row r="3893" customFormat="false" ht="15" hidden="false" customHeight="false" outlineLevel="0" collapsed="false">
      <c r="A3893" s="0" t="n">
        <v>1284</v>
      </c>
      <c r="B3893" s="0" t="s">
        <v>8596</v>
      </c>
      <c r="C3893" s="0" t="s">
        <v>14925</v>
      </c>
      <c r="E3893" s="0" t="s">
        <v>79</v>
      </c>
      <c r="F3893" s="0" t="s">
        <v>14926</v>
      </c>
    </row>
    <row r="3894" customFormat="false" ht="15" hidden="false" customHeight="false" outlineLevel="0" collapsed="false">
      <c r="A3894" s="0" t="n">
        <v>1285</v>
      </c>
      <c r="B3894" s="0" t="s">
        <v>8605</v>
      </c>
      <c r="C3894" s="0" t="s">
        <v>8607</v>
      </c>
      <c r="E3894" s="0" t="s">
        <v>59</v>
      </c>
      <c r="F3894" s="0" t="s">
        <v>14927</v>
      </c>
    </row>
    <row r="3895" customFormat="false" ht="15" hidden="false" customHeight="false" outlineLevel="0" collapsed="false">
      <c r="A3895" s="0" t="n">
        <v>1285</v>
      </c>
      <c r="B3895" s="0" t="s">
        <v>8605</v>
      </c>
      <c r="C3895" s="0" t="s">
        <v>8608</v>
      </c>
      <c r="E3895" s="0" t="s">
        <v>59</v>
      </c>
      <c r="F3895" s="0" t="s">
        <v>14928</v>
      </c>
    </row>
    <row r="3896" customFormat="false" ht="15" hidden="false" customHeight="false" outlineLevel="0" collapsed="false">
      <c r="A3896" s="0" t="n">
        <v>1285</v>
      </c>
      <c r="B3896" s="0" t="s">
        <v>8605</v>
      </c>
      <c r="C3896" s="0" t="s">
        <v>8609</v>
      </c>
      <c r="E3896" s="0" t="s">
        <v>59</v>
      </c>
      <c r="F3896" s="0" t="s">
        <v>14929</v>
      </c>
    </row>
    <row r="3897" customFormat="false" ht="15" hidden="false" customHeight="false" outlineLevel="0" collapsed="false">
      <c r="A3897" s="0" t="n">
        <v>1285</v>
      </c>
      <c r="B3897" s="0" t="s">
        <v>8605</v>
      </c>
      <c r="C3897" s="0" t="s">
        <v>14930</v>
      </c>
      <c r="E3897" s="0" t="s">
        <v>59</v>
      </c>
      <c r="F3897" s="0" t="s">
        <v>14931</v>
      </c>
    </row>
    <row r="3898" customFormat="false" ht="15" hidden="false" customHeight="false" outlineLevel="0" collapsed="false">
      <c r="A3898" s="0" t="n">
        <v>1285</v>
      </c>
      <c r="B3898" s="0" t="s">
        <v>8605</v>
      </c>
      <c r="C3898" s="0" t="s">
        <v>14932</v>
      </c>
      <c r="E3898" s="0" t="s">
        <v>59</v>
      </c>
      <c r="F3898" s="0" t="s">
        <v>14933</v>
      </c>
    </row>
    <row r="3899" customFormat="false" ht="15" hidden="false" customHeight="false" outlineLevel="0" collapsed="false">
      <c r="A3899" s="0" t="n">
        <v>1286</v>
      </c>
      <c r="B3899" s="0" t="s">
        <v>8610</v>
      </c>
      <c r="C3899" s="0" t="s">
        <v>8613</v>
      </c>
      <c r="E3899" s="0" t="s">
        <v>79</v>
      </c>
      <c r="F3899" s="0" t="s">
        <v>14934</v>
      </c>
    </row>
    <row r="3900" customFormat="false" ht="15" hidden="false" customHeight="false" outlineLevel="0" collapsed="false">
      <c r="A3900" s="0" t="n">
        <v>1286</v>
      </c>
      <c r="B3900" s="0" t="s">
        <v>8610</v>
      </c>
      <c r="C3900" s="0" t="s">
        <v>8614</v>
      </c>
      <c r="E3900" s="0" t="s">
        <v>79</v>
      </c>
      <c r="F3900" s="0" t="s">
        <v>14935</v>
      </c>
    </row>
    <row r="3901" customFormat="false" ht="15" hidden="false" customHeight="false" outlineLevel="0" collapsed="false">
      <c r="A3901" s="0" t="n">
        <v>1286</v>
      </c>
      <c r="B3901" s="0" t="s">
        <v>8610</v>
      </c>
      <c r="C3901" s="0" t="s">
        <v>8615</v>
      </c>
      <c r="E3901" s="0" t="s">
        <v>79</v>
      </c>
      <c r="F3901" s="0" t="s">
        <v>14936</v>
      </c>
    </row>
    <row r="3902" customFormat="false" ht="15" hidden="false" customHeight="false" outlineLevel="0" collapsed="false">
      <c r="A3902" s="0" t="n">
        <v>1286</v>
      </c>
      <c r="B3902" s="0" t="s">
        <v>8610</v>
      </c>
      <c r="C3902" s="0" t="s">
        <v>14937</v>
      </c>
      <c r="E3902" s="0" t="s">
        <v>79</v>
      </c>
      <c r="F3902" s="0" t="s">
        <v>14938</v>
      </c>
    </row>
    <row r="3903" customFormat="false" ht="15" hidden="false" customHeight="false" outlineLevel="0" collapsed="false">
      <c r="A3903" s="0" t="n">
        <v>1286</v>
      </c>
      <c r="B3903" s="0" t="s">
        <v>8610</v>
      </c>
      <c r="C3903" s="0" t="s">
        <v>14939</v>
      </c>
      <c r="E3903" s="0" t="s">
        <v>79</v>
      </c>
      <c r="F3903" s="0" t="s">
        <v>14940</v>
      </c>
    </row>
    <row r="3904" customFormat="false" ht="15" hidden="false" customHeight="false" outlineLevel="0" collapsed="false">
      <c r="A3904" s="0" t="n">
        <v>1289</v>
      </c>
      <c r="B3904" s="0" t="s">
        <v>8626</v>
      </c>
      <c r="C3904" s="0" t="s">
        <v>8630</v>
      </c>
      <c r="E3904" s="0" t="s">
        <v>79</v>
      </c>
      <c r="F3904" s="0" t="s">
        <v>14941</v>
      </c>
    </row>
    <row r="3905" customFormat="false" ht="15" hidden="false" customHeight="false" outlineLevel="0" collapsed="false">
      <c r="A3905" s="0" t="n">
        <v>1289</v>
      </c>
      <c r="B3905" s="0" t="s">
        <v>8626</v>
      </c>
      <c r="C3905" s="0" t="s">
        <v>8631</v>
      </c>
      <c r="E3905" s="0" t="s">
        <v>79</v>
      </c>
      <c r="F3905" s="0" t="s">
        <v>14942</v>
      </c>
    </row>
    <row r="3906" customFormat="false" ht="15" hidden="false" customHeight="false" outlineLevel="0" collapsed="false">
      <c r="A3906" s="0" t="n">
        <v>1289</v>
      </c>
      <c r="B3906" s="0" t="s">
        <v>8626</v>
      </c>
      <c r="C3906" s="0" t="s">
        <v>8632</v>
      </c>
      <c r="E3906" s="0" t="s">
        <v>79</v>
      </c>
      <c r="F3906" s="0" t="s">
        <v>14943</v>
      </c>
    </row>
    <row r="3907" customFormat="false" ht="15" hidden="false" customHeight="false" outlineLevel="0" collapsed="false">
      <c r="A3907" s="0" t="n">
        <v>1289</v>
      </c>
      <c r="B3907" s="0" t="s">
        <v>8626</v>
      </c>
      <c r="C3907" s="0" t="s">
        <v>14944</v>
      </c>
      <c r="E3907" s="0" t="s">
        <v>79</v>
      </c>
      <c r="F3907" s="0" t="s">
        <v>14945</v>
      </c>
    </row>
    <row r="3908" customFormat="false" ht="15" hidden="false" customHeight="false" outlineLevel="0" collapsed="false">
      <c r="A3908" s="0" t="n">
        <v>1289</v>
      </c>
      <c r="B3908" s="0" t="s">
        <v>8626</v>
      </c>
      <c r="C3908" s="0" t="s">
        <v>14946</v>
      </c>
      <c r="E3908" s="0" t="s">
        <v>79</v>
      </c>
      <c r="F3908" s="0" t="s">
        <v>14947</v>
      </c>
    </row>
    <row r="3909" customFormat="false" ht="15" hidden="false" customHeight="false" outlineLevel="0" collapsed="false">
      <c r="A3909" s="0" t="n">
        <v>1290</v>
      </c>
      <c r="B3909" s="0" t="s">
        <v>8638</v>
      </c>
      <c r="C3909" s="0" t="s">
        <v>8641</v>
      </c>
      <c r="E3909" s="0" t="s">
        <v>59</v>
      </c>
      <c r="F3909" s="0" t="s">
        <v>14948</v>
      </c>
    </row>
    <row r="3910" customFormat="false" ht="15" hidden="false" customHeight="false" outlineLevel="0" collapsed="false">
      <c r="A3910" s="0" t="n">
        <v>1290</v>
      </c>
      <c r="B3910" s="0" t="s">
        <v>8638</v>
      </c>
      <c r="C3910" s="0" t="s">
        <v>8642</v>
      </c>
      <c r="E3910" s="0" t="s">
        <v>59</v>
      </c>
      <c r="F3910" s="0" t="s">
        <v>14949</v>
      </c>
    </row>
    <row r="3911" customFormat="false" ht="15" hidden="false" customHeight="false" outlineLevel="0" collapsed="false">
      <c r="A3911" s="0" t="n">
        <v>1290</v>
      </c>
      <c r="B3911" s="0" t="s">
        <v>8638</v>
      </c>
      <c r="C3911" s="0" t="s">
        <v>8643</v>
      </c>
      <c r="E3911" s="0" t="s">
        <v>59</v>
      </c>
      <c r="F3911" s="0" t="s">
        <v>14950</v>
      </c>
    </row>
    <row r="3912" customFormat="false" ht="15" hidden="false" customHeight="false" outlineLevel="0" collapsed="false">
      <c r="A3912" s="0" t="n">
        <v>1290</v>
      </c>
      <c r="B3912" s="0" t="s">
        <v>8638</v>
      </c>
      <c r="C3912" s="0" t="s">
        <v>14951</v>
      </c>
      <c r="E3912" s="0" t="s">
        <v>59</v>
      </c>
      <c r="F3912" s="0" t="s">
        <v>14952</v>
      </c>
    </row>
    <row r="3913" customFormat="false" ht="15" hidden="false" customHeight="false" outlineLevel="0" collapsed="false">
      <c r="A3913" s="0" t="n">
        <v>1290</v>
      </c>
      <c r="B3913" s="0" t="s">
        <v>8638</v>
      </c>
      <c r="C3913" s="0" t="s">
        <v>14953</v>
      </c>
      <c r="E3913" s="0" t="s">
        <v>59</v>
      </c>
      <c r="F3913" s="0" t="s">
        <v>14954</v>
      </c>
    </row>
    <row r="3914" customFormat="false" ht="15" hidden="false" customHeight="false" outlineLevel="0" collapsed="false">
      <c r="A3914" s="0" t="n">
        <v>1291</v>
      </c>
      <c r="B3914" s="0" t="s">
        <v>8647</v>
      </c>
      <c r="C3914" s="0" t="s">
        <v>8650</v>
      </c>
      <c r="E3914" s="0" t="s">
        <v>79</v>
      </c>
      <c r="F3914" s="0" t="s">
        <v>14955</v>
      </c>
    </row>
    <row r="3915" customFormat="false" ht="15" hidden="false" customHeight="false" outlineLevel="0" collapsed="false">
      <c r="A3915" s="0" t="n">
        <v>1291</v>
      </c>
      <c r="B3915" s="0" t="s">
        <v>8647</v>
      </c>
      <c r="C3915" s="0" t="s">
        <v>8651</v>
      </c>
      <c r="E3915" s="0" t="s">
        <v>79</v>
      </c>
      <c r="F3915" s="0" t="s">
        <v>14956</v>
      </c>
    </row>
    <row r="3916" customFormat="false" ht="15" hidden="false" customHeight="false" outlineLevel="0" collapsed="false">
      <c r="A3916" s="0" t="n">
        <v>1291</v>
      </c>
      <c r="B3916" s="0" t="s">
        <v>8647</v>
      </c>
      <c r="C3916" s="0" t="s">
        <v>8652</v>
      </c>
      <c r="E3916" s="0" t="s">
        <v>79</v>
      </c>
      <c r="F3916" s="0" t="s">
        <v>14957</v>
      </c>
    </row>
    <row r="3917" customFormat="false" ht="15" hidden="false" customHeight="false" outlineLevel="0" collapsed="false">
      <c r="A3917" s="0" t="n">
        <v>1291</v>
      </c>
      <c r="B3917" s="0" t="s">
        <v>8647</v>
      </c>
      <c r="C3917" s="0" t="s">
        <v>14958</v>
      </c>
      <c r="E3917" s="0" t="s">
        <v>79</v>
      </c>
      <c r="F3917" s="0" t="s">
        <v>14959</v>
      </c>
    </row>
    <row r="3918" customFormat="false" ht="15" hidden="false" customHeight="false" outlineLevel="0" collapsed="false">
      <c r="A3918" s="0" t="n">
        <v>1291</v>
      </c>
      <c r="B3918" s="0" t="s">
        <v>8647</v>
      </c>
      <c r="C3918" s="0" t="s">
        <v>14960</v>
      </c>
      <c r="E3918" s="0" t="s">
        <v>79</v>
      </c>
      <c r="F3918" s="0" t="s">
        <v>14961</v>
      </c>
    </row>
    <row r="3919" customFormat="false" ht="15" hidden="false" customHeight="false" outlineLevel="0" collapsed="false">
      <c r="A3919" s="0" t="n">
        <v>1292</v>
      </c>
      <c r="B3919" s="0" t="s">
        <v>8658</v>
      </c>
      <c r="C3919" s="0" t="s">
        <v>8661</v>
      </c>
      <c r="E3919" s="0" t="s">
        <v>79</v>
      </c>
      <c r="F3919" s="0" t="s">
        <v>14962</v>
      </c>
    </row>
    <row r="3920" customFormat="false" ht="15" hidden="false" customHeight="false" outlineLevel="0" collapsed="false">
      <c r="A3920" s="0" t="n">
        <v>1292</v>
      </c>
      <c r="B3920" s="0" t="s">
        <v>8658</v>
      </c>
      <c r="C3920" s="0" t="s">
        <v>8662</v>
      </c>
      <c r="E3920" s="0" t="s">
        <v>79</v>
      </c>
      <c r="F3920" s="0" t="s">
        <v>14963</v>
      </c>
    </row>
    <row r="3921" customFormat="false" ht="15" hidden="false" customHeight="false" outlineLevel="0" collapsed="false">
      <c r="A3921" s="0" t="n">
        <v>1292</v>
      </c>
      <c r="B3921" s="0" t="s">
        <v>8658</v>
      </c>
      <c r="C3921" s="0" t="s">
        <v>8663</v>
      </c>
      <c r="E3921" s="0" t="s">
        <v>79</v>
      </c>
      <c r="F3921" s="0" t="s">
        <v>14964</v>
      </c>
    </row>
    <row r="3922" customFormat="false" ht="15" hidden="false" customHeight="false" outlineLevel="0" collapsed="false">
      <c r="A3922" s="0" t="n">
        <v>1292</v>
      </c>
      <c r="B3922" s="0" t="s">
        <v>8658</v>
      </c>
      <c r="C3922" s="0" t="s">
        <v>14965</v>
      </c>
      <c r="E3922" s="0" t="s">
        <v>79</v>
      </c>
      <c r="F3922" s="0" t="s">
        <v>14966</v>
      </c>
    </row>
    <row r="3923" customFormat="false" ht="15" hidden="false" customHeight="false" outlineLevel="0" collapsed="false">
      <c r="A3923" s="0" t="n">
        <v>1292</v>
      </c>
      <c r="B3923" s="0" t="s">
        <v>8658</v>
      </c>
      <c r="C3923" s="0" t="s">
        <v>14967</v>
      </c>
      <c r="E3923" s="0" t="s">
        <v>79</v>
      </c>
      <c r="F3923" s="0" t="s">
        <v>14968</v>
      </c>
    </row>
    <row r="3924" customFormat="false" ht="15" hidden="false" customHeight="false" outlineLevel="0" collapsed="false">
      <c r="A3924" s="0" t="n">
        <v>1293</v>
      </c>
      <c r="B3924" s="0" t="s">
        <v>8666</v>
      </c>
      <c r="C3924" s="0" t="s">
        <v>8669</v>
      </c>
      <c r="E3924" s="0" t="s">
        <v>79</v>
      </c>
      <c r="F3924" s="0" t="s">
        <v>14969</v>
      </c>
    </row>
    <row r="3925" customFormat="false" ht="15" hidden="false" customHeight="false" outlineLevel="0" collapsed="false">
      <c r="A3925" s="0" t="n">
        <v>1293</v>
      </c>
      <c r="B3925" s="0" t="s">
        <v>8666</v>
      </c>
      <c r="C3925" s="0" t="s">
        <v>8670</v>
      </c>
      <c r="E3925" s="0" t="s">
        <v>79</v>
      </c>
      <c r="F3925" s="0" t="s">
        <v>14970</v>
      </c>
    </row>
    <row r="3926" customFormat="false" ht="15" hidden="false" customHeight="false" outlineLevel="0" collapsed="false">
      <c r="A3926" s="0" t="n">
        <v>1293</v>
      </c>
      <c r="B3926" s="0" t="s">
        <v>8666</v>
      </c>
      <c r="C3926" s="0" t="s">
        <v>8671</v>
      </c>
      <c r="E3926" s="0" t="s">
        <v>79</v>
      </c>
      <c r="F3926" s="0" t="s">
        <v>14971</v>
      </c>
    </row>
    <row r="3927" customFormat="false" ht="15" hidden="false" customHeight="false" outlineLevel="0" collapsed="false">
      <c r="A3927" s="0" t="n">
        <v>1297</v>
      </c>
      <c r="B3927" s="0" t="s">
        <v>8679</v>
      </c>
      <c r="C3927" s="0" t="s">
        <v>8682</v>
      </c>
      <c r="E3927" s="0" t="s">
        <v>79</v>
      </c>
      <c r="F3927" s="0" t="s">
        <v>14972</v>
      </c>
    </row>
    <row r="3928" customFormat="false" ht="15" hidden="false" customHeight="false" outlineLevel="0" collapsed="false">
      <c r="A3928" s="0" t="n">
        <v>1297</v>
      </c>
      <c r="B3928" s="0" t="s">
        <v>8679</v>
      </c>
      <c r="C3928" s="0" t="s">
        <v>8683</v>
      </c>
      <c r="E3928" s="0" t="s">
        <v>79</v>
      </c>
      <c r="F3928" s="0" t="s">
        <v>14973</v>
      </c>
    </row>
    <row r="3929" customFormat="false" ht="15" hidden="false" customHeight="false" outlineLevel="0" collapsed="false">
      <c r="A3929" s="0" t="n">
        <v>1297</v>
      </c>
      <c r="B3929" s="0" t="s">
        <v>8679</v>
      </c>
      <c r="C3929" s="0" t="s">
        <v>8684</v>
      </c>
      <c r="E3929" s="0" t="s">
        <v>79</v>
      </c>
      <c r="F3929" s="0" t="s">
        <v>14974</v>
      </c>
    </row>
    <row r="3930" customFormat="false" ht="15" hidden="false" customHeight="false" outlineLevel="0" collapsed="false">
      <c r="A3930" s="0" t="n">
        <v>1299</v>
      </c>
      <c r="B3930" s="0" t="s">
        <v>8691</v>
      </c>
      <c r="C3930" s="0" t="s">
        <v>8695</v>
      </c>
      <c r="E3930" s="0" t="s">
        <v>79</v>
      </c>
      <c r="F3930" s="0" t="s">
        <v>14975</v>
      </c>
    </row>
    <row r="3931" customFormat="false" ht="15" hidden="false" customHeight="false" outlineLevel="0" collapsed="false">
      <c r="A3931" s="0" t="n">
        <v>1299</v>
      </c>
      <c r="B3931" s="0" t="s">
        <v>8691</v>
      </c>
      <c r="C3931" s="0" t="s">
        <v>8696</v>
      </c>
      <c r="E3931" s="0" t="s">
        <v>79</v>
      </c>
      <c r="F3931" s="0" t="s">
        <v>14976</v>
      </c>
    </row>
    <row r="3932" customFormat="false" ht="15" hidden="false" customHeight="false" outlineLevel="0" collapsed="false">
      <c r="A3932" s="0" t="n">
        <v>1299</v>
      </c>
      <c r="B3932" s="0" t="s">
        <v>8691</v>
      </c>
      <c r="C3932" s="0" t="s">
        <v>8697</v>
      </c>
      <c r="E3932" s="0" t="s">
        <v>59</v>
      </c>
      <c r="F3932" s="0" t="s">
        <v>14977</v>
      </c>
    </row>
    <row r="3933" customFormat="false" ht="15" hidden="false" customHeight="false" outlineLevel="0" collapsed="false">
      <c r="A3933" s="0" t="n">
        <v>1299</v>
      </c>
      <c r="B3933" s="0" t="s">
        <v>8691</v>
      </c>
      <c r="C3933" s="0" t="s">
        <v>14978</v>
      </c>
      <c r="E3933" s="0" t="s">
        <v>59</v>
      </c>
      <c r="F3933" s="0" t="s">
        <v>14979</v>
      </c>
    </row>
    <row r="3934" customFormat="false" ht="15" hidden="false" customHeight="false" outlineLevel="0" collapsed="false">
      <c r="A3934" s="0" t="n">
        <v>1299</v>
      </c>
      <c r="B3934" s="0" t="s">
        <v>8691</v>
      </c>
      <c r="C3934" s="0" t="s">
        <v>14980</v>
      </c>
      <c r="E3934" s="0" t="s">
        <v>59</v>
      </c>
      <c r="F3934" s="0" t="s">
        <v>14981</v>
      </c>
    </row>
    <row r="3935" customFormat="false" ht="15" hidden="false" customHeight="false" outlineLevel="0" collapsed="false">
      <c r="A3935" s="0" t="n">
        <v>1300</v>
      </c>
      <c r="B3935" s="0" t="s">
        <v>8702</v>
      </c>
      <c r="C3935" s="0" t="s">
        <v>8704</v>
      </c>
      <c r="E3935" s="0" t="s">
        <v>79</v>
      </c>
      <c r="F3935" s="0" t="s">
        <v>14982</v>
      </c>
    </row>
    <row r="3936" customFormat="false" ht="15" hidden="false" customHeight="false" outlineLevel="0" collapsed="false">
      <c r="A3936" s="0" t="n">
        <v>1300</v>
      </c>
      <c r="B3936" s="0" t="s">
        <v>8702</v>
      </c>
      <c r="C3936" s="0" t="s">
        <v>8705</v>
      </c>
      <c r="E3936" s="0" t="s">
        <v>79</v>
      </c>
      <c r="F3936" s="0" t="s">
        <v>14983</v>
      </c>
    </row>
    <row r="3937" customFormat="false" ht="15" hidden="false" customHeight="false" outlineLevel="0" collapsed="false">
      <c r="A3937" s="0" t="n">
        <v>1300</v>
      </c>
      <c r="B3937" s="0" t="s">
        <v>8702</v>
      </c>
      <c r="C3937" s="0" t="s">
        <v>8706</v>
      </c>
      <c r="E3937" s="0" t="s">
        <v>79</v>
      </c>
      <c r="F3937" s="0" t="s">
        <v>14984</v>
      </c>
    </row>
    <row r="3938" customFormat="false" ht="15" hidden="false" customHeight="false" outlineLevel="0" collapsed="false">
      <c r="A3938" s="0" t="n">
        <v>1300</v>
      </c>
      <c r="B3938" s="0" t="s">
        <v>8702</v>
      </c>
      <c r="C3938" s="0" t="s">
        <v>14985</v>
      </c>
      <c r="E3938" s="0" t="s">
        <v>79</v>
      </c>
      <c r="F3938" s="0" t="s">
        <v>14986</v>
      </c>
    </row>
    <row r="3939" customFormat="false" ht="15" hidden="false" customHeight="false" outlineLevel="0" collapsed="false">
      <c r="A3939" s="0" t="n">
        <v>1300</v>
      </c>
      <c r="B3939" s="0" t="s">
        <v>8702</v>
      </c>
      <c r="C3939" s="0" t="s">
        <v>14987</v>
      </c>
      <c r="E3939" s="0" t="s">
        <v>79</v>
      </c>
      <c r="F3939" s="0" t="s">
        <v>14988</v>
      </c>
    </row>
    <row r="3940" customFormat="false" ht="15" hidden="false" customHeight="false" outlineLevel="0" collapsed="false">
      <c r="A3940" s="0" t="n">
        <v>1302</v>
      </c>
      <c r="B3940" s="0" t="s">
        <v>8710</v>
      </c>
      <c r="C3940" s="0" t="s">
        <v>8713</v>
      </c>
      <c r="E3940" s="0" t="s">
        <v>79</v>
      </c>
      <c r="F3940" s="0" t="s">
        <v>14989</v>
      </c>
    </row>
    <row r="3941" customFormat="false" ht="15" hidden="false" customHeight="false" outlineLevel="0" collapsed="false">
      <c r="A3941" s="0" t="n">
        <v>1302</v>
      </c>
      <c r="B3941" s="0" t="s">
        <v>8710</v>
      </c>
      <c r="C3941" s="0" t="s">
        <v>8714</v>
      </c>
      <c r="E3941" s="0" t="s">
        <v>79</v>
      </c>
      <c r="F3941" s="0" t="s">
        <v>14990</v>
      </c>
    </row>
    <row r="3942" customFormat="false" ht="15" hidden="false" customHeight="false" outlineLevel="0" collapsed="false">
      <c r="A3942" s="0" t="n">
        <v>1302</v>
      </c>
      <c r="B3942" s="0" t="s">
        <v>8710</v>
      </c>
      <c r="C3942" s="0" t="s">
        <v>8715</v>
      </c>
      <c r="E3942" s="0" t="s">
        <v>79</v>
      </c>
      <c r="F3942" s="0" t="s">
        <v>14991</v>
      </c>
    </row>
    <row r="3943" customFormat="false" ht="15" hidden="false" customHeight="false" outlineLevel="0" collapsed="false">
      <c r="A3943" s="0" t="n">
        <v>1302</v>
      </c>
      <c r="B3943" s="0" t="s">
        <v>8710</v>
      </c>
      <c r="C3943" s="0" t="s">
        <v>14992</v>
      </c>
      <c r="E3943" s="0" t="s">
        <v>79</v>
      </c>
      <c r="F3943" s="0" t="s">
        <v>14993</v>
      </c>
    </row>
    <row r="3944" customFormat="false" ht="15" hidden="false" customHeight="false" outlineLevel="0" collapsed="false">
      <c r="A3944" s="0" t="n">
        <v>1302</v>
      </c>
      <c r="B3944" s="0" t="s">
        <v>8710</v>
      </c>
      <c r="C3944" s="0" t="s">
        <v>14994</v>
      </c>
      <c r="E3944" s="0" t="s">
        <v>79</v>
      </c>
      <c r="F3944" s="0" t="s">
        <v>14995</v>
      </c>
    </row>
    <row r="3945" customFormat="false" ht="15" hidden="false" customHeight="false" outlineLevel="0" collapsed="false">
      <c r="A3945" s="0" t="n">
        <v>1303</v>
      </c>
      <c r="B3945" s="0" t="s">
        <v>8720</v>
      </c>
      <c r="C3945" s="0" t="s">
        <v>8722</v>
      </c>
      <c r="E3945" s="0" t="s">
        <v>79</v>
      </c>
      <c r="F3945" s="0" t="s">
        <v>14996</v>
      </c>
    </row>
    <row r="3946" customFormat="false" ht="15" hidden="false" customHeight="false" outlineLevel="0" collapsed="false">
      <c r="A3946" s="0" t="n">
        <v>1303</v>
      </c>
      <c r="B3946" s="0" t="s">
        <v>8720</v>
      </c>
      <c r="C3946" s="0" t="s">
        <v>8723</v>
      </c>
      <c r="E3946" s="0" t="s">
        <v>79</v>
      </c>
      <c r="F3946" s="0" t="s">
        <v>14997</v>
      </c>
    </row>
    <row r="3947" customFormat="false" ht="15" hidden="false" customHeight="false" outlineLevel="0" collapsed="false">
      <c r="A3947" s="0" t="n">
        <v>1304</v>
      </c>
      <c r="B3947" s="0" t="s">
        <v>8724</v>
      </c>
      <c r="C3947" s="0" t="s">
        <v>8727</v>
      </c>
      <c r="E3947" s="0" t="s">
        <v>79</v>
      </c>
      <c r="F3947" s="0" t="s">
        <v>14998</v>
      </c>
    </row>
    <row r="3948" customFormat="false" ht="15" hidden="false" customHeight="false" outlineLevel="0" collapsed="false">
      <c r="A3948" s="0" t="n">
        <v>1304</v>
      </c>
      <c r="B3948" s="0" t="s">
        <v>8724</v>
      </c>
      <c r="C3948" s="0" t="s">
        <v>8728</v>
      </c>
      <c r="E3948" s="0" t="s">
        <v>79</v>
      </c>
      <c r="F3948" s="0" t="s">
        <v>14999</v>
      </c>
    </row>
    <row r="3949" customFormat="false" ht="15" hidden="false" customHeight="false" outlineLevel="0" collapsed="false">
      <c r="A3949" s="0" t="n">
        <v>1304</v>
      </c>
      <c r="B3949" s="0" t="s">
        <v>8724</v>
      </c>
      <c r="C3949" s="0" t="s">
        <v>8729</v>
      </c>
      <c r="E3949" s="0" t="s">
        <v>79</v>
      </c>
      <c r="F3949" s="0" t="s">
        <v>15000</v>
      </c>
    </row>
    <row r="3950" customFormat="false" ht="15" hidden="false" customHeight="false" outlineLevel="0" collapsed="false">
      <c r="A3950" s="0" t="n">
        <v>1304</v>
      </c>
      <c r="B3950" s="0" t="s">
        <v>8724</v>
      </c>
      <c r="C3950" s="0" t="s">
        <v>15001</v>
      </c>
      <c r="E3950" s="0" t="s">
        <v>79</v>
      </c>
      <c r="F3950" s="0" t="s">
        <v>15002</v>
      </c>
    </row>
    <row r="3951" customFormat="false" ht="15" hidden="false" customHeight="false" outlineLevel="0" collapsed="false">
      <c r="A3951" s="0" t="n">
        <v>1304</v>
      </c>
      <c r="B3951" s="0" t="s">
        <v>8724</v>
      </c>
      <c r="C3951" s="0" t="s">
        <v>15003</v>
      </c>
      <c r="E3951" s="0" t="s">
        <v>79</v>
      </c>
      <c r="F3951" s="0" t="s">
        <v>15004</v>
      </c>
    </row>
    <row r="3952" customFormat="false" ht="15" hidden="false" customHeight="false" outlineLevel="0" collapsed="false">
      <c r="A3952" s="0" t="n">
        <v>1305</v>
      </c>
      <c r="B3952" s="0" t="s">
        <v>8734</v>
      </c>
      <c r="C3952" s="0" t="s">
        <v>8736</v>
      </c>
      <c r="E3952" s="0" t="s">
        <v>79</v>
      </c>
      <c r="F3952" s="0" t="s">
        <v>15005</v>
      </c>
    </row>
    <row r="3953" customFormat="false" ht="15" hidden="false" customHeight="false" outlineLevel="0" collapsed="false">
      <c r="A3953" s="0" t="n">
        <v>1305</v>
      </c>
      <c r="B3953" s="0" t="s">
        <v>8734</v>
      </c>
      <c r="C3953" s="0" t="s">
        <v>8737</v>
      </c>
      <c r="E3953" s="0" t="s">
        <v>79</v>
      </c>
      <c r="F3953" s="0" t="s">
        <v>15006</v>
      </c>
    </row>
    <row r="3954" customFormat="false" ht="15" hidden="false" customHeight="false" outlineLevel="0" collapsed="false">
      <c r="A3954" s="0" t="n">
        <v>1305</v>
      </c>
      <c r="B3954" s="0" t="s">
        <v>8734</v>
      </c>
      <c r="C3954" s="0" t="s">
        <v>8738</v>
      </c>
      <c r="E3954" s="0" t="s">
        <v>79</v>
      </c>
      <c r="F3954" s="0" t="s">
        <v>15007</v>
      </c>
    </row>
    <row r="3955" customFormat="false" ht="15" hidden="false" customHeight="false" outlineLevel="0" collapsed="false">
      <c r="A3955" s="0" t="n">
        <v>1306</v>
      </c>
      <c r="B3955" s="0" t="s">
        <v>8739</v>
      </c>
      <c r="C3955" s="0" t="s">
        <v>8741</v>
      </c>
      <c r="E3955" s="0" t="s">
        <v>79</v>
      </c>
      <c r="F3955" s="0" t="s">
        <v>15008</v>
      </c>
    </row>
    <row r="3956" customFormat="false" ht="15" hidden="false" customHeight="false" outlineLevel="0" collapsed="false">
      <c r="A3956" s="0" t="n">
        <v>1306</v>
      </c>
      <c r="B3956" s="0" t="s">
        <v>8739</v>
      </c>
      <c r="C3956" s="0" t="s">
        <v>8742</v>
      </c>
      <c r="E3956" s="0" t="s">
        <v>79</v>
      </c>
      <c r="F3956" s="0" t="s">
        <v>15009</v>
      </c>
    </row>
    <row r="3957" customFormat="false" ht="15" hidden="false" customHeight="false" outlineLevel="0" collapsed="false">
      <c r="A3957" s="0" t="n">
        <v>1306</v>
      </c>
      <c r="B3957" s="0" t="s">
        <v>8739</v>
      </c>
      <c r="C3957" s="0" t="s">
        <v>8743</v>
      </c>
      <c r="E3957" s="0" t="s">
        <v>79</v>
      </c>
      <c r="F3957" s="0" t="s">
        <v>15010</v>
      </c>
    </row>
    <row r="3958" customFormat="false" ht="15" hidden="false" customHeight="false" outlineLevel="0" collapsed="false">
      <c r="A3958" s="0" t="n">
        <v>1306</v>
      </c>
      <c r="B3958" s="0" t="s">
        <v>8739</v>
      </c>
      <c r="C3958" s="0" t="s">
        <v>15011</v>
      </c>
      <c r="E3958" s="0" t="s">
        <v>79</v>
      </c>
      <c r="F3958" s="0" t="s">
        <v>15012</v>
      </c>
    </row>
    <row r="3959" customFormat="false" ht="15" hidden="false" customHeight="false" outlineLevel="0" collapsed="false">
      <c r="A3959" s="0" t="n">
        <v>1306</v>
      </c>
      <c r="B3959" s="0" t="s">
        <v>8739</v>
      </c>
      <c r="C3959" s="0" t="s">
        <v>15013</v>
      </c>
      <c r="E3959" s="0" t="s">
        <v>79</v>
      </c>
      <c r="F3959" s="0" t="s">
        <v>15014</v>
      </c>
    </row>
    <row r="3960" customFormat="false" ht="15" hidden="false" customHeight="false" outlineLevel="0" collapsed="false">
      <c r="A3960" s="0" t="n">
        <v>1308</v>
      </c>
      <c r="B3960" s="0" t="s">
        <v>8746</v>
      </c>
      <c r="C3960" s="0" t="s">
        <v>8748</v>
      </c>
      <c r="E3960" s="0" t="s">
        <v>79</v>
      </c>
      <c r="F3960" s="0" t="s">
        <v>15015</v>
      </c>
    </row>
    <row r="3961" customFormat="false" ht="15" hidden="false" customHeight="false" outlineLevel="0" collapsed="false">
      <c r="A3961" s="0" t="n">
        <v>1308</v>
      </c>
      <c r="B3961" s="0" t="s">
        <v>8746</v>
      </c>
      <c r="C3961" s="0" t="s">
        <v>8749</v>
      </c>
      <c r="E3961" s="0" t="s">
        <v>79</v>
      </c>
      <c r="F3961" s="0" t="s">
        <v>15016</v>
      </c>
    </row>
    <row r="3962" customFormat="false" ht="15" hidden="false" customHeight="false" outlineLevel="0" collapsed="false">
      <c r="A3962" s="0" t="n">
        <v>1308</v>
      </c>
      <c r="B3962" s="0" t="s">
        <v>8746</v>
      </c>
      <c r="C3962" s="0" t="s">
        <v>8750</v>
      </c>
      <c r="E3962" s="0" t="s">
        <v>79</v>
      </c>
      <c r="F3962" s="0" t="s">
        <v>15017</v>
      </c>
    </row>
    <row r="3963" customFormat="false" ht="15" hidden="false" customHeight="false" outlineLevel="0" collapsed="false">
      <c r="A3963" s="0" t="n">
        <v>1308</v>
      </c>
      <c r="B3963" s="0" t="s">
        <v>8746</v>
      </c>
      <c r="C3963" s="0" t="s">
        <v>15018</v>
      </c>
      <c r="E3963" s="0" t="s">
        <v>79</v>
      </c>
      <c r="F3963" s="0" t="s">
        <v>15019</v>
      </c>
    </row>
    <row r="3964" customFormat="false" ht="15" hidden="false" customHeight="false" outlineLevel="0" collapsed="false">
      <c r="A3964" s="0" t="n">
        <v>1308</v>
      </c>
      <c r="B3964" s="0" t="s">
        <v>8746</v>
      </c>
      <c r="C3964" s="0" t="s">
        <v>15020</v>
      </c>
      <c r="E3964" s="0" t="s">
        <v>79</v>
      </c>
      <c r="F3964" s="0" t="s">
        <v>15021</v>
      </c>
    </row>
    <row r="3965" customFormat="false" ht="15" hidden="false" customHeight="false" outlineLevel="0" collapsed="false">
      <c r="A3965" s="0" t="n">
        <v>1311</v>
      </c>
      <c r="B3965" s="0" t="s">
        <v>8757</v>
      </c>
      <c r="C3965" s="0" t="s">
        <v>8759</v>
      </c>
      <c r="E3965" s="0" t="s">
        <v>79</v>
      </c>
      <c r="F3965" s="0" t="s">
        <v>15022</v>
      </c>
    </row>
    <row r="3966" customFormat="false" ht="15" hidden="false" customHeight="false" outlineLevel="0" collapsed="false">
      <c r="A3966" s="0" t="n">
        <v>1311</v>
      </c>
      <c r="B3966" s="0" t="s">
        <v>8757</v>
      </c>
      <c r="C3966" s="0" t="s">
        <v>8760</v>
      </c>
      <c r="E3966" s="0" t="s">
        <v>79</v>
      </c>
      <c r="F3966" s="0" t="s">
        <v>15023</v>
      </c>
    </row>
    <row r="3967" customFormat="false" ht="15" hidden="false" customHeight="false" outlineLevel="0" collapsed="false">
      <c r="A3967" s="0" t="n">
        <v>1311</v>
      </c>
      <c r="B3967" s="0" t="s">
        <v>8757</v>
      </c>
      <c r="C3967" s="0" t="s">
        <v>8761</v>
      </c>
      <c r="E3967" s="0" t="s">
        <v>79</v>
      </c>
      <c r="F3967" s="0" t="s">
        <v>15024</v>
      </c>
    </row>
    <row r="3968" customFormat="false" ht="15" hidden="false" customHeight="false" outlineLevel="0" collapsed="false">
      <c r="A3968" s="0" t="n">
        <v>1313</v>
      </c>
      <c r="B3968" s="0" t="s">
        <v>8764</v>
      </c>
      <c r="C3968" s="0" t="s">
        <v>8767</v>
      </c>
      <c r="E3968" s="0" t="s">
        <v>79</v>
      </c>
      <c r="F3968" s="0" t="s">
        <v>15025</v>
      </c>
    </row>
    <row r="3969" customFormat="false" ht="15" hidden="false" customHeight="false" outlineLevel="0" collapsed="false">
      <c r="A3969" s="0" t="n">
        <v>1313</v>
      </c>
      <c r="B3969" s="0" t="s">
        <v>8764</v>
      </c>
      <c r="C3969" s="0" t="s">
        <v>8768</v>
      </c>
      <c r="E3969" s="0" t="s">
        <v>79</v>
      </c>
      <c r="F3969" s="0" t="s">
        <v>15026</v>
      </c>
    </row>
    <row r="3970" customFormat="false" ht="15" hidden="false" customHeight="false" outlineLevel="0" collapsed="false">
      <c r="A3970" s="0" t="n">
        <v>1314</v>
      </c>
      <c r="B3970" s="0" t="s">
        <v>8773</v>
      </c>
      <c r="C3970" s="0" t="s">
        <v>8775</v>
      </c>
      <c r="E3970" s="0" t="s">
        <v>79</v>
      </c>
      <c r="F3970" s="0" t="s">
        <v>15027</v>
      </c>
    </row>
    <row r="3971" customFormat="false" ht="15" hidden="false" customHeight="false" outlineLevel="0" collapsed="false">
      <c r="A3971" s="0" t="n">
        <v>1314</v>
      </c>
      <c r="B3971" s="0" t="s">
        <v>8773</v>
      </c>
      <c r="C3971" s="0" t="s">
        <v>8776</v>
      </c>
      <c r="E3971" s="0" t="s">
        <v>79</v>
      </c>
      <c r="F3971" s="0" t="s">
        <v>15028</v>
      </c>
    </row>
    <row r="3972" customFormat="false" ht="15" hidden="false" customHeight="false" outlineLevel="0" collapsed="false">
      <c r="A3972" s="0" t="n">
        <v>1314</v>
      </c>
      <c r="B3972" s="0" t="s">
        <v>8773</v>
      </c>
      <c r="C3972" s="0" t="s">
        <v>8777</v>
      </c>
      <c r="E3972" s="0" t="s">
        <v>79</v>
      </c>
      <c r="F3972" s="0" t="s">
        <v>15029</v>
      </c>
    </row>
    <row r="3973" customFormat="false" ht="15" hidden="false" customHeight="false" outlineLevel="0" collapsed="false">
      <c r="A3973" s="0" t="n">
        <v>1314</v>
      </c>
      <c r="B3973" s="0" t="s">
        <v>8773</v>
      </c>
      <c r="C3973" s="0" t="s">
        <v>15030</v>
      </c>
      <c r="E3973" s="0" t="s">
        <v>79</v>
      </c>
      <c r="F3973" s="0" t="s">
        <v>15031</v>
      </c>
    </row>
    <row r="3974" customFormat="false" ht="15" hidden="false" customHeight="false" outlineLevel="0" collapsed="false">
      <c r="A3974" s="0" t="n">
        <v>1314</v>
      </c>
      <c r="B3974" s="0" t="s">
        <v>8773</v>
      </c>
      <c r="C3974" s="0" t="s">
        <v>15032</v>
      </c>
      <c r="E3974" s="0" t="s">
        <v>79</v>
      </c>
      <c r="F3974" s="0" t="s">
        <v>15033</v>
      </c>
    </row>
    <row r="3975" customFormat="false" ht="15" hidden="false" customHeight="false" outlineLevel="0" collapsed="false">
      <c r="A3975" s="0" t="n">
        <v>1315</v>
      </c>
      <c r="B3975" s="0" t="s">
        <v>8778</v>
      </c>
      <c r="C3975" s="0" t="s">
        <v>8781</v>
      </c>
      <c r="E3975" s="0" t="s">
        <v>79</v>
      </c>
      <c r="F3975" s="0" t="s">
        <v>15034</v>
      </c>
    </row>
    <row r="3976" customFormat="false" ht="15" hidden="false" customHeight="false" outlineLevel="0" collapsed="false">
      <c r="A3976" s="0" t="n">
        <v>1315</v>
      </c>
      <c r="B3976" s="0" t="s">
        <v>8778</v>
      </c>
      <c r="C3976" s="0" t="s">
        <v>8782</v>
      </c>
      <c r="E3976" s="0" t="s">
        <v>79</v>
      </c>
      <c r="F3976" s="0" t="s">
        <v>15035</v>
      </c>
    </row>
    <row r="3977" customFormat="false" ht="15" hidden="false" customHeight="false" outlineLevel="0" collapsed="false">
      <c r="A3977" s="0" t="n">
        <v>1315</v>
      </c>
      <c r="B3977" s="0" t="s">
        <v>8778</v>
      </c>
      <c r="C3977" s="0" t="s">
        <v>8783</v>
      </c>
      <c r="E3977" s="0" t="s">
        <v>79</v>
      </c>
      <c r="F3977" s="0" t="s">
        <v>15036</v>
      </c>
    </row>
    <row r="3978" customFormat="false" ht="15" hidden="false" customHeight="false" outlineLevel="0" collapsed="false">
      <c r="A3978" s="0" t="n">
        <v>1315</v>
      </c>
      <c r="B3978" s="0" t="s">
        <v>8778</v>
      </c>
      <c r="C3978" s="0" t="s">
        <v>15037</v>
      </c>
      <c r="E3978" s="0" t="s">
        <v>79</v>
      </c>
      <c r="F3978" s="0" t="s">
        <v>15038</v>
      </c>
    </row>
    <row r="3979" customFormat="false" ht="15" hidden="false" customHeight="false" outlineLevel="0" collapsed="false">
      <c r="A3979" s="0" t="n">
        <v>1315</v>
      </c>
      <c r="B3979" s="0" t="s">
        <v>8778</v>
      </c>
      <c r="C3979" s="0" t="s">
        <v>15039</v>
      </c>
      <c r="E3979" s="0" t="s">
        <v>79</v>
      </c>
      <c r="F3979" s="0" t="s">
        <v>15040</v>
      </c>
    </row>
    <row r="3980" customFormat="false" ht="15" hidden="false" customHeight="false" outlineLevel="0" collapsed="false">
      <c r="A3980" s="0" t="n">
        <v>1316</v>
      </c>
      <c r="B3980" s="0" t="s">
        <v>8786</v>
      </c>
      <c r="C3980" s="0" t="s">
        <v>8788</v>
      </c>
      <c r="E3980" s="0" t="s">
        <v>79</v>
      </c>
      <c r="F3980" s="0" t="s">
        <v>15041</v>
      </c>
    </row>
    <row r="3981" customFormat="false" ht="15" hidden="false" customHeight="false" outlineLevel="0" collapsed="false">
      <c r="A3981" s="0" t="n">
        <v>1316</v>
      </c>
      <c r="B3981" s="0" t="s">
        <v>8786</v>
      </c>
      <c r="C3981" s="0" t="s">
        <v>8789</v>
      </c>
      <c r="E3981" s="0" t="s">
        <v>79</v>
      </c>
      <c r="F3981" s="0" t="s">
        <v>15042</v>
      </c>
    </row>
    <row r="3982" customFormat="false" ht="15" hidden="false" customHeight="false" outlineLevel="0" collapsed="false">
      <c r="A3982" s="0" t="n">
        <v>1316</v>
      </c>
      <c r="B3982" s="0" t="s">
        <v>8786</v>
      </c>
      <c r="C3982" s="0" t="s">
        <v>8790</v>
      </c>
      <c r="E3982" s="0" t="s">
        <v>79</v>
      </c>
      <c r="F3982" s="0" t="s">
        <v>15043</v>
      </c>
    </row>
    <row r="3983" customFormat="false" ht="15" hidden="false" customHeight="false" outlineLevel="0" collapsed="false">
      <c r="A3983" s="0" t="n">
        <v>1316</v>
      </c>
      <c r="B3983" s="0" t="s">
        <v>8786</v>
      </c>
      <c r="C3983" s="0" t="s">
        <v>15044</v>
      </c>
      <c r="E3983" s="0" t="s">
        <v>79</v>
      </c>
      <c r="F3983" s="0" t="s">
        <v>15045</v>
      </c>
    </row>
    <row r="3984" customFormat="false" ht="15" hidden="false" customHeight="false" outlineLevel="0" collapsed="false">
      <c r="A3984" s="0" t="n">
        <v>1316</v>
      </c>
      <c r="B3984" s="0" t="s">
        <v>8786</v>
      </c>
      <c r="C3984" s="0" t="s">
        <v>15046</v>
      </c>
      <c r="E3984" s="0" t="s">
        <v>79</v>
      </c>
      <c r="F3984" s="0" t="s">
        <v>15047</v>
      </c>
    </row>
    <row r="3985" customFormat="false" ht="15" hidden="false" customHeight="false" outlineLevel="0" collapsed="false">
      <c r="A3985" s="0" t="n">
        <v>1317</v>
      </c>
      <c r="B3985" s="0" t="s">
        <v>8791</v>
      </c>
      <c r="C3985" s="0" t="s">
        <v>8794</v>
      </c>
      <c r="E3985" s="0" t="s">
        <v>59</v>
      </c>
      <c r="F3985" s="0" t="s">
        <v>15048</v>
      </c>
    </row>
    <row r="3986" customFormat="false" ht="15" hidden="false" customHeight="false" outlineLevel="0" collapsed="false">
      <c r="A3986" s="0" t="n">
        <v>1317</v>
      </c>
      <c r="B3986" s="0" t="s">
        <v>8791</v>
      </c>
      <c r="C3986" s="0" t="s">
        <v>8795</v>
      </c>
      <c r="E3986" s="0" t="s">
        <v>59</v>
      </c>
      <c r="F3986" s="0" t="s">
        <v>15049</v>
      </c>
    </row>
    <row r="3987" customFormat="false" ht="15" hidden="false" customHeight="false" outlineLevel="0" collapsed="false">
      <c r="A3987" s="0" t="n">
        <v>1317</v>
      </c>
      <c r="B3987" s="0" t="s">
        <v>8791</v>
      </c>
      <c r="C3987" s="0" t="s">
        <v>8796</v>
      </c>
      <c r="E3987" s="0" t="s">
        <v>59</v>
      </c>
      <c r="F3987" s="0" t="s">
        <v>15050</v>
      </c>
    </row>
    <row r="3988" customFormat="false" ht="15" hidden="false" customHeight="false" outlineLevel="0" collapsed="false">
      <c r="A3988" s="0" t="n">
        <v>1317</v>
      </c>
      <c r="B3988" s="0" t="s">
        <v>8791</v>
      </c>
      <c r="C3988" s="0" t="s">
        <v>15051</v>
      </c>
      <c r="E3988" s="0" t="s">
        <v>59</v>
      </c>
      <c r="F3988" s="0" t="s">
        <v>15052</v>
      </c>
    </row>
    <row r="3989" customFormat="false" ht="15" hidden="false" customHeight="false" outlineLevel="0" collapsed="false">
      <c r="A3989" s="0" t="n">
        <v>1317</v>
      </c>
      <c r="B3989" s="0" t="s">
        <v>8791</v>
      </c>
      <c r="C3989" s="0" t="s">
        <v>15053</v>
      </c>
      <c r="E3989" s="0" t="s">
        <v>59</v>
      </c>
      <c r="F3989" s="0" t="s">
        <v>15054</v>
      </c>
    </row>
    <row r="3990" customFormat="false" ht="15" hidden="false" customHeight="false" outlineLevel="0" collapsed="false">
      <c r="A3990" s="0" t="n">
        <v>1318</v>
      </c>
      <c r="B3990" s="0" t="s">
        <v>8800</v>
      </c>
      <c r="C3990" s="0" t="s">
        <v>8803</v>
      </c>
      <c r="E3990" s="0" t="s">
        <v>59</v>
      </c>
      <c r="F3990" s="0" t="s">
        <v>15055</v>
      </c>
    </row>
    <row r="3991" customFormat="false" ht="15" hidden="false" customHeight="false" outlineLevel="0" collapsed="false">
      <c r="A3991" s="0" t="n">
        <v>1318</v>
      </c>
      <c r="B3991" s="0" t="s">
        <v>8800</v>
      </c>
      <c r="C3991" s="0" t="s">
        <v>8804</v>
      </c>
      <c r="E3991" s="0" t="s">
        <v>59</v>
      </c>
      <c r="F3991" s="0" t="s">
        <v>15056</v>
      </c>
    </row>
    <row r="3992" customFormat="false" ht="15" hidden="false" customHeight="false" outlineLevel="0" collapsed="false">
      <c r="A3992" s="0" t="n">
        <v>1318</v>
      </c>
      <c r="B3992" s="0" t="s">
        <v>8800</v>
      </c>
      <c r="C3992" s="0" t="s">
        <v>8805</v>
      </c>
      <c r="E3992" s="0" t="s">
        <v>59</v>
      </c>
      <c r="F3992" s="0" t="s">
        <v>15057</v>
      </c>
    </row>
    <row r="3993" customFormat="false" ht="15" hidden="false" customHeight="false" outlineLevel="0" collapsed="false">
      <c r="A3993" s="0" t="n">
        <v>1318</v>
      </c>
      <c r="B3993" s="0" t="s">
        <v>8800</v>
      </c>
      <c r="C3993" s="0" t="s">
        <v>15058</v>
      </c>
      <c r="E3993" s="0" t="s">
        <v>59</v>
      </c>
      <c r="F3993" s="0" t="s">
        <v>15059</v>
      </c>
    </row>
    <row r="3994" customFormat="false" ht="15" hidden="false" customHeight="false" outlineLevel="0" collapsed="false">
      <c r="A3994" s="0" t="n">
        <v>1318</v>
      </c>
      <c r="B3994" s="0" t="s">
        <v>8800</v>
      </c>
      <c r="C3994" s="0" t="s">
        <v>15060</v>
      </c>
      <c r="E3994" s="0" t="s">
        <v>59</v>
      </c>
      <c r="F3994" s="0" t="s">
        <v>15061</v>
      </c>
    </row>
    <row r="3995" customFormat="false" ht="15" hidden="false" customHeight="false" outlineLevel="0" collapsed="false">
      <c r="A3995" s="0" t="n">
        <v>1319</v>
      </c>
      <c r="B3995" s="0" t="s">
        <v>8810</v>
      </c>
      <c r="C3995" s="0" t="s">
        <v>8813</v>
      </c>
      <c r="E3995" s="0" t="s">
        <v>79</v>
      </c>
      <c r="F3995" s="0" t="s">
        <v>15062</v>
      </c>
    </row>
    <row r="3996" customFormat="false" ht="15" hidden="false" customHeight="false" outlineLevel="0" collapsed="false">
      <c r="A3996" s="0" t="n">
        <v>1319</v>
      </c>
      <c r="B3996" s="0" t="s">
        <v>8810</v>
      </c>
      <c r="C3996" s="0" t="s">
        <v>8814</v>
      </c>
      <c r="E3996" s="0" t="s">
        <v>79</v>
      </c>
      <c r="F3996" s="0" t="s">
        <v>15063</v>
      </c>
    </row>
    <row r="3997" customFormat="false" ht="15" hidden="false" customHeight="false" outlineLevel="0" collapsed="false">
      <c r="A3997" s="0" t="n">
        <v>1319</v>
      </c>
      <c r="B3997" s="0" t="s">
        <v>8810</v>
      </c>
      <c r="C3997" s="0" t="s">
        <v>8815</v>
      </c>
      <c r="E3997" s="0" t="s">
        <v>79</v>
      </c>
      <c r="F3997" s="0" t="s">
        <v>15064</v>
      </c>
    </row>
    <row r="3998" customFormat="false" ht="15" hidden="false" customHeight="false" outlineLevel="0" collapsed="false">
      <c r="A3998" s="0" t="n">
        <v>1319</v>
      </c>
      <c r="B3998" s="0" t="s">
        <v>8810</v>
      </c>
      <c r="C3998" s="0" t="s">
        <v>15065</v>
      </c>
      <c r="E3998" s="0" t="s">
        <v>79</v>
      </c>
      <c r="F3998" s="0" t="s">
        <v>15066</v>
      </c>
    </row>
    <row r="3999" customFormat="false" ht="15" hidden="false" customHeight="false" outlineLevel="0" collapsed="false">
      <c r="A3999" s="0" t="n">
        <v>1319</v>
      </c>
      <c r="B3999" s="0" t="s">
        <v>8810</v>
      </c>
      <c r="C3999" s="0" t="s">
        <v>15067</v>
      </c>
      <c r="E3999" s="0" t="s">
        <v>79</v>
      </c>
      <c r="F3999" s="0" t="s">
        <v>15068</v>
      </c>
    </row>
    <row r="4000" customFormat="false" ht="15" hidden="false" customHeight="false" outlineLevel="0" collapsed="false">
      <c r="A4000" s="0" t="n">
        <v>1320</v>
      </c>
      <c r="B4000" s="0" t="s">
        <v>8818</v>
      </c>
      <c r="C4000" s="0" t="s">
        <v>8821</v>
      </c>
      <c r="E4000" s="0" t="s">
        <v>79</v>
      </c>
      <c r="F4000" s="0" t="s">
        <v>15069</v>
      </c>
    </row>
    <row r="4001" customFormat="false" ht="15" hidden="false" customHeight="false" outlineLevel="0" collapsed="false">
      <c r="A4001" s="0" t="n">
        <v>1320</v>
      </c>
      <c r="B4001" s="0" t="s">
        <v>8818</v>
      </c>
      <c r="C4001" s="0" t="s">
        <v>8822</v>
      </c>
      <c r="E4001" s="0" t="s">
        <v>79</v>
      </c>
      <c r="F4001" s="0" t="s">
        <v>15070</v>
      </c>
    </row>
    <row r="4002" customFormat="false" ht="15" hidden="false" customHeight="false" outlineLevel="0" collapsed="false">
      <c r="A4002" s="0" t="n">
        <v>1320</v>
      </c>
      <c r="B4002" s="0" t="s">
        <v>8818</v>
      </c>
      <c r="C4002" s="0" t="s">
        <v>8823</v>
      </c>
      <c r="E4002" s="0" t="s">
        <v>79</v>
      </c>
      <c r="F4002" s="0" t="s">
        <v>15071</v>
      </c>
    </row>
    <row r="4003" customFormat="false" ht="15" hidden="false" customHeight="false" outlineLevel="0" collapsed="false">
      <c r="A4003" s="0" t="n">
        <v>1320</v>
      </c>
      <c r="B4003" s="0" t="s">
        <v>8818</v>
      </c>
      <c r="C4003" s="0" t="s">
        <v>15072</v>
      </c>
      <c r="E4003" s="0" t="s">
        <v>79</v>
      </c>
      <c r="F4003" s="0" t="s">
        <v>15073</v>
      </c>
    </row>
    <row r="4004" customFormat="false" ht="15" hidden="false" customHeight="false" outlineLevel="0" collapsed="false">
      <c r="A4004" s="0" t="n">
        <v>1320</v>
      </c>
      <c r="B4004" s="0" t="s">
        <v>8818</v>
      </c>
      <c r="C4004" s="0" t="s">
        <v>1897</v>
      </c>
      <c r="E4004" s="0" t="s">
        <v>79</v>
      </c>
      <c r="F4004" s="0" t="s">
        <v>15074</v>
      </c>
    </row>
    <row r="4005" customFormat="false" ht="15" hidden="false" customHeight="false" outlineLevel="0" collapsed="false">
      <c r="A4005" s="0" t="n">
        <v>1321</v>
      </c>
      <c r="B4005" s="0" t="s">
        <v>8827</v>
      </c>
      <c r="C4005" s="0" t="s">
        <v>8830</v>
      </c>
      <c r="E4005" s="0" t="s">
        <v>79</v>
      </c>
      <c r="F4005" s="0" t="s">
        <v>15075</v>
      </c>
    </row>
    <row r="4006" customFormat="false" ht="15" hidden="false" customHeight="false" outlineLevel="0" collapsed="false">
      <c r="A4006" s="0" t="n">
        <v>1321</v>
      </c>
      <c r="B4006" s="0" t="s">
        <v>8827</v>
      </c>
      <c r="C4006" s="0" t="s">
        <v>8831</v>
      </c>
      <c r="E4006" s="0" t="s">
        <v>79</v>
      </c>
      <c r="F4006" s="0" t="s">
        <v>15076</v>
      </c>
    </row>
    <row r="4007" customFormat="false" ht="15" hidden="false" customHeight="false" outlineLevel="0" collapsed="false">
      <c r="A4007" s="0" t="n">
        <v>1321</v>
      </c>
      <c r="B4007" s="0" t="s">
        <v>8827</v>
      </c>
      <c r="C4007" s="0" t="s">
        <v>8832</v>
      </c>
      <c r="E4007" s="0" t="s">
        <v>79</v>
      </c>
      <c r="F4007" s="0" t="s">
        <v>15077</v>
      </c>
    </row>
    <row r="4008" customFormat="false" ht="15" hidden="false" customHeight="false" outlineLevel="0" collapsed="false">
      <c r="A4008" s="0" t="n">
        <v>1321</v>
      </c>
      <c r="B4008" s="0" t="s">
        <v>8827</v>
      </c>
      <c r="C4008" s="0" t="s">
        <v>15078</v>
      </c>
      <c r="E4008" s="0" t="s">
        <v>79</v>
      </c>
      <c r="F4008" s="0" t="s">
        <v>15079</v>
      </c>
    </row>
    <row r="4009" customFormat="false" ht="15" hidden="false" customHeight="false" outlineLevel="0" collapsed="false">
      <c r="A4009" s="0" t="n">
        <v>1321</v>
      </c>
      <c r="B4009" s="0" t="s">
        <v>8827</v>
      </c>
      <c r="C4009" s="0" t="s">
        <v>15080</v>
      </c>
      <c r="E4009" s="0" t="s">
        <v>79</v>
      </c>
      <c r="F4009" s="0" t="s">
        <v>15081</v>
      </c>
    </row>
    <row r="4010" customFormat="false" ht="15" hidden="false" customHeight="false" outlineLevel="0" collapsed="false">
      <c r="A4010" s="0" t="n">
        <v>1322</v>
      </c>
      <c r="B4010" s="0" t="s">
        <v>8838</v>
      </c>
      <c r="C4010" s="0" t="s">
        <v>8840</v>
      </c>
      <c r="E4010" s="0" t="s">
        <v>79</v>
      </c>
      <c r="F4010" s="0" t="s">
        <v>15082</v>
      </c>
    </row>
    <row r="4011" customFormat="false" ht="15" hidden="false" customHeight="false" outlineLevel="0" collapsed="false">
      <c r="A4011" s="0" t="n">
        <v>1322</v>
      </c>
      <c r="B4011" s="0" t="s">
        <v>8838</v>
      </c>
      <c r="C4011" s="0" t="s">
        <v>8841</v>
      </c>
      <c r="E4011" s="0" t="s">
        <v>79</v>
      </c>
      <c r="F4011" s="0" t="s">
        <v>15083</v>
      </c>
    </row>
    <row r="4012" customFormat="false" ht="15" hidden="false" customHeight="false" outlineLevel="0" collapsed="false">
      <c r="A4012" s="0" t="n">
        <v>1322</v>
      </c>
      <c r="B4012" s="0" t="s">
        <v>8838</v>
      </c>
      <c r="C4012" s="0" t="s">
        <v>8842</v>
      </c>
      <c r="E4012" s="0" t="s">
        <v>79</v>
      </c>
      <c r="F4012" s="0" t="s">
        <v>15084</v>
      </c>
    </row>
    <row r="4013" customFormat="false" ht="15" hidden="false" customHeight="false" outlineLevel="0" collapsed="false">
      <c r="A4013" s="0" t="n">
        <v>1322</v>
      </c>
      <c r="B4013" s="0" t="s">
        <v>8838</v>
      </c>
      <c r="C4013" s="0" t="s">
        <v>15085</v>
      </c>
      <c r="E4013" s="0" t="s">
        <v>79</v>
      </c>
      <c r="F4013" s="0" t="s">
        <v>15086</v>
      </c>
    </row>
    <row r="4014" customFormat="false" ht="15" hidden="false" customHeight="false" outlineLevel="0" collapsed="false">
      <c r="A4014" s="0" t="n">
        <v>1322</v>
      </c>
      <c r="B4014" s="0" t="s">
        <v>8838</v>
      </c>
      <c r="C4014" s="0" t="s">
        <v>15087</v>
      </c>
      <c r="E4014" s="0" t="s">
        <v>79</v>
      </c>
      <c r="F4014" s="0" t="s">
        <v>15088</v>
      </c>
    </row>
    <row r="4015" customFormat="false" ht="15" hidden="false" customHeight="false" outlineLevel="0" collapsed="false">
      <c r="A4015" s="0" t="n">
        <v>1325</v>
      </c>
      <c r="B4015" s="0" t="s">
        <v>8851</v>
      </c>
      <c r="C4015" s="0" t="s">
        <v>8853</v>
      </c>
      <c r="E4015" s="0" t="s">
        <v>79</v>
      </c>
      <c r="F4015" s="0" t="s">
        <v>15089</v>
      </c>
    </row>
    <row r="4016" customFormat="false" ht="15" hidden="false" customHeight="false" outlineLevel="0" collapsed="false">
      <c r="A4016" s="0" t="n">
        <v>1325</v>
      </c>
      <c r="B4016" s="0" t="s">
        <v>8851</v>
      </c>
      <c r="C4016" s="0" t="s">
        <v>8854</v>
      </c>
      <c r="E4016" s="0" t="s">
        <v>79</v>
      </c>
      <c r="F4016" s="0" t="s">
        <v>15090</v>
      </c>
    </row>
    <row r="4017" customFormat="false" ht="15" hidden="false" customHeight="false" outlineLevel="0" collapsed="false">
      <c r="A4017" s="0" t="n">
        <v>1325</v>
      </c>
      <c r="B4017" s="0" t="s">
        <v>8851</v>
      </c>
      <c r="C4017" s="0" t="s">
        <v>8855</v>
      </c>
      <c r="E4017" s="0" t="s">
        <v>79</v>
      </c>
      <c r="F4017" s="0" t="s">
        <v>15091</v>
      </c>
    </row>
    <row r="4018" customFormat="false" ht="15" hidden="false" customHeight="false" outlineLevel="0" collapsed="false">
      <c r="A4018" s="0" t="n">
        <v>1325</v>
      </c>
      <c r="B4018" s="0" t="s">
        <v>8851</v>
      </c>
      <c r="C4018" s="0" t="s">
        <v>15092</v>
      </c>
      <c r="E4018" s="0" t="s">
        <v>79</v>
      </c>
      <c r="F4018" s="0" t="s">
        <v>15093</v>
      </c>
    </row>
    <row r="4019" customFormat="false" ht="15" hidden="false" customHeight="false" outlineLevel="0" collapsed="false">
      <c r="A4019" s="0" t="n">
        <v>1325</v>
      </c>
      <c r="B4019" s="0" t="s">
        <v>8851</v>
      </c>
      <c r="C4019" s="0" t="s">
        <v>15094</v>
      </c>
      <c r="E4019" s="0" t="s">
        <v>79</v>
      </c>
      <c r="F4019" s="0" t="s">
        <v>15095</v>
      </c>
    </row>
    <row r="4020" customFormat="false" ht="15" hidden="false" customHeight="false" outlineLevel="0" collapsed="false">
      <c r="A4020" s="0" t="n">
        <v>1326</v>
      </c>
      <c r="B4020" s="0" t="s">
        <v>8856</v>
      </c>
      <c r="C4020" s="0" t="s">
        <v>8859</v>
      </c>
      <c r="E4020" s="0" t="s">
        <v>79</v>
      </c>
      <c r="F4020" s="0" t="s">
        <v>15096</v>
      </c>
    </row>
    <row r="4021" customFormat="false" ht="15" hidden="false" customHeight="false" outlineLevel="0" collapsed="false">
      <c r="A4021" s="0" t="n">
        <v>1326</v>
      </c>
      <c r="B4021" s="0" t="s">
        <v>8856</v>
      </c>
      <c r="C4021" s="0" t="s">
        <v>8860</v>
      </c>
      <c r="E4021" s="0" t="s">
        <v>79</v>
      </c>
      <c r="F4021" s="0" t="s">
        <v>15097</v>
      </c>
    </row>
    <row r="4022" customFormat="false" ht="15" hidden="false" customHeight="false" outlineLevel="0" collapsed="false">
      <c r="A4022" s="0" t="n">
        <v>1326</v>
      </c>
      <c r="B4022" s="0" t="s">
        <v>8856</v>
      </c>
      <c r="C4022" s="0" t="s">
        <v>8861</v>
      </c>
      <c r="E4022" s="0" t="s">
        <v>79</v>
      </c>
      <c r="F4022" s="0" t="s">
        <v>15098</v>
      </c>
    </row>
    <row r="4023" customFormat="false" ht="15" hidden="false" customHeight="false" outlineLevel="0" collapsed="false">
      <c r="A4023" s="0" t="n">
        <v>1326</v>
      </c>
      <c r="B4023" s="0" t="s">
        <v>8856</v>
      </c>
      <c r="C4023" s="0" t="s">
        <v>15099</v>
      </c>
      <c r="E4023" s="0" t="s">
        <v>79</v>
      </c>
      <c r="F4023" s="0" t="s">
        <v>15100</v>
      </c>
    </row>
    <row r="4024" customFormat="false" ht="15" hidden="false" customHeight="false" outlineLevel="0" collapsed="false">
      <c r="A4024" s="0" t="n">
        <v>1326</v>
      </c>
      <c r="B4024" s="0" t="s">
        <v>8856</v>
      </c>
      <c r="C4024" s="0" t="s">
        <v>15101</v>
      </c>
      <c r="E4024" s="0" t="s">
        <v>79</v>
      </c>
      <c r="F4024" s="0" t="s">
        <v>15102</v>
      </c>
    </row>
    <row r="4025" customFormat="false" ht="15" hidden="false" customHeight="false" outlineLevel="0" collapsed="false">
      <c r="A4025" s="0" t="n">
        <v>1327</v>
      </c>
      <c r="B4025" s="0" t="s">
        <v>8866</v>
      </c>
      <c r="C4025" s="0" t="s">
        <v>8873</v>
      </c>
      <c r="D4025" s="0" t="s">
        <v>15103</v>
      </c>
      <c r="E4025" s="0" t="s">
        <v>115</v>
      </c>
    </row>
    <row r="4026" customFormat="false" ht="15" hidden="false" customHeight="false" outlineLevel="0" collapsed="false">
      <c r="A4026" s="0" t="n">
        <v>1327</v>
      </c>
      <c r="B4026" s="0" t="s">
        <v>8866</v>
      </c>
      <c r="C4026" s="0" t="s">
        <v>8874</v>
      </c>
      <c r="D4026" s="0" t="s">
        <v>15104</v>
      </c>
      <c r="E4026" s="0" t="s">
        <v>115</v>
      </c>
    </row>
    <row r="4027" customFormat="false" ht="15" hidden="false" customHeight="false" outlineLevel="0" collapsed="false">
      <c r="A4027" s="0" t="n">
        <v>1327</v>
      </c>
      <c r="B4027" s="0" t="s">
        <v>8866</v>
      </c>
      <c r="C4027" s="0" t="s">
        <v>8875</v>
      </c>
      <c r="D4027" s="0" t="s">
        <v>15105</v>
      </c>
      <c r="E4027" s="0" t="s">
        <v>115</v>
      </c>
    </row>
    <row r="4028" customFormat="false" ht="15" hidden="false" customHeight="false" outlineLevel="0" collapsed="false">
      <c r="A4028" s="0" t="n">
        <v>1328</v>
      </c>
      <c r="B4028" s="0" t="s">
        <v>8883</v>
      </c>
      <c r="C4028" s="0" t="s">
        <v>8873</v>
      </c>
      <c r="D4028" s="0" t="s">
        <v>15103</v>
      </c>
      <c r="E4028" s="0" t="s">
        <v>115</v>
      </c>
    </row>
    <row r="4029" customFormat="false" ht="15" hidden="false" customHeight="false" outlineLevel="0" collapsed="false">
      <c r="A4029" s="0" t="n">
        <v>1328</v>
      </c>
      <c r="B4029" s="0" t="s">
        <v>8883</v>
      </c>
      <c r="C4029" s="0" t="s">
        <v>8874</v>
      </c>
      <c r="D4029" s="0" t="s">
        <v>15104</v>
      </c>
      <c r="E4029" s="0" t="s">
        <v>115</v>
      </c>
    </row>
    <row r="4030" customFormat="false" ht="15" hidden="false" customHeight="false" outlineLevel="0" collapsed="false">
      <c r="A4030" s="0" t="n">
        <v>1328</v>
      </c>
      <c r="B4030" s="0" t="s">
        <v>8883</v>
      </c>
      <c r="C4030" s="0" t="s">
        <v>8875</v>
      </c>
      <c r="D4030" s="0" t="s">
        <v>15105</v>
      </c>
      <c r="E4030" s="0" t="s">
        <v>115</v>
      </c>
    </row>
    <row r="4031" customFormat="false" ht="15" hidden="false" customHeight="false" outlineLevel="0" collapsed="false">
      <c r="A4031" s="0" t="n">
        <v>1329</v>
      </c>
      <c r="B4031" s="0" t="s">
        <v>8885</v>
      </c>
      <c r="C4031" s="0" t="s">
        <v>8888</v>
      </c>
      <c r="E4031" s="0" t="s">
        <v>79</v>
      </c>
      <c r="F4031" s="0" t="s">
        <v>15106</v>
      </c>
    </row>
    <row r="4032" customFormat="false" ht="15" hidden="false" customHeight="false" outlineLevel="0" collapsed="false">
      <c r="A4032" s="0" t="n">
        <v>1329</v>
      </c>
      <c r="B4032" s="0" t="s">
        <v>8885</v>
      </c>
      <c r="C4032" s="0" t="s">
        <v>8889</v>
      </c>
      <c r="E4032" s="0" t="s">
        <v>79</v>
      </c>
      <c r="F4032" s="0" t="s">
        <v>15107</v>
      </c>
    </row>
    <row r="4033" customFormat="false" ht="15" hidden="false" customHeight="false" outlineLevel="0" collapsed="false">
      <c r="A4033" s="0" t="n">
        <v>1329</v>
      </c>
      <c r="B4033" s="0" t="s">
        <v>8885</v>
      </c>
      <c r="C4033" s="0" t="s">
        <v>8890</v>
      </c>
      <c r="E4033" s="0" t="s">
        <v>79</v>
      </c>
      <c r="F4033" s="0" t="s">
        <v>15108</v>
      </c>
    </row>
    <row r="4034" customFormat="false" ht="15" hidden="false" customHeight="false" outlineLevel="0" collapsed="false">
      <c r="A4034" s="0" t="n">
        <v>1329</v>
      </c>
      <c r="B4034" s="0" t="s">
        <v>8885</v>
      </c>
      <c r="C4034" s="0" t="s">
        <v>15109</v>
      </c>
      <c r="E4034" s="0" t="s">
        <v>79</v>
      </c>
      <c r="F4034" s="0" t="s">
        <v>15110</v>
      </c>
    </row>
    <row r="4035" customFormat="false" ht="15" hidden="false" customHeight="false" outlineLevel="0" collapsed="false">
      <c r="A4035" s="0" t="n">
        <v>1329</v>
      </c>
      <c r="B4035" s="0" t="s">
        <v>8885</v>
      </c>
      <c r="C4035" s="0" t="s">
        <v>15111</v>
      </c>
      <c r="E4035" s="0" t="s">
        <v>79</v>
      </c>
      <c r="F4035" s="0" t="s">
        <v>15112</v>
      </c>
    </row>
    <row r="4036" customFormat="false" ht="15" hidden="false" customHeight="false" outlineLevel="0" collapsed="false">
      <c r="A4036" s="0" t="n">
        <v>1330</v>
      </c>
      <c r="B4036" s="0" t="s">
        <v>8895</v>
      </c>
      <c r="C4036" s="0" t="s">
        <v>8897</v>
      </c>
      <c r="E4036" s="0" t="s">
        <v>59</v>
      </c>
      <c r="F4036" s="0" t="s">
        <v>15113</v>
      </c>
    </row>
    <row r="4037" customFormat="false" ht="15" hidden="false" customHeight="false" outlineLevel="0" collapsed="false">
      <c r="A4037" s="0" t="n">
        <v>1330</v>
      </c>
      <c r="B4037" s="0" t="s">
        <v>8895</v>
      </c>
      <c r="C4037" s="0" t="s">
        <v>8898</v>
      </c>
      <c r="E4037" s="0" t="s">
        <v>59</v>
      </c>
      <c r="F4037" s="0" t="s">
        <v>15114</v>
      </c>
    </row>
    <row r="4038" customFormat="false" ht="15" hidden="false" customHeight="false" outlineLevel="0" collapsed="false">
      <c r="A4038" s="0" t="n">
        <v>1330</v>
      </c>
      <c r="B4038" s="0" t="s">
        <v>8895</v>
      </c>
      <c r="C4038" s="0" t="s">
        <v>8899</v>
      </c>
      <c r="E4038" s="0" t="s">
        <v>59</v>
      </c>
      <c r="F4038" s="0" t="s">
        <v>15115</v>
      </c>
    </row>
    <row r="4039" customFormat="false" ht="15" hidden="false" customHeight="false" outlineLevel="0" collapsed="false">
      <c r="A4039" s="0" t="n">
        <v>1330</v>
      </c>
      <c r="B4039" s="0" t="s">
        <v>8895</v>
      </c>
      <c r="C4039" s="0" t="s">
        <v>15116</v>
      </c>
      <c r="E4039" s="0" t="s">
        <v>59</v>
      </c>
      <c r="F4039" s="0" t="s">
        <v>15117</v>
      </c>
    </row>
    <row r="4040" customFormat="false" ht="15" hidden="false" customHeight="false" outlineLevel="0" collapsed="false">
      <c r="A4040" s="0" t="n">
        <v>1330</v>
      </c>
      <c r="B4040" s="0" t="s">
        <v>8895</v>
      </c>
      <c r="C4040" s="0" t="s">
        <v>15118</v>
      </c>
      <c r="E4040" s="0" t="s">
        <v>59</v>
      </c>
      <c r="F4040" s="0" t="s">
        <v>15119</v>
      </c>
    </row>
    <row r="4041" customFormat="false" ht="15" hidden="false" customHeight="false" outlineLevel="0" collapsed="false">
      <c r="A4041" s="0" t="n">
        <v>1331</v>
      </c>
      <c r="B4041" s="0" t="s">
        <v>8900</v>
      </c>
      <c r="C4041" s="0" t="s">
        <v>8902</v>
      </c>
      <c r="E4041" s="0" t="s">
        <v>79</v>
      </c>
      <c r="F4041" s="0" t="s">
        <v>15120</v>
      </c>
    </row>
    <row r="4042" customFormat="false" ht="15" hidden="false" customHeight="false" outlineLevel="0" collapsed="false">
      <c r="A4042" s="0" t="n">
        <v>1331</v>
      </c>
      <c r="B4042" s="0" t="s">
        <v>8900</v>
      </c>
      <c r="C4042" s="0" t="s">
        <v>8903</v>
      </c>
      <c r="E4042" s="0" t="s">
        <v>79</v>
      </c>
      <c r="F4042" s="0" t="s">
        <v>15121</v>
      </c>
    </row>
    <row r="4043" customFormat="false" ht="15" hidden="false" customHeight="false" outlineLevel="0" collapsed="false">
      <c r="A4043" s="0" t="n">
        <v>1332</v>
      </c>
      <c r="B4043" s="0" t="s">
        <v>8904</v>
      </c>
      <c r="C4043" s="0" t="s">
        <v>8906</v>
      </c>
      <c r="E4043" s="0" t="s">
        <v>79</v>
      </c>
      <c r="F4043" s="0" t="s">
        <v>15122</v>
      </c>
    </row>
    <row r="4044" customFormat="false" ht="15" hidden="false" customHeight="false" outlineLevel="0" collapsed="false">
      <c r="A4044" s="0" t="n">
        <v>1332</v>
      </c>
      <c r="B4044" s="0" t="s">
        <v>8904</v>
      </c>
      <c r="C4044" s="0" t="s">
        <v>8907</v>
      </c>
      <c r="E4044" s="0" t="s">
        <v>79</v>
      </c>
      <c r="F4044" s="0" t="s">
        <v>15123</v>
      </c>
    </row>
    <row r="4045" customFormat="false" ht="15" hidden="false" customHeight="false" outlineLevel="0" collapsed="false">
      <c r="A4045" s="0" t="n">
        <v>1333</v>
      </c>
      <c r="B4045" s="0" t="s">
        <v>8908</v>
      </c>
      <c r="C4045" s="0" t="s">
        <v>8911</v>
      </c>
      <c r="E4045" s="0" t="s">
        <v>79</v>
      </c>
      <c r="F4045" s="0" t="s">
        <v>15124</v>
      </c>
    </row>
    <row r="4046" customFormat="false" ht="15" hidden="false" customHeight="false" outlineLevel="0" collapsed="false">
      <c r="A4046" s="0" t="n">
        <v>1333</v>
      </c>
      <c r="B4046" s="0" t="s">
        <v>8908</v>
      </c>
      <c r="C4046" s="0" t="s">
        <v>8912</v>
      </c>
      <c r="E4046" s="0" t="s">
        <v>79</v>
      </c>
      <c r="F4046" s="0" t="s">
        <v>15125</v>
      </c>
    </row>
    <row r="4047" customFormat="false" ht="15" hidden="false" customHeight="false" outlineLevel="0" collapsed="false">
      <c r="A4047" s="0" t="n">
        <v>1334</v>
      </c>
      <c r="B4047" s="0" t="s">
        <v>8916</v>
      </c>
      <c r="C4047" s="0" t="s">
        <v>8919</v>
      </c>
      <c r="E4047" s="0" t="s">
        <v>79</v>
      </c>
      <c r="F4047" s="0" t="s">
        <v>15126</v>
      </c>
    </row>
    <row r="4048" customFormat="false" ht="15" hidden="false" customHeight="false" outlineLevel="0" collapsed="false">
      <c r="A4048" s="0" t="n">
        <v>1334</v>
      </c>
      <c r="B4048" s="0" t="s">
        <v>8916</v>
      </c>
      <c r="C4048" s="0" t="s">
        <v>8920</v>
      </c>
      <c r="E4048" s="0" t="s">
        <v>79</v>
      </c>
      <c r="F4048" s="0" t="s">
        <v>15127</v>
      </c>
    </row>
    <row r="4049" customFormat="false" ht="15" hidden="false" customHeight="false" outlineLevel="0" collapsed="false">
      <c r="A4049" s="0" t="n">
        <v>1334</v>
      </c>
      <c r="B4049" s="0" t="s">
        <v>8916</v>
      </c>
      <c r="C4049" s="0" t="s">
        <v>8921</v>
      </c>
      <c r="E4049" s="0" t="s">
        <v>79</v>
      </c>
      <c r="F4049" s="0" t="s">
        <v>15128</v>
      </c>
    </row>
    <row r="4050" customFormat="false" ht="15" hidden="false" customHeight="false" outlineLevel="0" collapsed="false">
      <c r="A4050" s="0" t="n">
        <v>1334</v>
      </c>
      <c r="B4050" s="0" t="s">
        <v>8916</v>
      </c>
      <c r="C4050" s="0" t="s">
        <v>15129</v>
      </c>
      <c r="E4050" s="0" t="s">
        <v>79</v>
      </c>
      <c r="F4050" s="0" t="s">
        <v>15130</v>
      </c>
    </row>
    <row r="4051" customFormat="false" ht="15" hidden="false" customHeight="false" outlineLevel="0" collapsed="false">
      <c r="A4051" s="0" t="n">
        <v>1334</v>
      </c>
      <c r="B4051" s="0" t="s">
        <v>8916</v>
      </c>
      <c r="C4051" s="0" t="s">
        <v>15131</v>
      </c>
      <c r="E4051" s="0" t="s">
        <v>79</v>
      </c>
      <c r="F4051" s="0" t="s">
        <v>15132</v>
      </c>
    </row>
    <row r="4052" customFormat="false" ht="15" hidden="false" customHeight="false" outlineLevel="0" collapsed="false">
      <c r="A4052" s="0" t="n">
        <v>1335</v>
      </c>
      <c r="B4052" s="0" t="s">
        <v>8922</v>
      </c>
      <c r="C4052" s="0" t="s">
        <v>8924</v>
      </c>
      <c r="E4052" s="0" t="s">
        <v>79</v>
      </c>
      <c r="F4052" s="0" t="s">
        <v>15133</v>
      </c>
    </row>
    <row r="4053" customFormat="false" ht="15" hidden="false" customHeight="false" outlineLevel="0" collapsed="false">
      <c r="A4053" s="0" t="n">
        <v>1335</v>
      </c>
      <c r="B4053" s="0" t="s">
        <v>8922</v>
      </c>
      <c r="C4053" s="0" t="s">
        <v>8925</v>
      </c>
      <c r="E4053" s="0" t="s">
        <v>79</v>
      </c>
      <c r="F4053" s="0" t="s">
        <v>15134</v>
      </c>
    </row>
    <row r="4054" customFormat="false" ht="15" hidden="false" customHeight="false" outlineLevel="0" collapsed="false">
      <c r="A4054" s="0" t="n">
        <v>1335</v>
      </c>
      <c r="B4054" s="0" t="s">
        <v>8922</v>
      </c>
      <c r="C4054" s="0" t="s">
        <v>8926</v>
      </c>
      <c r="E4054" s="0" t="s">
        <v>79</v>
      </c>
      <c r="F4054" s="0" t="s">
        <v>15135</v>
      </c>
    </row>
    <row r="4055" customFormat="false" ht="15" hidden="false" customHeight="false" outlineLevel="0" collapsed="false">
      <c r="A4055" s="0" t="n">
        <v>1335</v>
      </c>
      <c r="B4055" s="0" t="s">
        <v>8922</v>
      </c>
      <c r="C4055" s="0" t="s">
        <v>15136</v>
      </c>
      <c r="E4055" s="0" t="s">
        <v>79</v>
      </c>
      <c r="F4055" s="0" t="s">
        <v>15137</v>
      </c>
    </row>
    <row r="4056" customFormat="false" ht="15" hidden="false" customHeight="false" outlineLevel="0" collapsed="false">
      <c r="A4056" s="0" t="n">
        <v>1335</v>
      </c>
      <c r="B4056" s="0" t="s">
        <v>8922</v>
      </c>
      <c r="C4056" s="0" t="s">
        <v>15138</v>
      </c>
      <c r="E4056" s="0" t="s">
        <v>79</v>
      </c>
      <c r="F4056" s="0" t="s">
        <v>15139</v>
      </c>
    </row>
    <row r="4057" customFormat="false" ht="15" hidden="false" customHeight="false" outlineLevel="0" collapsed="false">
      <c r="A4057" s="0" t="n">
        <v>1336</v>
      </c>
      <c r="B4057" s="0" t="s">
        <v>8927</v>
      </c>
      <c r="C4057" s="0" t="s">
        <v>8929</v>
      </c>
      <c r="E4057" s="0" t="s">
        <v>79</v>
      </c>
      <c r="F4057" s="0" t="s">
        <v>15140</v>
      </c>
    </row>
    <row r="4058" customFormat="false" ht="15" hidden="false" customHeight="false" outlineLevel="0" collapsed="false">
      <c r="A4058" s="0" t="n">
        <v>1336</v>
      </c>
      <c r="B4058" s="0" t="s">
        <v>8927</v>
      </c>
      <c r="C4058" s="0" t="s">
        <v>8930</v>
      </c>
      <c r="E4058" s="0" t="s">
        <v>79</v>
      </c>
      <c r="F4058" s="0" t="s">
        <v>15141</v>
      </c>
    </row>
    <row r="4059" customFormat="false" ht="15" hidden="false" customHeight="false" outlineLevel="0" collapsed="false">
      <c r="A4059" s="0" t="n">
        <v>1336</v>
      </c>
      <c r="B4059" s="0" t="s">
        <v>8927</v>
      </c>
      <c r="C4059" s="0" t="s">
        <v>8931</v>
      </c>
      <c r="E4059" s="0" t="s">
        <v>79</v>
      </c>
      <c r="F4059" s="0" t="s">
        <v>15142</v>
      </c>
    </row>
    <row r="4060" customFormat="false" ht="15" hidden="false" customHeight="false" outlineLevel="0" collapsed="false">
      <c r="A4060" s="0" t="n">
        <v>1336</v>
      </c>
      <c r="B4060" s="0" t="s">
        <v>8927</v>
      </c>
      <c r="C4060" s="0" t="s">
        <v>15143</v>
      </c>
      <c r="E4060" s="0" t="s">
        <v>79</v>
      </c>
      <c r="F4060" s="0" t="s">
        <v>15144</v>
      </c>
    </row>
    <row r="4061" customFormat="false" ht="15" hidden="false" customHeight="false" outlineLevel="0" collapsed="false">
      <c r="A4061" s="0" t="n">
        <v>1336</v>
      </c>
      <c r="B4061" s="0" t="s">
        <v>8927</v>
      </c>
      <c r="C4061" s="0" t="s">
        <v>15145</v>
      </c>
      <c r="E4061" s="0" t="s">
        <v>79</v>
      </c>
      <c r="F4061" s="0" t="s">
        <v>15146</v>
      </c>
    </row>
    <row r="4062" customFormat="false" ht="15" hidden="false" customHeight="false" outlineLevel="0" collapsed="false">
      <c r="A4062" s="0" t="n">
        <v>1337</v>
      </c>
      <c r="B4062" s="0" t="s">
        <v>8932</v>
      </c>
      <c r="C4062" s="0" t="s">
        <v>8934</v>
      </c>
      <c r="E4062" s="0" t="s">
        <v>79</v>
      </c>
      <c r="F4062" s="0" t="s">
        <v>15147</v>
      </c>
    </row>
    <row r="4063" customFormat="false" ht="15" hidden="false" customHeight="false" outlineLevel="0" collapsed="false">
      <c r="A4063" s="0" t="n">
        <v>1337</v>
      </c>
      <c r="B4063" s="0" t="s">
        <v>8932</v>
      </c>
      <c r="C4063" s="0" t="s">
        <v>8935</v>
      </c>
      <c r="E4063" s="0" t="s">
        <v>79</v>
      </c>
      <c r="F4063" s="0" t="s">
        <v>15148</v>
      </c>
    </row>
    <row r="4064" customFormat="false" ht="15" hidden="false" customHeight="false" outlineLevel="0" collapsed="false">
      <c r="A4064" s="0" t="n">
        <v>1337</v>
      </c>
      <c r="B4064" s="0" t="s">
        <v>8932</v>
      </c>
      <c r="C4064" s="0" t="s">
        <v>8936</v>
      </c>
      <c r="E4064" s="0" t="s">
        <v>79</v>
      </c>
      <c r="F4064" s="0" t="s">
        <v>15149</v>
      </c>
    </row>
    <row r="4065" customFormat="false" ht="15" hidden="false" customHeight="false" outlineLevel="0" collapsed="false">
      <c r="A4065" s="0" t="n">
        <v>1337</v>
      </c>
      <c r="B4065" s="0" t="s">
        <v>8932</v>
      </c>
      <c r="C4065" s="0" t="s">
        <v>15150</v>
      </c>
      <c r="E4065" s="0" t="s">
        <v>79</v>
      </c>
      <c r="F4065" s="0" t="s">
        <v>15151</v>
      </c>
    </row>
    <row r="4066" customFormat="false" ht="15" hidden="false" customHeight="false" outlineLevel="0" collapsed="false">
      <c r="A4066" s="0" t="n">
        <v>1337</v>
      </c>
      <c r="B4066" s="0" t="s">
        <v>8932</v>
      </c>
      <c r="C4066" s="0" t="s">
        <v>15152</v>
      </c>
      <c r="E4066" s="0" t="s">
        <v>79</v>
      </c>
      <c r="F4066" s="0" t="s">
        <v>15153</v>
      </c>
    </row>
    <row r="4067" customFormat="false" ht="15" hidden="false" customHeight="false" outlineLevel="0" collapsed="false">
      <c r="A4067" s="0" t="n">
        <v>1339</v>
      </c>
      <c r="B4067" s="0" t="s">
        <v>8938</v>
      </c>
      <c r="C4067" s="0" t="s">
        <v>8940</v>
      </c>
      <c r="E4067" s="0" t="s">
        <v>79</v>
      </c>
      <c r="F4067" s="0" t="s">
        <v>15154</v>
      </c>
    </row>
    <row r="4068" customFormat="false" ht="15" hidden="false" customHeight="false" outlineLevel="0" collapsed="false">
      <c r="A4068" s="0" t="n">
        <v>1339</v>
      </c>
      <c r="B4068" s="0" t="s">
        <v>8938</v>
      </c>
      <c r="C4068" s="0" t="s">
        <v>8941</v>
      </c>
      <c r="E4068" s="0" t="s">
        <v>79</v>
      </c>
      <c r="F4068" s="0" t="s">
        <v>15155</v>
      </c>
    </row>
    <row r="4069" customFormat="false" ht="15" hidden="false" customHeight="false" outlineLevel="0" collapsed="false">
      <c r="A4069" s="0" t="n">
        <v>1341</v>
      </c>
      <c r="B4069" s="0" t="s">
        <v>8944</v>
      </c>
      <c r="C4069" s="0" t="s">
        <v>8946</v>
      </c>
      <c r="E4069" s="0" t="s">
        <v>79</v>
      </c>
      <c r="F4069" s="0" t="s">
        <v>15156</v>
      </c>
    </row>
    <row r="4070" customFormat="false" ht="15" hidden="false" customHeight="false" outlineLevel="0" collapsed="false">
      <c r="A4070" s="0" t="n">
        <v>1341</v>
      </c>
      <c r="B4070" s="0" t="s">
        <v>8944</v>
      </c>
      <c r="C4070" s="0" t="s">
        <v>8947</v>
      </c>
      <c r="E4070" s="0" t="s">
        <v>79</v>
      </c>
      <c r="F4070" s="0" t="s">
        <v>15157</v>
      </c>
    </row>
    <row r="4071" customFormat="false" ht="15" hidden="false" customHeight="false" outlineLevel="0" collapsed="false">
      <c r="A4071" s="0" t="n">
        <v>1341</v>
      </c>
      <c r="B4071" s="0" t="s">
        <v>8944</v>
      </c>
      <c r="C4071" s="0" t="s">
        <v>8948</v>
      </c>
      <c r="E4071" s="0" t="s">
        <v>79</v>
      </c>
      <c r="F4071" s="0" t="s">
        <v>15158</v>
      </c>
    </row>
    <row r="4072" customFormat="false" ht="15" hidden="false" customHeight="false" outlineLevel="0" collapsed="false">
      <c r="A4072" s="0" t="n">
        <v>1341</v>
      </c>
      <c r="B4072" s="0" t="s">
        <v>8944</v>
      </c>
      <c r="C4072" s="0" t="s">
        <v>15159</v>
      </c>
      <c r="E4072" s="0" t="s">
        <v>79</v>
      </c>
      <c r="F4072" s="0" t="s">
        <v>15160</v>
      </c>
    </row>
    <row r="4073" customFormat="false" ht="15" hidden="false" customHeight="false" outlineLevel="0" collapsed="false">
      <c r="A4073" s="0" t="n">
        <v>1341</v>
      </c>
      <c r="B4073" s="0" t="s">
        <v>8944</v>
      </c>
      <c r="C4073" s="0" t="s">
        <v>15161</v>
      </c>
      <c r="E4073" s="0" t="s">
        <v>79</v>
      </c>
      <c r="F4073" s="0" t="s">
        <v>15162</v>
      </c>
    </row>
    <row r="4074" customFormat="false" ht="15" hidden="false" customHeight="false" outlineLevel="0" collapsed="false">
      <c r="A4074" s="0" t="n">
        <v>1342</v>
      </c>
      <c r="B4074" s="0" t="s">
        <v>8949</v>
      </c>
      <c r="C4074" s="0" t="s">
        <v>8952</v>
      </c>
      <c r="E4074" s="0" t="s">
        <v>79</v>
      </c>
      <c r="F4074" s="0" t="s">
        <v>15163</v>
      </c>
    </row>
    <row r="4075" customFormat="false" ht="15" hidden="false" customHeight="false" outlineLevel="0" collapsed="false">
      <c r="A4075" s="0" t="n">
        <v>1342</v>
      </c>
      <c r="B4075" s="0" t="s">
        <v>8949</v>
      </c>
      <c r="C4075" s="0" t="s">
        <v>8953</v>
      </c>
      <c r="E4075" s="0" t="s">
        <v>79</v>
      </c>
      <c r="F4075" s="0" t="s">
        <v>15164</v>
      </c>
    </row>
    <row r="4076" customFormat="false" ht="15" hidden="false" customHeight="false" outlineLevel="0" collapsed="false">
      <c r="A4076" s="0" t="n">
        <v>1342</v>
      </c>
      <c r="B4076" s="0" t="s">
        <v>8949</v>
      </c>
      <c r="C4076" s="0" t="s">
        <v>8954</v>
      </c>
      <c r="E4076" s="0" t="s">
        <v>79</v>
      </c>
      <c r="F4076" s="0" t="s">
        <v>15165</v>
      </c>
    </row>
    <row r="4077" customFormat="false" ht="15" hidden="false" customHeight="false" outlineLevel="0" collapsed="false">
      <c r="A4077" s="0" t="n">
        <v>1342</v>
      </c>
      <c r="B4077" s="0" t="s">
        <v>8949</v>
      </c>
      <c r="C4077" s="0" t="s">
        <v>15166</v>
      </c>
      <c r="E4077" s="0" t="s">
        <v>79</v>
      </c>
      <c r="F4077" s="0" t="s">
        <v>15167</v>
      </c>
    </row>
    <row r="4078" customFormat="false" ht="15" hidden="false" customHeight="false" outlineLevel="0" collapsed="false">
      <c r="A4078" s="0" t="n">
        <v>1342</v>
      </c>
      <c r="B4078" s="0" t="s">
        <v>8949</v>
      </c>
      <c r="C4078" s="0" t="s">
        <v>15168</v>
      </c>
      <c r="E4078" s="0" t="s">
        <v>79</v>
      </c>
      <c r="F4078" s="0" t="s">
        <v>15169</v>
      </c>
    </row>
    <row r="4079" customFormat="false" ht="15" hidden="false" customHeight="false" outlineLevel="0" collapsed="false">
      <c r="A4079" s="0" t="n">
        <v>1343</v>
      </c>
      <c r="B4079" s="0" t="s">
        <v>8958</v>
      </c>
      <c r="C4079" s="0" t="s">
        <v>8960</v>
      </c>
      <c r="E4079" s="0" t="s">
        <v>79</v>
      </c>
      <c r="F4079" s="0" t="s">
        <v>15170</v>
      </c>
    </row>
    <row r="4080" customFormat="false" ht="15" hidden="false" customHeight="false" outlineLevel="0" collapsed="false">
      <c r="A4080" s="0" t="n">
        <v>1343</v>
      </c>
      <c r="B4080" s="0" t="s">
        <v>8958</v>
      </c>
      <c r="C4080" s="0" t="s">
        <v>8961</v>
      </c>
      <c r="E4080" s="0" t="s">
        <v>79</v>
      </c>
      <c r="F4080" s="0" t="s">
        <v>15171</v>
      </c>
    </row>
    <row r="4081" customFormat="false" ht="15" hidden="false" customHeight="false" outlineLevel="0" collapsed="false">
      <c r="A4081" s="0" t="n">
        <v>1343</v>
      </c>
      <c r="B4081" s="0" t="s">
        <v>8958</v>
      </c>
      <c r="C4081" s="0" t="s">
        <v>8962</v>
      </c>
      <c r="E4081" s="0" t="s">
        <v>79</v>
      </c>
      <c r="F4081" s="0" t="s">
        <v>15172</v>
      </c>
    </row>
    <row r="4082" customFormat="false" ht="15" hidden="false" customHeight="false" outlineLevel="0" collapsed="false">
      <c r="A4082" s="0" t="n">
        <v>1343</v>
      </c>
      <c r="B4082" s="0" t="s">
        <v>8958</v>
      </c>
      <c r="C4082" s="0" t="s">
        <v>15173</v>
      </c>
      <c r="E4082" s="0" t="s">
        <v>79</v>
      </c>
      <c r="F4082" s="0" t="s">
        <v>15174</v>
      </c>
    </row>
    <row r="4083" customFormat="false" ht="15" hidden="false" customHeight="false" outlineLevel="0" collapsed="false">
      <c r="A4083" s="0" t="n">
        <v>1343</v>
      </c>
      <c r="B4083" s="0" t="s">
        <v>8958</v>
      </c>
      <c r="C4083" s="0" t="s">
        <v>15175</v>
      </c>
      <c r="E4083" s="0" t="s">
        <v>79</v>
      </c>
      <c r="F4083" s="0" t="s">
        <v>15176</v>
      </c>
    </row>
    <row r="4084" customFormat="false" ht="15" hidden="false" customHeight="false" outlineLevel="0" collapsed="false">
      <c r="A4084" s="0" t="n">
        <v>1345</v>
      </c>
      <c r="B4084" s="0" t="s">
        <v>8970</v>
      </c>
      <c r="C4084" s="0" t="s">
        <v>8975</v>
      </c>
      <c r="D4084" s="0" t="s">
        <v>15177</v>
      </c>
      <c r="E4084" s="0" t="s">
        <v>115</v>
      </c>
    </row>
    <row r="4085" customFormat="false" ht="15" hidden="false" customHeight="false" outlineLevel="0" collapsed="false">
      <c r="A4085" s="0" t="n">
        <v>1345</v>
      </c>
      <c r="B4085" s="0" t="s">
        <v>8970</v>
      </c>
      <c r="C4085" s="0" t="s">
        <v>8976</v>
      </c>
      <c r="D4085" s="0" t="s">
        <v>15178</v>
      </c>
      <c r="E4085" s="0" t="s">
        <v>115</v>
      </c>
    </row>
    <row r="4086" customFormat="false" ht="15" hidden="false" customHeight="false" outlineLevel="0" collapsed="false">
      <c r="A4086" s="0" t="n">
        <v>1345</v>
      </c>
      <c r="B4086" s="0" t="s">
        <v>8970</v>
      </c>
      <c r="C4086" s="0" t="s">
        <v>8977</v>
      </c>
      <c r="D4086" s="0" t="s">
        <v>15179</v>
      </c>
      <c r="E4086" s="0" t="s">
        <v>115</v>
      </c>
    </row>
    <row r="4087" customFormat="false" ht="15" hidden="false" customHeight="false" outlineLevel="0" collapsed="false">
      <c r="A4087" s="0" t="n">
        <v>1346</v>
      </c>
      <c r="B4087" s="0" t="s">
        <v>8985</v>
      </c>
      <c r="C4087" s="0" t="s">
        <v>8989</v>
      </c>
      <c r="E4087" s="0" t="s">
        <v>79</v>
      </c>
      <c r="F4087" s="0" t="s">
        <v>15180</v>
      </c>
    </row>
    <row r="4088" customFormat="false" ht="15" hidden="false" customHeight="false" outlineLevel="0" collapsed="false">
      <c r="A4088" s="0" t="n">
        <v>1346</v>
      </c>
      <c r="B4088" s="0" t="s">
        <v>8985</v>
      </c>
      <c r="C4088" s="0" t="s">
        <v>8990</v>
      </c>
      <c r="E4088" s="0" t="s">
        <v>79</v>
      </c>
      <c r="F4088" s="0" t="s">
        <v>15181</v>
      </c>
    </row>
    <row r="4089" customFormat="false" ht="15" hidden="false" customHeight="false" outlineLevel="0" collapsed="false">
      <c r="A4089" s="0" t="n">
        <v>1346</v>
      </c>
      <c r="B4089" s="0" t="s">
        <v>8985</v>
      </c>
      <c r="C4089" s="0" t="s">
        <v>8991</v>
      </c>
      <c r="E4089" s="0" t="s">
        <v>79</v>
      </c>
      <c r="F4089" s="0" t="s">
        <v>15182</v>
      </c>
    </row>
    <row r="4090" customFormat="false" ht="15" hidden="false" customHeight="false" outlineLevel="0" collapsed="false">
      <c r="A4090" s="0" t="n">
        <v>1346</v>
      </c>
      <c r="B4090" s="0" t="s">
        <v>8985</v>
      </c>
      <c r="C4090" s="0" t="s">
        <v>15183</v>
      </c>
      <c r="E4090" s="0" t="s">
        <v>79</v>
      </c>
      <c r="F4090" s="0" t="s">
        <v>15184</v>
      </c>
    </row>
    <row r="4091" customFormat="false" ht="15" hidden="false" customHeight="false" outlineLevel="0" collapsed="false">
      <c r="A4091" s="0" t="n">
        <v>1346</v>
      </c>
      <c r="B4091" s="0" t="s">
        <v>8985</v>
      </c>
      <c r="C4091" s="0" t="s">
        <v>15185</v>
      </c>
      <c r="E4091" s="0" t="s">
        <v>79</v>
      </c>
      <c r="F4091" s="0" t="s">
        <v>15186</v>
      </c>
    </row>
    <row r="4092" customFormat="false" ht="15" hidden="false" customHeight="false" outlineLevel="0" collapsed="false">
      <c r="A4092" s="0" t="n">
        <v>1348</v>
      </c>
      <c r="B4092" s="0" t="s">
        <v>8997</v>
      </c>
      <c r="C4092" s="0" t="s">
        <v>9000</v>
      </c>
      <c r="E4092" s="0" t="s">
        <v>79</v>
      </c>
      <c r="F4092" s="0" t="s">
        <v>15187</v>
      </c>
    </row>
    <row r="4093" customFormat="false" ht="15" hidden="false" customHeight="false" outlineLevel="0" collapsed="false">
      <c r="A4093" s="0" t="n">
        <v>1348</v>
      </c>
      <c r="B4093" s="0" t="s">
        <v>8997</v>
      </c>
      <c r="C4093" s="0" t="s">
        <v>9001</v>
      </c>
      <c r="E4093" s="0" t="s">
        <v>79</v>
      </c>
      <c r="F4093" s="0" t="s">
        <v>15188</v>
      </c>
    </row>
    <row r="4094" customFormat="false" ht="15" hidden="false" customHeight="false" outlineLevel="0" collapsed="false">
      <c r="A4094" s="0" t="n">
        <v>1348</v>
      </c>
      <c r="B4094" s="0" t="s">
        <v>8997</v>
      </c>
      <c r="C4094" s="0" t="s">
        <v>9002</v>
      </c>
      <c r="E4094" s="0" t="s">
        <v>79</v>
      </c>
      <c r="F4094" s="0" t="s">
        <v>15189</v>
      </c>
    </row>
    <row r="4095" customFormat="false" ht="15" hidden="false" customHeight="false" outlineLevel="0" collapsed="false">
      <c r="A4095" s="0" t="n">
        <v>1348</v>
      </c>
      <c r="B4095" s="0" t="s">
        <v>8997</v>
      </c>
      <c r="C4095" s="0" t="s">
        <v>15190</v>
      </c>
      <c r="E4095" s="0" t="s">
        <v>79</v>
      </c>
      <c r="F4095" s="0" t="s">
        <v>15191</v>
      </c>
    </row>
    <row r="4096" customFormat="false" ht="15" hidden="false" customHeight="false" outlineLevel="0" collapsed="false">
      <c r="A4096" s="0" t="n">
        <v>1348</v>
      </c>
      <c r="B4096" s="0" t="s">
        <v>8997</v>
      </c>
      <c r="C4096" s="0" t="s">
        <v>15192</v>
      </c>
      <c r="E4096" s="0" t="s">
        <v>79</v>
      </c>
      <c r="F4096" s="0" t="s">
        <v>15193</v>
      </c>
    </row>
    <row r="4097" customFormat="false" ht="15" hidden="false" customHeight="false" outlineLevel="0" collapsed="false">
      <c r="A4097" s="0" t="n">
        <v>1349</v>
      </c>
      <c r="B4097" s="0" t="s">
        <v>9007</v>
      </c>
      <c r="C4097" s="0" t="s">
        <v>9011</v>
      </c>
      <c r="E4097" s="0" t="s">
        <v>79</v>
      </c>
      <c r="F4097" s="0" t="s">
        <v>15194</v>
      </c>
    </row>
    <row r="4098" customFormat="false" ht="15" hidden="false" customHeight="false" outlineLevel="0" collapsed="false">
      <c r="A4098" s="0" t="n">
        <v>1349</v>
      </c>
      <c r="B4098" s="0" t="s">
        <v>9007</v>
      </c>
      <c r="C4098" s="0" t="s">
        <v>9012</v>
      </c>
      <c r="E4098" s="0" t="s">
        <v>79</v>
      </c>
      <c r="F4098" s="0" t="s">
        <v>15195</v>
      </c>
    </row>
    <row r="4099" customFormat="false" ht="15" hidden="false" customHeight="false" outlineLevel="0" collapsed="false">
      <c r="A4099" s="0" t="n">
        <v>1349</v>
      </c>
      <c r="B4099" s="0" t="s">
        <v>9007</v>
      </c>
      <c r="C4099" s="0" t="s">
        <v>9013</v>
      </c>
      <c r="E4099" s="0" t="s">
        <v>79</v>
      </c>
      <c r="F4099" s="0" t="s">
        <v>15196</v>
      </c>
    </row>
    <row r="4100" customFormat="false" ht="15" hidden="false" customHeight="false" outlineLevel="0" collapsed="false">
      <c r="A4100" s="0" t="n">
        <v>1349</v>
      </c>
      <c r="B4100" s="0" t="s">
        <v>9007</v>
      </c>
      <c r="C4100" s="0" t="s">
        <v>15197</v>
      </c>
      <c r="E4100" s="0" t="s">
        <v>79</v>
      </c>
      <c r="F4100" s="0" t="s">
        <v>15198</v>
      </c>
    </row>
    <row r="4101" customFormat="false" ht="15" hidden="false" customHeight="false" outlineLevel="0" collapsed="false">
      <c r="A4101" s="0" t="n">
        <v>1349</v>
      </c>
      <c r="B4101" s="0" t="s">
        <v>9007</v>
      </c>
      <c r="C4101" s="0" t="s">
        <v>15199</v>
      </c>
      <c r="E4101" s="0" t="s">
        <v>79</v>
      </c>
      <c r="F4101" s="0" t="s">
        <v>15200</v>
      </c>
    </row>
    <row r="4102" customFormat="false" ht="15" hidden="false" customHeight="false" outlineLevel="0" collapsed="false">
      <c r="A4102" s="0" t="n">
        <v>1351</v>
      </c>
      <c r="B4102" s="0" t="s">
        <v>9021</v>
      </c>
      <c r="C4102" s="0" t="s">
        <v>9024</v>
      </c>
      <c r="E4102" s="0" t="s">
        <v>79</v>
      </c>
      <c r="F4102" s="0" t="s">
        <v>15201</v>
      </c>
    </row>
    <row r="4103" customFormat="false" ht="15" hidden="false" customHeight="false" outlineLevel="0" collapsed="false">
      <c r="A4103" s="0" t="n">
        <v>1351</v>
      </c>
      <c r="B4103" s="0" t="s">
        <v>9021</v>
      </c>
      <c r="C4103" s="0" t="s">
        <v>9025</v>
      </c>
      <c r="E4103" s="0" t="s">
        <v>79</v>
      </c>
      <c r="F4103" s="0" t="s">
        <v>15202</v>
      </c>
    </row>
    <row r="4104" customFormat="false" ht="15" hidden="false" customHeight="false" outlineLevel="0" collapsed="false">
      <c r="A4104" s="0" t="n">
        <v>1351</v>
      </c>
      <c r="B4104" s="0" t="s">
        <v>9021</v>
      </c>
      <c r="C4104" s="0" t="s">
        <v>9026</v>
      </c>
      <c r="E4104" s="0" t="s">
        <v>79</v>
      </c>
      <c r="F4104" s="0" t="s">
        <v>15203</v>
      </c>
    </row>
    <row r="4105" customFormat="false" ht="15" hidden="false" customHeight="false" outlineLevel="0" collapsed="false">
      <c r="A4105" s="0" t="n">
        <v>1351</v>
      </c>
      <c r="B4105" s="0" t="s">
        <v>9021</v>
      </c>
      <c r="C4105" s="0" t="s">
        <v>15204</v>
      </c>
      <c r="E4105" s="0" t="s">
        <v>79</v>
      </c>
      <c r="F4105" s="0" t="s">
        <v>15205</v>
      </c>
    </row>
    <row r="4106" customFormat="false" ht="15" hidden="false" customHeight="false" outlineLevel="0" collapsed="false">
      <c r="A4106" s="0" t="n">
        <v>1351</v>
      </c>
      <c r="B4106" s="0" t="s">
        <v>9021</v>
      </c>
      <c r="C4106" s="0" t="s">
        <v>15206</v>
      </c>
      <c r="E4106" s="0" t="s">
        <v>79</v>
      </c>
      <c r="F4106" s="0" t="s">
        <v>15207</v>
      </c>
    </row>
    <row r="4107" customFormat="false" ht="15" hidden="false" customHeight="false" outlineLevel="0" collapsed="false">
      <c r="A4107" s="0" t="n">
        <v>1352</v>
      </c>
      <c r="B4107" s="0" t="s">
        <v>9030</v>
      </c>
      <c r="C4107" s="0" t="s">
        <v>9033</v>
      </c>
      <c r="E4107" s="0" t="s">
        <v>79</v>
      </c>
      <c r="F4107" s="0" t="s">
        <v>15208</v>
      </c>
    </row>
    <row r="4108" customFormat="false" ht="15" hidden="false" customHeight="false" outlineLevel="0" collapsed="false">
      <c r="A4108" s="0" t="n">
        <v>1352</v>
      </c>
      <c r="B4108" s="0" t="s">
        <v>9030</v>
      </c>
      <c r="C4108" s="0" t="s">
        <v>9034</v>
      </c>
      <c r="E4108" s="0" t="s">
        <v>79</v>
      </c>
      <c r="F4108" s="0" t="s">
        <v>15209</v>
      </c>
    </row>
    <row r="4109" customFormat="false" ht="15" hidden="false" customHeight="false" outlineLevel="0" collapsed="false">
      <c r="A4109" s="0" t="n">
        <v>1352</v>
      </c>
      <c r="B4109" s="0" t="s">
        <v>9030</v>
      </c>
      <c r="C4109" s="0" t="s">
        <v>9035</v>
      </c>
      <c r="E4109" s="0" t="s">
        <v>79</v>
      </c>
      <c r="F4109" s="0" t="s">
        <v>15210</v>
      </c>
    </row>
    <row r="4110" customFormat="false" ht="15" hidden="false" customHeight="false" outlineLevel="0" collapsed="false">
      <c r="A4110" s="0" t="n">
        <v>1352</v>
      </c>
      <c r="B4110" s="0" t="s">
        <v>9030</v>
      </c>
      <c r="C4110" s="0" t="s">
        <v>15211</v>
      </c>
      <c r="E4110" s="0" t="s">
        <v>79</v>
      </c>
      <c r="F4110" s="0" t="s">
        <v>15212</v>
      </c>
    </row>
    <row r="4111" customFormat="false" ht="15" hidden="false" customHeight="false" outlineLevel="0" collapsed="false">
      <c r="A4111" s="0" t="n">
        <v>1352</v>
      </c>
      <c r="B4111" s="0" t="s">
        <v>9030</v>
      </c>
      <c r="C4111" s="0" t="s">
        <v>15213</v>
      </c>
      <c r="E4111" s="0" t="s">
        <v>79</v>
      </c>
      <c r="F4111" s="0" t="s">
        <v>15214</v>
      </c>
    </row>
    <row r="4112" customFormat="false" ht="15" hidden="false" customHeight="false" outlineLevel="0" collapsed="false">
      <c r="A4112" s="0" t="n">
        <v>1354</v>
      </c>
      <c r="B4112" s="0" t="s">
        <v>9041</v>
      </c>
      <c r="C4112" s="0" t="s">
        <v>9044</v>
      </c>
      <c r="E4112" s="0" t="s">
        <v>79</v>
      </c>
      <c r="F4112" s="0" t="s">
        <v>15215</v>
      </c>
    </row>
    <row r="4113" customFormat="false" ht="15" hidden="false" customHeight="false" outlineLevel="0" collapsed="false">
      <c r="A4113" s="0" t="n">
        <v>1354</v>
      </c>
      <c r="B4113" s="0" t="s">
        <v>9041</v>
      </c>
      <c r="C4113" s="0" t="s">
        <v>9045</v>
      </c>
      <c r="E4113" s="0" t="s">
        <v>79</v>
      </c>
      <c r="F4113" s="0" t="s">
        <v>15216</v>
      </c>
    </row>
    <row r="4114" customFormat="false" ht="15" hidden="false" customHeight="false" outlineLevel="0" collapsed="false">
      <c r="A4114" s="0" t="n">
        <v>1354</v>
      </c>
      <c r="B4114" s="0" t="s">
        <v>9041</v>
      </c>
      <c r="C4114" s="0" t="s">
        <v>9046</v>
      </c>
      <c r="E4114" s="0" t="s">
        <v>79</v>
      </c>
      <c r="F4114" s="0" t="s">
        <v>15217</v>
      </c>
    </row>
    <row r="4115" customFormat="false" ht="15" hidden="false" customHeight="false" outlineLevel="0" collapsed="false">
      <c r="A4115" s="0" t="n">
        <v>1355</v>
      </c>
      <c r="B4115" s="0" t="s">
        <v>9050</v>
      </c>
      <c r="C4115" s="0" t="s">
        <v>2826</v>
      </c>
      <c r="D4115" s="0" t="s">
        <v>11436</v>
      </c>
      <c r="E4115" s="0" t="s">
        <v>115</v>
      </c>
    </row>
    <row r="4116" customFormat="false" ht="15" hidden="false" customHeight="false" outlineLevel="0" collapsed="false">
      <c r="A4116" s="0" t="n">
        <v>1355</v>
      </c>
      <c r="B4116" s="0" t="s">
        <v>9050</v>
      </c>
      <c r="C4116" s="0" t="s">
        <v>2827</v>
      </c>
      <c r="D4116" s="0" t="s">
        <v>11437</v>
      </c>
      <c r="E4116" s="0" t="s">
        <v>115</v>
      </c>
    </row>
    <row r="4117" customFormat="false" ht="15" hidden="false" customHeight="false" outlineLevel="0" collapsed="false">
      <c r="A4117" s="0" t="n">
        <v>1355</v>
      </c>
      <c r="B4117" s="0" t="s">
        <v>9050</v>
      </c>
      <c r="C4117" s="0" t="s">
        <v>2828</v>
      </c>
      <c r="D4117" s="0" t="s">
        <v>11438</v>
      </c>
      <c r="E4117" s="0" t="s">
        <v>115</v>
      </c>
    </row>
    <row r="4118" customFormat="false" ht="15" hidden="false" customHeight="false" outlineLevel="0" collapsed="false">
      <c r="A4118" s="0" t="n">
        <v>1356</v>
      </c>
      <c r="B4118" s="0" t="s">
        <v>9053</v>
      </c>
      <c r="C4118" s="0" t="s">
        <v>9056</v>
      </c>
      <c r="E4118" s="0" t="s">
        <v>79</v>
      </c>
      <c r="F4118" s="0" t="s">
        <v>15218</v>
      </c>
    </row>
    <row r="4119" customFormat="false" ht="15" hidden="false" customHeight="false" outlineLevel="0" collapsed="false">
      <c r="A4119" s="0" t="n">
        <v>1356</v>
      </c>
      <c r="B4119" s="0" t="s">
        <v>9053</v>
      </c>
      <c r="C4119" s="0" t="s">
        <v>9057</v>
      </c>
      <c r="E4119" s="0" t="s">
        <v>79</v>
      </c>
      <c r="F4119" s="0" t="s">
        <v>15219</v>
      </c>
    </row>
    <row r="4120" customFormat="false" ht="15" hidden="false" customHeight="false" outlineLevel="0" collapsed="false">
      <c r="A4120" s="0" t="n">
        <v>1356</v>
      </c>
      <c r="B4120" s="0" t="s">
        <v>9053</v>
      </c>
      <c r="C4120" s="0" t="s">
        <v>9058</v>
      </c>
      <c r="E4120" s="0" t="s">
        <v>79</v>
      </c>
      <c r="F4120" s="0" t="s">
        <v>15220</v>
      </c>
    </row>
    <row r="4121" customFormat="false" ht="15" hidden="false" customHeight="false" outlineLevel="0" collapsed="false">
      <c r="A4121" s="0" t="n">
        <v>1356</v>
      </c>
      <c r="B4121" s="0" t="s">
        <v>9053</v>
      </c>
      <c r="C4121" s="0" t="s">
        <v>15221</v>
      </c>
      <c r="E4121" s="0" t="s">
        <v>79</v>
      </c>
      <c r="F4121" s="0" t="s">
        <v>15222</v>
      </c>
    </row>
    <row r="4122" customFormat="false" ht="15" hidden="false" customHeight="false" outlineLevel="0" collapsed="false">
      <c r="A4122" s="0" t="n">
        <v>1356</v>
      </c>
      <c r="B4122" s="0" t="s">
        <v>9053</v>
      </c>
      <c r="C4122" s="0" t="s">
        <v>15223</v>
      </c>
      <c r="E4122" s="0" t="s">
        <v>79</v>
      </c>
      <c r="F4122" s="0" t="s">
        <v>15224</v>
      </c>
    </row>
    <row r="4123" customFormat="false" ht="15" hidden="false" customHeight="false" outlineLevel="0" collapsed="false">
      <c r="A4123" s="0" t="n">
        <v>1358</v>
      </c>
      <c r="B4123" s="0" t="s">
        <v>9065</v>
      </c>
      <c r="C4123" s="0" t="s">
        <v>9068</v>
      </c>
      <c r="E4123" s="0" t="s">
        <v>79</v>
      </c>
      <c r="F4123" s="0" t="s">
        <v>15225</v>
      </c>
    </row>
    <row r="4124" customFormat="false" ht="15" hidden="false" customHeight="false" outlineLevel="0" collapsed="false">
      <c r="A4124" s="0" t="n">
        <v>1358</v>
      </c>
      <c r="B4124" s="0" t="s">
        <v>9065</v>
      </c>
      <c r="C4124" s="0" t="s">
        <v>9069</v>
      </c>
      <c r="E4124" s="0" t="s">
        <v>79</v>
      </c>
      <c r="F4124" s="0" t="s">
        <v>15226</v>
      </c>
    </row>
    <row r="4125" customFormat="false" ht="15" hidden="false" customHeight="false" outlineLevel="0" collapsed="false">
      <c r="A4125" s="0" t="n">
        <v>1358</v>
      </c>
      <c r="B4125" s="0" t="s">
        <v>9065</v>
      </c>
      <c r="C4125" s="0" t="s">
        <v>9070</v>
      </c>
      <c r="E4125" s="0" t="s">
        <v>79</v>
      </c>
      <c r="F4125" s="0" t="s">
        <v>15227</v>
      </c>
    </row>
    <row r="4126" customFormat="false" ht="15" hidden="false" customHeight="false" outlineLevel="0" collapsed="false">
      <c r="A4126" s="0" t="n">
        <v>1358</v>
      </c>
      <c r="B4126" s="0" t="s">
        <v>9065</v>
      </c>
      <c r="C4126" s="0" t="s">
        <v>15228</v>
      </c>
      <c r="E4126" s="0" t="s">
        <v>79</v>
      </c>
      <c r="F4126" s="0" t="s">
        <v>15229</v>
      </c>
    </row>
    <row r="4127" customFormat="false" ht="15" hidden="false" customHeight="false" outlineLevel="0" collapsed="false">
      <c r="A4127" s="0" t="n">
        <v>1358</v>
      </c>
      <c r="B4127" s="0" t="s">
        <v>9065</v>
      </c>
      <c r="C4127" s="0" t="s">
        <v>15230</v>
      </c>
      <c r="E4127" s="0" t="s">
        <v>79</v>
      </c>
      <c r="F4127" s="0" t="s">
        <v>15231</v>
      </c>
    </row>
    <row r="4128" customFormat="false" ht="15" hidden="false" customHeight="false" outlineLevel="0" collapsed="false">
      <c r="A4128" s="0" t="n">
        <v>1359</v>
      </c>
      <c r="B4128" s="0" t="s">
        <v>9071</v>
      </c>
      <c r="C4128" s="0" t="s">
        <v>9073</v>
      </c>
      <c r="E4128" s="0" t="s">
        <v>79</v>
      </c>
      <c r="F4128" s="0" t="s">
        <v>15232</v>
      </c>
    </row>
    <row r="4129" customFormat="false" ht="15" hidden="false" customHeight="false" outlineLevel="0" collapsed="false">
      <c r="A4129" s="0" t="n">
        <v>1359</v>
      </c>
      <c r="B4129" s="0" t="s">
        <v>9071</v>
      </c>
      <c r="C4129" s="0" t="s">
        <v>9074</v>
      </c>
      <c r="E4129" s="0" t="s">
        <v>79</v>
      </c>
      <c r="F4129" s="0" t="s">
        <v>15233</v>
      </c>
    </row>
    <row r="4130" customFormat="false" ht="15" hidden="false" customHeight="false" outlineLevel="0" collapsed="false">
      <c r="A4130" s="0" t="n">
        <v>1359</v>
      </c>
      <c r="B4130" s="0" t="s">
        <v>9071</v>
      </c>
      <c r="C4130" s="0" t="s">
        <v>9075</v>
      </c>
      <c r="E4130" s="0" t="s">
        <v>79</v>
      </c>
      <c r="F4130" s="0" t="s">
        <v>15234</v>
      </c>
    </row>
    <row r="4131" customFormat="false" ht="15" hidden="false" customHeight="false" outlineLevel="0" collapsed="false">
      <c r="A4131" s="0" t="n">
        <v>1359</v>
      </c>
      <c r="B4131" s="0" t="s">
        <v>9071</v>
      </c>
      <c r="C4131" s="0" t="s">
        <v>15235</v>
      </c>
      <c r="E4131" s="0" t="s">
        <v>79</v>
      </c>
      <c r="F4131" s="0" t="s">
        <v>15236</v>
      </c>
    </row>
    <row r="4132" customFormat="false" ht="15" hidden="false" customHeight="false" outlineLevel="0" collapsed="false">
      <c r="A4132" s="0" t="n">
        <v>1359</v>
      </c>
      <c r="B4132" s="0" t="s">
        <v>9071</v>
      </c>
      <c r="C4132" s="0" t="s">
        <v>15237</v>
      </c>
      <c r="E4132" s="0" t="s">
        <v>79</v>
      </c>
      <c r="F4132" s="0" t="s">
        <v>15238</v>
      </c>
    </row>
    <row r="4133" customFormat="false" ht="15" hidden="false" customHeight="false" outlineLevel="0" collapsed="false">
      <c r="A4133" s="0" t="n">
        <v>1360</v>
      </c>
      <c r="B4133" s="0" t="s">
        <v>9076</v>
      </c>
      <c r="C4133" s="0" t="s">
        <v>9079</v>
      </c>
      <c r="E4133" s="0" t="s">
        <v>79</v>
      </c>
      <c r="F4133" s="0" t="s">
        <v>15239</v>
      </c>
    </row>
    <row r="4134" customFormat="false" ht="15" hidden="false" customHeight="false" outlineLevel="0" collapsed="false">
      <c r="A4134" s="0" t="n">
        <v>1360</v>
      </c>
      <c r="B4134" s="0" t="s">
        <v>9076</v>
      </c>
      <c r="C4134" s="0" t="s">
        <v>9080</v>
      </c>
      <c r="E4134" s="0" t="s">
        <v>79</v>
      </c>
      <c r="F4134" s="0" t="s">
        <v>15240</v>
      </c>
    </row>
    <row r="4135" customFormat="false" ht="15" hidden="false" customHeight="false" outlineLevel="0" collapsed="false">
      <c r="A4135" s="0" t="n">
        <v>1360</v>
      </c>
      <c r="B4135" s="0" t="s">
        <v>9076</v>
      </c>
      <c r="C4135" s="0" t="s">
        <v>9081</v>
      </c>
      <c r="E4135" s="0" t="s">
        <v>79</v>
      </c>
      <c r="F4135" s="0" t="s">
        <v>15241</v>
      </c>
    </row>
    <row r="4136" customFormat="false" ht="15" hidden="false" customHeight="false" outlineLevel="0" collapsed="false">
      <c r="A4136" s="0" t="n">
        <v>1360</v>
      </c>
      <c r="B4136" s="0" t="s">
        <v>9076</v>
      </c>
      <c r="C4136" s="0" t="s">
        <v>15242</v>
      </c>
      <c r="E4136" s="0" t="s">
        <v>79</v>
      </c>
      <c r="F4136" s="0" t="s">
        <v>15243</v>
      </c>
    </row>
    <row r="4137" customFormat="false" ht="15" hidden="false" customHeight="false" outlineLevel="0" collapsed="false">
      <c r="A4137" s="0" t="n">
        <v>1360</v>
      </c>
      <c r="B4137" s="0" t="s">
        <v>9076</v>
      </c>
      <c r="C4137" s="0" t="s">
        <v>15244</v>
      </c>
      <c r="E4137" s="0" t="s">
        <v>79</v>
      </c>
      <c r="F4137" s="0" t="s">
        <v>15245</v>
      </c>
    </row>
    <row r="4138" customFormat="false" ht="15" hidden="false" customHeight="false" outlineLevel="0" collapsed="false">
      <c r="A4138" s="0" t="n">
        <v>1362</v>
      </c>
      <c r="B4138" s="0" t="s">
        <v>9086</v>
      </c>
      <c r="C4138" s="0" t="s">
        <v>9089</v>
      </c>
      <c r="E4138" s="0" t="s">
        <v>79</v>
      </c>
      <c r="F4138" s="0" t="s">
        <v>15246</v>
      </c>
    </row>
    <row r="4139" customFormat="false" ht="15" hidden="false" customHeight="false" outlineLevel="0" collapsed="false">
      <c r="A4139" s="0" t="n">
        <v>1362</v>
      </c>
      <c r="B4139" s="0" t="s">
        <v>9086</v>
      </c>
      <c r="C4139" s="0" t="s">
        <v>9090</v>
      </c>
      <c r="E4139" s="0" t="s">
        <v>79</v>
      </c>
      <c r="F4139" s="0" t="s">
        <v>15247</v>
      </c>
    </row>
    <row r="4140" customFormat="false" ht="15" hidden="false" customHeight="false" outlineLevel="0" collapsed="false">
      <c r="A4140" s="0" t="n">
        <v>1362</v>
      </c>
      <c r="B4140" s="0" t="s">
        <v>9086</v>
      </c>
      <c r="C4140" s="0" t="s">
        <v>9091</v>
      </c>
      <c r="E4140" s="0" t="s">
        <v>79</v>
      </c>
      <c r="F4140" s="0" t="s">
        <v>15248</v>
      </c>
    </row>
    <row r="4141" customFormat="false" ht="15" hidden="false" customHeight="false" outlineLevel="0" collapsed="false">
      <c r="A4141" s="0" t="n">
        <v>1362</v>
      </c>
      <c r="B4141" s="0" t="s">
        <v>9086</v>
      </c>
      <c r="C4141" s="0" t="s">
        <v>15249</v>
      </c>
      <c r="E4141" s="0" t="s">
        <v>79</v>
      </c>
      <c r="F4141" s="0" t="s">
        <v>15250</v>
      </c>
    </row>
    <row r="4142" customFormat="false" ht="15" hidden="false" customHeight="false" outlineLevel="0" collapsed="false">
      <c r="A4142" s="0" t="n">
        <v>1362</v>
      </c>
      <c r="B4142" s="0" t="s">
        <v>9086</v>
      </c>
      <c r="C4142" s="0" t="s">
        <v>15251</v>
      </c>
      <c r="E4142" s="0" t="s">
        <v>79</v>
      </c>
      <c r="F4142" s="0" t="s">
        <v>15252</v>
      </c>
    </row>
    <row r="4143" customFormat="false" ht="15" hidden="false" customHeight="false" outlineLevel="0" collapsed="false">
      <c r="A4143" s="0" t="n">
        <v>1364</v>
      </c>
      <c r="B4143" s="0" t="s">
        <v>9097</v>
      </c>
      <c r="C4143" s="0" t="s">
        <v>9099</v>
      </c>
      <c r="E4143" s="0" t="s">
        <v>59</v>
      </c>
      <c r="F4143" s="0" t="s">
        <v>15253</v>
      </c>
    </row>
    <row r="4144" customFormat="false" ht="15" hidden="false" customHeight="false" outlineLevel="0" collapsed="false">
      <c r="A4144" s="0" t="n">
        <v>1364</v>
      </c>
      <c r="B4144" s="0" t="s">
        <v>9097</v>
      </c>
      <c r="C4144" s="0" t="s">
        <v>9100</v>
      </c>
      <c r="E4144" s="0" t="s">
        <v>59</v>
      </c>
      <c r="F4144" s="0" t="s">
        <v>15254</v>
      </c>
    </row>
    <row r="4145" customFormat="false" ht="15" hidden="false" customHeight="false" outlineLevel="0" collapsed="false">
      <c r="A4145" s="0" t="n">
        <v>1364</v>
      </c>
      <c r="B4145" s="0" t="s">
        <v>9097</v>
      </c>
      <c r="C4145" s="0" t="s">
        <v>9101</v>
      </c>
      <c r="E4145" s="0" t="s">
        <v>59</v>
      </c>
      <c r="F4145" s="0" t="s">
        <v>15255</v>
      </c>
    </row>
    <row r="4146" customFormat="false" ht="15" hidden="false" customHeight="false" outlineLevel="0" collapsed="false">
      <c r="A4146" s="0" t="n">
        <v>1364</v>
      </c>
      <c r="B4146" s="0" t="s">
        <v>9097</v>
      </c>
      <c r="C4146" s="0" t="s">
        <v>15256</v>
      </c>
      <c r="E4146" s="0" t="s">
        <v>59</v>
      </c>
      <c r="F4146" s="0" t="s">
        <v>15257</v>
      </c>
    </row>
    <row r="4147" customFormat="false" ht="15" hidden="false" customHeight="false" outlineLevel="0" collapsed="false">
      <c r="A4147" s="0" t="n">
        <v>1364</v>
      </c>
      <c r="B4147" s="0" t="s">
        <v>9097</v>
      </c>
      <c r="C4147" s="0" t="s">
        <v>15258</v>
      </c>
      <c r="E4147" s="0" t="s">
        <v>59</v>
      </c>
      <c r="F4147" s="0" t="s">
        <v>15259</v>
      </c>
    </row>
    <row r="4148" customFormat="false" ht="15" hidden="false" customHeight="false" outlineLevel="0" collapsed="false">
      <c r="A4148" s="0" t="n">
        <v>1365</v>
      </c>
      <c r="B4148" s="0" t="s">
        <v>9103</v>
      </c>
      <c r="C4148" s="0" t="s">
        <v>9106</v>
      </c>
      <c r="E4148" s="0" t="s">
        <v>79</v>
      </c>
      <c r="F4148" s="0" t="s">
        <v>15260</v>
      </c>
    </row>
    <row r="4149" customFormat="false" ht="15" hidden="false" customHeight="false" outlineLevel="0" collapsed="false">
      <c r="A4149" s="0" t="n">
        <v>1365</v>
      </c>
      <c r="B4149" s="0" t="s">
        <v>9103</v>
      </c>
      <c r="C4149" s="0" t="s">
        <v>9107</v>
      </c>
      <c r="E4149" s="0" t="s">
        <v>79</v>
      </c>
      <c r="F4149" s="0" t="s">
        <v>15261</v>
      </c>
    </row>
    <row r="4150" customFormat="false" ht="15" hidden="false" customHeight="false" outlineLevel="0" collapsed="false">
      <c r="A4150" s="0" t="n">
        <v>1365</v>
      </c>
      <c r="B4150" s="0" t="s">
        <v>9103</v>
      </c>
      <c r="C4150" s="0" t="s">
        <v>9108</v>
      </c>
      <c r="E4150" s="0" t="s">
        <v>79</v>
      </c>
      <c r="F4150" s="0" t="s">
        <v>15262</v>
      </c>
    </row>
    <row r="4151" customFormat="false" ht="15" hidden="false" customHeight="false" outlineLevel="0" collapsed="false">
      <c r="A4151" s="0" t="n">
        <v>1365</v>
      </c>
      <c r="B4151" s="0" t="s">
        <v>9103</v>
      </c>
      <c r="C4151" s="0" t="s">
        <v>15263</v>
      </c>
      <c r="E4151" s="0" t="s">
        <v>79</v>
      </c>
      <c r="F4151" s="0" t="s">
        <v>15264</v>
      </c>
    </row>
    <row r="4152" customFormat="false" ht="15" hidden="false" customHeight="false" outlineLevel="0" collapsed="false">
      <c r="A4152" s="0" t="n">
        <v>1365</v>
      </c>
      <c r="B4152" s="0" t="s">
        <v>9103</v>
      </c>
      <c r="C4152" s="0" t="s">
        <v>15265</v>
      </c>
      <c r="E4152" s="0" t="s">
        <v>79</v>
      </c>
      <c r="F4152" s="0" t="s">
        <v>15266</v>
      </c>
    </row>
    <row r="4153" customFormat="false" ht="15" hidden="false" customHeight="false" outlineLevel="0" collapsed="false">
      <c r="A4153" s="0" t="n">
        <v>1366</v>
      </c>
      <c r="B4153" s="0" t="s">
        <v>9110</v>
      </c>
      <c r="C4153" s="0" t="s">
        <v>9113</v>
      </c>
      <c r="E4153" s="0" t="s">
        <v>79</v>
      </c>
      <c r="F4153" s="0" t="s">
        <v>15267</v>
      </c>
    </row>
    <row r="4154" customFormat="false" ht="15" hidden="false" customHeight="false" outlineLevel="0" collapsed="false">
      <c r="A4154" s="0" t="n">
        <v>1366</v>
      </c>
      <c r="B4154" s="0" t="s">
        <v>9110</v>
      </c>
      <c r="C4154" s="0" t="s">
        <v>9114</v>
      </c>
      <c r="E4154" s="0" t="s">
        <v>79</v>
      </c>
      <c r="F4154" s="0" t="s">
        <v>15268</v>
      </c>
    </row>
    <row r="4155" customFormat="false" ht="15" hidden="false" customHeight="false" outlineLevel="0" collapsed="false">
      <c r="A4155" s="0" t="n">
        <v>1366</v>
      </c>
      <c r="B4155" s="0" t="s">
        <v>9110</v>
      </c>
      <c r="C4155" s="0" t="s">
        <v>9115</v>
      </c>
      <c r="E4155" s="0" t="s">
        <v>79</v>
      </c>
      <c r="F4155" s="0" t="s">
        <v>15269</v>
      </c>
    </row>
    <row r="4156" customFormat="false" ht="15" hidden="false" customHeight="false" outlineLevel="0" collapsed="false">
      <c r="A4156" s="0" t="n">
        <v>1367</v>
      </c>
      <c r="B4156" s="0" t="s">
        <v>9120</v>
      </c>
      <c r="C4156" s="0" t="s">
        <v>9122</v>
      </c>
      <c r="E4156" s="0" t="s">
        <v>79</v>
      </c>
      <c r="F4156" s="0" t="s">
        <v>15270</v>
      </c>
    </row>
    <row r="4157" customFormat="false" ht="15" hidden="false" customHeight="false" outlineLevel="0" collapsed="false">
      <c r="A4157" s="0" t="n">
        <v>1367</v>
      </c>
      <c r="B4157" s="0" t="s">
        <v>9120</v>
      </c>
      <c r="C4157" s="0" t="s">
        <v>9123</v>
      </c>
      <c r="E4157" s="0" t="s">
        <v>79</v>
      </c>
      <c r="F4157" s="0" t="s">
        <v>15271</v>
      </c>
    </row>
    <row r="4158" customFormat="false" ht="15" hidden="false" customHeight="false" outlineLevel="0" collapsed="false">
      <c r="A4158" s="0" t="n">
        <v>1367</v>
      </c>
      <c r="B4158" s="0" t="s">
        <v>9120</v>
      </c>
      <c r="C4158" s="0" t="s">
        <v>9124</v>
      </c>
      <c r="E4158" s="0" t="s">
        <v>79</v>
      </c>
      <c r="F4158" s="0" t="s">
        <v>15272</v>
      </c>
    </row>
    <row r="4159" customFormat="false" ht="15" hidden="false" customHeight="false" outlineLevel="0" collapsed="false">
      <c r="A4159" s="0" t="n">
        <v>1367</v>
      </c>
      <c r="B4159" s="0" t="s">
        <v>9120</v>
      </c>
      <c r="C4159" s="0" t="s">
        <v>15273</v>
      </c>
      <c r="E4159" s="0" t="s">
        <v>79</v>
      </c>
      <c r="F4159" s="0" t="s">
        <v>15274</v>
      </c>
    </row>
    <row r="4160" customFormat="false" ht="15" hidden="false" customHeight="false" outlineLevel="0" collapsed="false">
      <c r="A4160" s="0" t="n">
        <v>1367</v>
      </c>
      <c r="B4160" s="0" t="s">
        <v>9120</v>
      </c>
      <c r="C4160" s="0" t="s">
        <v>15275</v>
      </c>
      <c r="E4160" s="0" t="s">
        <v>79</v>
      </c>
      <c r="F4160" s="0" t="s">
        <v>15276</v>
      </c>
    </row>
    <row r="4161" customFormat="false" ht="15" hidden="false" customHeight="false" outlineLevel="0" collapsed="false">
      <c r="A4161" s="0" t="n">
        <v>1368</v>
      </c>
      <c r="B4161" s="0" t="s">
        <v>9125</v>
      </c>
      <c r="C4161" s="0" t="s">
        <v>9127</v>
      </c>
      <c r="E4161" s="0" t="s">
        <v>79</v>
      </c>
      <c r="F4161" s="0" t="s">
        <v>15277</v>
      </c>
    </row>
    <row r="4162" customFormat="false" ht="15" hidden="false" customHeight="false" outlineLevel="0" collapsed="false">
      <c r="A4162" s="0" t="n">
        <v>1368</v>
      </c>
      <c r="B4162" s="0" t="s">
        <v>9125</v>
      </c>
      <c r="C4162" s="0" t="s">
        <v>9128</v>
      </c>
      <c r="E4162" s="0" t="s">
        <v>79</v>
      </c>
      <c r="F4162" s="0" t="s">
        <v>15278</v>
      </c>
    </row>
    <row r="4163" customFormat="false" ht="15" hidden="false" customHeight="false" outlineLevel="0" collapsed="false">
      <c r="A4163" s="0" t="n">
        <v>1369</v>
      </c>
      <c r="B4163" s="0" t="s">
        <v>9129</v>
      </c>
      <c r="C4163" s="0" t="s">
        <v>2078</v>
      </c>
      <c r="E4163" s="0" t="s">
        <v>79</v>
      </c>
      <c r="F4163" s="0" t="s">
        <v>15279</v>
      </c>
    </row>
    <row r="4164" customFormat="false" ht="15" hidden="false" customHeight="false" outlineLevel="0" collapsed="false">
      <c r="A4164" s="0" t="n">
        <v>1369</v>
      </c>
      <c r="B4164" s="0" t="s">
        <v>9129</v>
      </c>
      <c r="C4164" s="0" t="s">
        <v>9131</v>
      </c>
      <c r="E4164" s="0" t="s">
        <v>79</v>
      </c>
      <c r="F4164" s="0" t="s">
        <v>15280</v>
      </c>
    </row>
    <row r="4165" customFormat="false" ht="15" hidden="false" customHeight="false" outlineLevel="0" collapsed="false">
      <c r="A4165" s="0" t="n">
        <v>1369</v>
      </c>
      <c r="B4165" s="0" t="s">
        <v>9129</v>
      </c>
      <c r="C4165" s="0" t="s">
        <v>9132</v>
      </c>
      <c r="E4165" s="0" t="s">
        <v>79</v>
      </c>
      <c r="F4165" s="0" t="s">
        <v>15281</v>
      </c>
    </row>
    <row r="4166" customFormat="false" ht="15" hidden="false" customHeight="false" outlineLevel="0" collapsed="false">
      <c r="A4166" s="0" t="n">
        <v>1369</v>
      </c>
      <c r="B4166" s="0" t="s">
        <v>9129</v>
      </c>
      <c r="C4166" s="0" t="s">
        <v>15282</v>
      </c>
      <c r="E4166" s="0" t="s">
        <v>79</v>
      </c>
      <c r="F4166" s="0" t="s">
        <v>15283</v>
      </c>
    </row>
    <row r="4167" customFormat="false" ht="15" hidden="false" customHeight="false" outlineLevel="0" collapsed="false">
      <c r="A4167" s="0" t="n">
        <v>1369</v>
      </c>
      <c r="B4167" s="0" t="s">
        <v>9129</v>
      </c>
      <c r="C4167" s="0" t="s">
        <v>15284</v>
      </c>
      <c r="E4167" s="0" t="s">
        <v>79</v>
      </c>
      <c r="F4167" s="0" t="s">
        <v>15285</v>
      </c>
    </row>
    <row r="4168" customFormat="false" ht="15" hidden="false" customHeight="false" outlineLevel="0" collapsed="false">
      <c r="A4168" s="0" t="n">
        <v>1370</v>
      </c>
      <c r="B4168" s="0" t="s">
        <v>9133</v>
      </c>
      <c r="C4168" s="0" t="s">
        <v>9136</v>
      </c>
      <c r="E4168" s="0" t="s">
        <v>59</v>
      </c>
      <c r="F4168" s="0" t="s">
        <v>15286</v>
      </c>
    </row>
    <row r="4169" customFormat="false" ht="15" hidden="false" customHeight="false" outlineLevel="0" collapsed="false">
      <c r="A4169" s="0" t="n">
        <v>1370</v>
      </c>
      <c r="B4169" s="0" t="s">
        <v>9133</v>
      </c>
      <c r="C4169" s="0" t="s">
        <v>9137</v>
      </c>
      <c r="E4169" s="0" t="s">
        <v>59</v>
      </c>
      <c r="F4169" s="0" t="s">
        <v>15287</v>
      </c>
    </row>
    <row r="4170" customFormat="false" ht="15" hidden="false" customHeight="false" outlineLevel="0" collapsed="false">
      <c r="A4170" s="0" t="n">
        <v>1370</v>
      </c>
      <c r="B4170" s="0" t="s">
        <v>9133</v>
      </c>
      <c r="C4170" s="0" t="s">
        <v>9138</v>
      </c>
      <c r="E4170" s="0" t="s">
        <v>59</v>
      </c>
      <c r="F4170" s="0" t="s">
        <v>15288</v>
      </c>
    </row>
    <row r="4171" customFormat="false" ht="15" hidden="false" customHeight="false" outlineLevel="0" collapsed="false">
      <c r="A4171" s="0" t="n">
        <v>1370</v>
      </c>
      <c r="B4171" s="0" t="s">
        <v>9133</v>
      </c>
      <c r="C4171" s="0" t="s">
        <v>15289</v>
      </c>
      <c r="E4171" s="0" t="s">
        <v>59</v>
      </c>
      <c r="F4171" s="0" t="s">
        <v>15290</v>
      </c>
    </row>
    <row r="4172" customFormat="false" ht="15" hidden="false" customHeight="false" outlineLevel="0" collapsed="false">
      <c r="A4172" s="0" t="n">
        <v>1370</v>
      </c>
      <c r="B4172" s="0" t="s">
        <v>9133</v>
      </c>
      <c r="C4172" s="0" t="s">
        <v>15291</v>
      </c>
      <c r="E4172" s="0" t="s">
        <v>59</v>
      </c>
      <c r="F4172" s="0" t="s">
        <v>15292</v>
      </c>
    </row>
    <row r="4173" customFormat="false" ht="15" hidden="false" customHeight="false" outlineLevel="0" collapsed="false">
      <c r="A4173" s="0" t="n">
        <v>1371</v>
      </c>
      <c r="B4173" s="0" t="s">
        <v>9140</v>
      </c>
      <c r="C4173" s="0" t="s">
        <v>9146</v>
      </c>
      <c r="D4173" s="0" t="s">
        <v>15293</v>
      </c>
      <c r="E4173" s="0" t="s">
        <v>115</v>
      </c>
    </row>
    <row r="4174" customFormat="false" ht="15" hidden="false" customHeight="false" outlineLevel="0" collapsed="false">
      <c r="A4174" s="0" t="n">
        <v>1371</v>
      </c>
      <c r="B4174" s="0" t="s">
        <v>9140</v>
      </c>
      <c r="C4174" s="0" t="s">
        <v>9147</v>
      </c>
      <c r="D4174" s="0" t="s">
        <v>15294</v>
      </c>
      <c r="E4174" s="0" t="s">
        <v>115</v>
      </c>
    </row>
    <row r="4175" customFormat="false" ht="15" hidden="false" customHeight="false" outlineLevel="0" collapsed="false">
      <c r="A4175" s="0" t="n">
        <v>1371</v>
      </c>
      <c r="B4175" s="0" t="s">
        <v>9140</v>
      </c>
      <c r="C4175" s="0" t="s">
        <v>9148</v>
      </c>
      <c r="D4175" s="0" t="s">
        <v>15295</v>
      </c>
      <c r="E4175" s="0" t="s">
        <v>115</v>
      </c>
    </row>
    <row r="4176" customFormat="false" ht="15" hidden="false" customHeight="false" outlineLevel="0" collapsed="false">
      <c r="A4176" s="0" t="n">
        <v>1372</v>
      </c>
      <c r="B4176" s="0" t="s">
        <v>9156</v>
      </c>
      <c r="C4176" s="0" t="s">
        <v>9146</v>
      </c>
      <c r="D4176" s="0" t="s">
        <v>15293</v>
      </c>
      <c r="E4176" s="0" t="s">
        <v>115</v>
      </c>
    </row>
    <row r="4177" customFormat="false" ht="15" hidden="false" customHeight="false" outlineLevel="0" collapsed="false">
      <c r="A4177" s="0" t="n">
        <v>1372</v>
      </c>
      <c r="B4177" s="0" t="s">
        <v>9156</v>
      </c>
      <c r="C4177" s="0" t="s">
        <v>9147</v>
      </c>
      <c r="D4177" s="0" t="s">
        <v>15294</v>
      </c>
      <c r="E4177" s="0" t="s">
        <v>115</v>
      </c>
    </row>
    <row r="4178" customFormat="false" ht="15" hidden="false" customHeight="false" outlineLevel="0" collapsed="false">
      <c r="A4178" s="0" t="n">
        <v>1372</v>
      </c>
      <c r="B4178" s="0" t="s">
        <v>9156</v>
      </c>
      <c r="C4178" s="0" t="s">
        <v>9148</v>
      </c>
      <c r="D4178" s="0" t="s">
        <v>15295</v>
      </c>
      <c r="E4178" s="0" t="s">
        <v>115</v>
      </c>
    </row>
    <row r="4179" customFormat="false" ht="15" hidden="false" customHeight="false" outlineLevel="0" collapsed="false">
      <c r="A4179" s="0" t="n">
        <v>1373</v>
      </c>
      <c r="B4179" s="0" t="s">
        <v>9158</v>
      </c>
      <c r="C4179" s="0" t="s">
        <v>9160</v>
      </c>
      <c r="E4179" s="0" t="s">
        <v>79</v>
      </c>
      <c r="F4179" s="0" t="s">
        <v>15296</v>
      </c>
    </row>
    <row r="4180" customFormat="false" ht="15" hidden="false" customHeight="false" outlineLevel="0" collapsed="false">
      <c r="A4180" s="0" t="n">
        <v>1373</v>
      </c>
      <c r="B4180" s="0" t="s">
        <v>9158</v>
      </c>
      <c r="C4180" s="0" t="s">
        <v>9161</v>
      </c>
      <c r="E4180" s="0" t="s">
        <v>79</v>
      </c>
      <c r="F4180" s="0" t="s">
        <v>15297</v>
      </c>
    </row>
    <row r="4181" customFormat="false" ht="15" hidden="false" customHeight="false" outlineLevel="0" collapsed="false">
      <c r="A4181" s="0" t="n">
        <v>1373</v>
      </c>
      <c r="B4181" s="0" t="s">
        <v>9158</v>
      </c>
      <c r="C4181" s="0" t="s">
        <v>9162</v>
      </c>
      <c r="E4181" s="0" t="s">
        <v>79</v>
      </c>
      <c r="F4181" s="0" t="s">
        <v>15298</v>
      </c>
    </row>
    <row r="4182" customFormat="false" ht="15" hidden="false" customHeight="false" outlineLevel="0" collapsed="false">
      <c r="A4182" s="0" t="n">
        <v>1373</v>
      </c>
      <c r="B4182" s="0" t="s">
        <v>9158</v>
      </c>
      <c r="C4182" s="0" t="s">
        <v>15299</v>
      </c>
      <c r="E4182" s="0" t="s">
        <v>79</v>
      </c>
      <c r="F4182" s="0" t="s">
        <v>15300</v>
      </c>
    </row>
    <row r="4183" customFormat="false" ht="15" hidden="false" customHeight="false" outlineLevel="0" collapsed="false">
      <c r="A4183" s="0" t="n">
        <v>1373</v>
      </c>
      <c r="B4183" s="0" t="s">
        <v>9158</v>
      </c>
      <c r="C4183" s="0" t="s">
        <v>15301</v>
      </c>
      <c r="E4183" s="0" t="s">
        <v>79</v>
      </c>
      <c r="F4183" s="0" t="s">
        <v>15302</v>
      </c>
    </row>
    <row r="4184" customFormat="false" ht="15" hidden="false" customHeight="false" outlineLevel="0" collapsed="false">
      <c r="A4184" s="0" t="n">
        <v>1374</v>
      </c>
      <c r="B4184" s="0" t="s">
        <v>9163</v>
      </c>
      <c r="C4184" s="0" t="s">
        <v>9166</v>
      </c>
      <c r="E4184" s="0" t="s">
        <v>79</v>
      </c>
      <c r="F4184" s="0" t="s">
        <v>15303</v>
      </c>
    </row>
    <row r="4185" customFormat="false" ht="15" hidden="false" customHeight="false" outlineLevel="0" collapsed="false">
      <c r="A4185" s="0" t="n">
        <v>1374</v>
      </c>
      <c r="B4185" s="0" t="s">
        <v>9163</v>
      </c>
      <c r="C4185" s="0" t="s">
        <v>9167</v>
      </c>
      <c r="E4185" s="0" t="s">
        <v>79</v>
      </c>
      <c r="F4185" s="0" t="s">
        <v>15304</v>
      </c>
    </row>
    <row r="4186" customFormat="false" ht="15" hidden="false" customHeight="false" outlineLevel="0" collapsed="false">
      <c r="A4186" s="0" t="n">
        <v>1374</v>
      </c>
      <c r="B4186" s="0" t="s">
        <v>9163</v>
      </c>
      <c r="C4186" s="0" t="s">
        <v>9168</v>
      </c>
      <c r="E4186" s="0" t="s">
        <v>79</v>
      </c>
      <c r="F4186" s="0" t="s">
        <v>15305</v>
      </c>
    </row>
    <row r="4187" customFormat="false" ht="15" hidden="false" customHeight="false" outlineLevel="0" collapsed="false">
      <c r="A4187" s="0" t="n">
        <v>1374</v>
      </c>
      <c r="B4187" s="0" t="s">
        <v>9163</v>
      </c>
      <c r="C4187" s="0" t="s">
        <v>15306</v>
      </c>
      <c r="E4187" s="0" t="s">
        <v>79</v>
      </c>
      <c r="F4187" s="0" t="s">
        <v>15307</v>
      </c>
    </row>
    <row r="4188" customFormat="false" ht="15" hidden="false" customHeight="false" outlineLevel="0" collapsed="false">
      <c r="A4188" s="0" t="n">
        <v>1374</v>
      </c>
      <c r="B4188" s="0" t="s">
        <v>9163</v>
      </c>
      <c r="C4188" s="0" t="s">
        <v>15308</v>
      </c>
      <c r="E4188" s="0" t="s">
        <v>79</v>
      </c>
      <c r="F4188" s="0" t="s">
        <v>15309</v>
      </c>
    </row>
    <row r="4189" customFormat="false" ht="15" hidden="false" customHeight="false" outlineLevel="0" collapsed="false">
      <c r="A4189" s="0" t="n">
        <v>1377</v>
      </c>
      <c r="B4189" s="0" t="s">
        <v>9186</v>
      </c>
      <c r="C4189" s="0" t="s">
        <v>9189</v>
      </c>
      <c r="E4189" s="0" t="s">
        <v>79</v>
      </c>
      <c r="F4189" s="0" t="s">
        <v>15310</v>
      </c>
    </row>
    <row r="4190" customFormat="false" ht="15" hidden="false" customHeight="false" outlineLevel="0" collapsed="false">
      <c r="A4190" s="0" t="n">
        <v>1377</v>
      </c>
      <c r="B4190" s="0" t="s">
        <v>9186</v>
      </c>
      <c r="C4190" s="0" t="s">
        <v>9190</v>
      </c>
      <c r="E4190" s="0" t="s">
        <v>79</v>
      </c>
      <c r="F4190" s="0" t="s">
        <v>15311</v>
      </c>
    </row>
    <row r="4191" customFormat="false" ht="15" hidden="false" customHeight="false" outlineLevel="0" collapsed="false">
      <c r="A4191" s="0" t="n">
        <v>1377</v>
      </c>
      <c r="B4191" s="0" t="s">
        <v>9186</v>
      </c>
      <c r="C4191" s="0" t="s">
        <v>9191</v>
      </c>
      <c r="E4191" s="0" t="s">
        <v>79</v>
      </c>
      <c r="F4191" s="0" t="s">
        <v>15312</v>
      </c>
    </row>
    <row r="4192" customFormat="false" ht="15" hidden="false" customHeight="false" outlineLevel="0" collapsed="false">
      <c r="A4192" s="0" t="n">
        <v>1377</v>
      </c>
      <c r="B4192" s="0" t="s">
        <v>9186</v>
      </c>
      <c r="C4192" s="0" t="s">
        <v>15313</v>
      </c>
      <c r="E4192" s="0" t="s">
        <v>79</v>
      </c>
      <c r="F4192" s="0" t="s">
        <v>15314</v>
      </c>
    </row>
    <row r="4193" customFormat="false" ht="15" hidden="false" customHeight="false" outlineLevel="0" collapsed="false">
      <c r="A4193" s="0" t="n">
        <v>1377</v>
      </c>
      <c r="B4193" s="0" t="s">
        <v>9186</v>
      </c>
      <c r="C4193" s="0" t="s">
        <v>15315</v>
      </c>
      <c r="E4193" s="0" t="s">
        <v>79</v>
      </c>
      <c r="F4193" s="0" t="s">
        <v>15316</v>
      </c>
    </row>
    <row r="4194" customFormat="false" ht="15" hidden="false" customHeight="false" outlineLevel="0" collapsed="false">
      <c r="A4194" s="0" t="n">
        <v>1380</v>
      </c>
      <c r="B4194" s="0" t="s">
        <v>9201</v>
      </c>
      <c r="C4194" s="0" t="s">
        <v>9204</v>
      </c>
      <c r="E4194" s="0" t="s">
        <v>59</v>
      </c>
      <c r="F4194" s="0" t="s">
        <v>15317</v>
      </c>
    </row>
    <row r="4195" customFormat="false" ht="15" hidden="false" customHeight="false" outlineLevel="0" collapsed="false">
      <c r="A4195" s="0" t="n">
        <v>1380</v>
      </c>
      <c r="B4195" s="0" t="s">
        <v>9201</v>
      </c>
      <c r="C4195" s="0" t="s">
        <v>9205</v>
      </c>
      <c r="E4195" s="0" t="s">
        <v>59</v>
      </c>
      <c r="F4195" s="0" t="s">
        <v>15318</v>
      </c>
    </row>
    <row r="4196" customFormat="false" ht="15" hidden="false" customHeight="false" outlineLevel="0" collapsed="false">
      <c r="A4196" s="0" t="n">
        <v>1380</v>
      </c>
      <c r="B4196" s="0" t="s">
        <v>9201</v>
      </c>
      <c r="C4196" s="0" t="s">
        <v>9206</v>
      </c>
      <c r="E4196" s="0" t="s">
        <v>59</v>
      </c>
      <c r="F4196" s="0" t="s">
        <v>15319</v>
      </c>
    </row>
    <row r="4197" customFormat="false" ht="15" hidden="false" customHeight="false" outlineLevel="0" collapsed="false">
      <c r="A4197" s="0" t="n">
        <v>1380</v>
      </c>
      <c r="B4197" s="0" t="s">
        <v>9201</v>
      </c>
      <c r="C4197" s="0" t="s">
        <v>15320</v>
      </c>
      <c r="E4197" s="0" t="s">
        <v>59</v>
      </c>
      <c r="F4197" s="0" t="s">
        <v>15321</v>
      </c>
    </row>
    <row r="4198" customFormat="false" ht="15" hidden="false" customHeight="false" outlineLevel="0" collapsed="false">
      <c r="A4198" s="0" t="n">
        <v>1380</v>
      </c>
      <c r="B4198" s="0" t="s">
        <v>9201</v>
      </c>
      <c r="C4198" s="0" t="s">
        <v>15322</v>
      </c>
      <c r="E4198" s="0" t="s">
        <v>59</v>
      </c>
      <c r="F4198" s="0" t="s">
        <v>15323</v>
      </c>
    </row>
    <row r="4199" customFormat="false" ht="15" hidden="false" customHeight="false" outlineLevel="0" collapsed="false">
      <c r="A4199" s="0" t="n">
        <v>1381</v>
      </c>
      <c r="B4199" s="0" t="s">
        <v>9209</v>
      </c>
      <c r="C4199" s="0" t="s">
        <v>9211</v>
      </c>
      <c r="E4199" s="0" t="s">
        <v>79</v>
      </c>
      <c r="F4199" s="0" t="s">
        <v>15324</v>
      </c>
    </row>
    <row r="4200" customFormat="false" ht="15" hidden="false" customHeight="false" outlineLevel="0" collapsed="false">
      <c r="A4200" s="0" t="n">
        <v>1381</v>
      </c>
      <c r="B4200" s="0" t="s">
        <v>9209</v>
      </c>
      <c r="C4200" s="0" t="s">
        <v>9212</v>
      </c>
      <c r="E4200" s="0" t="s">
        <v>79</v>
      </c>
      <c r="F4200" s="0" t="s">
        <v>15325</v>
      </c>
    </row>
    <row r="4201" customFormat="false" ht="15" hidden="false" customHeight="false" outlineLevel="0" collapsed="false">
      <c r="A4201" s="0" t="n">
        <v>1381</v>
      </c>
      <c r="B4201" s="0" t="s">
        <v>9209</v>
      </c>
      <c r="C4201" s="0" t="s">
        <v>9213</v>
      </c>
      <c r="E4201" s="0" t="s">
        <v>79</v>
      </c>
      <c r="F4201" s="0" t="s">
        <v>15326</v>
      </c>
    </row>
    <row r="4202" customFormat="false" ht="15" hidden="false" customHeight="false" outlineLevel="0" collapsed="false">
      <c r="A4202" s="0" t="n">
        <v>1381</v>
      </c>
      <c r="B4202" s="0" t="s">
        <v>9209</v>
      </c>
      <c r="C4202" s="0" t="s">
        <v>15327</v>
      </c>
      <c r="E4202" s="0" t="s">
        <v>79</v>
      </c>
      <c r="F4202" s="0" t="s">
        <v>15328</v>
      </c>
    </row>
    <row r="4203" customFormat="false" ht="15" hidden="false" customHeight="false" outlineLevel="0" collapsed="false">
      <c r="A4203" s="0" t="n">
        <v>1381</v>
      </c>
      <c r="B4203" s="0" t="s">
        <v>9209</v>
      </c>
      <c r="C4203" s="0" t="s">
        <v>15329</v>
      </c>
      <c r="E4203" s="0" t="s">
        <v>79</v>
      </c>
      <c r="F4203" s="0" t="s">
        <v>15330</v>
      </c>
    </row>
  </sheetData>
  <autoFilter ref="A1:F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0"/>
    <col collapsed="false" customWidth="true" hidden="false" outlineLevel="0" max="4" min="4" style="0" width="28"/>
    <col collapsed="false" customWidth="true" hidden="false" outlineLevel="0" max="5" min="5" style="0" width="16"/>
    <col collapsed="false" customWidth="true" hidden="false" outlineLevel="0" max="6" min="6" style="0" width="26"/>
    <col collapsed="false" customWidth="true" hidden="false" outlineLevel="0" max="7" min="7" style="0" width="36"/>
    <col collapsed="false" customWidth="true" hidden="false" outlineLevel="0" max="8" min="8" style="0" width="10"/>
    <col collapsed="false" customWidth="true" hidden="false" outlineLevel="0" max="9" min="9" style="0" width="90"/>
  </cols>
  <sheetData>
    <row r="1" customFormat="false" ht="23.85" hidden="false" customHeight="false" outlineLevel="0" collapsed="false">
      <c r="A1" s="2" t="s">
        <v>9217</v>
      </c>
      <c r="B1" s="2" t="s">
        <v>9218</v>
      </c>
      <c r="C1" s="2" t="s">
        <v>9219</v>
      </c>
      <c r="D1" s="2" t="s">
        <v>7</v>
      </c>
      <c r="E1" s="2" t="s">
        <v>35</v>
      </c>
      <c r="F1" s="2" t="s">
        <v>36</v>
      </c>
      <c r="G1" s="2" t="s">
        <v>37</v>
      </c>
      <c r="H1" s="2" t="s">
        <v>15331</v>
      </c>
      <c r="I1" s="2" t="s">
        <v>15332</v>
      </c>
    </row>
    <row r="2" customFormat="false" ht="15" hidden="false" customHeight="false" outlineLevel="0" collapsed="false">
      <c r="A2" s="0" t="s">
        <v>1231</v>
      </c>
      <c r="B2" s="3" t="s">
        <v>9349</v>
      </c>
      <c r="C2" s="3" t="s">
        <v>9231</v>
      </c>
      <c r="D2" s="0" t="s">
        <v>9350</v>
      </c>
      <c r="E2" s="0" t="s">
        <v>9351</v>
      </c>
      <c r="F2" s="0" t="s">
        <v>9352</v>
      </c>
      <c r="G2" s="0" t="s">
        <v>9353</v>
      </c>
      <c r="H2" s="0" t="n">
        <v>24</v>
      </c>
      <c r="I2" s="0" t="s">
        <v>15333</v>
      </c>
    </row>
    <row r="3" customFormat="false" ht="15" hidden="false" customHeight="false" outlineLevel="0" collapsed="false">
      <c r="A3" s="0" t="s">
        <v>829</v>
      </c>
      <c r="B3" s="3" t="s">
        <v>9252</v>
      </c>
      <c r="C3" s="3" t="s">
        <v>9231</v>
      </c>
      <c r="D3" s="0" t="s">
        <v>9253</v>
      </c>
      <c r="E3" s="0" t="s">
        <v>9254</v>
      </c>
      <c r="F3" s="0" t="s">
        <v>9255</v>
      </c>
      <c r="G3" s="0" t="s">
        <v>9256</v>
      </c>
      <c r="H3" s="0" t="n">
        <v>23</v>
      </c>
      <c r="I3" s="0" t="s">
        <v>15334</v>
      </c>
    </row>
    <row r="4" customFormat="false" ht="15" hidden="false" customHeight="false" outlineLevel="0" collapsed="false">
      <c r="A4" s="0" t="s">
        <v>1331</v>
      </c>
      <c r="B4" s="3" t="s">
        <v>9363</v>
      </c>
      <c r="C4" s="3" t="s">
        <v>9231</v>
      </c>
      <c r="D4" s="0" t="s">
        <v>9365</v>
      </c>
      <c r="E4" s="0" t="s">
        <v>9366</v>
      </c>
      <c r="F4" s="0" t="s">
        <v>9367</v>
      </c>
      <c r="G4" s="0" t="s">
        <v>9368</v>
      </c>
      <c r="H4" s="0" t="n">
        <v>18</v>
      </c>
      <c r="I4" s="0" t="s">
        <v>15335</v>
      </c>
    </row>
    <row r="5" customFormat="false" ht="15" hidden="false" customHeight="false" outlineLevel="0" collapsed="false">
      <c r="A5" s="0" t="s">
        <v>109</v>
      </c>
      <c r="B5" s="3" t="s">
        <v>9230</v>
      </c>
      <c r="C5" s="3" t="s">
        <v>9231</v>
      </c>
      <c r="D5" s="0" t="s">
        <v>9233</v>
      </c>
      <c r="E5" s="0" t="s">
        <v>9234</v>
      </c>
      <c r="F5" s="0" t="s">
        <v>9235</v>
      </c>
      <c r="G5" s="0" t="s">
        <v>9236</v>
      </c>
      <c r="H5" s="0" t="n">
        <v>13</v>
      </c>
      <c r="I5" s="0" t="s">
        <v>15336</v>
      </c>
    </row>
    <row r="6" customFormat="false" ht="15" hidden="false" customHeight="false" outlineLevel="0" collapsed="false">
      <c r="A6" s="0" t="s">
        <v>155</v>
      </c>
      <c r="B6" s="3" t="s">
        <v>9241</v>
      </c>
      <c r="C6" s="3" t="s">
        <v>9231</v>
      </c>
      <c r="D6" s="0" t="s">
        <v>9242</v>
      </c>
      <c r="E6" s="0" t="s">
        <v>9243</v>
      </c>
      <c r="F6" s="0" t="s">
        <v>9244</v>
      </c>
      <c r="G6" s="0" t="s">
        <v>9404</v>
      </c>
      <c r="H6" s="0" t="n">
        <v>13</v>
      </c>
      <c r="I6" s="0" t="s">
        <v>15337</v>
      </c>
    </row>
    <row r="7" customFormat="false" ht="15" hidden="false" customHeight="false" outlineLevel="0" collapsed="false">
      <c r="A7" s="0" t="s">
        <v>2320</v>
      </c>
      <c r="B7" s="3" t="s">
        <v>9460</v>
      </c>
      <c r="C7" s="3" t="s">
        <v>9231</v>
      </c>
      <c r="D7" s="0" t="s">
        <v>9462</v>
      </c>
      <c r="E7" s="0" t="s">
        <v>9463</v>
      </c>
      <c r="F7" s="0" t="s">
        <v>9464</v>
      </c>
      <c r="G7" s="0" t="s">
        <v>9465</v>
      </c>
      <c r="H7" s="0" t="n">
        <v>13</v>
      </c>
      <c r="I7" s="0" t="s">
        <v>15338</v>
      </c>
    </row>
    <row r="8" customFormat="false" ht="15" hidden="false" customHeight="false" outlineLevel="0" collapsed="false">
      <c r="A8" s="0" t="s">
        <v>2751</v>
      </c>
      <c r="B8" s="0" t="s">
        <v>9453</v>
      </c>
      <c r="C8" s="3" t="s">
        <v>9231</v>
      </c>
      <c r="D8" s="0" t="s">
        <v>9454</v>
      </c>
      <c r="E8" s="0" t="s">
        <v>9455</v>
      </c>
      <c r="F8" s="0" t="s">
        <v>9456</v>
      </c>
      <c r="G8" s="0" t="s">
        <v>9457</v>
      </c>
      <c r="H8" s="0" t="n">
        <v>12</v>
      </c>
      <c r="I8" s="0" t="s">
        <v>15339</v>
      </c>
    </row>
    <row r="9" customFormat="false" ht="15" hidden="false" customHeight="false" outlineLevel="0" collapsed="false">
      <c r="A9" s="0" t="s">
        <v>9664</v>
      </c>
      <c r="B9" s="3" t="s">
        <v>9665</v>
      </c>
      <c r="C9" s="3" t="s">
        <v>9224</v>
      </c>
      <c r="D9" s="0" t="s">
        <v>6089</v>
      </c>
      <c r="E9" s="0" t="s">
        <v>9667</v>
      </c>
      <c r="G9" s="0" t="s">
        <v>9668</v>
      </c>
      <c r="H9" s="0" t="n">
        <v>12</v>
      </c>
      <c r="I9" s="0" t="s">
        <v>15340</v>
      </c>
    </row>
    <row r="10" customFormat="false" ht="15" hidden="false" customHeight="false" outlineLevel="0" collapsed="false">
      <c r="A10" s="0" t="s">
        <v>1545</v>
      </c>
      <c r="B10" s="3" t="s">
        <v>9393</v>
      </c>
      <c r="C10" s="3" t="s">
        <v>9231</v>
      </c>
      <c r="D10" s="0" t="s">
        <v>9395</v>
      </c>
      <c r="E10" s="0" t="s">
        <v>9396</v>
      </c>
      <c r="F10" s="0" t="s">
        <v>9397</v>
      </c>
      <c r="G10" s="0" t="s">
        <v>9398</v>
      </c>
      <c r="H10" s="0" t="n">
        <v>11</v>
      </c>
      <c r="I10" s="0" t="s">
        <v>15341</v>
      </c>
    </row>
    <row r="11" customFormat="false" ht="15" hidden="false" customHeight="false" outlineLevel="0" collapsed="false">
      <c r="A11" s="0" t="s">
        <v>9285</v>
      </c>
      <c r="B11" s="3" t="s">
        <v>9385</v>
      </c>
      <c r="C11" s="3" t="s">
        <v>9231</v>
      </c>
      <c r="D11" s="0" t="s">
        <v>9287</v>
      </c>
      <c r="E11" s="0" t="s">
        <v>9288</v>
      </c>
      <c r="F11" s="0" t="s">
        <v>9289</v>
      </c>
      <c r="G11" s="0" t="s">
        <v>9290</v>
      </c>
      <c r="H11" s="0" t="n">
        <v>10</v>
      </c>
      <c r="I11" s="0" t="s">
        <v>15342</v>
      </c>
    </row>
    <row r="12" customFormat="false" ht="15" hidden="false" customHeight="false" outlineLevel="0" collapsed="false">
      <c r="A12" s="0" t="s">
        <v>968</v>
      </c>
      <c r="B12" s="3" t="s">
        <v>9309</v>
      </c>
      <c r="C12" s="3" t="s">
        <v>9231</v>
      </c>
      <c r="D12" s="0" t="s">
        <v>9310</v>
      </c>
      <c r="E12" s="0" t="s">
        <v>9311</v>
      </c>
      <c r="F12" s="0" t="s">
        <v>9312</v>
      </c>
      <c r="H12" s="0" t="n">
        <v>10</v>
      </c>
      <c r="I12" s="0" t="s">
        <v>15343</v>
      </c>
    </row>
    <row r="13" customFormat="false" ht="15" hidden="false" customHeight="false" outlineLevel="0" collapsed="false">
      <c r="A13" s="0" t="s">
        <v>284</v>
      </c>
      <c r="B13" s="3" t="s">
        <v>9265</v>
      </c>
      <c r="C13" s="3" t="s">
        <v>9231</v>
      </c>
      <c r="D13" s="0" t="s">
        <v>9266</v>
      </c>
      <c r="E13" s="0" t="s">
        <v>9267</v>
      </c>
      <c r="F13" s="0" t="s">
        <v>9268</v>
      </c>
      <c r="H13" s="0" t="n">
        <v>9</v>
      </c>
      <c r="I13" s="0" t="s">
        <v>15344</v>
      </c>
    </row>
    <row r="14" customFormat="false" ht="15" hidden="false" customHeight="false" outlineLevel="0" collapsed="false">
      <c r="A14" s="0" t="s">
        <v>425</v>
      </c>
      <c r="B14" s="3" t="s">
        <v>9270</v>
      </c>
      <c r="C14" s="3" t="s">
        <v>9231</v>
      </c>
      <c r="D14" s="0" t="s">
        <v>9272</v>
      </c>
      <c r="E14" s="0" t="s">
        <v>9273</v>
      </c>
      <c r="F14" s="0" t="s">
        <v>9274</v>
      </c>
      <c r="G14" s="0" t="s">
        <v>9275</v>
      </c>
      <c r="H14" s="0" t="n">
        <v>9</v>
      </c>
      <c r="I14" s="0" t="s">
        <v>15345</v>
      </c>
    </row>
    <row r="15" customFormat="false" ht="15" hidden="false" customHeight="false" outlineLevel="0" collapsed="false">
      <c r="A15" s="0" t="s">
        <v>4094</v>
      </c>
      <c r="B15" s="3" t="s">
        <v>9278</v>
      </c>
      <c r="C15" s="3" t="s">
        <v>9231</v>
      </c>
      <c r="D15" s="0" t="s">
        <v>9279</v>
      </c>
      <c r="E15" s="0" t="s">
        <v>9280</v>
      </c>
      <c r="F15" s="0" t="s">
        <v>9281</v>
      </c>
      <c r="G15" s="0" t="s">
        <v>9282</v>
      </c>
      <c r="H15" s="0" t="n">
        <v>9</v>
      </c>
      <c r="I15" s="0" t="s">
        <v>15346</v>
      </c>
    </row>
    <row r="16" customFormat="false" ht="15" hidden="false" customHeight="false" outlineLevel="0" collapsed="false">
      <c r="A16" s="0" t="s">
        <v>921</v>
      </c>
      <c r="B16" s="3" t="s">
        <v>9303</v>
      </c>
      <c r="C16" s="3" t="s">
        <v>9231</v>
      </c>
      <c r="D16" s="0" t="s">
        <v>9304</v>
      </c>
      <c r="E16" s="0" t="s">
        <v>9305</v>
      </c>
      <c r="F16" s="0" t="s">
        <v>9306</v>
      </c>
      <c r="G16" s="0" t="s">
        <v>9307</v>
      </c>
      <c r="H16" s="0" t="n">
        <v>9</v>
      </c>
      <c r="I16" s="0" t="s">
        <v>15347</v>
      </c>
    </row>
    <row r="17" customFormat="false" ht="15" hidden="false" customHeight="false" outlineLevel="0" collapsed="false">
      <c r="A17" s="0" t="s">
        <v>1765</v>
      </c>
      <c r="B17" s="3" t="s">
        <v>9428</v>
      </c>
      <c r="C17" s="3" t="s">
        <v>9231</v>
      </c>
      <c r="D17" s="0" t="s">
        <v>9429</v>
      </c>
      <c r="E17" s="0" t="s">
        <v>9430</v>
      </c>
      <c r="F17" s="0" t="s">
        <v>9431</v>
      </c>
      <c r="G17" s="0" t="s">
        <v>9432</v>
      </c>
      <c r="H17" s="0" t="n">
        <v>8</v>
      </c>
      <c r="I17" s="0" t="s">
        <v>15348</v>
      </c>
    </row>
    <row r="18" customFormat="false" ht="15" hidden="false" customHeight="false" outlineLevel="0" collapsed="false">
      <c r="A18" s="0" t="s">
        <v>9338</v>
      </c>
      <c r="B18" s="3" t="s">
        <v>9339</v>
      </c>
      <c r="C18" s="3" t="s">
        <v>9231</v>
      </c>
      <c r="D18" s="0" t="s">
        <v>9341</v>
      </c>
      <c r="E18" s="0" t="s">
        <v>9342</v>
      </c>
      <c r="G18" s="0" t="s">
        <v>9343</v>
      </c>
      <c r="H18" s="0" t="n">
        <v>7</v>
      </c>
      <c r="I18" s="0" t="s">
        <v>15349</v>
      </c>
    </row>
    <row r="19" customFormat="false" ht="15" hidden="false" customHeight="false" outlineLevel="0" collapsed="false">
      <c r="A19" s="0" t="s">
        <v>2720</v>
      </c>
      <c r="B19" s="3" t="s">
        <v>9447</v>
      </c>
      <c r="C19" s="3" t="s">
        <v>9231</v>
      </c>
      <c r="D19" s="0" t="s">
        <v>9448</v>
      </c>
      <c r="E19" s="0" t="s">
        <v>9449</v>
      </c>
      <c r="F19" s="0" t="s">
        <v>9450</v>
      </c>
      <c r="G19" s="0" t="s">
        <v>9451</v>
      </c>
      <c r="H19" s="0" t="n">
        <v>7</v>
      </c>
      <c r="I19" s="0" t="s">
        <v>15350</v>
      </c>
    </row>
    <row r="20" customFormat="false" ht="15" hidden="false" customHeight="false" outlineLevel="0" collapsed="false">
      <c r="A20" s="0" t="s">
        <v>9675</v>
      </c>
      <c r="B20" s="3" t="s">
        <v>9676</v>
      </c>
      <c r="C20" s="3" t="s">
        <v>9231</v>
      </c>
      <c r="D20" s="0" t="s">
        <v>9678</v>
      </c>
      <c r="E20" s="0" t="s">
        <v>9679</v>
      </c>
      <c r="F20" s="0" t="s">
        <v>9680</v>
      </c>
      <c r="G20" s="0" t="s">
        <v>9681</v>
      </c>
      <c r="H20" s="0" t="n">
        <v>7</v>
      </c>
      <c r="I20" s="0" t="s">
        <v>15351</v>
      </c>
    </row>
    <row r="21" customFormat="false" ht="15" hidden="false" customHeight="false" outlineLevel="0" collapsed="false">
      <c r="A21" s="0" t="s">
        <v>1530</v>
      </c>
      <c r="B21" s="3" t="s">
        <v>9387</v>
      </c>
      <c r="C21" s="3" t="s">
        <v>9231</v>
      </c>
      <c r="D21" s="0" t="s">
        <v>9388</v>
      </c>
      <c r="E21" s="0" t="s">
        <v>9389</v>
      </c>
      <c r="F21" s="0" t="s">
        <v>9390</v>
      </c>
      <c r="G21" s="0" t="s">
        <v>9391</v>
      </c>
      <c r="H21" s="0" t="n">
        <v>6</v>
      </c>
      <c r="I21" s="0" t="s">
        <v>15352</v>
      </c>
    </row>
    <row r="22" customFormat="false" ht="15" hidden="false" customHeight="false" outlineLevel="0" collapsed="false">
      <c r="A22" s="0" t="s">
        <v>167</v>
      </c>
      <c r="B22" s="3" t="s">
        <v>9246</v>
      </c>
      <c r="C22" s="3" t="s">
        <v>9231</v>
      </c>
      <c r="D22" s="0" t="s">
        <v>9247</v>
      </c>
      <c r="E22" s="0" t="s">
        <v>9248</v>
      </c>
      <c r="F22" s="0" t="s">
        <v>9249</v>
      </c>
      <c r="G22" s="0" t="s">
        <v>9250</v>
      </c>
      <c r="H22" s="0" t="n">
        <v>5</v>
      </c>
      <c r="I22" s="0" t="s">
        <v>15353</v>
      </c>
    </row>
    <row r="23" customFormat="false" ht="15" hidden="false" customHeight="false" outlineLevel="0" collapsed="false">
      <c r="A23" s="0" t="s">
        <v>9408</v>
      </c>
      <c r="B23" s="3" t="s">
        <v>9409</v>
      </c>
      <c r="C23" s="3" t="s">
        <v>9231</v>
      </c>
      <c r="D23" s="0" t="s">
        <v>9411</v>
      </c>
      <c r="E23" s="0" t="s">
        <v>9412</v>
      </c>
      <c r="F23" s="0" t="s">
        <v>9413</v>
      </c>
      <c r="G23" s="0" t="s">
        <v>9414</v>
      </c>
      <c r="H23" s="0" t="n">
        <v>5</v>
      </c>
      <c r="I23" s="0" t="s">
        <v>15354</v>
      </c>
    </row>
    <row r="24" customFormat="false" ht="15" hidden="false" customHeight="false" outlineLevel="0" collapsed="false">
      <c r="A24" s="0" t="s">
        <v>6315</v>
      </c>
      <c r="B24" s="3" t="s">
        <v>9510</v>
      </c>
      <c r="C24" s="3" t="s">
        <v>9231</v>
      </c>
      <c r="D24" s="0" t="s">
        <v>9512</v>
      </c>
      <c r="E24" s="0" t="s">
        <v>9513</v>
      </c>
      <c r="F24" s="0" t="s">
        <v>9705</v>
      </c>
      <c r="G24" s="0" t="s">
        <v>9514</v>
      </c>
      <c r="H24" s="0" t="n">
        <v>5</v>
      </c>
      <c r="I24" s="0" t="s">
        <v>15355</v>
      </c>
    </row>
    <row r="25" customFormat="false" ht="15" hidden="false" customHeight="false" outlineLevel="0" collapsed="false">
      <c r="A25" s="0" t="s">
        <v>9330</v>
      </c>
      <c r="B25" s="3" t="s">
        <v>9331</v>
      </c>
      <c r="C25" s="3" t="s">
        <v>9231</v>
      </c>
      <c r="D25" s="0" t="s">
        <v>9333</v>
      </c>
      <c r="E25" s="0" t="s">
        <v>9334</v>
      </c>
      <c r="F25" s="0" t="s">
        <v>9335</v>
      </c>
      <c r="G25" s="0" t="s">
        <v>9336</v>
      </c>
      <c r="H25" s="0" t="n">
        <v>4</v>
      </c>
      <c r="I25" s="0" t="s">
        <v>15356</v>
      </c>
    </row>
    <row r="26" customFormat="false" ht="15" hidden="false" customHeight="false" outlineLevel="0" collapsed="false">
      <c r="A26" s="0" t="s">
        <v>9468</v>
      </c>
      <c r="B26" s="3" t="s">
        <v>9469</v>
      </c>
      <c r="C26" s="3" t="s">
        <v>9231</v>
      </c>
      <c r="D26" s="0" t="s">
        <v>9471</v>
      </c>
      <c r="E26" s="0" t="s">
        <v>9472</v>
      </c>
      <c r="G26" s="0" t="s">
        <v>9473</v>
      </c>
      <c r="H26" s="0" t="n">
        <v>4</v>
      </c>
      <c r="I26" s="0" t="s">
        <v>15357</v>
      </c>
    </row>
    <row r="27" customFormat="false" ht="15" hidden="false" customHeight="false" outlineLevel="0" collapsed="false">
      <c r="A27" s="0" t="s">
        <v>3898</v>
      </c>
      <c r="B27" s="3" t="s">
        <v>9482</v>
      </c>
      <c r="C27" s="3" t="s">
        <v>9231</v>
      </c>
      <c r="D27" s="0" t="s">
        <v>9483</v>
      </c>
      <c r="E27" s="0" t="s">
        <v>9484</v>
      </c>
      <c r="G27" s="0" t="s">
        <v>9485</v>
      </c>
      <c r="H27" s="0" t="n">
        <v>4</v>
      </c>
      <c r="I27" s="0" t="s">
        <v>15358</v>
      </c>
    </row>
    <row r="28" customFormat="false" ht="15" hidden="false" customHeight="false" outlineLevel="0" collapsed="false">
      <c r="A28" s="0" t="s">
        <v>9692</v>
      </c>
      <c r="C28" s="3" t="s">
        <v>9231</v>
      </c>
      <c r="H28" s="0" t="n">
        <v>4</v>
      </c>
      <c r="I28" s="0" t="s">
        <v>15359</v>
      </c>
    </row>
    <row r="29" customFormat="false" ht="15" hidden="false" customHeight="false" outlineLevel="0" collapsed="false">
      <c r="A29" s="0" t="s">
        <v>9695</v>
      </c>
      <c r="C29" s="3" t="s">
        <v>9231</v>
      </c>
      <c r="H29" s="0" t="n">
        <v>4</v>
      </c>
      <c r="I29" s="0" t="s">
        <v>15359</v>
      </c>
    </row>
    <row r="30" customFormat="false" ht="15" hidden="false" customHeight="false" outlineLevel="0" collapsed="false">
      <c r="A30" s="0" t="s">
        <v>9698</v>
      </c>
      <c r="C30" s="3" t="s">
        <v>9231</v>
      </c>
      <c r="H30" s="0" t="n">
        <v>4</v>
      </c>
      <c r="I30" s="0" t="s">
        <v>15359</v>
      </c>
    </row>
    <row r="31" customFormat="false" ht="15" hidden="false" customHeight="false" outlineLevel="0" collapsed="false">
      <c r="A31" s="0" t="s">
        <v>6947</v>
      </c>
      <c r="B31" s="3" t="s">
        <v>9258</v>
      </c>
      <c r="C31" s="3" t="s">
        <v>9231</v>
      </c>
      <c r="D31" s="0" t="s">
        <v>9259</v>
      </c>
      <c r="E31" s="0" t="s">
        <v>9260</v>
      </c>
      <c r="F31" s="0" t="s">
        <v>9261</v>
      </c>
      <c r="G31" s="0" t="s">
        <v>9262</v>
      </c>
      <c r="H31" s="0" t="n">
        <v>3</v>
      </c>
      <c r="I31" s="0" t="s">
        <v>15360</v>
      </c>
    </row>
    <row r="32" customFormat="false" ht="15" hidden="false" customHeight="false" outlineLevel="0" collapsed="false">
      <c r="A32" s="0" t="s">
        <v>9314</v>
      </c>
      <c r="B32" s="3" t="s">
        <v>9444</v>
      </c>
      <c r="C32" s="3" t="s">
        <v>9231</v>
      </c>
      <c r="D32" s="0" t="s">
        <v>9316</v>
      </c>
      <c r="E32" s="0" t="s">
        <v>9317</v>
      </c>
      <c r="F32" s="0" t="s">
        <v>9445</v>
      </c>
      <c r="G32" s="0" t="s">
        <v>9318</v>
      </c>
      <c r="H32" s="0" t="n">
        <v>3</v>
      </c>
      <c r="I32" s="0" t="s">
        <v>15361</v>
      </c>
    </row>
    <row r="33" customFormat="false" ht="15" hidden="false" customHeight="false" outlineLevel="0" collapsed="false">
      <c r="A33" s="0" t="s">
        <v>9356</v>
      </c>
      <c r="B33" s="3" t="s">
        <v>9357</v>
      </c>
      <c r="C33" s="3" t="s">
        <v>9231</v>
      </c>
      <c r="D33" s="0" t="s">
        <v>9358</v>
      </c>
      <c r="E33" s="0" t="s">
        <v>9359</v>
      </c>
      <c r="F33" s="0" t="s">
        <v>9360</v>
      </c>
      <c r="G33" s="0" t="s">
        <v>9361</v>
      </c>
      <c r="H33" s="0" t="n">
        <v>3</v>
      </c>
      <c r="I33" s="0" t="s">
        <v>15362</v>
      </c>
    </row>
    <row r="34" customFormat="false" ht="15" hidden="false" customHeight="false" outlineLevel="0" collapsed="false">
      <c r="A34" s="0" t="s">
        <v>9565</v>
      </c>
      <c r="B34" s="3" t="s">
        <v>9566</v>
      </c>
      <c r="C34" s="3" t="s">
        <v>9231</v>
      </c>
      <c r="D34" s="0" t="s">
        <v>9568</v>
      </c>
      <c r="E34" s="0" t="s">
        <v>9569</v>
      </c>
      <c r="G34" s="0" t="s">
        <v>9570</v>
      </c>
      <c r="H34" s="0" t="n">
        <v>3</v>
      </c>
      <c r="I34" s="0" t="s">
        <v>15363</v>
      </c>
    </row>
    <row r="35" customFormat="false" ht="15" hidden="false" customHeight="false" outlineLevel="0" collapsed="false">
      <c r="A35" s="0" t="s">
        <v>9640</v>
      </c>
      <c r="B35" s="0" t="s">
        <v>9641</v>
      </c>
      <c r="C35" s="3" t="s">
        <v>9231</v>
      </c>
      <c r="D35" s="0" t="s">
        <v>9643</v>
      </c>
      <c r="E35" s="0" t="s">
        <v>9644</v>
      </c>
      <c r="F35" s="0" t="s">
        <v>9645</v>
      </c>
      <c r="G35" s="0" t="s">
        <v>9646</v>
      </c>
      <c r="H35" s="0" t="n">
        <v>3</v>
      </c>
      <c r="I35" s="0" t="s">
        <v>15364</v>
      </c>
    </row>
    <row r="36" customFormat="false" ht="15" hidden="false" customHeight="false" outlineLevel="0" collapsed="false">
      <c r="A36" s="0" t="s">
        <v>9709</v>
      </c>
      <c r="C36" s="3" t="s">
        <v>9231</v>
      </c>
      <c r="H36" s="0" t="n">
        <v>3</v>
      </c>
      <c r="I36" s="0" t="s">
        <v>15365</v>
      </c>
    </row>
    <row r="37" customFormat="false" ht="15" hidden="false" customHeight="false" outlineLevel="0" collapsed="false">
      <c r="A37" s="0" t="s">
        <v>9322</v>
      </c>
      <c r="C37" s="3" t="s">
        <v>9224</v>
      </c>
      <c r="D37" s="0" t="s">
        <v>8972</v>
      </c>
      <c r="H37" s="0" t="n">
        <v>2</v>
      </c>
      <c r="I37" s="0" t="s">
        <v>15366</v>
      </c>
    </row>
    <row r="38" customFormat="false" ht="15" hidden="false" customHeight="false" outlineLevel="0" collapsed="false">
      <c r="A38" s="0" t="s">
        <v>9376</v>
      </c>
      <c r="B38" s="3" t="s">
        <v>9377</v>
      </c>
      <c r="C38" s="3" t="s">
        <v>9224</v>
      </c>
      <c r="D38" s="0" t="s">
        <v>1360</v>
      </c>
      <c r="G38" s="0" t="s">
        <v>9379</v>
      </c>
      <c r="H38" s="0" t="n">
        <v>2</v>
      </c>
      <c r="I38" s="0" t="s">
        <v>15367</v>
      </c>
    </row>
    <row r="39" customFormat="false" ht="15" hidden="false" customHeight="false" outlineLevel="0" collapsed="false">
      <c r="A39" s="0" t="s">
        <v>9425</v>
      </c>
      <c r="C39" s="3" t="s">
        <v>9231</v>
      </c>
      <c r="H39" s="0" t="n">
        <v>2</v>
      </c>
      <c r="I39" s="0" t="s">
        <v>15368</v>
      </c>
    </row>
    <row r="40" customFormat="false" ht="15" hidden="false" customHeight="false" outlineLevel="0" collapsed="false">
      <c r="A40" s="0" t="s">
        <v>6004</v>
      </c>
      <c r="B40" s="3" t="s">
        <v>9469</v>
      </c>
      <c r="C40" s="3" t="s">
        <v>9231</v>
      </c>
      <c r="D40" s="0" t="s">
        <v>9475</v>
      </c>
      <c r="E40" s="0" t="s">
        <v>9472</v>
      </c>
      <c r="F40" s="0" t="s">
        <v>9476</v>
      </c>
      <c r="G40" s="0" t="s">
        <v>9473</v>
      </c>
      <c r="H40" s="0" t="n">
        <v>2</v>
      </c>
      <c r="I40" s="0" t="s">
        <v>15369</v>
      </c>
    </row>
    <row r="41" customFormat="false" ht="15" hidden="false" customHeight="false" outlineLevel="0" collapsed="false">
      <c r="A41" s="0" t="s">
        <v>4690</v>
      </c>
      <c r="C41" s="3" t="s">
        <v>9231</v>
      </c>
      <c r="D41" s="0" t="s">
        <v>9535</v>
      </c>
      <c r="E41" s="0" t="s">
        <v>9536</v>
      </c>
      <c r="G41" s="0" t="s">
        <v>9537</v>
      </c>
      <c r="H41" s="0" t="n">
        <v>2</v>
      </c>
      <c r="I41" s="0" t="s">
        <v>15370</v>
      </c>
    </row>
    <row r="42" customFormat="false" ht="15" hidden="false" customHeight="false" outlineLevel="0" collapsed="false">
      <c r="A42" s="0" t="s">
        <v>8401</v>
      </c>
      <c r="B42" s="3" t="s">
        <v>9542</v>
      </c>
      <c r="C42" s="3" t="s">
        <v>9231</v>
      </c>
      <c r="D42" s="0" t="s">
        <v>9543</v>
      </c>
      <c r="E42" s="0" t="s">
        <v>9544</v>
      </c>
      <c r="F42" s="0" t="s">
        <v>9545</v>
      </c>
      <c r="G42" s="0" t="s">
        <v>9546</v>
      </c>
      <c r="H42" s="0" t="n">
        <v>2</v>
      </c>
      <c r="I42" s="0" t="s">
        <v>15371</v>
      </c>
    </row>
    <row r="43" customFormat="false" ht="15" hidden="false" customHeight="false" outlineLevel="0" collapsed="false">
      <c r="A43" s="0" t="s">
        <v>3997</v>
      </c>
      <c r="B43" s="3" t="s">
        <v>9547</v>
      </c>
      <c r="C43" s="3" t="s">
        <v>9231</v>
      </c>
      <c r="D43" s="0" t="s">
        <v>9548</v>
      </c>
      <c r="E43" s="0" t="s">
        <v>9549</v>
      </c>
      <c r="F43" s="0" t="s">
        <v>9550</v>
      </c>
      <c r="G43" s="0" t="s">
        <v>9551</v>
      </c>
      <c r="H43" s="0" t="n">
        <v>2</v>
      </c>
      <c r="I43" s="0" t="s">
        <v>15372</v>
      </c>
    </row>
    <row r="44" customFormat="false" ht="15" hidden="false" customHeight="false" outlineLevel="0" collapsed="false">
      <c r="A44" s="0" t="s">
        <v>9602</v>
      </c>
      <c r="B44" s="3" t="s">
        <v>9603</v>
      </c>
      <c r="C44" s="3" t="s">
        <v>9231</v>
      </c>
      <c r="D44" s="0" t="s">
        <v>9605</v>
      </c>
      <c r="E44" s="0" t="s">
        <v>9792</v>
      </c>
      <c r="F44" s="0" t="s">
        <v>9793</v>
      </c>
      <c r="H44" s="0" t="n">
        <v>2</v>
      </c>
      <c r="I44" s="0" t="s">
        <v>15373</v>
      </c>
    </row>
    <row r="45" customFormat="false" ht="15" hidden="false" customHeight="false" outlineLevel="0" collapsed="false">
      <c r="A45" s="0" t="s">
        <v>9607</v>
      </c>
      <c r="B45" s="3" t="s">
        <v>9762</v>
      </c>
      <c r="C45" s="3" t="s">
        <v>9231</v>
      </c>
      <c r="D45" s="0" t="s">
        <v>9609</v>
      </c>
      <c r="E45" s="0" t="s">
        <v>9610</v>
      </c>
      <c r="F45" s="0" t="s">
        <v>9611</v>
      </c>
      <c r="G45" s="0" t="s">
        <v>9612</v>
      </c>
      <c r="H45" s="0" t="n">
        <v>2</v>
      </c>
      <c r="I45" s="0" t="s">
        <v>15374</v>
      </c>
    </row>
    <row r="46" customFormat="false" ht="15" hidden="false" customHeight="false" outlineLevel="0" collapsed="false">
      <c r="A46" s="0" t="s">
        <v>6072</v>
      </c>
      <c r="B46" s="3" t="s">
        <v>9622</v>
      </c>
      <c r="C46" s="3" t="s">
        <v>9231</v>
      </c>
      <c r="D46" s="0" t="s">
        <v>9623</v>
      </c>
      <c r="E46" s="0" t="s">
        <v>9624</v>
      </c>
      <c r="F46" s="0" t="s">
        <v>9625</v>
      </c>
      <c r="G46" s="0" t="s">
        <v>9626</v>
      </c>
      <c r="H46" s="0" t="n">
        <v>2</v>
      </c>
      <c r="I46" s="0" t="s">
        <v>15375</v>
      </c>
    </row>
    <row r="47" customFormat="false" ht="15" hidden="false" customHeight="false" outlineLevel="0" collapsed="false">
      <c r="A47" s="0" t="s">
        <v>9628</v>
      </c>
      <c r="C47" s="3" t="s">
        <v>9224</v>
      </c>
      <c r="D47" s="0" t="s">
        <v>9630</v>
      </c>
      <c r="E47" s="0" t="s">
        <v>9631</v>
      </c>
      <c r="F47" s="0" t="s">
        <v>9632</v>
      </c>
      <c r="G47" s="0" t="s">
        <v>9633</v>
      </c>
      <c r="H47" s="0" t="n">
        <v>2</v>
      </c>
      <c r="I47" s="0" t="s">
        <v>15376</v>
      </c>
    </row>
    <row r="48" customFormat="false" ht="15" hidden="false" customHeight="false" outlineLevel="0" collapsed="false">
      <c r="A48" s="0" t="s">
        <v>9650</v>
      </c>
      <c r="C48" s="3" t="s">
        <v>9231</v>
      </c>
      <c r="D48" s="0" t="s">
        <v>9652</v>
      </c>
      <c r="E48" s="0" t="s">
        <v>9653</v>
      </c>
      <c r="G48" s="0" t="s">
        <v>9654</v>
      </c>
      <c r="H48" s="0" t="n">
        <v>2</v>
      </c>
      <c r="I48" s="0" t="s">
        <v>15377</v>
      </c>
    </row>
    <row r="49" customFormat="false" ht="15" hidden="false" customHeight="false" outlineLevel="0" collapsed="false">
      <c r="A49" s="0" t="s">
        <v>9656</v>
      </c>
      <c r="C49" s="3" t="s">
        <v>9231</v>
      </c>
      <c r="H49" s="0" t="n">
        <v>2</v>
      </c>
      <c r="I49" s="0" t="s">
        <v>15377</v>
      </c>
    </row>
    <row r="50" customFormat="false" ht="15" hidden="false" customHeight="false" outlineLevel="0" collapsed="false">
      <c r="A50" s="0" t="s">
        <v>9726</v>
      </c>
      <c r="C50" s="3" t="s">
        <v>9224</v>
      </c>
      <c r="D50" s="0" t="s">
        <v>6671</v>
      </c>
      <c r="E50" s="0" t="s">
        <v>9728</v>
      </c>
      <c r="F50" s="0" t="s">
        <v>6683</v>
      </c>
      <c r="G50" s="0" t="s">
        <v>9729</v>
      </c>
      <c r="H50" s="0" t="n">
        <v>2</v>
      </c>
      <c r="I50" s="0" t="s">
        <v>15378</v>
      </c>
    </row>
    <row r="51" customFormat="false" ht="15" hidden="false" customHeight="false" outlineLevel="0" collapsed="false">
      <c r="A51" s="0" t="s">
        <v>9764</v>
      </c>
      <c r="C51" s="3" t="s">
        <v>9224</v>
      </c>
      <c r="D51" s="0" t="s">
        <v>9766</v>
      </c>
      <c r="E51" s="0" t="s">
        <v>9767</v>
      </c>
      <c r="G51" s="0" t="s">
        <v>9768</v>
      </c>
      <c r="H51" s="0" t="n">
        <v>2</v>
      </c>
      <c r="I51" s="0" t="s">
        <v>15379</v>
      </c>
    </row>
    <row r="52" customFormat="false" ht="15" hidden="false" customHeight="false" outlineLevel="0" collapsed="false">
      <c r="A52" s="0" t="s">
        <v>9775</v>
      </c>
      <c r="C52" s="3" t="s">
        <v>9231</v>
      </c>
      <c r="D52" s="0" t="s">
        <v>9777</v>
      </c>
      <c r="H52" s="0" t="n">
        <v>2</v>
      </c>
      <c r="I52" s="0" t="s">
        <v>15379</v>
      </c>
    </row>
    <row r="53" customFormat="false" ht="15" hidden="false" customHeight="false" outlineLevel="0" collapsed="false">
      <c r="A53" s="0" t="s">
        <v>82</v>
      </c>
      <c r="B53" s="0" t="s">
        <v>9223</v>
      </c>
      <c r="C53" s="3" t="s">
        <v>9224</v>
      </c>
      <c r="H53" s="0" t="n">
        <v>1</v>
      </c>
      <c r="I53" s="0" t="s">
        <v>60</v>
      </c>
    </row>
    <row r="54" customFormat="false" ht="15" hidden="false" customHeight="false" outlineLevel="0" collapsed="false">
      <c r="A54" s="0" t="s">
        <v>768</v>
      </c>
      <c r="B54" s="3" t="s">
        <v>9299</v>
      </c>
      <c r="C54" s="3" t="s">
        <v>9231</v>
      </c>
      <c r="D54" s="0" t="s">
        <v>9301</v>
      </c>
      <c r="H54" s="0" t="n">
        <v>1</v>
      </c>
      <c r="I54" s="0" t="s">
        <v>755</v>
      </c>
    </row>
    <row r="55" customFormat="false" ht="15" hidden="false" customHeight="false" outlineLevel="0" collapsed="false">
      <c r="A55" s="0" t="s">
        <v>9325</v>
      </c>
      <c r="C55" s="3" t="s">
        <v>9224</v>
      </c>
      <c r="D55" s="0" t="s">
        <v>9327</v>
      </c>
      <c r="G55" s="0" t="s">
        <v>9328</v>
      </c>
      <c r="H55" s="0" t="n">
        <v>1</v>
      </c>
      <c r="I55" s="0" t="s">
        <v>1135</v>
      </c>
    </row>
    <row r="56" customFormat="false" ht="15" hidden="false" customHeight="false" outlineLevel="0" collapsed="false">
      <c r="A56" s="0" t="s">
        <v>9345</v>
      </c>
      <c r="C56" s="3" t="s">
        <v>9224</v>
      </c>
      <c r="H56" s="0" t="n">
        <v>1</v>
      </c>
      <c r="I56" s="0" t="s">
        <v>1164</v>
      </c>
    </row>
    <row r="57" customFormat="false" ht="15" hidden="false" customHeight="false" outlineLevel="0" collapsed="false">
      <c r="A57" s="0" t="s">
        <v>1344</v>
      </c>
      <c r="B57" s="3" t="s">
        <v>9371</v>
      </c>
      <c r="C57" s="3" t="s">
        <v>9231</v>
      </c>
      <c r="D57" s="0" t="s">
        <v>9373</v>
      </c>
      <c r="G57" s="0" t="s">
        <v>9374</v>
      </c>
      <c r="H57" s="0" t="n">
        <v>1</v>
      </c>
      <c r="I57" s="0" t="s">
        <v>1339</v>
      </c>
    </row>
    <row r="58" customFormat="false" ht="15" hidden="false" customHeight="false" outlineLevel="0" collapsed="false">
      <c r="A58" s="0" t="s">
        <v>9415</v>
      </c>
      <c r="B58" s="3" t="s">
        <v>9416</v>
      </c>
      <c r="C58" s="3" t="s">
        <v>9231</v>
      </c>
      <c r="E58" s="0" t="s">
        <v>9418</v>
      </c>
      <c r="F58" s="0" t="s">
        <v>9419</v>
      </c>
      <c r="G58" s="0" t="s">
        <v>9420</v>
      </c>
      <c r="H58" s="0" t="n">
        <v>1</v>
      </c>
      <c r="I58" s="0" t="s">
        <v>1564</v>
      </c>
    </row>
    <row r="59" customFormat="false" ht="15" hidden="false" customHeight="false" outlineLevel="0" collapsed="false">
      <c r="A59" s="0" t="s">
        <v>1815</v>
      </c>
      <c r="B59" s="3" t="s">
        <v>9434</v>
      </c>
      <c r="C59" s="3" t="s">
        <v>9231</v>
      </c>
      <c r="D59" s="0" t="s">
        <v>9436</v>
      </c>
      <c r="E59" s="0" t="s">
        <v>9437</v>
      </c>
      <c r="F59" s="0" t="s">
        <v>9438</v>
      </c>
      <c r="G59" s="0" t="s">
        <v>9439</v>
      </c>
      <c r="H59" s="0" t="n">
        <v>1</v>
      </c>
      <c r="I59" s="0" t="s">
        <v>1804</v>
      </c>
    </row>
    <row r="60" customFormat="false" ht="15" hidden="false" customHeight="false" outlineLevel="0" collapsed="false">
      <c r="A60" s="0" t="s">
        <v>3934</v>
      </c>
      <c r="B60" s="3" t="s">
        <v>9523</v>
      </c>
      <c r="C60" s="3" t="s">
        <v>9231</v>
      </c>
      <c r="D60" s="0" t="s">
        <v>9525</v>
      </c>
      <c r="E60" s="0" t="s">
        <v>9526</v>
      </c>
      <c r="G60" s="0" t="s">
        <v>9527</v>
      </c>
      <c r="H60" s="0" t="n">
        <v>1</v>
      </c>
      <c r="I60" s="0" t="s">
        <v>3924</v>
      </c>
    </row>
    <row r="61" customFormat="false" ht="15" hidden="false" customHeight="false" outlineLevel="0" collapsed="false">
      <c r="A61" s="0" t="s">
        <v>9538</v>
      </c>
      <c r="C61" s="3" t="s">
        <v>9231</v>
      </c>
      <c r="D61" s="0" t="s">
        <v>9540</v>
      </c>
      <c r="H61" s="0" t="n">
        <v>1</v>
      </c>
      <c r="I61" s="0" t="s">
        <v>3969</v>
      </c>
    </row>
    <row r="62" customFormat="false" ht="15" hidden="false" customHeight="false" outlineLevel="0" collapsed="false">
      <c r="A62" s="0" t="s">
        <v>9555</v>
      </c>
      <c r="C62" s="3" t="s">
        <v>9231</v>
      </c>
      <c r="D62" s="0" t="s">
        <v>9557</v>
      </c>
      <c r="E62" s="0" t="s">
        <v>9558</v>
      </c>
      <c r="G62" s="0" t="s">
        <v>9559</v>
      </c>
      <c r="H62" s="0" t="n">
        <v>1</v>
      </c>
      <c r="I62" s="0" t="s">
        <v>4000</v>
      </c>
    </row>
    <row r="63" customFormat="false" ht="15" hidden="false" customHeight="false" outlineLevel="0" collapsed="false">
      <c r="A63" s="0" t="s">
        <v>9561</v>
      </c>
      <c r="C63" s="3" t="s">
        <v>9231</v>
      </c>
      <c r="D63" s="0" t="s">
        <v>9563</v>
      </c>
      <c r="H63" s="0" t="n">
        <v>1</v>
      </c>
      <c r="I63" s="0" t="s">
        <v>4000</v>
      </c>
    </row>
    <row r="64" customFormat="false" ht="15" hidden="false" customHeight="false" outlineLevel="0" collapsed="false">
      <c r="A64" s="0" t="s">
        <v>9579</v>
      </c>
      <c r="C64" s="3" t="s">
        <v>9231</v>
      </c>
      <c r="D64" s="0" t="s">
        <v>9581</v>
      </c>
      <c r="H64" s="0" t="n">
        <v>1</v>
      </c>
      <c r="I64" s="0" t="s">
        <v>4270</v>
      </c>
    </row>
    <row r="65" customFormat="false" ht="15" hidden="false" customHeight="false" outlineLevel="0" collapsed="false">
      <c r="A65" s="0" t="s">
        <v>9716</v>
      </c>
      <c r="C65" s="3" t="s">
        <v>9231</v>
      </c>
      <c r="H65" s="0" t="n">
        <v>1</v>
      </c>
      <c r="I65" s="0" t="s">
        <v>6521</v>
      </c>
    </row>
    <row r="66" customFormat="false" ht="15" hidden="false" customHeight="false" outlineLevel="0" collapsed="false">
      <c r="A66" s="0" t="s">
        <v>9719</v>
      </c>
      <c r="C66" s="3" t="s">
        <v>9231</v>
      </c>
      <c r="D66" s="0" t="s">
        <v>9721</v>
      </c>
      <c r="H66" s="0" t="n">
        <v>1</v>
      </c>
      <c r="I66" s="0" t="s">
        <v>6521</v>
      </c>
    </row>
    <row r="67" customFormat="false" ht="15" hidden="false" customHeight="false" outlineLevel="0" collapsed="false">
      <c r="A67" s="0" t="s">
        <v>9742</v>
      </c>
      <c r="C67" s="3" t="s">
        <v>9231</v>
      </c>
      <c r="D67" s="0" t="s">
        <v>9744</v>
      </c>
      <c r="E67" s="0" t="s">
        <v>9745</v>
      </c>
      <c r="G67" s="0" t="s">
        <v>9746</v>
      </c>
      <c r="H67" s="0" t="n">
        <v>1</v>
      </c>
      <c r="I67" s="0" t="s">
        <v>7053</v>
      </c>
    </row>
    <row r="68" customFormat="false" ht="15" hidden="false" customHeight="false" outlineLevel="0" collapsed="false">
      <c r="A68" s="0" t="s">
        <v>1423</v>
      </c>
      <c r="B68" s="3" t="s">
        <v>9385</v>
      </c>
      <c r="C68" s="3" t="s">
        <v>9231</v>
      </c>
      <c r="D68" s="0" t="s">
        <v>9752</v>
      </c>
      <c r="E68" s="0" t="s">
        <v>9288</v>
      </c>
      <c r="F68" s="0" t="s">
        <v>9289</v>
      </c>
      <c r="G68" s="0" t="s">
        <v>9290</v>
      </c>
      <c r="H68" s="0" t="n">
        <v>1</v>
      </c>
      <c r="I68" s="0" t="s">
        <v>7053</v>
      </c>
    </row>
    <row r="69" customFormat="false" ht="15" hidden="false" customHeight="false" outlineLevel="0" collapsed="false">
      <c r="A69" s="0" t="s">
        <v>9754</v>
      </c>
      <c r="B69" s="0" t="s">
        <v>9755</v>
      </c>
      <c r="C69" s="3" t="s">
        <v>9231</v>
      </c>
      <c r="D69" s="0" t="s">
        <v>9757</v>
      </c>
      <c r="E69" s="0" t="s">
        <v>9758</v>
      </c>
      <c r="G69" s="0" t="s">
        <v>9759</v>
      </c>
      <c r="H69" s="0" t="n">
        <v>1</v>
      </c>
      <c r="I69" s="0" t="s">
        <v>7270</v>
      </c>
    </row>
    <row r="70" customFormat="false" ht="15" hidden="false" customHeight="false" outlineLevel="0" collapsed="false">
      <c r="A70" s="0" t="s">
        <v>9780</v>
      </c>
      <c r="C70" s="3" t="s">
        <v>9224</v>
      </c>
      <c r="D70" s="0" t="s">
        <v>7540</v>
      </c>
      <c r="E70" s="0" t="s">
        <v>9782</v>
      </c>
      <c r="G70" s="0" t="s">
        <v>9783</v>
      </c>
      <c r="H70" s="0" t="n">
        <v>1</v>
      </c>
      <c r="I70" s="0" t="s">
        <v>7525</v>
      </c>
    </row>
    <row r="71" customFormat="false" ht="15" hidden="false" customHeight="false" outlineLevel="0" collapsed="false">
      <c r="A71" s="0" t="s">
        <v>8691</v>
      </c>
      <c r="B71" s="3" t="s">
        <v>9795</v>
      </c>
      <c r="C71" s="3" t="s">
        <v>9224</v>
      </c>
      <c r="D71" s="0" t="s">
        <v>8694</v>
      </c>
      <c r="H71" s="0" t="n">
        <v>1</v>
      </c>
      <c r="I71" s="0" t="s">
        <v>8691</v>
      </c>
    </row>
  </sheetData>
  <autoFilter ref="A1:I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s>
  <sheetData>
    <row r="1" customFormat="false" ht="16.15" hidden="false" customHeight="false" outlineLevel="0" collapsed="false">
      <c r="A1" s="4" t="s">
        <v>15380</v>
      </c>
      <c r="B1" s="5" t="s">
        <v>15381</v>
      </c>
    </row>
    <row r="2" customFormat="false" ht="15" hidden="false" customHeight="false" outlineLevel="0" collapsed="false">
      <c r="A2" s="6" t="s">
        <v>15331</v>
      </c>
      <c r="B2" s="5" t="n">
        <f aca="false">COUNTA(Suppliers!B2:B1382)</f>
        <v>1381</v>
      </c>
    </row>
    <row r="3" customFormat="false" ht="15" hidden="false" customHeight="false" outlineLevel="0" collapsed="false">
      <c r="A3" s="6" t="s">
        <v>15382</v>
      </c>
      <c r="B3" s="5" t="n">
        <f aca="false">COUNTIF(Suppliers!D2:D1382,"?*")</f>
        <v>222</v>
      </c>
    </row>
    <row r="4" customFormat="false" ht="15" hidden="false" customHeight="false" outlineLevel="0" collapsed="false">
      <c r="A4" s="6" t="s">
        <v>15383</v>
      </c>
      <c r="B4" s="5" t="n">
        <f aca="false">COUNTIF(Suppliers!E2:E1382,"?*")</f>
        <v>996</v>
      </c>
    </row>
    <row r="5" customFormat="false" ht="15" hidden="false" customHeight="false" outlineLevel="0" collapsed="false">
      <c r="A5" s="6" t="s">
        <v>15384</v>
      </c>
      <c r="B5" s="5" t="n">
        <f aca="false">COUNTIF(Suppliers!F2:F1382,"?*")</f>
        <v>380</v>
      </c>
    </row>
    <row r="6" customFormat="false" ht="15" hidden="false" customHeight="false" outlineLevel="0" collapsed="false">
      <c r="A6" s="6" t="s">
        <v>15385</v>
      </c>
      <c r="B6" s="5" t="n">
        <f aca="false">COUNTIF(Suppliers!F2:F1382,"*new*")</f>
        <v>26</v>
      </c>
    </row>
    <row r="7" customFormat="false" ht="15" hidden="false" customHeight="false" outlineLevel="0" collapsed="false">
      <c r="A7" s="6" t="s">
        <v>15386</v>
      </c>
      <c r="B7" s="5" t="n">
        <f aca="false">COUNTIF(Suppliers!AF2:AF1382,"חברה-בת בישראל")</f>
        <v>14</v>
      </c>
    </row>
    <row r="8" customFormat="false" ht="15" hidden="false" customHeight="false" outlineLevel="0" collapsed="false">
      <c r="A8" s="6" t="s">
        <v>15387</v>
      </c>
      <c r="B8" s="5" t="n">
        <f aca="false">COUNTIF(Suppliers!AF2:AF1382,"מפיץ/נציג בישראל")</f>
        <v>203</v>
      </c>
    </row>
    <row r="9" customFormat="false" ht="15" hidden="false" customHeight="false" outlineLevel="0" collapsed="false">
      <c r="A9" s="6" t="s">
        <v>15388</v>
      </c>
      <c r="B9" s="5" t="n">
        <f aca="false">COUNTIF(Suppliers!AF2:AF1382,"דרך חברת-האם בישראל")</f>
        <v>2</v>
      </c>
    </row>
    <row r="10" customFormat="false" ht="15" hidden="false" customHeight="false" outlineLevel="0" collapsed="false">
      <c r="A10" s="6" t="s">
        <v>125</v>
      </c>
      <c r="B10" s="5" t="n">
        <f aca="false">COUNTIF(Suppliers!AF2:AF1382,"לא נמצא ערוץ ישראלי")</f>
        <v>6</v>
      </c>
    </row>
    <row r="11" customFormat="false" ht="15" hidden="false" customHeight="false" outlineLevel="0" collapsed="false">
      <c r="A11" s="6" t="s">
        <v>1210</v>
      </c>
      <c r="B11" s="5" t="n">
        <f aca="false">COUNTIF(Suppliers!AF2:AF1382,"לא ברור")</f>
        <v>3</v>
      </c>
    </row>
    <row r="12" customFormat="false" ht="15" hidden="false" customHeight="false" outlineLevel="0" collapsed="false">
      <c r="A12" s="6" t="s">
        <v>149</v>
      </c>
      <c r="B12" s="5" t="n">
        <f aca="false">COUNTIF(Suppliers!AF2:AF1382,"לא נמצא בחיפוש ראשוני")</f>
        <v>123</v>
      </c>
    </row>
    <row r="13" customFormat="false" ht="15" hidden="false" customHeight="false" outlineLevel="0" collapsed="false">
      <c r="A13" s="6" t="s">
        <v>48</v>
      </c>
      <c r="B13" s="5" t="n">
        <f aca="false">COUNTIF(Suppliers!AF2:AF1382,"לא נמצא בסריקת המפיצים")</f>
        <v>1030</v>
      </c>
    </row>
    <row r="14" customFormat="false" ht="15" hidden="false" customHeight="false" outlineLevel="0" collapsed="false">
      <c r="A14" s="6" t="s">
        <v>15389</v>
      </c>
      <c r="B14" s="5" t="n">
        <f aca="false">COUNTIF(Suppliers!AF2:AF1382,"טרם נבדק")</f>
        <v>0</v>
      </c>
    </row>
    <row r="15" customFormat="false" ht="15" hidden="false" customHeight="false" outlineLevel="0" collapsed="false">
      <c r="A15" s="6" t="s">
        <v>15390</v>
      </c>
      <c r="B15" s="5" t="n">
        <f aca="false">COUNTIF(Suppliers!H2:H1382,"http*")</f>
        <v>823</v>
      </c>
    </row>
    <row r="16" customFormat="false" ht="15" hidden="false" customHeight="false" outlineLevel="0" collapsed="false">
      <c r="A16" s="6" t="s">
        <v>15391</v>
      </c>
      <c r="B16" s="5" t="n">
        <f aca="false">COUNT(Suppliers!R2:R1382)</f>
        <v>91</v>
      </c>
    </row>
    <row r="17" customFormat="false" ht="15" hidden="false" customHeight="false" outlineLevel="0" collapsed="false">
      <c r="A17" s="6" t="s">
        <v>15392</v>
      </c>
      <c r="B17" s="5" t="n">
        <f aca="false">COUNT(Suppliers!V2:V1382)</f>
        <v>90</v>
      </c>
    </row>
    <row r="18" customFormat="false" ht="15" hidden="false" customHeight="false" outlineLevel="0" collapsed="false">
      <c r="A18" s="6" t="s">
        <v>15393</v>
      </c>
      <c r="B18" s="5" t="n">
        <f aca="false">COUNTIF(Suppliers!AD2:AD1382,"?*")</f>
        <v>873</v>
      </c>
    </row>
    <row r="19" customFormat="false" ht="15" hidden="false" customHeight="false" outlineLevel="0" collapsed="false">
      <c r="A19" s="6" t="s">
        <v>15394</v>
      </c>
      <c r="B19" s="5" t="n">
        <f aca="false">COUNTIF(Suppliers!AL2:AL1382,"?*")</f>
        <v>554</v>
      </c>
    </row>
    <row r="20" customFormat="false" ht="15" hidden="false" customHeight="false" outlineLevel="0" collapsed="false">
      <c r="A20" s="6" t="s">
        <v>15395</v>
      </c>
      <c r="B20" s="5" t="n">
        <f aca="false">MEDIAN(Suppliers!R2:R1382)</f>
        <v>2438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2026-10-18T06:30:04Z</dcterms:created>
  <dc:creator>openpyxl</dc:creator>
  <dc:description/>
  <dc:language>en-US</dc:language>
  <cp:lastModifiedBy/>
  <dcterms:modified xsi:type="dcterms:W3CDTF">2026-10-18T06:30:04Z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