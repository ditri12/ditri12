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חברה-בת בישראל</t>
        </is>
      </c>
      <c r="AE4" t="inlineStr">
        <is>
          <t>חיפוש חלקי</t>
        </is>
      </c>
      <c r="AF4" t="n">
        <v>2015</v>
      </c>
      <c r="AG4" t="inlineStr">
        <is>
          <t>3M Israel</t>
        </is>
      </c>
      <c r="AH4" t="inlineStr">
        <is>
          <t>3M Israel:</t>
        </is>
      </c>
      <c r="AI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J4" t="inlineStr"/>
      <c r="AL4" t="inlineStr">
        <is>
          <t>Maplewood</t>
        </is>
      </c>
      <c r="AO4" t="inlineStr">
        <is>
          <t>Q159433</t>
        </is>
      </c>
      <c r="AP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Y7" t="inlineStr">
        <is>
          <t>unknown</t>
        </is>
      </c>
      <c r="Z7" t="inlineStr"/>
      <c r="AA7" t="inlineStr"/>
      <c r="AB7" t="inlineStr"/>
      <c r="AC7" t="inlineStr"/>
      <c r="AD7" t="inlineStr">
        <is>
          <t>לא נמצא בחיפוש ראשוני</t>
        </is>
      </c>
      <c r="AE7" t="inlineStr">
        <is>
          <t>חיפוש חלקי</t>
        </is>
      </c>
      <c r="AG7" t="inlineStr"/>
      <c r="AH7" t="inlineStr"/>
      <c r="AI7" t="inlineStr">
        <is>
          <t>No result mentioned 4titude; only unrelated Israeli distributor pages (Corning optical, AVM, audio gear).</t>
        </is>
      </c>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בחיפוש ראשוני</t>
        </is>
      </c>
      <c r="AE14" t="inlineStr">
        <is>
          <t>חיפוש חלקי</t>
        </is>
      </c>
      <c r="AG14" t="inlineStr"/>
      <c r="AH14" t="inlineStr"/>
      <c r="AI14" t="inlineStr">
        <is>
          <t>No result mentions Aaron Chemicals; results were Aaron Industries (India) and Israeli specialty-chemical distributors (Lidorr/Azelis, Orokia, Y.S. Ashkenazi/Brenntag, Depotchem) with no link to this supplier.</t>
        </is>
      </c>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is>
          <t>408-733-1304</t>
        </is>
      </c>
      <c r="AM15" t="inlineStr">
        <is>
          <t>https://www.aatbio.com/careers.html</t>
        </is>
      </c>
      <c r="AN15" t="inlineStr">
        <is>
          <t>https://www.aatbio.com/careers.html</t>
        </is>
      </c>
      <c r="AP15" t="inlineStr">
        <is>
          <t>https://www.quartzy.com/suppliers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is>
          <t>+91-9437550560</t>
        </is>
      </c>
      <c r="AM18" t="inlineStr">
        <is>
          <t>https://abgenex.com/contact</t>
        </is>
      </c>
      <c r="AN18" t="inlineStr">
        <is>
          <t>https://abgenex.com/contact</t>
        </is>
      </c>
      <c r="AP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is>
          <t>1-800-222-6462</t>
        </is>
      </c>
      <c r="AM22" t="inlineStr">
        <is>
          <t>https://www.accobrands.com/contact-us/</t>
        </is>
      </c>
      <c r="AN22" t="inlineStr">
        <is>
          <t>https://www.accobrands.com/contact-us/</t>
        </is>
      </c>
      <c r="AP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is>
          <t>6616070250</t>
        </is>
      </c>
      <c r="AK23" t="inlineStr">
        <is>
          <t>sales@accuglassproducts.com</t>
        </is>
      </c>
      <c r="AM23" t="inlineStr">
        <is>
          <t>https://www.accuglassproducts.com/contact-us</t>
        </is>
      </c>
      <c r="AN23" t="inlineStr">
        <is>
          <t>https://www.accuglassproducts.com/contact-us</t>
        </is>
      </c>
      <c r="AP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is>
          <t>8884633522</t>
        </is>
      </c>
      <c r="AK24" t="inlineStr">
        <is>
          <t>service@accucold.com</t>
        </is>
      </c>
      <c r="AM24" t="inlineStr">
        <is>
          <t>https://www.accucold.com/contact</t>
        </is>
      </c>
      <c r="AN24" t="inlineStr">
        <is>
          <t>https://www.accucold.com/contact</t>
        </is>
      </c>
      <c r="AP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בחיפוש ראשוני</t>
        </is>
      </c>
      <c r="AE30" t="inlineStr">
        <is>
          <t>חיפוש חלקי</t>
        </is>
      </c>
      <c r="AG30" t="inlineStr"/>
      <c r="AH30" t="inlineStr"/>
      <c r="AI30" t="inlineStr">
        <is>
          <t>Results only describe Ace Glass Inc. (Vineland, NJ) and its US role as a Corning/PYREX regional distributor and reseller of Lauda/IKA/KNF; no Israel mention at all.</t>
        </is>
      </c>
      <c r="AJ30" t="inlineStr">
        <is>
          <t>5013720595</t>
        </is>
      </c>
      <c r="AM30" t="inlineStr">
        <is>
          <t>https://www.aceglass.net/contact/</t>
        </is>
      </c>
      <c r="AN30" t="inlineStr">
        <is>
          <t>https://www.aceglass.net/contact/</t>
        </is>
      </c>
      <c r="AP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is>
          <t>1-800-835-2263</t>
        </is>
      </c>
      <c r="AK31" t="inlineStr">
        <is>
          <t>customerservice@acmeunited.com</t>
        </is>
      </c>
      <c r="AM31" t="inlineStr">
        <is>
          <t>https://acmeunited.com/company/contact/</t>
        </is>
      </c>
      <c r="AN31" t="inlineStr">
        <is>
          <t>https://acmeunited.com/company/contact/</t>
        </is>
      </c>
      <c r="AP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N32" t="inlineStr">
        <is>
          <t>https://www.acrobiosystems.com/</t>
        </is>
      </c>
      <c r="AP32" t="inlineStr">
        <is>
          <t>https://www.quartzy.com/suppliers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Y33" t="inlineStr">
        <is>
          <t>unknown</t>
        </is>
      </c>
      <c r="Z33" t="inlineStr"/>
      <c r="AA33" t="inlineStr"/>
      <c r="AB33" t="inlineStr"/>
      <c r="AC33" t="inlineStr"/>
      <c r="AD33" t="inlineStr">
        <is>
          <t>לא נמצא בחיפוש ראשוני</t>
        </is>
      </c>
      <c r="AE33" t="inlineStr">
        <is>
          <t>חיפוש חלקי</t>
        </is>
      </c>
      <c r="AG33" t="inlineStr"/>
      <c r="AH33" t="inlineStr"/>
      <c r="AI33" t="inlineStr">
        <is>
          <t>No result mentioned Across International; only generic Israeli distributor/trade-guide pages.</t>
        </is>
      </c>
      <c r="AJ33" t="inlineStr">
        <is>
          <t>8889880899</t>
        </is>
      </c>
      <c r="AN33" t="inlineStr">
        <is>
          <t>https://www.acrossinternational.com/</t>
        </is>
      </c>
      <c r="AP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Y36" t="inlineStr">
        <is>
          <t>unknown</t>
        </is>
      </c>
      <c r="Z36" t="inlineStr"/>
      <c r="AA36" t="inlineStr"/>
      <c r="AB36" t="inlineStr"/>
      <c r="AC36" t="inlineStr"/>
      <c r="AD36" t="inlineStr">
        <is>
          <t>לא נמצא בחיפוש ראשוני</t>
        </is>
      </c>
      <c r="AE36" t="inlineStr">
        <is>
          <t>חיפוש חלקי</t>
        </is>
      </c>
      <c r="AG36" t="inlineStr"/>
      <c r="AH36" t="inlineStr"/>
      <c r="AI36" t="inlineStr">
        <is>
          <t>No result mentioned Action Health; only unrelated Israeli medical distributors (Medtechnica, Eldan, Promedico, Lapidot, Propharm).</t>
        </is>
      </c>
      <c r="AJ36" t="inlineStr">
        <is>
          <t>4032438114</t>
        </is>
      </c>
      <c r="AM36" t="inlineStr">
        <is>
          <t>https://www.actionhealth.ca/contact-us/</t>
        </is>
      </c>
      <c r="AN36" t="inlineStr">
        <is>
          <t>https://www.actionhealth.ca/contact-us/</t>
        </is>
      </c>
      <c r="AP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is>
          <t>877 222 9543</t>
        </is>
      </c>
      <c r="AM38" t="inlineStr">
        <is>
          <t>https://www.activemotif.com/contact-us</t>
        </is>
      </c>
      <c r="AN38" t="inlineStr">
        <is>
          <t>https://www.activemotif.com/contact-us</t>
        </is>
      </c>
      <c r="AP38" t="inlineStr">
        <is>
          <t>https://www.quartzy.com/suppliers | https://www.activemotif.com/contact-us</t>
        </is>
      </c>
    </row>
    <row r="39">
      <c r="A39" t="n">
        <v>38</v>
      </c>
      <c r="B39" t="inlineStr">
        <is>
          <t>Acute Care</t>
        </is>
      </c>
      <c r="C39" t="inlineStr">
        <is>
          <t>T</t>
        </is>
      </c>
      <c r="E39" t="inlineStr">
        <is>
          <t>https://www.thomassci.com/browse-by/suppliers/acute-care</t>
        </is>
      </c>
      <c r="F39" t="inlineStr"/>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Y41" t="inlineStr">
        <is>
          <t>unknown</t>
        </is>
      </c>
      <c r="Z41" t="inlineStr"/>
      <c r="AA41" t="inlineStr"/>
      <c r="AB41" t="inlineStr"/>
      <c r="AC41" t="inlineStr"/>
      <c r="AD41" t="inlineStr">
        <is>
          <t>לא נמצא בחיפוש ראשוני</t>
        </is>
      </c>
      <c r="AE41" t="inlineStr">
        <is>
          <t>חיפוש חלקי</t>
        </is>
      </c>
      <c r="AG41" t="inlineStr"/>
      <c r="AH41" t="inlineStr"/>
      <c r="AI41" t="inlineStr">
        <is>
          <t>Results were only product listings (RS Online, Agar Scientific) and company background claiming a worldwide distributor network; no Israeli distributor named.</t>
        </is>
      </c>
      <c r="AJ41" t="inlineStr">
        <is>
          <t>+1 (203) 790-4774</t>
        </is>
      </c>
      <c r="AK41" t="inlineStr">
        <is>
          <t>sales@adamequipment.com</t>
        </is>
      </c>
      <c r="AM41" t="inlineStr">
        <is>
          <t>https://adamequipment.com/contact/</t>
        </is>
      </c>
      <c r="AN41" t="inlineStr">
        <is>
          <t>https://adamequipment.com/contact/</t>
        </is>
      </c>
      <c r="AP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is>
          <t>18333175620</t>
        </is>
      </c>
      <c r="AM44" t="inlineStr">
        <is>
          <t>https://advancedchemtech.com/contact/</t>
        </is>
      </c>
      <c r="AN44" t="inlineStr">
        <is>
          <t>https://advancedchemtech.com/contact/</t>
        </is>
      </c>
      <c r="AP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Y47" t="inlineStr">
        <is>
          <t>unknown</t>
        </is>
      </c>
      <c r="Z47" t="inlineStr"/>
      <c r="AA47" t="inlineStr"/>
      <c r="AB47" t="inlineStr"/>
      <c r="AC47" t="inlineStr"/>
      <c r="AD47" t="inlineStr">
        <is>
          <t>לא נמצא בחיפוש ראשוני</t>
        </is>
      </c>
      <c r="AE47" t="inlineStr">
        <is>
          <t>חיפוש חלקי</t>
        </is>
      </c>
      <c r="AG47" t="inlineStr"/>
      <c r="AH47" t="inlineStr"/>
      <c r="AI47" t="inlineStr">
        <is>
          <t>No result mentions Advansta; the only similar-name hit was ADVANSYS Technologies for Life (Israeli distributor of Genovis, 2010), an unrelated company.</t>
        </is>
      </c>
      <c r="AJ47" t="inlineStr">
        <is>
          <t>1-855-238-2678</t>
        </is>
      </c>
      <c r="AM47" t="inlineStr">
        <is>
          <t>https://advansta.com/contact-sales-support/</t>
        </is>
      </c>
      <c r="AN47" t="inlineStr">
        <is>
          <t>https://advansta.com/contact-sales-support/</t>
        </is>
      </c>
      <c r="AP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is>
          <t>+3256531133</t>
        </is>
      </c>
      <c r="AK48" t="inlineStr">
        <is>
          <t>info@mls.be</t>
        </is>
      </c>
      <c r="AM48" t="inlineStr">
        <is>
          <t>https://www.mls.be/en/contact</t>
        </is>
      </c>
      <c r="AN48" t="inlineStr">
        <is>
          <t>https://www.mls.be/en/contact</t>
        </is>
      </c>
      <c r="AP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is>
          <t>925-479-0625</t>
        </is>
      </c>
      <c r="AK49" t="inlineStr">
        <is>
          <t>customerservice@advantecmfs.com</t>
        </is>
      </c>
      <c r="AM49" t="inlineStr">
        <is>
          <t>https://www.advantecmfs.com/contact-us</t>
        </is>
      </c>
      <c r="AN49" t="inlineStr">
        <is>
          <t>https://www.advantecmfs.com/contact-us</t>
        </is>
      </c>
      <c r="AP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is>
          <t>1-888-576-9668</t>
        </is>
      </c>
      <c r="AM50" t="inlineStr">
        <is>
          <t>https://www.advantech.com/en-us/contact/service-request-form</t>
        </is>
      </c>
      <c r="AN50" t="inlineStr">
        <is>
          <t>https://www.advantech.com/en-us/contact/service-request-form</t>
        </is>
      </c>
      <c r="AP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is>
          <t>1-888-808-0309</t>
        </is>
      </c>
      <c r="AK51" t="inlineStr">
        <is>
          <t>contact@affinisep.com</t>
        </is>
      </c>
      <c r="AM51" t="inlineStr">
        <is>
          <t>https://www.affinisep.com/support-services/contact-us/</t>
        </is>
      </c>
      <c r="AN51" t="inlineStr">
        <is>
          <t>https://www.affinisep.com/support-services/contact-us/</t>
        </is>
      </c>
      <c r="AP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M58" t="inlineStr">
        <is>
          <t>https://www.ahlstrom.com/Media/Media-contacts/</t>
        </is>
      </c>
      <c r="AN58" t="inlineStr">
        <is>
          <t>https://www.ahlstrom.com/Media/Media-contacts/</t>
        </is>
      </c>
      <c r="AP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בחיפוש ראשוני</t>
        </is>
      </c>
      <c r="AE62" t="inlineStr">
        <is>
          <t>חיפוש חלקי</t>
        </is>
      </c>
      <c r="AG62" t="inlineStr"/>
      <c r="AH62" t="inlineStr"/>
      <c r="AI62" t="inlineStr">
        <is>
          <t>Results only describe Air-Tite Products (Virginia; exclusive North American distributor for Henke Sass Wolf, TSK, Poulten &amp; Graf) and US resellers (VWR, Thomas Scientific, Fisher); no Israel mention.</t>
        </is>
      </c>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is>
          <t>919-255-3220</t>
        </is>
      </c>
      <c r="AK63" t="inlineStr">
        <is>
          <t>sales@aircleansystems.com</t>
        </is>
      </c>
      <c r="AM63" t="inlineStr">
        <is>
          <t>https://aircleansystems.com/contact</t>
        </is>
      </c>
      <c r="AN63" t="inlineStr">
        <is>
          <t>https://aircleansystems.com/contact</t>
        </is>
      </c>
      <c r="AP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בחיפוש ראשוני</t>
        </is>
      </c>
      <c r="AE66" t="inlineStr">
        <is>
          <t>חיפוש חלקי</t>
        </is>
      </c>
      <c r="AG66" t="inlineStr"/>
      <c r="AH66" t="inlineStr"/>
      <c r="AI66" t="inlineStr">
        <is>
          <t>AK Scientific's own distributors page (aksci.com/distributors.php) lists networks in Asia, Europe, Oceania and South America; Israel is not listed. Agentek/Enco surfaced but without any AK Scientific link.</t>
        </is>
      </c>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is>
          <t>+18002532467</t>
        </is>
      </c>
      <c r="AK67" t="inlineStr">
        <is>
          <t>inquiry@akro-mils.com</t>
        </is>
      </c>
      <c r="AM67" t="inlineStr">
        <is>
          <t>https://akro-mils.com/contact/</t>
        </is>
      </c>
      <c r="AN67" t="inlineStr">
        <is>
          <t>https://akro-mils.com/contact/</t>
        </is>
      </c>
      <c r="AP67" t="inlineStr">
        <is>
          <t>https://www.thomassci.com/browse-by/suppliers/akro-mils | https://akro-mils.com/contact/</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בחיפוש ראשוני</t>
        </is>
      </c>
      <c r="AE68" t="inlineStr">
        <is>
          <t>חיפוש חלקי</t>
        </is>
      </c>
      <c r="AG68" t="inlineStr"/>
      <c r="AH68" t="inlineStr"/>
      <c r="AI68" t="inlineStr">
        <is>
          <t>Aladdin's contact page names only US (Riverside CA) and German (Bueren) hubs and has a distributor-recruitment form; Israel not mentioned; Eldan/Agentek appeared with no link.</t>
        </is>
      </c>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Y69" t="inlineStr">
        <is>
          <t>unknown</t>
        </is>
      </c>
      <c r="Z69" t="inlineStr"/>
      <c r="AA69" t="inlineStr"/>
      <c r="AB69" t="inlineStr"/>
      <c r="AC69" t="inlineStr"/>
      <c r="AD69" t="inlineStr">
        <is>
          <t>לא נמצא בחיפוש ראשוני</t>
        </is>
      </c>
      <c r="AE69" t="inlineStr">
        <is>
          <t>חיפוש חלקי</t>
        </is>
      </c>
      <c r="AG69" t="inlineStr"/>
      <c r="AH69" t="inlineStr"/>
      <c r="AI69" t="inlineStr">
        <is>
          <t>Alconox says its detergents are sold through distributors in 40-50+ countries (and it joined TCP Analytical in 2025), but no Israeli distributor is named in any result.</t>
        </is>
      </c>
      <c r="AJ69" t="inlineStr">
        <is>
          <t>9149484040</t>
        </is>
      </c>
      <c r="AM69" t="inlineStr">
        <is>
          <t>https://alconox.com/contact-us/</t>
        </is>
      </c>
      <c r="AN69" t="inlineStr">
        <is>
          <t>https://alconox.com/contact-us/</t>
        </is>
      </c>
      <c r="AP69" t="inlineStr">
        <is>
          <t>https://www.quartzy.com/suppliers | https://www.thomassci.com/browse-by/suppliers/alconox | https://alconox.com/contact-us/</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M71" t="inlineStr">
        <is>
          <t>https://www.abbott.com/en-us/about-abbott/contact</t>
        </is>
      </c>
      <c r="AN71" t="inlineStr">
        <is>
          <t>https://www.abbott.com/en-us/about-abbott/contact</t>
        </is>
      </c>
      <c r="AP71" t="inlineStr">
        <is>
          <t>https://www.thomassci.com/browse-by/suppliers/alere | https://www.abbott.com/en-us/about-abbott/contact</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is>
          <t>1-888-927-5629</t>
        </is>
      </c>
      <c r="AK74" t="inlineStr">
        <is>
          <t>sales@alkalisci.com</t>
        </is>
      </c>
      <c r="AM74" t="inlineStr">
        <is>
          <t>https://alkalisci.com/contact-us/</t>
        </is>
      </c>
      <c r="AN74" t="inlineStr">
        <is>
          <t>https://alkalisci.com/contact-us/</t>
        </is>
      </c>
      <c r="AP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is>
          <t>4405723645</t>
        </is>
      </c>
      <c r="AK75" t="inlineStr">
        <is>
          <t>info@allfoils.com</t>
        </is>
      </c>
      <c r="AM75" t="inlineStr">
        <is>
          <t>https://allfoils.com/contact/</t>
        </is>
      </c>
      <c r="AN75" t="inlineStr">
        <is>
          <t>https://allfoils.com/contact/</t>
        </is>
      </c>
      <c r="AP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N76" t="inlineStr">
        <is>
          <t>https://allafrance.com/</t>
        </is>
      </c>
      <c r="AP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is>
          <t>8006223530</t>
        </is>
      </c>
      <c r="AK77" t="inlineStr">
        <is>
          <t>contact@billitonglory.mn</t>
        </is>
      </c>
      <c r="AM77" t="inlineStr">
        <is>
          <t>https://www.allegrosafety.com/contact/</t>
        </is>
      </c>
      <c r="AN77" t="inlineStr">
        <is>
          <t>https://www.allegrosafety.com/contact/</t>
        </is>
      </c>
      <c r="AP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is>
          <t>(718) 625-6610</t>
        </is>
      </c>
      <c r="AK79" t="inlineStr">
        <is>
          <t>info@alliedkr.com</t>
        </is>
      </c>
      <c r="AM79" t="inlineStr">
        <is>
          <t>https://alliedkr.com/about/contact-us/</t>
        </is>
      </c>
      <c r="AN79" t="inlineStr">
        <is>
          <t>https://alliedkr.com/about/contact-us/</t>
        </is>
      </c>
      <c r="AP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is>
          <t>1-800-791-3904</t>
        </is>
      </c>
      <c r="AK81" t="inlineStr">
        <is>
          <t>inquiries@alomone.com</t>
        </is>
      </c>
      <c r="AM81" t="inlineStr">
        <is>
          <t>https://www.alomone.com/contact-us</t>
        </is>
      </c>
      <c r="AN81" t="inlineStr">
        <is>
          <t>https://www.alomone.com/contact-us</t>
        </is>
      </c>
      <c r="AP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is>
          <t>+1 (978) 878-9489</t>
        </is>
      </c>
      <c r="AK82" t="inlineStr">
        <is>
          <t>info@alpaqua.com</t>
        </is>
      </c>
      <c r="AM82" t="inlineStr">
        <is>
          <t>https://www.alpaqua.com/contact/</t>
        </is>
      </c>
      <c r="AN82" t="inlineStr">
        <is>
          <t>https://www.alpaqua.com/contact/</t>
        </is>
      </c>
      <c r="AP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is>
          <t>+44 2380 487209</t>
        </is>
      </c>
      <c r="AM83" t="inlineStr">
        <is>
          <t>https://www.alphalabs.co.uk/international-contact</t>
        </is>
      </c>
      <c r="AN83" t="inlineStr">
        <is>
          <t>https://www.alphalabs.co.uk/international-contact</t>
        </is>
      </c>
      <c r="AP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is>
          <t>+441223344900</t>
        </is>
      </c>
      <c r="AK87" t="inlineStr">
        <is>
          <t>info@altemislab.com</t>
        </is>
      </c>
      <c r="AM87" t="inlineStr">
        <is>
          <t>https://www.altemislab.com/contact-us/</t>
        </is>
      </c>
      <c r="AN87" t="inlineStr">
        <is>
          <t>https://www.altemislab.com/contact-us/</t>
        </is>
      </c>
      <c r="AP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M88" t="inlineStr">
        <is>
          <t>https://alxtechnical.com/#contact</t>
        </is>
      </c>
      <c r="AN88" t="inlineStr">
        <is>
          <t>https://alxtechnical.com/#contact</t>
        </is>
      </c>
      <c r="AP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is>
          <t>630-580-1088</t>
        </is>
      </c>
      <c r="AK89" t="inlineStr">
        <is>
          <t>sales@ambeed.com</t>
        </is>
      </c>
      <c r="AM89" t="inlineStr">
        <is>
          <t>https://www.ambeed.com/contact-us.html</t>
        </is>
      </c>
      <c r="AN89" t="inlineStr">
        <is>
          <t>https://www.ambeed.com/contact-us.html</t>
        </is>
      </c>
      <c r="AP89" t="inlineStr">
        <is>
          <t>https://www.quartzy.com/suppliers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is>
          <t>734.884.4770</t>
        </is>
      </c>
      <c r="AM94" t="inlineStr">
        <is>
          <t>https://american-sp.com/contact-us/</t>
        </is>
      </c>
      <c r="AN94" t="inlineStr">
        <is>
          <t>https://american-sp.com/contact-us/</t>
        </is>
      </c>
      <c r="AP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N95" t="inlineStr">
        <is>
          <t>https://www.ammex.com/</t>
        </is>
      </c>
      <c r="AP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is>
          <t>+4401235828200</t>
        </is>
      </c>
      <c r="AM97" t="inlineStr">
        <is>
          <t>https://www.amsbio.com/contact-us/</t>
        </is>
      </c>
      <c r="AN97" t="inlineStr">
        <is>
          <t>https://www.amsbio.com/contact-us/</t>
        </is>
      </c>
      <c r="AP97" t="inlineStr">
        <is>
          <t>https://www.quartzy.com/suppliers | https://www.amsbio.com/contact-us/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K99" t="inlineStr">
        <is>
          <t>info@analytichem.com</t>
        </is>
      </c>
      <c r="AL99" t="inlineStr">
        <is>
          <t>Villebon-sur-Yvette</t>
        </is>
      </c>
      <c r="AM99" t="inlineStr">
        <is>
          <t>https://www.analytichem.com/contact-us</t>
        </is>
      </c>
      <c r="AN99" t="inlineStr">
        <is>
          <t>https://www.analytichem.com/contact-us</t>
        </is>
      </c>
      <c r="AO99" t="inlineStr">
        <is>
          <t>Q134630749</t>
        </is>
      </c>
      <c r="AP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is>
          <t>+18004525530</t>
        </is>
      </c>
      <c r="AK101" t="inlineStr">
        <is>
          <t>service@anaspec.com</t>
        </is>
      </c>
      <c r="AM101" t="inlineStr">
        <is>
          <t>https://www.anaspec.com/en/contact</t>
        </is>
      </c>
      <c r="AN101" t="inlineStr">
        <is>
          <t>https://www.anaspec.com/en/contact</t>
        </is>
      </c>
      <c r="AP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K102" t="inlineStr">
        <is>
          <t>customerservice@anatrace.com</t>
        </is>
      </c>
      <c r="AN102" t="inlineStr">
        <is>
          <t>https://anatrace.com/en</t>
        </is>
      </c>
      <c r="AP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Y106" t="inlineStr">
        <is>
          <t>unknown</t>
        </is>
      </c>
      <c r="Z106" t="inlineStr"/>
      <c r="AA106" t="inlineStr"/>
      <c r="AB106" t="inlineStr"/>
      <c r="AC106" t="inlineStr"/>
      <c r="AD106" t="inlineStr">
        <is>
          <t>לא נמצא בחיפוש ראשוני</t>
        </is>
      </c>
      <c r="AE106" t="inlineStr">
        <is>
          <t>חיפוש חלקי</t>
        </is>
      </c>
      <c r="AG106" t="inlineStr"/>
      <c r="AH106" t="inlineStr"/>
      <c r="AI106" t="inlineStr">
        <is>
          <t>Ansell cites 100+ countries and an authorized-distributor network; only a UK distributor appeared; no Israel mention.</t>
        </is>
      </c>
      <c r="AJ106" t="inlineStr">
        <is>
          <t>800-800-0444</t>
        </is>
      </c>
      <c r="AM106" t="inlineStr">
        <is>
          <t>https://www.ansell.com/us/en/contact-us</t>
        </is>
      </c>
      <c r="AN106" t="inlineStr">
        <is>
          <t>https://www.ansell.com/us/en/contact-us</t>
        </is>
      </c>
      <c r="AP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בחיפוש ראשוני</t>
        </is>
      </c>
      <c r="AE107" t="inlineStr">
        <is>
          <t>חיפוש חלקי</t>
        </is>
      </c>
      <c r="AG107" t="inlineStr"/>
      <c r="AH107" t="inlineStr"/>
      <c r="AI107" t="inlineStr">
        <is>
          <t>antibodiesinc.com has a 'Global Distribution Partners' page but the snippet showed no Israel entry. A 'Zotal (Tel Aviv)' Israel listing surfaced, but it is on antibodies.com (a different UK company), so it is not attributable to Antibodies Inc.</t>
        </is>
      </c>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is>
          <t>92-0384576</t>
        </is>
      </c>
      <c r="AK108" t="inlineStr">
        <is>
          <t>info@antibodies.com</t>
        </is>
      </c>
      <c r="AM108" t="inlineStr">
        <is>
          <t>https://www.antibodies.com/support/contact-us</t>
        </is>
      </c>
      <c r="AN108" t="inlineStr">
        <is>
          <t>https://www.antibodies.com/support/contact-us</t>
        </is>
      </c>
      <c r="AP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בחיפוש ראשוני</t>
        </is>
      </c>
      <c r="AE110" t="inlineStr">
        <is>
          <t>חיפוש חלקי</t>
        </is>
      </c>
      <c r="AG110" t="inlineStr"/>
      <c r="AH110" t="inlineStr"/>
      <c r="AI110" t="inlineStr">
        <is>
          <t>Only AOBChem USA company profiles (Knowde, scientist.com); Israeli chemical distributors Orokia and BSC Distributors appeared with no link to AOBChem.</t>
        </is>
      </c>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is>
          <t>161 864 5419</t>
        </is>
      </c>
      <c r="AM113" t="inlineStr">
        <is>
          <t>https://apiezon.com/contact-us/</t>
        </is>
      </c>
      <c r="AN113" t="inlineStr">
        <is>
          <t>https://apiezon.com/contact-us/</t>
        </is>
      </c>
      <c r="AP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is>
          <t>161 938 8179</t>
        </is>
      </c>
      <c r="AK114" t="inlineStr">
        <is>
          <t>info@apisassay.com</t>
        </is>
      </c>
      <c r="AM114" t="inlineStr">
        <is>
          <t>https://www.apisassay.com/contact</t>
        </is>
      </c>
      <c r="AN114" t="inlineStr">
        <is>
          <t>https://www.apisassay.com/contact</t>
        </is>
      </c>
      <c r="AP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is>
          <t>610-770-0900</t>
        </is>
      </c>
      <c r="AM116" t="inlineStr">
        <is>
          <t>https://appliedseparations.com/contact/</t>
        </is>
      </c>
      <c r="AN116" t="inlineStr">
        <is>
          <t>https://appliedseparations.com/contact/</t>
        </is>
      </c>
      <c r="AP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is>
          <t>717-632-1291</t>
        </is>
      </c>
      <c r="AK118" t="inlineStr">
        <is>
          <t>info@aquaphoenixsci.com</t>
        </is>
      </c>
      <c r="AM118" t="inlineStr">
        <is>
          <t>https://www.aquaphoenixsci.com/contact-us/</t>
        </is>
      </c>
      <c r="AN118" t="inlineStr">
        <is>
          <t>https://www.aquaphoenixsci.com/contact-us/</t>
        </is>
      </c>
      <c r="AP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is>
          <t>+1 (734) 677-1774</t>
        </is>
      </c>
      <c r="AK120" t="inlineStr">
        <is>
          <t>info@arborassays.com</t>
        </is>
      </c>
      <c r="AM120" t="inlineStr">
        <is>
          <t>https://www.arborassays.com/contact-us/</t>
        </is>
      </c>
      <c r="AN120" t="inlineStr">
        <is>
          <t>https://www.arborassays.com/contact-us/</t>
        </is>
      </c>
      <c r="AP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is>
          <t>+4352613976</t>
        </is>
      </c>
      <c r="AK121" t="inlineStr">
        <is>
          <t>info@arcuspure.com</t>
        </is>
      </c>
      <c r="AM121" t="inlineStr">
        <is>
          <t>https://arcuspure.com/contact-us/</t>
        </is>
      </c>
      <c r="AN121" t="inlineStr">
        <is>
          <t>https://arcuspure.com/contact-us/</t>
        </is>
      </c>
      <c r="AP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is>
          <t>(866) 649-6505</t>
        </is>
      </c>
      <c r="AM127" t="inlineStr">
        <is>
          <t>https://www.arrowmixingproducts.com/contact-us/</t>
        </is>
      </c>
      <c r="AN127" t="inlineStr">
        <is>
          <t>https://www.arrowmixingproducts.com/contact-us/</t>
        </is>
      </c>
      <c r="AP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is>
          <t>9138948388</t>
        </is>
      </c>
      <c r="AK128" t="inlineStr">
        <is>
          <t>sales@arrowheadforensics.com</t>
        </is>
      </c>
      <c r="AM128" t="inlineStr">
        <is>
          <t>https://arrowheadforensics.com/contact-us/</t>
        </is>
      </c>
      <c r="AN128" t="inlineStr">
        <is>
          <t>https://arrowheadforensics.com/contact-us/</t>
        </is>
      </c>
      <c r="AP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Y129" t="inlineStr">
        <is>
          <t>unknown</t>
        </is>
      </c>
      <c r="Z129" t="inlineStr"/>
      <c r="AA129" t="inlineStr"/>
      <c r="AB129" t="inlineStr"/>
      <c r="AC129" t="inlineStr"/>
      <c r="AD129" t="inlineStr">
        <is>
          <t>לא נמצא בחיפוש ראשוני</t>
        </is>
      </c>
      <c r="AE129" t="inlineStr">
        <is>
          <t>חיפוש חלקי</t>
        </is>
      </c>
      <c r="AG129" t="inlineStr"/>
      <c r="AH129" t="inlineStr"/>
      <c r="AI129" t="inlineStr">
        <is>
          <t>No result mentions Arvensis at all; hits are generic Israeli distributor pages (Rhenium, Enco, Agentek, Ornat/LI-COR, S.L. Moran) unrelated to Arvensis.</t>
        </is>
      </c>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is>
          <t>+41 61 560 87 00</t>
        </is>
      </c>
      <c r="AM130" t="inlineStr">
        <is>
          <t>https://www.ascensia.com/contact-us/</t>
        </is>
      </c>
      <c r="AN130" t="inlineStr">
        <is>
          <t>https://www.ascensia.com/contact-us/</t>
        </is>
      </c>
      <c r="AP130" t="inlineStr">
        <is>
          <t>https://www.thomassci.com/browse-by/suppliers/ascensia-diabetes-care | https://www.ascensia.com/contact-us/</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is>
          <t>+49605192200</t>
        </is>
      </c>
      <c r="AK132" t="inlineStr">
        <is>
          <t>info@asecos.com</t>
        </is>
      </c>
      <c r="AM132" t="inlineStr">
        <is>
          <t>https://www.asecos.com/Kontakt/DE_index_1460.html</t>
        </is>
      </c>
      <c r="AN132" t="inlineStr">
        <is>
          <t>https://www.asecos.com/Kontakt/DE_index_1460.html</t>
        </is>
      </c>
      <c r="AP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ברור</t>
        </is>
      </c>
      <c r="AE134" t="inlineStr">
        <is>
          <t>חיפוש חלקי</t>
        </is>
      </c>
      <c r="AG134" t="inlineStr"/>
      <c r="AH134" t="inlineStr"/>
      <c r="AI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clearbit_verified</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is>
          <t>(636) 447-9175</t>
        </is>
      </c>
      <c r="AK135" t="inlineStr">
        <is>
          <t>support@assaypro.com</t>
        </is>
      </c>
      <c r="AM135" t="inlineStr">
        <is>
          <t>https://assaypro.com/contact/</t>
        </is>
      </c>
      <c r="AN135" t="inlineStr">
        <is>
          <t>https://assaypro.com/contact/</t>
        </is>
      </c>
      <c r="AP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is>
          <t>18009266100</t>
        </is>
      </c>
      <c r="AM136" t="inlineStr">
        <is>
          <t>https://associatedbag.com/contact-us/</t>
        </is>
      </c>
      <c r="AN136" t="inlineStr">
        <is>
          <t>https://associatedbag.com/contact-us/</t>
        </is>
      </c>
      <c r="AP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Y140" t="inlineStr">
        <is>
          <t>unknown</t>
        </is>
      </c>
      <c r="Z140" t="inlineStr"/>
      <c r="AA140" t="inlineStr"/>
      <c r="AB140" t="inlineStr"/>
      <c r="AC140" t="inlineStr"/>
      <c r="AD140" t="inlineStr">
        <is>
          <t>לא נמצא בחיפוש ראשוני</t>
        </is>
      </c>
      <c r="AE140" t="inlineStr">
        <is>
          <t>חיפוש חלקי</t>
        </is>
      </c>
      <c r="AG140" t="inlineStr"/>
      <c r="AH140" t="inlineStr"/>
      <c r="AI140" t="inlineStr">
        <is>
          <t>No Israeli distributor in results; only ATAGO U.S.A. (subsidiary, Bellevue WA), Avantor/VWR listings and Indian resellers.</t>
        </is>
      </c>
      <c r="AJ140" t="inlineStr"/>
      <c r="AN140" t="inlineStr">
        <is>
          <t>https://atago.net/</t>
        </is>
      </c>
      <c r="AP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ברור</t>
        </is>
      </c>
      <c r="AE143" t="inlineStr">
        <is>
          <t>חיפוש חלקי</t>
        </is>
      </c>
      <c r="AG143" t="inlineStr"/>
      <c r="AH143" t="inlineStr"/>
      <c r="AI143" t="inlineStr">
        <is>
          <t>No Israeli distributor named; a GlobalData company profile says Atlas markets its products in Israel (among other countries) but no channel is identified. Only older context: 2008 Sigma-Aldrich ex-Europe distribution deal; Bio-Connect for Benelux.</t>
        </is>
      </c>
      <c r="AJ143" t="inlineStr">
        <is>
          <t>6000 0000 0004</t>
        </is>
      </c>
      <c r="AK143" t="inlineStr">
        <is>
          <t>support@atlasantibodies.com</t>
        </is>
      </c>
      <c r="AM143" t="inlineStr">
        <is>
          <t>https://www.atlasantibodies.com/company/contact-us/</t>
        </is>
      </c>
      <c r="AN143" t="inlineStr">
        <is>
          <t>https://www.atlasantibodies.com/company/contact-us/</t>
        </is>
      </c>
      <c r="AP143" t="inlineStr">
        <is>
          <t>https://www.quartzy.com/suppliers | https://info.quartzy.com/new-suppliers | https://www.thomassci.com/browse-by/suppliers/atlas-antibodies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is>
          <t>+1 205 663 2494</t>
        </is>
      </c>
      <c r="AM145" t="inlineStr">
        <is>
          <t>https://www.avantiresearch.com/en-gb/contact-us</t>
        </is>
      </c>
      <c r="AN145" t="inlineStr">
        <is>
          <t>https://www.avantiresearch.com/en-gb/contact-us</t>
        </is>
      </c>
      <c r="AP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Y148" t="inlineStr">
        <is>
          <t>unknown</t>
        </is>
      </c>
      <c r="Z148" t="inlineStr"/>
      <c r="AA148" t="inlineStr"/>
      <c r="AB148" t="inlineStr"/>
      <c r="AC148" t="inlineStr"/>
      <c r="AD148" t="inlineStr">
        <is>
          <t>לא נמצא בחיפוש ראשוני</t>
        </is>
      </c>
      <c r="AE148" t="inlineStr">
        <is>
          <t>חיפוש חלקי</t>
        </is>
      </c>
      <c r="AG148" t="inlineStr"/>
      <c r="AH148" t="inlineStr"/>
      <c r="AI148" t="inlineStr">
        <is>
          <t>Only company profiles (UK/US sites, acquired by ATS 2023); no Israel mention.</t>
        </is>
      </c>
      <c r="AJ148" t="inlineStr">
        <is>
          <t>(800) 558-5913</t>
        </is>
      </c>
      <c r="AM148" t="inlineStr">
        <is>
          <t>https://www.avidityscience.com/contact-avidity-science-us</t>
        </is>
      </c>
      <c r="AN148" t="inlineStr">
        <is>
          <t>https://www.avidityscience.com/contact-avidity-science-us</t>
        </is>
      </c>
      <c r="AP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is>
          <t>858-552-6979</t>
        </is>
      </c>
      <c r="AK149" t="inlineStr">
        <is>
          <t>info@avivasysbio.com</t>
        </is>
      </c>
      <c r="AM149" t="inlineStr">
        <is>
          <t>https://www.avivasysbio.com/contact</t>
        </is>
      </c>
      <c r="AN149" t="inlineStr">
        <is>
          <t>https://www.avivasysbio.com/contact</t>
        </is>
      </c>
      <c r="AP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Y154" t="inlineStr">
        <is>
          <t>unknown</t>
        </is>
      </c>
      <c r="Z154" t="inlineStr"/>
      <c r="AA154" t="inlineStr"/>
      <c r="AB154" t="inlineStr"/>
      <c r="AC154" t="inlineStr"/>
      <c r="AD154" t="inlineStr">
        <is>
          <t>לא נמצא בחיפוש ראשוני</t>
        </is>
      </c>
      <c r="AE154" t="inlineStr">
        <is>
          <t>חיפוש חלקי</t>
        </is>
      </c>
      <c r="AG154" t="inlineStr"/>
      <c r="AH154" t="inlineStr"/>
      <c r="AI154" t="inlineStr">
        <is>
          <t>No result mentions Azura Genomics; hits concern other genomics vendors' Israeli distributors (Eisenberg Bros for Fluidigm, Eldan for Vizgen/Medicinal Genomics, Syntezza for IDT/BGI).</t>
        </is>
      </c>
      <c r="AJ154" t="inlineStr">
        <is>
          <t>888-333-3895</t>
        </is>
      </c>
      <c r="AK154" t="inlineStr">
        <is>
          <t>info@azuragenomics.com</t>
        </is>
      </c>
      <c r="AM154" t="inlineStr">
        <is>
          <t>https://azuragenomics.com/pages/contact</t>
        </is>
      </c>
      <c r="AN154" t="inlineStr">
        <is>
          <t>https://azuragenomics.com/pages/contact</t>
        </is>
      </c>
      <c r="AP154" t="inlineStr">
        <is>
          <t>https://www.quartzy.com/suppliers | https://www.thomassci.com/browse-by/suppliers/azura-genomics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is>
          <t>+ (925) 307-7127</t>
        </is>
      </c>
      <c r="AK155" t="inlineStr">
        <is>
          <t>info@azurebiosystems.com</t>
        </is>
      </c>
      <c r="AM155" t="inlineStr">
        <is>
          <t>https://azurebiosystems.com/about/contact-us/</t>
        </is>
      </c>
      <c r="AN155" t="inlineStr">
        <is>
          <t>https://azurebiosystems.com/about/contact-us/</t>
        </is>
      </c>
      <c r="AP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is>
          <t>+49763561210</t>
        </is>
      </c>
      <c r="AK156" t="inlineStr">
        <is>
          <t>info@buerkle.de</t>
        </is>
      </c>
      <c r="AM156" t="inlineStr">
        <is>
          <t>https://www.buerkle.de/de/kontakt</t>
        </is>
      </c>
      <c r="AN156" t="inlineStr">
        <is>
          <t>https://www.buerkle.de/de/kontakt</t>
        </is>
      </c>
      <c r="AP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is>
          <t>+41 58 595 2021</t>
        </is>
      </c>
      <c r="AM158" t="inlineStr">
        <is>
          <t>https://www.bachem.com/contact/</t>
        </is>
      </c>
      <c r="AN158" t="inlineStr">
        <is>
          <t>https://www.bachem.com/contact/</t>
        </is>
      </c>
      <c r="AP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is>
          <t>18773346876</t>
        </is>
      </c>
      <c r="AK159" t="inlineStr">
        <is>
          <t>info@bactrack.com</t>
        </is>
      </c>
      <c r="AM159" t="inlineStr">
        <is>
          <t>https://www.bactrack.com/pages/contact-us</t>
        </is>
      </c>
      <c r="AN159" t="inlineStr">
        <is>
          <t>https://www.bactrack.com/pages/contact-us</t>
        </is>
      </c>
      <c r="AP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בחיפוש ראשוני</t>
        </is>
      </c>
      <c r="AE160" t="inlineStr">
        <is>
          <t>חיפוש חלקי</t>
        </is>
      </c>
      <c r="AG160" t="inlineStr"/>
      <c r="AH160" t="inlineStr"/>
      <c r="AI160" t="inlineStr">
        <is>
          <t>No result mentions Bal Supply at all; hits are generic Israeli distributor listings (Rhenium, Tamar Laboratory Supplies, Agentek, Enco, Ornat, Lumitron).</t>
        </is>
      </c>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is>
          <t>1-800-677-8278</t>
        </is>
      </c>
      <c r="AM162" t="inlineStr">
        <is>
          <t>https://www.batteriesplus.com/contact-us</t>
        </is>
      </c>
      <c r="AN162" t="inlineStr">
        <is>
          <t>https://www.batteriesplus.com/contact-us</t>
        </is>
      </c>
      <c r="AP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is>
          <t>1-800-553-5340</t>
        </is>
      </c>
      <c r="AM163" t="inlineStr">
        <is>
          <t>https://www.bausch.com/about-bausch-lomb/contact-us/</t>
        </is>
      </c>
      <c r="AN163" t="inlineStr">
        <is>
          <t>https://www.bausch.com/about-bausch-lomb/contact-us/</t>
        </is>
      </c>
      <c r="AP163" t="inlineStr">
        <is>
          <t>https://www.thomassci.com/browse-by/suppliers/bausch-and-lomb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is>
          <t>+44 114 225 9000</t>
        </is>
      </c>
      <c r="AM164" t="inlineStr">
        <is>
          <t>https://www.bbraun.co.uk/en/about-us/contact.html</t>
        </is>
      </c>
      <c r="AN164" t="inlineStr">
        <is>
          <t>https://www.bbraun.co.uk/en/about-us/contact.html</t>
        </is>
      </c>
      <c r="AP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M169" t="inlineStr">
        <is>
          <t>https://www.beckmancoulter.com/en/support/contact-us</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בחיפוש ראשוני</t>
        </is>
      </c>
      <c r="AE170" t="inlineStr">
        <is>
          <t>חיפוש חלקי</t>
        </is>
      </c>
      <c r="AG170" t="inlineStr"/>
      <c r="AH170" t="inlineStr"/>
      <c r="AI170" t="inlineStr">
        <is>
          <t>Only BEING Scientific (US arm of BEING Technology, Ontario CA) profiles and US resellers (San Diego Scale, Labfilterz); nothing for Israel.</t>
        </is>
      </c>
      <c r="AJ170" t="inlineStr">
        <is>
          <t>+1 (800) 278-1390</t>
        </is>
      </c>
      <c r="AM170" t="inlineStr">
        <is>
          <t>https://beinglab-usa.com/contact-us</t>
        </is>
      </c>
      <c r="AN170" t="inlineStr">
        <is>
          <t>https://beinglab-usa.com/contact-us</t>
        </is>
      </c>
      <c r="AP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Y174" t="inlineStr">
        <is>
          <t>unknown</t>
        </is>
      </c>
      <c r="Z174" t="inlineStr"/>
      <c r="AA174" t="inlineStr"/>
      <c r="AB174" t="inlineStr"/>
      <c r="AC174" t="inlineStr"/>
      <c r="AD174" t="inlineStr">
        <is>
          <t>לא ברור</t>
        </is>
      </c>
      <c r="AE174" t="inlineStr">
        <is>
          <t>חיפוש חלקי</t>
        </is>
      </c>
      <c r="AG174" t="inlineStr"/>
      <c r="AH174" t="inlineStr"/>
      <c r="AI174" t="inlineStr">
        <is>
          <t>Bellco's company profile (pharmaceutical-tech.com/suppliers/bellco-glass-inc) lists Israel among the countries in its worldwide distributor network, but no result names the Israeli distributor.</t>
        </is>
      </c>
      <c r="AJ174" t="inlineStr">
        <is>
          <t>1-856-691-1075</t>
        </is>
      </c>
      <c r="AM174" t="inlineStr">
        <is>
          <t>https://bellcoglass.com/contact-us/</t>
        </is>
      </c>
      <c r="AN174" t="inlineStr">
        <is>
          <t>https://bellcoglass.com/contact-us/</t>
        </is>
      </c>
      <c r="AP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is>
          <t>+49 881 183-0</t>
        </is>
      </c>
      <c r="AM175" t="inlineStr">
        <is>
          <t>https://www.xylemanalytics.com/en/contact/general-contact</t>
        </is>
      </c>
      <c r="AN175" t="inlineStr">
        <is>
          <t>https://www.xylemanalytics.com/en/contact/general-contact</t>
        </is>
      </c>
      <c r="AP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Y179" t="inlineStr">
        <is>
          <t>unknown</t>
        </is>
      </c>
      <c r="Z179" t="inlineStr"/>
      <c r="AA179" t="inlineStr"/>
      <c r="AB179" t="inlineStr"/>
      <c r="AC179" t="inlineStr"/>
      <c r="AD179" t="inlineStr">
        <is>
          <t>לא נמצא בחיפוש ראשוני</t>
        </is>
      </c>
      <c r="AE179" t="inlineStr">
        <is>
          <t>חיפוש חלקי</t>
        </is>
      </c>
      <c r="AG179" t="inlineStr"/>
      <c r="AH179" t="inlineStr"/>
      <c r="AI179" t="inlineStr">
        <is>
          <t>BenchPro (US industrial/lab workbench maker) results are US-only (Bench Depot as US distributor, EIS); Israeli distributor pages (Rhenium, Agentek, Enco, S.L. Moran) do not mention BenchPro.</t>
        </is>
      </c>
      <c r="AJ179" t="inlineStr">
        <is>
          <t>619-478-5478</t>
        </is>
      </c>
      <c r="AK179" t="inlineStr">
        <is>
          <t>info@benchpro.com</t>
        </is>
      </c>
      <c r="AM179" t="inlineStr">
        <is>
          <t>https://benchpro.com/contact-us-2/</t>
        </is>
      </c>
      <c r="AN179" t="inlineStr">
        <is>
          <t>https://benchpro.com/contact-us-2/</t>
        </is>
      </c>
      <c r="AP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is>
          <t>800-363-9822</t>
        </is>
      </c>
      <c r="AM182" t="inlineStr">
        <is>
          <t>https://www.berlinpackaging.com/contact-us/</t>
        </is>
      </c>
      <c r="AN182" t="inlineStr">
        <is>
          <t>https://www.berlinpackaging.com/contact-us/</t>
        </is>
      </c>
      <c r="AO182" t="inlineStr">
        <is>
          <t>Q4892453</t>
        </is>
      </c>
      <c r="AP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בחיפוש ראשוני</t>
        </is>
      </c>
      <c r="AE183" t="inlineStr">
        <is>
          <t>חיפוש חלקי</t>
        </is>
      </c>
      <c r="AG183" t="inlineStr"/>
      <c r="AH183" t="inlineStr"/>
      <c r="AI183" t="inlineStr">
        <is>
          <t>Bertin Technologies cites a network of ~50 distributors worldwide, but results name none for Israel (only VWR, ThomasSci, Szabo-Scandic product pages).</t>
        </is>
      </c>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is>
          <t>18882253267</t>
        </is>
      </c>
      <c r="AK184" t="inlineStr">
        <is>
          <t>sales@bestsanitizers.com</t>
        </is>
      </c>
      <c r="AM184" t="inlineStr">
        <is>
          <t>https://www.bestsanitizers.com/contact/</t>
        </is>
      </c>
      <c r="AN184" t="inlineStr">
        <is>
          <t>https://www.bestsanitizers.com/contact/</t>
        </is>
      </c>
      <c r="AP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is>
          <t>0013123850240</t>
        </is>
      </c>
      <c r="AK189" t="inlineStr">
        <is>
          <t>info@bimos.de</t>
        </is>
      </c>
      <c r="AM189" t="inlineStr">
        <is>
          <t>https://www.bimos.com/us-en/bimos-contact</t>
        </is>
      </c>
      <c r="AN189" t="inlineStr">
        <is>
          <t>https://www.bimos.com/us-en/bimos-contact</t>
        </is>
      </c>
      <c r="AP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מפיץ/נציג בישראל</t>
        </is>
      </c>
      <c r="AE191" t="inlineStr">
        <is>
          <t>חיפוש חלקי</t>
        </is>
      </c>
      <c r="AF191" t="n">
        <v>2026</v>
      </c>
      <c r="AG191" t="inlineStr">
        <is>
          <t>Syntezza Bioscience Ltd</t>
        </is>
      </c>
      <c r="AH191" t="inlineStr">
        <is>
          <t>Syntezza Bioscience Ltd:</t>
        </is>
      </c>
      <c r="AI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J191" t="inlineStr"/>
      <c r="AP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Y192" t="inlineStr">
        <is>
          <t>unknown</t>
        </is>
      </c>
      <c r="Z192" t="inlineStr"/>
      <c r="AA192" t="inlineStr"/>
      <c r="AB192" t="inlineStr"/>
      <c r="AC192" t="inlineStr"/>
      <c r="AD192" t="inlineStr">
        <is>
          <t>לא נמצא בחיפוש ראשוני</t>
        </is>
      </c>
      <c r="AE192" t="inlineStr">
        <is>
          <t>חיפוש חלקי</t>
        </is>
      </c>
      <c r="AG192" t="inlineStr"/>
      <c r="AH192" t="inlineStr"/>
      <c r="AI192" t="inlineStr">
        <is>
          <t>Bio Plas Inc. (California) sells exclusively through a B2B distributor network; results name only US resellers (MAP Medical). The Israeli 'Bio-Lab Ltd' (Jerusalem) hit is an unrelated name match.</t>
        </is>
      </c>
      <c r="AJ192" t="inlineStr">
        <is>
          <t>(415) 472-3777</t>
        </is>
      </c>
      <c r="AK192" t="inlineStr">
        <is>
          <t>info@bioplas.com</t>
        </is>
      </c>
      <c r="AM192" t="inlineStr">
        <is>
          <t>https://www.bioplas.com/location</t>
        </is>
      </c>
      <c r="AN192" t="inlineStr">
        <is>
          <t>https://www.bioplas.com/location</t>
        </is>
      </c>
      <c r="AP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is>
          <t>+15107829988</t>
        </is>
      </c>
      <c r="AM195" t="inlineStr">
        <is>
          <t>https://bioassaysys.com/contact-us/</t>
        </is>
      </c>
      <c r="AN195" t="inlineStr">
        <is>
          <t>https://bioassaysys.com/contact-us/</t>
        </is>
      </c>
      <c r="AP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is>
          <t>8007999499</t>
        </is>
      </c>
      <c r="AK196" t="inlineStr">
        <is>
          <t>info@biocare.net</t>
        </is>
      </c>
      <c r="AM196" t="inlineStr">
        <is>
          <t>https://biocare.net/contact/</t>
        </is>
      </c>
      <c r="AN196" t="inlineStr">
        <is>
          <t>https://biocare.net/contact/</t>
        </is>
      </c>
      <c r="AP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Y197" t="inlineStr">
        <is>
          <t>unknown</t>
        </is>
      </c>
      <c r="Z197" t="inlineStr"/>
      <c r="AA197" t="inlineStr"/>
      <c r="AB197" t="inlineStr"/>
      <c r="AC197" t="inlineStr"/>
      <c r="AD197" t="inlineStr">
        <is>
          <t>לא נמצא בחיפוש ראשוני</t>
        </is>
      </c>
      <c r="AE197" t="inlineStr">
        <is>
          <t>חיפוש חלקי</t>
        </is>
      </c>
      <c r="AG197" t="inlineStr"/>
      <c r="AH197" t="inlineStr"/>
      <c r="AI197" t="inlineStr">
        <is>
          <t>Harvard Bioscience (owner of Biochrom) has a 'Where to Buy' distributor directory (harvardbioscience.com/contact-us/where-to-buy) but no Israel entry was visible in the results; no Israeli distributor named.</t>
        </is>
      </c>
      <c r="AJ197" t="inlineStr"/>
      <c r="AM197" t="inlineStr">
        <is>
          <t>https://www.harvardbioscience.com/contact-us/brands</t>
        </is>
      </c>
      <c r="AN197" t="inlineStr">
        <is>
          <t>https://www.harvardbioscience.com/contact-us/brands</t>
        </is>
      </c>
      <c r="AP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is>
          <t>38134-5611</t>
        </is>
      </c>
      <c r="AK203" t="inlineStr">
        <is>
          <t>info@meridianlifescience.comtechnical</t>
        </is>
      </c>
      <c r="AM203" t="inlineStr">
        <is>
          <t>https://www.bioline.com/contact-tech-support/</t>
        </is>
      </c>
      <c r="AN203" t="inlineStr">
        <is>
          <t>https://www.bioline.com/contact-tech-support/</t>
        </is>
      </c>
      <c r="AP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Y204" t="inlineStr">
        <is>
          <t>unknown</t>
        </is>
      </c>
      <c r="Z204" t="inlineStr"/>
      <c r="AA204" t="inlineStr"/>
      <c r="AB204" t="inlineStr"/>
      <c r="AC204" t="inlineStr"/>
      <c r="AD204" t="inlineStr">
        <is>
          <t>לא נמצא בחיפוש ראשוני</t>
        </is>
      </c>
      <c r="AE204" t="inlineStr">
        <is>
          <t>חיפוש חלקי</t>
        </is>
      </c>
      <c r="AG204" t="inlineStr"/>
      <c r="AH204" t="inlineStr"/>
      <c r="AI204" t="inlineStr">
        <is>
          <t>Results only show Biologix (Jinan, China; BIOLOGIX/CryoKING brands, heavy private-label OEM) catalogs and profiles plus unrelated Israeli distributor pages (Rhenium, Agentek, Medix Biochemica's Petach Tikva partner); nothing links any Israeli company to Biologix.</t>
        </is>
      </c>
      <c r="AJ204" t="inlineStr"/>
      <c r="AK204" t="inlineStr">
        <is>
          <t>inquiry@biologixgroup.com</t>
        </is>
      </c>
      <c r="AN204" t="inlineStr">
        <is>
          <t>https://www.biologixgroup.com/</t>
        </is>
      </c>
      <c r="AP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is>
          <t>(519) 489-7195</t>
        </is>
      </c>
      <c r="AM205" t="inlineStr">
        <is>
          <t>https://biomatik.com/pages/contact</t>
        </is>
      </c>
      <c r="AN205" t="inlineStr">
        <is>
          <t>https://biomatik.com/pages/contact</t>
        </is>
      </c>
      <c r="AP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בחיפוש ראשוני</t>
        </is>
      </c>
      <c r="AE206" t="inlineStr">
        <is>
          <t>חיפוש חלקי</t>
        </is>
      </c>
      <c r="AG206" t="inlineStr"/>
      <c r="AH206" t="inlineStr"/>
      <c r="AI206" t="inlineStr">
        <is>
          <t>Only the company's SelectScience profile (Gardner, MA) and unrelated Israeli distributors (Enco, Agentek, Tivan for OZ Biosciences, Ornat); no connection found.</t>
        </is>
      </c>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בחיפוש ראשוני</t>
        </is>
      </c>
      <c r="AE207" t="inlineStr">
        <is>
          <t>חיפוש חלקי</t>
        </is>
      </c>
      <c r="AG207" t="inlineStr"/>
      <c r="AH207" t="inlineStr"/>
      <c r="AI207" t="inlineStr">
        <is>
          <t>No result mentioned Biomiga at all; only unrelated Israeli distributors (Enco, Agentek, Biotron, Syntezza) surfaced.</t>
        </is>
      </c>
      <c r="AJ207" t="inlineStr">
        <is>
          <t>18666681698</t>
        </is>
      </c>
      <c r="AK207" t="inlineStr">
        <is>
          <t>info@biomiga.com</t>
        </is>
      </c>
      <c r="AM207" t="inlineStr">
        <is>
          <t>https://biomiga.com/contact/</t>
        </is>
      </c>
      <c r="AN207" t="inlineStr">
        <is>
          <t>https://biomiga.com/contact/</t>
        </is>
      </c>
      <c r="AP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is>
          <t>609-807-3070</t>
        </is>
      </c>
      <c r="AM210" t="inlineStr">
        <is>
          <t>https://bioplastmfg.com/contact/</t>
        </is>
      </c>
      <c r="AN210" t="inlineStr">
        <is>
          <t>https://bioplastmfg.com/contact/</t>
        </is>
      </c>
      <c r="AP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M211" t="inlineStr">
        <is>
          <t>https://bioplastics.com/contactus.aspx</t>
        </is>
      </c>
      <c r="AN211" t="inlineStr">
        <is>
          <t>https://bioplastics.com/contactus.aspx</t>
        </is>
      </c>
      <c r="AP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is>
          <t>+1-724-282-7145</t>
        </is>
      </c>
      <c r="AK212" t="inlineStr">
        <is>
          <t>info@bioptechs.com</t>
        </is>
      </c>
      <c r="AM212" t="inlineStr">
        <is>
          <t>https://bioptechs.com/contact-us/</t>
        </is>
      </c>
      <c r="AN212" t="inlineStr">
        <is>
          <t>https://bioptechs.com/contact-us/</t>
        </is>
      </c>
      <c r="AP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is>
          <t>+1 (415) 906-5211</t>
        </is>
      </c>
      <c r="AK213" t="inlineStr">
        <is>
          <t>info@biorbyt.com</t>
        </is>
      </c>
      <c r="AM213" t="inlineStr">
        <is>
          <t>https://www.biorbyt.com/contact-us</t>
        </is>
      </c>
      <c r="AN213" t="inlineStr">
        <is>
          <t>https://www.biorbyt.com/contact-us</t>
        </is>
      </c>
      <c r="AP213" t="inlineStr">
        <is>
          <t>https://www.quartzy.com/suppliers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is>
          <t>8779589030</t>
        </is>
      </c>
      <c r="AK214" t="inlineStr">
        <is>
          <t>info@bioscienceinternational.com</t>
        </is>
      </c>
      <c r="AM214" t="inlineStr">
        <is>
          <t>https://www.bioscienceinternational.com/contact-us/</t>
        </is>
      </c>
      <c r="AN214" t="inlineStr">
        <is>
          <t>https://www.bioscienceinternational.com/contact-us/</t>
        </is>
      </c>
      <c r="AP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K216" t="inlineStr">
        <is>
          <t>info@biosolve-chimie.com</t>
        </is>
      </c>
      <c r="AM216" t="inlineStr">
        <is>
          <t>http://www.biosolve-chemicals.eu/EN/contact.php</t>
        </is>
      </c>
      <c r="AN216" t="inlineStr">
        <is>
          <t>http://www.biosolve-chemicals.eu/EN/contact.php</t>
        </is>
      </c>
      <c r="AP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בחיפוש ראשוני</t>
        </is>
      </c>
      <c r="AE217" t="inlineStr">
        <is>
          <t>חיפוש חלקי</t>
        </is>
      </c>
      <c r="AG217" t="inlineStr"/>
      <c r="AH217" t="inlineStr"/>
      <c r="AI217" t="inlineStr">
        <is>
          <t>BioSpec Products' distributor page (biospec.com/distributors) lists partners by country but the visible part stopped at China; Israeli distributors Enco, Rhenium, Syntezza appeared without any link to BioSpec. Target site biospec.de may be a different company.</t>
        </is>
      </c>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is>
          <t>+493055578210</t>
        </is>
      </c>
      <c r="AK219" t="inlineStr">
        <is>
          <t>info@biotechrabbit.com</t>
        </is>
      </c>
      <c r="AM219" t="inlineStr">
        <is>
          <t>https://www.biotechrabbit.com/contact-us.html</t>
        </is>
      </c>
      <c r="AN219" t="inlineStr">
        <is>
          <t>https://www.biotechrabbit.com/contact-us.html</t>
        </is>
      </c>
      <c r="AP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מפיץ/נציג בישראל</t>
        </is>
      </c>
      <c r="AE220" t="inlineStr">
        <is>
          <t>חיפוש חלקי</t>
        </is>
      </c>
      <c r="AF220" t="n">
        <v>2026</v>
      </c>
      <c r="AG220" t="inlineStr">
        <is>
          <t>Doron Scientific; Enco Scientific Services Ltd. (Enco Diagnostics); New Biotechnology Ltd; Origolab Ltd</t>
        </is>
      </c>
      <c r="AH220" t="inlineStr">
        <is>
          <t>Doron Scientific: +972-54-554-4004; Enco Scientific Services Ltd. (Enco Diagnostics):; New Biotechnology Ltd: +972-2-673-2001 nbtsales@nbtltd.com; Origolab Ltd: +972-2-566-9285 origolab@netmedia.net.il</t>
        </is>
      </c>
      <c r="AI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J220" t="inlineStr"/>
      <c r="AP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is>
          <t>858.875.7696</t>
        </is>
      </c>
      <c r="AM221" t="inlineStr">
        <is>
          <t>https://biotix.com/contact/</t>
        </is>
      </c>
      <c r="AN221" t="inlineStr">
        <is>
          <t>https://biotix.com/contact/</t>
        </is>
      </c>
      <c r="AP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Y223" t="inlineStr">
        <is>
          <t>unknown</t>
        </is>
      </c>
      <c r="Z223" t="inlineStr"/>
      <c r="AA223" t="inlineStr"/>
      <c r="AB223" t="inlineStr"/>
      <c r="AC223" t="inlineStr"/>
      <c r="AD223" t="inlineStr">
        <is>
          <t>לא נמצא בחיפוש ראשוני</t>
        </is>
      </c>
      <c r="AE223" t="inlineStr">
        <is>
          <t>חיפוש חלקי</t>
        </is>
      </c>
      <c r="AG223" t="inlineStr"/>
      <c r="AH223" t="inlineStr"/>
      <c r="AI223" t="inlineStr">
        <is>
          <t>bioWORLD (Dublin, OH) claims distribution partners in 45 countries but none named for Israel; results polluted by the BioWorld news publication; Enco appeared with no link.</t>
        </is>
      </c>
      <c r="AJ223" t="inlineStr"/>
      <c r="AN223" t="inlineStr">
        <is>
          <t>https://www.bioworld.com/</t>
        </is>
      </c>
      <c r="AP223" t="inlineStr">
        <is>
          <t>https://www.quartzy.com/suppliers | https://www.thomassci.com/browse-by/suppliers/bioworld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K224" t="inlineStr">
        <is>
          <t>orders@birchbiotech.com</t>
        </is>
      </c>
      <c r="AM224" t="inlineStr">
        <is>
          <t>https://www.birchbiotech.com/pages/contact</t>
        </is>
      </c>
      <c r="AN224" t="inlineStr">
        <is>
          <t>https://www.birchbiotech.com/pages/contact</t>
        </is>
      </c>
      <c r="AP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is>
          <t>9085684885</t>
        </is>
      </c>
      <c r="AM228" t="inlineStr">
        <is>
          <t>https://blueoceanlifesciences.com/contact</t>
        </is>
      </c>
      <c r="AN228" t="inlineStr">
        <is>
          <t>https://blueoceanlifesciences.com/contact</t>
        </is>
      </c>
      <c r="AP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בחיפוש ראשוני</t>
        </is>
      </c>
      <c r="AE229" t="inlineStr">
        <is>
          <t>חיפוש חלקי</t>
        </is>
      </c>
      <c r="AG229" t="inlineStr"/>
      <c r="AH229" t="inlineStr"/>
      <c r="AI229" t="inlineStr">
        <is>
          <t>No result mentions Blue-Ray Biotech; hits are generic Israeli distributor profiles (Enco, Agentek, Eldan, Rhenium, Ornat) and unrelated press releases.</t>
        </is>
      </c>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בחיפוש ראשוני</t>
        </is>
      </c>
      <c r="AE231" t="inlineStr">
        <is>
          <t>חיפוש חלקי</t>
        </is>
      </c>
      <c r="AG231" t="inlineStr"/>
      <c r="AH231" t="inlineStr"/>
      <c r="AI231" t="inlineStr">
        <is>
          <t>Boekel Scientific cites a worldwide distribution network, but the results did not include its distributor list or any Israeli partner (Agentek surfaced without a Boekel link).</t>
        </is>
      </c>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is>
          <t>1800224552</t>
        </is>
      </c>
      <c r="AK235" t="inlineStr">
        <is>
          <t>marketing@newsletterborosil.com</t>
        </is>
      </c>
      <c r="AM235" t="inlineStr">
        <is>
          <t>https://myborosil.com/pages/contact-us</t>
        </is>
      </c>
      <c r="AN235" t="inlineStr">
        <is>
          <t>https://myborosil.com/pages/contact-us</t>
        </is>
      </c>
      <c r="AP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is>
          <t>888-466-3604</t>
        </is>
      </c>
      <c r="AK237" t="inlineStr">
        <is>
          <t>sales@bosterbio.com</t>
        </is>
      </c>
      <c r="AM237" t="inlineStr">
        <is>
          <t>https://www.bosterbio.com/contact-us</t>
        </is>
      </c>
      <c r="AN237" t="inlineStr">
        <is>
          <t>https://www.bosterbio.com/contact-us</t>
        </is>
      </c>
      <c r="AP237" t="inlineStr">
        <is>
          <t>https://www.quartzy.com/suppliers | https://www.bosterbio.com/contact-us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Y239" t="inlineStr">
        <is>
          <t>unknown</t>
        </is>
      </c>
      <c r="Z239" t="inlineStr"/>
      <c r="AA239" t="inlineStr"/>
      <c r="AB239" t="inlineStr"/>
      <c r="AC239" t="inlineStr"/>
      <c r="AD239" t="inlineStr">
        <is>
          <t>לא נמצא בחיפוש ראשוני</t>
        </is>
      </c>
      <c r="AE239" t="inlineStr">
        <is>
          <t>חיפוש חלקי</t>
        </is>
      </c>
      <c r="AG239" t="inlineStr"/>
      <c r="AH239" t="inlineStr"/>
      <c r="AI239" t="inlineStr">
        <is>
          <t>Only Israel hit was Boston Scientific / Amos Gazit (2014), a different company; Boston BioProducts profiles mention no Israeli partner.</t>
        </is>
      </c>
      <c r="AJ239" t="inlineStr">
        <is>
          <t>(508) 231-4777</t>
        </is>
      </c>
      <c r="AM239" t="inlineStr">
        <is>
          <t>https://www.bostonbioproducts.com/contact-us</t>
        </is>
      </c>
      <c r="AN239" t="inlineStr">
        <is>
          <t>https://www.bostonbioproducts.com/contact-us</t>
        </is>
      </c>
      <c r="AP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is>
          <t>623-582-6700</t>
        </is>
      </c>
      <c r="AM240" t="inlineStr">
        <is>
          <t>https://www.botron.com/contact-us/</t>
        </is>
      </c>
      <c r="AN240" t="inlineStr">
        <is>
          <t>https://www.botron.com/contact-us/</t>
        </is>
      </c>
      <c r="AP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is>
          <t>(724) 413-0076</t>
        </is>
      </c>
      <c r="AK244" t="inlineStr">
        <is>
          <t>info@boxscientific.com</t>
        </is>
      </c>
      <c r="AM244" t="inlineStr">
        <is>
          <t>https://boxscientific.com/contact/</t>
        </is>
      </c>
      <c r="AN244" t="inlineStr">
        <is>
          <t>https://boxscientific.com/contact/</t>
        </is>
      </c>
      <c r="AP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Y245" t="inlineStr">
        <is>
          <t>unknown</t>
        </is>
      </c>
      <c r="Z245" t="inlineStr"/>
      <c r="AA245" t="inlineStr"/>
      <c r="AB245" t="inlineStr"/>
      <c r="AC245" t="inlineStr"/>
      <c r="AD245" t="inlineStr">
        <is>
          <t>לא נמצא בחיפוש ראשוני</t>
        </is>
      </c>
      <c r="AE245" t="inlineStr">
        <is>
          <t>חיפוש חלקי</t>
        </is>
      </c>
      <c r="AG245" t="inlineStr"/>
      <c r="AH245" t="inlineStr"/>
      <c r="AI245" t="inlineStr">
        <is>
          <t>Only US parts-distributor listings and a 2016 Brady laboratory-identification catalog with regional contacts (visible portion excluded Israel).</t>
        </is>
      </c>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is>
          <t>18884120122</t>
        </is>
      </c>
      <c r="AM253" t="inlineStr">
        <is>
          <t>https://www.briskheat.com/pages/contact</t>
        </is>
      </c>
      <c r="AN253" t="inlineStr">
        <is>
          <t>https://www.briskheat.com/pages/contact</t>
        </is>
      </c>
      <c r="AP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is>
          <t>858-677-6760</t>
        </is>
      </c>
      <c r="AK254" t="inlineStr">
        <is>
          <t>sales@broadpharm.com</t>
        </is>
      </c>
      <c r="AM254" t="inlineStr">
        <is>
          <t>https://broadpharm.com/contact</t>
        </is>
      </c>
      <c r="AN254" t="inlineStr">
        <is>
          <t>https://broadpharm.com/contact</t>
        </is>
      </c>
      <c r="AP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M258" t="inlineStr">
        <is>
          <t>https://www.buchi.com/en/support/contact</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is>
          <t>18592346616</t>
        </is>
      </c>
      <c r="AM260" t="inlineStr">
        <is>
          <t>https://www.bullard.com/contact-us/</t>
        </is>
      </c>
      <c r="AN260" t="inlineStr">
        <is>
          <t>https://www.bullard.com/contact-us/</t>
        </is>
      </c>
      <c r="AP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בחיפוש ראשוני</t>
        </is>
      </c>
      <c r="AE263" t="inlineStr">
        <is>
          <t>חיפוש חלקי</t>
        </is>
      </c>
      <c r="AG263" t="inlineStr"/>
      <c r="AH263" t="inlineStr"/>
      <c r="AI263" t="inlineStr">
        <is>
          <t>Only Buerkle GmbH's own site (country-selector distributor page) and trade-fair/company profiles; no Israeli partner shown in the results.</t>
        </is>
      </c>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בחיפוש ראשוני</t>
        </is>
      </c>
      <c r="AE268" t="inlineStr">
        <is>
          <t>חיפוש חלקי</t>
        </is>
      </c>
      <c r="AG268" t="inlineStr"/>
      <c r="AH268" t="inlineStr"/>
      <c r="AI268" t="inlineStr">
        <is>
          <t>Only a Fisher Scientific brand page for Cadence Science Inc. (animal feeding needles); all Israel hits concern Cadence Design Systems (EDA software, Haifa) - unrelated.</t>
        </is>
      </c>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is>
          <t>1-800-567-3556</t>
        </is>
      </c>
      <c r="AM269" t="inlineStr">
        <is>
          <t>https://www.caframo.com/contact-us/</t>
        </is>
      </c>
      <c r="AN269" t="inlineStr">
        <is>
          <t>https://www.caframo.com/contact-us/</t>
        </is>
      </c>
      <c r="AP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is>
          <t>800-676-6232</t>
        </is>
      </c>
      <c r="AM274" t="inlineStr">
        <is>
          <t>https://cannoninstrument.com/contact</t>
        </is>
      </c>
      <c r="AN274" t="inlineStr">
        <is>
          <t>https://cannoninstrument.com/contact</t>
        </is>
      </c>
      <c r="AP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is>
          <t>18882275847</t>
        </is>
      </c>
      <c r="AK275" t="inlineStr">
        <is>
          <t>sales@caplugs.com</t>
        </is>
      </c>
      <c r="AM275" t="inlineStr">
        <is>
          <t>https://www.caplugs.com/contact-us</t>
        </is>
      </c>
      <c r="AN275" t="inlineStr">
        <is>
          <t>https://www.caplugs.com/contact-us</t>
        </is>
      </c>
      <c r="AP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is>
          <t>16786912143</t>
        </is>
      </c>
      <c r="AK278" t="inlineStr">
        <is>
          <t>info@capricobio.com</t>
        </is>
      </c>
      <c r="AM278" t="inlineStr">
        <is>
          <t>https://www.capricobio.com/contact-us/</t>
        </is>
      </c>
      <c r="AN278" t="inlineStr">
        <is>
          <t>https://www.capricobio.com/contact-us/</t>
        </is>
      </c>
      <c r="AP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is>
          <t>(973)-239-6633</t>
        </is>
      </c>
      <c r="AM280" t="inlineStr">
        <is>
          <t>https://www.cargille.com/contact/</t>
        </is>
      </c>
      <c r="AN280" t="inlineStr">
        <is>
          <t>https://www.cargille.com/contact/</t>
        </is>
      </c>
      <c r="AP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is>
          <t>919-635-8438</t>
        </is>
      </c>
      <c r="AK282" t="inlineStr">
        <is>
          <t>customerservice@carolinaflow.com</t>
        </is>
      </c>
      <c r="AM282" t="inlineStr">
        <is>
          <t>https://carolinaflow.com/contact/</t>
        </is>
      </c>
      <c r="AN282" t="inlineStr">
        <is>
          <t>https://carolinaflow.com/contact/</t>
        </is>
      </c>
      <c r="AP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בחיפוש ראשוני</t>
        </is>
      </c>
      <c r="AE284" t="inlineStr">
        <is>
          <t>חיפוש חלקי</t>
        </is>
      </c>
      <c r="AG284" t="inlineStr"/>
      <c r="AH284" t="inlineStr"/>
      <c r="AI284" t="inlineStr">
        <is>
          <t>Only manufacturer (Carver/ACS Group) and US reseller pages (VWR, CCSI, American Laboratory Trading); nothing for Israel.</t>
        </is>
      </c>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ברור</t>
        </is>
      </c>
      <c r="AE286" t="inlineStr">
        <is>
          <t>חיפוש חלקי</t>
        </is>
      </c>
      <c r="AG286" t="inlineStr"/>
      <c r="AH286" t="inlineStr"/>
      <c r="AI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is>
          <t>1-858-271-6500</t>
        </is>
      </c>
      <c r="AK293" t="inlineStr">
        <is>
          <t>info@cellbiolabs.com</t>
        </is>
      </c>
      <c r="AM293" t="inlineStr">
        <is>
          <t>https://www.cellbiolabs.com/contact-technical-service</t>
        </is>
      </c>
      <c r="AN293" t="inlineStr">
        <is>
          <t>https://www.cellbiolabs.com/contact-technical-service</t>
        </is>
      </c>
      <c r="AP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is>
          <t>877-678-8324</t>
        </is>
      </c>
      <c r="AM295" t="inlineStr">
        <is>
          <t>https://www.cellsignal.com:443/learn-and-support/support-information</t>
        </is>
      </c>
      <c r="AN295" t="inlineStr">
        <is>
          <t>https://www.cellsignal.com:443/learn-and-support/support-information</t>
        </is>
      </c>
      <c r="AP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is>
          <t>425-823-1010</t>
        </is>
      </c>
      <c r="AK296" t="inlineStr">
        <is>
          <t>customerservice@cell-systems.com</t>
        </is>
      </c>
      <c r="AM296" t="inlineStr">
        <is>
          <t>https://cell-systems.com/pages/contact</t>
        </is>
      </c>
      <c r="AN296" t="inlineStr">
        <is>
          <t>https://cell-systems.com/pages/contact</t>
        </is>
      </c>
      <c r="AP296" t="inlineStr">
        <is>
          <t>https://www.quartzy.com/suppliers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K297" t="inlineStr">
        <is>
          <t>contact@cellaven.com</t>
        </is>
      </c>
      <c r="AM297" t="inlineStr">
        <is>
          <t>https://cellaven.com/contact-cellaven-cell-culture-automation/</t>
        </is>
      </c>
      <c r="AN297" t="inlineStr">
        <is>
          <t>https://cellaven.com/contact-cellaven-cell-culture-automation/</t>
        </is>
      </c>
      <c r="AP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is>
          <t>16509383910</t>
        </is>
      </c>
      <c r="AK298" t="inlineStr">
        <is>
          <t>info@cellecta.com</t>
        </is>
      </c>
      <c r="AM298" t="inlineStr">
        <is>
          <t>https://cellecta.com/pages/company-contact-us</t>
        </is>
      </c>
      <c r="AN298" t="inlineStr">
        <is>
          <t>https://cellecta.com/pages/company-contact-us</t>
        </is>
      </c>
      <c r="AP298" t="inlineStr">
        <is>
          <t>https://www.quartzy.com/suppliers | https://cellecta.com/pages/company-contact-us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is>
          <t>1-800-586-6038</t>
        </is>
      </c>
      <c r="AK300" t="inlineStr">
        <is>
          <t>info@cellomicstech.com</t>
        </is>
      </c>
      <c r="AM300" t="inlineStr">
        <is>
          <t>https://www.cellomicstech.com/contactus</t>
        </is>
      </c>
      <c r="AN300" t="inlineStr">
        <is>
          <t>https://www.cellomicstech.com/contactus</t>
        </is>
      </c>
      <c r="AP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is>
          <t>(650) 488 1598</t>
        </is>
      </c>
      <c r="AK301" t="inlineStr">
        <is>
          <t>info@cells-online.com</t>
        </is>
      </c>
      <c r="AM301" t="inlineStr">
        <is>
          <t>https://cells-online.com/contact-expert-on-cells/</t>
        </is>
      </c>
      <c r="AN301" t="inlineStr">
        <is>
          <t>https://cells-online.com/contact-expert-on-cells/</t>
        </is>
      </c>
      <c r="AP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בחיפוש ראשוני</t>
        </is>
      </c>
      <c r="AE302" t="inlineStr">
        <is>
          <t>חיפוש חלקי</t>
        </is>
      </c>
      <c r="AG302" t="inlineStr"/>
      <c r="AH302" t="inlineStr"/>
      <c r="AI302" t="inlineStr">
        <is>
          <t>Only US wholesaler listings (MAP Medical) and unrelated Israeli distributors; no CELLTREAT Israel link.</t>
        </is>
      </c>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is>
          <t>+43732674278</t>
        </is>
      </c>
      <c r="AK309" t="inlineStr">
        <is>
          <t>support@certoclav.com</t>
        </is>
      </c>
      <c r="AM309" t="inlineStr">
        <is>
          <t>https://www.certoclav.com/contact/</t>
        </is>
      </c>
      <c r="AN309" t="inlineStr">
        <is>
          <t>https://www.certoclav.com/contact/</t>
        </is>
      </c>
      <c r="AP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M313" t="inlineStr">
        <is>
          <t>https://chase-scientific.com/sales.html</t>
        </is>
      </c>
      <c r="AN313" t="inlineStr">
        <is>
          <t>https://chase-scientific.com/sales.html</t>
        </is>
      </c>
      <c r="AP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M314" t="inlineStr">
        <is>
          <t>https://checksammy.com/contact-us</t>
        </is>
      </c>
      <c r="AN314" t="inlineStr">
        <is>
          <t>https://checksammy.com/contact-us</t>
        </is>
      </c>
      <c r="AP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is>
          <t>800-869-9290</t>
        </is>
      </c>
      <c r="AM315" t="inlineStr">
        <is>
          <t>https://www.chemimpex.com/pages/contact</t>
        </is>
      </c>
      <c r="AN315" t="inlineStr">
        <is>
          <t>https://www.chemimpex.com/pages/contact</t>
        </is>
      </c>
      <c r="AP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is>
          <t>717-632-1291</t>
        </is>
      </c>
      <c r="AM316" t="inlineStr">
        <is>
          <t>https://www.aquaphoenixsci.com/contact-us/</t>
        </is>
      </c>
      <c r="AN316" t="inlineStr">
        <is>
          <t>https://www.aquaphoenixsci.com/contact-us/</t>
        </is>
      </c>
      <c r="AP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Y318" t="inlineStr">
        <is>
          <t>unknown</t>
        </is>
      </c>
      <c r="Z318" t="inlineStr"/>
      <c r="AA318" t="inlineStr"/>
      <c r="AB318" t="inlineStr"/>
      <c r="AC318" t="inlineStr"/>
      <c r="AD318" t="inlineStr">
        <is>
          <t>לא נמצא בחיפוש ראשוני</t>
        </is>
      </c>
      <c r="AE318" t="inlineStr">
        <is>
          <t>חיפוש חלקי</t>
        </is>
      </c>
      <c r="AG318" t="inlineStr"/>
      <c r="AH318" t="inlineStr"/>
      <c r="AI318" t="inlineStr">
        <is>
          <t>Chemglass Life Sciences 2026 capabilities PDFs and company profile only; Agentek appeared in results with no stated link to Chemglass.</t>
        </is>
      </c>
      <c r="AJ318" t="inlineStr">
        <is>
          <t>1-800-843-1794</t>
        </is>
      </c>
      <c r="AM318" t="inlineStr">
        <is>
          <t>https://chemglass.com/ContactUs</t>
        </is>
      </c>
      <c r="AN318" t="inlineStr">
        <is>
          <t>https://chemglass.com/ContactUs</t>
        </is>
      </c>
      <c r="AP318" t="inlineStr">
        <is>
          <t>https://www.quartzy.com/suppliers | https://www.thomassci.com/browse-by/suppliers/chemglass | https://chemglass.com/ContactUs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is>
          <t>+17704244888</t>
        </is>
      </c>
      <c r="AM323" t="inlineStr">
        <is>
          <t>https://www.chemtronics.com/contact-cleaners</t>
        </is>
      </c>
      <c r="AN323" t="inlineStr">
        <is>
          <t>https://www.chemtronics.com/contact-cleaners</t>
        </is>
      </c>
      <c r="AP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is>
          <t>+ 44 0208 943 8480</t>
        </is>
      </c>
      <c r="AK325" t="inlineStr">
        <is>
          <t>info@asm.com.py</t>
        </is>
      </c>
      <c r="AM325" t="inlineStr">
        <is>
          <t>https://www.lgcstandards.com/GB/en/contact-us</t>
        </is>
      </c>
      <c r="AN325" t="inlineStr">
        <is>
          <t>https://www.lgcstandards.com/GB/en/contact-us</t>
        </is>
      </c>
      <c r="AP325" t="inlineStr">
        <is>
          <t>https://www.quartzy.com/suppliers | https://www.lgcstandards.com/GB/en/contact-us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M327" t="inlineStr">
        <is>
          <t>https://chums.com/pages/contact-us</t>
        </is>
      </c>
      <c r="AN327" t="inlineStr">
        <is>
          <t>https://chums.com/pages/contact-us</t>
        </is>
      </c>
      <c r="AP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M332" t="inlineStr">
        <is>
          <t>https://cleanedge.com/contact/</t>
        </is>
      </c>
      <c r="AN332" t="inlineStr">
        <is>
          <t>https://cleanedge.com/contact/</t>
        </is>
      </c>
      <c r="AP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is>
          <t>+15039688303</t>
        </is>
      </c>
      <c r="AK335" t="inlineStr">
        <is>
          <t>orders@cleanmarklabels.com</t>
        </is>
      </c>
      <c r="AM335" t="inlineStr">
        <is>
          <t>https://cleanmarklabels.com/contact/</t>
        </is>
      </c>
      <c r="AN335" t="inlineStr">
        <is>
          <t>https://cleanmarklabels.com/contact/</t>
        </is>
      </c>
      <c r="AP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is>
          <t>(714) 744-8361</t>
        </is>
      </c>
      <c r="AK337" t="inlineStr">
        <is>
          <t>sales@cleanbags.com</t>
        </is>
      </c>
      <c r="AM337" t="inlineStr">
        <is>
          <t>https://www.cleanroomfilm.com/contact-us</t>
        </is>
      </c>
      <c r="AN337" t="inlineStr">
        <is>
          <t>https://www.cleanroomfilm.com/contact-us</t>
        </is>
      </c>
      <c r="AP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is>
          <t>+1 (818) 322-3411</t>
        </is>
      </c>
      <c r="AM340" t="inlineStr">
        <is>
          <t>https://clearlineapps.com/contacts/</t>
        </is>
      </c>
      <c r="AN340" t="inlineStr">
        <is>
          <t>https://clearlineapps.com/contacts/</t>
        </is>
      </c>
      <c r="AP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is>
          <t>+775 622 9713</t>
        </is>
      </c>
      <c r="AK342" t="inlineStr">
        <is>
          <t>info@clickbio.com</t>
        </is>
      </c>
      <c r="AM342" t="inlineStr">
        <is>
          <t>https://click-bio.com/pages/contact-us</t>
        </is>
      </c>
      <c r="AN342" t="inlineStr">
        <is>
          <t>https://click-bio.com/pages/contact-us</t>
        </is>
      </c>
      <c r="AP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is>
          <t>800-292-2200</t>
        </is>
      </c>
      <c r="AM343" t="inlineStr">
        <is>
          <t>https://www.clorox.com/contact-us/</t>
        </is>
      </c>
      <c r="AN343" t="inlineStr">
        <is>
          <t>https://www.clorox.com/contact-us/</t>
        </is>
      </c>
      <c r="AP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is>
          <t>777 777 777</t>
        </is>
      </c>
      <c r="AM344" t="inlineStr">
        <is>
          <t>https://codigel.com/content/7-sav-assistance</t>
        </is>
      </c>
      <c r="AN344" t="inlineStr">
        <is>
          <t>https://codigel.com/content/7-sav-assistance</t>
        </is>
      </c>
      <c r="AP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is>
          <t>3708566</t>
        </is>
      </c>
      <c r="AK345" t="inlineStr">
        <is>
          <t>orders@coldchaintech.com</t>
        </is>
      </c>
      <c r="AL345" t="inlineStr">
        <is>
          <t>Franklin</t>
        </is>
      </c>
      <c r="AM345" t="inlineStr">
        <is>
          <t>https://www.coldchaintech.com/contact-us</t>
        </is>
      </c>
      <c r="AN345" t="inlineStr">
        <is>
          <t>https://www.coldchaintech.com/contact-us</t>
        </is>
      </c>
      <c r="AO345" t="inlineStr">
        <is>
          <t>Q140305457</t>
        </is>
      </c>
      <c r="AP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is>
          <t>888-265-2436</t>
        </is>
      </c>
      <c r="AK348" t="inlineStr">
        <is>
          <t>info@columbuschemical.com</t>
        </is>
      </c>
      <c r="AM348" t="inlineStr">
        <is>
          <t>https://www.columbuschemical.com/contact/?request=Quote</t>
        </is>
      </c>
      <c r="AN348" t="inlineStr">
        <is>
          <t>https://www.columbuschemical.com/contact/?request=Quote</t>
        </is>
      </c>
      <c r="AP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is>
          <t>1-877-525-6257</t>
        </is>
      </c>
      <c r="AM349" t="inlineStr">
        <is>
          <t>https://www.combi-blocks.com/others/contact.htm</t>
        </is>
      </c>
      <c r="AN349" t="inlineStr">
        <is>
          <t>https://www.combi-blocks.com/others/contact.htm</t>
        </is>
      </c>
      <c r="AP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is>
          <t>800-444-4237</t>
        </is>
      </c>
      <c r="AK350" t="inlineStr">
        <is>
          <t>info@cepsorbents.com</t>
        </is>
      </c>
      <c r="AM350" t="inlineStr">
        <is>
          <t>https://cepsorbents.com/contact-us/</t>
        </is>
      </c>
      <c r="AN350" t="inlineStr">
        <is>
          <t>https://cepsorbents.com/contact-us/</t>
        </is>
      </c>
      <c r="AP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is>
          <t>978-682-8482</t>
        </is>
      </c>
      <c r="AN353" t="inlineStr">
        <is>
          <t>https://conlonproducts.net/catalog/</t>
        </is>
      </c>
      <c r="AP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is>
          <t>(800) 362-1000</t>
        </is>
      </c>
      <c r="AM355" t="inlineStr">
        <is>
          <t>https://www.consolidatedplastics.com/pages/contact-us</t>
        </is>
      </c>
      <c r="AN355" t="inlineStr">
        <is>
          <t>https://www.consolidatedplastics.com/pages/contact-us</t>
        </is>
      </c>
      <c r="AP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Y359" t="inlineStr">
        <is>
          <t>unknown</t>
        </is>
      </c>
      <c r="Z359" t="inlineStr"/>
      <c r="AA359" t="inlineStr"/>
      <c r="AB359" t="inlineStr"/>
      <c r="AC359" t="inlineStr"/>
      <c r="AD359" t="inlineStr">
        <is>
          <t>לא נמצא בחיפוש ראשוני</t>
        </is>
      </c>
      <c r="AE359" t="inlineStr">
        <is>
          <t>חיפוש חלקי</t>
        </is>
      </c>
      <c r="AG359" t="inlineStr"/>
      <c r="AH359" t="inlineStr"/>
      <c r="AI359" t="inlineStr">
        <is>
          <t>Results cover Copan's global deals (bioMerieux exclusive worldwide for certain swabs, 2007; Beckman Coulter amendment for 21 markets; Thermo Fisher US-only for WASP) and US/AU resellers; no Israeli distributor named.</t>
        </is>
      </c>
      <c r="AJ359" t="inlineStr">
        <is>
          <t>(800) 216 - 4016</t>
        </is>
      </c>
      <c r="AM359" t="inlineStr">
        <is>
          <t>https://www.copanusa.com/about/contact/</t>
        </is>
      </c>
      <c r="AN359" t="inlineStr">
        <is>
          <t>https://www.copanusa.com/about/contact/</t>
        </is>
      </c>
      <c r="AP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is>
          <t>(888) 322-5722</t>
        </is>
      </c>
      <c r="AM367" t="inlineStr">
        <is>
          <t>https://www.cplabsafety.com/contact-us/</t>
        </is>
      </c>
      <c r="AN367" t="inlineStr">
        <is>
          <t>https://www.cplabsafety.com/contact-us/</t>
        </is>
      </c>
      <c r="AP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is>
          <t>+1-518-500-4709</t>
        </is>
      </c>
      <c r="AK368" t="inlineStr">
        <is>
          <t>info@cpsserum.com</t>
        </is>
      </c>
      <c r="AM368" t="inlineStr">
        <is>
          <t>https://www.cpsserum.com/contact</t>
        </is>
      </c>
      <c r="AN368" t="inlineStr">
        <is>
          <t>https://www.cpsserum.com/contact</t>
        </is>
      </c>
      <c r="AP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is>
          <t>+923236115100</t>
        </is>
      </c>
      <c r="AK372" t="inlineStr">
        <is>
          <t>info@crosstex.com.pk</t>
        </is>
      </c>
      <c r="AM372" t="inlineStr">
        <is>
          <t>https://crosstex.com.pk/contact/</t>
        </is>
      </c>
      <c r="AN372" t="inlineStr">
        <is>
          <t>https://crosstex.com.pk/contact/</t>
        </is>
      </c>
      <c r="AP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N375" t="inlineStr">
        <is>
          <t>https://cryopal.com/fr/accueil</t>
        </is>
      </c>
      <c r="AP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K377" t="inlineStr">
        <is>
          <t>sales@crystalchem.com</t>
        </is>
      </c>
      <c r="AM377" t="inlineStr">
        <is>
          <t>https://www.crystalchem.com/inquiries.html</t>
        </is>
      </c>
      <c r="AN377" t="inlineStr">
        <is>
          <t>https://www.crystalchem.com/inquiries.html</t>
        </is>
      </c>
      <c r="AP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Y378" t="inlineStr">
        <is>
          <t>unknown</t>
        </is>
      </c>
      <c r="Z378" t="inlineStr"/>
      <c r="AA378" t="inlineStr"/>
      <c r="AB378" t="inlineStr"/>
      <c r="AC378" t="inlineStr"/>
      <c r="AD378" t="inlineStr">
        <is>
          <t>לא נמצא בחיפוש ראשוני</t>
        </is>
      </c>
      <c r="AE378" t="inlineStr">
        <is>
          <t>חיפוש חלקי</t>
        </is>
      </c>
      <c r="AG378" t="inlineStr"/>
      <c r="AH378" t="inlineStr"/>
      <c r="AI378" t="inlineStr">
        <is>
          <t>No result connected Crystal Technologies (lab supplier) to an Israeli channel; only generic Israeli lab distributors (Rhenium, Agentek, Enco, S.L. Moran, Ornat) and an unrelated press release about A-Crystal Electronic Technology/Paradox Israel.</t>
        </is>
      </c>
      <c r="AJ378" t="inlineStr"/>
      <c r="AN378" t="inlineStr">
        <is>
          <t>https://www.crystaltech.com/</t>
        </is>
      </c>
      <c r="AP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Y379" t="inlineStr">
        <is>
          <t>unknown</t>
        </is>
      </c>
      <c r="Z379" t="inlineStr"/>
      <c r="AA379" t="inlineStr"/>
      <c r="AB379" t="inlineStr"/>
      <c r="AC379" t="inlineStr"/>
      <c r="AD379" t="inlineStr">
        <is>
          <t>לא נמצא בחיפוש ראשוני</t>
        </is>
      </c>
      <c r="AE379" t="inlineStr">
        <is>
          <t>חיפוש חלקי</t>
        </is>
      </c>
      <c r="AG379" t="inlineStr"/>
      <c r="AH379" t="inlineStr"/>
      <c r="AI379" t="inlineStr">
        <is>
          <t>Only a GlobalData profile of Crystalgen (Commack, NY); Israeli distributors in results (Enco, Agentek) not linked to Crystalgen.</t>
        </is>
      </c>
      <c r="AJ379" t="inlineStr">
        <is>
          <t>(888) 510-1782</t>
        </is>
      </c>
      <c r="AK379" t="inlineStr">
        <is>
          <t>sales@crystalgen.com</t>
        </is>
      </c>
      <c r="AM379" t="inlineStr">
        <is>
          <t>https://crystalgen.com/contact</t>
        </is>
      </c>
      <c r="AN379" t="inlineStr">
        <is>
          <t>https://crystalgen.com/contact</t>
        </is>
      </c>
      <c r="AP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is>
          <t>800.755.7575</t>
        </is>
      </c>
      <c r="AK381" t="inlineStr">
        <is>
          <t>sales@ctint.org</t>
        </is>
      </c>
      <c r="AM381" t="inlineStr">
        <is>
          <t>https://ctint.org/contact/</t>
        </is>
      </c>
      <c r="AN381" t="inlineStr">
        <is>
          <t>https://ctint.org/contact/</t>
        </is>
      </c>
      <c r="AP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is>
          <t>+1 (215) 391 0300</t>
        </is>
      </c>
      <c r="AK382" t="inlineStr">
        <is>
          <t>office@ctibiotech.com</t>
        </is>
      </c>
      <c r="AM382" t="inlineStr">
        <is>
          <t>https://ctibiotech.com/contact</t>
        </is>
      </c>
      <c r="AN382" t="inlineStr">
        <is>
          <t>https://ctibiotech.com/contact</t>
        </is>
      </c>
      <c r="AP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is>
          <t>06108-3666</t>
        </is>
      </c>
      <c r="AK384" t="inlineStr">
        <is>
          <t>info@cube-biotech.com</t>
        </is>
      </c>
      <c r="AM384" t="inlineStr">
        <is>
          <t>https://cube-biotech.com/contact/</t>
        </is>
      </c>
      <c r="AN384" t="inlineStr">
        <is>
          <t>https://cube-biotech.com/contact/</t>
        </is>
      </c>
      <c r="AP384" t="inlineStr">
        <is>
          <t>https://www.quartzy.com/suppliers | https://cube-biotech.com/contact/</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is>
          <t>+442035144624</t>
        </is>
      </c>
      <c r="AN387" t="inlineStr">
        <is>
          <t>https://www.curtec.com/</t>
        </is>
      </c>
      <c r="AP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is>
          <t>+1.586.331.2600</t>
        </is>
      </c>
      <c r="AM388" t="inlineStr">
        <is>
          <t>https://custombiogenics.com/contact/</t>
        </is>
      </c>
      <c r="AN388" t="inlineStr">
        <is>
          <t>https://custombiogenics.com/contact/</t>
        </is>
      </c>
      <c r="AP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Y393" t="inlineStr">
        <is>
          <t>unknown</t>
        </is>
      </c>
      <c r="Z393" t="inlineStr"/>
      <c r="AA393" t="inlineStr"/>
      <c r="AB393" t="inlineStr"/>
      <c r="AC393" t="inlineStr"/>
      <c r="AD393" t="inlineStr">
        <is>
          <t>לא נמצא בחיפוש ראשוני</t>
        </is>
      </c>
      <c r="AE393" t="inlineStr">
        <is>
          <t>חיפוש חלקי</t>
        </is>
      </c>
      <c r="AG393" t="inlineStr"/>
      <c r="AH393" t="inlineStr"/>
      <c r="AI393" t="inlineStr">
        <is>
          <t>Results describe Decon Labs (US cleaning/disinfection products, 'one of North America's leading suppliers'); Israeli distributor pages (Enco, Agentek, Rhenium) do not mention Decon.</t>
        </is>
      </c>
      <c r="AJ393" t="inlineStr">
        <is>
          <t>(800) 332-6647</t>
        </is>
      </c>
      <c r="AM393" t="inlineStr">
        <is>
          <t>https://deconlabs.com/contact/</t>
        </is>
      </c>
      <c r="AN393" t="inlineStr">
        <is>
          <t>https://deconlabs.com/contact/</t>
        </is>
      </c>
      <c r="AP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N394" t="inlineStr">
        <is>
          <t>https://decongel.com/</t>
        </is>
      </c>
      <c r="AP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is>
          <t>+18004483835</t>
        </is>
      </c>
      <c r="AN395" t="inlineStr">
        <is>
          <t>https://www.defelsko.com/</t>
        </is>
      </c>
      <c r="AP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is>
          <t>1-929-333-4633</t>
        </is>
      </c>
      <c r="AK396" t="inlineStr">
        <is>
          <t>info@definedbioscience.com</t>
        </is>
      </c>
      <c r="AM396" t="inlineStr">
        <is>
          <t>https://definedbioscience.com/pages/contact</t>
        </is>
      </c>
      <c r="AN396" t="inlineStr">
        <is>
          <t>https://definedbioscience.com/pages/contact</t>
        </is>
      </c>
      <c r="AP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K397" t="inlineStr">
        <is>
          <t>info@denominator.com</t>
        </is>
      </c>
      <c r="AM397" t="inlineStr">
        <is>
          <t>https://www.denominator.com/contact?source=main-page</t>
        </is>
      </c>
      <c r="AN397" t="inlineStr">
        <is>
          <t>https://www.denominator.com/contact?source=main-page</t>
        </is>
      </c>
      <c r="AP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בחיפוש ראשוני</t>
        </is>
      </c>
      <c r="AE405" t="inlineStr">
        <is>
          <t>חיפוש חלקי</t>
        </is>
      </c>
      <c r="AG405" t="inlineStr"/>
      <c r="AH405" t="inlineStr"/>
      <c r="AI405" t="inlineStr">
        <is>
          <t>No Israel link in results (company profiles only); unrelated Israeli distributors Eldan and Agentek surfaced.</t>
        </is>
      </c>
      <c r="AJ405" t="inlineStr">
        <is>
          <t>+1 (866) 838-2798</t>
        </is>
      </c>
      <c r="AK405" t="inlineStr">
        <is>
          <t>info@dls.com</t>
        </is>
      </c>
      <c r="AM405" t="inlineStr">
        <is>
          <t>https://dls.com/contact-us/</t>
        </is>
      </c>
      <c r="AN405" t="inlineStr">
        <is>
          <t>https://dls.com/contact-us/</t>
        </is>
      </c>
      <c r="AP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K406" t="inlineStr">
        <is>
          <t>info@divbio.com</t>
        </is>
      </c>
      <c r="AM406" t="inlineStr">
        <is>
          <t>https://www.divbio.com/contact-us</t>
        </is>
      </c>
      <c r="AN406" t="inlineStr">
        <is>
          <t>https://www.divbio.com/contact-us</t>
        </is>
      </c>
      <c r="AP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N407" t="inlineStr">
        <is>
          <t>https://www.dlabsci.com/</t>
        </is>
      </c>
      <c r="AP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is>
          <t>+1-301-987-2667</t>
        </is>
      </c>
      <c r="AK408" t="inlineStr">
        <is>
          <t>info@dojindo.cn</t>
        </is>
      </c>
      <c r="AM408" t="inlineStr">
        <is>
          <t>https://www.dojindo.com/contents/inquiry.html</t>
        </is>
      </c>
      <c r="AN408" t="inlineStr">
        <is>
          <t>https://www.dojindo.com/contents/inquiry.html</t>
        </is>
      </c>
      <c r="AP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is>
          <t>800-257-3872</t>
        </is>
      </c>
      <c r="AM409" t="inlineStr">
        <is>
          <t>https://dolan-jenner.com/pages/contact-us</t>
        </is>
      </c>
      <c r="AN409" t="inlineStr">
        <is>
          <t>https://dolan-jenner.com/pages/contact-us</t>
        </is>
      </c>
      <c r="AP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is>
          <t>+351 919 270 294</t>
        </is>
      </c>
      <c r="AM410" t="inlineStr">
        <is>
          <t>https://www.drweigert.com/com/contacts-distribution/dr-weigert-international-contact/subsidiaries</t>
        </is>
      </c>
      <c r="AN410" t="inlineStr">
        <is>
          <t>https://www.drweigert.com/com/contacts-distribution/dr-weigert-international-contact/subsidiaries</t>
        </is>
      </c>
      <c r="AP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Y413" t="inlineStr">
        <is>
          <t>unknown</t>
        </is>
      </c>
      <c r="Z413" t="inlineStr"/>
      <c r="AA413" t="inlineStr"/>
      <c r="AB413" t="inlineStr"/>
      <c r="AC413" t="inlineStr"/>
      <c r="AD413" t="inlineStr">
        <is>
          <t>לא נמצא בחיפוש ראשוני</t>
        </is>
      </c>
      <c r="AE413" t="inlineStr">
        <is>
          <t>חיפוש חלקי</t>
        </is>
      </c>
      <c r="AG413" t="inlineStr"/>
      <c r="AH413" t="inlineStr"/>
      <c r="AI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J413" t="inlineStr">
        <is>
          <t>+18005237480</t>
        </is>
      </c>
      <c r="AK413" t="inlineStr">
        <is>
          <t>info@drummondsci.com</t>
        </is>
      </c>
      <c r="AM413" t="inlineStr">
        <is>
          <t>https://drummondsci.com/contact/</t>
        </is>
      </c>
      <c r="AN413" t="inlineStr">
        <is>
          <t>https://drummondsci.com/contact/</t>
        </is>
      </c>
      <c r="AP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is>
          <t>+18005237480</t>
        </is>
      </c>
      <c r="AK414" t="inlineStr">
        <is>
          <t>info@drummondsci.com</t>
        </is>
      </c>
      <c r="AM414" t="inlineStr">
        <is>
          <t>https://drummondsci.com/contact/</t>
        </is>
      </c>
      <c r="AN414" t="inlineStr">
        <is>
          <t>https://drummondsci.com/contact/</t>
        </is>
      </c>
      <c r="AP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is>
          <t>847.260.5370</t>
        </is>
      </c>
      <c r="AK415" t="inlineStr">
        <is>
          <t>info@dualmfg.com</t>
        </is>
      </c>
      <c r="AM415" t="inlineStr">
        <is>
          <t>https://dualmfg.com/contactus-2</t>
        </is>
      </c>
      <c r="AN415" t="inlineStr">
        <is>
          <t>https://dualmfg.com/contactus-2</t>
        </is>
      </c>
      <c r="AP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בחיפוש ראשוני</t>
        </is>
      </c>
      <c r="AE417" t="inlineStr">
        <is>
          <t>חיפוש חלקי</t>
        </is>
      </c>
      <c r="AG417" t="inlineStr"/>
      <c r="AH417" t="inlineStr"/>
      <c r="AI417" t="inlineStr">
        <is>
          <t>DuPont Tyvek contact directory and converter/distributor lists appeared but no Israel entry visible; only Brazil/Mexico (IIMAK) and US deals named.</t>
        </is>
      </c>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is>
          <t>800-551-2355</t>
        </is>
      </c>
      <c r="AM418" t="inlineStr">
        <is>
          <t>https://duracell.com/contact</t>
        </is>
      </c>
      <c r="AN418" t="inlineStr">
        <is>
          <t>https://duracell.com/contact</t>
        </is>
      </c>
      <c r="AP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is>
          <t>630-443-9772</t>
        </is>
      </c>
      <c r="AM420" t="inlineStr">
        <is>
          <t>https://www.duratherm.com/contact-us/</t>
        </is>
      </c>
      <c r="AN420" t="inlineStr">
        <is>
          <t>https://www.duratherm.com/contact-us/</t>
        </is>
      </c>
      <c r="AP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is>
          <t>800243-3774</t>
        </is>
      </c>
      <c r="AK421" t="inlineStr">
        <is>
          <t>info@durhammfg.com</t>
        </is>
      </c>
      <c r="AM421" t="inlineStr">
        <is>
          <t>https://www.durhammfg.com/contact-us/</t>
        </is>
      </c>
      <c r="AN421" t="inlineStr">
        <is>
          <t>https://www.durhammfg.com/contact-us/</t>
        </is>
      </c>
      <c r="AP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בחיפוש ראשוני</t>
        </is>
      </c>
      <c r="AE425" t="inlineStr">
        <is>
          <t>חיפוש חלקי</t>
        </is>
      </c>
      <c r="AG425" t="inlineStr"/>
      <c r="AH425" t="inlineStr"/>
      <c r="AI425" t="inlineStr">
        <is>
          <t>No result mentions Dynalon; 'DYN Diagnostics' (Caesarea, Roche IVD representative) and Eldan hits are unrelated name/industry matches.</t>
        </is>
      </c>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K427" t="inlineStr">
        <is>
          <t>info@dynamo411.com</t>
        </is>
      </c>
      <c r="AM427" t="inlineStr">
        <is>
          <t>https://dynamo411.com/contact.php</t>
        </is>
      </c>
      <c r="AN427" t="inlineStr">
        <is>
          <t>https://dynamo411.com/contact.php</t>
        </is>
      </c>
      <c r="AP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N428" t="inlineStr">
        <is>
          <t>https://dynarex.com/</t>
        </is>
      </c>
      <c r="AP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is>
          <t>+9313722688</t>
        </is>
      </c>
      <c r="AK429" t="inlineStr">
        <is>
          <t>info@ecomseating.com</t>
        </is>
      </c>
      <c r="AM429" t="inlineStr">
        <is>
          <t>https://ecomseating.com/contact/</t>
        </is>
      </c>
      <c r="AN429" t="inlineStr">
        <is>
          <t>https://ecomseating.com/contact/</t>
        </is>
      </c>
      <c r="AP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is>
          <t>(617) 419-2019</t>
        </is>
      </c>
      <c r="AK431" t="inlineStr">
        <is>
          <t>info@eaglebio.com</t>
        </is>
      </c>
      <c r="AM431" t="inlineStr">
        <is>
          <t>https://eaglebio.com/contact/</t>
        </is>
      </c>
      <c r="AN431" t="inlineStr">
        <is>
          <t>https://eaglebio.com/contact/</t>
        </is>
      </c>
      <c r="AP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בחיפוש ראשוני</t>
        </is>
      </c>
      <c r="AE434" t="inlineStr">
        <is>
          <t>חיפוש חלקי</t>
        </is>
      </c>
      <c r="AG434" t="inlineStr"/>
      <c r="AH434" t="inlineStr"/>
      <c r="AI434" t="inlineStr">
        <is>
          <t>No result mentions Eagle Thermoplastics; hits are Albis Distribution (polymer distributor opening a Tel Aviv subsidiary) and Eagle Plastics UK - unrelated.</t>
        </is>
      </c>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is>
          <t>(800) 387-2648</t>
        </is>
      </c>
      <c r="AK436" t="inlineStr">
        <is>
          <t>info@ebf-inc.com</t>
        </is>
      </c>
      <c r="AM436" t="inlineStr">
        <is>
          <t>https://ebf-inc.com/contact/</t>
        </is>
      </c>
      <c r="AN436" t="inlineStr">
        <is>
          <t>https://ebf-inc.com/contact/</t>
        </is>
      </c>
      <c r="AP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is>
          <t>1-800-422-2558</t>
        </is>
      </c>
      <c r="AK437" t="inlineStr">
        <is>
          <t>orders@eberbachlabtools.com</t>
        </is>
      </c>
      <c r="AM437" t="inlineStr">
        <is>
          <t>https://eberbachlabtools.com/pages/contact-us</t>
        </is>
      </c>
      <c r="AN437" t="inlineStr">
        <is>
          <t>https://eberbachlabtools.com/pages/contact-us</t>
        </is>
      </c>
      <c r="AP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is>
          <t>801.588.0455</t>
        </is>
      </c>
      <c r="AM438" t="inlineStr">
        <is>
          <t>https://www.echelon-inc.com/contact/</t>
        </is>
      </c>
      <c r="AN438" t="inlineStr">
        <is>
          <t>https://www.echelon-inc.com/contact/</t>
        </is>
      </c>
      <c r="AP438" t="inlineStr">
        <is>
          <t>https://www.quartzy.com/suppliers | https://www.echelon-inc.com/contact/</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Y448" t="inlineStr">
        <is>
          <t>unknown</t>
        </is>
      </c>
      <c r="Z448" t="inlineStr"/>
      <c r="AA448" t="inlineStr"/>
      <c r="AB448" t="inlineStr"/>
      <c r="AC448" t="inlineStr"/>
      <c r="AD448" t="inlineStr">
        <is>
          <t>לא נמצא בחיפוש ראשוני</t>
        </is>
      </c>
      <c r="AE448" t="inlineStr">
        <is>
          <t>חיפוש חלקי</t>
        </is>
      </c>
      <c r="AG448" t="inlineStr"/>
      <c r="AH448" t="inlineStr"/>
      <c r="AI448" t="inlineStr">
        <is>
          <t>Eisco's sales page (eiscolabs.com/pages/sales) routes buyers to regional contacts (Asia/Middle East/Africa) and customer support; no Israeli distributor named. Biotium's Middle East list (Doron Scientific, Enco, New Biotechnology, Origolab) is unrelated.</t>
        </is>
      </c>
      <c r="AJ448" t="inlineStr">
        <is>
          <t>+1-585-563-7963</t>
        </is>
      </c>
      <c r="AK448" t="inlineStr">
        <is>
          <t>info@eiscolabs.com</t>
        </is>
      </c>
      <c r="AM448" t="inlineStr">
        <is>
          <t>https://www.eiscolabs.com/pages/sales</t>
        </is>
      </c>
      <c r="AN448" t="inlineStr">
        <is>
          <t>https://www.eiscolabs.com/pages/sales</t>
        </is>
      </c>
      <c r="AP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is>
          <t>970-667-2728</t>
        </is>
      </c>
      <c r="AK449" t="inlineStr">
        <is>
          <t>sales@eldonjames.com</t>
        </is>
      </c>
      <c r="AM449" t="inlineStr">
        <is>
          <t>https://eldonjames.com/contact-us/</t>
        </is>
      </c>
      <c r="AN449" t="inlineStr">
        <is>
          <t>https://eldonjames.com/contact-us/</t>
        </is>
      </c>
      <c r="AP449" t="inlineStr">
        <is>
          <t>https://www.thomassci.com/browse-by/suppliers/eldon-james | https://eldonjames.com/contact-us/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is>
          <t>877-205-2710</t>
        </is>
      </c>
      <c r="AM454" t="inlineStr">
        <is>
          <t>https://www.elkofiltering.com/store/pg/5-Contact-Us.aspx</t>
        </is>
      </c>
      <c r="AN454" t="inlineStr">
        <is>
          <t>https://www.elkofiltering.com/store/pg/5-Contact-Us.aspx</t>
        </is>
      </c>
      <c r="AP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Y455" t="inlineStr">
        <is>
          <t>unknown</t>
        </is>
      </c>
      <c r="Z455" t="inlineStr"/>
      <c r="AA455" t="inlineStr"/>
      <c r="AB455" t="inlineStr"/>
      <c r="AC455" t="inlineStr"/>
      <c r="AD455" t="inlineStr">
        <is>
          <t>לא נמצא בחיפוש ראשוני</t>
        </is>
      </c>
      <c r="AE455" t="inlineStr">
        <is>
          <t>חיפוש חלקי</t>
        </is>
      </c>
      <c r="AG455" t="inlineStr"/>
      <c r="AH455" t="inlineStr"/>
      <c r="AI455" t="inlineStr">
        <is>
          <t>Ellsworth's own list of countries where it has a presence (job-board page) does not include Israel; no Israeli distributor found.</t>
        </is>
      </c>
      <c r="AJ455" t="inlineStr">
        <is>
          <t>(877) 454-9224</t>
        </is>
      </c>
      <c r="AK455" t="inlineStr">
        <is>
          <t>info@ellsworth.com</t>
        </is>
      </c>
      <c r="AM455" t="inlineStr">
        <is>
          <t>https://www.ellsworth.com/contact-us/</t>
        </is>
      </c>
      <c r="AN455" t="inlineStr">
        <is>
          <t>https://www.ellsworth.com/contact-us/</t>
        </is>
      </c>
      <c r="AP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Y456" t="inlineStr">
        <is>
          <t>unknown</t>
        </is>
      </c>
      <c r="Z456" t="inlineStr"/>
      <c r="AA456" t="inlineStr"/>
      <c r="AB456" t="inlineStr"/>
      <c r="AC456" t="inlineStr"/>
      <c r="AD456" t="inlineStr">
        <is>
          <t>לא נמצא בחיפוש ראשוני</t>
        </is>
      </c>
      <c r="AE456" t="inlineStr">
        <is>
          <t>חיפוש חלקי</t>
        </is>
      </c>
      <c r="AG456" t="inlineStr"/>
      <c r="AH456" t="inlineStr"/>
      <c r="AI456" t="inlineStr">
        <is>
          <t>Elma Schmidbauer GmbH (Singen) sells in 80+ countries via distributors (DKSH, VWR listings); no Israel mention. Target website elmaz.com is wrong (elma-ultrasonic.com).</t>
        </is>
      </c>
      <c r="AJ456" t="inlineStr"/>
      <c r="AK456" t="inlineStr">
        <is>
          <t>sales@elma-ultrasonic.com</t>
        </is>
      </c>
      <c r="AM456" t="inlineStr">
        <is>
          <t>https://www.elma-ultrasonic.com/en/kontakt-beratung</t>
        </is>
      </c>
      <c r="AN456" t="inlineStr">
        <is>
          <t>https://www.elma-ultrasonic.com/en/kontakt-beratung</t>
        </is>
      </c>
      <c r="AP456" t="inlineStr">
        <is>
          <t>https://www.dutscher.com/search?initialFilters=brand:Elma | https://www.thomassci.com/browse-by/suppliers/elma | https://www.elma-ultrasonic.com/en/kontakt-beratung</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is>
          <t>858-684-3190</t>
        </is>
      </c>
      <c r="AK459" t="inlineStr">
        <is>
          <t>info@embitec.com</t>
        </is>
      </c>
      <c r="AM459" t="inlineStr">
        <is>
          <t>https://embitec.com/contact/</t>
        </is>
      </c>
      <c r="AN459" t="inlineStr">
        <is>
          <t>https://embitec.com/contact/</t>
        </is>
      </c>
      <c r="AP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is>
          <t>1.800.338.9579</t>
        </is>
      </c>
      <c r="AK462" t="inlineStr">
        <is>
          <t>info@fortislife.com</t>
        </is>
      </c>
      <c r="AM462" t="inlineStr">
        <is>
          <t>https://www.fortislife.com/contact-us</t>
        </is>
      </c>
      <c r="AN462" t="inlineStr">
        <is>
          <t>https://www.fortislife.com/contact-us</t>
        </is>
      </c>
      <c r="AP462" t="inlineStr">
        <is>
          <t>https://www.quartzy.com/suppliers | https://www.fortislife.com/contact-us</t>
        </is>
      </c>
    </row>
    <row r="463">
      <c r="A463" t="n">
        <v>462</v>
      </c>
      <c r="B463" t="inlineStr">
        <is>
          <t>eNasco</t>
        </is>
      </c>
      <c r="C463" t="inlineStr">
        <is>
          <t>Q</t>
        </is>
      </c>
      <c r="F463" t="inlineStr">
        <is>
          <t>yes</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בחיפוש ראשוני</t>
        </is>
      </c>
      <c r="AE465" t="inlineStr">
        <is>
          <t>חיפוש חלקי</t>
        </is>
      </c>
      <c r="AG465" t="inlineStr"/>
      <c r="AH465" t="inlineStr"/>
      <c r="AI465" t="inlineStr">
        <is>
          <t>Results show Environmental Express (Charleston, SC) with distributors in NZ (John Morris Group) and via Core &amp; Main; Israeli hits (Chemitron, Veridis) are unrelated and do not mention the brand.</t>
        </is>
      </c>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is>
          <t>5106148312</t>
        </is>
      </c>
      <c r="AK466" t="inlineStr">
        <is>
          <t>orders@essvial.com</t>
        </is>
      </c>
      <c r="AM466" t="inlineStr">
        <is>
          <t>https://essvial.com/contact/</t>
        </is>
      </c>
      <c r="AN466" t="inlineStr">
        <is>
          <t>https://essvial.com/contact/</t>
        </is>
      </c>
      <c r="AP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N467" t="inlineStr">
        <is>
          <t>https://www.enzo.com/</t>
        </is>
      </c>
      <c r="AP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is>
          <t>65 6221 2660</t>
        </is>
      </c>
      <c r="AK469" t="inlineStr">
        <is>
          <t>info@epic-med.com</t>
        </is>
      </c>
      <c r="AM469" t="inlineStr">
        <is>
          <t>https://www.epic-med.com/contact-us</t>
        </is>
      </c>
      <c r="AN469" t="inlineStr">
        <is>
          <t>https://www.epic-med.com/contact-us</t>
        </is>
      </c>
      <c r="AP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is>
          <t>+18553742461</t>
        </is>
      </c>
      <c r="AK470" t="inlineStr">
        <is>
          <t>sales@epicypher.com</t>
        </is>
      </c>
      <c r="AM470" t="inlineStr">
        <is>
          <t>https://www.epicypher.com/contact-us/</t>
        </is>
      </c>
      <c r="AN470" t="inlineStr">
        <is>
          <t>https://www.epicypher.com/contact-us/</t>
        </is>
      </c>
      <c r="AP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M471" t="inlineStr">
        <is>
          <t>https://www.eppendorf.com/us-en/company-careers/news-media/press-contact/</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בחיפוש ראשוני</t>
        </is>
      </c>
      <c r="AE472" t="inlineStr">
        <is>
          <t>חיפוש חלקי</t>
        </is>
      </c>
      <c r="AG472" t="inlineStr"/>
      <c r="AH472" t="inlineStr"/>
      <c r="AI472" t="inlineStr">
        <is>
          <t>Only Epredia distribution deals for US/UK/Germany/Japan (Lunaphore LabSat, Paige, Aiforia, Medline); nothing for Israel.</t>
        </is>
      </c>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is>
          <t>800-225-8238</t>
        </is>
      </c>
      <c r="AK476" t="inlineStr">
        <is>
          <t>support@ergodyne.com</t>
        </is>
      </c>
      <c r="AM476" t="inlineStr">
        <is>
          <t>https://www.ergodyne.com/contact-us</t>
        </is>
      </c>
      <c r="AN476" t="inlineStr">
        <is>
          <t>https://www.ergodyne.com/contact-us</t>
        </is>
      </c>
      <c r="AP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Y477" t="inlineStr">
        <is>
          <t>unknown</t>
        </is>
      </c>
      <c r="Z477" t="inlineStr"/>
      <c r="AA477" t="inlineStr"/>
      <c r="AB477" t="inlineStr"/>
      <c r="AC477" t="inlineStr"/>
      <c r="AD477" t="inlineStr">
        <is>
          <t>לא נמצא בחיפוש ראשוני</t>
        </is>
      </c>
      <c r="AE477" t="inlineStr">
        <is>
          <t>חיפוש חלקי</t>
        </is>
      </c>
      <c r="AG477" t="inlineStr"/>
      <c r="AH477" t="inlineStr"/>
      <c r="AI477" t="inlineStr">
        <is>
          <t>Erlab reports a dealer network in 40+ countries, none named for Israel; the Nanomix 'eLab'/Biotron Ltd (2022) hit is an unrelated company; Eldan/Rhenium appeared with no link.</t>
        </is>
      </c>
      <c r="AJ477" t="inlineStr">
        <is>
          <t>(800) 964-4434</t>
        </is>
      </c>
      <c r="AM477" t="inlineStr">
        <is>
          <t>https://www.erlab.com/en/company/contact-quote-request/</t>
        </is>
      </c>
      <c r="AN477" t="inlineStr">
        <is>
          <t>https://www.erlab.com/en/company/contact-quote-request/</t>
        </is>
      </c>
      <c r="AP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K478" t="inlineStr">
        <is>
          <t>mail@escolifesciences.com</t>
        </is>
      </c>
      <c r="AL478" t="inlineStr">
        <is>
          <t>19 Changi South Street 1, Singapore 486777</t>
        </is>
      </c>
      <c r="AM478" t="inlineStr">
        <is>
          <t>https://www.escolifesciences.com/contact-us</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Y480" t="inlineStr">
        <is>
          <t>unknown</t>
        </is>
      </c>
      <c r="Z480" t="inlineStr"/>
      <c r="AA480" t="inlineStr"/>
      <c r="AB480" t="inlineStr"/>
      <c r="AC480" t="inlineStr"/>
      <c r="AD480" t="inlineStr">
        <is>
          <t>לא נמצא בחיפוש ראשוני</t>
        </is>
      </c>
      <c r="AE480" t="inlineStr">
        <is>
          <t>חיפוש חלקי</t>
        </is>
      </c>
      <c r="AG480" t="inlineStr"/>
      <c r="AH480" t="inlineStr"/>
      <c r="AI480" t="inlineStr">
        <is>
          <t>Ethos Biosciences (Logan Township, NJ; Ott Group) distributes via sister companies; Israeli hits (Enco, Eldan, Tivan/OZ Biosciences release) do not mention Ethos.</t>
        </is>
      </c>
      <c r="AJ480" t="inlineStr">
        <is>
          <t>(856) 224-0900</t>
        </is>
      </c>
      <c r="AM480" t="inlineStr">
        <is>
          <t>https://www.ethosbiosciences.com/contact</t>
        </is>
      </c>
      <c r="AN480" t="inlineStr">
        <is>
          <t>https://www.ethosbiosciences.com/contact</t>
        </is>
      </c>
      <c r="AP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is>
          <t>003243727400</t>
        </is>
      </c>
      <c r="AK482" t="inlineStr">
        <is>
          <t>info@eurogentec.com</t>
        </is>
      </c>
      <c r="AM482" t="inlineStr">
        <is>
          <t>https://www.eurogentec.com/en/gmp-manufacturing-contact-form</t>
        </is>
      </c>
      <c r="AN482" t="inlineStr">
        <is>
          <t>https://www.eurogentec.com/en/gmp-manufacturing-contact-form</t>
        </is>
      </c>
      <c r="AP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K483" t="inlineStr">
        <is>
          <t>sales@eurx.com.pl</t>
        </is>
      </c>
      <c r="AM483" t="inlineStr">
        <is>
          <t>https://eurx.com.pl/contact/</t>
        </is>
      </c>
      <c r="AN483" t="inlineStr">
        <is>
          <t>https://eurx.com.pl/contact/</t>
        </is>
      </c>
      <c r="AP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is>
          <t>800-466-7873</t>
        </is>
      </c>
      <c r="AK484" t="inlineStr">
        <is>
          <t>customerservice@evoqua.com</t>
        </is>
      </c>
      <c r="AM484" t="inlineStr">
        <is>
          <t>https://www.xylem.com/en-us/contact-us/</t>
        </is>
      </c>
      <c r="AN484" t="inlineStr">
        <is>
          <t>https://www.xylem.com/en-us/contact-us/</t>
        </is>
      </c>
      <c r="AP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is>
          <t>727-524-7732</t>
        </is>
      </c>
      <c r="AK485" t="inlineStr">
        <is>
          <t>info@exaxol.com</t>
        </is>
      </c>
      <c r="AM485" t="inlineStr">
        <is>
          <t>https://exaxol.com/pages/contact-us</t>
        </is>
      </c>
      <c r="AN485" t="inlineStr">
        <is>
          <t>https://exaxol.com/pages/contact-us</t>
        </is>
      </c>
      <c r="AP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Y486" t="inlineStr">
        <is>
          <t>unknown</t>
        </is>
      </c>
      <c r="Z486" t="inlineStr"/>
      <c r="AA486" t="inlineStr"/>
      <c r="AB486" t="inlineStr"/>
      <c r="AC486" t="inlineStr"/>
      <c r="AD486" t="inlineStr">
        <is>
          <t>לא נמצא בחיפוש ראשוני</t>
        </is>
      </c>
      <c r="AE486" t="inlineStr">
        <is>
          <t>חיפוש חלקי</t>
        </is>
      </c>
      <c r="AG486" t="inlineStr"/>
      <c r="AH486" t="inlineStr"/>
      <c r="AI486" t="inlineStr">
        <is>
          <t>Only company profiles (Victorville, CA) and a New Zealand distributor (Mediray); no Israeli entity connected.</t>
        </is>
      </c>
      <c r="AJ486" t="inlineStr">
        <is>
          <t>(760) 246-4545</t>
        </is>
      </c>
      <c r="AK486" t="inlineStr">
        <is>
          <t>info@excelscientific.com</t>
        </is>
      </c>
      <c r="AM486" t="inlineStr">
        <is>
          <t>https://excelscientific.com/contact/</t>
        </is>
      </c>
      <c r="AN486" t="inlineStr">
        <is>
          <t>https://excelscientific.com/contact/</t>
        </is>
      </c>
      <c r="AP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is>
          <t>1 514 222-3687</t>
        </is>
      </c>
      <c r="AM488" t="inlineStr">
        <is>
          <t>https://exelinternational.com/contact-us/</t>
        </is>
      </c>
      <c r="AN488" t="inlineStr">
        <is>
          <t>https://exelinternational.com/contact-us/</t>
        </is>
      </c>
      <c r="AP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is>
          <t>024 7632 3223</t>
        </is>
      </c>
      <c r="AK489" t="inlineStr">
        <is>
          <t>info@exeteranalytical.co.uk</t>
        </is>
      </c>
      <c r="AM489" t="inlineStr">
        <is>
          <t>https://www.exeteranalytical.co.uk/contact-us</t>
        </is>
      </c>
      <c r="AN489" t="inlineStr">
        <is>
          <t>https://www.exeteranalytical.co.uk/contact-us</t>
        </is>
      </c>
      <c r="AP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בחיפוש ראשוני</t>
        </is>
      </c>
      <c r="AE490" t="inlineStr">
        <is>
          <t>חיפוש חלקי</t>
        </is>
      </c>
      <c r="AG490" t="inlineStr"/>
      <c r="AH490" t="inlineStr"/>
      <c r="AI490" t="inlineStr">
        <is>
          <t>Distributors named only for Australia/NZ (ATA Scientific) and UK/Ireland (Analytik); Israeli distributors Enco/Eldan appeared with no link to EXODUS Bio.</t>
        </is>
      </c>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is>
          <t>+5307472034</t>
        </is>
      </c>
      <c r="AK491" t="inlineStr">
        <is>
          <t>orders@expressionsystems.com</t>
        </is>
      </c>
      <c r="AM491" t="inlineStr">
        <is>
          <t>https://expressionsystems.com/contact/</t>
        </is>
      </c>
      <c r="AN491" t="inlineStr">
        <is>
          <t>https://expressionsystems.com/contact/</t>
        </is>
      </c>
      <c r="AP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בחיפוש ראשוני</t>
        </is>
      </c>
      <c r="AE494" t="inlineStr">
        <is>
          <t>חיפוש חלקי</t>
        </is>
      </c>
      <c r="AG494" t="inlineStr"/>
      <c r="AH494" t="inlineStr"/>
      <c r="AI494" t="inlineStr">
        <is>
          <t>No result mentions EZ Biosystems; hits concern other companies' Israeli distributors (Eldan for Element Biosciences, Tivan Biotech for OZ Biosciences, Eisenberg Bros for Fluidigm, Rhenium for Life Technologies).</t>
        </is>
      </c>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Y497" t="inlineStr">
        <is>
          <t>unknown</t>
        </is>
      </c>
      <c r="Z497" t="inlineStr"/>
      <c r="AA497" t="inlineStr"/>
      <c r="AB497" t="inlineStr"/>
      <c r="AC497" t="inlineStr"/>
      <c r="AD497" t="inlineStr">
        <is>
          <t>לא נמצא בחיפוש ראשוני</t>
        </is>
      </c>
      <c r="AE497" t="inlineStr">
        <is>
          <t>חיפוש חלקי</t>
        </is>
      </c>
      <c r="AG497" t="inlineStr"/>
      <c r="AH497" t="inlineStr"/>
      <c r="AI497" t="inlineStr">
        <is>
          <t>Searched as Corning's Falcon labware brand: Corning APAC/NA distributor pages and Falcon product sheets surfaced; no Israel distributor listed in results.</t>
        </is>
      </c>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is>
          <t>888-491-5818</t>
        </is>
      </c>
      <c r="AM498" t="inlineStr">
        <is>
          <t>https://fashionsealhealthcare.com/contact-us/</t>
        </is>
      </c>
      <c r="AN498" t="inlineStr">
        <is>
          <t>https://fashionsealhealthcare.com/contact-us/</t>
        </is>
      </c>
      <c r="AP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Y499" t="inlineStr">
        <is>
          <t>unknown</t>
        </is>
      </c>
      <c r="Z499" t="inlineStr"/>
      <c r="AA499" t="inlineStr"/>
      <c r="AB499" t="inlineStr"/>
      <c r="AC499" t="inlineStr"/>
      <c r="AD499" t="inlineStr">
        <is>
          <t>לא נמצא בחיפוש ראשוני</t>
        </is>
      </c>
      <c r="AE499" t="inlineStr">
        <is>
          <t>חיפוש חלקי</t>
        </is>
      </c>
      <c r="AG499" t="inlineStr"/>
      <c r="AH499" t="inlineStr"/>
      <c r="AI499" t="inlineStr">
        <is>
          <t>Only a Cedarlane supplier page; the 'Neurotechnology' distributor page listing Israel is a different company; Eldan/AMI Technologies appeared with no link.</t>
        </is>
      </c>
      <c r="AJ499" t="inlineStr">
        <is>
          <t>+1 (301)-490-8878</t>
        </is>
      </c>
      <c r="AK499" t="inlineStr">
        <is>
          <t>info@fdneurotech.com</t>
        </is>
      </c>
      <c r="AM499" t="inlineStr">
        <is>
          <t>https://www.fdneurotech.com/contact-us</t>
        </is>
      </c>
      <c r="AN499" t="inlineStr">
        <is>
          <t>https://www.fdneurotech.com/contact-us</t>
        </is>
      </c>
      <c r="AP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is>
          <t>+1 (413) 598-8344</t>
        </is>
      </c>
      <c r="AM501" t="inlineStr">
        <is>
          <t>https://www.fgcleanwipes.com/contact-us/</t>
        </is>
      </c>
      <c r="AN501" t="inlineStr">
        <is>
          <t>https://www.fgcleanwipes.com/contact-us/</t>
        </is>
      </c>
      <c r="AP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בחיפוש ראשוני</t>
        </is>
      </c>
      <c r="AE502" t="inlineStr">
        <is>
          <t>חיפוש חלקי</t>
        </is>
      </c>
      <c r="AG502" t="inlineStr"/>
      <c r="AH502" t="inlineStr"/>
      <c r="AI502" t="inlineStr">
        <is>
          <t>No results about the company at all; only unrelated Israeli filtration/water pages.</t>
        </is>
      </c>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is>
          <t>+1800-521-2109</t>
        </is>
      </c>
      <c r="AN503" t="inlineStr">
        <is>
          <t>https://finescience.com/</t>
        </is>
      </c>
      <c r="AP503" t="inlineStr">
        <is>
          <t>https://www.quartzy.com/suppliers | https://finescience.com/</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בחיפוש ראשוני</t>
        </is>
      </c>
      <c r="AE506" t="inlineStr">
        <is>
          <t>חיפוש חלקי</t>
        </is>
      </c>
      <c r="AG506" t="inlineStr"/>
      <c r="AH506" t="inlineStr"/>
      <c r="AI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J506" t="inlineStr">
        <is>
          <t>6309809780</t>
        </is>
      </c>
      <c r="AM506" t="inlineStr">
        <is>
          <t>https://fischertech.com/contact-us</t>
        </is>
      </c>
      <c r="AN506" t="inlineStr">
        <is>
          <t>https://fischertech.com/contact-us</t>
        </is>
      </c>
      <c r="AP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K509" t="inlineStr">
        <is>
          <t>info@fluotics.com</t>
        </is>
      </c>
      <c r="AM509" t="inlineStr">
        <is>
          <t>https://www.fluotics.com/contact/</t>
        </is>
      </c>
      <c r="AN509" t="inlineStr">
        <is>
          <t>https://www.fluotics.com/contact/</t>
        </is>
      </c>
      <c r="AP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M510" t="inlineStr">
        <is>
          <t>https://foamtecintl.com/contact/</t>
        </is>
      </c>
      <c r="AN510" t="inlineStr">
        <is>
          <t>https://foamtecintl.com/contact/</t>
        </is>
      </c>
      <c r="AP510" t="inlineStr">
        <is>
          <t>https://www.thomassci.com/browse-by/suppliers/foamtec-international | https://foamtecintl.com/contact/</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Y513" t="inlineStr">
        <is>
          <t>unknown</t>
        </is>
      </c>
      <c r="Z513" t="inlineStr"/>
      <c r="AA513" t="inlineStr"/>
      <c r="AB513" t="inlineStr"/>
      <c r="AC513" t="inlineStr"/>
      <c r="AD513" t="inlineStr">
        <is>
          <t>לא נמצא בחיפוש ראשוני</t>
        </is>
      </c>
      <c r="AE513" t="inlineStr">
        <is>
          <t>חיפוש חלקי</t>
        </is>
      </c>
      <c r="AG513" t="inlineStr"/>
      <c r="AH513" t="inlineStr"/>
      <c r="AI513" t="inlineStr">
        <is>
          <t>Foxx results cover its Netherlands EU distribution centre, North American master-distribution deals (Ami Polymer, Abdos, Borosil) and a Thomas Scientific agreement; no Israel mention.</t>
        </is>
      </c>
      <c r="AJ513" t="inlineStr">
        <is>
          <t>+1 617 320-1138</t>
        </is>
      </c>
      <c r="AK513" t="inlineStr">
        <is>
          <t>sales@foxxlifesciences.com</t>
        </is>
      </c>
      <c r="AM513" t="inlineStr">
        <is>
          <t>https://www.foxxlifesciences.com/pages/contact-us</t>
        </is>
      </c>
      <c r="AN513" t="inlineStr">
        <is>
          <t>https://www.foxxlifesciences.com/pages/contact-us</t>
        </is>
      </c>
      <c r="AP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is>
          <t>03 3503 1711</t>
        </is>
      </c>
      <c r="AK514" t="inlineStr">
        <is>
          <t>info@korea.franklab.com</t>
        </is>
      </c>
      <c r="AN514" t="inlineStr">
        <is>
          <t>https://franklab.com/</t>
        </is>
      </c>
      <c r="AO514" t="inlineStr">
        <is>
          <t>Q126875135</t>
        </is>
      </c>
      <c r="AP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is>
          <t>+1 800-437-6897</t>
        </is>
      </c>
      <c r="AK515" t="inlineStr">
        <is>
          <t>sales@pioneerpump.com</t>
        </is>
      </c>
      <c r="AL515" t="inlineStr">
        <is>
          <t>Fort Wayne</t>
        </is>
      </c>
      <c r="AM515" t="inlineStr">
        <is>
          <t>https://www.franklin-electric.com/contacts/</t>
        </is>
      </c>
      <c r="AN515" t="inlineStr">
        <is>
          <t>https://www.franklin-electric.com/contacts/</t>
        </is>
      </c>
      <c r="AO515" t="inlineStr">
        <is>
          <t>Q5491478</t>
        </is>
      </c>
      <c r="AP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M516" t="inlineStr">
        <is>
          <t>https://www.freudenbergmedical.com/about/contact-us</t>
        </is>
      </c>
      <c r="AN516" t="inlineStr">
        <is>
          <t>https://www.freudenbergmedical.com/about/contact-us</t>
        </is>
      </c>
      <c r="AP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M517" t="inlineStr">
        <is>
          <t>https://www.fritsch-international.com/contact/my-information-request-list/</t>
        </is>
      </c>
      <c r="AN517" t="inlineStr">
        <is>
          <t>https://www.fritsch-international.com/contact/my-information-request-list/</t>
        </is>
      </c>
      <c r="AP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Y518" t="inlineStr">
        <is>
          <t>unknown</t>
        </is>
      </c>
      <c r="Z518" t="inlineStr"/>
      <c r="AA518" t="inlineStr"/>
      <c r="AB518" t="inlineStr"/>
      <c r="AC518" t="inlineStr"/>
      <c r="AD518" t="inlineStr">
        <is>
          <t>לא נמצא בחיפוש ראשוני</t>
        </is>
      </c>
      <c r="AE518" t="inlineStr">
        <is>
          <t>חיפוש חלקי</t>
        </is>
      </c>
      <c r="AG518" t="inlineStr"/>
      <c r="AH518" t="inlineStr"/>
      <c r="AI518" t="inlineStr">
        <is>
          <t>FroggaBio is itself a Canadian distributor (Concord, ON); no Israel channel found. BioLamina's distributor page lists Almog Diagnostic for Israel, which is unrelated to FroggaBio.</t>
        </is>
      </c>
      <c r="AJ518" t="inlineStr">
        <is>
          <t>1-877-318-7277</t>
        </is>
      </c>
      <c r="AK518" t="inlineStr">
        <is>
          <t>info@froggabio.com</t>
        </is>
      </c>
      <c r="AM518" t="inlineStr">
        <is>
          <t>https://www.froggabio.com/globalstoreview/contact/</t>
        </is>
      </c>
      <c r="AN518" t="inlineStr">
        <is>
          <t>https://www.froggabio.com/globalstoreview/contact/</t>
        </is>
      </c>
      <c r="AP518" t="inlineStr">
        <is>
          <t>https://www.quartzy.com/suppliers | https://www.thomassci.com/browse-by/suppliers/froggabio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is>
          <t>+33(0)478047575</t>
        </is>
      </c>
      <c r="AM519" t="inlineStr">
        <is>
          <t>https://www.froilabo.com/contact/</t>
        </is>
      </c>
      <c r="AN519" t="inlineStr">
        <is>
          <t>https://www.froilabo.com/contact/</t>
        </is>
      </c>
      <c r="AP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is>
          <t>(302) 266-6891</t>
        </is>
      </c>
      <c r="AM520" t="inlineStr">
        <is>
          <t>https://www.frontierscientific.com/contact/</t>
        </is>
      </c>
      <c r="AN520" t="inlineStr">
        <is>
          <t>https://www.frontierscientific.com/contact/</t>
        </is>
      </c>
      <c r="AP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is>
          <t>1-608-628-7772</t>
        </is>
      </c>
      <c r="AK523" t="inlineStr">
        <is>
          <t>contact@fugene.com</t>
        </is>
      </c>
      <c r="AM523" t="inlineStr">
        <is>
          <t>https://fugene.com/contact-us/</t>
        </is>
      </c>
      <c r="AN523" t="inlineStr">
        <is>
          <t>https://fugene.com/contact-us/</t>
        </is>
      </c>
      <c r="AP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is>
          <t>(800) 615-8699</t>
        </is>
      </c>
      <c r="AM525" t="inlineStr">
        <is>
          <t>https://orderfytertech.com/contact-us/</t>
        </is>
      </c>
      <c r="AN525" t="inlineStr">
        <is>
          <t>https://orderfytertech.com/contact-us/</t>
        </is>
      </c>
      <c r="AP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מפיץ/נציג בישראל</t>
        </is>
      </c>
      <c r="AE526" t="inlineStr">
        <is>
          <t>חיפוש חלקי</t>
        </is>
      </c>
      <c r="AF526" t="n">
        <v>2026</v>
      </c>
      <c r="AG526" t="inlineStr">
        <is>
          <t>Yair Technologies (Yair Tech)</t>
        </is>
      </c>
      <c r="AH526" t="inlineStr">
        <is>
          <t>Yair Technologies (Yair Tech):</t>
        </is>
      </c>
      <c r="AI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J526" t="inlineStr"/>
      <c r="AP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Y529" t="inlineStr">
        <is>
          <t>unknown</t>
        </is>
      </c>
      <c r="Z529" t="inlineStr"/>
      <c r="AA529" t="inlineStr"/>
      <c r="AB529" t="inlineStr"/>
      <c r="AC529" t="inlineStr"/>
      <c r="AD529" t="inlineStr">
        <is>
          <t>לא נמצא בחיפוש ראשוני</t>
        </is>
      </c>
      <c r="AE529" t="inlineStr">
        <is>
          <t>חיפוש חלקי</t>
        </is>
      </c>
      <c r="AG529" t="inlineStr"/>
      <c r="AH529" t="inlineStr"/>
      <c r="AI529" t="inlineStr">
        <is>
          <t>GA International / LabTAG (Laval, Quebec) says it ships worldwide; the only Israeli hits are unrelated label/sticker importers on chamber.org.il; no distributor named.</t>
        </is>
      </c>
      <c r="AJ529" t="inlineStr">
        <is>
          <t>+1-450-973-9420</t>
        </is>
      </c>
      <c r="AN529" t="inlineStr">
        <is>
          <t>https://www.ga-international.com/</t>
        </is>
      </c>
      <c r="AP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is>
          <t>18008005954</t>
        </is>
      </c>
      <c r="AK530" t="inlineStr">
        <is>
          <t>sales@gagneinc.com</t>
        </is>
      </c>
      <c r="AM530" t="inlineStr">
        <is>
          <t>https://gagneinc.com/contact/</t>
        </is>
      </c>
      <c r="AN530" t="inlineStr">
        <is>
          <t>https://gagneinc.com/contact/</t>
        </is>
      </c>
      <c r="AP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is>
          <t>866-803-5397</t>
        </is>
      </c>
      <c r="AM531" t="inlineStr">
        <is>
          <t>https://www.gardnerbender.com/contact</t>
        </is>
      </c>
      <c r="AN531" t="inlineStr">
        <is>
          <t>https://www.gardnerbender.com/contact</t>
        </is>
      </c>
      <c r="AP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is>
          <t>16502235509</t>
        </is>
      </c>
      <c r="AM533" t="inlineStr">
        <is>
          <t>https://gatescientific.com/contact-us-2</t>
        </is>
      </c>
      <c r="AN533" t="inlineStr">
        <is>
          <t>https://gatescientific.com/contact-us-2</t>
        </is>
      </c>
      <c r="AP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is>
          <t>+1(626)-969-7838</t>
        </is>
      </c>
      <c r="AK535" t="inlineStr">
        <is>
          <t>sales@gdcareinc.com</t>
        </is>
      </c>
      <c r="AM535" t="inlineStr">
        <is>
          <t>https://www.gdcareinc.com/contact</t>
        </is>
      </c>
      <c r="AN535" t="inlineStr">
        <is>
          <t>https://www.gdcareinc.com/contact</t>
        </is>
      </c>
      <c r="AP535" t="inlineStr">
        <is>
          <t>https://www.thomassci.com/browse-by/suppliers/gd-care | https://www.gdcareinc.com/contact</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is>
          <t>901-005-203</t>
        </is>
      </c>
      <c r="AK538" t="inlineStr">
        <is>
          <t>customerservice@geminibio.com</t>
        </is>
      </c>
      <c r="AN538" t="inlineStr">
        <is>
          <t>https://www.geminibio.com/</t>
        </is>
      </c>
      <c r="AP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is>
          <t>1-949-553-1900</t>
        </is>
      </c>
      <c r="AK543" t="inlineStr">
        <is>
          <t>info@genetex.com</t>
        </is>
      </c>
      <c r="AM543" t="inlineStr">
        <is>
          <t>https://www.genetex.com/contact</t>
        </is>
      </c>
      <c r="AN543" t="inlineStr">
        <is>
          <t>https://www.genetex.com/contact</t>
        </is>
      </c>
      <c r="AP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K545" t="inlineStr">
        <is>
          <t>support@genlantisdx.com</t>
        </is>
      </c>
      <c r="AN545" t="inlineStr">
        <is>
          <t>https://genlantisdx.com/</t>
        </is>
      </c>
      <c r="AP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is>
          <t>+86 187 2162 7299</t>
        </is>
      </c>
      <c r="AK546" t="inlineStr">
        <is>
          <t>order@genovis.com</t>
        </is>
      </c>
      <c r="AM546" t="inlineStr">
        <is>
          <t>https://www.genovis.com/support/contact-us/</t>
        </is>
      </c>
      <c r="AN546" t="inlineStr">
        <is>
          <t>https://www.genovis.com/support/contact-us/</t>
        </is>
      </c>
      <c r="AP546" t="inlineStr">
        <is>
          <t>https://www.quartzy.com/suppliers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Y547" t="inlineStr">
        <is>
          <t>unknown</t>
        </is>
      </c>
      <c r="Z547" t="inlineStr"/>
      <c r="AA547" t="inlineStr"/>
      <c r="AB547" t="inlineStr"/>
      <c r="AC547" t="inlineStr"/>
      <c r="AD547" t="inlineStr">
        <is>
          <t>לא ברור</t>
        </is>
      </c>
      <c r="AE547" t="inlineStr">
        <is>
          <t>חיפוש חלקי</t>
        </is>
      </c>
      <c r="AG547" t="inlineStr"/>
      <c r="AH547" t="inlineStr"/>
      <c r="AI547" t="inlineStr">
        <is>
          <t>No distributor named. A third-party job listing (Mar 2026) for 'Sales Account Manager, Israel' at 'GenScript Israel' suggests direct sales coverage, and a company-data profile lists Israel as a new market, but nothing was confirmed on a GenScript page.</t>
        </is>
      </c>
      <c r="AJ547" t="inlineStr">
        <is>
          <t>+86-025-58897288</t>
        </is>
      </c>
      <c r="AK547" t="inlineStr">
        <is>
          <t>order@genscript.com</t>
        </is>
      </c>
      <c r="AM547" t="inlineStr">
        <is>
          <t>https://www.genscript.com/contact.html</t>
        </is>
      </c>
      <c r="AN547" t="inlineStr">
        <is>
          <t>https://www.genscript.com/contact.html</t>
        </is>
      </c>
      <c r="AP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N548" t="inlineStr">
        <is>
          <t>https://www.gp.com/</t>
        </is>
      </c>
      <c r="AP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Y551" t="inlineStr">
        <is>
          <t>unknown</t>
        </is>
      </c>
      <c r="Z551" t="inlineStr"/>
      <c r="AA551" t="inlineStr"/>
      <c r="AB551" t="inlineStr"/>
      <c r="AC551" t="inlineStr"/>
      <c r="AD551" t="inlineStr">
        <is>
          <t>לא נמצא בחיפוש ראשוני</t>
        </is>
      </c>
      <c r="AE551" t="inlineStr">
        <is>
          <t>חיפוש חלקי</t>
        </is>
      </c>
      <c r="AG551" t="inlineStr"/>
      <c r="AH551" t="inlineStr"/>
      <c r="AI551" t="inlineStr">
        <is>
          <t>No result mentioned GFS Chemicals; only general Israeli specialty-chemical distributors (BSC Distributors, Orokia/Azelis, Lidorr, Y.S. Ashkenazi/Brenntag).</t>
        </is>
      </c>
      <c r="AJ551" t="inlineStr"/>
      <c r="AN551" t="inlineStr">
        <is>
          <t>https://www.gfschemicals.com/</t>
        </is>
      </c>
      <c r="AP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is>
          <t>+3320042072201720572072</t>
        </is>
      </c>
      <c r="AM552" t="inlineStr">
        <is>
          <t>https://www.gilac.com/en/contact-us</t>
        </is>
      </c>
      <c r="AN552" t="inlineStr">
        <is>
          <t>https://www.gilac.com/en/contact-us</t>
        </is>
      </c>
      <c r="AP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is>
          <t>812-235-6167</t>
        </is>
      </c>
      <c r="AM554" t="inlineStr">
        <is>
          <t>https://www.glascol.com/Contact-Us</t>
        </is>
      </c>
      <c r="AN554" t="inlineStr">
        <is>
          <t>https://www.glascol.com/Contact-Us</t>
        </is>
      </c>
      <c r="AP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is>
          <t>+12015991400</t>
        </is>
      </c>
      <c r="AK557" t="inlineStr">
        <is>
          <t>mail@globescientific.com</t>
        </is>
      </c>
      <c r="AM557" t="inlineStr">
        <is>
          <t>https://globescientific.com/pages/contact-us</t>
        </is>
      </c>
      <c r="AN557" t="inlineStr">
        <is>
          <t>https://globescientific.com/pages/contact-us</t>
        </is>
      </c>
      <c r="AP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בחיפוש ראשוני</t>
        </is>
      </c>
      <c r="AE558" t="inlineStr">
        <is>
          <t>חיפוש חלקי</t>
        </is>
      </c>
      <c r="AG558" t="inlineStr"/>
      <c r="AH558" t="inlineStr"/>
      <c r="AI558" t="inlineStr">
        <is>
          <t>No result mentions the company; hits were unrelated Israeli pharma labeling services (Dor), importers (Propharm) and MoH GMP certificates.</t>
        </is>
      </c>
      <c r="AJ558" t="inlineStr">
        <is>
          <t>(800) 637-4487</t>
        </is>
      </c>
      <c r="AK558" t="inlineStr">
        <is>
          <t>sales@gmplabeling.com</t>
        </is>
      </c>
      <c r="AM558" t="inlineStr">
        <is>
          <t>https://gmplabeling.com/contact-us/</t>
        </is>
      </c>
      <c r="AN558" t="inlineStr">
        <is>
          <t>https://gmplabeling.com/contact-us/</t>
        </is>
      </c>
      <c r="AP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is>
          <t>18009507950</t>
        </is>
      </c>
      <c r="AM561" t="inlineStr">
        <is>
          <t>https://www.gordonbrush.com/contact</t>
        </is>
      </c>
      <c r="AN561" t="inlineStr">
        <is>
          <t>https://www.gordonbrush.com/contact</t>
        </is>
      </c>
      <c r="AP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is>
          <t>+18008137339</t>
        </is>
      </c>
      <c r="AM563" t="inlineStr">
        <is>
          <t>https://gracebio.com/contact-us/</t>
        </is>
      </c>
      <c r="AN563" t="inlineStr">
        <is>
          <t>https://gracebio.com/contact-us/</t>
        </is>
      </c>
      <c r="AP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is>
          <t>(800) 558-6765</t>
        </is>
      </c>
      <c r="AN564" t="inlineStr">
        <is>
          <t>https://www.grahammedical.com/</t>
        </is>
      </c>
      <c r="AP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is>
          <t>1-800-472-4643</t>
        </is>
      </c>
      <c r="AN565" t="inlineStr">
        <is>
          <t>https://www.grainger.com/</t>
        </is>
      </c>
      <c r="AP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is>
          <t>1763 260 811</t>
        </is>
      </c>
      <c r="AM568" t="inlineStr">
        <is>
          <t>https://www.grantinstruments.com/pages/contact-us</t>
        </is>
      </c>
      <c r="AN568" t="inlineStr">
        <is>
          <t>https://www.grantinstruments.com/pages/contact-us</t>
        </is>
      </c>
      <c r="AP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is>
          <t>+800.669.1535</t>
        </is>
      </c>
      <c r="AM569" t="inlineStr">
        <is>
          <t>https://www.graphiccontrols.com/en/contact-us/</t>
        </is>
      </c>
      <c r="AN569" t="inlineStr">
        <is>
          <t>https://www.graphiccontrols.com/en/contact-us/</t>
        </is>
      </c>
      <c r="AP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Y573" t="inlineStr">
        <is>
          <t>unknown</t>
        </is>
      </c>
      <c r="Z573" t="inlineStr"/>
      <c r="AA573" t="inlineStr"/>
      <c r="AB573" t="inlineStr"/>
      <c r="AC573" t="inlineStr"/>
      <c r="AD573" t="inlineStr">
        <is>
          <t>לא נמצא בחיפוש ראשוני</t>
        </is>
      </c>
      <c r="AE573" t="inlineStr">
        <is>
          <t>חיפוש חלקי</t>
        </is>
      </c>
      <c r="AG573" t="inlineStr"/>
      <c r="AH573" t="inlineStr"/>
      <c r="AI573" t="inlineStr">
        <is>
          <t>Greenwood Products (Piscataway, NJ; acquired by Calibre Scientific, April 2023) results are US-only; Israeli distributor pages (Rhenium, Enco, S.L. Moran) do not mention Greenwood.</t>
        </is>
      </c>
      <c r="AJ573" t="inlineStr">
        <is>
          <t>800-333-3898</t>
        </is>
      </c>
      <c r="AM573" t="inlineStr">
        <is>
          <t>https://greenwoodproducts.com/pages/contact-sales</t>
        </is>
      </c>
      <c r="AN573" t="inlineStr">
        <is>
          <t>https://greenwoodproducts.com/pages/contact-sales</t>
        </is>
      </c>
      <c r="AP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M574" t="inlineStr">
        <is>
          <t>https://www.gbo.com/en-us/contact</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is>
          <t>877-780-6200</t>
        </is>
      </c>
      <c r="AK577" t="inlineStr">
        <is>
          <t>support@growcells.comorders</t>
        </is>
      </c>
      <c r="AM577" t="inlineStr">
        <is>
          <t>https://www.growcells.com/contact-us/</t>
        </is>
      </c>
      <c r="AN577" t="inlineStr">
        <is>
          <t>https://www.growcells.com/contact-us/</t>
        </is>
      </c>
      <c r="AP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is>
          <t>1 800 361-2862</t>
        </is>
      </c>
      <c r="AM578" t="inlineStr">
        <is>
          <t>https://medicom.com/contact-us/</t>
        </is>
      </c>
      <c r="AN578" t="inlineStr">
        <is>
          <t>https://medicom.com/contact-us/</t>
        </is>
      </c>
      <c r="AP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is>
          <t>+18884827342</t>
        </is>
      </c>
      <c r="AM580" t="inlineStr">
        <is>
          <t>https://www.guardianlife.com/contact-us</t>
        </is>
      </c>
      <c r="AN580" t="inlineStr">
        <is>
          <t>https://www.guardianlife.com/contact-us</t>
        </is>
      </c>
      <c r="AP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is>
          <t>32926 2971</t>
        </is>
      </c>
      <c r="AM581" t="inlineStr">
        <is>
          <t>https://www.guardianmfg.com/contact/</t>
        </is>
      </c>
      <c r="AN581" t="inlineStr">
        <is>
          <t>https://www.guardianmfg.com/contact/</t>
        </is>
      </c>
      <c r="AP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is>
          <t>00644831208</t>
        </is>
      </c>
      <c r="AM582" t="inlineStr">
        <is>
          <t>https://www.gvs.com/en/contact-us/careers/</t>
        </is>
      </c>
      <c r="AN582" t="inlineStr">
        <is>
          <t>https://www.gvs.com/en/contact-us/careers/</t>
        </is>
      </c>
      <c r="AP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K586" t="inlineStr">
        <is>
          <t>inquiry@haierbiomedical.com</t>
        </is>
      </c>
      <c r="AL586" t="inlineStr">
        <is>
          <t>Branding Building, No. 1 Haier Road, Qingdao 266101, Shandong, China (CB Insights lists No. 280 Feng Yuan Road, Qingdao)</t>
        </is>
      </c>
      <c r="AM586" t="inlineStr">
        <is>
          <t>https://www.haiermedical.com/contact</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M587" t="inlineStr">
        <is>
          <t>https://www.halyardhealth.sg/contact-a-sales-rep/</t>
        </is>
      </c>
      <c r="AN587" t="inlineStr">
        <is>
          <t>https://www.halyardhealth.sg/contact-a-sales-rep/</t>
        </is>
      </c>
      <c r="AP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M591" t="inlineStr">
        <is>
          <t>https://hannainst.com/contact-us/</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בחיפוש ראשוני</t>
        </is>
      </c>
      <c r="AE592" t="inlineStr">
        <is>
          <t>חיפוש חלקי</t>
        </is>
      </c>
      <c r="AG592" t="inlineStr"/>
      <c r="AH592" t="inlineStr"/>
      <c r="AI592" t="inlineStr">
        <is>
          <t>Hardy Diagnostics (Santa Maria, CA) exports to 80+ foreign distributors (unnamed); no Israeli distributor named in results.</t>
        </is>
      </c>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N593" t="inlineStr">
        <is>
          <t>https://www.hartmann.info/en-dx/country-selection</t>
        </is>
      </c>
      <c r="AP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Y594" t="inlineStr">
        <is>
          <t>unknown</t>
        </is>
      </c>
      <c r="Z594" t="inlineStr"/>
      <c r="AA594" t="inlineStr"/>
      <c r="AB594" t="inlineStr"/>
      <c r="AC594" t="inlineStr"/>
      <c r="AD594" t="inlineStr">
        <is>
          <t>לא נמצא בחיפוש ראשוני</t>
        </is>
      </c>
      <c r="AE594" t="inlineStr">
        <is>
          <t>חיפוש חלקי</t>
        </is>
      </c>
      <c r="AG594" t="inlineStr"/>
      <c r="AH594" t="inlineStr"/>
      <c r="AI594" t="inlineStr">
        <is>
          <t>Harvard Bioscience says it sells via direct and distribution channels; no Israeli distributor named (only a used-equipment eBay seller in Petah Tikva).</t>
        </is>
      </c>
      <c r="AJ594" t="inlineStr">
        <is>
          <t>+800-232-2380</t>
        </is>
      </c>
      <c r="AK594" t="inlineStr">
        <is>
          <t>orders@harvardapparatus.com</t>
        </is>
      </c>
      <c r="AM594" t="inlineStr">
        <is>
          <t>https://www.harvardapparatus.com/contact</t>
        </is>
      </c>
      <c r="AN594" t="inlineStr">
        <is>
          <t>https://www.harvardapparatus.com/contact</t>
        </is>
      </c>
      <c r="AP594" t="inlineStr">
        <is>
          <t>https://www.quartzy.com/suppliers | https://www.thomassci.com/browse-by/suppliers/harvard-apparatus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is>
          <t>215.675.7769</t>
        </is>
      </c>
      <c r="AK595" t="inlineStr">
        <is>
          <t>sales@hausserscientific.com</t>
        </is>
      </c>
      <c r="AM595" t="inlineStr">
        <is>
          <t>https://www.hausserscientific.com/Contact-Us.html</t>
        </is>
      </c>
      <c r="AN595" t="inlineStr">
        <is>
          <t>https://www.hausserscientific.com/Contact-Us.html</t>
        </is>
      </c>
      <c r="AP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בחיפוש ראשוני</t>
        </is>
      </c>
      <c r="AE597" t="inlineStr">
        <is>
          <t>חיפוש חלקי</t>
        </is>
      </c>
      <c r="AG597" t="inlineStr"/>
      <c r="AH597" t="inlineStr"/>
      <c r="AI597" t="inlineStr">
        <is>
          <t>Only distributor listings in Australia/NZ/US (DKSH, Raptor, Mediray, VWR, Sigma); no Israel mention.</t>
        </is>
      </c>
      <c r="AJ597" t="inlineStr">
        <is>
          <t>1-847-816-5070</t>
        </is>
      </c>
      <c r="AM597" t="inlineStr">
        <is>
          <t>https://www.heathrowscientific.com/contactus/</t>
        </is>
      </c>
      <c r="AN597" t="inlineStr">
        <is>
          <t>https://www.heathrowscientific.com/contactus/</t>
        </is>
      </c>
      <c r="AP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clearbit_verified</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is>
          <t>609-683-7500</t>
        </is>
      </c>
      <c r="AK600" t="inlineStr">
        <is>
          <t>hello@hellobio.com</t>
        </is>
      </c>
      <c r="AM600" t="inlineStr">
        <is>
          <t>https://hellobio.com/contact-us</t>
        </is>
      </c>
      <c r="AN600" t="inlineStr">
        <is>
          <t>https://hellobio.com/contact-us</t>
        </is>
      </c>
      <c r="AP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is>
          <t>(816) 796-2900</t>
        </is>
      </c>
      <c r="AK601" t="inlineStr">
        <is>
          <t>info@hemcocorp.com</t>
        </is>
      </c>
      <c r="AM601" t="inlineStr">
        <is>
          <t>https://hemcocorp.com/contactus.html</t>
        </is>
      </c>
      <c r="AN601" t="inlineStr">
        <is>
          <t>https://hemcocorp.com/contactus.html</t>
        </is>
      </c>
      <c r="AP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M604" t="inlineStr">
        <is>
          <t>https://www.hettichlab.com/contact/</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M605" t="inlineStr">
        <is>
          <t>https://www.hettichlab.com/contact/</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N607" t="inlineStr">
        <is>
          <t>https://www.highfive.org/</t>
        </is>
      </c>
      <c r="AP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is>
          <t>+1.716.882.0920</t>
        </is>
      </c>
      <c r="AM608" t="inlineStr">
        <is>
          <t>https://www.zeptometrix.com/us/en/contact</t>
        </is>
      </c>
      <c r="AN608" t="inlineStr">
        <is>
          <t>https://www.zeptometrix.com/us/en/contact</t>
        </is>
      </c>
      <c r="AP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is>
          <t>860-265-2633</t>
        </is>
      </c>
      <c r="AK609" t="inlineStr">
        <is>
          <t>info@high-techconversions.com</t>
        </is>
      </c>
      <c r="AM609" t="inlineStr">
        <is>
          <t>https://high-techconversions.com/contact/</t>
        </is>
      </c>
      <c r="AN609" t="inlineStr">
        <is>
          <t>https://high-techconversions.com/contact/</t>
        </is>
      </c>
      <c r="AP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Y610" t="inlineStr">
        <is>
          <t>unknown</t>
        </is>
      </c>
      <c r="Z610" t="inlineStr"/>
      <c r="AA610" t="inlineStr"/>
      <c r="AB610" t="inlineStr"/>
      <c r="AC610" t="inlineStr"/>
      <c r="AD610" t="inlineStr">
        <is>
          <t>לא נמצא בחיפוש ראשוני</t>
        </is>
      </c>
      <c r="AE610" t="inlineStr">
        <is>
          <t>חיפוש חלקי</t>
        </is>
      </c>
      <c r="AG610" t="inlineStr"/>
      <c r="AH610" t="inlineStr"/>
      <c r="AI610" t="inlineStr">
        <is>
          <t>HiMedia distributors found for Germany (neoFroxx, exclusive) and North America (own subsidiary HiMedia Laboratories LLC) plus a VWR India agreement; no Israel entry.</t>
        </is>
      </c>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בחיפוש ראשוני</t>
        </is>
      </c>
      <c r="AE612" t="inlineStr">
        <is>
          <t>חיפוש חלקי</t>
        </is>
      </c>
      <c r="AG612" t="inlineStr"/>
      <c r="AH612" t="inlineStr"/>
      <c r="AI612" t="inlineStr">
        <is>
          <t>Hirschmann Laborgeraete claims sales partners in 100+ countries but none named for Israel; results polluted by the unrelated Hirschmann Test &amp; Measurement (SOS electronic).</t>
        </is>
      </c>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Y613" t="inlineStr">
        <is>
          <t>unknown</t>
        </is>
      </c>
      <c r="Z613" t="inlineStr"/>
      <c r="AA613" t="inlineStr"/>
      <c r="AB613" t="inlineStr"/>
      <c r="AC613" t="inlineStr"/>
      <c r="AD613" t="inlineStr">
        <is>
          <t>לא נמצא בחיפוש ראשוני</t>
        </is>
      </c>
      <c r="AE613" t="inlineStr">
        <is>
          <t>חיפוש חלקי</t>
        </is>
      </c>
      <c r="AG613" t="inlineStr"/>
      <c r="AH613" t="inlineStr"/>
      <c r="AI613" t="inlineStr">
        <is>
          <t>Only product/brand pages (Sigma-Aldrich, DKSH, Fisher, ThomasSci); no Israeli partner.</t>
        </is>
      </c>
      <c r="AJ613" t="inlineStr">
        <is>
          <t>+1 (508) 807-4665</t>
        </is>
      </c>
      <c r="AK613" t="inlineStr">
        <is>
          <t>sales@hoeferinc.com</t>
        </is>
      </c>
      <c r="AM613" t="inlineStr">
        <is>
          <t>https://hoeferinc.com/pages/contact</t>
        </is>
      </c>
      <c r="AN613" t="inlineStr">
        <is>
          <t>https://hoeferinc.com/pages/contact</t>
        </is>
      </c>
      <c r="AP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Y614" t="inlineStr">
        <is>
          <t>unknown</t>
        </is>
      </c>
      <c r="Z614" t="inlineStr"/>
      <c r="AA614" t="inlineStr"/>
      <c r="AB614" t="inlineStr"/>
      <c r="AC614" t="inlineStr"/>
      <c r="AD614" t="inlineStr">
        <is>
          <t>לא נמצא בחיפוש ראשוני</t>
        </is>
      </c>
      <c r="AE614" t="inlineStr">
        <is>
          <t>חיפוש חלקי</t>
        </is>
      </c>
      <c r="AG614" t="inlineStr"/>
      <c r="AH614" t="inlineStr"/>
      <c r="AI614" t="inlineStr">
        <is>
          <t>Searched for Honeywell Research Chemicals (Fluka/Riedel-de Haen): only acquisition news (2015) and a German dealer (Altmann Analytik, 2016); no Israeli channel surfaced. Honeywell's wider corporate presence in Israel was not covered by this search.</t>
        </is>
      </c>
      <c r="AJ614" t="inlineStr"/>
      <c r="AM614" t="inlineStr">
        <is>
          <t>https://www.honeywell.com/us/en/contact</t>
        </is>
      </c>
      <c r="AN614" t="inlineStr">
        <is>
          <t>https://www.honeywell.com/us/en/contact</t>
        </is>
      </c>
      <c r="AP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is>
          <t>(903) 595-3444</t>
        </is>
      </c>
      <c r="AM619" t="inlineStr">
        <is>
          <t>https://www.horizonind.com/pages/contact-us/</t>
        </is>
      </c>
      <c r="AN619" t="inlineStr">
        <is>
          <t>https://www.horizonind.com/pages/contact-us/</t>
        </is>
      </c>
      <c r="AP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N620" t="inlineStr">
        <is>
          <t>https://www.horizonscientific.com/</t>
        </is>
      </c>
      <c r="AP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is>
          <t>3157240196</t>
        </is>
      </c>
      <c r="AM625" t="inlineStr">
        <is>
          <t>https://hpkindustries.com/contact/</t>
        </is>
      </c>
      <c r="AN625" t="inlineStr">
        <is>
          <t>https://hpkindustries.com/contact/</t>
        </is>
      </c>
      <c r="AP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is>
          <t>15188282180</t>
        </is>
      </c>
      <c r="AK628" t="inlineStr">
        <is>
          <t>sales@hudsonvalleylyomac.com</t>
        </is>
      </c>
      <c r="AM628" t="inlineStr">
        <is>
          <t>https://hudsonvalleylyomac.com/contact-us/</t>
        </is>
      </c>
      <c r="AN628" t="inlineStr">
        <is>
          <t>https://hudsonvalleylyomac.com/contact-us/</t>
        </is>
      </c>
      <c r="AP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K633" t="inlineStr">
        <is>
          <t>info@hydrox.earth</t>
        </is>
      </c>
      <c r="AM633" t="inlineStr">
        <is>
          <t>https://hydrox.earth/contact-hydro-x/</t>
        </is>
      </c>
      <c r="AN633" t="inlineStr">
        <is>
          <t>https://hydrox.earth/contact-hydro-x/</t>
        </is>
      </c>
      <c r="AP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is>
          <t>(215) 925 2285</t>
        </is>
      </c>
      <c r="AK636" t="inlineStr">
        <is>
          <t>sales@imillermicroscopes.com</t>
        </is>
      </c>
      <c r="AM636" t="inlineStr">
        <is>
          <t>https://imillermicroscopes.com/pages/contact-us</t>
        </is>
      </c>
      <c r="AN636" t="inlineStr">
        <is>
          <t>https://imillermicroscopes.com/pages/contact-us</t>
        </is>
      </c>
      <c r="AP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is>
          <t>+49551506720</t>
        </is>
      </c>
      <c r="AK639" t="inlineStr">
        <is>
          <t>info@iba-lifesciences.com</t>
        </is>
      </c>
      <c r="AM639" t="inlineStr">
        <is>
          <t>https://www.iba-lifesciences.com/contact/</t>
        </is>
      </c>
      <c r="AN639" t="inlineStr">
        <is>
          <t>https://www.iba-lifesciences.com/contact/</t>
        </is>
      </c>
      <c r="AP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is>
          <t>+49551506720</t>
        </is>
      </c>
      <c r="AK640" t="inlineStr">
        <is>
          <t>info@iba-lifesciences.com</t>
        </is>
      </c>
      <c r="AM640" t="inlineStr">
        <is>
          <t>https://www.iba-lifesciences.com/contact/</t>
        </is>
      </c>
      <c r="AN640" t="inlineStr">
        <is>
          <t>https://www.iba-lifesciences.com/contact/</t>
        </is>
      </c>
      <c r="AP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Y641" t="inlineStr">
        <is>
          <t>unknown</t>
        </is>
      </c>
      <c r="Z641" t="inlineStr"/>
      <c r="AA641" t="inlineStr"/>
      <c r="AB641" t="inlineStr"/>
      <c r="AC641" t="inlineStr"/>
      <c r="AD641" t="inlineStr">
        <is>
          <t>לא נמצא בחיפוש ראשוני</t>
        </is>
      </c>
      <c r="AE641" t="inlineStr">
        <is>
          <t>חיפוש חלקי</t>
        </is>
      </c>
      <c r="AG641" t="inlineStr"/>
      <c r="AH641" t="inlineStr"/>
      <c r="AI641" t="inlineStr">
        <is>
          <t>Company profiles and US resellers only; Agentek/Enco appeared with no link to IBI.</t>
        </is>
      </c>
      <c r="AJ641" t="inlineStr">
        <is>
          <t>800-253-4942</t>
        </is>
      </c>
      <c r="AK641" t="inlineStr">
        <is>
          <t>info@ibisci.com</t>
        </is>
      </c>
      <c r="AM641" t="inlineStr">
        <is>
          <t>https://www.ibisci.com/pages/contact-us</t>
        </is>
      </c>
      <c r="AN641" t="inlineStr">
        <is>
          <t>https://www.ibisci.com/pages/contact-us</t>
        </is>
      </c>
      <c r="AP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is>
          <t>855-390-4202</t>
        </is>
      </c>
      <c r="AK642" t="inlineStr">
        <is>
          <t>sales@ibisscientific.com</t>
        </is>
      </c>
      <c r="AM642" t="inlineStr">
        <is>
          <t>https://ibisscientific.com/contact-us/</t>
        </is>
      </c>
      <c r="AN642" t="inlineStr">
        <is>
          <t>https://ibisscientific.com/contact-us/</t>
        </is>
      </c>
      <c r="AP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is>
          <t>(877) 411-2041</t>
        </is>
      </c>
      <c r="AM643" t="inlineStr">
        <is>
          <t>https://ibtbioservices.com/contact/</t>
        </is>
      </c>
      <c r="AN643" t="inlineStr">
        <is>
          <t>https://ibtbioservices.com/contact/</t>
        </is>
      </c>
      <c r="AP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is>
          <t>8004260191</t>
        </is>
      </c>
      <c r="AK646" t="inlineStr">
        <is>
          <t>info@avr-optics.com</t>
        </is>
      </c>
      <c r="AM646" t="inlineStr">
        <is>
          <t>https://www.idex-hs.com/contact/contact-us</t>
        </is>
      </c>
      <c r="AN646" t="inlineStr">
        <is>
          <t>https://www.idex-hs.com/contact/contact-us</t>
        </is>
      </c>
      <c r="AP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is>
          <t>877-929-7766</t>
        </is>
      </c>
      <c r="AK647" t="inlineStr">
        <is>
          <t>info@ignytebio.com</t>
        </is>
      </c>
      <c r="AM647" t="inlineStr">
        <is>
          <t>https://www.ignytebio.com/contact/</t>
        </is>
      </c>
      <c r="AN647" t="inlineStr">
        <is>
          <t>https://www.ignytebio.com/contact/</t>
        </is>
      </c>
      <c r="AP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Y652" t="inlineStr">
        <is>
          <t>unknown</t>
        </is>
      </c>
      <c r="Z652" t="inlineStr"/>
      <c r="AA652" t="inlineStr"/>
      <c r="AB652" t="inlineStr"/>
      <c r="AC652" t="inlineStr"/>
      <c r="AD652" t="inlineStr">
        <is>
          <t>לא נמצא בחיפוש ראשוני</t>
        </is>
      </c>
      <c r="AE652" t="inlineStr">
        <is>
          <t>חיפוש חלקי</t>
        </is>
      </c>
      <c r="AG652" t="inlineStr"/>
      <c r="AH652" t="inlineStr"/>
      <c r="AI652" t="inlineStr">
        <is>
          <t>Implen distributors found for Australia (LabGear Australia, exclusive) and India (Inkarp Instruments), plus Fisher Scientific EU brand pages; no Israel mention. Note: website in targets (implen.cn) is not the manufacturer's main site (implen.de).</t>
        </is>
      </c>
      <c r="AJ652" t="inlineStr">
        <is>
          <t>+498972637180</t>
        </is>
      </c>
      <c r="AK652" t="inlineStr">
        <is>
          <t>info@implen.com</t>
        </is>
      </c>
      <c r="AM652" t="inlineStr">
        <is>
          <t>https://www.implen.de/support/</t>
        </is>
      </c>
      <c r="AN652" t="inlineStr">
        <is>
          <t>https://www.implen.de/support/</t>
        </is>
      </c>
      <c r="AP652" t="inlineStr">
        <is>
          <t>https://www.dutscher.com/search?initialFilters=brand:Implen | https://www.thomassci.com/browse-by/suppliers/implen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Y653" t="inlineStr">
        <is>
          <t>unknown</t>
        </is>
      </c>
      <c r="Z653" t="inlineStr"/>
      <c r="AA653" t="inlineStr"/>
      <c r="AB653" t="inlineStr"/>
      <c r="AC653" t="inlineStr"/>
      <c r="AD653" t="inlineStr">
        <is>
          <t>לא נמצא בחיפוש ראשוני</t>
        </is>
      </c>
      <c r="AE653" t="inlineStr">
        <is>
          <t>חיפוש חלקי</t>
        </is>
      </c>
      <c r="AG653" t="inlineStr"/>
      <c r="AH653" t="inlineStr"/>
      <c r="AI653" t="inlineStr">
        <is>
          <t>Guangzhou Improve Medical Instruments profiles and US trade records only; Guangzhou-Israel biotech news does not name the company. Target website improvemed.com.ua is wrong.</t>
        </is>
      </c>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N658" t="inlineStr">
        <is>
          <t>https://inficon.com/</t>
        </is>
      </c>
      <c r="AP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is>
          <t>4437573500</t>
        </is>
      </c>
      <c r="AM659" t="inlineStr">
        <is>
          <t>https://www.informs.org/About-INFORMS/Contact-Us</t>
        </is>
      </c>
      <c r="AN659" t="inlineStr">
        <is>
          <t>https://www.informs.org/About-INFORMS/Contact-Us</t>
        </is>
      </c>
      <c r="AP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בחיפוש ראשוני</t>
        </is>
      </c>
      <c r="AE663" t="inlineStr">
        <is>
          <t>חיפוש חלקי</t>
        </is>
      </c>
      <c r="AG663" t="inlineStr"/>
      <c r="AH663" t="inlineStr"/>
      <c r="AI663" t="inlineStr">
        <is>
          <t>No result mentioned Innovative Bioscience; only unrelated Israeli distributors (Tivan Biotech for OZ Biosciences, Enco, Syntezza, Rhenium for Tosoh/Life Technologies).</t>
        </is>
      </c>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is>
          <t>248-896-0145</t>
        </is>
      </c>
      <c r="AK664" t="inlineStr">
        <is>
          <t>sales@innov-research.com</t>
        </is>
      </c>
      <c r="AM664" t="inlineStr">
        <is>
          <t>https://www.innov-research.com/pages/contact-us</t>
        </is>
      </c>
      <c r="AN664" t="inlineStr">
        <is>
          <t>https://www.innov-research.com/pages/contact-us</t>
        </is>
      </c>
      <c r="AP664" t="inlineStr">
        <is>
          <t>https://www.quartzy.com/suppliers | https://www.innov-research.com/pages/contact-us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Y666" t="inlineStr">
        <is>
          <t>unknown</t>
        </is>
      </c>
      <c r="Z666" t="inlineStr"/>
      <c r="AA666" t="inlineStr"/>
      <c r="AB666" t="inlineStr"/>
      <c r="AC666" t="inlineStr"/>
      <c r="AD666" t="inlineStr">
        <is>
          <t>לא נמצא בחיפוש ראשוני</t>
        </is>
      </c>
      <c r="AE666" t="inlineStr">
        <is>
          <t>חיפוש חלקי</t>
        </is>
      </c>
      <c r="AG666" t="inlineStr"/>
      <c r="AH666" t="inlineStr"/>
      <c r="AI666" t="inlineStr">
        <is>
          <t>IV's international-operations page says it uses one exclusive distributor per territory outside US/Canada; only Spain (Inycom) named; Israel not shown.</t>
        </is>
      </c>
      <c r="AJ666" t="inlineStr">
        <is>
          <t>1.800.669.6799</t>
        </is>
      </c>
      <c r="AK666" t="inlineStr">
        <is>
          <t>orders@inorganicventures.com</t>
        </is>
      </c>
      <c r="AM666" t="inlineStr">
        <is>
          <t>https://www.inorganicventures.com/contact-us/</t>
        </is>
      </c>
      <c r="AN666" t="inlineStr">
        <is>
          <t>https://www.inorganicventures.com/contact-us/</t>
        </is>
      </c>
      <c r="AP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is>
          <t>18004434227</t>
        </is>
      </c>
      <c r="AK667" t="inlineStr">
        <is>
          <t>orders@instechlabs.com</t>
        </is>
      </c>
      <c r="AM667" t="inlineStr">
        <is>
          <t>https://www.instechlabs.com/contact</t>
        </is>
      </c>
      <c r="AN667" t="inlineStr">
        <is>
          <t>https://www.instechlabs.com/contact</t>
        </is>
      </c>
      <c r="AP667" t="inlineStr">
        <is>
          <t>https://www.thomassci.com/browse-by/suppliers/instech | https://www.instechlabs.com/contact</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בחיפוש ראשוני</t>
        </is>
      </c>
      <c r="AE669" t="inlineStr">
        <is>
          <t>חיפוש חלקי</t>
        </is>
      </c>
      <c r="AG669" t="inlineStr"/>
      <c r="AH669" t="inlineStr"/>
      <c r="AI669" t="inlineStr">
        <is>
          <t>No result mentions Intact Genomics; hits are other vendors' Israeli distributor announcements (Eisenberg Bros/Fluidigm, Ornat/LI-COR, Eldan/Medicinal Genomics, Syntezza/IDT).</t>
        </is>
      </c>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K670" t="inlineStr">
        <is>
          <t>info@integra-biosciences.com</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K671" t="inlineStr">
        <is>
          <t>info@integra-biosciences.com</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K672" t="inlineStr">
        <is>
          <t>info@intelagard.com</t>
        </is>
      </c>
      <c r="AN672" t="inlineStr">
        <is>
          <t>https://www.intelagard.com</t>
        </is>
      </c>
      <c r="AP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is>
          <t>301-605-7762</t>
        </is>
      </c>
      <c r="AK673" t="inlineStr">
        <is>
          <t>info@intelixbio.com</t>
        </is>
      </c>
      <c r="AM673" t="inlineStr">
        <is>
          <t>https://www.intelixbio.com/#CONTACT</t>
        </is>
      </c>
      <c r="AN673" t="inlineStr">
        <is>
          <t>https://www.intelixbio.com/#CONTACT</t>
        </is>
      </c>
      <c r="AP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is>
          <t>+12317998760</t>
        </is>
      </c>
      <c r="AK674" t="inlineStr">
        <is>
          <t>sales@interdynesystems.com</t>
        </is>
      </c>
      <c r="AM674" t="inlineStr">
        <is>
          <t>https://interdynesystems.com/contact/</t>
        </is>
      </c>
      <c r="AN674" t="inlineStr">
        <is>
          <t>https://interdynesystems.com/contact/</t>
        </is>
      </c>
      <c r="AP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is>
          <t>1150712764</t>
        </is>
      </c>
      <c r="AN676" t="inlineStr">
        <is>
          <t>https://intermetro.com.br/</t>
        </is>
      </c>
      <c r="AP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is>
          <t>18008204722</t>
        </is>
      </c>
      <c r="AK679" t="inlineStr">
        <is>
          <t>sales@interplas.com</t>
        </is>
      </c>
      <c r="AM679" t="inlineStr">
        <is>
          <t>https://www.interplas.com/international-plastics-contact</t>
        </is>
      </c>
      <c r="AN679" t="inlineStr">
        <is>
          <t>https://www.interplas.com/international-plastics-contact</t>
        </is>
      </c>
      <c r="AP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בחיפוש ראשוני</t>
        </is>
      </c>
      <c r="AE680" t="inlineStr">
        <is>
          <t>חיפוש חלקי</t>
        </is>
      </c>
      <c r="AG680" t="inlineStr"/>
      <c r="AH680" t="inlineStr"/>
      <c r="AI680" t="inlineStr">
        <is>
          <t>Interscience cites distributors in 130+ countries; no Israeli partner in results (Analytics-Shop US/UK, DKSH Australia, Fisher).</t>
        </is>
      </c>
      <c r="AJ680" t="inlineStr"/>
      <c r="AL680" t="inlineStr">
        <is>
          <t>Troy</t>
        </is>
      </c>
      <c r="AM680" t="inlineStr">
        <is>
          <t>https://www.interscience.com/en/</t>
        </is>
      </c>
      <c r="AN680" t="inlineStr">
        <is>
          <t>https://www.interscience.com/en/</t>
        </is>
      </c>
      <c r="AO680" t="inlineStr">
        <is>
          <t>Q30282491</t>
        </is>
      </c>
      <c r="AP680" t="inlineStr">
        <is>
          <t>https://www.dutscher.com/search?initialFilters=brand:Interscience | https://www.thomassci.com/browse-by/suppliers/interscience | https://www.wikidata.org/wiki/Q30282491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is>
          <t>(877) 219-8048</t>
        </is>
      </c>
      <c r="AK681" t="inlineStr">
        <is>
          <t>sales@ionbiosciences.com</t>
        </is>
      </c>
      <c r="AM681" t="inlineStr">
        <is>
          <t>https://ionbiosciences.com/contact/</t>
        </is>
      </c>
      <c r="AN681" t="inlineStr">
        <is>
          <t>https://ionbiosciences.com/contact/</t>
        </is>
      </c>
      <c r="AP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is>
          <t>650-383-7515</t>
        </is>
      </c>
      <c r="AK682" t="inlineStr">
        <is>
          <t>info@iqbiosciences.com</t>
        </is>
      </c>
      <c r="AM682" t="inlineStr">
        <is>
          <t>https://iqbiosciences.com/contact-us/</t>
        </is>
      </c>
      <c r="AN682" t="inlineStr">
        <is>
          <t>https://iqbiosciences.com/contact-us/</t>
        </is>
      </c>
      <c r="AP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is>
          <t>844-200-5664</t>
        </is>
      </c>
      <c r="AK683" t="inlineStr">
        <is>
          <t>customerservice@ironclad.com</t>
        </is>
      </c>
      <c r="AM683" t="inlineStr">
        <is>
          <t>https://ironclad.com/pages/customer-service.html</t>
        </is>
      </c>
      <c r="AN683" t="inlineStr">
        <is>
          <t>https://ironclad.com/pages/customer-service.html</t>
        </is>
      </c>
      <c r="AP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is>
          <t>+441252235758</t>
        </is>
      </c>
      <c r="AK685" t="inlineStr">
        <is>
          <t>sales@istscientific.com</t>
        </is>
      </c>
      <c r="AM685" t="inlineStr">
        <is>
          <t>https://istscientific.com/contact/</t>
        </is>
      </c>
      <c r="AN685" t="inlineStr">
        <is>
          <t>https://istscientific.com/contact/</t>
        </is>
      </c>
      <c r="AP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בחיפוש ראשוני</t>
        </is>
      </c>
      <c r="AE688" t="inlineStr">
        <is>
          <t>חיפוש חלקי</t>
        </is>
      </c>
      <c r="AG688" t="inlineStr"/>
      <c r="AH688" t="inlineStr"/>
      <c r="AI688" t="inlineStr">
        <is>
          <t>Results entirely unrelated (film distributors, law firm); nothing about J.G. Finneran.</t>
        </is>
      </c>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is>
          <t>+441638782616</t>
        </is>
      </c>
      <c r="AK690" t="inlineStr">
        <is>
          <t>info@jacksonimmuno.com</t>
        </is>
      </c>
      <c r="AM690" t="inlineStr">
        <is>
          <t>https://www.jacksonimmuno.com/company/contact-us/technical-help</t>
        </is>
      </c>
      <c r="AN690" t="inlineStr">
        <is>
          <t>https://www.jacksonimmuno.com/company/contact-us/technical-help</t>
        </is>
      </c>
      <c r="AP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M693" t="inlineStr">
        <is>
          <t>https://www.jasco-global.com/contact-us/</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Y694" t="inlineStr">
        <is>
          <t>unknown</t>
        </is>
      </c>
      <c r="Z694" t="inlineStr"/>
      <c r="AA694" t="inlineStr"/>
      <c r="AB694" t="inlineStr"/>
      <c r="AC694" t="inlineStr"/>
      <c r="AD694" t="inlineStr">
        <is>
          <t>לא נמצא בחיפוש ראשוני</t>
        </is>
      </c>
      <c r="AE694" t="inlineStr">
        <is>
          <t>חיפוש חלקי</t>
        </is>
      </c>
      <c r="AG694" t="inlineStr"/>
      <c r="AH694" t="inlineStr"/>
      <c r="AI694" t="inlineStr">
        <is>
          <t>No result links Jeio Tech (Daejeon, Korea / Des Plaines, IL) to Israel; Israeli distributor hits (Tech Top, Phoenix Technologies, Eastronics) are for unrelated electronics/audio brands.</t>
        </is>
      </c>
      <c r="AJ694" t="inlineStr"/>
      <c r="AN694" t="inlineStr">
        <is>
          <t>https://jeiotech.com/</t>
        </is>
      </c>
      <c r="AP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is>
          <t>805-965-3668</t>
        </is>
      </c>
      <c r="AK695" t="inlineStr">
        <is>
          <t>sales@jensenglobal.com</t>
        </is>
      </c>
      <c r="AM695" t="inlineStr">
        <is>
          <t>https://jensenglobal.com/pages/contact</t>
        </is>
      </c>
      <c r="AN695" t="inlineStr">
        <is>
          <t>https://jensenglobal.com/pages/contact</t>
        </is>
      </c>
      <c r="AP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M697" t="inlineStr">
        <is>
          <t>https://www.jeol.com/contacts/products.php</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is>
          <t>+34 937 700 877</t>
        </is>
      </c>
      <c r="AM699" t="inlineStr">
        <is>
          <t>https://grupo-selecta.com/contacto/</t>
        </is>
      </c>
      <c r="AN699" t="inlineStr">
        <is>
          <t>https://grupo-selecta.com/contacto/</t>
        </is>
      </c>
      <c r="AP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is>
          <t>+18006004019</t>
        </is>
      </c>
      <c r="AK707" t="inlineStr">
        <is>
          <t>customerservice@kappler.com</t>
        </is>
      </c>
      <c r="AM707" t="inlineStr">
        <is>
          <t>https://www.kappler.com/contact/</t>
        </is>
      </c>
      <c r="AN707" t="inlineStr">
        <is>
          <t>https://www.kappler.com/contact/</t>
        </is>
      </c>
      <c r="AP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Y708" t="inlineStr">
        <is>
          <t>unknown</t>
        </is>
      </c>
      <c r="Z708" t="inlineStr"/>
      <c r="AA708" t="inlineStr"/>
      <c r="AB708" t="inlineStr"/>
      <c r="AC708" t="inlineStr"/>
      <c r="AD708" t="inlineStr">
        <is>
          <t>לא נמצא בחיפוש ראשוני</t>
        </is>
      </c>
      <c r="AE708" t="inlineStr">
        <is>
          <t>חיפוש חלקי</t>
        </is>
      </c>
      <c r="AG708" t="inlineStr"/>
      <c r="AH708" t="inlineStr"/>
      <c r="AI708" t="inlineStr">
        <is>
          <t>Only product listings and resellers in other countries (ThomasSci, Fisher, John Morris AU, Labex ZA); no Israeli distributor.</t>
        </is>
      </c>
      <c r="AJ708" t="inlineStr">
        <is>
          <t>508-429-6809</t>
        </is>
      </c>
      <c r="AK708" t="inlineStr">
        <is>
          <t>info@kdscientific.com</t>
        </is>
      </c>
      <c r="AN708" t="inlineStr">
        <is>
          <t>https://www.kdscientific.com/</t>
        </is>
      </c>
      <c r="AP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Y710" t="inlineStr">
        <is>
          <t>unknown</t>
        </is>
      </c>
      <c r="Z710" t="inlineStr"/>
      <c r="AA710" t="inlineStr"/>
      <c r="AB710" t="inlineStr"/>
      <c r="AC710" t="inlineStr"/>
      <c r="AD710" t="inlineStr">
        <is>
          <t>לא נמצא בחיפוש ראשוני</t>
        </is>
      </c>
      <c r="AE710" t="inlineStr">
        <is>
          <t>חיפוש חלקי</t>
        </is>
      </c>
      <c r="AG710" t="inlineStr"/>
      <c r="AH710" t="inlineStr"/>
      <c r="AI710" t="inlineStr">
        <is>
          <t>Only a Panjiva trade-data listing (Brea, CA glassware imports); no Israel link.</t>
        </is>
      </c>
      <c r="AJ710" t="inlineStr">
        <is>
          <t>888-323-3585</t>
        </is>
      </c>
      <c r="AK710" t="inlineStr">
        <is>
          <t>customerservice@twdtradewinds.com</t>
        </is>
      </c>
      <c r="AM710" t="inlineStr">
        <is>
          <t>https://twdtradewinds.com/contact-us/</t>
        </is>
      </c>
      <c r="AN710" t="inlineStr">
        <is>
          <t>https://twdtradewinds.com/contact-us/</t>
        </is>
      </c>
      <c r="AP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is>
          <t>18003314762</t>
        </is>
      </c>
      <c r="AK711" t="inlineStr">
        <is>
          <t>sales@kentelastomer.com</t>
        </is>
      </c>
      <c r="AM711" t="inlineStr">
        <is>
          <t>https://www.kentelastomer.com/whats-your-challenge/</t>
        </is>
      </c>
      <c r="AN711" t="inlineStr">
        <is>
          <t>https://www.kentelastomer.com/whats-your-challenge/</t>
        </is>
      </c>
      <c r="AP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N716" t="inlineStr">
        <is>
          <t>https://www.kidde.com/</t>
        </is>
      </c>
      <c r="AP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is>
          <t>75261-9100</t>
        </is>
      </c>
      <c r="AM718" t="inlineStr">
        <is>
          <t>https://www.kimberly-clark.com/en-us/investors/corporate-governance/contact-the-board</t>
        </is>
      </c>
      <c r="AN718" t="inlineStr">
        <is>
          <t>https://www.kimberly-clark.com/en-us/investors/corporate-governance/contact-the-board</t>
        </is>
      </c>
      <c r="AP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is>
          <t>18002413146</t>
        </is>
      </c>
      <c r="AM722" t="inlineStr">
        <is>
          <t>https://www.kcprofessional.com/en-us/contact-us</t>
        </is>
      </c>
      <c r="AN722" t="inlineStr">
        <is>
          <t>https://www.kcprofessional.com/en-us/contact-us</t>
        </is>
      </c>
      <c r="AP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is>
          <t>+41 41 259 65 65</t>
        </is>
      </c>
      <c r="AK723" t="inlineStr">
        <is>
          <t>sales@kinematica.ch</t>
        </is>
      </c>
      <c r="AM723" t="inlineStr">
        <is>
          <t>https://kinematica.ch/contact/</t>
        </is>
      </c>
      <c r="AN723" t="inlineStr">
        <is>
          <t>https://kinematica.ch/contact/</t>
        </is>
      </c>
      <c r="AP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K724" t="inlineStr">
        <is>
          <t>sales@kinesis.com</t>
        </is>
      </c>
      <c r="AM724" t="inlineStr">
        <is>
          <t>https://kinesis-ergo.com/support/contact-a-technician/</t>
        </is>
      </c>
      <c r="AN724" t="inlineStr">
        <is>
          <t>https://kinesis-ergo.com/support/contact-a-technician/</t>
        </is>
      </c>
      <c r="AP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בחיפוש ראשוני</t>
        </is>
      </c>
      <c r="AE725" t="inlineStr">
        <is>
          <t>חיפוש חלקי</t>
        </is>
      </c>
      <c r="AG725" t="inlineStr"/>
      <c r="AH725" t="inlineStr"/>
      <c r="AI725" t="inlineStr">
        <is>
          <t>Kingfisher Biotech (veterinary/species-specific reagents) results show NZ (Mediray) and EU (Clinisciences) resellers; Israeli distributor pages (Enco, Rhenium, Agentek, Syntezza) do not list Kingfisher.</t>
        </is>
      </c>
      <c r="AJ725" t="inlineStr"/>
      <c r="AN725" t="inlineStr">
        <is>
          <t>https://www.kingfisherbiotech.com/</t>
        </is>
      </c>
      <c r="AP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is>
          <t>281-405-0888</t>
        </is>
      </c>
      <c r="AM727" t="inlineStr">
        <is>
          <t>https://kmact.com/pages/contact-us</t>
        </is>
      </c>
      <c r="AN727" t="inlineStr">
        <is>
          <t>https://kmact.com/pages/contact-us</t>
        </is>
      </c>
      <c r="AP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ברור</t>
        </is>
      </c>
      <c r="AE728" t="inlineStr">
        <is>
          <t>חיפוש חלקי</t>
        </is>
      </c>
      <c r="AG728" t="inlineStr"/>
      <c r="AH728" t="inlineStr"/>
      <c r="AI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בחיפוש ראשוני</t>
        </is>
      </c>
      <c r="AE731" t="inlineStr">
        <is>
          <t>חיפוש חלקי</t>
        </is>
      </c>
      <c r="AG731" t="inlineStr"/>
      <c r="AH731" t="inlineStr"/>
      <c r="AI731" t="inlineStr">
        <is>
          <t>No result mentions Kord-Valmark at all; hits are unrelated Israeli valve/fittings and industrial distributor listings.</t>
        </is>
      </c>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is>
          <t>123-456-7890</t>
        </is>
      </c>
      <c r="AK733" t="inlineStr">
        <is>
          <t>sales@krusetape.com</t>
        </is>
      </c>
      <c r="AM733" t="inlineStr">
        <is>
          <t>https://krusetape.com/contact/</t>
        </is>
      </c>
      <c r="AN733" t="inlineStr">
        <is>
          <t>https://krusetape.com/contact/</t>
        </is>
      </c>
      <c r="AP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K735" t="inlineStr">
        <is>
          <t>sales@labarmor.com</t>
        </is>
      </c>
      <c r="AM735" t="inlineStr">
        <is>
          <t>https://www.labarmor.com/contact</t>
        </is>
      </c>
      <c r="AN735" t="inlineStr">
        <is>
          <t>https://www.labarmor.com/contact</t>
        </is>
      </c>
      <c r="AP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is>
          <t>800-372-5798</t>
        </is>
      </c>
      <c r="AK736" t="inlineStr">
        <is>
          <t>sales@labbioreagents.com</t>
        </is>
      </c>
      <c r="AM736" t="inlineStr">
        <is>
          <t>https://labbioreagents.com/index.php?route=information/contact</t>
        </is>
      </c>
      <c r="AN736" t="inlineStr">
        <is>
          <t>https://labbioreagents.com/index.php?route=information/contact</t>
        </is>
      </c>
      <c r="AP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בחיפוש ראשוני</t>
        </is>
      </c>
      <c r="AE738" t="inlineStr">
        <is>
          <t>חיפוש חלקי</t>
        </is>
      </c>
      <c r="AG738" t="inlineStr"/>
      <c r="AH738" t="inlineStr"/>
      <c r="AI738" t="inlineStr">
        <is>
          <t>LabChem Inc. (Pittsburgh) listing only; a Fujifilm Wako 'LabChem' distributor page (different brand) cut off before Israel; Agentek/Enco/Rhenium appeared with no link.</t>
        </is>
      </c>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בחיפוש ראשוני</t>
        </is>
      </c>
      <c r="AE739" t="inlineStr">
        <is>
          <t>חיפוש חלקי</t>
        </is>
      </c>
      <c r="AG739" t="inlineStr"/>
      <c r="AH739" t="inlineStr"/>
      <c r="AI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J739" t="inlineStr">
        <is>
          <t>+1.707.766.2100</t>
        </is>
      </c>
      <c r="AK739" t="inlineStr">
        <is>
          <t>info@labcon.com</t>
        </is>
      </c>
      <c r="AM739" t="inlineStr">
        <is>
          <t>https://www.labcon.com/contact.html</t>
        </is>
      </c>
      <c r="AN739" t="inlineStr">
        <is>
          <t>https://www.labcon.com/contact.html</t>
        </is>
      </c>
      <c r="AP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M740" t="inlineStr">
        <is>
          <t>https://www.labconco.com/contact</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בחיפוש ראשוני</t>
        </is>
      </c>
      <c r="AE743" t="inlineStr">
        <is>
          <t>חיפוש חלקי</t>
        </is>
      </c>
      <c r="AG743" t="inlineStr"/>
      <c r="AH743" t="inlineStr"/>
      <c r="AI743" t="inlineStr">
        <is>
          <t>Labnet International (Edison, NJ) sells via a dealer network and a GlobalData profile cites presence in the Middle East, but no Israeli dealer is named; results are US/UK/FR resellers.</t>
        </is>
      </c>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Y744" t="inlineStr">
        <is>
          <t>unknown</t>
        </is>
      </c>
      <c r="Z744" t="inlineStr"/>
      <c r="AA744" t="inlineStr"/>
      <c r="AB744" t="inlineStr"/>
      <c r="AC744" t="inlineStr"/>
      <c r="AD744" t="inlineStr">
        <is>
          <t>לא נמצא בחיפוש ראשוני</t>
        </is>
      </c>
      <c r="AE744" t="inlineStr">
        <is>
          <t>חיפוש חלקי</t>
        </is>
      </c>
      <c r="AG744" t="inlineStr"/>
      <c r="AH744" t="inlineStr"/>
      <c r="AI744" t="inlineStr">
        <is>
          <t>Labplas cites 175+ independent distributors in 60+ countries; none named for Israel in results (Rhenium, S.L. Moran surfaced without a Labplas link).</t>
        </is>
      </c>
      <c r="AJ744" t="inlineStr">
        <is>
          <t>+14506497343</t>
        </is>
      </c>
      <c r="AN744" t="inlineStr">
        <is>
          <t>https://labplas.com/fr_CA/</t>
        </is>
      </c>
      <c r="AP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Y745" t="inlineStr">
        <is>
          <t>unknown</t>
        </is>
      </c>
      <c r="Z745" t="inlineStr"/>
      <c r="AA745" t="inlineStr"/>
      <c r="AB745" t="inlineStr"/>
      <c r="AC745" t="inlineStr"/>
      <c r="AD745" t="inlineStr">
        <is>
          <t>לא נמצא בחיפוש ראשוני</t>
        </is>
      </c>
      <c r="AE745" t="inlineStr">
        <is>
          <t>חיפוש חלקי</t>
        </is>
      </c>
      <c r="AG745" t="inlineStr"/>
      <c r="AH745" t="inlineStr"/>
      <c r="AI745" t="inlineStr">
        <is>
          <t>LabRepCo is itself a US East-Coast regional distributor (Horsham, PA); no international channel found.</t>
        </is>
      </c>
      <c r="AJ745" t="inlineStr">
        <is>
          <t>800-521-0754</t>
        </is>
      </c>
      <c r="AK745" t="inlineStr">
        <is>
          <t>info@labrepco.com</t>
        </is>
      </c>
      <c r="AM745" t="inlineStr">
        <is>
          <t>https://www.labrepco.com/contact</t>
        </is>
      </c>
      <c r="AN745" t="inlineStr">
        <is>
          <t>https://www.labrepco.com/contact</t>
        </is>
      </c>
      <c r="AP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בחיפוש ראשוני</t>
        </is>
      </c>
      <c r="AE746" t="inlineStr">
        <is>
          <t>חיפוש חלקי</t>
        </is>
      </c>
      <c r="AG746" t="inlineStr"/>
      <c r="AH746" t="inlineStr"/>
      <c r="AI746" t="inlineStr">
        <is>
          <t>LabStrong (Dubuque, Iowa) results are US-only (it is itself a US distributor for Synoptics); Israeli distributor pages (Enco, Rhenium, Agentek) do not mention LabStrong.</t>
        </is>
      </c>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is>
          <t>1-800-631-5009</t>
        </is>
      </c>
      <c r="AM749" t="inlineStr">
        <is>
          <t>https://research.moleculardesigns.com/contact-us/</t>
        </is>
      </c>
      <c r="AN749" t="inlineStr">
        <is>
          <t>https://research.moleculardesigns.com/contact-us/</t>
        </is>
      </c>
      <c r="AP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is>
          <t>+18003443100</t>
        </is>
      </c>
      <c r="AM750" t="inlineStr">
        <is>
          <t>https://lamotte.com/contact-us/</t>
        </is>
      </c>
      <c r="AN750" t="inlineStr">
        <is>
          <t>https://lamotte.com/contact-us/</t>
        </is>
      </c>
      <c r="AP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M752" t="inlineStr">
        <is>
          <t>https://www.lauda.de/de/kontakt</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N754" t="inlineStr">
        <is>
          <t>https://quantimol.com/collections/biochemical-reagents</t>
        </is>
      </c>
      <c r="AP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is>
          <t>1-800-404-9677</t>
        </is>
      </c>
      <c r="AM757" t="inlineStr">
        <is>
          <t>https://store.legacypaperpkg.com/contact-us</t>
        </is>
      </c>
      <c r="AN757" t="inlineStr">
        <is>
          <t>https://store.legacypaperpkg.com/contact-us</t>
        </is>
      </c>
      <c r="AP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M758" t="inlineStr">
        <is>
          <t>https://www.leica-microsystems.com/contact/ideation/</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is>
          <t>30328-4014 404</t>
        </is>
      </c>
      <c r="AM759" t="inlineStr">
        <is>
          <t>https://www.lenabio.com/contact-us.html</t>
        </is>
      </c>
      <c r="AN759" t="inlineStr">
        <is>
          <t>https://www.lenabio.com/contact-us.html</t>
        </is>
      </c>
      <c r="AP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is>
          <t>800.663.6324</t>
        </is>
      </c>
      <c r="AK760" t="inlineStr">
        <is>
          <t>sales@leneta.com</t>
        </is>
      </c>
      <c r="AM760" t="inlineStr">
        <is>
          <t>https://leneta.com/contact/</t>
        </is>
      </c>
      <c r="AN760" t="inlineStr">
        <is>
          <t>https://leneta.com/contact/</t>
        </is>
      </c>
      <c r="AP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M761" t="inlineStr">
        <is>
          <t>https://www.lepurebiotech.com/contact-us-2/</t>
        </is>
      </c>
      <c r="AN761" t="inlineStr">
        <is>
          <t>https://www.lepurebiotech.com/contact-us-2/</t>
        </is>
      </c>
      <c r="AP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בחיפוש ראשוני</t>
        </is>
      </c>
      <c r="AE762" t="inlineStr">
        <is>
          <t>חיפוש חלקי</t>
        </is>
      </c>
      <c r="AG762" t="inlineStr"/>
      <c r="AH762" t="inlineStr"/>
      <c r="AI762" t="inlineStr">
        <is>
          <t>Only LevGo company profiles (Berkeley, CA; smartSpatula) and unrelated Israeli distributors (Rhenium, Agentek, Enco, Ornat).</t>
        </is>
      </c>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is>
          <t>+441992470757</t>
        </is>
      </c>
      <c r="AM764" t="inlineStr">
        <is>
          <t>https://www.biosearchtech.com/support/contact-us</t>
        </is>
      </c>
      <c r="AN764" t="inlineStr">
        <is>
          <t>https://www.biosearchtech.com/support/contact-us</t>
        </is>
      </c>
      <c r="AP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is>
          <t>18008285656</t>
        </is>
      </c>
      <c r="AM769" t="inlineStr">
        <is>
          <t>https://www.liberty-ind.com/contact-us/</t>
        </is>
      </c>
      <c r="AN769" t="inlineStr">
        <is>
          <t>https://www.liberty-ind.com/contact-us/</t>
        </is>
      </c>
      <c r="AP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is>
          <t>(817) 840-7855</t>
        </is>
      </c>
      <c r="AK771" t="inlineStr">
        <is>
          <t>info@lifecyclebio.com</t>
        </is>
      </c>
      <c r="AM771" t="inlineStr">
        <is>
          <t>https://www.lifecyclebio.com/contact-us-new</t>
        </is>
      </c>
      <c r="AN771" t="inlineStr">
        <is>
          <t>https://www.lifecyclebio.com/contact-us-new</t>
        </is>
      </c>
      <c r="AP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is>
          <t>800-526-2125</t>
        </is>
      </c>
      <c r="AK774" t="inlineStr">
        <is>
          <t>info@lifesignmed.com</t>
        </is>
      </c>
      <c r="AM774" t="inlineStr">
        <is>
          <t>https://lifesignmed.com/Contact</t>
        </is>
      </c>
      <c r="AN774" t="inlineStr">
        <is>
          <t>https://lifesignmed.com/Contact</t>
        </is>
      </c>
      <c r="AP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is>
          <t>+39 0858930745</t>
        </is>
      </c>
      <c r="AM776" t="inlineStr">
        <is>
          <t>https://liofilchem.com/contact-us.html</t>
        </is>
      </c>
      <c r="AN776" t="inlineStr">
        <is>
          <t>https://liofilchem.com/contact-us.html</t>
        </is>
      </c>
      <c r="AP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N779" t="inlineStr">
        <is>
          <t>https://www.lkpkg.com/s/</t>
        </is>
      </c>
      <c r="AP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is>
          <t>800-624-7767</t>
        </is>
      </c>
      <c r="AM781" t="inlineStr">
        <is>
          <t>https://www.loctiteproducts.com/meta/contact.html</t>
        </is>
      </c>
      <c r="AN781" t="inlineStr">
        <is>
          <t>https://www.loctiteproducts.com/meta/contact.html</t>
        </is>
      </c>
      <c r="AP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is>
          <t>866-577-4477</t>
        </is>
      </c>
      <c r="AK782" t="inlineStr">
        <is>
          <t>support@simprosys.com</t>
        </is>
      </c>
      <c r="AM782" t="inlineStr">
        <is>
          <t>https://www.logisticssupply.com/pages/contact</t>
        </is>
      </c>
      <c r="AN782" t="inlineStr">
        <is>
          <t>https://www.logisticssupply.com/pages/contact</t>
        </is>
      </c>
      <c r="AP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is>
          <t>+82 (31) 478-4185</t>
        </is>
      </c>
      <c r="AK783" t="inlineStr">
        <is>
          <t>enquiries@atascientific.com.au</t>
        </is>
      </c>
      <c r="AM783" t="inlineStr">
        <is>
          <t>https://logosbio.com/contact-us/</t>
        </is>
      </c>
      <c r="AN783" t="inlineStr">
        <is>
          <t>https://logosbio.com/contact-us/</t>
        </is>
      </c>
      <c r="AP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is>
          <t>941.756.6410</t>
        </is>
      </c>
      <c r="AK788" t="inlineStr">
        <is>
          <t>sales@lovibond.us</t>
        </is>
      </c>
      <c r="AM788" t="inlineStr">
        <is>
          <t>https://www.lovibond.com/usa-en/top-meta-navigation/contact-us</t>
        </is>
      </c>
      <c r="AN788" t="inlineStr">
        <is>
          <t>https://www.lovibond.com/usa-en/top-meta-navigation/contact-us</t>
        </is>
      </c>
      <c r="AP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is>
          <t>404-255-9767</t>
        </is>
      </c>
      <c r="AM789" t="inlineStr">
        <is>
          <t>https://www.lpdtrade.com/</t>
        </is>
      </c>
      <c r="AN789" t="inlineStr">
        <is>
          <t>https://www.lpdtrade.com/</t>
        </is>
      </c>
      <c r="AP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is>
          <t>+16172370665</t>
        </is>
      </c>
      <c r="AK790" t="inlineStr">
        <is>
          <t>info@lucidsci.com</t>
        </is>
      </c>
      <c r="AN790" t="inlineStr">
        <is>
          <t>https://lucidsci.com/</t>
        </is>
      </c>
      <c r="AP790" t="inlineStr">
        <is>
          <t>https://www.thomassci.com/browse-by/suppliers/lucid-scientific | https://lucidsci.com/</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clearbit_verified</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is>
          <t>+18889736353</t>
        </is>
      </c>
      <c r="AK792" t="inlineStr">
        <is>
          <t>order@lumiprobe.com</t>
        </is>
      </c>
      <c r="AM792" t="inlineStr">
        <is>
          <t>https://www.lumiprobe.com/contact</t>
        </is>
      </c>
      <c r="AN792" t="inlineStr">
        <is>
          <t>https://www.lumiprobe.com/contact</t>
        </is>
      </c>
      <c r="AP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M794" t="inlineStr">
        <is>
          <t>https://luxor.tech/contact</t>
        </is>
      </c>
      <c r="AN794" t="inlineStr">
        <is>
          <t>https://luxor.tech/contact</t>
        </is>
      </c>
      <c r="AP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is>
          <t>497951956130</t>
        </is>
      </c>
      <c r="AM795" t="inlineStr">
        <is>
          <t>https://lvl-technologies.com/unternehmen/lvl-team/</t>
        </is>
      </c>
      <c r="AN795" t="inlineStr">
        <is>
          <t>https://lvl-technologies.com/unternehmen/lvl-team/</t>
        </is>
      </c>
      <c r="AP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is>
          <t>1-800-726-7345</t>
        </is>
      </c>
      <c r="AK796" t="inlineStr">
        <is>
          <t>info@lwscientific.com</t>
        </is>
      </c>
      <c r="AM796" t="inlineStr">
        <is>
          <t>https://www.lwscientific.com/pages/contact-us</t>
        </is>
      </c>
      <c r="AN796" t="inlineStr">
        <is>
          <t>https://www.lwscientific.com/pages/contact-us</t>
        </is>
      </c>
      <c r="AP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is>
          <t>+14045930462</t>
        </is>
      </c>
      <c r="AK798" t="inlineStr">
        <is>
          <t>hello@macbick.com</t>
        </is>
      </c>
      <c r="AM798" t="inlineStr">
        <is>
          <t>https://macbick.com/contact/</t>
        </is>
      </c>
      <c r="AN798" t="inlineStr">
        <is>
          <t>https://macbick.com/contact/</t>
        </is>
      </c>
      <c r="AP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is>
          <t>+4924219690</t>
        </is>
      </c>
      <c r="AK799" t="inlineStr">
        <is>
          <t>sales@mn-net.com</t>
        </is>
      </c>
      <c r="AM799" t="inlineStr">
        <is>
          <t>https://www.mn-net.com/contact</t>
        </is>
      </c>
      <c r="AN799" t="inlineStr">
        <is>
          <t>https://www.mn-net.com/contact</t>
        </is>
      </c>
      <c r="AP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is>
          <t>04424980701</t>
        </is>
      </c>
      <c r="AK800" t="inlineStr">
        <is>
          <t>info@maggenome.com</t>
        </is>
      </c>
      <c r="AM800" t="inlineStr">
        <is>
          <t>https://www.maggenome.com/contact-us/</t>
        </is>
      </c>
      <c r="AN800" t="inlineStr">
        <is>
          <t>https://www.maggenome.com/contact-us/</t>
        </is>
      </c>
      <c r="AP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is>
          <t>800-289-6241</t>
        </is>
      </c>
      <c r="AM803" t="inlineStr">
        <is>
          <t>https://maglite.com/pages/contact</t>
        </is>
      </c>
      <c r="AN803" t="inlineStr">
        <is>
          <t>https://maglite.com/pages/contact</t>
        </is>
      </c>
      <c r="AP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is>
          <t>+1 (408) 745-0104</t>
        </is>
      </c>
      <c r="AK804" t="inlineStr">
        <is>
          <t>contact@malaster.com</t>
        </is>
      </c>
      <c r="AM804" t="inlineStr">
        <is>
          <t>https://malaster.com/contact/</t>
        </is>
      </c>
      <c r="AN804" t="inlineStr">
        <is>
          <t>https://malaster.com/contact/</t>
        </is>
      </c>
      <c r="AP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is>
          <t>+1.616.754.5601</t>
        </is>
      </c>
      <c r="AM809" t="inlineStr">
        <is>
          <t>https://www.marvelrefrigeration.com/contact-us</t>
        </is>
      </c>
      <c r="AN809" t="inlineStr">
        <is>
          <t>https://www.marvelrefrigeration.com/contact-us</t>
        </is>
      </c>
      <c r="AP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is>
          <t>262-633-7791</t>
        </is>
      </c>
      <c r="AK811" t="inlineStr">
        <is>
          <t>sales@masterappliance.com</t>
        </is>
      </c>
      <c r="AM811" t="inlineStr">
        <is>
          <t>https://www.masterappliance.com/contact-us/</t>
        </is>
      </c>
      <c r="AN811" t="inlineStr">
        <is>
          <t>https://www.masterappliance.com/contact-us/</t>
        </is>
      </c>
      <c r="AP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M817" t="inlineStr">
        <is>
          <t>https://www.mckesson.com/contact-us/</t>
        </is>
      </c>
      <c r="AN817" t="inlineStr">
        <is>
          <t>https://www.mckesson.com/contact-us/</t>
        </is>
      </c>
      <c r="AP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is>
          <t>800.955.6887</t>
        </is>
      </c>
      <c r="AK819" t="inlineStr">
        <is>
          <t>inquiries@mcrsafety.com</t>
        </is>
      </c>
      <c r="AM819" t="inlineStr">
        <is>
          <t>https://www.mcrsafety.com/catalogs-safety-guides/contact-resource-guide/</t>
        </is>
      </c>
      <c r="AN819" t="inlineStr">
        <is>
          <t>https://www.mcrsafety.com/catalogs-safety-guides/contact-resource-guide/</t>
        </is>
      </c>
      <c r="AP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בחיפוש ראשוני</t>
        </is>
      </c>
      <c r="AE820" t="inlineStr">
        <is>
          <t>חיפוש חלקי</t>
        </is>
      </c>
      <c r="AG820" t="inlineStr"/>
      <c r="AH820" t="inlineStr"/>
      <c r="AI820" t="inlineStr">
        <is>
          <t>Only company directory profiles (Harrisburg PA / Advanced Microdevices, Ambala India); no Israel information.</t>
        </is>
      </c>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is>
          <t>609-228-6898</t>
        </is>
      </c>
      <c r="AK821" t="inlineStr">
        <is>
          <t>sales@medchemexpress.com</t>
        </is>
      </c>
      <c r="AM821" t="inlineStr">
        <is>
          <t>https://www.medchemexpress.com/contact-us.html</t>
        </is>
      </c>
      <c r="AN821" t="inlineStr">
        <is>
          <t>https://www.medchemexpress.com/contact-us.html</t>
        </is>
      </c>
      <c r="AP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is>
          <t>1-800-645-7042</t>
        </is>
      </c>
      <c r="AM823" t="inlineStr">
        <is>
          <t>https://www.halyardhealth.com/customer-support</t>
        </is>
      </c>
      <c r="AN823" t="inlineStr">
        <is>
          <t>https://www.halyardhealth.com/customer-support</t>
        </is>
      </c>
      <c r="AP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is>
          <t>+1-404-855-3655</t>
        </is>
      </c>
      <c r="AK826" t="inlineStr">
        <is>
          <t>orders@medipurpose.com</t>
        </is>
      </c>
      <c r="AM826" t="inlineStr">
        <is>
          <t>https://medipurpose.com/contact/</t>
        </is>
      </c>
      <c r="AN826" t="inlineStr">
        <is>
          <t>https://medipurpose.com/contact/</t>
        </is>
      </c>
      <c r="AP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K827" t="inlineStr">
        <is>
          <t>sales@medisca.com</t>
        </is>
      </c>
      <c r="AN827" t="inlineStr">
        <is>
          <t>https://www.medisca.com/regions</t>
        </is>
      </c>
      <c r="AP827" t="inlineStr">
        <is>
          <t>https://www.thomassci.com/browse-by/suppliers/medisca | https://www.medisca.com/regions</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Y829" t="inlineStr">
        <is>
          <t>unknown</t>
        </is>
      </c>
      <c r="Z829" t="inlineStr"/>
      <c r="AA829" t="inlineStr"/>
      <c r="AB829" t="inlineStr"/>
      <c r="AC829" t="inlineStr"/>
      <c r="AD829" t="inlineStr">
        <is>
          <t>לא נמצא בחיפוש ראשוני</t>
        </is>
      </c>
      <c r="AE829" t="inlineStr">
        <is>
          <t>חיפוש חלקי</t>
        </is>
      </c>
      <c r="AG829" t="inlineStr"/>
      <c r="AH829" t="inlineStr"/>
      <c r="AI829" t="inlineStr">
        <is>
          <t>Medline Industries (Northfield, IL) profiles cite 90-125 countries but no Israel channel appeared. Target website medline.org.ua is wrong.</t>
        </is>
      </c>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is>
          <t>9413593129</t>
        </is>
      </c>
      <c r="AM830" t="inlineStr">
        <is>
          <t>https://medone.com/contact/#contact</t>
        </is>
      </c>
      <c r="AN830" t="inlineStr">
        <is>
          <t>https://medone.com/contact/#contact</t>
        </is>
      </c>
      <c r="AP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Y835" t="inlineStr">
        <is>
          <t>unknown</t>
        </is>
      </c>
      <c r="Z835" t="inlineStr"/>
      <c r="AA835" t="inlineStr"/>
      <c r="AB835" t="inlineStr"/>
      <c r="AC835" t="inlineStr"/>
      <c r="AD835" t="inlineStr">
        <is>
          <t>לא נמצא בחיפוש ראשוני</t>
        </is>
      </c>
      <c r="AE835" t="inlineStr">
        <is>
          <t>חיפוש חלקי</t>
        </is>
      </c>
      <c r="AG835" t="inlineStr"/>
      <c r="AH835" t="inlineStr"/>
      <c r="AI835" t="inlineStr">
        <is>
          <t>Mercedes Medical / Mercedes Scientific (Sarasota and Lakewood Ranch, FL; a BD distributor) results are all US; Israeli hits (Medtechnica, Eldan, A.L. Medi-Market) are not linked to it.</t>
        </is>
      </c>
      <c r="AJ835" t="inlineStr"/>
      <c r="AN835" t="inlineStr">
        <is>
          <t>https://www.mercedesscientific.com</t>
        </is>
      </c>
      <c r="AP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clearbit_verified</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is>
          <t>(+46) 72 292 15 14</t>
        </is>
      </c>
      <c r="AK837" t="inlineStr">
        <is>
          <t>support@mercodia.com</t>
        </is>
      </c>
      <c r="AM837" t="inlineStr">
        <is>
          <t>https://www.mercodia.com/contact-us/</t>
        </is>
      </c>
      <c r="AN837" t="inlineStr">
        <is>
          <t>https://www.mercodia.com/contact-us/</t>
        </is>
      </c>
      <c r="AP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is>
          <t>(800) 421-9657</t>
        </is>
      </c>
      <c r="AM840" t="inlineStr">
        <is>
          <t>https://www.meritpharm.com/contact/</t>
        </is>
      </c>
      <c r="AN840" t="inlineStr">
        <is>
          <t>https://www.meritpharm.com/contact/</t>
        </is>
      </c>
      <c r="AP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is>
          <t>+18009327707</t>
        </is>
      </c>
      <c r="AK841" t="inlineStr">
        <is>
          <t>sales@meritech.com</t>
        </is>
      </c>
      <c r="AM841" t="inlineStr">
        <is>
          <t>https://www.meritech.com/contact/</t>
        </is>
      </c>
      <c r="AN841" t="inlineStr">
        <is>
          <t>https://www.meritech.com/contact/</t>
        </is>
      </c>
      <c r="AP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is>
          <t>303-987-8000</t>
        </is>
      </c>
      <c r="AK842" t="inlineStr">
        <is>
          <t>customerservice@mesalabs.com</t>
        </is>
      </c>
      <c r="AM842" t="inlineStr">
        <is>
          <t>https://mesalabs.com/contact</t>
        </is>
      </c>
      <c r="AN842" t="inlineStr">
        <is>
          <t>https://mesalabs.com/contact</t>
        </is>
      </c>
      <c r="AP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is>
          <t>(800) 841-1428</t>
        </is>
      </c>
      <c r="AK845" t="inlineStr">
        <is>
          <t>info@metrex.com</t>
        </is>
      </c>
      <c r="AM845" t="inlineStr">
        <is>
          <t>https://www.metrex.com/en-us/contact-us</t>
        </is>
      </c>
      <c r="AN845" t="inlineStr">
        <is>
          <t>https://www.metrex.com/en-us/contact-us</t>
        </is>
      </c>
      <c r="AP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is>
          <t>8773584342</t>
        </is>
      </c>
      <c r="AK849" t="inlineStr">
        <is>
          <t>info@mhcmed.com</t>
        </is>
      </c>
      <c r="AM849" t="inlineStr">
        <is>
          <t>https://mhcmed.com/contact-us/</t>
        </is>
      </c>
      <c r="AN849" t="inlineStr">
        <is>
          <t>https://mhcmed.com/contact-us/</t>
        </is>
      </c>
      <c r="AP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is>
          <t>+18882532536</t>
        </is>
      </c>
      <c r="AK851" t="inlineStr">
        <is>
          <t>info@micro-scientific.com</t>
        </is>
      </c>
      <c r="AM851" t="inlineStr">
        <is>
          <t>https://micro-scientific.com/contact-us</t>
        </is>
      </c>
      <c r="AN851" t="inlineStr">
        <is>
          <t>https://micro-scientific.com/contact-us</t>
        </is>
      </c>
      <c r="AP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N852" t="inlineStr">
        <is>
          <t>https://microbioproducts.com/?v=84de8e2b14bb</t>
        </is>
      </c>
      <c r="AP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Y854" t="inlineStr">
        <is>
          <t>unknown</t>
        </is>
      </c>
      <c r="Z854" t="inlineStr"/>
      <c r="AA854" t="inlineStr"/>
      <c r="AB854" t="inlineStr"/>
      <c r="AC854" t="inlineStr"/>
      <c r="AD854" t="inlineStr">
        <is>
          <t>לא נמצא בחיפוש ראשוני</t>
        </is>
      </c>
      <c r="AE854" t="inlineStr">
        <is>
          <t>חיפוש חלקי</t>
        </is>
      </c>
      <c r="AG854" t="inlineStr"/>
      <c r="AH854" t="inlineStr"/>
      <c r="AI854" t="inlineStr">
        <is>
          <t>Searched as Ansell's Microflex brand: Ansell's Where-to-Buy page has a country selector but no Israel entry visible; only non-Israeli retailers (RS Korea/Philippines, VWR, ThomasSci, Labfriend India).</t>
        </is>
      </c>
      <c r="AJ854" t="inlineStr">
        <is>
          <t>9093609066</t>
        </is>
      </c>
      <c r="AK854" t="inlineStr">
        <is>
          <t>info@microflexfilm.com</t>
        </is>
      </c>
      <c r="AN854" t="inlineStr">
        <is>
          <t>https://microflexfilm.com/</t>
        </is>
      </c>
      <c r="AP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בחיפוש ראשוני</t>
        </is>
      </c>
      <c r="AE855" t="inlineStr">
        <is>
          <t>חיפוש חלקי</t>
        </is>
      </c>
      <c r="AG855" t="inlineStr"/>
      <c r="AH855" t="inlineStr"/>
      <c r="AI855" t="inlineStr">
        <is>
          <t>Microlit (Lucknow, India; offices India/USA/Brazil) claims presence in 55+ countries; an Israeli Chamber of Commerce importer page listed other pipette brands, not Microlit.</t>
        </is>
      </c>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is>
          <t>0014844803372</t>
        </is>
      </c>
      <c r="AK857" t="inlineStr">
        <is>
          <t>sales@micronic.com</t>
        </is>
      </c>
      <c r="AM857" t="inlineStr">
        <is>
          <t>https://micronic.com/contact/</t>
        </is>
      </c>
      <c r="AN857" t="inlineStr">
        <is>
          <t>https://micronic.com/contact/</t>
        </is>
      </c>
      <c r="AP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is>
          <t>310-784-6990</t>
        </is>
      </c>
      <c r="AK858" t="inlineStr">
        <is>
          <t>marketing@micronova-mfg.com</t>
        </is>
      </c>
      <c r="AM858" t="inlineStr">
        <is>
          <t>https://www.micronova-mfg.com/contact-us/</t>
        </is>
      </c>
      <c r="AN858" t="inlineStr">
        <is>
          <t>https://www.micronova-mfg.com/contact-us/</t>
        </is>
      </c>
      <c r="AP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is>
          <t>+18774093556</t>
        </is>
      </c>
      <c r="AK859" t="inlineStr">
        <is>
          <t>info@microscope.com</t>
        </is>
      </c>
      <c r="AM859" t="inlineStr">
        <is>
          <t>https://www.microscope.com/contact-us</t>
        </is>
      </c>
      <c r="AN859" t="inlineStr">
        <is>
          <t>https://www.microscope.com/contact-us</t>
        </is>
      </c>
      <c r="AP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is>
          <t>17323808900</t>
        </is>
      </c>
      <c r="AM860" t="inlineStr">
        <is>
          <t>https://www.mtc-usa.com/contact</t>
        </is>
      </c>
      <c r="AN860" t="inlineStr">
        <is>
          <t>https://www.mtc-usa.com/contact</t>
        </is>
      </c>
      <c r="AP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is>
          <t>6362259997</t>
        </is>
      </c>
      <c r="AM861" t="inlineStr">
        <is>
          <t>https://midsci.com/contact/request-a-quote/</t>
        </is>
      </c>
      <c r="AN861" t="inlineStr">
        <is>
          <t>https://midsci.com/contact/request-a-quote/</t>
        </is>
      </c>
      <c r="AP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Y862" t="inlineStr">
        <is>
          <t>unknown</t>
        </is>
      </c>
      <c r="Z862" t="inlineStr"/>
      <c r="AA862" t="inlineStr"/>
      <c r="AB862" t="inlineStr"/>
      <c r="AC862" t="inlineStr"/>
      <c r="AD862" t="inlineStr">
        <is>
          <t>לא נמצא בחיפוש ראשוני</t>
        </is>
      </c>
      <c r="AE862" t="inlineStr">
        <is>
          <t>חיפוש חלקי</t>
        </is>
      </c>
      <c r="AG862" t="inlineStr"/>
      <c r="AH862" t="inlineStr"/>
      <c r="AI862" t="inlineStr">
        <is>
          <t>Miele Professional lab distributors named only for Hungary (Labokraft, 2025) and the US (ARES Scientific); no Israel mention.</t>
        </is>
      </c>
      <c r="AJ862" t="inlineStr"/>
      <c r="AK862" t="inlineStr">
        <is>
          <t>sales@miele.com.au</t>
        </is>
      </c>
      <c r="AM862" t="inlineStr">
        <is>
          <t>https://www.miele.com/en/com/contact-us-2073.htm</t>
        </is>
      </c>
      <c r="AN862" t="inlineStr">
        <is>
          <t>https://www.miele.com/en/com/contact-us-2073.htm</t>
        </is>
      </c>
      <c r="AP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is>
          <t>+1 252 443 3630</t>
        </is>
      </c>
      <c r="AM868" t="inlineStr">
        <is>
          <t>https://milwaukeeinstruments.com/contact-us/</t>
        </is>
      </c>
      <c r="AN868" t="inlineStr">
        <is>
          <t>https://milwaukeeinstruments.com/contact-us/</t>
        </is>
      </c>
      <c r="AP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is>
          <t>+49 30 2000 4370</t>
        </is>
      </c>
      <c r="AK869" t="inlineStr">
        <is>
          <t>order@minerva-biolabs.com</t>
        </is>
      </c>
      <c r="AM869" t="inlineStr">
        <is>
          <t>https://minerva-biolabs.com/en/general-inquiry?to=jh</t>
        </is>
      </c>
      <c r="AN869" t="inlineStr">
        <is>
          <t>https://minerva-biolabs.com/en/general-inquiry?to=jh</t>
        </is>
      </c>
      <c r="AP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Y870" t="inlineStr">
        <is>
          <t>unknown</t>
        </is>
      </c>
      <c r="Z870" t="inlineStr"/>
      <c r="AA870" t="inlineStr"/>
      <c r="AB870" t="inlineStr"/>
      <c r="AC870" t="inlineStr"/>
      <c r="AD870" t="inlineStr">
        <is>
          <t>לא נמצא בחיפוש ראשוני</t>
        </is>
      </c>
      <c r="AE870" t="inlineStr">
        <is>
          <t>חיפוש חלקי</t>
        </is>
      </c>
      <c r="AG870" t="inlineStr"/>
      <c r="AH870" t="inlineStr"/>
      <c r="AI870" t="inlineStr">
        <is>
          <t>No result mentions Minigrip; 'Mini Line Ltd' (Petach Tikva electronics importer) is an unrelated name match; other hits are unrelated Israeli dealer announcements.</t>
        </is>
      </c>
      <c r="AJ870" t="inlineStr">
        <is>
          <t>800-511-6298</t>
        </is>
      </c>
      <c r="AM870" t="inlineStr">
        <is>
          <t>https://medegenmed.com/contact-us/</t>
        </is>
      </c>
      <c r="AN870" t="inlineStr">
        <is>
          <t>https://medegenmed.com/contact-us/</t>
        </is>
      </c>
      <c r="AP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clearbit_verified</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K872" t="inlineStr">
        <is>
          <t>info@mitegen.com</t>
        </is>
      </c>
      <c r="AM872" t="inlineStr">
        <is>
          <t>https://www.mitegen.com/learn/about-mitegen/</t>
        </is>
      </c>
      <c r="AN872" t="inlineStr">
        <is>
          <t>https://www.mitegen.com/learn/about-mitegen/</t>
        </is>
      </c>
      <c r="AP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is>
          <t>+18004210668</t>
        </is>
      </c>
      <c r="AM875" t="inlineStr">
        <is>
          <t>https://www.moldex.com/contact/</t>
        </is>
      </c>
      <c r="AN875" t="inlineStr">
        <is>
          <t>https://www.moldex.com/contact/</t>
        </is>
      </c>
      <c r="AP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is>
          <t>+1(800)314-0182</t>
        </is>
      </c>
      <c r="AM878" t="inlineStr">
        <is>
          <t>https://www.moleculardesigns.com/contact</t>
        </is>
      </c>
      <c r="AN878" t="inlineStr">
        <is>
          <t>https://www.moleculardesigns.com/contact</t>
        </is>
      </c>
      <c r="AP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K879" t="inlineStr">
        <is>
          <t>enquiries@moleculardimensions.com</t>
        </is>
      </c>
      <c r="AN879" t="inlineStr">
        <is>
          <t>https://moleculardimensions.com/en</t>
        </is>
      </c>
      <c r="AP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is>
          <t>+1 800 536 7232</t>
        </is>
      </c>
      <c r="AM882" t="inlineStr">
        <is>
          <t>https://moltox.com/contact-us/</t>
        </is>
      </c>
      <c r="AN882" t="inlineStr">
        <is>
          <t>https://moltox.com/contact-us/</t>
        </is>
      </c>
      <c r="AP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is>
          <t>1-877-977-4717</t>
        </is>
      </c>
      <c r="AK883" t="inlineStr">
        <is>
          <t>sales@motic-america.com</t>
        </is>
      </c>
      <c r="AM883" t="inlineStr">
        <is>
          <t>https://moticmicroscopes.com/pages/contact</t>
        </is>
      </c>
      <c r="AN883" t="inlineStr">
        <is>
          <t>https://moticmicroscopes.com/pages/contact</t>
        </is>
      </c>
      <c r="AP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is>
          <t>15107995100</t>
        </is>
      </c>
      <c r="AM884" t="inlineStr">
        <is>
          <t>https://motosolutions.com/contact-us/</t>
        </is>
      </c>
      <c r="AN884" t="inlineStr">
        <is>
          <t>https://motosolutions.com/contact-us/</t>
        </is>
      </c>
      <c r="AP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is>
          <t>1792303608</t>
        </is>
      </c>
      <c r="AN885" t="inlineStr">
        <is>
          <t>https://www.mouser.com/</t>
        </is>
      </c>
      <c r="AP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מפיץ/נציג בישראל</t>
        </is>
      </c>
      <c r="AE889" t="inlineStr">
        <is>
          <t>חיפוש חלקי</t>
        </is>
      </c>
      <c r="AG889" t="inlineStr">
        <is>
          <t>Yair Technologies (Yair Tech)</t>
        </is>
      </c>
      <c r="AH889" t="inlineStr">
        <is>
          <t>Yair Technologies (Yair Tech):</t>
        </is>
      </c>
      <c r="AI889" t="inlineStr">
        <is>
          <t>Distributor-side evidence only: an Israeli supplier site (yairtech.co.il) has an MTC Bio brand page; MTC Bio's own site/distributor list did not surface. Other hits are US resellers (Labrepco, Test Equipment Depot, Enzo/Axxora) and unrelated Israeli distributors.</t>
        </is>
      </c>
      <c r="AJ889" t="inlineStr"/>
      <c r="AP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is>
          <t>01 45 10 15 20</t>
        </is>
      </c>
      <c r="AM893" t="inlineStr">
        <is>
          <t>https://www.multiroir.com/contact/</t>
        </is>
      </c>
      <c r="AN893" t="inlineStr">
        <is>
          <t>https://www.multiroir.com/contact/</t>
        </is>
      </c>
      <c r="AP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בחיפוש ראשוני</t>
        </is>
      </c>
      <c r="AE896" t="inlineStr">
        <is>
          <t>חיפוש חלקי</t>
        </is>
      </c>
      <c r="AG896" t="inlineStr"/>
      <c r="AH896" t="inlineStr"/>
      <c r="AI896" t="inlineStr">
        <is>
          <t>Only a UW CoMotion startup profile (pre-seed, AI-designed proteins); no distributors listed anywhere.</t>
        </is>
      </c>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is>
          <t>17604382021</t>
        </is>
      </c>
      <c r="AK897" t="inlineStr">
        <is>
          <t>info@myronl.com</t>
        </is>
      </c>
      <c r="AM897" t="inlineStr">
        <is>
          <t>https://www.myronl.com/contact-us/</t>
        </is>
      </c>
      <c r="AN897" t="inlineStr">
        <is>
          <t>https://www.myronl.com/contact-us/</t>
        </is>
      </c>
      <c r="AP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Y898" t="inlineStr">
        <is>
          <t>unknown</t>
        </is>
      </c>
      <c r="Z898" t="inlineStr"/>
      <c r="AA898" t="inlineStr"/>
      <c r="AB898" t="inlineStr"/>
      <c r="AC898" t="inlineStr"/>
      <c r="AD898" t="inlineStr">
        <is>
          <t>לא נמצא בחיפוש ראשוני</t>
        </is>
      </c>
      <c r="AE898" t="inlineStr">
        <is>
          <t>חיפוש חלקי</t>
        </is>
      </c>
      <c r="AG898" t="inlineStr"/>
      <c r="AH898" t="inlineStr"/>
      <c r="AI898" t="inlineStr">
        <is>
          <t>Results entirely unrelated (Mystere jet book, film distributors); nothing about Mystaire.</t>
        </is>
      </c>
      <c r="AJ898" t="inlineStr">
        <is>
          <t>19192298511</t>
        </is>
      </c>
      <c r="AM898" t="inlineStr">
        <is>
          <t>https://mystaire.com/contact</t>
        </is>
      </c>
      <c r="AN898" t="inlineStr">
        <is>
          <t>https://mystaire.com/contact</t>
        </is>
      </c>
      <c r="AP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M899" t="inlineStr">
        <is>
          <t>https://nabertherm.com/en/contact/world-wide-sales</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M901" t="inlineStr">
        <is>
          <t>https://www.thermofisher.com/store/v2/contact-us?enableChat=true</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בחיפוש ראשוני</t>
        </is>
      </c>
      <c r="AE903" t="inlineStr">
        <is>
          <t>חיפוש חלקי</t>
        </is>
      </c>
      <c r="AG903" t="inlineStr"/>
      <c r="AH903" t="inlineStr"/>
      <c r="AI903" t="inlineStr">
        <is>
          <t>Whirl-Pak was divested by Nasco to Filtration Group (2022); no Israeli distributor named; Israeli hits (Gotta Hay Trade, Winpac) were unrelated packaging/consumer firms.</t>
        </is>
      </c>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is>
          <t>+18592612035</t>
        </is>
      </c>
      <c r="AM904" t="inlineStr">
        <is>
          <t>https://www.nationalband.com/contact/</t>
        </is>
      </c>
      <c r="AN904" t="inlineStr">
        <is>
          <t>https://www.nationalband.com/contact/</t>
        </is>
      </c>
      <c r="AP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is>
          <t>032-321-2100</t>
        </is>
      </c>
      <c r="AM906" t="inlineStr">
        <is>
          <t>https://n-biotek.com/en/customer/contact.php</t>
        </is>
      </c>
      <c r="AN906" t="inlineStr">
        <is>
          <t>https://n-biotek.com/en/customer/contact.php</t>
        </is>
      </c>
      <c r="AP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is>
          <t>615.366.3230</t>
        </is>
      </c>
      <c r="AM907" t="inlineStr">
        <is>
          <t>https://ndc-inc.com/contact/</t>
        </is>
      </c>
      <c r="AN907" t="inlineStr">
        <is>
          <t>https://ndc-inc.com/contact/</t>
        </is>
      </c>
      <c r="AP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is>
          <t>+5999 5605138</t>
        </is>
      </c>
      <c r="AM908" t="inlineStr">
        <is>
          <t>https://ndstechnologies.com/contact/</t>
        </is>
      </c>
      <c r="AN908" t="inlineStr">
        <is>
          <t>https://ndstechnologies.com/contact/</t>
        </is>
      </c>
      <c r="AP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בחיפוש ראשוני</t>
        </is>
      </c>
      <c r="AE911" t="inlineStr">
        <is>
          <t>חיפוש חלקי</t>
        </is>
      </c>
      <c r="AG911" t="inlineStr"/>
      <c r="AH911" t="inlineStr"/>
      <c r="AI911" t="inlineStr">
        <is>
          <t>NEST (Wuxi, China; NEST Scientific USA in Woodbridge, NJ) results show a 2024 North American deal with Captivate Bio and claims of sales in 50-80 countries; no Israeli distributor named.</t>
        </is>
      </c>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is>
          <t>1792304059349</t>
        </is>
      </c>
      <c r="AM913" t="inlineStr">
        <is>
          <t>https://www.neuromics.com/contact-us</t>
        </is>
      </c>
      <c r="AN913" t="inlineStr">
        <is>
          <t>https://www.neuromics.com/contact-us</t>
        </is>
      </c>
      <c r="AP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is>
          <t>(800) 638-7465</t>
        </is>
      </c>
      <c r="AK914" t="inlineStr">
        <is>
          <t>customerservice@nevsink.com</t>
        </is>
      </c>
      <c r="AM914" t="inlineStr">
        <is>
          <t>https://nevsink.com/contact-us/</t>
        </is>
      </c>
      <c r="AN914" t="inlineStr">
        <is>
          <t>https://nevsink.com/contact-us/</t>
        </is>
      </c>
      <c r="AP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N917" t="inlineStr">
        <is>
          <t>https://www.newpig.com/</t>
        </is>
      </c>
      <c r="AP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is>
          <t>9737784478</t>
        </is>
      </c>
      <c r="AK918" t="inlineStr">
        <is>
          <t>sales@newarkwire.com</t>
        </is>
      </c>
      <c r="AM918" t="inlineStr">
        <is>
          <t>https://newarkwire.com/contact-us/</t>
        </is>
      </c>
      <c r="AN918" t="inlineStr">
        <is>
          <t>https://newarkwire.com/contact-us/</t>
        </is>
      </c>
      <c r="AP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is>
          <t>800-383-7799</t>
        </is>
      </c>
      <c r="AK919" t="inlineStr">
        <is>
          <t>info@newcomersupply.com</t>
        </is>
      </c>
      <c r="AM919" t="inlineStr">
        <is>
          <t>https://www.newcomersupply.com/contact-us/</t>
        </is>
      </c>
      <c r="AN919" t="inlineStr">
        <is>
          <t>https://www.newcomersupply.com/contact-us/</t>
        </is>
      </c>
      <c r="AP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is>
          <t>800-267.5549</t>
        </is>
      </c>
      <c r="AK920" t="inlineStr">
        <is>
          <t>info@newman-medical.com</t>
        </is>
      </c>
      <c r="AM920" t="inlineStr">
        <is>
          <t>https://newman-medical.com/contact-us/</t>
        </is>
      </c>
      <c r="AN920" t="inlineStr">
        <is>
          <t>https://newman-medical.com/contact-us/</t>
        </is>
      </c>
      <c r="AP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is>
          <t>048-989-1301</t>
        </is>
      </c>
      <c r="AM924" t="inlineStr">
        <is>
          <t>https://www.nichiryo.co.jp:443/contact/</t>
        </is>
      </c>
      <c r="AN924" t="inlineStr">
        <is>
          <t>https://www.nichiryo.co.jp:443/contact/</t>
        </is>
      </c>
      <c r="AP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is>
          <t>9052278848</t>
        </is>
      </c>
      <c r="AK928" t="inlineStr">
        <is>
          <t>info@norgenbiotek.com</t>
        </is>
      </c>
      <c r="AM928" t="inlineStr">
        <is>
          <t>https://norgenbiotek.com/contact</t>
        </is>
      </c>
      <c r="AN928" t="inlineStr">
        <is>
          <t>https://norgenbiotek.com/contact</t>
        </is>
      </c>
      <c r="AP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is>
          <t>888-265-3725</t>
        </is>
      </c>
      <c r="AK929" t="inlineStr">
        <is>
          <t>sales@nortechlabs.com</t>
        </is>
      </c>
      <c r="AM929" t="inlineStr">
        <is>
          <t>https://nortechlabs.com/company-info/contact/</t>
        </is>
      </c>
      <c r="AN929" t="inlineStr">
        <is>
          <t>https://nortechlabs.com/company-info/contact/</t>
        </is>
      </c>
      <c r="AP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is>
          <t>+86 (0512) 6391-9116</t>
        </is>
      </c>
      <c r="AK935" t="inlineStr">
        <is>
          <t>service@novoprotein.com.cn</t>
        </is>
      </c>
      <c r="AM935" t="inlineStr">
        <is>
          <t>https://www.novoprotein.com/contact</t>
        </is>
      </c>
      <c r="AN935" t="inlineStr">
        <is>
          <t>https://www.novoprotein.com/contact</t>
        </is>
      </c>
      <c r="AP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is>
          <t>+1.800.274.5487</t>
        </is>
      </c>
      <c r="AM938" t="inlineStr">
        <is>
          <t>https://nsilabsolutions.com/contact/</t>
        </is>
      </c>
      <c r="AN938" t="inlineStr">
        <is>
          <t>https://nsilabsolutions.com/contact/</t>
        </is>
      </c>
      <c r="AP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is>
          <t>858.663.9055</t>
        </is>
      </c>
      <c r="AK939" t="inlineStr">
        <is>
          <t>info@nsjbio.com</t>
        </is>
      </c>
      <c r="AM939" t="inlineStr">
        <is>
          <t>https://www.nsjbio.com/contact-us.html</t>
        </is>
      </c>
      <c r="AN939" t="inlineStr">
        <is>
          <t>https://www.nsjbio.com/contact-us.html</t>
        </is>
      </c>
      <c r="AP939" t="inlineStr">
        <is>
          <t>https://www.quartzy.com/suppliers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is>
          <t>8775921060</t>
        </is>
      </c>
      <c r="AK940" t="inlineStr">
        <is>
          <t>info@nusep.com</t>
        </is>
      </c>
      <c r="AM940" t="inlineStr">
        <is>
          <t>https://nusep.us/pages/contact</t>
        </is>
      </c>
      <c r="AN940" t="inlineStr">
        <is>
          <t>https://nusep.us/pages/contact</t>
        </is>
      </c>
      <c r="AP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is>
          <t>(504) 300-0266</t>
        </is>
      </c>
      <c r="AM945" t="inlineStr">
        <is>
          <t>https://www.obatalasciences.com/contact-us-button-1</t>
        </is>
      </c>
      <c r="AN945" t="inlineStr">
        <is>
          <t>https://www.obatalasciences.com/contact-us-button-1</t>
        </is>
      </c>
      <c r="AP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Y950" t="inlineStr">
        <is>
          <t>unknown</t>
        </is>
      </c>
      <c r="Z950" t="inlineStr"/>
      <c r="AA950" t="inlineStr"/>
      <c r="AB950" t="inlineStr"/>
      <c r="AC950" t="inlineStr"/>
      <c r="AD950" t="inlineStr">
        <is>
          <t>לא נמצא בחיפוש ראשוני</t>
        </is>
      </c>
      <c r="AE950" t="inlineStr">
        <is>
          <t>חיפוש חלקי</t>
        </is>
      </c>
      <c r="AG950" t="inlineStr"/>
      <c r="AH950" t="inlineStr"/>
      <c r="AI950" t="inlineStr">
        <is>
          <t>Only company profiles (Norcross, GA); no Israeli distributor; Agentek surfaced but without any Omega Bio-tek link.</t>
        </is>
      </c>
      <c r="AJ950" t="inlineStr">
        <is>
          <t>770.931.8400</t>
        </is>
      </c>
      <c r="AK950" t="inlineStr">
        <is>
          <t>info@omegabiotek.com</t>
        </is>
      </c>
      <c r="AM950" t="inlineStr">
        <is>
          <t>https://omegabiotek.com/company/contact-us/</t>
        </is>
      </c>
      <c r="AN950" t="inlineStr">
        <is>
          <t>https://omegabiotek.com/company/contact-us/</t>
        </is>
      </c>
      <c r="AP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בחיפוש ראשוני</t>
        </is>
      </c>
      <c r="AE951" t="inlineStr">
        <is>
          <t>חיפוש חלקי</t>
        </is>
      </c>
      <c r="AG951" t="inlineStr"/>
      <c r="AH951" t="inlineStr"/>
      <c r="AI951" t="inlineStr">
        <is>
          <t>Only company info and Fisher/Sigma/VWR storefront listings; no Israel mention.</t>
        </is>
      </c>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N953" t="inlineStr">
        <is>
          <t>https://omronhealthcare.com/</t>
        </is>
      </c>
      <c r="AP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is>
          <t>0039035571392</t>
        </is>
      </c>
      <c r="AK956" t="inlineStr">
        <is>
          <t>info@optika-italy.com</t>
        </is>
      </c>
      <c r="AM956" t="inlineStr">
        <is>
          <t>https://www.optikamicroscopes.com/optikamicroscopes/contact/</t>
        </is>
      </c>
      <c r="AN956" t="inlineStr">
        <is>
          <t>https://www.optikamicroscopes.com/optikamicroscopes/contact/</t>
        </is>
      </c>
      <c r="AP956" t="inlineStr">
        <is>
          <t>https://www.dutscher.com/search?initialFilters=brand:Optika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is>
          <t>1 (800) 669-9015</t>
        </is>
      </c>
      <c r="AK957" t="inlineStr">
        <is>
          <t>info@optimizetech.com</t>
        </is>
      </c>
      <c r="AM957" t="inlineStr">
        <is>
          <t>https://www.optimizetech.com/contact/</t>
        </is>
      </c>
      <c r="AN957" t="inlineStr">
        <is>
          <t>https://www.optimizetech.com/contact/</t>
        </is>
      </c>
      <c r="AP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is>
          <t>+19788387300</t>
        </is>
      </c>
      <c r="AK958" t="inlineStr">
        <is>
          <t>sales@organomation.com</t>
        </is>
      </c>
      <c r="AM958" t="inlineStr">
        <is>
          <t>https://www.organomation.com/support/contact-help-support</t>
        </is>
      </c>
      <c r="AN958" t="inlineStr">
        <is>
          <t>https://www.organomation.com/support/contact-help-support</t>
        </is>
      </c>
      <c r="AP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is>
          <t>1-301-340-3188</t>
        </is>
      </c>
      <c r="AK959" t="inlineStr">
        <is>
          <t>sales@origene.com</t>
        </is>
      </c>
      <c r="AM959" t="inlineStr">
        <is>
          <t>https://www.origene.com/about-us/contact-us</t>
        </is>
      </c>
      <c r="AN959" t="inlineStr">
        <is>
          <t>https://www.origene.com/about-us/contact-us</t>
        </is>
      </c>
      <c r="AP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N960" t="inlineStr">
        <is>
          <t>https://www.orsnasco.com/</t>
        </is>
      </c>
      <c r="AP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is>
          <t>+19706164910</t>
        </is>
      </c>
      <c r="AK963" t="inlineStr">
        <is>
          <t>info@ousialabs.com</t>
        </is>
      </c>
      <c r="AM963" t="inlineStr">
        <is>
          <t>https://ousialabs.com/contact/</t>
        </is>
      </c>
      <c r="AN963" t="inlineStr">
        <is>
          <t>https://ousialabs.com/contact/</t>
        </is>
      </c>
      <c r="AP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M966" t="inlineStr">
        <is>
          <t>https://www.oxinst.com/contact-us</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Y967" t="inlineStr">
        <is>
          <t>unknown</t>
        </is>
      </c>
      <c r="Z967" t="inlineStr"/>
      <c r="AA967" t="inlineStr"/>
      <c r="AB967" t="inlineStr"/>
      <c r="AC967" t="inlineStr"/>
      <c r="AD967" t="inlineStr">
        <is>
          <t>לא נמצא בחיפוש ראשוני</t>
        </is>
      </c>
      <c r="AE967" t="inlineStr">
        <is>
          <t>חיפוש חלקי</t>
        </is>
      </c>
      <c r="AG967" t="inlineStr"/>
      <c r="AH967" t="inlineStr"/>
      <c r="AI967" t="inlineStr">
        <is>
          <t>No Israeli distributor for Oxford Lab Products (San Diego pipettes/benchtop equipment); results are dominated by Oxford Nanopore, whose Israeli channel partner is Zotal Ltd (Tel Aviv) - a different company, not applicable.</t>
        </is>
      </c>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is>
          <t>+33486948516</t>
        </is>
      </c>
      <c r="AK968" t="inlineStr">
        <is>
          <t>order@ozbiosciences.com</t>
        </is>
      </c>
      <c r="AM968" t="inlineStr">
        <is>
          <t>https://ozbiosciences.com/contact-us</t>
        </is>
      </c>
      <c r="AN968" t="inlineStr">
        <is>
          <t>https://ozbiosciences.com/contact-us</t>
        </is>
      </c>
      <c r="AP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בחיפוש ראשוני</t>
        </is>
      </c>
      <c r="AE970" t="inlineStr">
        <is>
          <t>חיפוש חלקי</t>
        </is>
      </c>
      <c r="AG970" t="inlineStr"/>
      <c r="AH970" t="inlineStr"/>
      <c r="AI970" t="inlineStr">
        <is>
          <t>Only corporate/SEC profiles (Pall now under Danaher/Cytiva); no Israeli distributor or office named in results.</t>
        </is>
      </c>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is>
          <t>800-344-6424</t>
        </is>
      </c>
      <c r="AK971" t="inlineStr">
        <is>
          <t>customerservice@palmerohealth.com</t>
        </is>
      </c>
      <c r="AM971" t="inlineStr">
        <is>
          <t>https://www.palmerohealth.com/pages/contact-us</t>
        </is>
      </c>
      <c r="AN971" t="inlineStr">
        <is>
          <t>https://www.palmerohealth.com/pages/contact-us</t>
        </is>
      </c>
      <c r="AP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K972" t="inlineStr">
        <is>
          <t>info@pan-biotech.de</t>
        </is>
      </c>
      <c r="AM972" t="inlineStr">
        <is>
          <t>https://pan-biotech.de/kontakt/</t>
        </is>
      </c>
      <c r="AN972" t="inlineStr">
        <is>
          <t>https://pan-biotech.de/kontakt/</t>
        </is>
      </c>
      <c r="AP972" t="inlineStr">
        <is>
          <t>https://www.dutscher.com/search?initialFilters=brand:Pan+biotech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is>
          <t>1-800-666-8282</t>
        </is>
      </c>
      <c r="AK974" t="inlineStr">
        <is>
          <t>info@partermedical.com</t>
        </is>
      </c>
      <c r="AM974" t="inlineStr">
        <is>
          <t>https://partermedical.com/contactus.html</t>
        </is>
      </c>
      <c r="AN974" t="inlineStr">
        <is>
          <t>https://partermedical.com/contactus.html</t>
        </is>
      </c>
      <c r="AP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is>
          <t>20 3930 8101</t>
        </is>
      </c>
      <c r="AN976" t="inlineStr">
        <is>
          <t>https://pcrbio.com/</t>
        </is>
      </c>
      <c r="AP976" t="inlineStr">
        <is>
          <t>https://www.thomassci.com/browse-by/suppliers/pcr-biosystems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is>
          <t>+1-202-506-5608</t>
        </is>
      </c>
      <c r="AK977" t="inlineStr">
        <is>
          <t>info@plantcelltechnology.com</t>
        </is>
      </c>
      <c r="AM977" t="inlineStr">
        <is>
          <t>https://plantcelltechnology.com/pages/contact-us</t>
        </is>
      </c>
      <c r="AN977" t="inlineStr">
        <is>
          <t>https://plantcelltechnology.com/pages/contact-us</t>
        </is>
      </c>
      <c r="AP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M978" t="inlineStr">
        <is>
          <t>https://pdihc.com/contact-us/</t>
        </is>
      </c>
      <c r="AN978" t="inlineStr">
        <is>
          <t>https://pdihc.com/contact-us/</t>
        </is>
      </c>
      <c r="AP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is>
          <t>8007676532</t>
        </is>
      </c>
      <c r="AM979" t="inlineStr">
        <is>
          <t>https://www.peakscientific.com/contact/?enquiryType=Technical_support</t>
        </is>
      </c>
      <c r="AN979" t="inlineStr">
        <is>
          <t>https://www.peakscientific.com/contact/?enquiryType=Technical_support</t>
        </is>
      </c>
      <c r="AP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is>
          <t>(941)-803-4824</t>
        </is>
      </c>
      <c r="AK980" t="inlineStr">
        <is>
          <t>sales@peakfbs.com</t>
        </is>
      </c>
      <c r="AM980" t="inlineStr">
        <is>
          <t>https://peakfbs.com/contact-us/</t>
        </is>
      </c>
      <c r="AN980" t="inlineStr">
        <is>
          <t>https://peakfbs.com/contact-us/</t>
        </is>
      </c>
      <c r="AP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M983" t="inlineStr">
        <is>
          <t>https://www.thermofisher.com/store/v2/contact-us?enableChat=true</t>
        </is>
      </c>
      <c r="AN983" t="inlineStr">
        <is>
          <t>https://www.thermofisher.com/store/v2/contact-us?enableChat=true</t>
        </is>
      </c>
      <c r="AP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is>
          <t>555578217720(6105)</t>
        </is>
      </c>
      <c r="AN985" t="inlineStr">
        <is>
          <t>https://perfex.mx/</t>
        </is>
      </c>
      <c r="AP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M986" t="inlineStr">
        <is>
          <t>https://www.perkinelmer.com/contactus/requestaquote.html</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M989" t="inlineStr">
        <is>
          <t>https://www.phchd.com/global/forms/Input?form_id=%7BA1E4FD0D-9F27-4C4D-9FD1-7A057C9FE770%7D</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N992" t="inlineStr">
        <is>
          <t>https://www.phenomenex.com/</t>
        </is>
      </c>
      <c r="AP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is>
          <t>+1-202-506-5608</t>
        </is>
      </c>
      <c r="AK996" t="inlineStr">
        <is>
          <t>info@plantcelltechnology.com</t>
        </is>
      </c>
      <c r="AM996" t="inlineStr">
        <is>
          <t>https://plantcelltechnology.com/pages/contact-us</t>
        </is>
      </c>
      <c r="AN996" t="inlineStr">
        <is>
          <t>https://plantcelltechnology.com/pages/contact-us</t>
        </is>
      </c>
      <c r="AP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is>
          <t>+1-202-506-5608</t>
        </is>
      </c>
      <c r="AK997" t="inlineStr">
        <is>
          <t>info@plantcelltechnology.com</t>
        </is>
      </c>
      <c r="AM997" t="inlineStr">
        <is>
          <t>https://plantcelltechnology.com/pages/contact-us</t>
        </is>
      </c>
      <c r="AN997" t="inlineStr">
        <is>
          <t>https://plantcelltechnology.com/pages/contact-us</t>
        </is>
      </c>
      <c r="AP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is>
          <t>8008667527</t>
        </is>
      </c>
      <c r="AM998" t="inlineStr">
        <is>
          <t>https://plas-labs.com/contact</t>
        </is>
      </c>
      <c r="AN998" t="inlineStr">
        <is>
          <t>https://plas-labs.com/contact</t>
        </is>
      </c>
      <c r="AP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is>
          <t>4103982800</t>
        </is>
      </c>
      <c r="AK1000" t="inlineStr">
        <is>
          <t>info@plasticoid.com</t>
        </is>
      </c>
      <c r="AM1000" t="inlineStr">
        <is>
          <t>https://plasticoid.com/contact-us/</t>
        </is>
      </c>
      <c r="AN1000" t="inlineStr">
        <is>
          <t>https://plasticoid.com/contact-us/</t>
        </is>
      </c>
      <c r="AP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is>
          <t>8004232749</t>
        </is>
      </c>
      <c r="AM1003" t="inlineStr">
        <is>
          <t>https://polar-tech.com/contact-us/</t>
        </is>
      </c>
      <c r="AN1003" t="inlineStr">
        <is>
          <t>https://polar-tech.com/contact-us/</t>
        </is>
      </c>
      <c r="AP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is>
          <t>+441252726000</t>
        </is>
      </c>
      <c r="AK1004" t="inlineStr">
        <is>
          <t>enquiries@polarseal.net</t>
        </is>
      </c>
      <c r="AM1004" t="inlineStr">
        <is>
          <t>https://www.polarseal.net/contact-us/</t>
        </is>
      </c>
      <c r="AN1004" t="inlineStr">
        <is>
          <t>https://www.polarseal.net/contact-us/</t>
        </is>
      </c>
      <c r="AP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is>
          <t>5416360802</t>
        </is>
      </c>
      <c r="AK1006" t="inlineStr">
        <is>
          <t>info@poltex.com</t>
        </is>
      </c>
      <c r="AN1006" t="inlineStr">
        <is>
          <t>https://poltex.com/</t>
        </is>
      </c>
      <c r="AP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K1008" t="inlineStr">
        <is>
          <t>info@polycarbin.com</t>
        </is>
      </c>
      <c r="AM1008" t="inlineStr">
        <is>
          <t>https://polycarbin.com/contact-us</t>
        </is>
      </c>
      <c r="AN1008" t="inlineStr">
        <is>
          <t>https://polycarbin.com/contact-us</t>
        </is>
      </c>
      <c r="AP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is>
          <t>8664377427</t>
        </is>
      </c>
      <c r="AN1010" t="inlineStr">
        <is>
          <t>https://polymershapes.com/</t>
        </is>
      </c>
      <c r="AP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Y1011" t="inlineStr">
        <is>
          <t>unknown</t>
        </is>
      </c>
      <c r="Z1011" t="inlineStr"/>
      <c r="AA1011" t="inlineStr"/>
      <c r="AB1011" t="inlineStr"/>
      <c r="AC1011" t="inlineStr"/>
      <c r="AD1011" t="inlineStr">
        <is>
          <t>לא נמצא בחיפוש ראשוני</t>
        </is>
      </c>
      <c r="AE1011" t="inlineStr">
        <is>
          <t>חיפוש חלקי</t>
        </is>
      </c>
      <c r="AG1011" t="inlineStr"/>
      <c r="AH1011" t="inlineStr"/>
      <c r="AI1011" t="inlineStr">
        <is>
          <t>Results covered Polysciences Inc. (Warrington PA; offices in Germany/Taiwan/India/Brazil, none in Israel) and unrelated Israeli distributors; nothing linking PolyScience (chillers/circulators) to an Israeli channel.</t>
        </is>
      </c>
      <c r="AJ1011" t="inlineStr">
        <is>
          <t>+1 (847) 647-0611</t>
        </is>
      </c>
      <c r="AM1011" t="inlineStr">
        <is>
          <t>https://www.polyscience.com/contact-us</t>
        </is>
      </c>
      <c r="AN1011" t="inlineStr">
        <is>
          <t>https://www.polyscience.com/contact-us</t>
        </is>
      </c>
      <c r="AP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is>
          <t>(800) 523-2575</t>
        </is>
      </c>
      <c r="AK1012" t="inlineStr">
        <is>
          <t>info@polysciences.com</t>
        </is>
      </c>
      <c r="AM1012" t="inlineStr">
        <is>
          <t>https://polysciences.com/pages/contact-us</t>
        </is>
      </c>
      <c r="AN1012" t="inlineStr">
        <is>
          <t>https://polysciences.com/pages/contact-us</t>
        </is>
      </c>
      <c r="AP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is>
          <t>+12622689300</t>
        </is>
      </c>
      <c r="AK1013" t="inlineStr">
        <is>
          <t>info@popeinc.com</t>
        </is>
      </c>
      <c r="AM1013" t="inlineStr">
        <is>
          <t>https://www.popeinc.com/company/contact-us/</t>
        </is>
      </c>
      <c r="AN1013" t="inlineStr">
        <is>
          <t>https://www.popeinc.com/company/contact-us/</t>
        </is>
      </c>
      <c r="AP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בחיפוש ראשוני</t>
        </is>
      </c>
      <c r="AE1015" t="inlineStr">
        <is>
          <t>חיפוש חלקי</t>
        </is>
      </c>
      <c r="AG1015" t="inlineStr"/>
      <c r="AH1015" t="inlineStr"/>
      <c r="AI1015" t="inlineStr">
        <is>
          <t>Only Germany distributor (MZ-Analysentechnik) named; Porvair Sciences cites a worldwide distributor network without countries.</t>
        </is>
      </c>
      <c r="AJ1015" t="inlineStr">
        <is>
          <t>+4401553765500</t>
        </is>
      </c>
      <c r="AM1015" t="inlineStr">
        <is>
          <t>https://www.porvair.com/investors/investor-relations-contacts</t>
        </is>
      </c>
      <c r="AN1015" t="inlineStr">
        <is>
          <t>https://www.porvair.com/investors/investor-relations-contacts</t>
        </is>
      </c>
      <c r="AO1015" t="inlineStr">
        <is>
          <t>Q59537154</t>
        </is>
      </c>
      <c r="AP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is>
          <t>+18556950832</t>
        </is>
      </c>
      <c r="AM1019" t="inlineStr">
        <is>
          <t>https://www.powerblanket.com/learn/contact-us/</t>
        </is>
      </c>
      <c r="AN1019" t="inlineStr">
        <is>
          <t>https://www.powerblanket.com/learn/contact-us/</t>
        </is>
      </c>
      <c r="AP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M1021" t="inlineStr">
        <is>
          <t>https://ppcflex.com/contact/</t>
        </is>
      </c>
      <c r="AN1021" t="inlineStr">
        <is>
          <t>https://ppcflex.com/contact/</t>
        </is>
      </c>
      <c r="AP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is>
          <t>047-303-4800</t>
        </is>
      </c>
      <c r="AN1022" t="inlineStr">
        <is>
          <t>https://pss.co.jp/</t>
        </is>
      </c>
      <c r="AP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is>
          <t>2156721860</t>
        </is>
      </c>
      <c r="AM1023" t="inlineStr">
        <is>
          <t>https://www.psi-software.com/contact/</t>
        </is>
      </c>
      <c r="AN1023" t="inlineStr">
        <is>
          <t>https://www.psi-software.com/contact/</t>
        </is>
      </c>
      <c r="AP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is>
          <t>(817) 427-2700</t>
        </is>
      </c>
      <c r="AM1025" t="inlineStr">
        <is>
          <t>https://www.prestigeameritech.com/contact</t>
        </is>
      </c>
      <c r="AN1025" t="inlineStr">
        <is>
          <t>https://www.prestigeameritech.com/contact</t>
        </is>
      </c>
      <c r="AP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is>
          <t>(609) 860-1803</t>
        </is>
      </c>
      <c r="AK1026" t="inlineStr">
        <is>
          <t>info@pci-hplc.com</t>
        </is>
      </c>
      <c r="AM1026" t="inlineStr">
        <is>
          <t>https://pci-hplc.com/pages/contact-us</t>
        </is>
      </c>
      <c r="AN1026" t="inlineStr">
        <is>
          <t>https://pci-hplc.com/pages/contact-us</t>
        </is>
      </c>
      <c r="AP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בחיפוש ראשוני</t>
        </is>
      </c>
      <c r="AE1028" t="inlineStr">
        <is>
          <t>חיפוש חלקי</t>
        </is>
      </c>
      <c r="AG1028" t="inlineStr"/>
      <c r="AH1028" t="inlineStr"/>
      <c r="AI1028" t="inlineStr">
        <is>
          <t>Only US channels (VWR, Thomas, Marshall, MIDSCI) and an Indian reseller appeared; no Israel mention.</t>
        </is>
      </c>
      <c r="AJ1028" t="inlineStr">
        <is>
          <t>203-267-4600</t>
        </is>
      </c>
      <c r="AM1028" t="inlineStr">
        <is>
          <t>https://proscientific.com/contact-us</t>
        </is>
      </c>
      <c r="AN1028" t="inlineStr">
        <is>
          <t>https://proscientific.com/contact-us</t>
        </is>
      </c>
      <c r="AP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is>
          <t>+496221649340</t>
        </is>
      </c>
      <c r="AM1031" t="inlineStr">
        <is>
          <t>https://promocell.com/de_de/gmp/gmp-contact-us/</t>
        </is>
      </c>
      <c r="AN1031" t="inlineStr">
        <is>
          <t>https://promocell.com/de_de/gmp/gmp-contact-us/</t>
        </is>
      </c>
      <c r="AP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Y1033" t="inlineStr">
        <is>
          <t>unknown</t>
        </is>
      </c>
      <c r="Z1033" t="inlineStr"/>
      <c r="AA1033" t="inlineStr"/>
      <c r="AB1033" t="inlineStr"/>
      <c r="AC1033" t="inlineStr"/>
      <c r="AD1033" t="inlineStr">
        <is>
          <t>לא נמצא בחיפוש ראשוני</t>
        </is>
      </c>
      <c r="AE1033" t="inlineStr">
        <is>
          <t>חיפוש חלקי</t>
        </is>
      </c>
      <c r="AG1033" t="inlineStr"/>
      <c r="AH1033" t="inlineStr"/>
      <c r="AI1033" t="inlineStr">
        <is>
          <t>ProSci is a Genesee Scientific antibody brand sold direct; a Feb 2025 release on its global commercial strategy names no Israeli distributor; product hits are US price pages.</t>
        </is>
      </c>
      <c r="AJ1033" t="inlineStr">
        <is>
          <t>+1 970 203 9332</t>
        </is>
      </c>
      <c r="AM1033" t="inlineStr">
        <is>
          <t>https://www.prosci.com/about#go-to-form</t>
        </is>
      </c>
      <c r="AN1033" t="inlineStr">
        <is>
          <t>https://www.prosci.com/about#go-to-form</t>
        </is>
      </c>
      <c r="AP1033" t="inlineStr">
        <is>
          <t>https://www.quartzy.com/suppliers | https://www.thomassci.com/browse-by/suppliers/prosci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is>
          <t>1-800-805-6531</t>
        </is>
      </c>
      <c r="AK1034" t="inlineStr">
        <is>
          <t>info@prospecbio.com</t>
        </is>
      </c>
      <c r="AM1034" t="inlineStr">
        <is>
          <t>https://prospecbio.com/pages/contact</t>
        </is>
      </c>
      <c r="AN1034" t="inlineStr">
        <is>
          <t>https://prospecbio.com/pages/contact</t>
        </is>
      </c>
      <c r="AP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is>
          <t>+330390205470</t>
        </is>
      </c>
      <c r="AK1038" t="inlineStr">
        <is>
          <t>contact@proteogenix.fr</t>
        </is>
      </c>
      <c r="AM1038" t="inlineStr">
        <is>
          <t>https://www.proteogenix.science/contact/</t>
        </is>
      </c>
      <c r="AN1038" t="inlineStr">
        <is>
          <t>https://www.proteogenix.science/contact/</t>
        </is>
      </c>
      <c r="AP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is>
          <t>800-321-2313</t>
        </is>
      </c>
      <c r="AM1042" t="inlineStr">
        <is>
          <t>https://www.puritanmedproducts.com/pages/contact-us</t>
        </is>
      </c>
      <c r="AN1042" t="inlineStr">
        <is>
          <t>https://www.puritanmedproducts.com/pages/contact-us</t>
        </is>
      </c>
      <c r="AP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is>
          <t>800-321-2313</t>
        </is>
      </c>
      <c r="AM1044" t="inlineStr">
        <is>
          <t>https://www.puritanmedproducts.com/pages/contact-us</t>
        </is>
      </c>
      <c r="AN1044" t="inlineStr">
        <is>
          <t>https://www.puritanmedproducts.com/pages/contact-us</t>
        </is>
      </c>
      <c r="AP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Y1051" t="inlineStr">
        <is>
          <t>unknown</t>
        </is>
      </c>
      <c r="Z1051" t="inlineStr"/>
      <c r="AA1051" t="inlineStr"/>
      <c r="AB1051" t="inlineStr"/>
      <c r="AC1051" t="inlineStr"/>
      <c r="AD1051" t="inlineStr">
        <is>
          <t>לא נמצא בחיפוש ראשוני</t>
        </is>
      </c>
      <c r="AE1051" t="inlineStr">
        <is>
          <t>חיפוש חלקי</t>
        </is>
      </c>
      <c r="AG1051" t="inlineStr"/>
      <c r="AH1051" t="inlineStr"/>
      <c r="AI1051" t="inlineStr">
        <is>
          <t>No result mentioned Qorpak; only unrelated Israeli companies (Amisragas, Dubek, Diplomat).</t>
        </is>
      </c>
      <c r="AJ1051" t="inlineStr"/>
      <c r="AN1051" t="inlineStr">
        <is>
          <t>https://shop.qorpak.com/</t>
        </is>
      </c>
      <c r="AP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is>
          <t>+1 631 242-3000</t>
        </is>
      </c>
      <c r="AM1052" t="inlineStr">
        <is>
          <t>https://www.qosina.com/contact-us-1</t>
        </is>
      </c>
      <c r="AN1052" t="inlineStr">
        <is>
          <t>https://www.qosina.com/contact-us-1</t>
        </is>
      </c>
      <c r="AP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is>
          <t>2034260101</t>
        </is>
      </c>
      <c r="AK1054" t="inlineStr">
        <is>
          <t>info@sonicator.com</t>
        </is>
      </c>
      <c r="AM1054" t="inlineStr">
        <is>
          <t>https://www.sonicator.com/pages/contact-info</t>
        </is>
      </c>
      <c r="AN1054" t="inlineStr">
        <is>
          <t>https://www.sonicator.com/pages/contact-info</t>
        </is>
      </c>
      <c r="AP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בחיפוש ראשוני</t>
        </is>
      </c>
      <c r="AE1055" t="inlineStr">
        <is>
          <t>חיפוש חלקי</t>
        </is>
      </c>
      <c r="AG1055" t="inlineStr"/>
      <c r="AH1055" t="inlineStr"/>
      <c r="AI1055" t="inlineStr">
        <is>
          <t>No result mentions Quality Biological; ENCO Diagnostics (Petach Tikva) appeared only as Medix Biochemica's Israeli distributor.</t>
        </is>
      </c>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is>
          <t>+8006854665</t>
        </is>
      </c>
      <c r="AK1057" t="inlineStr">
        <is>
          <t>sales@quantumstorage.com</t>
        </is>
      </c>
      <c r="AM1057" t="inlineStr">
        <is>
          <t>https://www.quantumstorage.com/contact/</t>
        </is>
      </c>
      <c r="AN1057" t="inlineStr">
        <is>
          <t>https://www.quantumstorage.com/contact/</t>
        </is>
      </c>
      <c r="AP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is>
          <t>8004824328</t>
        </is>
      </c>
      <c r="AK1059" t="inlineStr">
        <is>
          <t>orders@quincylab.com</t>
        </is>
      </c>
      <c r="AN1059" t="inlineStr">
        <is>
          <t>https://quincylab.com/</t>
        </is>
      </c>
      <c r="AP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is>
          <t>(480) 443-9255</t>
        </is>
      </c>
      <c r="AK1062" t="inlineStr">
        <is>
          <t>info@rrlotion.com</t>
        </is>
      </c>
      <c r="AM1062" t="inlineStr">
        <is>
          <t>https://rrlotion.com/contact-us/distributors/</t>
        </is>
      </c>
      <c r="AN1062" t="inlineStr">
        <is>
          <t>https://rrlotion.com/contact-us/distributors/</t>
        </is>
      </c>
      <c r="AP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is>
          <t>877-723-4267</t>
        </is>
      </c>
      <c r="AK1064" t="inlineStr">
        <is>
          <t>sales@radians.com</t>
        </is>
      </c>
      <c r="AM1064" t="inlineStr">
        <is>
          <t>https://www.radians.com/contact</t>
        </is>
      </c>
      <c r="AN1064" t="inlineStr">
        <is>
          <t>https://www.radians.com/contact</t>
        </is>
      </c>
      <c r="AP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K1067" t="inlineStr">
        <is>
          <t>info@ratiolab.com</t>
        </is>
      </c>
      <c r="AM1067" t="inlineStr">
        <is>
          <t>https://www.ratiolab.com/kontakt/</t>
        </is>
      </c>
      <c r="AN1067" t="inlineStr">
        <is>
          <t>https://www.ratiolab.com/kontakt/</t>
        </is>
      </c>
      <c r="AP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Y1068" t="inlineStr">
        <is>
          <t>unknown</t>
        </is>
      </c>
      <c r="Z1068" t="inlineStr"/>
      <c r="AA1068" t="inlineStr"/>
      <c r="AB1068" t="inlineStr"/>
      <c r="AC1068" t="inlineStr"/>
      <c r="AD1068" t="inlineStr">
        <is>
          <t>לא נמצא בחיפוש ראשוני</t>
        </is>
      </c>
      <c r="AE1068" t="inlineStr">
        <is>
          <t>חיפוש חלקי</t>
        </is>
      </c>
      <c r="AG1068" t="inlineStr"/>
      <c r="AH1068" t="inlineStr"/>
      <c r="AI1068" t="inlineStr">
        <is>
          <t>RayBiotech's 2012 distributor-conference release cites distributors in 35+ countries (unnamed); EU resellers (Bio-Connect, Insight Bio) appear; Israeli distributor pages (Enco, Rhenium, Biological Industries) do not list RayBiotech.</t>
        </is>
      </c>
      <c r="AJ1068" t="inlineStr">
        <is>
          <t>7707292992</t>
        </is>
      </c>
      <c r="AK1068" t="inlineStr">
        <is>
          <t>orders@raybiotech.com</t>
        </is>
      </c>
      <c r="AM1068" t="inlineStr">
        <is>
          <t>https://www.raybiotech.com/contact-us</t>
        </is>
      </c>
      <c r="AN1068" t="inlineStr">
        <is>
          <t>https://www.raybiotech.com/contact-us</t>
        </is>
      </c>
      <c r="AP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is>
          <t>+35319014670</t>
        </is>
      </c>
      <c r="AM1071" t="inlineStr">
        <is>
          <t>https://www.reagecon.com/en-gb/contact</t>
        </is>
      </c>
      <c r="AN1071" t="inlineStr">
        <is>
          <t>https://www.reagecon.com/en-gb/contact</t>
        </is>
      </c>
      <c r="AP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is>
          <t>18558729640</t>
        </is>
      </c>
      <c r="AK1073" t="inlineStr">
        <is>
          <t>info@reddotbiotech.com</t>
        </is>
      </c>
      <c r="AM1073" t="inlineStr">
        <is>
          <t>https://www.reddotbiotech.com/contact</t>
        </is>
      </c>
      <c r="AN1073" t="inlineStr">
        <is>
          <t>https://www.reddotbiotech.com/contact</t>
        </is>
      </c>
      <c r="AP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is>
          <t>+1-317-876-9856</t>
        </is>
      </c>
      <c r="AK1075" t="inlineStr">
        <is>
          <t>export@vikan.com</t>
        </is>
      </c>
      <c r="AM1075" t="inlineStr">
        <is>
          <t>https://www.vikan.com/us/contact-us</t>
        </is>
      </c>
      <c r="AN1075" t="inlineStr">
        <is>
          <t>https://www.vikan.com/us/contact-us</t>
        </is>
      </c>
      <c r="AP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בחיפוש ראשוני</t>
        </is>
      </c>
      <c r="AE1079" t="inlineStr">
        <is>
          <t>חיפוש חלקי</t>
        </is>
      </c>
      <c r="AG1079" t="inlineStr"/>
      <c r="AH1079" t="inlineStr"/>
      <c r="AI1079" t="inlineStr">
        <is>
          <t>Restek directs customers to 'local Restek office or distributor'; none named for Israel in results (only US distributor Chrom Tech).</t>
        </is>
      </c>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is>
          <t>888-703-1010</t>
        </is>
      </c>
      <c r="AK1080" t="inlineStr">
        <is>
          <t>international@retractable.com</t>
        </is>
      </c>
      <c r="AM1080" t="inlineStr">
        <is>
          <t>https://retractable.com/contact/</t>
        </is>
      </c>
      <c r="AN1080" t="inlineStr">
        <is>
          <t>https://retractable.com/contact/</t>
        </is>
      </c>
      <c r="AP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Y1084" t="inlineStr">
        <is>
          <t>unknown</t>
        </is>
      </c>
      <c r="Z1084" t="inlineStr"/>
      <c r="AA1084" t="inlineStr"/>
      <c r="AB1084" t="inlineStr"/>
      <c r="AC1084" t="inlineStr"/>
      <c r="AD1084" t="inlineStr">
        <is>
          <t>לא נמצא בחיפוש ראשוני</t>
        </is>
      </c>
      <c r="AE1084" t="inlineStr">
        <is>
          <t>חיפוש חלקי</t>
        </is>
      </c>
      <c r="AG1084" t="inlineStr"/>
      <c r="AH1084" t="inlineStr"/>
      <c r="AI1084" t="inlineStr">
        <is>
          <t>Ricca's own distributor page (riccachemical.com/distributors) lists US firms only; Israeli chemical distributors (Lidorr, Orokia) appeared with no link to Ricca.</t>
        </is>
      </c>
      <c r="AJ1084" t="inlineStr">
        <is>
          <t>888-467-4222</t>
        </is>
      </c>
      <c r="AK1084" t="inlineStr">
        <is>
          <t>info@riccachemical.com</t>
        </is>
      </c>
      <c r="AM1084" t="inlineStr">
        <is>
          <t>https://riccachemical.com/contact-us</t>
        </is>
      </c>
      <c r="AN1084" t="inlineStr">
        <is>
          <t>https://riccachemical.com/contact-us</t>
        </is>
      </c>
      <c r="AP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M1086" t="inlineStr">
        <is>
          <t>https://www.ridgid.com/us/en/accessibility</t>
        </is>
      </c>
      <c r="AN1086" t="inlineStr">
        <is>
          <t>https://www.ridgid.com/us/en/accessibility</t>
        </is>
      </c>
      <c r="AP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is>
          <t>+886-7-2273358</t>
        </is>
      </c>
      <c r="AM1091" t="inlineStr">
        <is>
          <t>https://www.rocker.com.tw/contact-us/</t>
        </is>
      </c>
      <c r="AN1091" t="inlineStr">
        <is>
          <t>https://www.rocker.com.tw/contact-us/</t>
        </is>
      </c>
      <c r="AP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ברור</t>
        </is>
      </c>
      <c r="AE1092" t="inlineStr">
        <is>
          <t>חיפוש חלקי</t>
        </is>
      </c>
      <c r="AG1092" t="inlineStr"/>
      <c r="AH1092" t="inlineStr"/>
      <c r="AI1092" t="inlineStr">
        <is>
          <t>Rockland's own distributor page (rockland.com/distributors) exists but the snippet cut off after Belgium; third-party profiles list distributors in US, Australia, Austria, Belgium, Brazil, Canada, Chile, Denmark 'among others' without naming Israel.</t>
        </is>
      </c>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is>
          <t>303-762-0800</t>
        </is>
      </c>
      <c r="AK1093" t="inlineStr">
        <is>
          <t>info@rmreagents.com</t>
        </is>
      </c>
      <c r="AM1093" t="inlineStr">
        <is>
          <t>https://rmreagents.com/contact-us/</t>
        </is>
      </c>
      <c r="AN1093" t="inlineStr">
        <is>
          <t>https://rmreagents.com/contact-us/</t>
        </is>
      </c>
      <c r="AP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M1094" t="inlineStr">
        <is>
          <t>https://rokebio.com/contact/</t>
        </is>
      </c>
      <c r="AN1094" t="inlineStr">
        <is>
          <t>https://rokebio.com/contact/</t>
        </is>
      </c>
      <c r="AO1094" t="inlineStr">
        <is>
          <t>Q117450457</t>
        </is>
      </c>
      <c r="AP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is>
          <t>+16314273898</t>
        </is>
      </c>
      <c r="AK1095" t="inlineStr">
        <is>
          <t>sales@rotronic-usa.com</t>
        </is>
      </c>
      <c r="AL1095" t="inlineStr">
        <is>
          <t>La Roche-sur-Foron</t>
        </is>
      </c>
      <c r="AN1095" t="inlineStr">
        <is>
          <t>https://www.rotronic.com/</t>
        </is>
      </c>
      <c r="AO1095" t="inlineStr">
        <is>
          <t>Q131636473</t>
        </is>
      </c>
      <c r="AP1095" t="inlineStr">
        <is>
          <t>https://www.thomassci.com/browse-by/suppliers/rotronics | https://www.wikidata.org/wiki/Q131636473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is>
          <t>8886985160</t>
        </is>
      </c>
      <c r="AK1099" t="inlineStr">
        <is>
          <t>hello@rxdestroyer.com.au</t>
        </is>
      </c>
      <c r="AM1099" t="inlineStr">
        <is>
          <t>https://www.rxdestroyer.com/contact-us/</t>
        </is>
      </c>
      <c r="AN1099" t="inlineStr">
        <is>
          <t>https://www.rxdestroyer.com/contact-us/</t>
        </is>
      </c>
      <c r="AP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Y1104" t="inlineStr">
        <is>
          <t>unknown</t>
        </is>
      </c>
      <c r="Z1104" t="inlineStr"/>
      <c r="AA1104" t="inlineStr"/>
      <c r="AB1104" t="inlineStr"/>
      <c r="AC1104" t="inlineStr"/>
      <c r="AD1104" t="inlineStr">
        <is>
          <t>לא נמצא בחיפוש ראשוני</t>
        </is>
      </c>
      <c r="AE1104" t="inlineStr">
        <is>
          <t>חיפוש חלקי</t>
        </is>
      </c>
      <c r="AG1104" t="inlineStr"/>
      <c r="AH1104" t="inlineStr"/>
      <c r="AI1104" t="inlineStr">
        <is>
          <t>Only The Safety Zone LLC (US) brand info; Israeli hits unrelated (an unnamed glove importer on chamber.org.il; Gamida Ltd listed as Shield Scientific's distributor).</t>
        </is>
      </c>
      <c r="AJ1104" t="inlineStr"/>
      <c r="AN1104" t="inlineStr">
        <is>
          <t>https://www.thesafetyzone.com/</t>
        </is>
      </c>
      <c r="AP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בחיפוש ראשוני</t>
        </is>
      </c>
      <c r="AE1106" t="inlineStr">
        <is>
          <t>חיפוש חלקי</t>
        </is>
      </c>
      <c r="AG1106" t="inlineStr"/>
      <c r="AH1106" t="inlineStr"/>
      <c r="AI1106" t="inlineStr">
        <is>
          <t>Only Saint-Gobain Performance Plastics tubing product pages (ThomasSci, Fisher, Labfriend Malaysia, Saint-Gobain NA/China sites); nothing for Israel.</t>
        </is>
      </c>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clearbit_verified</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is>
          <t>8007902258</t>
        </is>
      </c>
      <c r="AK1109" t="inlineStr">
        <is>
          <t>info@sungwools.co.kr</t>
        </is>
      </c>
      <c r="AM1109" t="inlineStr">
        <is>
          <t>https://salimetrics.com/contact/</t>
        </is>
      </c>
      <c r="AN1109" t="inlineStr">
        <is>
          <t>https://salimetrics.com/contact/</t>
        </is>
      </c>
      <c r="AP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Y1110" t="inlineStr">
        <is>
          <t>unknown</t>
        </is>
      </c>
      <c r="Z1110" t="inlineStr"/>
      <c r="AA1110" t="inlineStr"/>
      <c r="AB1110" t="inlineStr"/>
      <c r="AC1110" t="inlineStr"/>
      <c r="AD1110" t="inlineStr">
        <is>
          <t>לא נמצא בחיפוש ראשוני</t>
        </is>
      </c>
      <c r="AE1110" t="inlineStr">
        <is>
          <t>חיפוש חלקי</t>
        </is>
      </c>
      <c r="AG1110" t="inlineStr"/>
      <c r="AH1110" t="inlineStr"/>
      <c r="AI1110" t="inlineStr">
        <is>
          <t>Sampling Systems Ltd (Coleshill, Warwickshire) says it has distributors around the globe but names none; no Israel mention.</t>
        </is>
      </c>
      <c r="AJ1110" t="inlineStr">
        <is>
          <t>1-888-414-6448</t>
        </is>
      </c>
      <c r="AK1110" t="inlineStr">
        <is>
          <t>info@sampling.com</t>
        </is>
      </c>
      <c r="AM1110" t="inlineStr">
        <is>
          <t>https://sampling.com/index.php?route=information/contact</t>
        </is>
      </c>
      <c r="AN1110" t="inlineStr">
        <is>
          <t>https://sampling.com/index.php?route=information/contact</t>
        </is>
      </c>
      <c r="AP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Y1112" t="inlineStr">
        <is>
          <t>unknown</t>
        </is>
      </c>
      <c r="Z1112" t="inlineStr"/>
      <c r="AA1112" t="inlineStr"/>
      <c r="AB1112" t="inlineStr"/>
      <c r="AC1112" t="inlineStr"/>
      <c r="AD1112" t="inlineStr">
        <is>
          <t>לא נמצא בחיפוש ראשוני</t>
        </is>
      </c>
      <c r="AE1112" t="inlineStr">
        <is>
          <t>חיפוש חלקי</t>
        </is>
      </c>
      <c r="AG1112" t="inlineStr"/>
      <c r="AH1112" t="inlineStr"/>
      <c r="AI1112" t="inlineStr">
        <is>
          <t>Only a 2023 EcoVadis press release for SaniSure (Camarillo, CA; single-use bioprocessing); Israeli hits (Dubek, Sano, Dansell, Plasson) are unrelated name matches.</t>
        </is>
      </c>
      <c r="AJ1112" t="inlineStr">
        <is>
          <t>+18007264835</t>
        </is>
      </c>
      <c r="AM1112" t="inlineStr">
        <is>
          <t>https://sanisure.com/contact/</t>
        </is>
      </c>
      <c r="AN1112" t="inlineStr">
        <is>
          <t>https://sanisure.com/contact/</t>
        </is>
      </c>
      <c r="AP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is>
          <t>1-800-457-3801</t>
        </is>
      </c>
      <c r="AK1113" t="inlineStr">
        <is>
          <t>customerservice@scbt.com</t>
        </is>
      </c>
      <c r="AM1113" t="inlineStr">
        <is>
          <t>https://www.scbt.com/customer-care/contact-us</t>
        </is>
      </c>
      <c r="AN1113" t="inlineStr">
        <is>
          <t>https://www.scbt.com/customer-care/contact-us</t>
        </is>
      </c>
      <c r="AP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K1115" t="inlineStr">
        <is>
          <t>info@sartorius.com</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N1117" t="inlineStr">
        <is>
          <t>https://www.sassafety.com/</t>
        </is>
      </c>
      <c r="AP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is>
          <t>+19529354100</t>
        </is>
      </c>
      <c r="AK1118" t="inlineStr">
        <is>
          <t>info@savillex.com</t>
        </is>
      </c>
      <c r="AM1118" t="inlineStr">
        <is>
          <t>https://www.savillex.com/en/content/contact</t>
        </is>
      </c>
      <c r="AN1118" t="inlineStr">
        <is>
          <t>https://www.savillex.com/en/content/contact</t>
        </is>
      </c>
      <c r="AP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is>
          <t>+120(877)20602-8549</t>
        </is>
      </c>
      <c r="AK1123" t="inlineStr">
        <is>
          <t>sales@sciencellonline.com</t>
        </is>
      </c>
      <c r="AM1123" t="inlineStr">
        <is>
          <t>https://sciencellonline.com/en/contact-us/</t>
        </is>
      </c>
      <c r="AN1123" t="inlineStr">
        <is>
          <t>https://sciencellonline.com/en/contact-us/</t>
        </is>
      </c>
      <c r="AP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Y1125" t="inlineStr">
        <is>
          <t>unknown</t>
        </is>
      </c>
      <c r="Z1125" t="inlineStr"/>
      <c r="AA1125" t="inlineStr"/>
      <c r="AB1125" t="inlineStr"/>
      <c r="AC1125" t="inlineStr"/>
      <c r="AD1125" t="inlineStr">
        <is>
          <t>לא נמצא בחיפוש ראשוני</t>
        </is>
      </c>
      <c r="AE1125" t="inlineStr">
        <is>
          <t>חיפוש חלקי</t>
        </is>
      </c>
      <c r="AG1125" t="inlineStr"/>
      <c r="AH1125" t="inlineStr"/>
      <c r="AI1125" t="inlineStr">
        <is>
          <t>D&amp;B profile says the company has distributors worldwide (over half of sales outside US); none named for Israel.</t>
        </is>
      </c>
      <c r="AJ1125" t="inlineStr">
        <is>
          <t>(631) 567-4700</t>
        </is>
      </c>
      <c r="AK1125" t="inlineStr">
        <is>
          <t>info@scientificindustries.com</t>
        </is>
      </c>
      <c r="AM1125" t="inlineStr">
        <is>
          <t>https://www.scientificindustries.com/pages/contact</t>
        </is>
      </c>
      <c r="AN1125" t="inlineStr">
        <is>
          <t>https://www.scientificindustries.com/pages/contact</t>
        </is>
      </c>
      <c r="AP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is>
          <t>913-432-0322</t>
        </is>
      </c>
      <c r="AM1126" t="inlineStr">
        <is>
          <t>https://www.scientificplastics.com/contact/</t>
        </is>
      </c>
      <c r="AN1126" t="inlineStr">
        <is>
          <t>https://www.scientificplastics.com/contact/</t>
        </is>
      </c>
      <c r="AP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בחיפוש ראשוני</t>
        </is>
      </c>
      <c r="AE1127" t="inlineStr">
        <is>
          <t>חיפוש חלקי</t>
        </is>
      </c>
      <c r="AG1127" t="inlineStr"/>
      <c r="AH1127" t="inlineStr"/>
      <c r="AI1127" t="inlineStr">
        <is>
          <t>Scilogex's distributor page only invites contact to locate a distributor; agentek.co.il pages appeared in the results but no result states Agentek carries Scilogex.</t>
        </is>
      </c>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is>
          <t>(800) 726-8762</t>
        </is>
      </c>
      <c r="AK1132" t="inlineStr">
        <is>
          <t>sales@scotsman-ice.com</t>
        </is>
      </c>
      <c r="AM1132" t="inlineStr">
        <is>
          <t>https://www.scotsman-ice.com/contact-us/</t>
        </is>
      </c>
      <c r="AN1132" t="inlineStr">
        <is>
          <t>https://www.scotsman-ice.com/contact-us/</t>
        </is>
      </c>
      <c r="AP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is>
          <t>+1-858-777-2600</t>
        </is>
      </c>
      <c r="AK1135" t="inlineStr">
        <is>
          <t>info@sekisui-dx.com</t>
        </is>
      </c>
      <c r="AM1135" t="inlineStr">
        <is>
          <t>https://sekisuidiagnostics.com/contact-us/</t>
        </is>
      </c>
      <c r="AN1135" t="inlineStr">
        <is>
          <t>https://sekisuidiagnostics.com/contact-us/</t>
        </is>
      </c>
      <c r="AP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is>
          <t>(877) 796-6397</t>
        </is>
      </c>
      <c r="AK1137" t="inlineStr">
        <is>
          <t>sales@selleckchem.com</t>
        </is>
      </c>
      <c r="AM1137" t="inlineStr">
        <is>
          <t>https://www.selleckchem.com/contact.html</t>
        </is>
      </c>
      <c r="AN1137" t="inlineStr">
        <is>
          <t>https://www.selleckchem.com/contact.html</t>
        </is>
      </c>
      <c r="AP1137" t="inlineStr">
        <is>
          <t>https://www.quartzy.com/suppliers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is>
          <t>+4367687158257</t>
        </is>
      </c>
      <c r="AM1138" t="inlineStr">
        <is>
          <t>https://www.semperitgroup.com/newsroom/press-contact/</t>
        </is>
      </c>
      <c r="AN1138" t="inlineStr">
        <is>
          <t>https://www.semperitgroup.com/newsroom/press-contact/</t>
        </is>
      </c>
      <c r="AP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Y1139" t="inlineStr">
        <is>
          <t>unknown</t>
        </is>
      </c>
      <c r="Z1139" t="inlineStr"/>
      <c r="AA1139" t="inlineStr"/>
      <c r="AB1139" t="inlineStr"/>
      <c r="AC1139" t="inlineStr"/>
      <c r="AD1139" t="inlineStr">
        <is>
          <t>לא נמצא בחיפוש ראשוני</t>
        </is>
      </c>
      <c r="AE1139" t="inlineStr">
        <is>
          <t>חיפוש חלקי</t>
        </is>
      </c>
      <c r="AG1139" t="inlineStr"/>
      <c r="AH1139" t="inlineStr"/>
      <c r="AI1139" t="inlineStr">
        <is>
          <t>Only US (MDS Associates, Sempermed USA) and Swiss (Huberlab) channels and FDA device records; no Israel mention.</t>
        </is>
      </c>
      <c r="AJ1139" t="inlineStr">
        <is>
          <t>+4319346348</t>
        </is>
      </c>
      <c r="AM1139" t="inlineStr">
        <is>
          <t>https://harpsglobal.com/contact/</t>
        </is>
      </c>
      <c r="AN1139" t="inlineStr">
        <is>
          <t>https://harpsglobal.com/contact/</t>
        </is>
      </c>
      <c r="AP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is>
          <t>+39 0731 213243</t>
        </is>
      </c>
      <c r="AM1140" t="inlineStr">
        <is>
          <t>https://www.diatechpharmacogenetics.com/contacts/</t>
        </is>
      </c>
      <c r="AN1140" t="inlineStr">
        <is>
          <t>https://www.diatechpharmacogenetics.com/contacts/</t>
        </is>
      </c>
      <c r="AP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is>
          <t>+1 714-895-4344</t>
        </is>
      </c>
      <c r="AK1141" t="inlineStr">
        <is>
          <t>info@sensorex.com</t>
        </is>
      </c>
      <c r="AM1141" t="inlineStr">
        <is>
          <t>https://sensorex.com/contact/</t>
        </is>
      </c>
      <c r="AN1141" t="inlineStr">
        <is>
          <t>https://sensorex.com/contact/</t>
        </is>
      </c>
      <c r="AP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is>
          <t>+1 603.769.0963</t>
        </is>
      </c>
      <c r="AK1142" t="inlineStr">
        <is>
          <t>service@sequencebiotech.com</t>
        </is>
      </c>
      <c r="AM1142" t="inlineStr">
        <is>
          <t>https://www.sequencebiotech.com/contact-us/</t>
        </is>
      </c>
      <c r="AN1142" t="inlineStr">
        <is>
          <t>https://www.sequencebiotech.com/contact-us/</t>
        </is>
      </c>
      <c r="AP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K1143" t="inlineStr">
        <is>
          <t>info@licorbio.com</t>
        </is>
      </c>
      <c r="AM1143" t="inlineStr">
        <is>
          <t>https://www.serva.de/deDE/14_UEber_SERVA_Kontakt.html</t>
        </is>
      </c>
      <c r="AN1143" t="inlineStr">
        <is>
          <t>https://www.serva.de/deDE/14_UEber_SERVA_Kontakt.html</t>
        </is>
      </c>
      <c r="AP1143" t="inlineStr">
        <is>
          <t>https://www.dutscher.com/search?initialFilters=brand:Serva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בחיפוש ראשוני</t>
        </is>
      </c>
      <c r="AE1144" t="inlineStr">
        <is>
          <t>חיפוש חלקי</t>
        </is>
      </c>
      <c r="AG1144" t="inlineStr"/>
      <c r="AH1144" t="inlineStr"/>
      <c r="AI1144" t="inlineStr">
        <is>
          <t>Seward (part of FermionX Ltd since 2016) results are US/EU catalog pages (VWR, Thomas Scientific, Capitol Scientific); no Israel mention.</t>
        </is>
      </c>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is>
          <t>(503) 640-3000</t>
        </is>
      </c>
      <c r="AK1150" t="inlineStr">
        <is>
          <t>sales@shellab.com</t>
        </is>
      </c>
      <c r="AM1150" t="inlineStr">
        <is>
          <t>https://www.sheldonmanufacturing.com/contact</t>
        </is>
      </c>
      <c r="AN1150" t="inlineStr">
        <is>
          <t>https://www.sheldonmanufacturing.com/contact</t>
        </is>
      </c>
      <c r="AP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is>
          <t>+31317700202</t>
        </is>
      </c>
      <c r="AK1151" t="inlineStr">
        <is>
          <t>info@shieldscientific.com</t>
        </is>
      </c>
      <c r="AM1151" t="inlineStr">
        <is>
          <t>https://www.shieldscientific.com/contact/</t>
        </is>
      </c>
      <c r="AN1151" t="inlineStr">
        <is>
          <t>https://www.shieldscientific.com/contact/</t>
        </is>
      </c>
      <c r="AP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is>
          <t>6063930949</t>
        </is>
      </c>
      <c r="AK1153" t="inlineStr">
        <is>
          <t>info@shoecovermagic.com</t>
        </is>
      </c>
      <c r="AM1153" t="inlineStr">
        <is>
          <t>https://shoecovermagic.com/contact/</t>
        </is>
      </c>
      <c r="AN1153" t="inlineStr">
        <is>
          <t>https://shoecovermagic.com/contact/</t>
        </is>
      </c>
      <c r="AP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Y1155" t="inlineStr">
        <is>
          <t>unknown</t>
        </is>
      </c>
      <c r="Z1155" t="inlineStr"/>
      <c r="AA1155" t="inlineStr"/>
      <c r="AB1155" t="inlineStr"/>
      <c r="AC1155" t="inlineStr"/>
      <c r="AD1155" t="inlineStr">
        <is>
          <t>לא נמצא בחיפוש ראשוני</t>
        </is>
      </c>
      <c r="AE1155" t="inlineStr">
        <is>
          <t>חיפוש חלקי</t>
        </is>
      </c>
      <c r="AG1155" t="inlineStr"/>
      <c r="AH1155" t="inlineStr"/>
      <c r="AI1155" t="inlineStr">
        <is>
          <t>SHOWA (gloves) sells via a worldwide distributor network; results show US/ZA sellers (MDS Associates, Gemplers, RS South Africa) and showagroup.com EU pages; no Israeli distributor named.</t>
        </is>
      </c>
      <c r="AJ1155" t="inlineStr">
        <is>
          <t>31-0-88-004-2100</t>
        </is>
      </c>
      <c r="AK1155" t="inlineStr">
        <is>
          <t>info@showagroup.eu</t>
        </is>
      </c>
      <c r="AM1155" t="inlineStr">
        <is>
          <t>https://www.showagroup.com/eu-en/contact/</t>
        </is>
      </c>
      <c r="AN1155" t="inlineStr">
        <is>
          <t>https://www.showagroup.com/eu-en/contact/</t>
        </is>
      </c>
      <c r="AP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is>
          <t>+49 881 183-0</t>
        </is>
      </c>
      <c r="AM1157" t="inlineStr">
        <is>
          <t>https://www.xylemanalytics.com/en/contact/general-contact</t>
        </is>
      </c>
      <c r="AN1157" t="inlineStr">
        <is>
          <t>https://www.xylemanalytics.com/en/contact/general-contact</t>
        </is>
      </c>
      <c r="AP1157" t="inlineStr">
        <is>
          <t>https://www.thomassci.com/browse-by/suppliers/si-analytics | https://www.xylemanalytics.com/en/contact/general-contact</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N1161" t="inlineStr">
        <is>
          <t>https://simplegreen.com/</t>
        </is>
      </c>
      <c r="AP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is>
          <t>+18772245641</t>
        </is>
      </c>
      <c r="AK1162" t="inlineStr">
        <is>
          <t>hello@simplesolvents.com</t>
        </is>
      </c>
      <c r="AM1162" t="inlineStr">
        <is>
          <t>https://simplesolvents.com/contact-us/</t>
        </is>
      </c>
      <c r="AN1162" t="inlineStr">
        <is>
          <t>https://simplesolvents.com/contact-us/</t>
        </is>
      </c>
      <c r="AP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Y1163" t="inlineStr">
        <is>
          <t>unknown</t>
        </is>
      </c>
      <c r="Z1163" t="inlineStr"/>
      <c r="AA1163" t="inlineStr"/>
      <c r="AB1163" t="inlineStr"/>
      <c r="AC1163" t="inlineStr"/>
      <c r="AD1163" t="inlineStr">
        <is>
          <t>לא נמצא בחיפוש ראשוני</t>
        </is>
      </c>
      <c r="AE1163" t="inlineStr">
        <is>
          <t>חיפוש חלקי</t>
        </is>
      </c>
      <c r="AG1163" t="inlineStr"/>
      <c r="AH1163" t="inlineStr"/>
      <c r="AI1163" t="inlineStr">
        <is>
          <t>Simport Scientific (Quebec) cites a global distribution network; no Israeli distributor named (Enco and M. Stauber surfaced only as Agrisera distributors).</t>
        </is>
      </c>
      <c r="AJ1163" t="inlineStr">
        <is>
          <t>(450) 464-1723</t>
        </is>
      </c>
      <c r="AK1163" t="inlineStr">
        <is>
          <t>info@simport.com</t>
        </is>
      </c>
      <c r="AM1163" t="inlineStr">
        <is>
          <t>https://www.simport.com/en/page/15-contact-page</t>
        </is>
      </c>
      <c r="AN1163" t="inlineStr">
        <is>
          <t>https://www.simport.com/en/page/15-contact-page</t>
        </is>
      </c>
      <c r="AP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is>
          <t>215-583-7898</t>
        </is>
      </c>
      <c r="AM1164" t="inlineStr">
        <is>
          <t>https://www.sinobiological.com/contact-us/distributors</t>
        </is>
      </c>
      <c r="AN1164" t="inlineStr">
        <is>
          <t>https://www.sinobiological.com/contact-us/distributors</t>
        </is>
      </c>
      <c r="AP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Y1165" t="inlineStr">
        <is>
          <t>unknown</t>
        </is>
      </c>
      <c r="Z1165" t="inlineStr"/>
      <c r="AA1165" t="inlineStr"/>
      <c r="AB1165" t="inlineStr"/>
      <c r="AC1165" t="inlineStr"/>
      <c r="AD1165" t="inlineStr">
        <is>
          <t>לא נמצא בחיפוש ראשוני</t>
        </is>
      </c>
      <c r="AE1165" t="inlineStr">
        <is>
          <t>חיפוש חלקי</t>
        </is>
      </c>
      <c r="AG1165" t="inlineStr"/>
      <c r="AH1165" t="inlineStr"/>
      <c r="AI1165" t="inlineStr">
        <is>
          <t>SKC Inc. (Eighty Four, PA) has a distributor locator but no Israel entry visible; target website sk.co.kr is wrong (skcinc.com).</t>
        </is>
      </c>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K1167" t="inlineStr">
        <is>
          <t>info@sliceproducts.com</t>
        </is>
      </c>
      <c r="AM1167" t="inlineStr">
        <is>
          <t>https://www.sliceproducts.com/pages/contact-us</t>
        </is>
      </c>
      <c r="AN1167" t="inlineStr">
        <is>
          <t>https://www.sliceproducts.com/pages/contact-us</t>
        </is>
      </c>
      <c r="AP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is>
          <t>+15107706806</t>
        </is>
      </c>
      <c r="AK1169" t="inlineStr">
        <is>
          <t>sales@slingshotbio.com</t>
        </is>
      </c>
      <c r="AM1169" t="inlineStr">
        <is>
          <t>https://www.slingshotbio.com/contact</t>
        </is>
      </c>
      <c r="AN1169" t="inlineStr">
        <is>
          <t>https://www.slingshotbio.com/contact</t>
        </is>
      </c>
      <c r="AP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is>
          <t>115 982 1111</t>
        </is>
      </c>
      <c r="AM1170" t="inlineStr">
        <is>
          <t>https://www.scientificlabs.co.uk/contactus</t>
        </is>
      </c>
      <c r="AN1170" t="inlineStr">
        <is>
          <t>https://www.scientificlabs.co.uk/contactus</t>
        </is>
      </c>
      <c r="AP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is>
          <t>1300889837</t>
        </is>
      </c>
      <c r="AK1172" t="inlineStr">
        <is>
          <t>orders@smartrecordsgroup.com.au</t>
        </is>
      </c>
      <c r="AM1172" t="inlineStr">
        <is>
          <t>https://smartstack.com.au/contact-us/</t>
        </is>
      </c>
      <c r="AN1172" t="inlineStr">
        <is>
          <t>https://smartstack.com.au/contact-us/</t>
        </is>
      </c>
      <c r="AP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is>
          <t>+1-844-275-6947</t>
        </is>
      </c>
      <c r="AM1173" t="inlineStr">
        <is>
          <t>https://www.smith-nephew.com/en-us/contact-us</t>
        </is>
      </c>
      <c r="AN1173" t="inlineStr">
        <is>
          <t>https://www.smith-nephew.com/en-us/contact-us</t>
        </is>
      </c>
      <c r="AP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Y1177" t="inlineStr">
        <is>
          <t>unknown</t>
        </is>
      </c>
      <c r="Z1177" t="inlineStr"/>
      <c r="AA1177" t="inlineStr"/>
      <c r="AB1177" t="inlineStr"/>
      <c r="AC1177" t="inlineStr"/>
      <c r="AD1177" t="inlineStr">
        <is>
          <t>לא נמצא בחיפוש ראשוני</t>
        </is>
      </c>
      <c r="AE1177" t="inlineStr">
        <is>
          <t>חיפוש חלקי</t>
        </is>
      </c>
      <c r="AG1177" t="inlineStr"/>
      <c r="AH1177" t="inlineStr"/>
      <c r="AI1177" t="inlineStr">
        <is>
          <t>No result mentions Socorex at all; hits are unrelated Israeli distributor announcements (OpteamX, Militram, Rhenium, Agentek).</t>
        </is>
      </c>
      <c r="AJ1177" t="inlineStr">
        <is>
          <t>+41216516000</t>
        </is>
      </c>
      <c r="AM1177" t="inlineStr">
        <is>
          <t>https://socorex.com/en/contact</t>
        </is>
      </c>
      <c r="AN1177" t="inlineStr">
        <is>
          <t>https://socorex.com/en/contact</t>
        </is>
      </c>
      <c r="AO1177" t="inlineStr">
        <is>
          <t>Q112202793</t>
        </is>
      </c>
      <c r="AP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is>
          <t>+372 740 9960</t>
        </is>
      </c>
      <c r="AK1183" t="inlineStr">
        <is>
          <t>orders@solisbiodyne.com</t>
        </is>
      </c>
      <c r="AM1183" t="inlineStr">
        <is>
          <t>https://solisbiodyne.com/EN/contact-us/contact_us/</t>
        </is>
      </c>
      <c r="AN1183" t="inlineStr">
        <is>
          <t>https://solisbiodyne.com/EN/contact-us/contact_us/</t>
        </is>
      </c>
      <c r="AP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is>
          <t>2032704600</t>
        </is>
      </c>
      <c r="AK1186" t="inlineStr">
        <is>
          <t>info@sonics.com</t>
        </is>
      </c>
      <c r="AM1186" t="inlineStr">
        <is>
          <t>https://sonics.com/contact-general/</t>
        </is>
      </c>
      <c r="AN1186" t="inlineStr">
        <is>
          <t>https://sonics.com/contact-general/</t>
        </is>
      </c>
      <c r="AP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is>
          <t>1-800-377-2692</t>
        </is>
      </c>
      <c r="AM1187" t="inlineStr">
        <is>
          <t>https://www.sonoco.com/na/contact</t>
        </is>
      </c>
      <c r="AN1187" t="inlineStr">
        <is>
          <t>https://www.sonoco.com/na/contact</t>
        </is>
      </c>
      <c r="AP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is>
          <t>18775572227</t>
        </is>
      </c>
      <c r="AK1188" t="inlineStr">
        <is>
          <t>support@captioncall.com</t>
        </is>
      </c>
      <c r="AM1188" t="inlineStr">
        <is>
          <t>https://sorenson.com/company/contact-sorenson/</t>
        </is>
      </c>
      <c r="AN1188" t="inlineStr">
        <is>
          <t>https://sorenson.com/company/contact-sorenson/</t>
        </is>
      </c>
      <c r="AP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בחיפוש ראשוני</t>
        </is>
      </c>
      <c r="AE1190" t="inlineStr">
        <is>
          <t>חיפוש חלקי</t>
        </is>
      </c>
      <c r="AG1190" t="inlineStr"/>
      <c r="AH1190" t="inlineStr"/>
      <c r="AI1190" t="inlineStr">
        <is>
          <t>No result connected SouthernBiotech to an Israeli distributor; Enco's listed brands do not include it.</t>
        </is>
      </c>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בחיפוש ראשוני</t>
        </is>
      </c>
      <c r="AE1191" t="inlineStr">
        <is>
          <t>חיפוש חלקי</t>
        </is>
      </c>
      <c r="AG1191" t="inlineStr"/>
      <c r="AH1191" t="inlineStr"/>
      <c r="AI1191" t="inlineStr">
        <is>
          <t>Only overseas resellers in South Africa/NZ/India/Australia and Fisher listings; no Israel mention.</t>
        </is>
      </c>
      <c r="AJ1191" t="inlineStr">
        <is>
          <t>18004235278</t>
        </is>
      </c>
      <c r="AM1191" t="inlineStr">
        <is>
          <t>https://belart.com/contact/</t>
        </is>
      </c>
      <c r="AN1191" t="inlineStr">
        <is>
          <t>https://belart.com/contact/</t>
        </is>
      </c>
      <c r="AP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is>
          <t>+44 (0) 1689 873 134</t>
        </is>
      </c>
      <c r="AK1193" t="inlineStr">
        <is>
          <t>sales@specac.co.uk</t>
        </is>
      </c>
      <c r="AM1193" t="inlineStr">
        <is>
          <t>https://specac.com/contact-us/</t>
        </is>
      </c>
      <c r="AN1193" t="inlineStr">
        <is>
          <t>https://specac.com/contact-us/</t>
        </is>
      </c>
      <c r="AP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is>
          <t>18002748888</t>
        </is>
      </c>
      <c r="AK1194" t="inlineStr">
        <is>
          <t>marketing@spectroline.com</t>
        </is>
      </c>
      <c r="AM1194" t="inlineStr">
        <is>
          <t>https://spectroline.com/contact/</t>
        </is>
      </c>
      <c r="AN1194" t="inlineStr">
        <is>
          <t>https://spectroline.com/contact/</t>
        </is>
      </c>
      <c r="AP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Y1196" t="inlineStr">
        <is>
          <t>unknown</t>
        </is>
      </c>
      <c r="Z1196" t="inlineStr"/>
      <c r="AA1196" t="inlineStr"/>
      <c r="AB1196" t="inlineStr"/>
      <c r="AC1196" t="inlineStr"/>
      <c r="AD1196" t="inlineStr">
        <is>
          <t>לא ברור</t>
        </is>
      </c>
      <c r="AE1196" t="inlineStr">
        <is>
          <t>חיפוש חלקי</t>
        </is>
      </c>
      <c r="AG1196" t="inlineStr"/>
      <c r="AH1196" t="inlineStr"/>
      <c r="AI1196" t="inlineStr">
        <is>
          <t>Spectrum's distributor page has a 'Worldwide' locator (partners in 70 countries) but country entries were not visible in results; USA distributor page lists Cole-Parmer, Fisher, Grainger, Quartzy, VWR; no Israeli distributor named.</t>
        </is>
      </c>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is>
          <t>+1.480.948.4448</t>
        </is>
      </c>
      <c r="AK1198" t="inlineStr">
        <is>
          <t>support@sperdirect.com</t>
        </is>
      </c>
      <c r="AM1198" t="inlineStr">
        <is>
          <t>https://sperdirect.com/pages/contact-us</t>
        </is>
      </c>
      <c r="AN1198" t="inlineStr">
        <is>
          <t>https://sperdirect.com/pages/contact-us</t>
        </is>
      </c>
      <c r="AP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בחיפוש ראשוני</t>
        </is>
      </c>
      <c r="AE1200" t="inlineStr">
        <is>
          <t>חיפוש חלקי</t>
        </is>
      </c>
      <c r="AG1200" t="inlineStr"/>
      <c r="AH1200" t="inlineStr"/>
      <c r="AI1200" t="inlineStr">
        <is>
          <t>SPEX CertiPrep (Metuchen NJ; UK subsidiary) works through worldwide distributors; none named for Israel in results.</t>
        </is>
      </c>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Y1201" t="inlineStr">
        <is>
          <t>unknown</t>
        </is>
      </c>
      <c r="Z1201" t="inlineStr"/>
      <c r="AA1201" t="inlineStr"/>
      <c r="AB1201" t="inlineStr"/>
      <c r="AC1201" t="inlineStr"/>
      <c r="AD1201" t="inlineStr">
        <is>
          <t>לא נמצא בחיפוש ראשוני</t>
        </is>
      </c>
      <c r="AE1201" t="inlineStr">
        <is>
          <t>חיפוש חלקי</t>
        </is>
      </c>
      <c r="AG1201" t="inlineStr"/>
      <c r="AH1201" t="inlineStr"/>
      <c r="AI1201" t="inlineStr">
        <is>
          <t>Only Australia/NZ distributor (John Morris Group) and US listings; no Israel mention.</t>
        </is>
      </c>
      <c r="AJ1201" t="inlineStr">
        <is>
          <t>+1.732.623.0465</t>
        </is>
      </c>
      <c r="AM1201" t="inlineStr">
        <is>
          <t>https://www.cpsampleprep.com/contactus</t>
        </is>
      </c>
      <c r="AN1201" t="inlineStr">
        <is>
          <t>https://www.cpsampleprep.com/contactus</t>
        </is>
      </c>
      <c r="AP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M1204" t="inlineStr">
        <is>
          <t>https://www.spraynine.com/contact-us/</t>
        </is>
      </c>
      <c r="AN1204" t="inlineStr">
        <is>
          <t>https://www.spraynine.com/contact-us/</t>
        </is>
      </c>
      <c r="AP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is>
          <t>1-209-333-2120</t>
        </is>
      </c>
      <c r="AK1205" t="inlineStr">
        <is>
          <t>support@denverwebsitedesigns.com</t>
        </is>
      </c>
      <c r="AM1205" t="inlineStr">
        <is>
          <t>https://www.ssibio.com/contact-us</t>
        </is>
      </c>
      <c r="AN1205" t="inlineStr">
        <is>
          <t>https://www.ssibio.com/contact-us</t>
        </is>
      </c>
      <c r="AP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N1207" t="inlineStr">
        <is>
          <t>https://www.staples.com/</t>
        </is>
      </c>
      <c r="AP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is>
          <t>1-800-665-0954</t>
        </is>
      </c>
      <c r="AM1209" t="inlineStr">
        <is>
          <t>https://starplexscientific.com/contact-us/</t>
        </is>
      </c>
      <c r="AN1209" t="inlineStr">
        <is>
          <t>https://starplexscientific.com/contact-us/</t>
        </is>
      </c>
      <c r="AP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is>
          <t>1-800-442-3573</t>
        </is>
      </c>
      <c r="AN1210" t="inlineStr">
        <is>
          <t>https://statlab.com/</t>
        </is>
      </c>
      <c r="AP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is>
          <t>+1 604 877 0713</t>
        </is>
      </c>
      <c r="AK1211" t="inlineStr">
        <is>
          <t>info@stemcell.com</t>
        </is>
      </c>
      <c r="AM1211" t="inlineStr">
        <is>
          <t>https://www.stemcell.com/contact-us</t>
        </is>
      </c>
      <c r="AN1211" t="inlineStr">
        <is>
          <t>https://www.stemcell.com/contact-us</t>
        </is>
      </c>
      <c r="AP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is>
          <t>+39 031 592064</t>
        </is>
      </c>
      <c r="AK1212" t="inlineStr">
        <is>
          <t>info@steriline.it</t>
        </is>
      </c>
      <c r="AM1212" t="inlineStr">
        <is>
          <t>https://www.steriline.it/en/contacts/</t>
        </is>
      </c>
      <c r="AN1212" t="inlineStr">
        <is>
          <t>https://www.steriline.it/en/contacts/</t>
        </is>
      </c>
      <c r="AP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is>
          <t>440.354.2600</t>
        </is>
      </c>
      <c r="AM1213" t="inlineStr">
        <is>
          <t>https://www.steris.com/contact/contact-information</t>
        </is>
      </c>
      <c r="AN1213" t="inlineStr">
        <is>
          <t>https://www.steris.com/contact/contact-information</t>
        </is>
      </c>
      <c r="AP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Y1214" t="inlineStr">
        <is>
          <t>unknown</t>
        </is>
      </c>
      <c r="Z1214" t="inlineStr"/>
      <c r="AA1214" t="inlineStr"/>
      <c r="AB1214" t="inlineStr"/>
      <c r="AC1214" t="inlineStr"/>
      <c r="AD1214" t="inlineStr">
        <is>
          <t>לא נמצא בחיפוש ראשוני</t>
        </is>
      </c>
      <c r="AE1214" t="inlineStr">
        <is>
          <t>חיפוש חלקי</t>
        </is>
      </c>
      <c r="AG1214" t="inlineStr"/>
      <c r="AH1214" t="inlineStr"/>
      <c r="AI1214" t="inlineStr">
        <is>
          <t>Sterlitech (Kent, WA) claims customers in 125+ countries; no Israeli distributor named; Agentek appeared only as a generic Israeli distributor with no Sterlitech link.</t>
        </is>
      </c>
      <c r="AJ1214" t="inlineStr">
        <is>
          <t>18775444420</t>
        </is>
      </c>
      <c r="AK1214" t="inlineStr">
        <is>
          <t>sales@sterlitech.com</t>
        </is>
      </c>
      <c r="AM1214" t="inlineStr">
        <is>
          <t>https://www.sterlitech.com/contact-us</t>
        </is>
      </c>
      <c r="AN1214" t="inlineStr">
        <is>
          <t>https://www.sterlitech.com/contact-us</t>
        </is>
      </c>
      <c r="AP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N1215" t="inlineStr">
        <is>
          <t>https://stimpson.com/</t>
        </is>
      </c>
      <c r="AP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is>
          <t>603-6145 2328</t>
        </is>
      </c>
      <c r="AM1224" t="inlineStr">
        <is>
          <t>https://www.supermax.com.my/our-business-contact-lenses</t>
        </is>
      </c>
      <c r="AN1224" t="inlineStr">
        <is>
          <t>https://www.supermax.com.my/our-business-contact-lenses</t>
        </is>
      </c>
      <c r="AP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N1227" t="inlineStr">
        <is>
          <t>https://www.swagelok.com/</t>
        </is>
      </c>
      <c r="AP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is>
          <t>11 053 1900</t>
        </is>
      </c>
      <c r="AM1229" t="inlineStr">
        <is>
          <t>https://www.syntech.co.za/contact/</t>
        </is>
      </c>
      <c r="AN1229" t="inlineStr">
        <is>
          <t>https://www.syntech.co.za/contact/</t>
        </is>
      </c>
      <c r="AP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בחיפוש ראשוני</t>
        </is>
      </c>
      <c r="AE1230" t="inlineStr">
        <is>
          <t>חיפוש חלקי</t>
        </is>
      </c>
      <c r="AG1230" t="inlineStr"/>
      <c r="AH1230" t="inlineStr"/>
      <c r="AI1230" t="inlineStr">
        <is>
          <t>Synthego has a worldwide authorized-distributor directory, but the snippet showed no Israel entry; only global deals with Eurofins (44 countries, 2018) and Thermo Fisher (TrueGuide) surfaced. Slingshot/Almog press release is unrelated.</t>
        </is>
      </c>
      <c r="AJ1230" t="inlineStr">
        <is>
          <t>18444274777</t>
        </is>
      </c>
      <c r="AM1230" t="inlineStr">
        <is>
          <t>https://www.synthego.com/contact/worldwide/</t>
        </is>
      </c>
      <c r="AN1230" t="inlineStr">
        <is>
          <t>https://www.synthego.com/contact/worldwide/</t>
        </is>
      </c>
      <c r="AP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is>
          <t>+17147516782</t>
        </is>
      </c>
      <c r="AM1237" t="inlineStr">
        <is>
          <t>https://tdicustompackaging.com/contact/</t>
        </is>
      </c>
      <c r="AN1237" t="inlineStr">
        <is>
          <t>https://tdicustompackaging.com/contact/</t>
        </is>
      </c>
      <c r="AP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M1238" t="inlineStr">
        <is>
          <t>https://www.tecan.com/contact-us</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N1240" t="inlineStr">
        <is>
          <t>https://www.testequity.com/#TTR</t>
        </is>
      </c>
      <c r="AP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is>
          <t>33 443 62 00</t>
        </is>
      </c>
      <c r="AM1242" t="inlineStr">
        <is>
          <t>https://techniplast.pl/en/7-contact-form</t>
        </is>
      </c>
      <c r="AN1242" t="inlineStr">
        <is>
          <t>https://techniplast.pl/en/7-contact-form</t>
        </is>
      </c>
      <c r="AP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is>
          <t>96049-2477</t>
        </is>
      </c>
      <c r="AM1243" t="inlineStr">
        <is>
          <t>https://www.tedpella.com/company_html/Contact.aspx</t>
        </is>
      </c>
      <c r="AN1243" t="inlineStr">
        <is>
          <t>https://www.tedpella.com/company_html/Contact.aspx</t>
        </is>
      </c>
      <c r="AP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Y1245" t="inlineStr">
        <is>
          <t>unknown</t>
        </is>
      </c>
      <c r="Z1245" t="inlineStr"/>
      <c r="AA1245" t="inlineStr"/>
      <c r="AB1245" t="inlineStr"/>
      <c r="AC1245" t="inlineStr"/>
      <c r="AD1245" t="inlineStr">
        <is>
          <t>לא נמצא בחיפוש ראשוני</t>
        </is>
      </c>
      <c r="AE1245" t="inlineStr">
        <is>
          <t>חיפוש חלקי</t>
        </is>
      </c>
      <c r="AG1245" t="inlineStr"/>
      <c r="AH1245" t="inlineStr"/>
      <c r="AI1245" t="inlineStr">
        <is>
          <t>Company profiles only; Agentek/Enco appeared with no link to Teknova.</t>
        </is>
      </c>
      <c r="AJ1245" t="inlineStr">
        <is>
          <t>18002094488</t>
        </is>
      </c>
      <c r="AK1245" t="inlineStr">
        <is>
          <t>info@teknova.com</t>
        </is>
      </c>
      <c r="AM1245" t="inlineStr">
        <is>
          <t>https://www.teknova.com/en/company/support.html#contact</t>
        </is>
      </c>
      <c r="AN1245" t="inlineStr">
        <is>
          <t>https://www.teknova.com/en/company/support.html#contact</t>
        </is>
      </c>
      <c r="AP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Y1246" t="inlineStr">
        <is>
          <t>unknown</t>
        </is>
      </c>
      <c r="Z1246" t="inlineStr"/>
      <c r="AA1246" t="inlineStr"/>
      <c r="AB1246" t="inlineStr"/>
      <c r="AC1246" t="inlineStr"/>
      <c r="AD1246" t="inlineStr">
        <is>
          <t>לא נמצא בחיפוש ראשוני</t>
        </is>
      </c>
      <c r="AE1246" t="inlineStr">
        <is>
          <t>חיפוש חלקי</t>
        </is>
      </c>
      <c r="AG1246" t="inlineStr"/>
      <c r="AH1246" t="inlineStr"/>
      <c r="AI1246" t="inlineStr">
        <is>
          <t>Only Singapore distributor (PDS International/safety.com.sg) and Fisher/VWR/Thomas/ProSciTech listings; no Israel mention.</t>
        </is>
      </c>
      <c r="AJ1246" t="inlineStr">
        <is>
          <t>1-800-680-2796</t>
        </is>
      </c>
      <c r="AK1246" t="inlineStr">
        <is>
          <t>info@tempshield.com</t>
        </is>
      </c>
      <c r="AM1246" t="inlineStr">
        <is>
          <t>https://www.tempshield.com/pages/contact-us</t>
        </is>
      </c>
      <c r="AN1246" t="inlineStr">
        <is>
          <t>https://www.tempshield.com/pages/contact-us</t>
        </is>
      </c>
      <c r="AP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N1248" t="inlineStr">
        <is>
          <t>https://www.terracycle.com/en-US/</t>
        </is>
      </c>
      <c r="AP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is>
          <t>20(973)20300-9100</t>
        </is>
      </c>
      <c r="AK1255" t="inlineStr">
        <is>
          <t>info@thermcoproducts.com</t>
        </is>
      </c>
      <c r="AM1255" t="inlineStr">
        <is>
          <t>https://thermcoproducts.com/contact/</t>
        </is>
      </c>
      <c r="AN1255" t="inlineStr">
        <is>
          <t>https://thermcoproducts.com/contact/</t>
        </is>
      </c>
      <c r="AP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M1256" t="inlineStr">
        <is>
          <t>https://www.thermofisher.com/store/v2/contact-us?enableChat=true</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M1260" t="inlineStr">
        <is>
          <t>https://www.thermofisher.com/store/v2/contact-us?enableChat=true</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M1262" t="inlineStr">
        <is>
          <t>https://www.thermofisher.com/store/v2/contact-us?enableChat=true</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is>
          <t>(800) 208-3009</t>
        </is>
      </c>
      <c r="AK1268" t="inlineStr">
        <is>
          <t>sales@thermomedics.com</t>
        </is>
      </c>
      <c r="AM1268" t="inlineStr">
        <is>
          <t>https://thermomedics.com/contact-us/</t>
        </is>
      </c>
      <c r="AN1268" t="inlineStr">
        <is>
          <t>https://thermomedics.com/contact-us/</t>
        </is>
      </c>
      <c r="AP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is>
          <t>800-323-7442</t>
        </is>
      </c>
      <c r="AM1269" t="inlineStr">
        <is>
          <t>https://thermosafe.com/contact/</t>
        </is>
      </c>
      <c r="AN1269" t="inlineStr">
        <is>
          <t>https://thermosafe.com/contact/</t>
        </is>
      </c>
      <c r="AP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בחיפוש ראשוני</t>
        </is>
      </c>
      <c r="AE1270" t="inlineStr">
        <is>
          <t>חיפוש חלקי</t>
        </is>
      </c>
      <c r="AG1270" t="inlineStr"/>
      <c r="AH1270" t="inlineStr"/>
      <c r="AI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is>
          <t>20800.521.1314</t>
        </is>
      </c>
      <c r="AM1273" t="inlineStr">
        <is>
          <t>https://www.tidiproducts.com/contact-us</t>
        </is>
      </c>
      <c r="AN1273" t="inlineStr">
        <is>
          <t>https://www.tidiproducts.com/contact-us</t>
        </is>
      </c>
      <c r="AP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is>
          <t>1 800 668-4437</t>
        </is>
      </c>
      <c r="AK1274" t="inlineStr">
        <is>
          <t>sales@tiger-vac.com</t>
        </is>
      </c>
      <c r="AM1274" t="inlineStr">
        <is>
          <t>https://tiger-vac.com/contact.aspx</t>
        </is>
      </c>
      <c r="AN1274" t="inlineStr">
        <is>
          <t>https://tiger-vac.com/contact.aspx</t>
        </is>
      </c>
      <c r="AP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is>
          <t>(866) 722 6659</t>
        </is>
      </c>
      <c r="AM1279" t="inlineStr">
        <is>
          <t>https://www.torkglobal.com/us/en/about/contact-us</t>
        </is>
      </c>
      <c r="AN1279" t="inlineStr">
        <is>
          <t>https://www.torkglobal.com/us/en/about/contact-us</t>
        </is>
      </c>
      <c r="AP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is>
          <t>+17609309400</t>
        </is>
      </c>
      <c r="AK1281" t="inlineStr">
        <is>
          <t>sales@torreypinesscientific.com</t>
        </is>
      </c>
      <c r="AM1281" t="inlineStr">
        <is>
          <t>https://torreypinesscientific.com/contact/distributors/</t>
        </is>
      </c>
      <c r="AN1281" t="inlineStr">
        <is>
          <t>https://torreypinesscientific.com/contact/distributors/</t>
        </is>
      </c>
      <c r="AP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is>
          <t>03 85 27 42 00</t>
        </is>
      </c>
      <c r="AM1282" t="inlineStr">
        <is>
          <t>https://www.tournus.com/nous-contacter/</t>
        </is>
      </c>
      <c r="AN1282" t="inlineStr">
        <is>
          <t>https://www.tournus.com/nous-contacter/</t>
        </is>
      </c>
      <c r="AP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M1283" t="inlineStr">
        <is>
          <t>https://tpp-uk.com/contact_us/</t>
        </is>
      </c>
      <c r="AN1283" t="inlineStr">
        <is>
          <t>https://tpp-uk.com/contact_us/</t>
        </is>
      </c>
      <c r="AP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is>
          <t>+1-419-841-9552</t>
        </is>
      </c>
      <c r="AM1285" t="inlineStr">
        <is>
          <t>https://transforming-technologies.com/contact-us/</t>
        </is>
      </c>
      <c r="AN1285" t="inlineStr">
        <is>
          <t>https://transforming-technologies.com/contact-us/</t>
        </is>
      </c>
      <c r="AP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is>
          <t>+35810446911</t>
        </is>
      </c>
      <c r="AK1287" t="inlineStr">
        <is>
          <t>export@treston.com</t>
        </is>
      </c>
      <c r="AM1287" t="inlineStr">
        <is>
          <t>https://www.treston.com/contact-us</t>
        </is>
      </c>
      <c r="AN1287" t="inlineStr">
        <is>
          <t>https://www.treston.com/contact-us</t>
        </is>
      </c>
      <c r="AP1287" t="inlineStr">
        <is>
          <t>https://www.thomassci.com/browse-by/suppliers/treston | https://www.treston.com/contact-us</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is>
          <t>1-833-697-8998</t>
        </is>
      </c>
      <c r="AM1289" t="inlineStr">
        <is>
          <t>https://tribioscience.com/contact-us/</t>
        </is>
      </c>
      <c r="AN1289" t="inlineStr">
        <is>
          <t>https://tribioscience.com/contact-us/</t>
        </is>
      </c>
      <c r="AP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Y1290" t="inlineStr">
        <is>
          <t>unknown</t>
        </is>
      </c>
      <c r="Z1290" t="inlineStr"/>
      <c r="AA1290" t="inlineStr"/>
      <c r="AB1290" t="inlineStr"/>
      <c r="AC1290" t="inlineStr"/>
      <c r="AD1290" t="inlineStr">
        <is>
          <t>לא נמצא בחיפוש ראשוני</t>
        </is>
      </c>
      <c r="AE1290" t="inlineStr">
        <is>
          <t>חיפוש חלקי</t>
        </is>
      </c>
      <c r="AG1290" t="inlineStr"/>
      <c r="AH1290" t="inlineStr"/>
      <c r="AI1290" t="inlineStr">
        <is>
          <t>Only US reseller listings (Genesee Scientific) for TriForest Labware flasks; Israeli distributor pages that surfaced (Rhenium, Enco, Ornat) do not list TriForest. Note: website in targets (triforestflooring.ca) is a flooring company, not the labware maker.</t>
        </is>
      </c>
      <c r="AJ1290" t="inlineStr">
        <is>
          <t>+120(949)20380-8866</t>
        </is>
      </c>
      <c r="AK1290" t="inlineStr">
        <is>
          <t>info@triforest.com</t>
        </is>
      </c>
      <c r="AM1290" t="inlineStr">
        <is>
          <t>https://www.triforest.com/contact/</t>
        </is>
      </c>
      <c r="AN1290" t="inlineStr">
        <is>
          <t>https://www.triforest.com/contact/</t>
        </is>
      </c>
      <c r="AP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is>
          <t>71205021000038</t>
        </is>
      </c>
      <c r="AM1291" t="inlineStr">
        <is>
          <t>https://trionyx.fr/en/contacts/receive-the-catalog</t>
        </is>
      </c>
      <c r="AN1291" t="inlineStr">
        <is>
          <t>https://trionyx.fr/en/contacts/receive-the-catalog</t>
        </is>
      </c>
      <c r="AP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Y1292" t="inlineStr">
        <is>
          <t>unknown</t>
        </is>
      </c>
      <c r="Z1292" t="inlineStr"/>
      <c r="AA1292" t="inlineStr"/>
      <c r="AB1292" t="inlineStr"/>
      <c r="AC1292" t="inlineStr"/>
      <c r="AD1292" t="inlineStr">
        <is>
          <t>לא נמצא בחיפוש ראשוני</t>
        </is>
      </c>
      <c r="AE1292" t="inlineStr">
        <is>
          <t>חיפוש חלקי</t>
        </is>
      </c>
      <c r="AG1292" t="inlineStr"/>
      <c r="AH1292" t="inlineStr"/>
      <c r="AI1292" t="inlineStr">
        <is>
          <t>No result mentions TrippNT; hits are Tripp Lite Israel (Minicom, Jerusalem) and audio/electronics distributors - different companies.</t>
        </is>
      </c>
      <c r="AJ1292" t="inlineStr">
        <is>
          <t>+1 (800)874-7768</t>
        </is>
      </c>
      <c r="AK1292" t="inlineStr">
        <is>
          <t>sales@trippnt.com</t>
        </is>
      </c>
      <c r="AM1292" t="inlineStr">
        <is>
          <t>https://www.trippnt.com/contactus</t>
        </is>
      </c>
      <c r="AN1292" t="inlineStr">
        <is>
          <t>https://www.trippnt.com/contactus</t>
        </is>
      </c>
      <c r="AP1292" t="inlineStr">
        <is>
          <t>https://www.quartzy.com/suppliers | https://www.thomassci.com/browse-by/suppliers/trippnt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בחיפוש ראשוני</t>
        </is>
      </c>
      <c r="AE1293" t="inlineStr">
        <is>
          <t>חיפוש חלקי</t>
        </is>
      </c>
      <c r="AG1293" t="inlineStr"/>
      <c r="AH1293" t="inlineStr"/>
      <c r="AI1293" t="inlineStr">
        <is>
          <t>No result mentioned Troemner; only unrelated Israeli companies.</t>
        </is>
      </c>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is>
          <t>+441954233110</t>
        </is>
      </c>
      <c r="AK1298" t="inlineStr">
        <is>
          <t>sales@camlab.co.uk</t>
        </is>
      </c>
      <c r="AM1298" t="inlineStr">
        <is>
          <t>https://www.camlab.co.uk/contact-us-camlab</t>
        </is>
      </c>
      <c r="AN1298" t="inlineStr">
        <is>
          <t>https://www.camlab.co.uk/contact-us-camlab</t>
        </is>
      </c>
      <c r="AP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Y1300" t="inlineStr">
        <is>
          <t>unknown</t>
        </is>
      </c>
      <c r="Z1300" t="inlineStr"/>
      <c r="AA1300" t="inlineStr"/>
      <c r="AB1300" t="inlineStr"/>
      <c r="AC1300" t="inlineStr"/>
      <c r="AD1300" t="inlineStr">
        <is>
          <t>חברה-בת בישראל</t>
        </is>
      </c>
      <c r="AE1300" t="inlineStr">
        <is>
          <t>חיפוש חלקי</t>
        </is>
      </c>
      <c r="AF1300" t="n">
        <v>2026</v>
      </c>
      <c r="AG1300" t="inlineStr">
        <is>
          <t>Tuttnauer Ltd.</t>
        </is>
      </c>
      <c r="AH1300" t="inlineStr">
        <is>
          <t>Tuttnauer Ltd.:</t>
        </is>
      </c>
      <c r="AI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J1300" t="inlineStr"/>
      <c r="AN1300" t="inlineStr">
        <is>
          <t>https://tuttnauer.com/</t>
        </is>
      </c>
      <c r="AP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is>
          <t>1-800-295-5510</t>
        </is>
      </c>
      <c r="AK1303" t="inlineStr">
        <is>
          <t>customer.service@uline.com</t>
        </is>
      </c>
      <c r="AM1303" t="inlineStr">
        <is>
          <t>https://www.uline.com/CustomerService/ContactUs_Menu</t>
        </is>
      </c>
      <c r="AN1303" t="inlineStr">
        <is>
          <t>https://www.uline.com/CustomerService/ContactUs_Menu</t>
        </is>
      </c>
      <c r="AP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is>
          <t>1382 832999</t>
        </is>
      </c>
      <c r="AK1305" t="inlineStr">
        <is>
          <t>info@ultratape.com</t>
        </is>
      </c>
      <c r="AM1305" t="inlineStr">
        <is>
          <t>https://www.ultratape.com/contact-us/</t>
        </is>
      </c>
      <c r="AN1305" t="inlineStr">
        <is>
          <t>https://www.ultratape.com/contact-us/</t>
        </is>
      </c>
      <c r="AP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בחיפוש ראשוני</t>
        </is>
      </c>
      <c r="AE1309" t="inlineStr">
        <is>
          <t>חיפוש חלקי</t>
        </is>
      </c>
      <c r="AG1309" t="inlineStr"/>
      <c r="AH1309" t="inlineStr"/>
      <c r="AI1309" t="inlineStr">
        <is>
          <t>United Scientific Supplies Inc. (Libertyville, IL) appears only on Fisher Scientific brand pages; the South African 'United Scientific (Pty)' is unrelated; Israeli distributor hits (Enco, Agentek, Rhenium, Eisenberg) do not mention it.</t>
        </is>
      </c>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is>
          <t>(714) 229.3100</t>
        </is>
      </c>
      <c r="AK1314" t="inlineStr">
        <is>
          <t>customerservice@ushio.com</t>
        </is>
      </c>
      <c r="AM1314" t="inlineStr">
        <is>
          <t>https://www.ushio.com/contact-us/</t>
        </is>
      </c>
      <c r="AN1314" t="inlineStr">
        <is>
          <t>https://www.ushio.com/contact-us/</t>
        </is>
      </c>
      <c r="AP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בחיפוש ראשוני</t>
        </is>
      </c>
      <c r="AE1316" t="inlineStr">
        <is>
          <t>חיפוש חלקי</t>
        </is>
      </c>
      <c r="AG1316" t="inlineStr"/>
      <c r="AH1316" t="inlineStr"/>
      <c r="AI1316" t="inlineStr">
        <is>
          <t>Searched as uvex safety: no importer/distributor named; a Newegg Israel storefront lists uvex safety products priced in shekels (marketplace, not an official channel).</t>
        </is>
      </c>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K1318" t="inlineStr">
        <is>
          <t>contact@uvitec.co.uk</t>
        </is>
      </c>
      <c r="AM1318" t="inlineStr">
        <is>
          <t>https://uvitec.co.uk/contact</t>
        </is>
      </c>
      <c r="AN1318" t="inlineStr">
        <is>
          <t>https://uvitec.co.uk/contact</t>
        </is>
      </c>
      <c r="AP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is>
          <t>+4993428080</t>
        </is>
      </c>
      <c r="AK1319" t="inlineStr">
        <is>
          <t>info@vacuubrand.com</t>
        </is>
      </c>
      <c r="AM1319" t="inlineStr">
        <is>
          <t>https://www.vacuubrand.com/service-advice/contact</t>
        </is>
      </c>
      <c r="AN1319" t="inlineStr">
        <is>
          <t>https://www.vacuubrand.com/service-advice/contact</t>
        </is>
      </c>
      <c r="AP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M1320" t="inlineStr">
        <is>
          <t>https://www.valeo.com/en/calendar-and-contacts/</t>
        </is>
      </c>
      <c r="AN1320" t="inlineStr">
        <is>
          <t>https://www.valeo.com/en/calendar-and-contacts/</t>
        </is>
      </c>
      <c r="AP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is>
          <t>+1-800-763-1250</t>
        </is>
      </c>
      <c r="AM1321" t="inlineStr">
        <is>
          <t>https://www.valutek.com/contact-us</t>
        </is>
      </c>
      <c r="AN1321" t="inlineStr">
        <is>
          <t>https://www.valutek.com/contact-us</t>
        </is>
      </c>
      <c r="AP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Y1322" t="inlineStr">
        <is>
          <t>unknown</t>
        </is>
      </c>
      <c r="Z1322" t="inlineStr"/>
      <c r="AA1322" t="inlineStr"/>
      <c r="AB1322" t="inlineStr"/>
      <c r="AC1322" t="inlineStr"/>
      <c r="AD1322" t="inlineStr">
        <is>
          <t>לא נמצא בחיפוש ראשוני</t>
        </is>
      </c>
      <c r="AE1322" t="inlineStr">
        <is>
          <t>חיפוש חלקי</t>
        </is>
      </c>
      <c r="AG1322" t="inlineStr"/>
      <c r="AH1322" t="inlineStr"/>
      <c r="AI1322" t="inlineStr">
        <is>
          <t>Only company profiles (Middleton, WI); name-confusion hits Varizig (Kamada) and VarSome (Danyel Biotech) are unrelated.</t>
        </is>
      </c>
      <c r="AJ1322" t="inlineStr">
        <is>
          <t>608-824-0160</t>
        </is>
      </c>
      <c r="AK1322" t="inlineStr">
        <is>
          <t>info@varizymes.com</t>
        </is>
      </c>
      <c r="AM1322" t="inlineStr">
        <is>
          <t>https://www.varizymes.com/pages/contact-us-oem</t>
        </is>
      </c>
      <c r="AN1322" t="inlineStr">
        <is>
          <t>https://www.varizymes.com/pages/contact-us-oem</t>
        </is>
      </c>
      <c r="AP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is>
          <t>+1 484-325-5100</t>
        </is>
      </c>
      <c r="AK1324" t="inlineStr">
        <is>
          <t>info@vectorbiolabs.com</t>
        </is>
      </c>
      <c r="AN1324" t="inlineStr">
        <is>
          <t>https://www.vectorbiolabs.com/</t>
        </is>
      </c>
      <c r="AP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is>
          <t>800.423.8842</t>
        </is>
      </c>
      <c r="AK1327" t="inlineStr">
        <is>
          <t>sales@veegee.com</t>
        </is>
      </c>
      <c r="AM1327" t="inlineStr">
        <is>
          <t>https://www.veegee.com/pages/contact-us</t>
        </is>
      </c>
      <c r="AN1327" t="inlineStr">
        <is>
          <t>https://www.veegee.com/pages/contact-us</t>
        </is>
      </c>
      <c r="AP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is>
          <t>6106448335</t>
        </is>
      </c>
      <c r="AK1330" t="inlineStr">
        <is>
          <t>customerservice@sterile.com</t>
        </is>
      </c>
      <c r="AM1330" t="inlineStr">
        <is>
          <t>https://sterile.com/contact-us/</t>
        </is>
      </c>
      <c r="AN1330" t="inlineStr">
        <is>
          <t>https://sterile.com/contact-us/</t>
        </is>
      </c>
      <c r="AP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is>
          <t>609-915-5371 305</t>
        </is>
      </c>
      <c r="AM1334" t="inlineStr">
        <is>
          <t>https://www.victoryscientific.com/contact</t>
        </is>
      </c>
      <c r="AN1334" t="inlineStr">
        <is>
          <t>https://www.victoryscientific.com/contact</t>
        </is>
      </c>
      <c r="AP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is>
          <t>5168839100</t>
        </is>
      </c>
      <c r="AM1343" t="inlineStr">
        <is>
          <t>https://www.waltersterninc.com/contact/</t>
        </is>
      </c>
      <c r="AN1343" t="inlineStr">
        <is>
          <t>https://www.waltersterninc.com/contact/</t>
        </is>
      </c>
      <c r="AP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is>
          <t>312-666-5500</t>
        </is>
      </c>
      <c r="AK1345" t="inlineStr">
        <is>
          <t>info@wsflab.com</t>
        </is>
      </c>
      <c r="AM1345" t="inlineStr">
        <is>
          <t>https://wsflab.com/about-us/contact-us/</t>
        </is>
      </c>
      <c r="AN1345" t="inlineStr">
        <is>
          <t>https://wsflab.com/about-us/contact-us/</t>
        </is>
      </c>
      <c r="AP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is>
          <t>1-800-264-3030</t>
        </is>
      </c>
      <c r="AK1349" t="inlineStr">
        <is>
          <t>info@wearwell.com</t>
        </is>
      </c>
      <c r="AM1349" t="inlineStr">
        <is>
          <t>https://www.wearwell.com/contacts</t>
        </is>
      </c>
      <c r="AN1349" t="inlineStr">
        <is>
          <t>https://www.wearwell.com/contacts</t>
        </is>
      </c>
      <c r="AP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Y1350" t="inlineStr">
        <is>
          <t>unknown</t>
        </is>
      </c>
      <c r="Z1350" t="inlineStr"/>
      <c r="AA1350" t="inlineStr"/>
      <c r="AB1350" t="inlineStr"/>
      <c r="AC1350" t="inlineStr"/>
      <c r="AD1350" t="inlineStr">
        <is>
          <t>לא נמצא בחיפוש ראשוני</t>
        </is>
      </c>
      <c r="AE1350" t="inlineStr">
        <is>
          <t>חיפוש חלקי</t>
        </is>
      </c>
      <c r="AG1350" t="inlineStr"/>
      <c r="AH1350" t="inlineStr"/>
      <c r="AI1350" t="inlineStr">
        <is>
          <t>Welch Vacuum (Gardner Denver, Niles IL) results list US distributors (A-VAC, Ideal Vacuum, Across International) and Fisher EU pages; no Israel mention. Note: website in targets (welchs.com) is the juice brand, not Welch Vacuum.</t>
        </is>
      </c>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is>
          <t>8003232830</t>
        </is>
      </c>
      <c r="AM1351" t="inlineStr">
        <is>
          <t>https://wellslamont.com/contact/</t>
        </is>
      </c>
      <c r="AN1351" t="inlineStr">
        <is>
          <t>https://wellslamont.com/contact/</t>
        </is>
      </c>
      <c r="AP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is>
          <t>800.247.3295</t>
        </is>
      </c>
      <c r="AM1352" t="inlineStr">
        <is>
          <t>https://www.wellslamontindustrial.com/contact-us/</t>
        </is>
      </c>
      <c r="AN1352" t="inlineStr">
        <is>
          <t>https://www.wellslamontindustrial.com/contact-us/</t>
        </is>
      </c>
      <c r="AP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N1354" t="inlineStr">
        <is>
          <t>https://westchestergear.com/</t>
        </is>
      </c>
      <c r="AP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is>
          <t>1-800-345-9800</t>
        </is>
      </c>
      <c r="AM1355" t="inlineStr">
        <is>
          <t>https://www.westpharma.com/support/contact-us</t>
        </is>
      </c>
      <c r="AN1355" t="inlineStr">
        <is>
          <t>https://www.westpharma.com/support/contact-us</t>
        </is>
      </c>
      <c r="AP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is>
          <t>+1 920.568.5616</t>
        </is>
      </c>
      <c r="AM1357" t="inlineStr">
        <is>
          <t>https://www.whirl-pak.com/contact-us/</t>
        </is>
      </c>
      <c r="AN1357" t="inlineStr">
        <is>
          <t>https://www.whirl-pak.com/contact-us/</t>
        </is>
      </c>
      <c r="AP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בחיפוש ראשוני</t>
        </is>
      </c>
      <c r="AE1361" t="inlineStr">
        <is>
          <t>חיפוש חלקי</t>
        </is>
      </c>
      <c r="AG1361" t="inlineStr"/>
      <c r="AH1361" t="inlineStr"/>
      <c r="AI1361" t="inlineStr">
        <is>
          <t>No result mentioned WLD-TEC; the similar-named WITec (microscopes) appointed ATSL as Israeli distributor in 2012, which is a different company.</t>
        </is>
      </c>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is>
          <t>1.800.445.9603</t>
        </is>
      </c>
      <c r="AN1364" t="inlineStr">
        <is>
          <t>https://www.worthington-biochem.com/</t>
        </is>
      </c>
      <c r="AP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is>
          <t>+15127047309</t>
        </is>
      </c>
      <c r="AK1367" t="inlineStr">
        <is>
          <t>info@x-tremeseries.com</t>
        </is>
      </c>
      <c r="AM1367" t="inlineStr">
        <is>
          <t>https://www.x-tremeseries.com/contact/</t>
        </is>
      </c>
      <c r="AN1367" t="inlineStr">
        <is>
          <t>https://www.x-tremeseries.com/contact/</t>
        </is>
      </c>
      <c r="AP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M1371" t="inlineStr">
        <is>
          <t>https://www.xylem.com/en-us/contact-us/</t>
        </is>
      </c>
      <c r="AN1371" t="inlineStr">
        <is>
          <t>https://www.xylem.com/en-us/contact-us/</t>
        </is>
      </c>
      <c r="AP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is>
          <t>19376884255</t>
        </is>
      </c>
      <c r="AM1375" t="inlineStr">
        <is>
          <t>https://ysi.com/contact-us</t>
        </is>
      </c>
      <c r="AN1375" t="inlineStr">
        <is>
          <t>https://ysi.com/contact-us</t>
        </is>
      </c>
      <c r="AP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is>
          <t>19195958250</t>
        </is>
      </c>
      <c r="AK1376" t="inlineStr">
        <is>
          <t>sales@yukonmedical.com</t>
        </is>
      </c>
      <c r="AM1376" t="inlineStr">
        <is>
          <t>https://yukonmedical.com/contact-us/</t>
        </is>
      </c>
      <c r="AN1376" t="inlineStr">
        <is>
          <t>https://yukonmedical.com/contact-us/</t>
        </is>
      </c>
      <c r="AP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is>
          <t>(877)-428-9937</t>
        </is>
      </c>
      <c r="AK1377" t="inlineStr">
        <is>
          <t>info@cyclect.com.sg</t>
        </is>
      </c>
      <c r="AM1377" t="inlineStr">
        <is>
          <t>https://zep.com/pages/contact</t>
        </is>
      </c>
      <c r="AN1377" t="inlineStr">
        <is>
          <t>https://zep.com/pages/contact</t>
        </is>
      </c>
      <c r="AP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is>
          <t>+1.716.882.0920</t>
        </is>
      </c>
      <c r="AM1378" t="inlineStr">
        <is>
          <t>https://www.zeptometrix.com/us/en/contact</t>
        </is>
      </c>
      <c r="AN1378" t="inlineStr">
        <is>
          <t>https://www.zeptometrix.com/us/en/contact</t>
        </is>
      </c>
      <c r="AP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is>
          <t>9784219655</t>
        </is>
      </c>
      <c r="AM1380" t="inlineStr">
        <is>
          <t>https://www.zoll.com/en-us/about/newsroom</t>
        </is>
      </c>
      <c r="AN1380" t="inlineStr">
        <is>
          <t>https://www.zoll.com/en-us/about/newsroom</t>
        </is>
      </c>
      <c r="AP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M1381" t="inlineStr">
        <is>
          <t>https://www.zwiebel.fr/contact/</t>
        </is>
      </c>
      <c r="AN1381" t="inlineStr">
        <is>
          <t>https://www.zwiebel.fr/contact/</t>
        </is>
      </c>
      <c r="AP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בחיפוש ראשוני</t>
        </is>
      </c>
      <c r="AE1382" t="inlineStr">
        <is>
          <t>חיפוש חלקי</t>
        </is>
      </c>
      <c r="AG1382" t="inlineStr"/>
      <c r="AH1382" t="inlineStr"/>
      <c r="AI1382" t="inlineStr">
        <is>
          <t>Only global-network claims, a 2017 VWR North America deal and a Seegene listing; no Israeli distributor named.</t>
        </is>
      </c>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53</v>
      </c>
      <c r="B3" t="inlineStr">
        <is>
          <t>Agilent</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56</v>
      </c>
      <c r="B4" t="inlineStr">
        <is>
          <t>Agilent Technologies</t>
        </is>
      </c>
      <c r="C4" t="inlineStr">
        <is>
          <t>Eldan Electronic Instruments Ltd. (Neopharm group)</t>
        </is>
      </c>
      <c r="D4" t="inlineStr">
        <is>
          <t>אלדן</t>
        </is>
      </c>
      <c r="E4" t="inlineStr">
        <is>
          <t>מפיץ</t>
        </is>
      </c>
      <c r="F4" t="inlineStr">
        <is>
          <t>Agilent authorised distributor for Israel (chromatography, spectroscopy, mass spectrometry, lab products, cell analysis); Petach Tikva, tel. +972-3-9371111, info@eldan.biz, per Agilent's live Israel contact page</t>
        </is>
      </c>
      <c r="G4" t="inlineStr">
        <is>
          <t>https://www.eldan.biz</t>
        </is>
      </c>
      <c r="H4" t="inlineStr">
        <is>
          <t>+972-3-937-1111</t>
        </is>
      </c>
      <c r="I4" t="inlineStr">
        <is>
          <t>info@eldan.biz</t>
        </is>
      </c>
      <c r="J4" t="inlineStr">
        <is>
          <t>6 Hashiloach Street, P.O. Box 7641, Petach Tikva 49170</t>
        </is>
      </c>
      <c r="K4" t="inlineStr"/>
      <c r="L4" t="n">
        <v>2026</v>
      </c>
      <c r="M4" t="inlineStr">
        <is>
          <t>עדכני</t>
        </is>
      </c>
      <c r="N4" t="inlineStr">
        <is>
          <t>prior_research</t>
        </is>
      </c>
      <c r="P4" t="inlineStr">
        <is>
          <t>https://www.agilent.com/en/contact-us/israel</t>
        </is>
      </c>
    </row>
    <row r="5">
      <c r="A5" t="n">
        <v>99</v>
      </c>
      <c r="B5" t="inlineStr">
        <is>
          <t>Analytik Jena</t>
        </is>
      </c>
      <c r="C5" t="inlineStr">
        <is>
          <t>Lifegene</t>
        </is>
      </c>
      <c r="D5" t="inlineStr"/>
      <c r="E5" t="inlineStr">
        <is>
          <t>מפיץ</t>
        </is>
      </c>
      <c r="F5" t="inlineStr">
        <is>
          <t>Biometra thermal cyclers (TAdvanced, TOne, TRobot II) described on Lifegene's live pages as premium PCR instruments from Analytik Jena</t>
        </is>
      </c>
      <c r="G5" t="inlineStr">
        <is>
          <t>https://www.lifegene.co.il</t>
        </is>
      </c>
      <c r="H5" t="inlineStr">
        <is>
          <t>+972 8-644-4314</t>
        </is>
      </c>
      <c r="I5" t="inlineStr">
        <is>
          <t>info@lifegene.co.il</t>
        </is>
      </c>
      <c r="J5" t="inlineStr">
        <is>
          <t>4 Ha'maayan St., Modi'in 7171101 (directory lists Modi'in; other sources say Mevo Horon – verify)</t>
        </is>
      </c>
      <c r="K5" t="inlineStr"/>
      <c r="L5" t="n">
        <v>2026</v>
      </c>
      <c r="M5" t="inlineStr">
        <is>
          <t>עדכני</t>
        </is>
      </c>
      <c r="N5" t="inlineStr">
        <is>
          <t>prior_research</t>
        </is>
      </c>
      <c r="P5" t="inlineStr">
        <is>
          <t>https://www.lifegene.co.il/biometra_tadvanced_pcr</t>
        </is>
      </c>
    </row>
    <row r="6">
      <c r="A6" t="n">
        <v>99</v>
      </c>
      <c r="B6" t="inlineStr">
        <is>
          <t>Analytik Jena</t>
        </is>
      </c>
      <c r="C6" t="inlineStr">
        <is>
          <t>Tamar Laboratory Supplies</t>
        </is>
      </c>
      <c r="D6" t="inlineStr"/>
      <c r="E6" t="inlineStr">
        <is>
          <t>מפיץ</t>
        </is>
      </c>
      <c r="F6" t="inlineStr">
        <is>
          <t>qTOWER³ real-time PCR thermal cycler (live product page) and 'PCR instruments from Biometra' (live project page)</t>
        </is>
      </c>
      <c r="G6" t="inlineStr">
        <is>
          <t>https://tamar.co.il</t>
        </is>
      </c>
      <c r="H6" t="inlineStr">
        <is>
          <t>+972 2-533-6070 (also 02-579-9777)</t>
        </is>
      </c>
      <c r="I6" t="inlineStr"/>
      <c r="J6" t="inlineStr">
        <is>
          <t>HaAla St., Mevaseret Zion 90805</t>
        </is>
      </c>
      <c r="K6" t="inlineStr"/>
      <c r="L6" t="n">
        <v>2026</v>
      </c>
      <c r="M6" t="inlineStr">
        <is>
          <t>עדכני</t>
        </is>
      </c>
      <c r="N6" t="inlineStr">
        <is>
          <t>prior_research</t>
        </is>
      </c>
      <c r="P6" t="inlineStr">
        <is>
          <t>https://tamar.co.il/qtower%C2%B3</t>
        </is>
      </c>
    </row>
    <row r="7">
      <c r="A7" t="n">
        <v>99</v>
      </c>
      <c r="B7" t="inlineStr">
        <is>
          <t>Analytik Jena</t>
        </is>
      </c>
      <c r="C7" t="inlineStr">
        <is>
          <t>Lumitron</t>
        </is>
      </c>
      <c r="D7" t="inlineStr">
        <is>
          <t>לומיטרון</t>
        </is>
      </c>
      <c r="E7" t="inlineStr">
        <is>
          <t>מפיץ</t>
        </is>
      </c>
      <c r="F7" t="inlineStr">
        <is>
          <t>UVP bio-imaging systems - Lumitron's live About page describes UVP as a part of Analytik Jena</t>
        </is>
      </c>
      <c r="G7" t="inlineStr">
        <is>
          <t>https://www.lumitron.co.il</t>
        </is>
      </c>
      <c r="H7" t="inlineStr">
        <is>
          <t>+972 52-525-6287</t>
        </is>
      </c>
      <c r="I7" t="inlineStr"/>
      <c r="J7" t="inlineStr">
        <is>
          <t>17 Hamiflasim St., Petah Tikva</t>
        </is>
      </c>
      <c r="K7" t="inlineStr"/>
      <c r="L7" t="n">
        <v>2026</v>
      </c>
      <c r="M7" t="inlineStr">
        <is>
          <t>עדכני</t>
        </is>
      </c>
      <c r="N7" t="inlineStr">
        <is>
          <t>prior_research</t>
        </is>
      </c>
      <c r="P7" t="inlineStr">
        <is>
          <t>https://www.lumitron.co.il/about-us/</t>
        </is>
      </c>
    </row>
    <row r="8">
      <c r="A8" t="n">
        <v>108</v>
      </c>
      <c r="B8" t="inlineStr">
        <is>
          <t>Anton Paar</t>
        </is>
      </c>
      <c r="C8" t="inlineStr">
        <is>
          <t>Prime Lab Scientific Instruments Ltd.</t>
        </is>
      </c>
      <c r="D8" t="inlineStr">
        <is>
          <t>פריים לאב</t>
        </is>
      </c>
      <c r="E8" t="inlineStr">
        <is>
          <t>מפיץ</t>
        </is>
      </c>
      <c r="F8"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8" t="inlineStr">
        <is>
          <t>https://primelab.co.il</t>
        </is>
      </c>
      <c r="H8" t="inlineStr"/>
      <c r="I8" t="inlineStr"/>
      <c r="J8" t="inlineStr"/>
      <c r="K8" t="inlineStr"/>
      <c r="L8" t="n">
        <v>2026</v>
      </c>
      <c r="M8" t="inlineStr">
        <is>
          <t>עדכני</t>
        </is>
      </c>
      <c r="N8" t="inlineStr">
        <is>
          <t>prior_research</t>
        </is>
      </c>
      <c r="P8" t="inlineStr">
        <is>
          <t>https://primelab.co.il/</t>
        </is>
      </c>
    </row>
    <row r="9">
      <c r="A9" t="n">
        <v>149</v>
      </c>
      <c r="B9" t="inlineStr">
        <is>
          <t>Azenta</t>
        </is>
      </c>
      <c r="C9" t="inlineStr">
        <is>
          <t>HyLabs (Hy Laboratories Ltd.)</t>
        </is>
      </c>
      <c r="D9" t="inlineStr"/>
      <c r="E9" t="inlineStr">
        <is>
          <t>מפיץ</t>
        </is>
      </c>
      <c r="F9"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9" t="inlineStr">
        <is>
          <t>https://www.hylabs.co.il</t>
        </is>
      </c>
      <c r="H9" t="inlineStr">
        <is>
          <t>+972-8-936-6475</t>
        </is>
      </c>
      <c r="I9" t="inlineStr"/>
      <c r="J9" t="inlineStr">
        <is>
          <t>8 Prof. Menakhem Plaut St., Rehovot (Prospeo lists 6 Plaut St., Rehovot 7670606)</t>
        </is>
      </c>
      <c r="K9" t="inlineStr"/>
      <c r="L9" t="n">
        <v>2026</v>
      </c>
      <c r="M9" t="inlineStr">
        <is>
          <t>עדכני</t>
        </is>
      </c>
      <c r="N9" t="inlineStr">
        <is>
          <t>prior_research</t>
        </is>
      </c>
      <c r="P9" t="inlineStr">
        <is>
          <t>https://www.hylabs.co.il/services/genewiz-genomics-services/</t>
        </is>
      </c>
    </row>
    <row r="10">
      <c r="A10" t="n">
        <v>149</v>
      </c>
      <c r="B10" t="inlineStr">
        <is>
          <t>Azenta</t>
        </is>
      </c>
      <c r="C10" t="inlineStr">
        <is>
          <t>Tamar Laboratory Supplies Ltd.</t>
        </is>
      </c>
      <c r="D10" t="inlineStr">
        <is>
          <t>תמר ציוד מעבדתי</t>
        </is>
      </c>
      <c r="E10" t="inlineStr">
        <is>
          <t>מפיץ</t>
        </is>
      </c>
      <c r="F10"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0" t="inlineStr">
        <is>
          <t>https://www.tamar.co.il</t>
        </is>
      </c>
      <c r="H10" t="inlineStr">
        <is>
          <t>+972 2-533-6070 (also 02-579-9777)</t>
        </is>
      </c>
      <c r="I10" t="inlineStr"/>
      <c r="J10" t="inlineStr">
        <is>
          <t>HaAla St., Mevaseret Zion 90805</t>
        </is>
      </c>
      <c r="K10" t="inlineStr"/>
      <c r="L10" t="n">
        <v>2026</v>
      </c>
      <c r="M10" t="inlineStr">
        <is>
          <t>עדכני</t>
        </is>
      </c>
      <c r="N10" t="inlineStr">
        <is>
          <t>prior_research</t>
        </is>
      </c>
      <c r="P10" t="inlineStr">
        <is>
          <t>https://www.tamar.co.il/represented-companies/</t>
        </is>
      </c>
    </row>
    <row r="11">
      <c r="A11" t="n">
        <v>150</v>
      </c>
      <c r="B11" t="inlineStr">
        <is>
          <t>Azenta Life Sciences (formerly 4titude)</t>
        </is>
      </c>
      <c r="C11" t="inlineStr">
        <is>
          <t>HyLabs (Hy Laboratories Ltd.)</t>
        </is>
      </c>
      <c r="D11" t="inlineStr"/>
      <c r="E11" t="inlineStr">
        <is>
          <t>מפיץ</t>
        </is>
      </c>
      <c r="F1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1" t="inlineStr">
        <is>
          <t>https://www.hylabs.co.il</t>
        </is>
      </c>
      <c r="H11" t="inlineStr">
        <is>
          <t>+972-8-936-6475</t>
        </is>
      </c>
      <c r="I11" t="inlineStr"/>
      <c r="J11" t="inlineStr">
        <is>
          <t>8 Prof. Menakhem Plaut St., Rehovot (Prospeo lists 6 Plaut St., Rehovot 7670606)</t>
        </is>
      </c>
      <c r="K11" t="inlineStr"/>
      <c r="L11" t="n">
        <v>2026</v>
      </c>
      <c r="M11" t="inlineStr">
        <is>
          <t>עדכני</t>
        </is>
      </c>
      <c r="N11" t="inlineStr">
        <is>
          <t>prior_research</t>
        </is>
      </c>
      <c r="P11" t="inlineStr">
        <is>
          <t>https://www.hylabs.co.il/services/genewiz-genomics-services/</t>
        </is>
      </c>
    </row>
    <row r="12">
      <c r="A12" t="n">
        <v>150</v>
      </c>
      <c r="B12" t="inlineStr">
        <is>
          <t>Azenta Life Sciences (formerly 4titude)</t>
        </is>
      </c>
      <c r="C12" t="inlineStr">
        <is>
          <t>Tamar Laboratory Supplies Ltd.</t>
        </is>
      </c>
      <c r="D12" t="inlineStr">
        <is>
          <t>תמר ציוד מעבדתי</t>
        </is>
      </c>
      <c r="E12" t="inlineStr">
        <is>
          <t>מפיץ</t>
        </is>
      </c>
      <c r="F1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2" t="inlineStr">
        <is>
          <t>https://www.tamar.co.il</t>
        </is>
      </c>
      <c r="H12" t="inlineStr">
        <is>
          <t>+972 2-533-6070 (also 02-579-9777)</t>
        </is>
      </c>
      <c r="I12" t="inlineStr"/>
      <c r="J12" t="inlineStr">
        <is>
          <t>HaAla St., Mevaseret Zion 90805</t>
        </is>
      </c>
      <c r="K12" t="inlineStr"/>
      <c r="L12" t="n">
        <v>2026</v>
      </c>
      <c r="M12" t="inlineStr">
        <is>
          <t>עדכני</t>
        </is>
      </c>
      <c r="N12" t="inlineStr">
        <is>
          <t>prior_research</t>
        </is>
      </c>
      <c r="P12" t="inlineStr">
        <is>
          <t>https://www.tamar.co.il/represented-companies/</t>
        </is>
      </c>
    </row>
    <row r="13">
      <c r="A13" t="n">
        <v>165</v>
      </c>
      <c r="B13" t="inlineStr">
        <is>
          <t>BD Biosciences</t>
        </is>
      </c>
      <c r="C13" t="inlineStr">
        <is>
          <t>Augusta Life Sciences Israel Ltd. (Waters subsidiary, ex-BD Biosciences &amp; Diagnostic Solutions)</t>
        </is>
      </c>
      <c r="D13" t="inlineStr"/>
      <c r="E13" t="inlineStr">
        <is>
          <t>חברה-בת</t>
        </is>
      </c>
      <c r="F13"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3" t="inlineStr">
        <is>
          <t>https://www.waters.com</t>
        </is>
      </c>
      <c r="H13" t="inlineStr"/>
      <c r="I13" t="inlineStr"/>
      <c r="J13" t="inlineStr"/>
      <c r="K13" t="inlineStr"/>
      <c r="L13" t="n">
        <v>2026</v>
      </c>
      <c r="M13" t="inlineStr">
        <is>
          <t>עדכני</t>
        </is>
      </c>
      <c r="N13" t="inlineStr">
        <is>
          <t>prior_research</t>
        </is>
      </c>
      <c r="P13" t="inlineStr">
        <is>
          <t>https://www.waters.com/nextgen/us/en/about-waters/corporate-governance/legal-and-privacy-notices/bdtransaction.html</t>
        </is>
      </c>
    </row>
    <row r="14">
      <c r="A14" t="n">
        <v>165</v>
      </c>
      <c r="B14" t="inlineStr">
        <is>
          <t>BD Biosciences</t>
        </is>
      </c>
      <c r="C14" t="inlineStr">
        <is>
          <t>BD Israel (Becton Dickinson)</t>
        </is>
      </c>
      <c r="D14" t="inlineStr"/>
      <c r="E14" t="inlineStr">
        <is>
          <t>חברה-בת</t>
        </is>
      </c>
      <c r="F14"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4" t="inlineStr">
        <is>
          <t>https://www.bd.com/en-il</t>
        </is>
      </c>
      <c r="H14" t="inlineStr"/>
      <c r="I14" t="inlineStr"/>
      <c r="J14" t="inlineStr">
        <is>
          <t>Caesarea</t>
        </is>
      </c>
      <c r="K14" t="inlineStr"/>
      <c r="L14" t="n">
        <v>2026</v>
      </c>
      <c r="M14" t="inlineStr">
        <is>
          <t>עדכני</t>
        </is>
      </c>
      <c r="N14" t="inlineStr">
        <is>
          <t>prior_research</t>
        </is>
      </c>
      <c r="P14" t="inlineStr">
        <is>
          <t>https://jobs.bd.com/location-israel</t>
        </is>
      </c>
    </row>
    <row r="15">
      <c r="A15" t="n">
        <v>165</v>
      </c>
      <c r="B15" t="inlineStr">
        <is>
          <t>BD Biosciences</t>
        </is>
      </c>
      <c r="C15" t="inlineStr">
        <is>
          <t>Lapidot Group (Lapidot Medical)</t>
        </is>
      </c>
      <c r="D15" t="inlineStr">
        <is>
          <t>לפידות</t>
        </is>
      </c>
      <c r="E15" t="inlineStr">
        <is>
          <t>מפיץ</t>
        </is>
      </c>
      <c r="F15" t="inlineStr">
        <is>
          <t>lists BD as a business partner ('global medical technology company'); product scope not stated - likely BD Medical lines, not confirmed for Biosciences/Diagnostics</t>
        </is>
      </c>
      <c r="G15" t="inlineStr">
        <is>
          <t>https://www.lapidot.com</t>
        </is>
      </c>
      <c r="H15" t="inlineStr">
        <is>
          <t>+972-4-6309630 / +972-74-7797836</t>
        </is>
      </c>
      <c r="I15" t="inlineStr">
        <is>
          <t>customerservice@lapidot.com</t>
        </is>
      </c>
      <c r="J15" t="inlineStr">
        <is>
          <t>8 Hashita St., P.O. Box 3552, Caesarea Industrial Park 3088900</t>
        </is>
      </c>
      <c r="K15" t="inlineStr"/>
      <c r="M15" t="inlineStr">
        <is>
          <t>ראיה ישנה</t>
        </is>
      </c>
      <c r="N15" t="inlineStr">
        <is>
          <t>prior_research</t>
        </is>
      </c>
      <c r="P15" t="inlineStr">
        <is>
          <t>https://www.lapidot.com/en/partners/</t>
        </is>
      </c>
    </row>
    <row r="16">
      <c r="A16" t="n">
        <v>168</v>
      </c>
      <c r="B16" t="inlineStr">
        <is>
          <t>Beckman Coulter</t>
        </is>
      </c>
      <c r="C16" t="inlineStr">
        <is>
          <t>Rhenium Ltd.</t>
        </is>
      </c>
      <c r="D16" t="inlineStr">
        <is>
          <t>רניום</t>
        </is>
      </c>
      <c r="E16" t="inlineStr">
        <is>
          <t>מפיץ</t>
        </is>
      </c>
      <c r="F16" t="inlineStr">
        <is>
          <t>Beckman Coulter Life Sciences distributor for Israel - 20 Hasatat St., P.O.B. 180, Modi'in 7171101, +972 8 955 8888, per Beckman Coulter Life Sciences' live Israel contact page</t>
        </is>
      </c>
      <c r="G16" t="inlineStr">
        <is>
          <t>https://www.rhenium.co.il</t>
        </is>
      </c>
      <c r="H16" t="inlineStr">
        <is>
          <t>+972 8-955-8888</t>
        </is>
      </c>
      <c r="I16" t="inlineStr"/>
      <c r="J16" t="inlineStr">
        <is>
          <t>20 Hasatat St., P.O. Box 180, Modi'in 7171101</t>
        </is>
      </c>
      <c r="K16" t="inlineStr"/>
      <c r="L16" t="n">
        <v>2026</v>
      </c>
      <c r="M16" t="inlineStr">
        <is>
          <t>עדכני</t>
        </is>
      </c>
      <c r="N16" t="inlineStr">
        <is>
          <t>prior_research</t>
        </is>
      </c>
      <c r="P16" t="inlineStr">
        <is>
          <t>https://www.beckman.com/contact-us/israel</t>
        </is>
      </c>
    </row>
    <row r="17">
      <c r="A17" t="n">
        <v>168</v>
      </c>
      <c r="B17" t="inlineStr">
        <is>
          <t>Beckman Coulter</t>
        </is>
      </c>
      <c r="C17" t="inlineStr">
        <is>
          <t>Beckman Coulter (Israel) Ltd.</t>
        </is>
      </c>
      <c r="D17" t="inlineStr"/>
      <c r="E17" t="inlineStr">
        <is>
          <t>חברה-בת</t>
        </is>
      </c>
      <c r="F17" t="inlineStr">
        <is>
          <t>Beckman Coulter Diagnostics legal entity in Israel (2 Pekeris St., Park Tamar, Rehovot) listed under the BEC Diagnostics reporting group in Beckman Coulter's EU data-controller list; commercial role (direct diagnostics sales/service) not established</t>
        </is>
      </c>
      <c r="G17" t="inlineStr"/>
      <c r="H17" t="inlineStr"/>
      <c r="I17" t="inlineStr"/>
      <c r="J17" t="inlineStr"/>
      <c r="K17" t="inlineStr"/>
      <c r="L17" t="n">
        <v>2026</v>
      </c>
      <c r="M17" t="inlineStr">
        <is>
          <t>חדש</t>
        </is>
      </c>
      <c r="N17" t="inlineStr">
        <is>
          <t>prior_research</t>
        </is>
      </c>
      <c r="P17" t="inlineStr">
        <is>
          <t>https://media.beckmancoulter.com/-/media/diagnostics/eu-assets/pdf/controller-list.pdf?rev=e10665d675ed4f24adf07082e61099f6&amp;hash=DF4541DC81268F0844822FB104DF7F66</t>
        </is>
      </c>
    </row>
    <row r="18">
      <c r="A18" t="n">
        <v>189</v>
      </c>
      <c r="B18" t="inlineStr">
        <is>
          <t>Binder</t>
        </is>
      </c>
      <c r="C18" t="inlineStr">
        <is>
          <t>Labotal Scientific Equipment Ltd.</t>
        </is>
      </c>
      <c r="D18" t="inlineStr">
        <is>
          <t>לבוטל ציוד מדעי</t>
        </is>
      </c>
      <c r="E18" t="inlineStr">
        <is>
          <t>מפיץ</t>
        </is>
      </c>
      <c r="F18" t="inlineStr">
        <is>
          <t>Binder incubators, drying ovens and climate/simulation chambers - Labotal's live 'Binder' represented-firm page (founded 1983 by Peter M. Binder), live 'Represented Firms' page and drying-systems category</t>
        </is>
      </c>
      <c r="G18" t="inlineStr">
        <is>
          <t>https://labotal.co.il</t>
        </is>
      </c>
      <c r="H18" t="inlineStr">
        <is>
          <t>+972 2-579-9222</t>
        </is>
      </c>
      <c r="I18" t="inlineStr">
        <is>
          <t>Sales@labotal.co.il</t>
        </is>
      </c>
      <c r="J18" t="inlineStr">
        <is>
          <t>Hashalom Rd., Abu Ghosh 9084500 (mail: Mevaseret Zion)</t>
        </is>
      </c>
      <c r="K18" t="inlineStr">
        <is>
          <t>https://labotal.co.il/contact/</t>
        </is>
      </c>
      <c r="L18" t="n">
        <v>2026</v>
      </c>
      <c r="M18" t="inlineStr">
        <is>
          <t>עדכני</t>
        </is>
      </c>
      <c r="N18" t="inlineStr">
        <is>
          <t>prior_research</t>
        </is>
      </c>
      <c r="P18" t="inlineStr">
        <is>
          <t>https://labotal.co.il/firms/binder/?lang=en</t>
        </is>
      </c>
    </row>
    <row r="19">
      <c r="A19" t="n">
        <v>190</v>
      </c>
      <c r="B19" t="inlineStr">
        <is>
          <t>Bio Basic Inc.</t>
        </is>
      </c>
      <c r="C19" t="inlineStr">
        <is>
          <t>Syntezza Bioscience Ltd</t>
        </is>
      </c>
      <c r="D19" t="inlineStr">
        <is>
          <t>סינתזה ביוסיינס</t>
        </is>
      </c>
      <c r="E19" t="inlineStr">
        <is>
          <t>מפיץ</t>
        </is>
      </c>
      <c r="F19"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19" t="inlineStr">
        <is>
          <t>https://www.syntezza.com</t>
        </is>
      </c>
      <c r="J19" t="inlineStr">
        <is>
          <t>17 Hartom St., Har Hotzvim, Jerusalem</t>
        </is>
      </c>
      <c r="L19" t="n">
        <v>2026</v>
      </c>
      <c r="M19" t="inlineStr">
        <is>
          <t>עדכני</t>
        </is>
      </c>
      <c r="N19" t="inlineStr">
        <is>
          <t>manufacturer_or_press</t>
        </is>
      </c>
      <c r="O19" t="inlineStr">
        <is>
          <t>search</t>
        </is>
      </c>
      <c r="P19" t="inlineStr">
        <is>
          <t>https://www.syntezza.com/about/</t>
        </is>
      </c>
    </row>
    <row r="20">
      <c r="A20" t="n">
        <v>192</v>
      </c>
      <c r="B20" t="inlineStr">
        <is>
          <t>Bio-Rad</t>
        </is>
      </c>
      <c r="C20" t="inlineStr">
        <is>
          <t>Bio-Rad Israel Ltd. (Bio-Rad Laboratories (Rishon))</t>
        </is>
      </c>
      <c r="D20" t="inlineStr">
        <is>
          <t>ביו-ראד ישראל</t>
        </is>
      </c>
      <c r="E20" t="inlineStr">
        <is>
          <t>חברה-בת</t>
        </is>
      </c>
      <c r="F20" t="inlineStr">
        <is>
          <t>direct sales &amp; service of life-science and clinical-diagnostics products (Rishon LeZion; branch since 1991)</t>
        </is>
      </c>
      <c r="G20" t="inlineStr">
        <is>
          <t>https://www.bio-rad.com</t>
        </is>
      </c>
      <c r="H20" t="inlineStr"/>
      <c r="I20" t="inlineStr"/>
      <c r="J20" t="inlineStr">
        <is>
          <t>Netiv HaOr, Haifa</t>
        </is>
      </c>
      <c r="K20" t="inlineStr">
        <is>
          <t>https://www.bio-rad.com/en-il/contact-us</t>
        </is>
      </c>
      <c r="M20" t="inlineStr"/>
      <c r="N20" t="inlineStr">
        <is>
          <t>prior_research</t>
        </is>
      </c>
      <c r="P20" t="inlineStr">
        <is>
          <t>https://www.bio-rad.com/en-il/corporate/careers</t>
        </is>
      </c>
    </row>
    <row r="21">
      <c r="A21" t="n">
        <v>192</v>
      </c>
      <c r="B21" t="inlineStr">
        <is>
          <t>Bio-Rad</t>
        </is>
      </c>
      <c r="C21" t="inlineStr">
        <is>
          <t>Bio-Rad Haifa Ltd.</t>
        </is>
      </c>
      <c r="D21" t="inlineStr">
        <is>
          <t>ביו-ראד חיפה</t>
        </is>
      </c>
      <c r="E21" t="inlineStr">
        <is>
          <t>חברה-בת</t>
        </is>
      </c>
      <c r="F21"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21" t="inlineStr">
        <is>
          <t>https://www.bio-rad.com</t>
        </is>
      </c>
      <c r="H21" t="inlineStr"/>
      <c r="I21" t="inlineStr"/>
      <c r="J21" t="inlineStr">
        <is>
          <t>Netiv HaOr, Haifa</t>
        </is>
      </c>
      <c r="K21" t="inlineStr">
        <is>
          <t>https://www.bio-rad.com/en-il/contact-us</t>
        </is>
      </c>
      <c r="L21" t="n">
        <v>2006</v>
      </c>
      <c r="M21" t="inlineStr">
        <is>
          <t>ראיה ישנה</t>
        </is>
      </c>
      <c r="N21" t="inlineStr">
        <is>
          <t>prior_research</t>
        </is>
      </c>
      <c r="P21" t="inlineStr">
        <is>
          <t>https://www.bio-rad.com/webroot/web/pdf/general/trading_terms/AGB_IL.pdf</t>
        </is>
      </c>
    </row>
    <row r="22">
      <c r="A22" t="n">
        <v>217</v>
      </c>
      <c r="B22" t="inlineStr">
        <is>
          <t>Biotage</t>
        </is>
      </c>
      <c r="C22" t="inlineStr">
        <is>
          <t>Bargal Analytical Instruments Ltd.</t>
        </is>
      </c>
      <c r="D22" t="inlineStr">
        <is>
          <t>ברגל ציוד אנליטי</t>
        </is>
      </c>
      <c r="E22" t="inlineStr">
        <is>
          <t>מפיץ</t>
        </is>
      </c>
      <c r="F22"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2" t="inlineStr">
        <is>
          <t>https://www.bargal.co.il</t>
        </is>
      </c>
      <c r="H22" t="inlineStr">
        <is>
          <t>+972-3-979-6533</t>
        </is>
      </c>
      <c r="I22" t="inlineStr">
        <is>
          <t>sales@bargal.co.il</t>
        </is>
      </c>
      <c r="J22" t="inlineStr">
        <is>
          <t>10 Shaked Street, Modi'in Industrial Park, Shoham 6085102</t>
        </is>
      </c>
      <c r="K22" t="inlineStr"/>
      <c r="L22" t="n">
        <v>2026</v>
      </c>
      <c r="M22" t="inlineStr">
        <is>
          <t>עדכני</t>
        </is>
      </c>
      <c r="N22" t="inlineStr">
        <is>
          <t>prior_research</t>
        </is>
      </c>
      <c r="P22" t="inlineStr">
        <is>
          <t>https://www.biotage.com/company/contact</t>
        </is>
      </c>
    </row>
    <row r="23">
      <c r="A23" t="n">
        <v>219</v>
      </c>
      <c r="B23" t="inlineStr">
        <is>
          <t>Biotium</t>
        </is>
      </c>
      <c r="C23" t="inlineStr">
        <is>
          <t>Doron Scientific</t>
        </is>
      </c>
      <c r="D23" t="inlineStr">
        <is>
          <t>דורון סיינטיפיק</t>
        </is>
      </c>
      <c r="E23" t="inlineStr">
        <is>
          <t>מפיץ</t>
        </is>
      </c>
      <c r="F23" t="inlineStr">
        <is>
          <t>Listed as an authorized distributor for Israel (Kiryat Ono) on Biotium's Middle East authorized-distributors page</t>
        </is>
      </c>
      <c r="G23" t="inlineStr">
        <is>
          <t>https://www.doronscientific.com</t>
        </is>
      </c>
      <c r="H23" t="inlineStr">
        <is>
          <t>+972-54-554-4004</t>
        </is>
      </c>
      <c r="J23" t="inlineStr">
        <is>
          <t>8 Yehoshua Baum St., Kiryat Ono</t>
        </is>
      </c>
      <c r="L23" t="n">
        <v>2026</v>
      </c>
      <c r="M23" t="inlineStr">
        <is>
          <t>עדכני</t>
        </is>
      </c>
      <c r="N23" t="inlineStr">
        <is>
          <t>manufacturer_or_press</t>
        </is>
      </c>
      <c r="O23" t="inlineStr">
        <is>
          <t>search</t>
        </is>
      </c>
      <c r="P23" t="inlineStr">
        <is>
          <t>https://biotium.com/authorized-distributors/middle-east</t>
        </is>
      </c>
    </row>
    <row r="24">
      <c r="A24" t="n">
        <v>219</v>
      </c>
      <c r="B24" t="inlineStr">
        <is>
          <t>Biotium</t>
        </is>
      </c>
      <c r="C24" t="inlineStr">
        <is>
          <t>Enco Scientific Services Ltd. (Enco Diagnostics)</t>
        </is>
      </c>
      <c r="D24" t="inlineStr">
        <is>
          <t>אנקו</t>
        </is>
      </c>
      <c r="E24" t="inlineStr">
        <is>
          <t>מפיץ</t>
        </is>
      </c>
      <c r="F24" t="inlineStr">
        <is>
          <t>Listed as an authorized distributor for Israel (Petach Tikva) on Biotium's Middle East authorized-distributors page</t>
        </is>
      </c>
      <c r="G24" t="inlineStr">
        <is>
          <t>https://www.enco.co.il</t>
        </is>
      </c>
      <c r="L24" t="n">
        <v>2026</v>
      </c>
      <c r="M24" t="inlineStr">
        <is>
          <t>עדכני</t>
        </is>
      </c>
      <c r="N24" t="inlineStr">
        <is>
          <t>manufacturer_or_press</t>
        </is>
      </c>
      <c r="O24" t="inlineStr">
        <is>
          <t>search</t>
        </is>
      </c>
      <c r="P24" t="inlineStr">
        <is>
          <t>https://biotium.com/authorized-distributors/middle-east</t>
        </is>
      </c>
    </row>
    <row r="25">
      <c r="A25" t="n">
        <v>219</v>
      </c>
      <c r="B25" t="inlineStr">
        <is>
          <t>Biotium</t>
        </is>
      </c>
      <c r="C25" t="inlineStr">
        <is>
          <t>New Biotechnology Ltd</t>
        </is>
      </c>
      <c r="D25" t="inlineStr">
        <is>
          <t>ניו ביוטכנולוגי (NBT)</t>
        </is>
      </c>
      <c r="E25" t="inlineStr">
        <is>
          <t>מפיץ</t>
        </is>
      </c>
      <c r="F25" t="inlineStr">
        <is>
          <t>Listed as an authorized distributor for Israel (Jerusalem) on Biotium's Middle East authorized-distributors page</t>
        </is>
      </c>
      <c r="G25" t="inlineStr">
        <is>
          <t>https://www.nbtltd.com</t>
        </is>
      </c>
      <c r="H25" t="inlineStr">
        <is>
          <t>+972-2-673-2001</t>
        </is>
      </c>
      <c r="I25" t="inlineStr">
        <is>
          <t>nbtsales@nbtltd.com</t>
        </is>
      </c>
      <c r="J25" t="inlineStr">
        <is>
          <t>3 Mekor Haim St., P.O. Box 8662, Jerusalem 91086</t>
        </is>
      </c>
      <c r="L25" t="n">
        <v>2026</v>
      </c>
      <c r="M25" t="inlineStr">
        <is>
          <t>עדכני</t>
        </is>
      </c>
      <c r="N25" t="inlineStr">
        <is>
          <t>manufacturer_or_press</t>
        </is>
      </c>
      <c r="O25" t="inlineStr">
        <is>
          <t>search</t>
        </is>
      </c>
      <c r="P25" t="inlineStr">
        <is>
          <t>https://biotium.com/authorized-distributors/middle-east</t>
        </is>
      </c>
    </row>
    <row r="26">
      <c r="A26" t="n">
        <v>219</v>
      </c>
      <c r="B26" t="inlineStr">
        <is>
          <t>Biotium</t>
        </is>
      </c>
      <c r="C26" t="inlineStr">
        <is>
          <t>Origolab Ltd</t>
        </is>
      </c>
      <c r="D26" t="inlineStr">
        <is>
          <t>אוריגולאב</t>
        </is>
      </c>
      <c r="E26" t="inlineStr">
        <is>
          <t>מפיץ</t>
        </is>
      </c>
      <c r="F26" t="inlineStr">
        <is>
          <t>Listed as an authorized distributor for Israel on Biotium's Middle East authorized-distributors page</t>
        </is>
      </c>
      <c r="H26" t="inlineStr">
        <is>
          <t>+972-2-566-9285</t>
        </is>
      </c>
      <c r="I26" t="inlineStr">
        <is>
          <t>origolab@netmedia.net.il</t>
        </is>
      </c>
      <c r="J26" t="inlineStr">
        <is>
          <t>28 Kaf-Tet BeNovember St., Jerusalem</t>
        </is>
      </c>
      <c r="L26" t="n">
        <v>2026</v>
      </c>
      <c r="M26" t="inlineStr">
        <is>
          <t>עדכני</t>
        </is>
      </c>
      <c r="N26" t="inlineStr">
        <is>
          <t>manufacturer_or_press</t>
        </is>
      </c>
      <c r="O26" t="inlineStr">
        <is>
          <t>search</t>
        </is>
      </c>
      <c r="P26" t="inlineStr">
        <is>
          <t>https://biotium.com/authorized-distributors/middle-east</t>
        </is>
      </c>
    </row>
    <row r="27">
      <c r="A27" t="n">
        <v>246</v>
      </c>
      <c r="B27" t="inlineStr">
        <is>
          <t>Brand</t>
        </is>
      </c>
      <c r="C27" t="inlineStr">
        <is>
          <t>Labotal Scientific Equipment Ltd.</t>
        </is>
      </c>
      <c r="D27" t="inlineStr">
        <is>
          <t>לבוטל</t>
        </is>
      </c>
      <c r="E27" t="inlineStr">
        <is>
          <t>מפיץ</t>
        </is>
      </c>
      <c r="F27"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7" t="inlineStr">
        <is>
          <t>https://labotal.co.il</t>
        </is>
      </c>
      <c r="H27" t="inlineStr">
        <is>
          <t>+972 2-579-9222</t>
        </is>
      </c>
      <c r="I27" t="inlineStr">
        <is>
          <t>Sales@labotal.co.il</t>
        </is>
      </c>
      <c r="J27" t="inlineStr">
        <is>
          <t>Hashalom Rd., Abu Ghosh 9084500 (mail: Mevaseret Zion)</t>
        </is>
      </c>
      <c r="K27" t="inlineStr">
        <is>
          <t>https://labotal.co.il/contact/</t>
        </is>
      </c>
      <c r="L27" t="n">
        <v>2026</v>
      </c>
      <c r="M27" t="inlineStr">
        <is>
          <t>עדכני</t>
        </is>
      </c>
      <c r="N27" t="inlineStr">
        <is>
          <t>prior_research</t>
        </is>
      </c>
      <c r="P27" t="inlineStr">
        <is>
          <t>https://www.vacuubrand.com/service-advice/contact/contacts-worldwide</t>
        </is>
      </c>
    </row>
    <row r="28">
      <c r="A28" t="n">
        <v>246</v>
      </c>
      <c r="B28" t="inlineStr">
        <is>
          <t>Brand</t>
        </is>
      </c>
      <c r="C28" t="inlineStr">
        <is>
          <t>Yoel Naim Ltd.</t>
        </is>
      </c>
      <c r="D28" t="inlineStr"/>
      <c r="E28" t="inlineStr">
        <is>
          <t>מפיץ</t>
        </is>
      </c>
      <c r="F28" t="inlineStr">
        <is>
          <t>BRAND (liquid handling, volumetric ware) distributor and service partner for Israel - named on BRAND's live 'Sales and Consulting worldwide' page (industrial area, Rehovot); website not found</t>
        </is>
      </c>
      <c r="G28" t="inlineStr"/>
      <c r="H28" t="inlineStr"/>
      <c r="I28" t="inlineStr"/>
      <c r="J28" t="inlineStr"/>
      <c r="K28" t="inlineStr"/>
      <c r="L28" t="n">
        <v>2026</v>
      </c>
      <c r="M28" t="inlineStr">
        <is>
          <t>חדש</t>
        </is>
      </c>
      <c r="N28" t="inlineStr">
        <is>
          <t>prior_research</t>
        </is>
      </c>
      <c r="P28" t="inlineStr">
        <is>
          <t>https://www.brand.de/en/company/sales-worldwide</t>
        </is>
      </c>
    </row>
    <row r="29">
      <c r="A29" t="n">
        <v>247</v>
      </c>
      <c r="B29" t="inlineStr">
        <is>
          <t>BrandTech®</t>
        </is>
      </c>
      <c r="C29" t="inlineStr">
        <is>
          <t>Labotal Scientific Equipment Ltd.</t>
        </is>
      </c>
      <c r="D29" t="inlineStr">
        <is>
          <t>לבוטל</t>
        </is>
      </c>
      <c r="E29" t="inlineStr">
        <is>
          <t>מפיץ</t>
        </is>
      </c>
      <c r="F2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9" t="inlineStr">
        <is>
          <t>https://labotal.co.il</t>
        </is>
      </c>
      <c r="H29" t="inlineStr">
        <is>
          <t>+972 2-579-9222</t>
        </is>
      </c>
      <c r="I29" t="inlineStr">
        <is>
          <t>Sales@labotal.co.il</t>
        </is>
      </c>
      <c r="J29" t="inlineStr">
        <is>
          <t>Hashalom Rd., Abu Ghosh 9084500 (mail: Mevaseret Zion)</t>
        </is>
      </c>
      <c r="K29" t="inlineStr">
        <is>
          <t>https://labotal.co.il/contact/</t>
        </is>
      </c>
      <c r="L29" t="n">
        <v>2026</v>
      </c>
      <c r="M29" t="inlineStr">
        <is>
          <t>עדכני</t>
        </is>
      </c>
      <c r="N29" t="inlineStr">
        <is>
          <t>prior_research</t>
        </is>
      </c>
      <c r="P29" t="inlineStr">
        <is>
          <t>https://www.vacuubrand.com/service-advice/contact/contacts-worldwide</t>
        </is>
      </c>
    </row>
    <row r="30">
      <c r="A30" t="n">
        <v>247</v>
      </c>
      <c r="B30" t="inlineStr">
        <is>
          <t>BrandTech®</t>
        </is>
      </c>
      <c r="C30" t="inlineStr">
        <is>
          <t>Yoel Naim Ltd.</t>
        </is>
      </c>
      <c r="D30" t="inlineStr"/>
      <c r="E30" t="inlineStr">
        <is>
          <t>מפיץ</t>
        </is>
      </c>
      <c r="F30" t="inlineStr">
        <is>
          <t>BRAND (liquid handling, volumetric ware) distributor and service partner for Israel - named on BRAND's live 'Sales and Consulting worldwide' page (industrial area, Rehovot); website not found</t>
        </is>
      </c>
      <c r="G30" t="inlineStr"/>
      <c r="H30" t="inlineStr"/>
      <c r="I30" t="inlineStr"/>
      <c r="J30" t="inlineStr"/>
      <c r="K30" t="inlineStr"/>
      <c r="L30" t="n">
        <v>2026</v>
      </c>
      <c r="M30" t="inlineStr">
        <is>
          <t>חדש</t>
        </is>
      </c>
      <c r="N30" t="inlineStr">
        <is>
          <t>prior_research</t>
        </is>
      </c>
      <c r="P30" t="inlineStr">
        <is>
          <t>https://www.brand.de/en/company/sales-worldwide</t>
        </is>
      </c>
    </row>
    <row r="31">
      <c r="A31" t="n">
        <v>257</v>
      </c>
      <c r="B31" t="inlineStr">
        <is>
          <t>Buchi</t>
        </is>
      </c>
      <c r="C31" t="inlineStr">
        <is>
          <t>Dr. Golik Scientific Solutions</t>
        </is>
      </c>
      <c r="D31" t="inlineStr">
        <is>
          <t>ד"ר גוליק</t>
        </is>
      </c>
      <c r="E31" t="inlineStr">
        <is>
          <t>מפיץ</t>
        </is>
      </c>
      <c r="F31"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31" t="inlineStr">
        <is>
          <t>https://www.golik.co.il</t>
        </is>
      </c>
      <c r="H31" t="inlineStr">
        <is>
          <t>+972-3-518-7555</t>
        </is>
      </c>
      <c r="I31" t="inlineStr">
        <is>
          <t>marketing@golik.co.il</t>
        </is>
      </c>
      <c r="J31" t="inlineStr">
        <is>
          <t>34 Kibbutz Galuyot St, Tel Aviv 66550</t>
        </is>
      </c>
      <c r="K31" t="inlineStr"/>
      <c r="L31" t="n">
        <v>2026</v>
      </c>
      <c r="M31" t="inlineStr">
        <is>
          <t>עדכני</t>
        </is>
      </c>
      <c r="N31" t="inlineStr">
        <is>
          <t>prior_research</t>
        </is>
      </c>
      <c r="P31" t="inlineStr">
        <is>
          <t>https://www.golik.co.il/manufacturers/buchi</t>
        </is>
      </c>
    </row>
    <row r="32">
      <c r="A32" t="n">
        <v>294</v>
      </c>
      <c r="B32" t="inlineStr">
        <is>
          <t>Cell Signaling Technology</t>
        </is>
      </c>
      <c r="C32" t="inlineStr">
        <is>
          <t>Ornat BioChemicals &amp; Lab Equipment Ltd.</t>
        </is>
      </c>
      <c r="D32" t="inlineStr">
        <is>
          <t>אורנת</t>
        </is>
      </c>
      <c r="E32" t="inlineStr">
        <is>
          <t>מפיץ</t>
        </is>
      </c>
      <c r="F32" t="inlineStr">
        <is>
          <t>Listed as Ornat partner brand on the FISEB (Federation of Israeli Societies for Experimental Biology) vendors page; undated</t>
        </is>
      </c>
      <c r="G32" t="inlineStr">
        <is>
          <t>https://www.ornat.co.il</t>
        </is>
      </c>
      <c r="M32" t="inlineStr">
        <is>
          <t>עדכני</t>
        </is>
      </c>
      <c r="N32" t="inlineStr">
        <is>
          <t>manufacturer_or_press</t>
        </is>
      </c>
      <c r="P32" t="inlineStr">
        <is>
          <t>https://www.fiseb.org/vendors/</t>
        </is>
      </c>
    </row>
    <row r="33">
      <c r="A33" t="n">
        <v>345</v>
      </c>
      <c r="B33" t="inlineStr">
        <is>
          <t>Cole 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362</v>
      </c>
      <c r="B34" t="inlineStr">
        <is>
          <t>Corning</t>
        </is>
      </c>
      <c r="C34" t="inlineStr">
        <is>
          <t>Getter Group (Getter Bio-Med)</t>
        </is>
      </c>
      <c r="D34" t="inlineStr">
        <is>
          <t>קבוצת גטר</t>
        </is>
      </c>
      <c r="E34" t="inlineStr">
        <is>
          <t>מפיץ</t>
        </is>
      </c>
      <c r="F34" t="inlineStr">
        <is>
          <t>Corning - Getter Group's live English about page lists Corning among the brands it exclusively represents in Israel and a Hebrew brand page profiles Corning; life-science vs. other Corning lines still not specified</t>
        </is>
      </c>
      <c r="G34" t="inlineStr">
        <is>
          <t>https://www.getter.co.il</t>
        </is>
      </c>
      <c r="H34" t="inlineStr">
        <is>
          <t>+972 3-576-1555 (Getter Group switchboard)</t>
        </is>
      </c>
      <c r="I34" t="inlineStr"/>
      <c r="J34" t="inlineStr">
        <is>
          <t>7 Shimshon St., Petah Tikva 4912502</t>
        </is>
      </c>
      <c r="K34" t="inlineStr"/>
      <c r="L34" t="n">
        <v>2026</v>
      </c>
      <c r="M34" t="inlineStr">
        <is>
          <t>עדכני</t>
        </is>
      </c>
      <c r="N34" t="inlineStr">
        <is>
          <t>prior_research</t>
        </is>
      </c>
      <c r="P34" t="inlineStr">
        <is>
          <t>https://www.getter.co.il/about-en/</t>
        </is>
      </c>
    </row>
    <row r="35">
      <c r="A35" t="n">
        <v>388</v>
      </c>
      <c r="B35" t="inlineStr">
        <is>
          <t>Cytiva</t>
        </is>
      </c>
      <c r="C35" t="inlineStr">
        <is>
          <t>Danyel Biotech</t>
        </is>
      </c>
      <c r="D35" t="inlineStr"/>
      <c r="E35" t="inlineStr">
        <is>
          <t>מפיץ</t>
        </is>
      </c>
      <c r="F35" t="inlineStr">
        <is>
          <t>Cytiva chromatography (ÄKTA) and Biacore - live 'Biacore (Cytiva)' brand page on Danyel's site; other Cytiva lines (Whatman, Amersham, Pall) not confirmed</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https://www.danyel.co.il/biacore-cytiva/</t>
        </is>
      </c>
    </row>
    <row r="36">
      <c r="A36" t="n">
        <v>388</v>
      </c>
      <c r="B36" t="inlineStr">
        <is>
          <t>Cytiva</t>
        </is>
      </c>
      <c r="C36" t="inlineStr">
        <is>
          <t>Lifegene Ltd.</t>
        </is>
      </c>
      <c r="D36" t="inlineStr">
        <is>
          <t>לייפג'ין</t>
        </is>
      </c>
      <c r="E36" t="inlineStr">
        <is>
          <t>מפיץ</t>
        </is>
      </c>
      <c r="F36" t="inlineStr">
        <is>
          <t>Whatman filtration products (a Cytiva brand) sold through the Lifegene catalogue</t>
        </is>
      </c>
      <c r="G36" t="inlineStr">
        <is>
          <t>https://www.lifegene.co.il</t>
        </is>
      </c>
      <c r="H36" t="inlineStr">
        <is>
          <t>+972 8-644-4314</t>
        </is>
      </c>
      <c r="I36" t="inlineStr">
        <is>
          <t>info@lifegene.co.il</t>
        </is>
      </c>
      <c r="J36" t="inlineStr">
        <is>
          <t>4 Ha'maayan St., Modi'in 7171101 (directory lists Modi'in; other sources say Mevo Horon – verify)</t>
        </is>
      </c>
      <c r="K36" t="inlineStr"/>
      <c r="M36" t="inlineStr">
        <is>
          <t>ראיה ישנה</t>
        </is>
      </c>
      <c r="N36" t="inlineStr">
        <is>
          <t>prior_research</t>
        </is>
      </c>
      <c r="P36" t="inlineStr">
        <is>
          <t>https://lifegene.co.il/product/puradisc-13-syringe-filter-045µm-polypropylene-100-pk/</t>
        </is>
      </c>
    </row>
    <row r="37">
      <c r="A37" t="n">
        <v>418</v>
      </c>
      <c r="B37" t="inlineStr">
        <is>
          <t>Duran</t>
        </is>
      </c>
      <c r="C37" t="inlineStr">
        <is>
          <t>Danyel Biotech Ltd. (Gamida for Life group)</t>
        </is>
      </c>
      <c r="D37" t="inlineStr">
        <is>
          <t>דניאל ביוטק</t>
        </is>
      </c>
      <c r="E37" t="inlineStr">
        <is>
          <t>מפיץ</t>
        </is>
      </c>
      <c r="F3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7" t="inlineStr">
        <is>
          <t>https://www.danyel.co.il</t>
        </is>
      </c>
      <c r="H37" t="inlineStr">
        <is>
          <t>1-800-711-911 (also +972 8-936-6066)</t>
        </is>
      </c>
      <c r="I37" t="inlineStr"/>
      <c r="J37" t="inlineStr">
        <is>
          <t>8 Hamada St., Science Park, Rehovot 7670308</t>
        </is>
      </c>
      <c r="K37" t="inlineStr">
        <is>
          <t>https://www.danyel.co.il/contact-us/</t>
        </is>
      </c>
      <c r="L37" t="n">
        <v>2026</v>
      </c>
      <c r="M37" t="inlineStr">
        <is>
          <t>עדכני</t>
        </is>
      </c>
      <c r="N37" t="inlineStr">
        <is>
          <t>prior_research</t>
        </is>
      </c>
      <c r="P37" t="inlineStr">
        <is>
          <t>https://www.danyel.co.il/scilabware/</t>
        </is>
      </c>
    </row>
    <row r="38">
      <c r="A38" t="n">
        <v>422</v>
      </c>
      <c r="B38" t="inlineStr">
        <is>
          <t>DWK Life Sciences (Wheaton)</t>
        </is>
      </c>
      <c r="C38" t="inlineStr">
        <is>
          <t>Danyel Biotech Ltd. (Gamida for Life group)</t>
        </is>
      </c>
      <c r="D38" t="inlineStr">
        <is>
          <t>דניאל ביוטק</t>
        </is>
      </c>
      <c r="E38" t="inlineStr">
        <is>
          <t>מפיץ</t>
        </is>
      </c>
      <c r="F38"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https://www.danyel.co.il/scilabware/</t>
        </is>
      </c>
    </row>
    <row r="39">
      <c r="A39" t="n">
        <v>451</v>
      </c>
      <c r="B39" t="inlineStr">
        <is>
          <t>Electrothermal (Cole-Parmer)</t>
        </is>
      </c>
      <c r="C39" t="inlineStr">
        <is>
          <t>Medent Scientific Instruments</t>
        </is>
      </c>
      <c r="D39" t="inlineStr">
        <is>
          <t>מדנט מכשור מדעי</t>
        </is>
      </c>
      <c r="E39" t="inlineStr">
        <is>
          <t>מפיץ</t>
        </is>
      </c>
      <c r="F3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9" t="inlineStr">
        <is>
          <t>https://www.medent.co.il</t>
        </is>
      </c>
      <c r="H39" t="inlineStr">
        <is>
          <t>+972 72-395-0508 (sales); +972 8-683-6306 (service)</t>
        </is>
      </c>
      <c r="I39" t="inlineStr">
        <is>
          <t>info@medent.co.il</t>
        </is>
      </c>
      <c r="J39" t="inlineStr">
        <is>
          <t>110 Mordei HaGetaot St., Beer Sheva 8420643</t>
        </is>
      </c>
      <c r="K39" t="inlineStr">
        <is>
          <t>https://www.medent.co.il/scientific.equipment/%D7%A6%D7%95%D7%A8-%D7%A7%D7%A9%D7%A8/</t>
        </is>
      </c>
      <c r="L39" t="n">
        <v>2026</v>
      </c>
      <c r="M39" t="inlineStr">
        <is>
          <t>עדכני</t>
        </is>
      </c>
      <c r="N39" t="inlineStr">
        <is>
          <t>prior_research</t>
        </is>
      </c>
      <c r="P39" t="inlineStr">
        <is>
          <t>https://medent.co.il/scientific.equipment/product/%D7%A1%D7%A4%D7%A7%D7%98%D7%A8%D7%95%D7%A4%D7%95%D7%98%D7%95%D7%9E%D7%98%D7%A8-uvvis-%D7%9E%D7%A2%D7%91%D7%93%D7%AA%D7%99-%D7%93%D7%92%D7%9D-6305-%D7%AA%D7%95%D7%A6%D7%A8%D7%AA-jenway/</t>
        </is>
      </c>
    </row>
    <row r="40">
      <c r="A40" t="n">
        <v>470</v>
      </c>
      <c r="B40" t="inlineStr">
        <is>
          <t>Eppendorf</t>
        </is>
      </c>
      <c r="C40" t="inlineStr">
        <is>
          <t>Lumitron Ltd. (Comtel Technologies &amp; Engineering group)</t>
        </is>
      </c>
      <c r="D40" t="inlineStr">
        <is>
          <t>לומיטרון</t>
        </is>
      </c>
      <c r="E40" t="inlineStr">
        <is>
          <t>מפיץ</t>
        </is>
      </c>
      <c r="F40" t="inlineStr">
        <is>
          <t>Eppendorf importer/distributor - live Lumitron product pages for Eppendorf centrifuges (5910 Ri, MiniSpin), pipettes (Multipette M4), bioreactors (BioFlo 120, BioBLU), shakers/incubators (CellXpert CS220, Innova S44i), Eporator and micromanipulators</t>
        </is>
      </c>
      <c r="G40" t="inlineStr">
        <is>
          <t>https://www.lumitron.co.il</t>
        </is>
      </c>
      <c r="H40" t="inlineStr">
        <is>
          <t>+972 52-525-6287</t>
        </is>
      </c>
      <c r="I40" t="inlineStr"/>
      <c r="J40" t="inlineStr">
        <is>
          <t>17 Hamiflasim St., Petah Tikva</t>
        </is>
      </c>
      <c r="K40" t="inlineStr"/>
      <c r="L40" t="n">
        <v>2026</v>
      </c>
      <c r="M40" t="inlineStr">
        <is>
          <t>עדכני</t>
        </is>
      </c>
      <c r="N40" t="inlineStr">
        <is>
          <t>prior_research</t>
        </is>
      </c>
      <c r="P40" t="inlineStr">
        <is>
          <t>https://www.lumitron.co.il/products/bioflo120-bioreactor-fermenter-2/?lang=en</t>
        </is>
      </c>
    </row>
    <row r="41">
      <c r="A41" t="n">
        <v>477</v>
      </c>
      <c r="B41" t="inlineStr">
        <is>
          <t>Esco</t>
        </is>
      </c>
      <c r="C41" t="inlineStr">
        <is>
          <t>Danyel Biotech</t>
        </is>
      </c>
      <c r="D41" t="inlineStr"/>
      <c r="E41" t="inlineStr">
        <is>
          <t>מפיץ</t>
        </is>
      </c>
      <c r="F41" t="inlineStr">
        <is>
          <t>Esco Life Sciences division: biological safety cabinets (Airstream Class I/III, Labculture Class II A2/B1/B2), fume hoods, general-purpose ovens and incubators, CO2 incubators and ULT freezers - Danyel's live dedicated Esco page</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https://www.danyel.co.il/esco/</t>
        </is>
      </c>
    </row>
    <row r="42">
      <c r="A42" t="n">
        <v>525</v>
      </c>
      <c r="B42" t="inlineStr">
        <is>
          <t>G-Biosciences</t>
        </is>
      </c>
      <c r="C42" t="inlineStr">
        <is>
          <t>Yair Technologies (Yair Tech)</t>
        </is>
      </c>
      <c r="D42" t="inlineStr">
        <is>
          <t>יאיר טכנולוגיות</t>
        </is>
      </c>
      <c r="E42" t="inlineStr">
        <is>
          <t>מפיץ</t>
        </is>
      </c>
      <c r="F42" t="inlineStr">
        <is>
          <t>Yair Technologies' site has a G-Biosciences product-category page and lists G-Biosciences among its partners and main suppliers (proteomics reagents: protein extraction, purification, electrophoresis, Western blotting, protein labeling).</t>
        </is>
      </c>
      <c r="G42" t="inlineStr">
        <is>
          <t>https://www.yairtech.co.il</t>
        </is>
      </c>
      <c r="L42" t="n">
        <v>2026</v>
      </c>
      <c r="M42" t="inlineStr">
        <is>
          <t>עדכני</t>
        </is>
      </c>
      <c r="N42" t="inlineStr">
        <is>
          <t>manufacturer_or_press</t>
        </is>
      </c>
      <c r="O42" t="inlineStr">
        <is>
          <t>search</t>
        </is>
      </c>
      <c r="P42" t="inlineStr">
        <is>
          <t>https://www.yairtech.co.il/cat_product/g-biosciences/</t>
        </is>
      </c>
    </row>
    <row r="43">
      <c r="A43" t="n">
        <v>552</v>
      </c>
      <c r="B43" t="inlineStr">
        <is>
          <t>Gilson Co. Inc.</t>
        </is>
      </c>
      <c r="C43" t="inlineStr">
        <is>
          <t>Agentek (1987) Ltd.</t>
        </is>
      </c>
      <c r="D43" t="inlineStr">
        <is>
          <t>אגנטק</t>
        </is>
      </c>
      <c r="E43" t="inlineStr">
        <is>
          <t>מפיץ</t>
        </is>
      </c>
      <c r="F43" t="inlineStr">
        <is>
          <t>Gilson liquid handling (per Agentek vendors list)</t>
        </is>
      </c>
      <c r="G43" t="inlineStr">
        <is>
          <t>https://agentek.co.il</t>
        </is>
      </c>
      <c r="H43" t="inlineStr">
        <is>
          <t>+972 9-965-7000</t>
        </is>
      </c>
      <c r="I43" t="inlineStr"/>
      <c r="J43" t="inlineStr">
        <is>
          <t>Greenwork Yakum Business Park, Yakum 6097200</t>
        </is>
      </c>
      <c r="K43" t="inlineStr">
        <is>
          <t>https://agentek.co.il/contact/</t>
        </is>
      </c>
      <c r="M43" t="inlineStr">
        <is>
          <t>ראיה ישנה</t>
        </is>
      </c>
      <c r="N43" t="inlineStr">
        <is>
          <t>prior_research</t>
        </is>
      </c>
      <c r="P43" t="inlineStr">
        <is>
          <t>https://agentek.co.il/vendors/</t>
        </is>
      </c>
    </row>
    <row r="44">
      <c r="A44" t="n">
        <v>552</v>
      </c>
      <c r="B44" t="inlineStr">
        <is>
          <t>Gilson Co. Inc.</t>
        </is>
      </c>
      <c r="C44" t="inlineStr">
        <is>
          <t>Lifegene Ltd.</t>
        </is>
      </c>
      <c r="D44" t="inlineStr">
        <is>
          <t>לייפג'ין</t>
        </is>
      </c>
      <c r="E44" t="inlineStr">
        <is>
          <t>מפיץ</t>
        </is>
      </c>
      <c r="F44" t="inlineStr">
        <is>
          <t>Gilson PIPETMAN G/L/M/M Connected and NEO pipettes, multichannel pipettes, PIPETMAN DIAMOND tips and PlateMaster P220 - Lifegene's live 'פיפטורים Gilson' page, Gilson product category and product pages</t>
        </is>
      </c>
      <c r="G44" t="inlineStr">
        <is>
          <t>https://www.lifegene.co.il</t>
        </is>
      </c>
      <c r="H44" t="inlineStr">
        <is>
          <t>+972 8-644-4314</t>
        </is>
      </c>
      <c r="I44" t="inlineStr">
        <is>
          <t>info@lifegene.co.il</t>
        </is>
      </c>
      <c r="J44" t="inlineStr">
        <is>
          <t>4 Ha'maayan St., Modi'in 7171101 (directory lists Modi'in; other sources say Mevo Horon – verify)</t>
        </is>
      </c>
      <c r="K44" t="inlineStr"/>
      <c r="L44" t="n">
        <v>2026</v>
      </c>
      <c r="M44" t="inlineStr">
        <is>
          <t>עדכני</t>
        </is>
      </c>
      <c r="N44" t="inlineStr">
        <is>
          <t>prior_research</t>
        </is>
      </c>
      <c r="P44" t="inlineStr">
        <is>
          <t>https://www.lifegene.co.il/gilson_pipettes</t>
        </is>
      </c>
    </row>
    <row r="45">
      <c r="A45" t="n">
        <v>573</v>
      </c>
      <c r="B45" t="inlineStr">
        <is>
          <t>Greiner Bio-One</t>
        </is>
      </c>
      <c r="C45" t="inlineStr">
        <is>
          <t>Danyel Biotech Ltd. (Gamida for Life group)</t>
        </is>
      </c>
      <c r="D45" t="inlineStr">
        <is>
          <t>דניאל ביוטק</t>
        </is>
      </c>
      <c r="E45" t="inlineStr">
        <is>
          <t>מפיץ</t>
        </is>
      </c>
      <c r="F45"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45" t="inlineStr">
        <is>
          <t>https://www.danyel.co.il</t>
        </is>
      </c>
      <c r="H45" t="inlineStr">
        <is>
          <t>1-800-711-911 (also +972 8-936-6066)</t>
        </is>
      </c>
      <c r="I45" t="inlineStr"/>
      <c r="J45" t="inlineStr">
        <is>
          <t>8 Hamada St., Science Park, Rehovot 7670308</t>
        </is>
      </c>
      <c r="K45" t="inlineStr">
        <is>
          <t>https://www.danyel.co.il/contact-us/</t>
        </is>
      </c>
      <c r="L45" t="n">
        <v>2026</v>
      </c>
      <c r="M45" t="inlineStr">
        <is>
          <t>עדכני</t>
        </is>
      </c>
      <c r="N45" t="inlineStr">
        <is>
          <t>prior_research</t>
        </is>
      </c>
      <c r="P45" t="inlineStr">
        <is>
          <t>https://www.gbo.com/en-int/company/subsidiaries-distributors</t>
        </is>
      </c>
    </row>
    <row r="46">
      <c r="A46" t="n">
        <v>584</v>
      </c>
      <c r="B46" t="inlineStr">
        <is>
          <t>Hach</t>
        </is>
      </c>
      <c r="C46" t="inlineStr">
        <is>
          <t>Modotec Ltd.</t>
        </is>
      </c>
      <c r="D46" t="inlineStr">
        <is>
          <t>מודוטק בע"מ</t>
        </is>
      </c>
      <c r="E46" t="inlineStr">
        <is>
          <t>מפיץ</t>
        </is>
      </c>
      <c r="F4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46" t="inlineStr">
        <is>
          <t>https://www.modotec.co.il</t>
        </is>
      </c>
      <c r="H46" t="inlineStr">
        <is>
          <t>+972-4-991-9988</t>
        </is>
      </c>
      <c r="I46" t="inlineStr"/>
      <c r="J46" t="inlineStr">
        <is>
          <t>16 Moshe Bernstein St., South Industrial Park, Acre (Akko) 2422238</t>
        </is>
      </c>
      <c r="K46" t="inlineStr"/>
      <c r="L46" t="n">
        <v>2026</v>
      </c>
      <c r="M46" t="inlineStr">
        <is>
          <t>עדכני</t>
        </is>
      </c>
      <c r="N46" t="inlineStr">
        <is>
          <t>prior_research</t>
        </is>
      </c>
      <c r="P46" t="inlineStr">
        <is>
          <t>https://www.modotec.co.il/%D7%A1%D7%A4%D7%A7%D7%99%D7%9D/</t>
        </is>
      </c>
    </row>
    <row r="47">
      <c r="A47" t="n">
        <v>585</v>
      </c>
      <c r="B47" t="inlineStr">
        <is>
          <t>Haier</t>
        </is>
      </c>
      <c r="C47" t="inlineStr">
        <is>
          <t>Ex-Lab</t>
        </is>
      </c>
      <c r="D47" t="inlineStr">
        <is>
          <t>אקס-לאב</t>
        </is>
      </c>
      <c r="E47" t="inlineStr">
        <is>
          <t>מפיץ</t>
        </is>
      </c>
      <c r="F4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7" t="inlineStr">
        <is>
          <t>https://ex-lab.com</t>
        </is>
      </c>
      <c r="H47" t="inlineStr"/>
      <c r="I47" t="inlineStr"/>
      <c r="J47" t="inlineStr">
        <is>
          <t>4 Nevatim St., Petah Tikva</t>
        </is>
      </c>
      <c r="K47" t="inlineStr"/>
      <c r="L47" t="n">
        <v>2026</v>
      </c>
      <c r="M47" t="inlineStr">
        <is>
          <t>עדכני</t>
        </is>
      </c>
      <c r="N47" t="inlineStr">
        <is>
          <t>prior_research</t>
        </is>
      </c>
      <c r="P47" t="inlineStr">
        <is>
          <t>https://ex-lab.com/products/%D7%9E%D7%A7%D7%A4%D7%99%D7%90-%D7%9E%D7%A2%D7%91%D7%93%D7%AA%D7%99-haier-80c/</t>
        </is>
      </c>
    </row>
    <row r="48">
      <c r="A48" t="n">
        <v>587</v>
      </c>
      <c r="B48" t="inlineStr">
        <is>
          <t>Hamilton</t>
        </is>
      </c>
      <c r="C48" t="inlineStr">
        <is>
          <t>Danyel Biotech Ltd. (Gamida for Life group)</t>
        </is>
      </c>
      <c r="D48" t="inlineStr">
        <is>
          <t>דניאל ביוטק</t>
        </is>
      </c>
      <c r="E48" t="inlineStr">
        <is>
          <t>מפיץ</t>
        </is>
      </c>
      <c r="F48" t="inlineStr">
        <is>
          <t>Hamilton laboratory products - listed for Israel (Rehovot, danyel.co.il) on Hamilton's live 'Find a Distributor' laboratory-products page; Hamilton business lines (robotics/storage) not itemised in the snippet</t>
        </is>
      </c>
      <c r="G48" t="inlineStr">
        <is>
          <t>https://www.danyel.co.il</t>
        </is>
      </c>
      <c r="H48" t="inlineStr">
        <is>
          <t>1-800-711-911 (also +972 8-936-6066)</t>
        </is>
      </c>
      <c r="I48" t="inlineStr"/>
      <c r="J48" t="inlineStr">
        <is>
          <t>8 Hamada St., Science Park, Rehovot 7670308</t>
        </is>
      </c>
      <c r="K48" t="inlineStr">
        <is>
          <t>https://www.danyel.co.il/contact-us/</t>
        </is>
      </c>
      <c r="L48" t="n">
        <v>2026</v>
      </c>
      <c r="M48" t="inlineStr">
        <is>
          <t>עדכני</t>
        </is>
      </c>
      <c r="N48" t="inlineStr">
        <is>
          <t>prior_research</t>
        </is>
      </c>
      <c r="P48" t="inlineStr">
        <is>
          <t>https://www.hamiltoncompany.com/laboratory-product-distribution-list</t>
        </is>
      </c>
    </row>
    <row r="49">
      <c r="A49" t="n">
        <v>587</v>
      </c>
      <c r="B49" t="inlineStr">
        <is>
          <t>Hamilton</t>
        </is>
      </c>
      <c r="C49" t="inlineStr">
        <is>
          <t>Ophir Analytical Ltd.</t>
        </is>
      </c>
      <c r="D49" t="inlineStr"/>
      <c r="E49" t="inlineStr">
        <is>
          <t>מפיץ</t>
        </is>
      </c>
      <c r="F49" t="inlineStr">
        <is>
          <t>Hamilton laboratory products - listed for Israel (Rosh Ha'ayin) on Hamilton's live laboratory-products distributor page: lab syringes for life science and chemistry, lab needles, Microlab 600 diluter/dispenser, GC septa, HPLC columns</t>
        </is>
      </c>
      <c r="G49" t="inlineStr">
        <is>
          <t>https://ophiranalytical.com</t>
        </is>
      </c>
      <c r="H49" t="inlineStr">
        <is>
          <t>+972 3-902-2277</t>
        </is>
      </c>
      <c r="I49" t="inlineStr"/>
      <c r="J49" t="inlineStr">
        <is>
          <t>Rosh Ha'ayin</t>
        </is>
      </c>
      <c r="K49" t="inlineStr"/>
      <c r="L49" t="n">
        <v>2026</v>
      </c>
      <c r="M49" t="inlineStr">
        <is>
          <t>חדש</t>
        </is>
      </c>
      <c r="N49" t="inlineStr">
        <is>
          <t>prior_research</t>
        </is>
      </c>
      <c r="P49" t="inlineStr">
        <is>
          <t>https://www.hamiltoncompany.com/laboratory-product-distribution-list</t>
        </is>
      </c>
    </row>
    <row r="50">
      <c r="A50" t="n">
        <v>587</v>
      </c>
      <c r="B50" t="inlineStr">
        <is>
          <t>Hamilton</t>
        </is>
      </c>
      <c r="C50" t="inlineStr">
        <is>
          <t>Tarom Applied Technologies Ltd.</t>
        </is>
      </c>
      <c r="D50" t="inlineStr"/>
      <c r="E50" t="inlineStr">
        <is>
          <t>מפיץ</t>
        </is>
      </c>
      <c r="F50" t="inlineStr">
        <is>
          <t>Hamilton Process Analytics sensors - listed for Israel (Petach-Tikva, tarom.co.il) on Hamilton's live sensor distributor page</t>
        </is>
      </c>
      <c r="G50" t="inlineStr">
        <is>
          <t>http://www.tarom.co.il</t>
        </is>
      </c>
      <c r="H50" t="inlineStr"/>
      <c r="I50" t="inlineStr"/>
      <c r="J50" t="inlineStr"/>
      <c r="K50" t="inlineStr"/>
      <c r="L50" t="n">
        <v>2026</v>
      </c>
      <c r="M50" t="inlineStr">
        <is>
          <t>חדש</t>
        </is>
      </c>
      <c r="N50" t="inlineStr">
        <is>
          <t>prior_research</t>
        </is>
      </c>
      <c r="P50" t="inlineStr">
        <is>
          <t>https://www.hamiltoncompany.com/process-analystics-sensor-product-distribution-list</t>
        </is>
      </c>
    </row>
    <row r="51">
      <c r="A51" t="n">
        <v>590</v>
      </c>
      <c r="B51" t="inlineStr">
        <is>
          <t>Hanna Instruments</t>
        </is>
      </c>
      <c r="C51" t="inlineStr">
        <is>
          <t>Medent Scientific Instruments</t>
        </is>
      </c>
      <c r="D51" t="inlineStr">
        <is>
          <t>מדנט מכשור מדעי</t>
        </is>
      </c>
      <c r="E51" t="inlineStr">
        <is>
          <t>מפיץ</t>
        </is>
      </c>
      <c r="F51"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51" t="inlineStr">
        <is>
          <t>https://www.medent.co.il</t>
        </is>
      </c>
      <c r="H51" t="inlineStr">
        <is>
          <t>+972 72-395-0508 (sales); +972 8-683-6306 (service)</t>
        </is>
      </c>
      <c r="I51" t="inlineStr">
        <is>
          <t>info@medent.co.il</t>
        </is>
      </c>
      <c r="J51" t="inlineStr">
        <is>
          <t>110 Mordei HaGetaot St., Beer Sheva 8420643</t>
        </is>
      </c>
      <c r="K51" t="inlineStr">
        <is>
          <t>https://www.medent.co.il/scientific.equipment/%D7%A6%D7%95%D7%A8-%D7%A7%D7%A9%D7%A8/</t>
        </is>
      </c>
      <c r="L51" t="n">
        <v>2026</v>
      </c>
      <c r="M51" t="inlineStr">
        <is>
          <t>עדכני</t>
        </is>
      </c>
      <c r="N51" t="inlineStr">
        <is>
          <t>prior_research</t>
        </is>
      </c>
      <c r="P51" t="inlineStr">
        <is>
          <t>https://www.medent.co.il/en/project/page/2/</t>
        </is>
      </c>
    </row>
    <row r="52">
      <c r="A52" t="n">
        <v>590</v>
      </c>
      <c r="B52" t="inlineStr">
        <is>
          <t>Hanna Instruments</t>
        </is>
      </c>
      <c r="C52" t="inlineStr">
        <is>
          <t>BioAnalytics</t>
        </is>
      </c>
      <c r="D52" t="inlineStr"/>
      <c r="E52" t="inlineStr">
        <is>
          <t>מפיץ</t>
        </is>
      </c>
      <c r="F52" t="inlineStr">
        <is>
          <t>Hanna pool/spa and food (bread/dough) pH testers</t>
        </is>
      </c>
      <c r="G52" t="inlineStr">
        <is>
          <t>https://www.bioanalytics.co.il</t>
        </is>
      </c>
      <c r="H52" t="inlineStr">
        <is>
          <t>+972-72-242-9555</t>
        </is>
      </c>
      <c r="I52" t="inlineStr"/>
      <c r="J52" t="inlineStr">
        <is>
          <t>29 Omarim St. (listed as "29'th Omarim"), Omer 84965</t>
        </is>
      </c>
      <c r="K52" t="inlineStr"/>
      <c r="M52" t="inlineStr">
        <is>
          <t>ראיה ישנה</t>
        </is>
      </c>
      <c r="N52" t="inlineStr">
        <is>
          <t>prior_research</t>
        </is>
      </c>
      <c r="P52" t="inlineStr">
        <is>
          <t>https://www.bioanalytics.co.il/products/hannah-pool-line-ph-tester-according-to-6223-israeli-standard/</t>
        </is>
      </c>
    </row>
    <row r="53">
      <c r="A53" t="n">
        <v>590</v>
      </c>
      <c r="B53" t="inlineStr">
        <is>
          <t>Hanna Instruments</t>
        </is>
      </c>
      <c r="C53" t="inlineStr">
        <is>
          <t>Cannadepot</t>
        </is>
      </c>
      <c r="D53" t="inlineStr"/>
      <c r="E53" t="inlineStr">
        <is>
          <t>מפיץ</t>
        </is>
      </c>
      <c r="F53" t="inlineStr">
        <is>
          <t>online retailer; Hanna portable pH/EC/TDS testers</t>
        </is>
      </c>
      <c r="G53" t="inlineStr">
        <is>
          <t>https://cannadepot.co.il</t>
        </is>
      </c>
      <c r="H53" t="inlineStr"/>
      <c r="I53" t="inlineStr"/>
      <c r="J53" t="inlineStr"/>
      <c r="K53" t="inlineStr"/>
      <c r="M53" t="inlineStr">
        <is>
          <t>ראיה ישנה</t>
        </is>
      </c>
      <c r="N53" t="inlineStr">
        <is>
          <t>prior_research</t>
        </is>
      </c>
      <c r="P53" t="inlineStr">
        <is>
          <t>https://cannadepot.co.il/product-category/%D7%9E%D7%93%D7%99%D7%93%D7%94-%D7%95%D7%91%D7%A7%D7%A8%D7%94/hanna-instruments-%D7%9E%D7%9B%D7%A9%D7%99%D7%A8%D7%99%D7%9D-%D7%94%D7%90%D7%A0%D7%94/</t>
        </is>
      </c>
    </row>
    <row r="54">
      <c r="A54" t="n">
        <v>590</v>
      </c>
      <c r="B54" t="inlineStr">
        <is>
          <t>Hanna Instruments</t>
        </is>
      </c>
      <c r="C54" t="inlineStr">
        <is>
          <t>Mercury (mercury-ltd.co.il; part of Gadot Chemicals Group)</t>
        </is>
      </c>
      <c r="D54" t="inlineStr">
        <is>
          <t>מרקורי</t>
        </is>
      </c>
      <c r="E54" t="inlineStr">
        <is>
          <t>מפיץ</t>
        </is>
      </c>
      <c r="F54"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54" t="inlineStr">
        <is>
          <t>https://www.mercury-ltd.co.il</t>
        </is>
      </c>
      <c r="H54" t="inlineStr">
        <is>
          <t>+972 3-938-7164</t>
        </is>
      </c>
      <c r="I54" t="inlineStr"/>
      <c r="J54" t="inlineStr">
        <is>
          <t>12 Ha'avoda St., P.O. Box 159, Rosh Ha'ayin</t>
        </is>
      </c>
      <c r="K54" t="inlineStr">
        <is>
          <t>https://eng.mercury-ltd.co.il/about_us</t>
        </is>
      </c>
      <c r="L54" t="n">
        <v>2026</v>
      </c>
      <c r="M54" t="inlineStr">
        <is>
          <t>חדש</t>
        </is>
      </c>
      <c r="N54" t="inlineStr">
        <is>
          <t>prior_research</t>
        </is>
      </c>
      <c r="P54" t="inlineStr">
        <is>
          <t>https://pages.hannainst.com/israel</t>
        </is>
      </c>
    </row>
    <row r="55">
      <c r="A55" t="n">
        <v>597</v>
      </c>
      <c r="B55" t="inlineStr">
        <is>
          <t>Heidolph</t>
        </is>
      </c>
      <c r="C55" t="inlineStr">
        <is>
          <t>Labotal Scientific Equipment Ltd.</t>
        </is>
      </c>
      <c r="D55" t="inlineStr">
        <is>
          <t>לבוטל ציוד מדעי</t>
        </is>
      </c>
      <c r="E55" t="inlineStr">
        <is>
          <t>מפיץ</t>
        </is>
      </c>
      <c r="F55" t="inlineStr">
        <is>
          <t>Heidolph rotary evaporators, stirrers and shakers - Heidolph listed on Labotal's live 'Represented Firms' page; Labotal calls itself a Heidolph premium distributor and its awards archive mentions a three-year warranty on Heidolph products</t>
        </is>
      </c>
      <c r="G55" t="inlineStr">
        <is>
          <t>https://labotal.co.il</t>
        </is>
      </c>
      <c r="H55" t="inlineStr">
        <is>
          <t>+972 2-579-9222</t>
        </is>
      </c>
      <c r="I55" t="inlineStr">
        <is>
          <t>Sales@labotal.co.il</t>
        </is>
      </c>
      <c r="J55" t="inlineStr">
        <is>
          <t>Hashalom Rd., Abu Ghosh 9084500 (mail: Mevaseret Zion)</t>
        </is>
      </c>
      <c r="K55" t="inlineStr">
        <is>
          <t>https://labotal.co.il/contact/</t>
        </is>
      </c>
      <c r="L55" t="n">
        <v>2026</v>
      </c>
      <c r="M55" t="inlineStr">
        <is>
          <t>עדכני</t>
        </is>
      </c>
      <c r="N55" t="inlineStr">
        <is>
          <t>prior_research</t>
        </is>
      </c>
      <c r="P55" t="inlineStr">
        <is>
          <t>https://labotal.co.il/firms/?lang=en</t>
        </is>
      </c>
    </row>
    <row r="56">
      <c r="A56" t="n">
        <v>603</v>
      </c>
      <c r="B56" t="inlineStr">
        <is>
          <t>Hettich</t>
        </is>
      </c>
      <c r="C56" t="inlineStr">
        <is>
          <t>Eldan Electronic Instruments Ltd. (Neopharm group)</t>
        </is>
      </c>
      <c r="D56" t="inlineStr">
        <is>
          <t>אלדן</t>
        </is>
      </c>
      <c r="E56" t="inlineStr">
        <is>
          <t>מפיץ</t>
        </is>
      </c>
      <c r="F56"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6" t="inlineStr">
        <is>
          <t>https://www.eldan.biz</t>
        </is>
      </c>
      <c r="H56" t="inlineStr">
        <is>
          <t>+972-3-937-1111</t>
        </is>
      </c>
      <c r="I56" t="inlineStr">
        <is>
          <t>info@eldan.biz</t>
        </is>
      </c>
      <c r="J56" t="inlineStr">
        <is>
          <t>6 Hashiloach Street, P.O. Box 7641, Petach Tikva 49170</t>
        </is>
      </c>
      <c r="K56" t="inlineStr"/>
      <c r="L56" t="n">
        <v>2026</v>
      </c>
      <c r="M56" t="inlineStr">
        <is>
          <t>עדכני</t>
        </is>
      </c>
      <c r="N56" t="inlineStr">
        <is>
          <t>prior_research</t>
        </is>
      </c>
      <c r="P56" t="inlineStr">
        <is>
          <t>https://www.hettichlab.com/contact/</t>
        </is>
      </c>
    </row>
    <row r="57">
      <c r="A57" t="n">
        <v>604</v>
      </c>
      <c r="B57" t="inlineStr">
        <is>
          <t>Hettich Instruments</t>
        </is>
      </c>
      <c r="C57" t="inlineStr">
        <is>
          <t>Eldan Electronic Instruments Ltd. (Neopharm group)</t>
        </is>
      </c>
      <c r="D57" t="inlineStr">
        <is>
          <t>אלדן</t>
        </is>
      </c>
      <c r="E57" t="inlineStr">
        <is>
          <t>מפיץ</t>
        </is>
      </c>
      <c r="F5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7" t="inlineStr">
        <is>
          <t>https://www.eldan.biz</t>
        </is>
      </c>
      <c r="H57" t="inlineStr">
        <is>
          <t>+972-3-937-1111</t>
        </is>
      </c>
      <c r="I57" t="inlineStr">
        <is>
          <t>info@eldan.biz</t>
        </is>
      </c>
      <c r="J57" t="inlineStr">
        <is>
          <t>6 Hashiloach Street, P.O. Box 7641, Petach Tikva 49170</t>
        </is>
      </c>
      <c r="K57" t="inlineStr"/>
      <c r="L57" t="n">
        <v>2026</v>
      </c>
      <c r="M57" t="inlineStr">
        <is>
          <t>עדכני</t>
        </is>
      </c>
      <c r="N57" t="inlineStr">
        <is>
          <t>prior_research</t>
        </is>
      </c>
      <c r="P57" t="inlineStr">
        <is>
          <t>https://www.hettichlab.com/contact/</t>
        </is>
      </c>
    </row>
    <row r="58">
      <c r="A58" t="n">
        <v>626</v>
      </c>
      <c r="B58" t="inlineStr">
        <is>
          <t>Huber USA</t>
        </is>
      </c>
      <c r="C58" t="inlineStr">
        <is>
          <t>S.L. Moran Ltd.</t>
        </is>
      </c>
      <c r="D58" t="inlineStr">
        <is>
          <t>ש.ל מורן</t>
        </is>
      </c>
      <c r="E58" t="inlineStr">
        <is>
          <t>מפיץ</t>
        </is>
      </c>
      <c r="F58"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8" t="inlineStr">
        <is>
          <t>https://slmoran.co.il</t>
        </is>
      </c>
      <c r="H58" t="inlineStr">
        <is>
          <t>+972 74-702-9898</t>
        </is>
      </c>
      <c r="I58" t="inlineStr"/>
      <c r="J58" t="inlineStr">
        <is>
          <t>Shatner Center 7, Givat Shaul, Jerusalem</t>
        </is>
      </c>
      <c r="K58" t="inlineStr"/>
      <c r="L58" t="n">
        <v>2026</v>
      </c>
      <c r="M58" t="inlineStr">
        <is>
          <t>עדכני</t>
        </is>
      </c>
      <c r="N58" t="inlineStr">
        <is>
          <t>prior_research</t>
        </is>
      </c>
      <c r="P58" t="inlineStr">
        <is>
          <t>https://slmoran.co.il/products_cat/%D7%90%D7%9E%D7%91%D7%98%D7%99-%D7%97%D7%99%D7%9E%D7%95%D7%9D-%D7%A7%D7%99%D7%A8%D7%95%D7%A8-%D7%A1%D7%99%D7%A8%D7%A7%D7%95%D7%9C%D7%98%D7%95%D7%A8/</t>
        </is>
      </c>
    </row>
    <row r="59">
      <c r="A59" t="n">
        <v>626</v>
      </c>
      <c r="B59" t="inlineStr">
        <is>
          <t>Huber USA</t>
        </is>
      </c>
      <c r="C59" t="inlineStr">
        <is>
          <t>Master-Cold</t>
        </is>
      </c>
      <c r="D59" t="inlineStr"/>
      <c r="E59" t="inlineStr">
        <is>
          <t>מפיץ</t>
        </is>
      </c>
      <c r="F59" t="inlineStr">
        <is>
          <t>lists Huber Ministat 230-cc-NR and a Unistat CC (the Unistat appears to be a used unit); authorised status unverified</t>
        </is>
      </c>
      <c r="G59" t="inlineStr">
        <is>
          <t>http://master-cold.co.il</t>
        </is>
      </c>
      <c r="H59" t="inlineStr"/>
      <c r="I59" t="inlineStr"/>
      <c r="J59" t="inlineStr"/>
      <c r="K59" t="inlineStr"/>
      <c r="M59" t="inlineStr">
        <is>
          <t>ראיה ישנה</t>
        </is>
      </c>
      <c r="N59" t="inlineStr">
        <is>
          <t>prior_research</t>
        </is>
      </c>
      <c r="P59" t="inlineStr">
        <is>
          <t>http://master-cold.co.il/1579/products/ministat-230-cc-nr</t>
        </is>
      </c>
    </row>
    <row r="60">
      <c r="A60" t="n">
        <v>647</v>
      </c>
      <c r="B60" t="inlineStr">
        <is>
          <t>Ika</t>
        </is>
      </c>
      <c r="C60" t="inlineStr">
        <is>
          <t>Medent Scientific Instruments</t>
        </is>
      </c>
      <c r="D60" t="inlineStr">
        <is>
          <t>מדנט מכשור מדעי</t>
        </is>
      </c>
      <c r="E60" t="inlineStr">
        <is>
          <t>מפיץ</t>
        </is>
      </c>
      <c r="F6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0" t="inlineStr">
        <is>
          <t>https://www.medent.co.il</t>
        </is>
      </c>
      <c r="H60" t="inlineStr">
        <is>
          <t>+972 72-395-0508 (sales); +972 8-683-6306 (service)</t>
        </is>
      </c>
      <c r="I60" t="inlineStr">
        <is>
          <t>info@medent.co.il</t>
        </is>
      </c>
      <c r="J60" t="inlineStr">
        <is>
          <t>110 Mordei HaGetaot St., Beer Sheva 8420643</t>
        </is>
      </c>
      <c r="K60" t="inlineStr">
        <is>
          <t>https://www.medent.co.il/scientific.equipment/%D7%A6%D7%95%D7%A8-%D7%A7%D7%A9%D7%A8/</t>
        </is>
      </c>
      <c r="L60" t="n">
        <v>2026</v>
      </c>
      <c r="M60" t="inlineStr">
        <is>
          <t>עדכני</t>
        </is>
      </c>
      <c r="N60" t="inlineStr">
        <is>
          <t>prior_research</t>
        </is>
      </c>
      <c r="P60" t="inlineStr">
        <is>
          <t>https://www.medent.co.il/en/project/ika-germany/</t>
        </is>
      </c>
    </row>
    <row r="61">
      <c r="A61" t="n">
        <v>647</v>
      </c>
      <c r="B61" t="inlineStr">
        <is>
          <t>Ika</t>
        </is>
      </c>
      <c r="C61" t="inlineStr">
        <is>
          <t>Labotal Scientific Equipment Ltd.</t>
        </is>
      </c>
      <c r="D61" t="inlineStr">
        <is>
          <t>לבוטל ציוד למעבדות</t>
        </is>
      </c>
      <c r="E61" t="inlineStr">
        <is>
          <t>מפיץ</t>
        </is>
      </c>
      <c r="F61" t="inlineStr">
        <is>
          <t>overhead and magnetic stirrers - Labotal's overhead-stirrer category page names IKA among the brands it stocks (scope beyond stirrers not seen)</t>
        </is>
      </c>
      <c r="G61" t="inlineStr">
        <is>
          <t>https://labotal.co.il</t>
        </is>
      </c>
      <c r="H61" t="inlineStr">
        <is>
          <t>+972 2-579-9222</t>
        </is>
      </c>
      <c r="I61" t="inlineStr">
        <is>
          <t>Sales@labotal.co.il</t>
        </is>
      </c>
      <c r="J61" t="inlineStr">
        <is>
          <t>Hashalom Rd., Abu Ghosh 9084500 (mail: Mevaseret Zion)</t>
        </is>
      </c>
      <c r="K61" t="inlineStr">
        <is>
          <t>https://labotal.co.il/contact/</t>
        </is>
      </c>
      <c r="M61" t="inlineStr">
        <is>
          <t>ראיה ישנה</t>
        </is>
      </c>
      <c r="N61" t="inlineStr">
        <is>
          <t>prior_research</t>
        </is>
      </c>
      <c r="P61" t="inlineStr">
        <is>
          <t>https://labotal.co.il/product-category/hot-plate-and-stirrers/overhead-stirrers/?lang=en</t>
        </is>
      </c>
    </row>
    <row r="62">
      <c r="A62" t="n">
        <v>648</v>
      </c>
      <c r="B62" t="inlineStr">
        <is>
          <t>IKA Works</t>
        </is>
      </c>
      <c r="C62" t="inlineStr">
        <is>
          <t>Medent Scientific Instruments</t>
        </is>
      </c>
      <c r="D62" t="inlineStr">
        <is>
          <t>מדנט מכשור מדעי</t>
        </is>
      </c>
      <c r="E62" t="inlineStr">
        <is>
          <t>מפיץ</t>
        </is>
      </c>
      <c r="F6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2" t="inlineStr">
        <is>
          <t>https://www.medent.co.il</t>
        </is>
      </c>
      <c r="H62" t="inlineStr">
        <is>
          <t>+972 72-395-0508 (sales); +972 8-683-6306 (service)</t>
        </is>
      </c>
      <c r="I62" t="inlineStr">
        <is>
          <t>info@medent.co.il</t>
        </is>
      </c>
      <c r="J62" t="inlineStr">
        <is>
          <t>110 Mordei HaGetaot St., Beer Sheva 8420643</t>
        </is>
      </c>
      <c r="K62" t="inlineStr">
        <is>
          <t>https://www.medent.co.il/scientific.equipment/%D7%A6%D7%95%D7%A8-%D7%A7%D7%A9%D7%A8/</t>
        </is>
      </c>
      <c r="L62" t="n">
        <v>2026</v>
      </c>
      <c r="M62" t="inlineStr">
        <is>
          <t>עדכני</t>
        </is>
      </c>
      <c r="N62" t="inlineStr">
        <is>
          <t>prior_research</t>
        </is>
      </c>
      <c r="P62" t="inlineStr">
        <is>
          <t>https://www.medent.co.il/en/project/ika-germany/</t>
        </is>
      </c>
    </row>
    <row r="63">
      <c r="A63" t="n">
        <v>648</v>
      </c>
      <c r="B63" t="inlineStr">
        <is>
          <t>IKA Works</t>
        </is>
      </c>
      <c r="C63" t="inlineStr">
        <is>
          <t>Labotal Scientific Equipment Ltd.</t>
        </is>
      </c>
      <c r="D63" t="inlineStr">
        <is>
          <t>לבוטל ציוד למעבדות</t>
        </is>
      </c>
      <c r="E63" t="inlineStr">
        <is>
          <t>מפיץ</t>
        </is>
      </c>
      <c r="F63" t="inlineStr">
        <is>
          <t>overhead and magnetic stirrers - Labotal's overhead-stirrer category page names IKA among the brands it stocks (scope beyond stirrers not seen)</t>
        </is>
      </c>
      <c r="G63" t="inlineStr">
        <is>
          <t>https://labotal.co.il</t>
        </is>
      </c>
      <c r="H63" t="inlineStr">
        <is>
          <t>+972 2-579-9222</t>
        </is>
      </c>
      <c r="I63" t="inlineStr">
        <is>
          <t>Sales@labotal.co.il</t>
        </is>
      </c>
      <c r="J63" t="inlineStr">
        <is>
          <t>Hashalom Rd., Abu Ghosh 9084500 (mail: Mevaseret Zion)</t>
        </is>
      </c>
      <c r="K63" t="inlineStr">
        <is>
          <t>https://labotal.co.il/contact/</t>
        </is>
      </c>
      <c r="M63" t="inlineStr">
        <is>
          <t>ראיה ישנה</t>
        </is>
      </c>
      <c r="N63" t="inlineStr">
        <is>
          <t>prior_research</t>
        </is>
      </c>
      <c r="P63" t="inlineStr">
        <is>
          <t>https://labotal.co.il/product-category/hot-plate-and-stirrers/overhead-stirrers/?lang=en</t>
        </is>
      </c>
    </row>
    <row r="64">
      <c r="A64" t="n">
        <v>669</v>
      </c>
      <c r="B64" t="inlineStr">
        <is>
          <t>Integra</t>
        </is>
      </c>
      <c r="C64" t="inlineStr">
        <is>
          <t>Medent - Scientific Equipment Ltd.</t>
        </is>
      </c>
      <c r="D64" t="inlineStr"/>
      <c r="E64" t="inlineStr">
        <is>
          <t>מפיץ</t>
        </is>
      </c>
      <c r="F64" t="inlineStr">
        <is>
          <t>INTEGRA liquid-handling products (VIAFLO, ASSIST PLUS, VACUSAFE etc.) - listed on INTEGRA's live 'Where to buy' page as its partner for Israel (110 Mordey Hagetaot St., Beer Sheva 84206, +972 8 623 79 84, medent.co.il)</t>
        </is>
      </c>
      <c r="G64" t="inlineStr">
        <is>
          <t>https://www.medent.co.il</t>
        </is>
      </c>
      <c r="H64" t="inlineStr">
        <is>
          <t>+972 72-395-0508 (sales); +972 8-683-6306 (service)</t>
        </is>
      </c>
      <c r="I64" t="inlineStr">
        <is>
          <t>info@medent.co.il</t>
        </is>
      </c>
      <c r="J64" t="inlineStr">
        <is>
          <t>110 Mordei HaGetaot St., Beer Sheva 8420643</t>
        </is>
      </c>
      <c r="K64" t="inlineStr">
        <is>
          <t>https://www.medent.co.il/scientific.equipment/%D7%A6%D7%95%D7%A8-%D7%A7%D7%A9%D7%A8/</t>
        </is>
      </c>
      <c r="L64" t="n">
        <v>2026</v>
      </c>
      <c r="M64" t="inlineStr">
        <is>
          <t>עדכני</t>
        </is>
      </c>
      <c r="N64" t="inlineStr">
        <is>
          <t>prior_research</t>
        </is>
      </c>
      <c r="P64" t="inlineStr">
        <is>
          <t>https://www.integra-biosciences.com/global/en/where-buy</t>
        </is>
      </c>
    </row>
    <row r="65">
      <c r="A65" t="n">
        <v>670</v>
      </c>
      <c r="B65" t="inlineStr">
        <is>
          <t>INTEGRA Biosciences</t>
        </is>
      </c>
      <c r="C65" t="inlineStr">
        <is>
          <t>Medent - Scientific Equipment Ltd.</t>
        </is>
      </c>
      <c r="D65" t="inlineStr"/>
      <c r="E65" t="inlineStr">
        <is>
          <t>מפיץ</t>
        </is>
      </c>
      <c r="F65" t="inlineStr">
        <is>
          <t>INTEGRA liquid-handling products (VIAFLO, ASSIST PLUS, VACUSAFE etc.) - listed on INTEGRA's live 'Where to buy' page as its partner for Israel (110 Mordey Hagetaot St., Beer Sheva 84206, +972 8 623 79 84, medent.co.il)</t>
        </is>
      </c>
      <c r="G65" t="inlineStr">
        <is>
          <t>https://www.medent.co.il</t>
        </is>
      </c>
      <c r="H65" t="inlineStr">
        <is>
          <t>+972 72-395-0508 (sales); +972 8-683-6306 (service)</t>
        </is>
      </c>
      <c r="I65" t="inlineStr">
        <is>
          <t>info@medent.co.il</t>
        </is>
      </c>
      <c r="J65" t="inlineStr">
        <is>
          <t>110 Mordei HaGetaot St., Beer Sheva 8420643</t>
        </is>
      </c>
      <c r="K65" t="inlineStr">
        <is>
          <t>https://www.medent.co.il/scientific.equipment/%D7%A6%D7%95%D7%A8-%D7%A7%D7%A9%D7%A8/</t>
        </is>
      </c>
      <c r="L65" t="n">
        <v>2026</v>
      </c>
      <c r="M65" t="inlineStr">
        <is>
          <t>עדכני</t>
        </is>
      </c>
      <c r="N65" t="inlineStr">
        <is>
          <t>prior_research</t>
        </is>
      </c>
      <c r="P65" t="inlineStr">
        <is>
          <t>https://www.integra-biosciences.com/global/en/where-buy</t>
        </is>
      </c>
    </row>
    <row r="66">
      <c r="A66" t="n">
        <v>689</v>
      </c>
      <c r="B66" t="inlineStr">
        <is>
          <t>Jackson ImmunoResearch</t>
        </is>
      </c>
      <c r="C66" t="inlineStr">
        <is>
          <t>Enco Scientific Services Ltd. (Enco Diagnostics)</t>
        </is>
      </c>
      <c r="D66" t="inlineStr">
        <is>
          <t>אנקו</t>
        </is>
      </c>
      <c r="E66" t="inlineStr">
        <is>
          <t>מפיץ</t>
        </is>
      </c>
      <c r="F66" t="inlineStr">
        <is>
          <t>Enco's About page lists the brand among the international companies it distributes in Israel (antibodies/biochemicals)</t>
        </is>
      </c>
      <c r="G66" t="inlineStr">
        <is>
          <t>https://www.enco.co.il</t>
        </is>
      </c>
      <c r="L66" t="n">
        <v>2026</v>
      </c>
      <c r="M66" t="inlineStr">
        <is>
          <t>עדכני</t>
        </is>
      </c>
      <c r="N66" t="inlineStr">
        <is>
          <t>manufacturer_or_press</t>
        </is>
      </c>
      <c r="P66" t="inlineStr">
        <is>
          <t>https://www.enco.co.il/about.php</t>
        </is>
      </c>
    </row>
    <row r="67">
      <c r="A67" t="n">
        <v>692</v>
      </c>
      <c r="B67" t="inlineStr">
        <is>
          <t>Jasco</t>
        </is>
      </c>
      <c r="C67" t="inlineStr">
        <is>
          <t>Ophir Analytical Ltd.</t>
        </is>
      </c>
      <c r="D67" t="inlineStr"/>
      <c r="E67" t="inlineStr">
        <is>
          <t>מפיץ</t>
        </is>
      </c>
      <c r="F67"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7" t="inlineStr">
        <is>
          <t>https://ophiranalytical.com</t>
        </is>
      </c>
      <c r="H67" t="inlineStr">
        <is>
          <t>+972 3-902-2277</t>
        </is>
      </c>
      <c r="I67" t="inlineStr"/>
      <c r="J67" t="inlineStr">
        <is>
          <t>Rosh Ha'ayin</t>
        </is>
      </c>
      <c r="K67" t="inlineStr"/>
      <c r="L67" t="n">
        <v>2026</v>
      </c>
      <c r="M67" t="inlineStr">
        <is>
          <t>עדכני</t>
        </is>
      </c>
      <c r="N67" t="inlineStr">
        <is>
          <t>prior_research</t>
        </is>
      </c>
      <c r="P67" t="inlineStr">
        <is>
          <t>https://www.jasco.de/where-to-buy/</t>
        </is>
      </c>
    </row>
    <row r="68">
      <c r="A68" t="n">
        <v>695</v>
      </c>
      <c r="B68" t="inlineStr">
        <is>
          <t>Jenway (Cole-Parmer)</t>
        </is>
      </c>
      <c r="C68" t="inlineStr">
        <is>
          <t>Medent Scientific Instruments</t>
        </is>
      </c>
      <c r="D68" t="inlineStr">
        <is>
          <t>מדנט מכשור מדעי</t>
        </is>
      </c>
      <c r="E68" t="inlineStr">
        <is>
          <t>מפיץ</t>
        </is>
      </c>
      <c r="F6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8" t="inlineStr">
        <is>
          <t>https://www.medent.co.il</t>
        </is>
      </c>
      <c r="H68" t="inlineStr">
        <is>
          <t>+972 72-395-0508 (sales); +972 8-683-6306 (service)</t>
        </is>
      </c>
      <c r="I68" t="inlineStr">
        <is>
          <t>info@medent.co.il</t>
        </is>
      </c>
      <c r="J68" t="inlineStr">
        <is>
          <t>110 Mordei HaGetaot St., Beer Sheva 8420643</t>
        </is>
      </c>
      <c r="K68" t="inlineStr">
        <is>
          <t>https://www.medent.co.il/scientific.equipment/%D7%A6%D7%95%D7%A8-%D7%A7%D7%A9%D7%A8/</t>
        </is>
      </c>
      <c r="L68" t="n">
        <v>2026</v>
      </c>
      <c r="M68" t="inlineStr">
        <is>
          <t>עדכני</t>
        </is>
      </c>
      <c r="N68" t="inlineStr">
        <is>
          <t>prior_research</t>
        </is>
      </c>
      <c r="P68" t="inlineStr">
        <is>
          <t>https://medent.co.il/scientific.equipment/product/%D7%A1%D7%A4%D7%A7%D7%98%D7%A8%D7%95%D7%A4%D7%95%D7%98%D7%95%D7%9E%D7%98%D7%A8-uvvis-%D7%9E%D7%A2%D7%91%D7%93%D7%AA%D7%99-%D7%93%D7%92%D7%9D-6305-%D7%AA%D7%95%D7%A6%D7%A8%D7%AA-jenway/</t>
        </is>
      </c>
    </row>
    <row r="69">
      <c r="A69" t="n">
        <v>696</v>
      </c>
      <c r="B69" t="inlineStr">
        <is>
          <t>JEOL USA</t>
        </is>
      </c>
      <c r="C69" t="inlineStr">
        <is>
          <t>Bargal Analytical Instruments Ltd.</t>
        </is>
      </c>
      <c r="D69" t="inlineStr">
        <is>
          <t>ברגל ציוד אנליטי</t>
        </is>
      </c>
      <c r="E69" t="inlineStr">
        <is>
          <t>מפיץ</t>
        </is>
      </c>
      <c r="F69"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9" t="inlineStr">
        <is>
          <t>https://bargal.co.il</t>
        </is>
      </c>
      <c r="H69" t="inlineStr">
        <is>
          <t>+972-3-979-6533</t>
        </is>
      </c>
      <c r="I69" t="inlineStr">
        <is>
          <t>sales@bargal.co.il</t>
        </is>
      </c>
      <c r="J69" t="inlineStr">
        <is>
          <t>10 Shaked Street, Modi'in Industrial Park, Shoham 6085102</t>
        </is>
      </c>
      <c r="K69" t="inlineStr"/>
      <c r="L69" t="n">
        <v>2026</v>
      </c>
      <c r="M69" t="inlineStr">
        <is>
          <t>עדכני</t>
        </is>
      </c>
      <c r="N69" t="inlineStr">
        <is>
          <t>prior_research</t>
        </is>
      </c>
      <c r="P69" t="inlineStr">
        <is>
          <t>https://bargal.co.il/product/scanning-electron-microscope-sem-jsm-it210/</t>
        </is>
      </c>
    </row>
    <row r="70">
      <c r="A70" t="n">
        <v>700</v>
      </c>
      <c r="B70" t="inlineStr">
        <is>
          <t>Julabo</t>
        </is>
      </c>
      <c r="C70" t="inlineStr">
        <is>
          <t>Labotal Scientific Equipment Ltd.</t>
        </is>
      </c>
      <c r="D70" t="inlineStr">
        <is>
          <t>לבוטל ציוד מדעי</t>
        </is>
      </c>
      <c r="E70" t="inlineStr">
        <is>
          <t>מפיץ</t>
        </is>
      </c>
      <c r="F70" t="inlineStr">
        <is>
          <t>JULABO circulators, chillers and baths - Julabo listed on Labotal's live 'Represented Firms' page; Labotal's product pages state it is JULABO's exclusive representative in Israel</t>
        </is>
      </c>
      <c r="G70" t="inlineStr">
        <is>
          <t>https://labotal.co.il</t>
        </is>
      </c>
      <c r="H70" t="inlineStr">
        <is>
          <t>+972 2-579-9222</t>
        </is>
      </c>
      <c r="I70" t="inlineStr">
        <is>
          <t>Sales@labotal.co.il</t>
        </is>
      </c>
      <c r="J70" t="inlineStr">
        <is>
          <t>Hashalom Rd., Abu Ghosh 9084500 (mail: Mevaseret Zion)</t>
        </is>
      </c>
      <c r="K70" t="inlineStr">
        <is>
          <t>https://labotal.co.il/contact/</t>
        </is>
      </c>
      <c r="L70" t="n">
        <v>2026</v>
      </c>
      <c r="M70" t="inlineStr">
        <is>
          <t>עדכני</t>
        </is>
      </c>
      <c r="N70" t="inlineStr">
        <is>
          <t>prior_research</t>
        </is>
      </c>
      <c r="P70" t="inlineStr">
        <is>
          <t>https://labotal.co.il/firms/?lang=en</t>
        </is>
      </c>
    </row>
    <row r="71">
      <c r="A71" t="n">
        <v>720</v>
      </c>
      <c r="B71" t="inlineStr">
        <is>
          <t>Kimble</t>
        </is>
      </c>
      <c r="C71" t="inlineStr">
        <is>
          <t>Danyel Biotech Ltd. (Gamida for Life group)</t>
        </is>
      </c>
      <c r="D71" t="inlineStr">
        <is>
          <t>דניאל ביוטק</t>
        </is>
      </c>
      <c r="E71" t="inlineStr">
        <is>
          <t>מפיץ</t>
        </is>
      </c>
      <c r="F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71" t="inlineStr">
        <is>
          <t>https://www.danyel.co.il</t>
        </is>
      </c>
      <c r="H71" t="inlineStr">
        <is>
          <t>1-800-711-911 (also +972 8-936-6066)</t>
        </is>
      </c>
      <c r="I71" t="inlineStr"/>
      <c r="J71" t="inlineStr">
        <is>
          <t>8 Hamada St., Science Park, Rehovot 7670308</t>
        </is>
      </c>
      <c r="K71" t="inlineStr">
        <is>
          <t>https://www.danyel.co.il/contact-us/</t>
        </is>
      </c>
      <c r="L71" t="n">
        <v>2026</v>
      </c>
      <c r="M71" t="inlineStr">
        <is>
          <t>עדכני</t>
        </is>
      </c>
      <c r="N71" t="inlineStr">
        <is>
          <t>prior_research</t>
        </is>
      </c>
      <c r="P71" t="inlineStr">
        <is>
          <t>https://www.danyel.co.il/scilabware/</t>
        </is>
      </c>
    </row>
    <row r="72">
      <c r="A72" t="n">
        <v>739</v>
      </c>
      <c r="B72" t="inlineStr">
        <is>
          <t>Labconco</t>
        </is>
      </c>
      <c r="C72" t="inlineStr">
        <is>
          <t>Labotal Scientific Equipment Ltd.</t>
        </is>
      </c>
      <c r="D72" t="inlineStr">
        <is>
          <t>לבוטל ציוד מדעי</t>
        </is>
      </c>
      <c r="E72" t="inlineStr">
        <is>
          <t>מפיץ</t>
        </is>
      </c>
      <c r="F72" t="inlineStr">
        <is>
          <t>Labconco biosafety cabinets, CentriVap concentrators and drying systems - Labconco listed on Labotal's live 'Represented Firms' page and in its drying-systems category</t>
        </is>
      </c>
      <c r="G72" t="inlineStr">
        <is>
          <t>https://labotal.co.il</t>
        </is>
      </c>
      <c r="H72" t="inlineStr">
        <is>
          <t>+972 2-579-9222</t>
        </is>
      </c>
      <c r="I72" t="inlineStr">
        <is>
          <t>Sales@labotal.co.il</t>
        </is>
      </c>
      <c r="J72" t="inlineStr">
        <is>
          <t>Hashalom Rd., Abu Ghosh 9084500 (mail: Mevaseret Zion)</t>
        </is>
      </c>
      <c r="K72" t="inlineStr">
        <is>
          <t>https://labotal.co.il/contact/</t>
        </is>
      </c>
      <c r="L72" t="n">
        <v>2026</v>
      </c>
      <c r="M72" t="inlineStr">
        <is>
          <t>עדכני</t>
        </is>
      </c>
      <c r="N72" t="inlineStr">
        <is>
          <t>prior_research</t>
        </is>
      </c>
      <c r="P72" t="inlineStr">
        <is>
          <t>https://labotal.co.il/firms/?lang=en</t>
        </is>
      </c>
    </row>
    <row r="73">
      <c r="A73" t="n">
        <v>751</v>
      </c>
      <c r="B73" t="inlineStr">
        <is>
          <t>Lauda</t>
        </is>
      </c>
      <c r="C73" t="inlineStr">
        <is>
          <t>Medent Scientific Instruments</t>
        </is>
      </c>
      <c r="D73" t="inlineStr">
        <is>
          <t>מדנט מכשור מדעי</t>
        </is>
      </c>
      <c r="E73" t="inlineStr">
        <is>
          <t>מפיץ</t>
        </is>
      </c>
      <c r="F73" t="inlineStr">
        <is>
          <t>LAUDA laboratory baths, circulators and chillers - live Hebrew category 'LAUDA baths, circulators and chillers' (chillers sub-category) and the 'Lauda - Germany' partner page; GFL-brand water stills also listed</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https://www.medent.co.il/scientific.equipment/product-category/lauda-%D7%90%D7%9E%D7%91%D7%98%D7%99%D7%9D-%D7%A1%D7%99%D7%A8%D7%A7%D7%95%D7%9C%D7%98%D7%95%D7%A8%D7%99%D7%9D-%D7%95%D7%A6%D7%99%D7%9C%D7%A8%D7%99%D7%9D/%D7%A6%D7%99%D7%9C%D7%A8%D7%99%D7%9D/</t>
        </is>
      </c>
    </row>
    <row r="74">
      <c r="A74" t="n">
        <v>751</v>
      </c>
      <c r="B74" t="inlineStr">
        <is>
          <t>Lauda</t>
        </is>
      </c>
      <c r="C74" t="inlineStr">
        <is>
          <t>Citrine Solutions</t>
        </is>
      </c>
      <c r="D74" t="inlineStr">
        <is>
          <t>סיטרין</t>
        </is>
      </c>
      <c r="E74" t="inlineStr">
        <is>
          <t>מפיץ</t>
        </is>
      </c>
      <c r="F74" t="inlineStr">
        <is>
          <t>reseller listing LAUDA Variocool VC 1200 and Ultracool UC2 circulation chillers and an MGW MS heating circulator (new and used lab equipment dealer; authorisation not stated)</t>
        </is>
      </c>
      <c r="G74" t="inlineStr">
        <is>
          <t>https://www.citrinesolutions.co.il</t>
        </is>
      </c>
      <c r="H74" t="inlineStr"/>
      <c r="I74" t="inlineStr"/>
      <c r="J74" t="inlineStr"/>
      <c r="K74" t="inlineStr"/>
      <c r="M74" t="inlineStr">
        <is>
          <t>ראיה ישנה</t>
        </is>
      </c>
      <c r="N74" t="inlineStr">
        <is>
          <t>prior_research</t>
        </is>
      </c>
      <c r="P74" t="inlineStr">
        <is>
          <t>https://citrinesolutions.co.il/?c_id=30&amp;item_id=5&amp;module=product&amp;p_id=444</t>
        </is>
      </c>
    </row>
    <row r="75">
      <c r="A75" t="n">
        <v>751</v>
      </c>
      <c r="B75" t="inlineStr">
        <is>
          <t>Lauda</t>
        </is>
      </c>
      <c r="C75" t="inlineStr">
        <is>
          <t>Avni &amp; Son</t>
        </is>
      </c>
      <c r="D75" t="inlineStr"/>
      <c r="E75" t="inlineStr">
        <is>
          <t>מפיץ</t>
        </is>
      </c>
      <c r="F75"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75" t="inlineStr">
        <is>
          <t>https://avni-son.co.il</t>
        </is>
      </c>
      <c r="H75" t="inlineStr">
        <is>
          <t>+972-4-821-9989</t>
        </is>
      </c>
      <c r="I75" t="inlineStr">
        <is>
          <t>info@avni-son.co.il</t>
        </is>
      </c>
      <c r="J75" t="inlineStr">
        <is>
          <t>101 Bar Yehuda Rd. (דרך בר יהודה 101), Nesher</t>
        </is>
      </c>
      <c r="K75" t="inlineStr">
        <is>
          <t>https://avni-son.co.il/%D7%A6%D7%A8%D7%95-%D7%A7%D7%A9%D7%A8/</t>
        </is>
      </c>
      <c r="L75" t="n">
        <v>2026</v>
      </c>
      <c r="M75" t="inlineStr">
        <is>
          <t>עדכני</t>
        </is>
      </c>
      <c r="N75" t="inlineStr">
        <is>
          <t>prior_research</t>
        </is>
      </c>
      <c r="P75" t="inlineStr">
        <is>
          <t>https://www.lauda.de/us/warranty-conditions/participants</t>
        </is>
      </c>
    </row>
    <row r="76">
      <c r="A76" t="n">
        <v>757</v>
      </c>
      <c r="B76" t="inlineStr">
        <is>
          <t>Leica</t>
        </is>
      </c>
      <c r="C76" t="inlineStr">
        <is>
          <t>Lapidot Group (Ophthalmic Surgery Unit)</t>
        </is>
      </c>
      <c r="D76" t="inlineStr"/>
      <c r="E76" t="inlineStr">
        <is>
          <t>מפיץ</t>
        </is>
      </c>
      <c r="F76" t="inlineStr">
        <is>
          <t>Leica surgical microscopes (ophthalmology, neurosurgery, ENT, plastic surgery; floor- and ceiling-mounted) - Leica Microsystems medical division; live Lapidot partners and eye-surgery pages</t>
        </is>
      </c>
      <c r="G76" t="inlineStr">
        <is>
          <t>https://www.lapidot.com</t>
        </is>
      </c>
      <c r="H76" t="inlineStr">
        <is>
          <t>+972-4-6309630 / +972-74-7797836</t>
        </is>
      </c>
      <c r="I76" t="inlineStr">
        <is>
          <t>customerservice@lapidot.com</t>
        </is>
      </c>
      <c r="J76" t="inlineStr">
        <is>
          <t>8 Hashita St., P.O. Box 3552, Caesarea Industrial Park 3088900</t>
        </is>
      </c>
      <c r="K76" t="inlineStr"/>
      <c r="L76" t="n">
        <v>2026</v>
      </c>
      <c r="M76" t="inlineStr">
        <is>
          <t>עדכני</t>
        </is>
      </c>
      <c r="N76" t="inlineStr">
        <is>
          <t>prior_research</t>
        </is>
      </c>
      <c r="P76" t="inlineStr">
        <is>
          <t>https://www.lapidot.com/en/partners/</t>
        </is>
      </c>
    </row>
    <row r="77">
      <c r="A77" t="n">
        <v>757</v>
      </c>
      <c r="B77" t="inlineStr">
        <is>
          <t>Leica</t>
        </is>
      </c>
      <c r="C77" t="inlineStr">
        <is>
          <t>Rhenium Ltd.</t>
        </is>
      </c>
      <c r="D77" t="inlineStr"/>
      <c r="E77" t="inlineStr">
        <is>
          <t>מפיץ</t>
        </is>
      </c>
      <c r="F77" t="inlineStr">
        <is>
          <t>research microscopes — per a 2009 Israel Physical Society trade-fair listing only (exclusive representative then); NOT re-confirmed in 2026</t>
        </is>
      </c>
      <c r="G77" t="inlineStr">
        <is>
          <t>https://www.rhenium.co.il</t>
        </is>
      </c>
      <c r="H77" t="inlineStr">
        <is>
          <t>+972 8-955-8888</t>
        </is>
      </c>
      <c r="I77" t="inlineStr"/>
      <c r="J77" t="inlineStr">
        <is>
          <t>20 Hasatat St., P.O. Box 180, Modi'in 7171101</t>
        </is>
      </c>
      <c r="K77" t="inlineStr"/>
      <c r="L77" t="n">
        <v>2009</v>
      </c>
      <c r="M77" t="inlineStr">
        <is>
          <t>ראיה ישנה</t>
        </is>
      </c>
      <c r="N77" t="inlineStr">
        <is>
          <t>prior_research</t>
        </is>
      </c>
      <c r="P77" t="inlineStr">
        <is>
          <t>https://archive.israelphysicalsociety.org/ips-conference-2009/fairs/rhenium-ltd.html</t>
        </is>
      </c>
    </row>
    <row r="78">
      <c r="A78" t="n">
        <v>786</v>
      </c>
      <c r="B78" t="inlineStr">
        <is>
          <t>Lonza</t>
        </is>
      </c>
      <c r="C78" t="inlineStr">
        <is>
          <t>Ornat BioChemicals &amp; Lab Equipment Ltd.</t>
        </is>
      </c>
      <c r="D78" t="inlineStr">
        <is>
          <t>אורנת</t>
        </is>
      </c>
      <c r="E78" t="inlineStr">
        <is>
          <t>מפיץ</t>
        </is>
      </c>
      <c r="F78" t="inlineStr">
        <is>
          <t>Listed as Ornat partner brand on the FISEB (Federation of Israeli Societies for Experimental Biology) vendors page; undated</t>
        </is>
      </c>
      <c r="G78" t="inlineStr">
        <is>
          <t>https://www.ornat.co.il</t>
        </is>
      </c>
      <c r="M78" t="inlineStr">
        <is>
          <t>עדכני</t>
        </is>
      </c>
      <c r="N78" t="inlineStr">
        <is>
          <t>manufacturer_or_press</t>
        </is>
      </c>
      <c r="P78" t="inlineStr">
        <is>
          <t>https://www.fiseb.org/vendors/</t>
        </is>
      </c>
    </row>
    <row r="79">
      <c r="A79" t="n">
        <v>798</v>
      </c>
      <c r="B79" t="inlineStr">
        <is>
          <t>Macherey Nagel</t>
        </is>
      </c>
      <c r="C79" t="inlineStr">
        <is>
          <t>Ornat BioChemicals &amp; Lab Equipment Ltd.</t>
        </is>
      </c>
      <c r="D79" t="inlineStr">
        <is>
          <t>אורנת</t>
        </is>
      </c>
      <c r="E79" t="inlineStr">
        <is>
          <t>מפיץ</t>
        </is>
      </c>
      <c r="F79" t="inlineStr">
        <is>
          <t>Listed as Ornat partner brand on the FISEB (Federation of Israeli Societies for Experimental Biology) vendors page; undated</t>
        </is>
      </c>
      <c r="G79" t="inlineStr">
        <is>
          <t>https://www.ornat.co.il</t>
        </is>
      </c>
      <c r="M79" t="inlineStr">
        <is>
          <t>עדכני</t>
        </is>
      </c>
      <c r="N79" t="inlineStr">
        <is>
          <t>manufacturer_or_press</t>
        </is>
      </c>
      <c r="P79" t="inlineStr">
        <is>
          <t>https://www.fiseb.org/vendors/</t>
        </is>
      </c>
    </row>
    <row r="80">
      <c r="A80" t="n">
        <v>832</v>
      </c>
      <c r="B80" t="inlineStr">
        <is>
          <t>Memmert</t>
        </is>
      </c>
      <c r="C80" t="inlineStr">
        <is>
          <t>Medent Scientific Instruments</t>
        </is>
      </c>
      <c r="D80" t="inlineStr">
        <is>
          <t>מדנט מכשור מדעי</t>
        </is>
      </c>
      <c r="E80" t="inlineStr">
        <is>
          <t>מפיץ</t>
        </is>
      </c>
      <c r="F80" t="inlineStr">
        <is>
          <t>Memmert cooled incubators (IPP110 ... IPS750; 53-749 L), CO2 incubators (INC108MED, INCO246MED), vacuum ovens (VO200/VO400/VO500 incl. cooled), drying ovens (UF450, UF750, UN750) and incubators on live Hebrew product-category pages describing the units as Memmert (Germany)</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https://www.medent.co.il/scientific.equipment/product-category/%D7%90%D7%99%D7%A0%D7%A7%D7%95%D7%91%D7%98%D7%95%D7%A8%D7%99%D7%9D/%D7%90%D7%99%D7%A0%D7%A7%D7%95%D7%91%D7%98%D7%95%D7%A8-%D7%9E%D7%A7%D7%95%D7%A8%D7%A8/</t>
        </is>
      </c>
    </row>
    <row r="81">
      <c r="A81" t="n">
        <v>835</v>
      </c>
      <c r="B81" t="inlineStr">
        <is>
          <t>Merck</t>
        </is>
      </c>
      <c r="C81" t="inlineStr">
        <is>
          <t>Sigma-Aldrich Israel Ltd. (affiliate of Merck KGaA, Darmstadt)</t>
        </is>
      </c>
      <c r="D81" t="inlineStr"/>
      <c r="E81" t="inlineStr">
        <is>
          <t>חברה-בת</t>
        </is>
      </c>
      <c r="F81" t="inlineStr">
        <is>
          <t>Merck's own Israeli entity: sales/customer contact for Israel and production sites in Rehovot (antibodies, primers, peptides; 3 Plaut St.) and Jerusalem (Har Hotzvim)</t>
        </is>
      </c>
      <c r="G81" t="inlineStr">
        <is>
          <t>https://www.sigmaaldrich.com/IL/en</t>
        </is>
      </c>
      <c r="H81" t="inlineStr">
        <is>
          <t>+972-8-9484222 / +972-8-9484100</t>
        </is>
      </c>
      <c r="I81" t="inlineStr">
        <is>
          <t>isrcustserv@merckgroup.com; isrtechserv@merckgroup.com</t>
        </is>
      </c>
      <c r="J81" t="inlineStr">
        <is>
          <t>3 Plaut St., Rehovot 7670603</t>
        </is>
      </c>
      <c r="K81" t="inlineStr">
        <is>
          <t>https://b2b.sigmaaldrich.com/collections/offices</t>
        </is>
      </c>
      <c r="M81" t="inlineStr">
        <is>
          <t>ראיה ישנה</t>
        </is>
      </c>
      <c r="N81" t="inlineStr">
        <is>
          <t>prior_research</t>
        </is>
      </c>
      <c r="P81" t="inlineStr">
        <is>
          <t>https://www.sigmaaldrich.com/US/en/collections/offices</t>
        </is>
      </c>
    </row>
    <row r="82">
      <c r="A82" t="n">
        <v>835</v>
      </c>
      <c r="B82" t="inlineStr">
        <is>
          <t>Merck</t>
        </is>
      </c>
      <c r="C82" t="inlineStr">
        <is>
          <t>Mercury Scientific &amp; Industrial Products Ltd. (Gadot group)</t>
        </is>
      </c>
      <c r="D82" t="inlineStr">
        <is>
          <t>מרקורי מוצרי מדע ותעשייה (גדות מרקורי)</t>
        </is>
      </c>
      <c r="E82" t="inlineStr">
        <is>
          <t>מפיץ</t>
        </is>
      </c>
      <c r="F82" t="inlineStr">
        <is>
          <t>Merck Milli-Q laboratory water-purification systems (IX, IQ 7000, HX, CLX, SQ2 series) - live product pages describe Mercury as Merck's exclusive Israeli distributor; Millipore filtration/MQuant lines per prior evidence</t>
        </is>
      </c>
      <c r="G82" t="inlineStr">
        <is>
          <t>https://www.mercury-ltd.co.il</t>
        </is>
      </c>
      <c r="H82" t="inlineStr">
        <is>
          <t>+972 3-938-7164</t>
        </is>
      </c>
      <c r="I82" t="inlineStr"/>
      <c r="J82" t="inlineStr">
        <is>
          <t>12 Ha'avoda St., P.O. Box 159, Rosh Ha'ayin</t>
        </is>
      </c>
      <c r="K82" t="inlineStr">
        <is>
          <t>https://eng.mercury-ltd.co.il/about_us</t>
        </is>
      </c>
      <c r="L82" t="n">
        <v>2026</v>
      </c>
      <c r="M82" t="inlineStr">
        <is>
          <t>עדכני</t>
        </is>
      </c>
      <c r="N82" t="inlineStr">
        <is>
          <t>prior_research</t>
        </is>
      </c>
      <c r="P82" t="inlineStr">
        <is>
          <t>https://eng.mercury-ltd.co.il/lab_water_purification</t>
        </is>
      </c>
    </row>
    <row r="83">
      <c r="A83" t="n">
        <v>846</v>
      </c>
      <c r="B83" t="inlineStr">
        <is>
          <t>Metrohm</t>
        </is>
      </c>
      <c r="C83" t="inlineStr">
        <is>
          <t>Israel Scientific Instruments Ltd. (ISI)</t>
        </is>
      </c>
      <c r="D83" t="inlineStr">
        <is>
          <t>ISI – ישראל מכשור מדעי</t>
        </is>
      </c>
      <c r="E83" t="inlineStr">
        <is>
          <t>מפיץ</t>
        </is>
      </c>
      <c r="F83" t="inlineStr">
        <is>
          <t>Official distributor of all Metrohm products and services in Israel from 17 July 2025 per Metrohm's own news page (ISI founded 1971 as a Varian Inc. subsidiary, led by the Steiner family since 1977); ISI website not surfaced in snippets</t>
        </is>
      </c>
      <c r="G83" t="inlineStr">
        <is>
          <t>https://www.isil.co.il</t>
        </is>
      </c>
      <c r="H83" t="inlineStr">
        <is>
          <t>+972 3-923-2202</t>
        </is>
      </c>
      <c r="I83" t="inlineStr">
        <is>
          <t>info@isil.co.il</t>
        </is>
      </c>
      <c r="J83" t="inlineStr">
        <is>
          <t>32 Shacham St., P.O. Box 7790, Petah Tikva 49170</t>
        </is>
      </c>
      <c r="K83" t="inlineStr"/>
      <c r="L83" t="n">
        <v>2025</v>
      </c>
      <c r="M83" t="inlineStr">
        <is>
          <t>עדכני</t>
        </is>
      </c>
      <c r="N83" t="inlineStr">
        <is>
          <t>prior_research</t>
        </is>
      </c>
      <c r="P83" t="inlineStr">
        <is>
          <t>https://www.metrohm.com/en/discover/news/2025/new-metrohm-distributor-in-israel.html</t>
        </is>
      </c>
    </row>
    <row r="84">
      <c r="A84" t="n">
        <v>847</v>
      </c>
      <c r="B84" t="inlineStr">
        <is>
          <t>Mettler-Toledo</t>
        </is>
      </c>
      <c r="C84" t="inlineStr">
        <is>
          <t>Agentek (1987) Ltd.</t>
        </is>
      </c>
      <c r="D84" t="inlineStr">
        <is>
          <t>אגנטק</t>
        </is>
      </c>
      <c r="E84" t="inlineStr">
        <is>
          <t>מפיץ</t>
        </is>
      </c>
      <c r="F84"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84" t="inlineStr">
        <is>
          <t>https://agentek.co.il</t>
        </is>
      </c>
      <c r="H84" t="inlineStr">
        <is>
          <t>+972 9-965-7000</t>
        </is>
      </c>
      <c r="I84" t="inlineStr"/>
      <c r="J84" t="inlineStr">
        <is>
          <t>Greenwork Yakum Business Park, Yakum 6097200</t>
        </is>
      </c>
      <c r="K84" t="inlineStr">
        <is>
          <t>https://agentek.co.il/contact/</t>
        </is>
      </c>
      <c r="L84" t="n">
        <v>2026</v>
      </c>
      <c r="M84" t="inlineStr">
        <is>
          <t>עדכני</t>
        </is>
      </c>
      <c r="N84" t="inlineStr">
        <is>
          <t>prior_research</t>
        </is>
      </c>
      <c r="P84" t="inlineStr">
        <is>
          <t>https://agentek.co.il/representative/mettler-toledo/</t>
        </is>
      </c>
    </row>
    <row r="85">
      <c r="A85" t="n">
        <v>847</v>
      </c>
      <c r="B85" t="inlineStr">
        <is>
          <t>Mettler-Toledo</t>
        </is>
      </c>
      <c r="C85" t="inlineStr">
        <is>
          <t>Modcon Systems Ltd.</t>
        </is>
      </c>
      <c r="D85" t="inlineStr"/>
      <c r="E85" t="inlineStr">
        <is>
          <t>מפיץ</t>
        </is>
      </c>
      <c r="F85" t="inlineStr">
        <is>
          <t>process analytics (Ingold sensors/transmitters); Akko, +972 4 9553955</t>
        </is>
      </c>
      <c r="G85" t="inlineStr">
        <is>
          <t>https://modcon-systems.com</t>
        </is>
      </c>
      <c r="H85" t="inlineStr">
        <is>
          <t>+972-4-9553955</t>
        </is>
      </c>
      <c r="I85" t="inlineStr"/>
      <c r="J85" t="inlineStr">
        <is>
          <t>Modcon House, M. Boronshtein St., South Akko Industrial Park, Akko 24222</t>
        </is>
      </c>
      <c r="K85" t="inlineStr"/>
      <c r="M85" t="inlineStr">
        <is>
          <t>ראיה ישנה</t>
        </is>
      </c>
      <c r="N85" t="inlineStr">
        <is>
          <t>prior_research</t>
        </is>
      </c>
      <c r="P85" t="inlineStr">
        <is>
          <t>https://www.mt.com/il/en/home.html</t>
        </is>
      </c>
    </row>
    <row r="86">
      <c r="A86" t="n">
        <v>847</v>
      </c>
      <c r="B86" t="inlineStr">
        <is>
          <t>Mettler-Toledo</t>
        </is>
      </c>
      <c r="C86" t="inlineStr">
        <is>
          <t>Dinco Ltd.</t>
        </is>
      </c>
      <c r="D86" t="inlineStr"/>
      <c r="E86" t="inlineStr">
        <is>
          <t>מפיץ</t>
        </is>
      </c>
      <c r="F86" t="inlineStr">
        <is>
          <t>product inspection (Safeline X-ray etc.); Tirat Carmel, +972 4 813 15 15</t>
        </is>
      </c>
      <c r="G86" t="inlineStr"/>
      <c r="H86" t="inlineStr"/>
      <c r="I86" t="inlineStr"/>
      <c r="J86" t="inlineStr"/>
      <c r="K86" t="inlineStr"/>
      <c r="M86" t="inlineStr">
        <is>
          <t>ראיה ישנה</t>
        </is>
      </c>
      <c r="N86" t="inlineStr">
        <is>
          <t>prior_research</t>
        </is>
      </c>
      <c r="P86" t="inlineStr">
        <is>
          <t>https://www.mt.com/il/en/home.html</t>
        </is>
      </c>
    </row>
    <row r="87">
      <c r="A87" t="n">
        <v>865</v>
      </c>
      <c r="B87" t="inlineStr">
        <is>
          <t>MilliporeSigma</t>
        </is>
      </c>
      <c r="C87" t="inlineStr">
        <is>
          <t>Sigma-Aldrich Israel Ltd. (affiliate of Merck KGaA, Darmstadt)</t>
        </is>
      </c>
      <c r="D87" t="inlineStr"/>
      <c r="E87" t="inlineStr">
        <is>
          <t>חברה-בת</t>
        </is>
      </c>
      <c r="F87" t="inlineStr">
        <is>
          <t>Merck's own Israeli entity: sales/customer contact for Israel and production sites in Rehovot (antibodies, primers, peptides; 3 Plaut St.) and Jerusalem (Har Hotzvim)</t>
        </is>
      </c>
      <c r="G87" t="inlineStr">
        <is>
          <t>https://www.sigmaaldrich.com/IL/en</t>
        </is>
      </c>
      <c r="H87" t="inlineStr">
        <is>
          <t>+972-8-9484222 / +972-8-9484100</t>
        </is>
      </c>
      <c r="I87" t="inlineStr">
        <is>
          <t>isrcustserv@merckgroup.com; isrtechserv@merckgroup.com</t>
        </is>
      </c>
      <c r="J87" t="inlineStr">
        <is>
          <t>3 Plaut St., Rehovot 7670603</t>
        </is>
      </c>
      <c r="K87" t="inlineStr">
        <is>
          <t>https://b2b.sigmaaldrich.com/collections/offices</t>
        </is>
      </c>
      <c r="M87" t="inlineStr">
        <is>
          <t>ראיה ישנה</t>
        </is>
      </c>
      <c r="N87" t="inlineStr">
        <is>
          <t>prior_research</t>
        </is>
      </c>
      <c r="P87" t="inlineStr">
        <is>
          <t>https://www.sigmaaldrich.com/US/en/collections/offices</t>
        </is>
      </c>
    </row>
    <row r="88">
      <c r="A88" t="n">
        <v>865</v>
      </c>
      <c r="B88" t="inlineStr">
        <is>
          <t>MilliporeSigma</t>
        </is>
      </c>
      <c r="C88" t="inlineStr">
        <is>
          <t>Mercury Scientific &amp; Industrial Products Ltd. (Gadot group)</t>
        </is>
      </c>
      <c r="D88" t="inlineStr">
        <is>
          <t>מרקורי מוצרי מדע ותעשייה (גדות מרקורי)</t>
        </is>
      </c>
      <c r="E88" t="inlineStr">
        <is>
          <t>מפיץ</t>
        </is>
      </c>
      <c r="F88" t="inlineStr">
        <is>
          <t>Merck Milli-Q laboratory water-purification systems (IX, IQ 7000, HX, CLX, SQ2 series) - live product pages describe Mercury as Merck's exclusive Israeli distributor; Millipore filtration/MQuant lines per prior evidence</t>
        </is>
      </c>
      <c r="G88" t="inlineStr">
        <is>
          <t>https://www.mercury-ltd.co.il</t>
        </is>
      </c>
      <c r="H88" t="inlineStr">
        <is>
          <t>+972 3-938-7164</t>
        </is>
      </c>
      <c r="I88" t="inlineStr"/>
      <c r="J88" t="inlineStr">
        <is>
          <t>12 Ha'avoda St., P.O. Box 159, Rosh Ha'ayin</t>
        </is>
      </c>
      <c r="K88" t="inlineStr">
        <is>
          <t>https://eng.mercury-ltd.co.il/about_us</t>
        </is>
      </c>
      <c r="L88" t="n">
        <v>2026</v>
      </c>
      <c r="M88" t="inlineStr">
        <is>
          <t>עדכני</t>
        </is>
      </c>
      <c r="N88" t="inlineStr">
        <is>
          <t>prior_research</t>
        </is>
      </c>
      <c r="P88" t="inlineStr">
        <is>
          <t>https://eng.mercury-ltd.co.il/lab_water_purification</t>
        </is>
      </c>
    </row>
    <row r="89">
      <c r="A89" t="n">
        <v>885</v>
      </c>
      <c r="B89" t="inlineStr">
        <is>
          <t>MP Biomedicals</t>
        </is>
      </c>
      <c r="C89" t="inlineStr">
        <is>
          <t>Enco Scientific Services Ltd. (Enco Diagnostics)</t>
        </is>
      </c>
      <c r="D89" t="inlineStr">
        <is>
          <t>אנקו</t>
        </is>
      </c>
      <c r="E89" t="inlineStr">
        <is>
          <t>מפיץ</t>
        </is>
      </c>
      <c r="F89" t="inlineStr">
        <is>
          <t>Enco's About page lists the brand among the international companies it distributes in Israel (antibodies/biochemicals)</t>
        </is>
      </c>
      <c r="G89" t="inlineStr">
        <is>
          <t>https://www.enco.co.il</t>
        </is>
      </c>
      <c r="L89" t="n">
        <v>2026</v>
      </c>
      <c r="M89" t="inlineStr">
        <is>
          <t>עדכני</t>
        </is>
      </c>
      <c r="N89" t="inlineStr">
        <is>
          <t>manufacturer_or_press</t>
        </is>
      </c>
      <c r="P89" t="inlineStr">
        <is>
          <t>https://www.enco.co.il/about.php</t>
        </is>
      </c>
    </row>
    <row r="90">
      <c r="A90" t="n">
        <v>888</v>
      </c>
      <c r="B90" t="inlineStr">
        <is>
          <t>MTC Bio</t>
        </is>
      </c>
      <c r="C90" t="inlineStr">
        <is>
          <t>Yair Technologies (Yair Tech)</t>
        </is>
      </c>
      <c r="D90" t="inlineStr">
        <is>
          <t>יאיר טכנולוגיות</t>
        </is>
      </c>
      <c r="E90" t="inlineStr">
        <is>
          <t>מפיץ</t>
        </is>
      </c>
      <c r="F90" t="inlineStr">
        <is>
          <t>Israeli lab-supply website carries an MTC Bio brand page describing the brand ('supplying life science research with quality consumables and liquid handling instruments'); official/exclusive status not stated and not confirmed on the manufacturer side</t>
        </is>
      </c>
      <c r="G90" t="inlineStr">
        <is>
          <t>https://www.yairtech.co.il</t>
        </is>
      </c>
      <c r="M90" t="inlineStr">
        <is>
          <t>עדכני</t>
        </is>
      </c>
      <c r="N90" t="inlineStr">
        <is>
          <t>manufacturer_or_press</t>
        </is>
      </c>
      <c r="O90" t="inlineStr">
        <is>
          <t>search</t>
        </is>
      </c>
      <c r="P90" t="inlineStr">
        <is>
          <t>https://www.yairtech.co.il/?p=3561</t>
        </is>
      </c>
    </row>
    <row r="91">
      <c r="A91" t="n">
        <v>898</v>
      </c>
      <c r="B91" t="inlineStr">
        <is>
          <t>Nabertherm</t>
        </is>
      </c>
      <c r="C91" t="inlineStr">
        <is>
          <t>Electrotherm Marketing 1978 Ltd.</t>
        </is>
      </c>
      <c r="D91" t="inlineStr">
        <is>
          <t>אלקטרוטרם</t>
        </is>
      </c>
      <c r="E91" t="inlineStr">
        <is>
          <t>מפיץ</t>
        </is>
      </c>
      <c r="F91"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91" t="inlineStr">
        <is>
          <t>https://www.electrotherm.co.il</t>
        </is>
      </c>
      <c r="H91" t="inlineStr">
        <is>
          <t>+972-77-866-0600</t>
        </is>
      </c>
      <c r="I91" t="inlineStr">
        <is>
          <t>sales@electrotherm.co.il</t>
        </is>
      </c>
      <c r="J91" t="inlineStr">
        <is>
          <t>Migdal HaEmek</t>
        </is>
      </c>
      <c r="K91" t="inlineStr"/>
      <c r="L91" t="n">
        <v>2026</v>
      </c>
      <c r="M91" t="inlineStr">
        <is>
          <t>עדכני</t>
        </is>
      </c>
      <c r="N91" t="inlineStr">
        <is>
          <t>prior_research</t>
        </is>
      </c>
      <c r="P91" t="inlineStr">
        <is>
          <t>https://nabertherm.com/en/node/594</t>
        </is>
      </c>
    </row>
    <row r="92">
      <c r="A92" t="n">
        <v>900</v>
      </c>
      <c r="B92" t="inlineStr">
        <is>
          <t>Nalgene</t>
        </is>
      </c>
      <c r="C92" t="inlineStr">
        <is>
          <t>Thermo Fisher Integrated Solutions Israel Ltd.</t>
        </is>
      </c>
      <c r="D92" t="inlineStr">
        <is>
          <t>תרמו פישר ישראל (רעננה)</t>
        </is>
      </c>
      <c r="E92" t="inlineStr">
        <is>
          <t>חברה-בת</t>
        </is>
      </c>
      <c r="F92" t="inlineStr">
        <is>
          <t>direct life-science sales &amp; field service organisation being built out 2025-26</t>
        </is>
      </c>
      <c r="G92" t="inlineStr">
        <is>
          <t>https://www.thermofisher.com</t>
        </is>
      </c>
      <c r="H92" t="inlineStr">
        <is>
          <t>+972 8-940-8618</t>
        </is>
      </c>
      <c r="I92" t="inlineStr"/>
      <c r="J92" t="inlineStr">
        <is>
          <t>5 Golda Meir St., Ness Ziona (also Airport City 1, Lod)</t>
        </is>
      </c>
      <c r="K92" t="inlineStr">
        <is>
          <t>https://www.thermofisher.com/il/en/home.html</t>
        </is>
      </c>
      <c r="M92" t="inlineStr"/>
      <c r="N92" t="inlineStr">
        <is>
          <t>prior_research</t>
        </is>
      </c>
      <c r="P92" t="inlineStr">
        <is>
          <t>https://www.thermofisher.com/il/en/home.html</t>
        </is>
      </c>
    </row>
    <row r="93">
      <c r="A93" t="n">
        <v>900</v>
      </c>
      <c r="B93" t="inlineStr">
        <is>
          <t>Nalgene</t>
        </is>
      </c>
      <c r="C93" t="inlineStr">
        <is>
          <t>Thermo Fisher Scientific Israel Ltd. (Kiryat Shmona)</t>
        </is>
      </c>
      <c r="D93" t="inlineStr">
        <is>
          <t>תרמו פישר קריית שמונה</t>
        </is>
      </c>
      <c r="E93" t="inlineStr">
        <is>
          <t>חברה-בת</t>
        </is>
      </c>
      <c r="F93" t="inlineStr">
        <is>
          <t>manufacturing / engineering site (ISO 9001/13485); not a sales channel</t>
        </is>
      </c>
      <c r="G93" t="inlineStr">
        <is>
          <t>https://www.thermofisher.com</t>
        </is>
      </c>
      <c r="H93" t="inlineStr">
        <is>
          <t>+972 8-940-8618</t>
        </is>
      </c>
      <c r="I93" t="inlineStr"/>
      <c r="J93" t="inlineStr">
        <is>
          <t>5 Golda Meir St., Ness Ziona (also Airport City 1, Lod)</t>
        </is>
      </c>
      <c r="K93" t="inlineStr">
        <is>
          <t>https://www.thermofisher.com/il/en/home.html</t>
        </is>
      </c>
      <c r="M93" t="inlineStr"/>
      <c r="N93" t="inlineStr">
        <is>
          <t>prior_research</t>
        </is>
      </c>
      <c r="P93" t="inlineStr"/>
    </row>
    <row r="94">
      <c r="A94" t="n">
        <v>900</v>
      </c>
      <c r="B94" t="inlineStr">
        <is>
          <t>Nalgene</t>
        </is>
      </c>
      <c r="C94" t="inlineStr">
        <is>
          <t>Rhenium Ltd.</t>
        </is>
      </c>
      <c r="D94" t="inlineStr">
        <is>
          <t>רניום</t>
        </is>
      </c>
      <c r="E94" t="inlineStr">
        <is>
          <t>מפיץ</t>
        </is>
      </c>
      <c r="F94"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94" t="inlineStr">
        <is>
          <t>https://www.rhenium.co.il</t>
        </is>
      </c>
      <c r="H94" t="inlineStr">
        <is>
          <t>+972 8-955-8888</t>
        </is>
      </c>
      <c r="I94" t="inlineStr"/>
      <c r="J94" t="inlineStr">
        <is>
          <t>20 Hasatat St., P.O. Box 180, Modi'in 7171101</t>
        </is>
      </c>
      <c r="K94" t="inlineStr"/>
      <c r="L94" t="n">
        <v>2026</v>
      </c>
      <c r="M94" t="inlineStr">
        <is>
          <t>עדכני</t>
        </is>
      </c>
      <c r="N94" t="inlineStr">
        <is>
          <t>prior_research</t>
        </is>
      </c>
      <c r="P94" t="inlineStr">
        <is>
          <t>https://rhenium.co.il/products/bioproduction</t>
        </is>
      </c>
    </row>
    <row r="95">
      <c r="A95" t="n">
        <v>900</v>
      </c>
      <c r="B95" t="inlineStr">
        <is>
          <t>Nalgene</t>
        </is>
      </c>
      <c r="C95" t="inlineStr">
        <is>
          <t>Gamidor Diagnostics (1984) Ltd.</t>
        </is>
      </c>
      <c r="D95" t="inlineStr">
        <is>
          <t>גמידור דיאגנוסטיקה</t>
        </is>
      </c>
      <c r="E95" t="inlineStr">
        <is>
          <t>מפיץ</t>
        </is>
      </c>
      <c r="F95"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95" t="inlineStr">
        <is>
          <t>https://www.gamidor.co.il</t>
        </is>
      </c>
      <c r="H95" t="inlineStr">
        <is>
          <t>+972-3-927-7277</t>
        </is>
      </c>
      <c r="I95" t="inlineStr">
        <is>
          <t>info@gamidor.co.il</t>
        </is>
      </c>
      <c r="J95" t="inlineStr">
        <is>
          <t>Shaham 32, Petach Tikva</t>
        </is>
      </c>
      <c r="K95" t="inlineStr"/>
      <c r="L95" t="n">
        <v>2026</v>
      </c>
      <c r="M95" t="inlineStr">
        <is>
          <t>עדכני</t>
        </is>
      </c>
      <c r="N95" t="inlineStr">
        <is>
          <t>prior_research</t>
        </is>
      </c>
      <c r="P95" t="inlineStr">
        <is>
          <t>https://gamidor.co.il/en/allergy/</t>
        </is>
      </c>
    </row>
    <row r="96">
      <c r="A96" t="n">
        <v>900</v>
      </c>
      <c r="B96" t="inlineStr">
        <is>
          <t>Nalgene</t>
        </is>
      </c>
      <c r="C96" t="inlineStr">
        <is>
          <t>Bargal Analytical Instruments Ltd.</t>
        </is>
      </c>
      <c r="D96" t="inlineStr">
        <is>
          <t>ברגל</t>
        </is>
      </c>
      <c r="E96" t="inlineStr">
        <is>
          <t>מפיץ</t>
        </is>
      </c>
      <c r="F96"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96" t="inlineStr">
        <is>
          <t>https://www.bargal.co.il</t>
        </is>
      </c>
      <c r="H96" t="inlineStr">
        <is>
          <t>+972-3-979-6533</t>
        </is>
      </c>
      <c r="I96" t="inlineStr">
        <is>
          <t>sales@bargal.co.il</t>
        </is>
      </c>
      <c r="J96" t="inlineStr">
        <is>
          <t>10 Shaked Street, Modi'in Industrial Park, Shoham 6085102</t>
        </is>
      </c>
      <c r="K96" t="inlineStr"/>
      <c r="L96" t="n">
        <v>2026</v>
      </c>
      <c r="M96" t="inlineStr">
        <is>
          <t>עדכני</t>
        </is>
      </c>
      <c r="N96" t="inlineStr">
        <is>
          <t>prior_research</t>
        </is>
      </c>
      <c r="P96" t="inlineStr">
        <is>
          <t>https://bargal.co.il/product/q-exactive-uhmr-hybrid-quadrupole-orbitrap-ms-system/</t>
        </is>
      </c>
    </row>
    <row r="97">
      <c r="A97" t="n">
        <v>900</v>
      </c>
      <c r="B97" t="inlineStr">
        <is>
          <t>Nalgene</t>
        </is>
      </c>
      <c r="C97" t="inlineStr">
        <is>
          <t>Danyel Biotech Ltd.</t>
        </is>
      </c>
      <c r="D97" t="inlineStr">
        <is>
          <t>דניאל ביוטק</t>
        </is>
      </c>
      <c r="E97" t="inlineStr">
        <is>
          <t>מפיץ</t>
        </is>
      </c>
      <c r="F97" t="inlineStr">
        <is>
          <t>Olink proteomics (a Thermo Fisher business): live Olink brand page on Danyel's site</t>
        </is>
      </c>
      <c r="G97" t="inlineStr">
        <is>
          <t>https://www.danyel.co.il</t>
        </is>
      </c>
      <c r="H97" t="inlineStr">
        <is>
          <t>1-800-711-911 (also +972 8-936-6066)</t>
        </is>
      </c>
      <c r="I97" t="inlineStr"/>
      <c r="J97" t="inlineStr">
        <is>
          <t>8 Hamada St., Science Park, Rehovot 7670308</t>
        </is>
      </c>
      <c r="K97" t="inlineStr">
        <is>
          <t>https://www.danyel.co.il/contact-us/</t>
        </is>
      </c>
      <c r="L97" t="n">
        <v>2026</v>
      </c>
      <c r="M97" t="inlineStr">
        <is>
          <t>עדכני</t>
        </is>
      </c>
      <c r="N97" t="inlineStr">
        <is>
          <t>prior_research</t>
        </is>
      </c>
      <c r="P97" t="inlineStr">
        <is>
          <t>https://www.danyel.co.il/olink/</t>
        </is>
      </c>
    </row>
    <row r="98">
      <c r="A98" t="n">
        <v>900</v>
      </c>
      <c r="B98" t="inlineStr">
        <is>
          <t>Nalgene</t>
        </is>
      </c>
      <c r="C98" t="inlineStr">
        <is>
          <t>Thermo Fisher Scientific – EM service location, Airport City</t>
        </is>
      </c>
      <c r="D98" t="inlineStr"/>
      <c r="E98" t="inlineStr">
        <is>
          <t>שירות</t>
        </is>
      </c>
      <c r="F98" t="inlineStr">
        <is>
          <t>Thermo Fisher's own Israeli sales/support organisation; thermofisher.com's Phenom desktop-SEM distributor page names 'Thermo Fisher Integrated Solutions' as the Israel contact (live page); a Thermo Fisher careers page lists jobs in Israel</t>
        </is>
      </c>
      <c r="G98" t="inlineStr">
        <is>
          <t>https://www.thermofisher.com</t>
        </is>
      </c>
      <c r="H98" t="inlineStr">
        <is>
          <t>+972 8-940-8618</t>
        </is>
      </c>
      <c r="I98" t="inlineStr"/>
      <c r="J98" t="inlineStr">
        <is>
          <t>5 Golda Meir St., Ness Ziona (also Airport City 1, Lod)</t>
        </is>
      </c>
      <c r="K98" t="inlineStr">
        <is>
          <t>https://www.thermofisher.com/il/en/home.html</t>
        </is>
      </c>
      <c r="L98" t="n">
        <v>2026</v>
      </c>
      <c r="M98" t="inlineStr">
        <is>
          <t>ראיה ישנה</t>
        </is>
      </c>
      <c r="N98" t="inlineStr">
        <is>
          <t>prior_research</t>
        </is>
      </c>
      <c r="P98" t="inlineStr">
        <is>
          <t>https://www.thermofisher.com/us/en/home/electron-microscopy/products/desktop-scanning-electron-microscopes/phenom-distributors.html</t>
        </is>
      </c>
    </row>
    <row r="99">
      <c r="A99" t="n">
        <v>900</v>
      </c>
      <c r="B99" t="inlineStr">
        <is>
          <t>Nalgene</t>
        </is>
      </c>
      <c r="C99" t="inlineStr">
        <is>
          <t>Iner-Tech Ltd. (Rehovot)</t>
        </is>
      </c>
      <c r="D99" t="inlineStr"/>
      <c r="E99" t="inlineStr">
        <is>
          <t>מפיץ</t>
        </is>
      </c>
      <c r="F99" t="inlineStr">
        <is>
          <t>Thermo Scientific portable pharma QA/QC analysers (handheld Raman/NIR material ID) - listed on thermofisher.com's distributor page for Israel</t>
        </is>
      </c>
      <c r="G99" t="inlineStr"/>
      <c r="H99" t="inlineStr"/>
      <c r="I99" t="inlineStr"/>
      <c r="J99" t="inlineStr"/>
      <c r="K99" t="inlineStr"/>
      <c r="L99" t="n">
        <v>2026</v>
      </c>
      <c r="M99" t="inlineStr">
        <is>
          <t>חדש</t>
        </is>
      </c>
      <c r="N99" t="inlineStr">
        <is>
          <t>prior_research</t>
        </is>
      </c>
      <c r="P99" t="inlineStr">
        <is>
          <t>https://www.thermofisher.com/us/en/home/industrial/spectroscopy-elemental-isotope-analysis/portable-analysis-material-id/portable-pharmaceutical-qa-qc-manufacturing-solutions/portable-pharma-qa-qc-manufacturing-solutions-distributors.html</t>
        </is>
      </c>
    </row>
    <row r="100">
      <c r="A100" t="n">
        <v>900</v>
      </c>
      <c r="B100" t="inlineStr">
        <is>
          <t>Nalgene</t>
        </is>
      </c>
      <c r="C100" t="inlineStr">
        <is>
          <t>R.B.M. Ltd. Control &amp; Mechanization (Hod Hasharon)</t>
        </is>
      </c>
      <c r="D100" t="inlineStr"/>
      <c r="E100" t="inlineStr">
        <is>
          <t>מפיץ</t>
        </is>
      </c>
      <c r="F100" t="inlineStr">
        <is>
          <t>Thermo Scientific Niton portable XRF / LIBS analysers - listed on thermofisher.com's authorized XRF &amp; LIBS distributor page for Israel</t>
        </is>
      </c>
      <c r="G100" t="inlineStr"/>
      <c r="H100" t="inlineStr"/>
      <c r="I100" t="inlineStr"/>
      <c r="J100" t="inlineStr"/>
      <c r="K100" t="inlineStr"/>
      <c r="L100" t="n">
        <v>2026</v>
      </c>
      <c r="M100" t="inlineStr">
        <is>
          <t>חדש</t>
        </is>
      </c>
      <c r="N100" t="inlineStr">
        <is>
          <t>prior_research</t>
        </is>
      </c>
      <c r="P100" t="inlineStr">
        <is>
          <t>https://www.thermofisher.com/us/en/home/industrial/spectroscopy-elemental-isotope-analysis/portable-analysis-material-id/portable-analysis-for-material-id-distributors.html</t>
        </is>
      </c>
    </row>
    <row r="101">
      <c r="A101" t="n">
        <v>900</v>
      </c>
      <c r="B101" t="inlineStr">
        <is>
          <t>Nalgene</t>
        </is>
      </c>
      <c r="C101" t="inlineStr">
        <is>
          <t>Madid Industrial Controls Ltd.</t>
        </is>
      </c>
      <c r="D101" t="inlineStr"/>
      <c r="E101" t="inlineStr">
        <is>
          <t>מפיץ</t>
        </is>
      </c>
      <c r="F101" t="inlineStr">
        <is>
          <t>Thermo Scientific dataTaker data loggers (industrial data acquisition) - listed on thermofisher.com's dataTaker distributor page for Israel</t>
        </is>
      </c>
      <c r="G101" t="inlineStr"/>
      <c r="H101" t="inlineStr"/>
      <c r="I101" t="inlineStr"/>
      <c r="J101" t="inlineStr"/>
      <c r="K101" t="inlineStr"/>
      <c r="L101" t="n">
        <v>2026</v>
      </c>
      <c r="M101" t="inlineStr">
        <is>
          <t>חדש</t>
        </is>
      </c>
      <c r="N101" t="inlineStr">
        <is>
          <t>prior_research</t>
        </is>
      </c>
      <c r="P101" t="inlineStr">
        <is>
          <t>https://www.thermofisher.com/us/en/home/industrial/manufacturing-processing/data-acquisition/datataker-distributors.html</t>
        </is>
      </c>
    </row>
    <row r="102">
      <c r="A102" t="n">
        <v>915</v>
      </c>
      <c r="B102" t="inlineStr">
        <is>
          <t>New England Biolabs (NEB)</t>
        </is>
      </c>
      <c r="C102" t="inlineStr">
        <is>
          <t>Ornat BioChemicals &amp; Lab Equipment Ltd.</t>
        </is>
      </c>
      <c r="D102" t="inlineStr">
        <is>
          <t>אורנת</t>
        </is>
      </c>
      <c r="E102" t="inlineStr">
        <is>
          <t>מפיץ</t>
        </is>
      </c>
      <c r="F102" t="inlineStr">
        <is>
          <t>New England Biolabs reagents - live Ornat product pages for NEB molecular biology, nucleic-acid purification, NGS and RNA products, plus Ornat's partners page</t>
        </is>
      </c>
      <c r="G102" t="inlineStr">
        <is>
          <t>https://www.ornat.co.il</t>
        </is>
      </c>
      <c r="H102" t="inlineStr">
        <is>
          <t>+972-8-9477077</t>
        </is>
      </c>
      <c r="I102" t="inlineStr">
        <is>
          <t>ornatbio@ornat.co.il</t>
        </is>
      </c>
      <c r="J102" t="inlineStr">
        <is>
          <t>19 Horvitz Eli St., Rehovot 7608802</t>
        </is>
      </c>
      <c r="K102" t="inlineStr"/>
      <c r="L102" t="n">
        <v>2026</v>
      </c>
      <c r="M102" t="inlineStr">
        <is>
          <t>עדכני</t>
        </is>
      </c>
      <c r="N102" t="inlineStr">
        <is>
          <t>prior_research</t>
        </is>
      </c>
      <c r="P102" t="inlineStr">
        <is>
          <t>https://ornat.co.il/product/new-england-biolabs-neb-molecular-biology/</t>
        </is>
      </c>
    </row>
    <row r="103">
      <c r="A103" t="n">
        <v>924</v>
      </c>
      <c r="B103" t="inlineStr">
        <is>
          <t>Nikon</t>
        </is>
      </c>
      <c r="C103" t="inlineStr">
        <is>
          <t>Agentek Ltd.</t>
        </is>
      </c>
      <c r="D103" t="inlineStr">
        <is>
          <t>אגנטק</t>
        </is>
      </c>
      <c r="E103" t="inlineStr">
        <is>
          <t>מפיץ</t>
        </is>
      </c>
      <c r="F103"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103" t="inlineStr">
        <is>
          <t>https://agentek.co.il</t>
        </is>
      </c>
      <c r="H103" t="inlineStr">
        <is>
          <t>+972 9-965-7000</t>
        </is>
      </c>
      <c r="I103" t="inlineStr"/>
      <c r="J103" t="inlineStr">
        <is>
          <t>Greenwork Yakum Business Park, Yakum 6097200</t>
        </is>
      </c>
      <c r="K103" t="inlineStr">
        <is>
          <t>https://agentek.co.il/contact/</t>
        </is>
      </c>
      <c r="L103" t="n">
        <v>2026</v>
      </c>
      <c r="M103" t="inlineStr">
        <is>
          <t>עדכני</t>
        </is>
      </c>
      <c r="N103" t="inlineStr">
        <is>
          <t>prior_research</t>
        </is>
      </c>
      <c r="P103" t="inlineStr">
        <is>
          <t>https://www.microscope.healthcare.nikon.com/en_EU/contact/service/171079</t>
        </is>
      </c>
    </row>
    <row r="104">
      <c r="A104" t="n">
        <v>935</v>
      </c>
      <c r="B104" t="inlineStr">
        <is>
          <t>Novus Biologicals</t>
        </is>
      </c>
      <c r="C104" t="inlineStr">
        <is>
          <t>Getter Bio-Med (Getter Group)</t>
        </is>
      </c>
      <c r="D104" t="inlineStr">
        <is>
          <t>גטר ביו-מד</t>
        </is>
      </c>
      <c r="E104" t="inlineStr">
        <is>
          <t>מפיץ</t>
        </is>
      </c>
      <c r="F104" t="inlineStr">
        <is>
          <t>Lunaphore (a Bio-Techne brand) spatial-biology platforms – Getter describes itself as the official Israeli representative (LinkedIn)</t>
        </is>
      </c>
      <c r="G104" t="inlineStr">
        <is>
          <t>https://www.getter.co.il</t>
        </is>
      </c>
      <c r="H104" t="inlineStr">
        <is>
          <t>+972 3-576-1555 (Getter Group switchboard)</t>
        </is>
      </c>
      <c r="I104" t="inlineStr"/>
      <c r="J104" t="inlineStr">
        <is>
          <t>7 Shimshon St., Petah Tikva 4912502</t>
        </is>
      </c>
      <c r="K104" t="inlineStr"/>
      <c r="M104" t="inlineStr">
        <is>
          <t>ראיה ישנה</t>
        </is>
      </c>
      <c r="N104" t="inlineStr">
        <is>
          <t>prior_research</t>
        </is>
      </c>
      <c r="P104" t="inlineStr">
        <is>
          <t>https://www.getter.co.il/about-en/</t>
        </is>
      </c>
    </row>
    <row r="105">
      <c r="A105" t="n">
        <v>935</v>
      </c>
      <c r="B105" t="inlineStr">
        <is>
          <t>Novus Biologicals</t>
        </is>
      </c>
      <c r="C105" t="inlineStr">
        <is>
          <t>Biotest</t>
        </is>
      </c>
      <c r="D105" t="inlineStr"/>
      <c r="E105" t="inlineStr">
        <is>
          <t>מפיץ</t>
        </is>
      </c>
      <c r="F105" t="inlineStr">
        <is>
          <t>Israeli distributor listed on Bio-Techne's Novus Biologicals distributor directory: 6 Hasadna St., P.O. Box 8006, Kfar Saba 4442405 (phone/e-mail on page); coverage of other Bio-Techne brands (R&amp;D Systems, Tocris, ProteinSimple) not confirmed</t>
        </is>
      </c>
      <c r="G105" t="inlineStr"/>
      <c r="H105" t="inlineStr"/>
      <c r="I105" t="inlineStr"/>
      <c r="J105" t="inlineStr"/>
      <c r="K105" t="inlineStr"/>
      <c r="L105" t="n">
        <v>2026</v>
      </c>
      <c r="M105" t="inlineStr">
        <is>
          <t>חדש</t>
        </is>
      </c>
      <c r="N105" t="inlineStr">
        <is>
          <t>prior_research</t>
        </is>
      </c>
      <c r="P105" t="inlineStr">
        <is>
          <t>https://www.bio-techne.com/distributors/novus</t>
        </is>
      </c>
    </row>
    <row r="106">
      <c r="A106" t="n">
        <v>942</v>
      </c>
      <c r="B106" t="inlineStr">
        <is>
          <t>Oakton</t>
        </is>
      </c>
      <c r="C106" t="inlineStr">
        <is>
          <t>Medent Scientific Instruments</t>
        </is>
      </c>
      <c r="D106" t="inlineStr">
        <is>
          <t>מדנט מכשור מדעי</t>
        </is>
      </c>
      <c r="E106" t="inlineStr">
        <is>
          <t>מפיץ</t>
        </is>
      </c>
      <c r="F10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6" t="inlineStr">
        <is>
          <t>https://www.medent.co.il</t>
        </is>
      </c>
      <c r="H106" t="inlineStr">
        <is>
          <t>+972 72-395-0508 (sales); +972 8-683-6306 (service)</t>
        </is>
      </c>
      <c r="I106" t="inlineStr">
        <is>
          <t>info@medent.co.il</t>
        </is>
      </c>
      <c r="J106" t="inlineStr">
        <is>
          <t>110 Mordei HaGetaot St., Beer Sheva 8420643</t>
        </is>
      </c>
      <c r="K106" t="inlineStr">
        <is>
          <t>https://www.medent.co.il/scientific.equipment/%D7%A6%D7%95%D7%A8-%D7%A7%D7%A9%D7%A8/</t>
        </is>
      </c>
      <c r="L106" t="n">
        <v>2026</v>
      </c>
      <c r="M106" t="inlineStr">
        <is>
          <t>עדכני</t>
        </is>
      </c>
      <c r="N106" t="inlineStr">
        <is>
          <t>prior_research</t>
        </is>
      </c>
      <c r="P106" t="inlineStr">
        <is>
          <t>https://medent.co.il/scientific.equipment/product/%D7%A1%D7%A4%D7%A7%D7%98%D7%A8%D7%95%D7%A4%D7%95%D7%98%D7%95%D7%9E%D7%98%D7%A8-uvvis-%D7%9E%D7%A2%D7%91%D7%93%D7%AA%D7%99-%D7%93%D7%92%D7%9D-6305-%D7%AA%D7%95%D7%A6%D7%A8%D7%AA-jenway/</t>
        </is>
      </c>
    </row>
    <row r="107">
      <c r="A107" t="n">
        <v>947</v>
      </c>
      <c r="B107" t="inlineStr">
        <is>
          <t>Ohaus</t>
        </is>
      </c>
      <c r="C107" t="inlineStr">
        <is>
          <t>Labotal Scientific Equipment Ltd.</t>
        </is>
      </c>
      <c r="D107" t="inlineStr">
        <is>
          <t>לבוטל</t>
        </is>
      </c>
      <c r="E107" t="inlineStr">
        <is>
          <t>מפיץ</t>
        </is>
      </c>
      <c r="F107" t="inlineStr">
        <is>
          <t>OHAUS balances and centrifuges (e.g. FC-5515R refrigerated microcentrifuge) - Ohaus has a dedicated page in Labotal's live 'Represented Firms' archive, and Labotal's product/guide pages refer to Ohaus' 2024 acquisition of Hermle</t>
        </is>
      </c>
      <c r="G107" t="inlineStr">
        <is>
          <t>https://labotal.co.il</t>
        </is>
      </c>
      <c r="H107" t="inlineStr">
        <is>
          <t>+972 2-579-9222</t>
        </is>
      </c>
      <c r="I107" t="inlineStr">
        <is>
          <t>Sales@labotal.co.il</t>
        </is>
      </c>
      <c r="J107" t="inlineStr">
        <is>
          <t>Hashalom Rd., Abu Ghosh 9084500 (mail: Mevaseret Zion)</t>
        </is>
      </c>
      <c r="K107" t="inlineStr">
        <is>
          <t>https://labotal.co.il/contact/</t>
        </is>
      </c>
      <c r="L107" t="n">
        <v>2026</v>
      </c>
      <c r="M107" t="inlineStr">
        <is>
          <t>עדכני</t>
        </is>
      </c>
      <c r="N107" t="inlineStr">
        <is>
          <t>prior_research</t>
        </is>
      </c>
      <c r="P107" t="inlineStr">
        <is>
          <t>https://labotal.co.il/firms/ohaus/?lang=en</t>
        </is>
      </c>
    </row>
    <row r="108">
      <c r="A108" t="n">
        <v>965</v>
      </c>
      <c r="B108" t="inlineStr">
        <is>
          <t>Oxford Instruments America</t>
        </is>
      </c>
      <c r="C108" t="inlineStr">
        <is>
          <t>Advanced Technological Solutions Ltd. (ATSL)</t>
        </is>
      </c>
      <c r="D108" t="inlineStr"/>
      <c r="E108" t="inlineStr">
        <is>
          <t>מפיץ</t>
        </is>
      </c>
      <c r="F108" t="inlineStr">
        <is>
          <t>WITec (an Oxford Instruments company since 2021) SNOM/AFM/Raman imaging systems - appointed exclusive distributor in Israel in November 2012 (Kiryat Ata); no later confirmation found, current status unknown</t>
        </is>
      </c>
      <c r="G108" t="inlineStr"/>
      <c r="H108" t="inlineStr"/>
      <c r="I108" t="inlineStr"/>
      <c r="J108" t="inlineStr"/>
      <c r="K108" t="inlineStr"/>
      <c r="L108" t="n">
        <v>2012</v>
      </c>
      <c r="M108" t="inlineStr">
        <is>
          <t>ראיה ישנה</t>
        </is>
      </c>
      <c r="N108" t="inlineStr">
        <is>
          <t>prior_research</t>
        </is>
      </c>
      <c r="P108" t="inlineStr">
        <is>
          <t>https://www.analytica-world.com/en/news/140718/witec-appoints-new-distributor-in-israel.html</t>
        </is>
      </c>
    </row>
    <row r="109">
      <c r="A109" t="n">
        <v>965</v>
      </c>
      <c r="B109" t="inlineStr">
        <is>
          <t>Oxford Instruments America</t>
        </is>
      </c>
      <c r="C109" t="inlineStr">
        <is>
          <t>Quantum Design s.r.l. (Italy and Israel branch office, Rome) / Quantum Design Israel site</t>
        </is>
      </c>
      <c r="D109" t="inlineStr"/>
      <c r="E109" t="inlineStr">
        <is>
          <t>מפיץ</t>
        </is>
      </c>
      <c r="F109"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9" t="inlineStr">
        <is>
          <t>https://qd-europe.com/il/en</t>
        </is>
      </c>
      <c r="H109" t="inlineStr"/>
      <c r="I109" t="inlineStr"/>
      <c r="J109" t="inlineStr"/>
      <c r="K109" t="inlineStr"/>
      <c r="L109" t="n">
        <v>2026</v>
      </c>
      <c r="M109" t="inlineStr">
        <is>
          <t>חדש</t>
        </is>
      </c>
      <c r="N109" t="inlineStr">
        <is>
          <t>prior_research</t>
        </is>
      </c>
      <c r="P109" t="inlineStr">
        <is>
          <t>https://qd-europe.com/il/en/news/latest-updates/newsdetails/quantum-design-to-acquire-nanoscience-division-of-oxford-instruments--2384/</t>
        </is>
      </c>
    </row>
    <row r="110">
      <c r="A110" t="n">
        <v>967</v>
      </c>
      <c r="B110" t="inlineStr">
        <is>
          <t>OZ Biosciences</t>
        </is>
      </c>
      <c r="C110" t="inlineStr">
        <is>
          <t>Tivan Biotech</t>
        </is>
      </c>
      <c r="D110" t="inlineStr">
        <is>
          <t>טיבן ביוטק</t>
        </is>
      </c>
      <c r="E110" t="inlineStr">
        <is>
          <t>מפיץ</t>
        </is>
      </c>
      <c r="F110" t="inlineStr">
        <is>
          <t>OZ Biosciences announced Tivan Biotech as its distributor in Israel (blog post, undated)</t>
        </is>
      </c>
      <c r="G110" t="inlineStr">
        <is>
          <t>https://www.tivanbiotech.com</t>
        </is>
      </c>
      <c r="I110" t="inlineStr">
        <is>
          <t>customerservice@tivanbiotech.com</t>
        </is>
      </c>
      <c r="M110" t="inlineStr">
        <is>
          <t>עדכני</t>
        </is>
      </c>
      <c r="N110" t="inlineStr">
        <is>
          <t>manufacturer_or_press</t>
        </is>
      </c>
      <c r="P110" t="inlineStr">
        <is>
          <t>https://ozbiosciences.com/blog/welcome-to-our-new-distributor-in-israel-n6</t>
        </is>
      </c>
    </row>
    <row r="111">
      <c r="A111" t="n">
        <v>985</v>
      </c>
      <c r="B111" t="inlineStr">
        <is>
          <t>PerkinElmer</t>
        </is>
      </c>
      <c r="C111" t="inlineStr">
        <is>
          <t>PerkinElmer Israel Ltd.</t>
        </is>
      </c>
      <c r="D111" t="inlineStr"/>
      <c r="E111" t="inlineStr">
        <is>
          <t>חברה-בת</t>
        </is>
      </c>
      <c r="F111" t="inlineStr">
        <is>
          <t>direct sales, service and support for analytical instruments and OneSource lab services; HaSheizaf St 4, Ra'anana 4366411, +972 3655 8777 - live perkinelmer.com office-location pages</t>
        </is>
      </c>
      <c r="G111" t="inlineStr">
        <is>
          <t>https://www.perkinelmer.com</t>
        </is>
      </c>
      <c r="H111" t="inlineStr">
        <is>
          <t>1-700-500-512</t>
        </is>
      </c>
      <c r="I111" t="inlineStr">
        <is>
          <t>cc.israel@perkinelmer.com</t>
        </is>
      </c>
      <c r="J111" t="inlineStr">
        <is>
          <t>4 HaSheizaf St., Ra'anana</t>
        </is>
      </c>
      <c r="K111" t="inlineStr"/>
      <c r="L111" t="n">
        <v>2026</v>
      </c>
      <c r="M111" t="inlineStr">
        <is>
          <t>עדכני</t>
        </is>
      </c>
      <c r="N111" t="inlineStr">
        <is>
          <t>prior_research</t>
        </is>
      </c>
      <c r="P111" t="inlineStr">
        <is>
          <t>https://www.perkinelmer.com/node/3901</t>
        </is>
      </c>
    </row>
    <row r="112">
      <c r="A112" t="n">
        <v>985</v>
      </c>
      <c r="B112" t="inlineStr">
        <is>
          <t>PerkinElmer</t>
        </is>
      </c>
      <c r="C112" t="inlineStr">
        <is>
          <t>ISI Israel Scientific Instruments Ltd.</t>
        </is>
      </c>
      <c r="D112" t="inlineStr"/>
      <c r="E112" t="inlineStr">
        <is>
          <t>מפיץ</t>
        </is>
      </c>
      <c r="F112" t="inlineStr">
        <is>
          <t>food testing / food quality products, as listed on PerkinElmer's site; Shacham St 32, Petach Tikva, +972 3-9232202 (site given as isil.co.il)</t>
        </is>
      </c>
      <c r="G112" t="inlineStr">
        <is>
          <t>https://www.isil.co.il</t>
        </is>
      </c>
      <c r="H112" t="inlineStr">
        <is>
          <t>+972-3-9232202</t>
        </is>
      </c>
      <c r="I112" t="inlineStr">
        <is>
          <t>info@isil.co.il</t>
        </is>
      </c>
      <c r="J112" t="inlineStr">
        <is>
          <t>32 Shacham St., P.O. Box 7790, Petah Tikva 49170</t>
        </is>
      </c>
      <c r="K112" t="inlineStr"/>
      <c r="M112" t="inlineStr">
        <is>
          <t>ראיה ישנה</t>
        </is>
      </c>
      <c r="N112" t="inlineStr">
        <is>
          <t>prior_research</t>
        </is>
      </c>
      <c r="P112" t="inlineStr">
        <is>
          <t>https://www.perkinelmer.com/node/10826</t>
        </is>
      </c>
    </row>
    <row r="113">
      <c r="A113" t="n">
        <v>988</v>
      </c>
      <c r="B113" t="inlineStr">
        <is>
          <t>PHC Corporation of North America</t>
        </is>
      </c>
      <c r="C113" t="inlineStr">
        <is>
          <t>Eldan Electronic Instruments</t>
        </is>
      </c>
      <c r="D113" t="inlineStr"/>
      <c r="E113" t="inlineStr">
        <is>
          <t>מפיץ</t>
        </is>
      </c>
      <c r="F113" t="inlineStr">
        <is>
          <t>PHCbi CO2/multigas incubators and biomedical/pharmaceutical freezers - Eldan's live laboratory-instruments page lists PHCbi alongside Hettich and Martin Christ</t>
        </is>
      </c>
      <c r="G113" t="inlineStr">
        <is>
          <t>https://www.eldan.biz</t>
        </is>
      </c>
      <c r="H113" t="inlineStr">
        <is>
          <t>+972-3-937-1111</t>
        </is>
      </c>
      <c r="I113" t="inlineStr">
        <is>
          <t>info@eldan.biz</t>
        </is>
      </c>
      <c r="J113" t="inlineStr">
        <is>
          <t>6 Hashiloach Street, P.O. Box 7641, Petach Tikva 49170</t>
        </is>
      </c>
      <c r="K113" t="inlineStr"/>
      <c r="L113" t="n">
        <v>2026</v>
      </c>
      <c r="M113" t="inlineStr">
        <is>
          <t>עדכני</t>
        </is>
      </c>
      <c r="N113" t="inlineStr">
        <is>
          <t>prior_research</t>
        </is>
      </c>
      <c r="P113" t="inlineStr">
        <is>
          <t>https://www.eldan.biz/laboratory-instruments/</t>
        </is>
      </c>
    </row>
    <row r="114">
      <c r="A114" t="n">
        <v>988</v>
      </c>
      <c r="B114" t="inlineStr">
        <is>
          <t>PHC Corporation of North America</t>
        </is>
      </c>
      <c r="C114" t="inlineStr">
        <is>
          <t>Lumitron Ltd.</t>
        </is>
      </c>
      <c r="D114" t="inlineStr">
        <is>
          <t>לומיטרון</t>
        </is>
      </c>
      <c r="E114" t="inlineStr">
        <is>
          <t>מפיץ</t>
        </is>
      </c>
      <c r="F114" t="inlineStr">
        <is>
          <t>PHCbi listed on Lumitron's 'Our brands' page (earlier record); this session 'PHCBI' appears only as a brand tag on Lumitron's live CO2-incubator-shaker product pages, so the relationship is re-confirmed weakly (brand mention, no PHCbi product page seen)</t>
        </is>
      </c>
      <c r="G114" t="inlineStr">
        <is>
          <t>https://www.lumitron.co.il</t>
        </is>
      </c>
      <c r="H114" t="inlineStr">
        <is>
          <t>+972 52-525-6287</t>
        </is>
      </c>
      <c r="I114" t="inlineStr"/>
      <c r="J114" t="inlineStr">
        <is>
          <t>17 Hamiflasim St., Petah Tikva</t>
        </is>
      </c>
      <c r="K114" t="inlineStr"/>
      <c r="L114" t="n">
        <v>2026</v>
      </c>
      <c r="M114" t="inlineStr">
        <is>
          <t>עדכני</t>
        </is>
      </c>
      <c r="N114" t="inlineStr">
        <is>
          <t>prior_research</t>
        </is>
      </c>
      <c r="P114" t="inlineStr">
        <is>
          <t>https://www.lumitron.co.il/our-brands-heb/?lang=en</t>
        </is>
      </c>
    </row>
    <row r="115">
      <c r="A115" t="n">
        <v>989</v>
      </c>
      <c r="B115" t="inlineStr">
        <is>
          <t>PHCBI</t>
        </is>
      </c>
      <c r="C115" t="inlineStr">
        <is>
          <t>Eldan Electronic Instruments</t>
        </is>
      </c>
      <c r="D115" t="inlineStr"/>
      <c r="E115" t="inlineStr">
        <is>
          <t>מפיץ</t>
        </is>
      </c>
      <c r="F115" t="inlineStr">
        <is>
          <t>PHCbi CO2/multigas incubators and biomedical/pharmaceutical freezers - Eldan's live laboratory-instruments page lists PHCbi alongside Hettich and Martin Christ</t>
        </is>
      </c>
      <c r="G115" t="inlineStr">
        <is>
          <t>https://www.eldan.biz</t>
        </is>
      </c>
      <c r="H115" t="inlineStr">
        <is>
          <t>+972-3-937-1111</t>
        </is>
      </c>
      <c r="I115" t="inlineStr">
        <is>
          <t>info@eldan.biz</t>
        </is>
      </c>
      <c r="J115" t="inlineStr">
        <is>
          <t>6 Hashiloach Street, P.O. Box 7641, Petach Tikva 49170</t>
        </is>
      </c>
      <c r="K115" t="inlineStr"/>
      <c r="L115" t="n">
        <v>2026</v>
      </c>
      <c r="M115" t="inlineStr">
        <is>
          <t>עדכני</t>
        </is>
      </c>
      <c r="N115" t="inlineStr">
        <is>
          <t>prior_research</t>
        </is>
      </c>
      <c r="P115" t="inlineStr">
        <is>
          <t>https://www.eldan.biz/laboratory-instruments/</t>
        </is>
      </c>
    </row>
    <row r="116">
      <c r="A116" t="n">
        <v>989</v>
      </c>
      <c r="B116" t="inlineStr">
        <is>
          <t>PHCBI</t>
        </is>
      </c>
      <c r="C116" t="inlineStr">
        <is>
          <t>Lumitron Ltd.</t>
        </is>
      </c>
      <c r="D116" t="inlineStr">
        <is>
          <t>לומיטרון</t>
        </is>
      </c>
      <c r="E116" t="inlineStr">
        <is>
          <t>מפיץ</t>
        </is>
      </c>
      <c r="F116" t="inlineStr">
        <is>
          <t>PHCbi listed on Lumitron's 'Our brands' page (earlier record); this session 'PHCBI' appears only as a brand tag on Lumitron's live CO2-incubator-shaker product pages, so the relationship is re-confirmed weakly (brand mention, no PHCbi product page seen)</t>
        </is>
      </c>
      <c r="G116" t="inlineStr">
        <is>
          <t>https://www.lumitron.co.il</t>
        </is>
      </c>
      <c r="H116" t="inlineStr">
        <is>
          <t>+972 52-525-6287</t>
        </is>
      </c>
      <c r="I116" t="inlineStr"/>
      <c r="J116" t="inlineStr">
        <is>
          <t>17 Hamiflasim St., Petah Tikva</t>
        </is>
      </c>
      <c r="K116" t="inlineStr"/>
      <c r="L116" t="n">
        <v>2026</v>
      </c>
      <c r="M116" t="inlineStr">
        <is>
          <t>עדכני</t>
        </is>
      </c>
      <c r="N116" t="inlineStr">
        <is>
          <t>prior_research</t>
        </is>
      </c>
      <c r="P116" t="inlineStr">
        <is>
          <t>https://www.lumitron.co.il/our-brands-heb/?lang=en</t>
        </is>
      </c>
    </row>
    <row r="117">
      <c r="A117" t="n">
        <v>1029</v>
      </c>
      <c r="B117" t="inlineStr">
        <is>
          <t>Promega</t>
        </is>
      </c>
      <c r="C117" t="inlineStr">
        <is>
          <t>IM Beit HaEmek (Beit HaEmek Industries)</t>
        </is>
      </c>
      <c r="D117" t="inlineStr">
        <is>
          <t>תעשיות בית העמק</t>
        </is>
      </c>
      <c r="E117" t="inlineStr">
        <is>
          <t>מפיץ</t>
        </is>
      </c>
      <c r="F117" t="inlineStr">
        <is>
          <t>Promega distributor for Israel - Kibbutz Beit Ha'Emek 2511500, bemek.co.il, per Promega's live 'Contact Promega' distributor list; IM Beit HaEmek's own site names Promega among officially distributed brands (prior round)</t>
        </is>
      </c>
      <c r="G117" t="inlineStr">
        <is>
          <t>https://www.bemek.co.il</t>
        </is>
      </c>
      <c r="H117" t="inlineStr">
        <is>
          <t>+972 4-868-9015</t>
        </is>
      </c>
      <c r="I117" t="inlineStr">
        <is>
          <t>info@bemek.co.il</t>
        </is>
      </c>
      <c r="J117" t="inlineStr">
        <is>
          <t>Kibbutz Beit HaEmek</t>
        </is>
      </c>
      <c r="K117" t="inlineStr">
        <is>
          <t>https://www.bemek.co.il/about-us/</t>
        </is>
      </c>
      <c r="L117" t="n">
        <v>2026</v>
      </c>
      <c r="M117" t="inlineStr">
        <is>
          <t>עדכני</t>
        </is>
      </c>
      <c r="N117" t="inlineStr">
        <is>
          <t>prior_research</t>
        </is>
      </c>
      <c r="P117" t="inlineStr">
        <is>
          <t>https://www.promega.com/support/contact-promega/</t>
        </is>
      </c>
    </row>
    <row r="118">
      <c r="A118" t="n">
        <v>1048</v>
      </c>
      <c r="B118" t="inlineStr">
        <is>
          <t>Qiagen</t>
        </is>
      </c>
      <c r="C118" t="inlineStr">
        <is>
          <t>Ilex Medical Ltd.</t>
        </is>
      </c>
      <c r="D118" t="inlineStr"/>
      <c r="E118" t="inlineStr">
        <is>
          <t>מפיץ</t>
        </is>
      </c>
      <c r="F118"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8" t="inlineStr">
        <is>
          <t>https://www.ilexmedical.com</t>
        </is>
      </c>
      <c r="H118" t="inlineStr">
        <is>
          <t>+972-3-9385500</t>
        </is>
      </c>
      <c r="I118" t="inlineStr"/>
      <c r="J118" t="inlineStr">
        <is>
          <t>7 HaTnufa St., Petah Tikva</t>
        </is>
      </c>
      <c r="K118" t="inlineStr"/>
      <c r="L118" t="n">
        <v>2026</v>
      </c>
      <c r="M118" t="inlineStr">
        <is>
          <t>עדכני</t>
        </is>
      </c>
      <c r="N118" t="inlineStr">
        <is>
          <t>prior_research</t>
        </is>
      </c>
      <c r="P118" t="inlineStr">
        <is>
          <t>https://www.ilexmedical.com/catalog_products/qpcr-dpcr/</t>
        </is>
      </c>
    </row>
    <row r="119">
      <c r="A119" t="n">
        <v>1048</v>
      </c>
      <c r="B119" t="inlineStr">
        <is>
          <t>Qiagen</t>
        </is>
      </c>
      <c r="C119" t="inlineStr">
        <is>
          <t>Eldan Electronic Instruments (Neopharm group)</t>
        </is>
      </c>
      <c r="D119" t="inlineStr"/>
      <c r="E119" t="inlineStr">
        <is>
          <t>מפיץ</t>
        </is>
      </c>
      <c r="F119" t="inlineStr">
        <is>
          <t>listed QIAGEN among the manufacturers it represents in Israel (life-science research) on a 2014 page and showed QIAGEN products at ISM/IIS meetings in 2015-2016; current status unconfirmed</t>
        </is>
      </c>
      <c r="G119" t="inlineStr">
        <is>
          <t>https://eldan.biz</t>
        </is>
      </c>
      <c r="H119" t="inlineStr">
        <is>
          <t>+972-3-937-1111</t>
        </is>
      </c>
      <c r="I119" t="inlineStr">
        <is>
          <t>info@eldan.biz</t>
        </is>
      </c>
      <c r="J119" t="inlineStr">
        <is>
          <t>6 Hashiloach Street, P.O. Box 7641, Petach Tikva 49170</t>
        </is>
      </c>
      <c r="K119" t="inlineStr"/>
      <c r="L119" t="n">
        <v>2014</v>
      </c>
      <c r="M119" t="inlineStr">
        <is>
          <t>ראיה ישנה</t>
        </is>
      </c>
      <c r="N119" t="inlineStr">
        <is>
          <t>prior_research</t>
        </is>
      </c>
      <c r="P119" t="inlineStr">
        <is>
          <t>https://eldan.biz/?p=1052</t>
        </is>
      </c>
    </row>
    <row r="120">
      <c r="A120" t="n">
        <v>1048</v>
      </c>
      <c r="B120" t="inlineStr">
        <is>
          <t>Qiagen</t>
        </is>
      </c>
      <c r="C120" t="inlineStr">
        <is>
          <t>Lifegene Ltd.</t>
        </is>
      </c>
      <c r="D120" t="inlineStr">
        <is>
          <t>לייפג'ין</t>
        </is>
      </c>
      <c r="E120" t="inlineStr">
        <is>
          <t>מפיץ</t>
        </is>
      </c>
      <c r="F120" t="inlineStr">
        <is>
          <t>https://www.lifegene.co.il</t>
        </is>
      </c>
      <c r="G120" t="inlineStr">
        <is>
          <t>QIAGEN enzymes / OEM reagents sold through the Lifegene catalogue (not the QIAGEN instrument line)</t>
        </is>
      </c>
      <c r="H120" t="inlineStr">
        <is>
          <t>+972 8-644-4314</t>
        </is>
      </c>
      <c r="I120" t="inlineStr">
        <is>
          <t>info@lifegene.co.il</t>
        </is>
      </c>
      <c r="J120" t="inlineStr">
        <is>
          <t>4 Ha'maayan St., Modi'in 7171101 (directory lists Modi'in; other sources say Mevo Horon – verify)</t>
        </is>
      </c>
      <c r="K120" t="inlineStr"/>
      <c r="M120" t="inlineStr">
        <is>
          <t>ראיה ישנה</t>
        </is>
      </c>
      <c r="N120" t="inlineStr">
        <is>
          <t>prior_research</t>
        </is>
      </c>
      <c r="P120" t="inlineStr">
        <is>
          <t>https://www.lifegene.co.il/page_30153</t>
        </is>
      </c>
    </row>
    <row r="121">
      <c r="A121" t="n">
        <v>1060</v>
      </c>
      <c r="B121" t="inlineStr">
        <is>
          <t>R&amp;D Systems</t>
        </is>
      </c>
      <c r="C121" t="inlineStr">
        <is>
          <t>Getter Bio-Med (Getter Group)</t>
        </is>
      </c>
      <c r="D121" t="inlineStr">
        <is>
          <t>גטר ביו-מד</t>
        </is>
      </c>
      <c r="E121" t="inlineStr">
        <is>
          <t>מפיץ</t>
        </is>
      </c>
      <c r="F121" t="inlineStr">
        <is>
          <t>Lunaphore (a Bio-Techne brand) spatial-biology platforms – Getter describes itself as the official Israeli representative (LinkedIn)</t>
        </is>
      </c>
      <c r="G121" t="inlineStr">
        <is>
          <t>https://www.getter.co.il</t>
        </is>
      </c>
      <c r="H121" t="inlineStr">
        <is>
          <t>+972 3-576-1555 (Getter Group switchboard)</t>
        </is>
      </c>
      <c r="I121" t="inlineStr"/>
      <c r="J121" t="inlineStr">
        <is>
          <t>7 Shimshon St., Petah Tikva 4912502</t>
        </is>
      </c>
      <c r="K121" t="inlineStr"/>
      <c r="M121" t="inlineStr">
        <is>
          <t>ראיה ישנה</t>
        </is>
      </c>
      <c r="N121" t="inlineStr">
        <is>
          <t>prior_research</t>
        </is>
      </c>
      <c r="P121" t="inlineStr">
        <is>
          <t>https://www.getter.co.il/about-en/</t>
        </is>
      </c>
    </row>
    <row r="122">
      <c r="A122" t="n">
        <v>1060</v>
      </c>
      <c r="B122" t="inlineStr">
        <is>
          <t>R&amp;D Systems</t>
        </is>
      </c>
      <c r="C122" t="inlineStr">
        <is>
          <t>Biotest</t>
        </is>
      </c>
      <c r="D122" t="inlineStr"/>
      <c r="E122" t="inlineStr">
        <is>
          <t>מפיץ</t>
        </is>
      </c>
      <c r="F122" t="inlineStr">
        <is>
          <t>Israeli distributor listed on Bio-Techne's Novus Biologicals distributor directory: 6 Hasadna St., P.O. Box 8006, Kfar Saba 4442405 (phone/e-mail on page); coverage of other Bio-Techne brands (R&amp;D Systems, Tocris, ProteinSimple) not confirmed</t>
        </is>
      </c>
      <c r="G122" t="inlineStr"/>
      <c r="H122" t="inlineStr"/>
      <c r="I122" t="inlineStr"/>
      <c r="J122" t="inlineStr"/>
      <c r="K122" t="inlineStr"/>
      <c r="L122" t="n">
        <v>2026</v>
      </c>
      <c r="M122" t="inlineStr">
        <is>
          <t>חדש</t>
        </is>
      </c>
      <c r="N122" t="inlineStr">
        <is>
          <t>prior_research</t>
        </is>
      </c>
      <c r="P122" t="inlineStr">
        <is>
          <t>https://www.bio-techne.com/distributors/novus</t>
        </is>
      </c>
    </row>
    <row r="123">
      <c r="A123" t="n">
        <v>1064</v>
      </c>
      <c r="B123" t="inlineStr">
        <is>
          <t>Rainin</t>
        </is>
      </c>
      <c r="C123" t="inlineStr">
        <is>
          <t>Agentek (1987) Ltd.</t>
        </is>
      </c>
      <c r="D123" t="inlineStr">
        <is>
          <t>אגנטק</t>
        </is>
      </c>
      <c r="E123" t="inlineStr">
        <is>
          <t>מפיץ</t>
        </is>
      </c>
      <c r="F12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23" t="inlineStr">
        <is>
          <t>https://agentek.co.il</t>
        </is>
      </c>
      <c r="H123" t="inlineStr">
        <is>
          <t>+972 9-965-7000</t>
        </is>
      </c>
      <c r="I123" t="inlineStr"/>
      <c r="J123" t="inlineStr">
        <is>
          <t>Greenwork Yakum Business Park, Yakum 6097200</t>
        </is>
      </c>
      <c r="K123" t="inlineStr">
        <is>
          <t>https://agentek.co.il/contact/</t>
        </is>
      </c>
      <c r="L123" t="n">
        <v>2026</v>
      </c>
      <c r="M123" t="inlineStr">
        <is>
          <t>עדכני</t>
        </is>
      </c>
      <c r="N123" t="inlineStr">
        <is>
          <t>prior_research</t>
        </is>
      </c>
      <c r="P123" t="inlineStr">
        <is>
          <t>https://agentek.co.il/representative/mettler-toledo/</t>
        </is>
      </c>
    </row>
    <row r="124">
      <c r="A124" t="n">
        <v>1064</v>
      </c>
      <c r="B124" t="inlineStr">
        <is>
          <t>Rainin</t>
        </is>
      </c>
      <c r="C124" t="inlineStr">
        <is>
          <t>Modcon Systems Ltd.</t>
        </is>
      </c>
      <c r="D124" t="inlineStr"/>
      <c r="E124" t="inlineStr">
        <is>
          <t>מפיץ</t>
        </is>
      </c>
      <c r="F124" t="inlineStr">
        <is>
          <t>process analytics (Ingold sensors/transmitters); Akko, +972 4 9553955</t>
        </is>
      </c>
      <c r="G124" t="inlineStr">
        <is>
          <t>https://modcon-systems.com</t>
        </is>
      </c>
      <c r="H124" t="inlineStr">
        <is>
          <t>+972-4-9553955</t>
        </is>
      </c>
      <c r="I124" t="inlineStr"/>
      <c r="J124" t="inlineStr">
        <is>
          <t>Modcon House, M. Boronshtein St., South Akko Industrial Park, Akko 24222</t>
        </is>
      </c>
      <c r="K124" t="inlineStr"/>
      <c r="M124" t="inlineStr">
        <is>
          <t>ראיה ישנה</t>
        </is>
      </c>
      <c r="N124" t="inlineStr">
        <is>
          <t>prior_research</t>
        </is>
      </c>
      <c r="P124" t="inlineStr">
        <is>
          <t>https://www.mt.com/il/en/home.html</t>
        </is>
      </c>
    </row>
    <row r="125">
      <c r="A125" t="n">
        <v>1064</v>
      </c>
      <c r="B125" t="inlineStr">
        <is>
          <t>Rainin</t>
        </is>
      </c>
      <c r="C125" t="inlineStr">
        <is>
          <t>Dinco Ltd.</t>
        </is>
      </c>
      <c r="D125" t="inlineStr"/>
      <c r="E125" t="inlineStr">
        <is>
          <t>מפיץ</t>
        </is>
      </c>
      <c r="F125" t="inlineStr">
        <is>
          <t>product inspection (Safeline X-ray etc.); Tirat Carmel, +972 4 813 15 15</t>
        </is>
      </c>
      <c r="G125" t="inlineStr"/>
      <c r="H125" t="inlineStr"/>
      <c r="I125" t="inlineStr"/>
      <c r="J125" t="inlineStr"/>
      <c r="K125" t="inlineStr"/>
      <c r="M125" t="inlineStr">
        <is>
          <t>ראיה ישנה</t>
        </is>
      </c>
      <c r="N125" t="inlineStr">
        <is>
          <t>prior_research</t>
        </is>
      </c>
      <c r="P125" t="inlineStr">
        <is>
          <t>https://www.mt.com/il/en/home.html</t>
        </is>
      </c>
    </row>
    <row r="126">
      <c r="A126" t="n">
        <v>1080</v>
      </c>
      <c r="B126" t="inlineStr">
        <is>
          <t>Retsch</t>
        </is>
      </c>
      <c r="C126" t="inlineStr">
        <is>
          <t>MRC Laboratory Equipment &amp; Instruments</t>
        </is>
      </c>
      <c r="D126" t="inlineStr">
        <is>
          <t>MRC</t>
        </is>
      </c>
      <c r="E126" t="inlineStr">
        <is>
          <t>מפיץ</t>
        </is>
      </c>
      <c r="F126"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26" t="inlineStr">
        <is>
          <t>https://www.mrclab.com</t>
        </is>
      </c>
      <c r="H126" t="inlineStr">
        <is>
          <t>+972 3-559-5252</t>
        </is>
      </c>
      <c r="I126" t="inlineStr"/>
      <c r="J126" t="inlineStr">
        <is>
          <t>3 Ha-Gavish St., Holon 5881702</t>
        </is>
      </c>
      <c r="K126" t="inlineStr"/>
      <c r="L126" t="n">
        <v>2026</v>
      </c>
      <c r="M126" t="inlineStr">
        <is>
          <t>עדכני</t>
        </is>
      </c>
      <c r="N126" t="inlineStr">
        <is>
          <t>prior_research</t>
        </is>
      </c>
      <c r="P126" t="inlineStr">
        <is>
          <t>https://www.mrclab.com/carbolite_drying_ovens_for_solvent</t>
        </is>
      </c>
    </row>
    <row r="127">
      <c r="A127" t="n">
        <v>1081</v>
      </c>
      <c r="B127" t="inlineStr">
        <is>
          <t>Revvity</t>
        </is>
      </c>
      <c r="C127" t="inlineStr">
        <is>
          <t>PerkinElmer Israel Ltd.</t>
        </is>
      </c>
      <c r="D127" t="inlineStr"/>
      <c r="E127" t="inlineStr">
        <is>
          <t>חברה-בת</t>
        </is>
      </c>
      <c r="F127" t="inlineStr">
        <is>
          <t>direct sales, service and support for analytical instruments and OneSource lab services; HaSheizaf St 4, Ra'anana 4366411, +972 3655 8777 - live perkinelmer.com office-location pages</t>
        </is>
      </c>
      <c r="G127" t="inlineStr">
        <is>
          <t>https://www.perkinelmer.com</t>
        </is>
      </c>
      <c r="H127" t="inlineStr">
        <is>
          <t>1-700-500-512</t>
        </is>
      </c>
      <c r="I127" t="inlineStr">
        <is>
          <t>cc.israel@perkinelmer.com</t>
        </is>
      </c>
      <c r="J127" t="inlineStr">
        <is>
          <t>4 HaSheizaf St., Ra'anana</t>
        </is>
      </c>
      <c r="K127" t="inlineStr"/>
      <c r="L127" t="n">
        <v>2026</v>
      </c>
      <c r="M127" t="inlineStr">
        <is>
          <t>עדכני</t>
        </is>
      </c>
      <c r="N127" t="inlineStr">
        <is>
          <t>prior_research</t>
        </is>
      </c>
      <c r="P127" t="inlineStr">
        <is>
          <t>https://www.perkinelmer.com/node/3901</t>
        </is>
      </c>
    </row>
    <row r="128">
      <c r="A128" t="n">
        <v>1081</v>
      </c>
      <c r="B128" t="inlineStr">
        <is>
          <t>Revvity</t>
        </is>
      </c>
      <c r="C128" t="inlineStr">
        <is>
          <t>ISI Israel Scientific Instruments Ltd.</t>
        </is>
      </c>
      <c r="D128" t="inlineStr"/>
      <c r="E128" t="inlineStr">
        <is>
          <t>מפיץ</t>
        </is>
      </c>
      <c r="F128" t="inlineStr">
        <is>
          <t>food testing / food quality products, as listed on PerkinElmer's site; Shacham St 32, Petach Tikva, +972 3-9232202 (site given as isil.co.il)</t>
        </is>
      </c>
      <c r="G128" t="inlineStr">
        <is>
          <t>https://www.isil.co.il</t>
        </is>
      </c>
      <c r="H128" t="inlineStr">
        <is>
          <t>+972-3-9232202</t>
        </is>
      </c>
      <c r="I128" t="inlineStr">
        <is>
          <t>info@isil.co.il</t>
        </is>
      </c>
      <c r="J128" t="inlineStr">
        <is>
          <t>32 Shacham St., P.O. Box 7790, Petah Tikva 49170</t>
        </is>
      </c>
      <c r="K128" t="inlineStr"/>
      <c r="M128" t="inlineStr">
        <is>
          <t>ראיה ישנה</t>
        </is>
      </c>
      <c r="N128" t="inlineStr">
        <is>
          <t>prior_research</t>
        </is>
      </c>
      <c r="P128" t="inlineStr">
        <is>
          <t>https://www.perkinelmer.com/node/10826</t>
        </is>
      </c>
    </row>
    <row r="129">
      <c r="A129" t="n">
        <v>1088</v>
      </c>
      <c r="B129" t="inlineStr">
        <is>
          <t>Roche</t>
        </is>
      </c>
      <c r="C129" t="inlineStr">
        <is>
          <t>Roche Pharmaceuticals (Israel) Ltd. - Diagnostics division ("Roche Diagnostics Israel")</t>
        </is>
      </c>
      <c r="D129" t="inlineStr"/>
      <c r="E129" t="inlineStr">
        <is>
          <t>חברה-בת</t>
        </is>
      </c>
      <c r="F12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9" t="inlineStr">
        <is>
          <t>https://www.roche.co.il</t>
        </is>
      </c>
      <c r="H129" t="inlineStr">
        <is>
          <t>+972-9-9737777</t>
        </is>
      </c>
      <c r="I129" t="inlineStr"/>
      <c r="J129" t="inlineStr">
        <is>
          <t>6 Hacharash St., P.O. Box 3691, Hod Hasharon 4524079</t>
        </is>
      </c>
      <c r="K129" t="inlineStr"/>
      <c r="L129" t="n">
        <v>2026</v>
      </c>
      <c r="M129" t="inlineStr">
        <is>
          <t>עדכני</t>
        </is>
      </c>
      <c r="N129" t="inlineStr">
        <is>
          <t>prior_research</t>
        </is>
      </c>
      <c r="P129" t="inlineStr">
        <is>
          <t>https://www.roche.com/solutions/diagnostics/safety-officers</t>
        </is>
      </c>
    </row>
    <row r="130">
      <c r="A130" t="n">
        <v>1088</v>
      </c>
      <c r="B130" t="inlineStr">
        <is>
          <t>Roche</t>
        </is>
      </c>
      <c r="C130" t="inlineStr">
        <is>
          <t>Gamidor Diagnostics</t>
        </is>
      </c>
      <c r="D130" t="inlineStr">
        <is>
          <t>גאמידור דיאגנוסטיקה בע"מ</t>
        </is>
      </c>
      <c r="E130" t="inlineStr">
        <is>
          <t>מפיץ</t>
        </is>
      </c>
      <c r="F130" t="inlineStr">
        <is>
          <t>Roche Tissue Diagnostics only: Gamidor's live Tissue Diagnostics page offers IHC, molecular ISH and histochemical staining on automated slide-preparation instruments from VENTANA (Roche); not cobas/LightCycler</t>
        </is>
      </c>
      <c r="G130" t="inlineStr">
        <is>
          <t>https://gamidor.co.il</t>
        </is>
      </c>
      <c r="H130" t="inlineStr">
        <is>
          <t>+972-3-927-7277</t>
        </is>
      </c>
      <c r="I130" t="inlineStr">
        <is>
          <t>info@gamidor.co.il</t>
        </is>
      </c>
      <c r="J130" t="inlineStr">
        <is>
          <t>Shaham 32, Petach Tikva</t>
        </is>
      </c>
      <c r="K130" t="inlineStr"/>
      <c r="L130" t="n">
        <v>2026</v>
      </c>
      <c r="M130" t="inlineStr">
        <is>
          <t>עדכני</t>
        </is>
      </c>
      <c r="N130" t="inlineStr">
        <is>
          <t>prior_research</t>
        </is>
      </c>
      <c r="P130" t="inlineStr">
        <is>
          <t>https://gamidor.co.il/en/tissue-diagnostics-2/</t>
        </is>
      </c>
    </row>
    <row r="131">
      <c r="A131" t="n">
        <v>1088</v>
      </c>
      <c r="B131" t="inlineStr">
        <is>
          <t>Roche</t>
        </is>
      </c>
      <c r="C131" t="inlineStr">
        <is>
          <t>Dyn Diagnostics</t>
        </is>
      </c>
      <c r="D131" t="inlineStr"/>
      <c r="E131" t="inlineStr">
        <is>
          <t>מפיץ</t>
        </is>
      </c>
      <c r="F131" t="inlineStr">
        <is>
          <t>Roche Diabetes Care only: Dyn's live Home Care page lists ACCU-CHEK among its brands and describes its partnership with Roche Diabetes Care (Germany); CoaguChek INR self-testing also mentioned; not laboratory analyzers</t>
        </is>
      </c>
      <c r="G131" t="inlineStr">
        <is>
          <t>https://dyn.co.il</t>
        </is>
      </c>
      <c r="H131" t="inlineStr"/>
      <c r="I131" t="inlineStr"/>
      <c r="J131" t="inlineStr"/>
      <c r="K131" t="inlineStr"/>
      <c r="L131" t="n">
        <v>2026</v>
      </c>
      <c r="M131" t="inlineStr">
        <is>
          <t>עדכני</t>
        </is>
      </c>
      <c r="N131" t="inlineStr">
        <is>
          <t>prior_research</t>
        </is>
      </c>
      <c r="P131" t="inlineStr">
        <is>
          <t>https://dyn.co.il/home-care-en</t>
        </is>
      </c>
    </row>
    <row r="132">
      <c r="A132" t="n">
        <v>1089</v>
      </c>
      <c r="B132" t="inlineStr">
        <is>
          <t>Roche Diagnostics Corp.</t>
        </is>
      </c>
      <c r="C132" t="inlineStr">
        <is>
          <t>Roche Pharmaceuticals (Israel) Ltd. - Diagnostics division ("Roche Diagnostics Israel")</t>
        </is>
      </c>
      <c r="D132" t="inlineStr"/>
      <c r="E132" t="inlineStr">
        <is>
          <t>חברה-בת</t>
        </is>
      </c>
      <c r="F13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32" t="inlineStr">
        <is>
          <t>https://www.roche.co.il</t>
        </is>
      </c>
      <c r="H132" t="inlineStr">
        <is>
          <t>+972-9-9737777</t>
        </is>
      </c>
      <c r="I132" t="inlineStr"/>
      <c r="J132" t="inlineStr">
        <is>
          <t>6 Hacharash St., P.O. Box 3691, Hod Hasharon 4524079</t>
        </is>
      </c>
      <c r="K132" t="inlineStr"/>
      <c r="L132" t="n">
        <v>2026</v>
      </c>
      <c r="M132" t="inlineStr">
        <is>
          <t>עדכני</t>
        </is>
      </c>
      <c r="N132" t="inlineStr">
        <is>
          <t>prior_research</t>
        </is>
      </c>
      <c r="P132" t="inlineStr">
        <is>
          <t>https://www.roche.com/solutions/diagnostics/safety-officers</t>
        </is>
      </c>
    </row>
    <row r="133">
      <c r="A133" t="n">
        <v>1089</v>
      </c>
      <c r="B133" t="inlineStr">
        <is>
          <t>Roche Diagnostics Corp.</t>
        </is>
      </c>
      <c r="C133" t="inlineStr">
        <is>
          <t>Gamidor Diagnostics</t>
        </is>
      </c>
      <c r="D133" t="inlineStr">
        <is>
          <t>גאמידור דיאגנוסטיקה בע"מ</t>
        </is>
      </c>
      <c r="E133" t="inlineStr">
        <is>
          <t>מפיץ</t>
        </is>
      </c>
      <c r="F133" t="inlineStr">
        <is>
          <t>Roche Tissue Diagnostics only: Gamidor's live Tissue Diagnostics page offers IHC, molecular ISH and histochemical staining on automated slide-preparation instruments from VENTANA (Roche); not cobas/LightCycler</t>
        </is>
      </c>
      <c r="G133" t="inlineStr">
        <is>
          <t>https://gamidor.co.il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https://gamidor.co.il/en/tissue-diagnostics-2/</t>
        </is>
      </c>
    </row>
    <row r="134">
      <c r="A134" t="n">
        <v>1089</v>
      </c>
      <c r="B134" t="inlineStr">
        <is>
          <t>Roche Diagnostics Corp.</t>
        </is>
      </c>
      <c r="C134" t="inlineStr">
        <is>
          <t>Dyn Diagnostics</t>
        </is>
      </c>
      <c r="D134" t="inlineStr"/>
      <c r="E134" t="inlineStr">
        <is>
          <t>מפיץ</t>
        </is>
      </c>
      <c r="F134" t="inlineStr">
        <is>
          <t>Roche Diabetes Care only: Dyn's live Home Care page lists ACCU-CHEK among its brands and describes its partnership with Roche Diabetes Care (Germany); CoaguChek INR self-testing also mentioned; not laboratory analyzers</t>
        </is>
      </c>
      <c r="G134" t="inlineStr">
        <is>
          <t>https://dyn.co.il</t>
        </is>
      </c>
      <c r="H134" t="inlineStr"/>
      <c r="I134" t="inlineStr"/>
      <c r="J134" t="inlineStr"/>
      <c r="K134" t="inlineStr"/>
      <c r="L134" t="n">
        <v>2026</v>
      </c>
      <c r="M134" t="inlineStr">
        <is>
          <t>עדכני</t>
        </is>
      </c>
      <c r="N134" t="inlineStr">
        <is>
          <t>prior_research</t>
        </is>
      </c>
      <c r="P134" t="inlineStr">
        <is>
          <t>https://dyn.co.il/home-care-en</t>
        </is>
      </c>
    </row>
    <row r="135">
      <c r="A135" t="n">
        <v>1112</v>
      </c>
      <c r="B135" t="inlineStr">
        <is>
          <t>Santa Cruz Biotechnology</t>
        </is>
      </c>
      <c r="C135" t="inlineStr">
        <is>
          <t>Enco Scientific Services Ltd. (Enco Diagnostics)</t>
        </is>
      </c>
      <c r="D135" t="inlineStr">
        <is>
          <t>אנקו</t>
        </is>
      </c>
      <c r="E135" t="inlineStr">
        <is>
          <t>מפיץ</t>
        </is>
      </c>
      <c r="F135" t="inlineStr">
        <is>
          <t>Enco's About page lists the brand among the international companies it distributes in Israel (antibodies/biochemicals)</t>
        </is>
      </c>
      <c r="G135" t="inlineStr">
        <is>
          <t>https://www.enco.co.il</t>
        </is>
      </c>
      <c r="L135" t="n">
        <v>2026</v>
      </c>
      <c r="M135" t="inlineStr">
        <is>
          <t>עדכני</t>
        </is>
      </c>
      <c r="N135" t="inlineStr">
        <is>
          <t>manufacturer_or_press</t>
        </is>
      </c>
      <c r="P135" t="inlineStr">
        <is>
          <t>https://www.enco.co.il/about.php</t>
        </is>
      </c>
    </row>
    <row r="136">
      <c r="A136" t="n">
        <v>1113</v>
      </c>
      <c r="B136" t="inlineStr">
        <is>
          <t>Sarstedt</t>
        </is>
      </c>
      <c r="C136" t="inlineStr">
        <is>
          <t>Tamar Laboratory Supplies Ltd.</t>
        </is>
      </c>
      <c r="D136" t="inlineStr">
        <is>
          <t>תמר ציוד מעבדתי</t>
        </is>
      </c>
      <c r="E136" t="inlineStr">
        <is>
          <t>מפיץ</t>
        </is>
      </c>
      <c r="F136"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36" t="inlineStr">
        <is>
          <t>https://www.tamar.co.il</t>
        </is>
      </c>
      <c r="H136" t="inlineStr">
        <is>
          <t>+972 2-533-6070 (also 02-579-9777)</t>
        </is>
      </c>
      <c r="I136" t="inlineStr"/>
      <c r="J136" t="inlineStr">
        <is>
          <t>HaAla St., Mevaseret Zion 90805</t>
        </is>
      </c>
      <c r="K136" t="inlineStr"/>
      <c r="L136" t="n">
        <v>2026</v>
      </c>
      <c r="M136" t="inlineStr">
        <is>
          <t>עדכני</t>
        </is>
      </c>
      <c r="N136" t="inlineStr">
        <is>
          <t>prior_research</t>
        </is>
      </c>
      <c r="P136" t="inlineStr">
        <is>
          <t>https://www.tamar.co.il/represented-companies/</t>
        </is>
      </c>
    </row>
    <row r="137">
      <c r="A137" t="n">
        <v>1114</v>
      </c>
      <c r="B137" t="inlineStr">
        <is>
          <t>Sartorius</t>
        </is>
      </c>
      <c r="C137" t="inlineStr">
        <is>
          <t>Sartorius Israel Ltd.</t>
        </is>
      </c>
      <c r="D137" t="inlineStr"/>
      <c r="E137" t="inlineStr">
        <is>
          <t>חברה-בת</t>
        </is>
      </c>
      <c r="F137" t="inlineStr">
        <is>
          <t>Sartorius' Israeli company at Kibbutz Beit Haemek 2511500 (ex-Biological Industries; cell-culture media production site opened 2021); local contact tel. +972-4-9960595, info.israel@sartorius.com per Sartorius' live local-contact page</t>
        </is>
      </c>
      <c r="G137" t="inlineStr">
        <is>
          <t>https://www.sartorius.com/en/contact-us/local-contact</t>
        </is>
      </c>
      <c r="H137" t="inlineStr">
        <is>
          <t>+972 4-996-0595</t>
        </is>
      </c>
      <c r="I137" t="inlineStr"/>
      <c r="J137" t="inlineStr">
        <is>
          <t>Kibbutz Beit Haemek 2511500</t>
        </is>
      </c>
      <c r="K137" t="inlineStr">
        <is>
          <t>https://www.sartorius.com/en/contact-us/local-contact</t>
        </is>
      </c>
      <c r="L137" t="n">
        <v>2026</v>
      </c>
      <c r="M137" t="inlineStr">
        <is>
          <t>עדכני</t>
        </is>
      </c>
      <c r="N137" t="inlineStr">
        <is>
          <t>prior_research</t>
        </is>
      </c>
      <c r="P137" t="inlineStr">
        <is>
          <t>https://www.sartorius.com/en/contact-us/local-contact</t>
        </is>
      </c>
    </row>
    <row r="138">
      <c r="A138" t="n">
        <v>1114</v>
      </c>
      <c r="B138" t="inlineStr">
        <is>
          <t>Sartorius</t>
        </is>
      </c>
      <c r="C138" t="inlineStr">
        <is>
          <t>Labotal Scientific Equipment</t>
        </is>
      </c>
      <c r="D138" t="inlineStr">
        <is>
          <t>לבוטל</t>
        </is>
      </c>
      <c r="E138" t="inlineStr">
        <is>
          <t>מפיץ</t>
        </is>
      </c>
      <c r="F138" t="inlineStr">
        <is>
          <t>self-described exclusive Sartorius representative in Israel for weighing (Cubis II balances, isoCAL) and lab products incl. pipettes - live Labotal guide and product pages</t>
        </is>
      </c>
      <c r="G138" t="inlineStr">
        <is>
          <t>https://labotal.co.il</t>
        </is>
      </c>
      <c r="H138" t="inlineStr">
        <is>
          <t>+972 2-579-9222</t>
        </is>
      </c>
      <c r="I138" t="inlineStr">
        <is>
          <t>Sales@labotal.co.il</t>
        </is>
      </c>
      <c r="J138" t="inlineStr">
        <is>
          <t>Hashalom Rd., Abu Ghosh 9084500 (mail: Mevaseret Zion)</t>
        </is>
      </c>
      <c r="K138" t="inlineStr">
        <is>
          <t>https://labotal.co.il/contact/</t>
        </is>
      </c>
      <c r="L138" t="n">
        <v>2026</v>
      </c>
      <c r="M138" t="inlineStr">
        <is>
          <t>עדכני</t>
        </is>
      </c>
      <c r="N138" t="inlineStr">
        <is>
          <t>prior_research</t>
        </is>
      </c>
      <c r="P138" t="inlineStr">
        <is>
          <t>https://labotal.co.il/המדריך-המקיף-לבחירת-מאזניים-אנליטיים/</t>
        </is>
      </c>
    </row>
    <row r="139">
      <c r="A139" t="n">
        <v>1210</v>
      </c>
      <c r="B139" t="inlineStr">
        <is>
          <t>STEMCELL Technologies</t>
        </is>
      </c>
      <c r="C139" t="inlineStr">
        <is>
          <t>Enco Scientific Services Ltd. (Enco Diagnostics)</t>
        </is>
      </c>
      <c r="D139" t="inlineStr">
        <is>
          <t>אנקו</t>
        </is>
      </c>
      <c r="E139" t="inlineStr">
        <is>
          <t>מפיץ</t>
        </is>
      </c>
      <c r="F139" t="inlineStr">
        <is>
          <t>Enco's About page lists 'Stem Cell' among distributed brands - most likely STEMCELL Technologies; to confirm</t>
        </is>
      </c>
      <c r="G139" t="inlineStr">
        <is>
          <t>https://www.enco.co.il</t>
        </is>
      </c>
      <c r="L139" t="n">
        <v>2026</v>
      </c>
      <c r="M139" t="inlineStr">
        <is>
          <t>עדכני</t>
        </is>
      </c>
      <c r="N139" t="inlineStr">
        <is>
          <t>manufacturer_or_press</t>
        </is>
      </c>
      <c r="O139" t="inlineStr">
        <is>
          <t>contained</t>
        </is>
      </c>
      <c r="P139" t="inlineStr">
        <is>
          <t>https://www.enco.co.il/about.php</t>
        </is>
      </c>
    </row>
    <row r="140">
      <c r="A140" t="n">
        <v>1219</v>
      </c>
      <c r="B140" t="inlineStr">
        <is>
          <t>Stuart (Cole-Parmer)</t>
        </is>
      </c>
      <c r="C140" t="inlineStr">
        <is>
          <t>Medent Scientific Instruments</t>
        </is>
      </c>
      <c r="D140" t="inlineStr">
        <is>
          <t>מדנט מכשור מדעי</t>
        </is>
      </c>
      <c r="E140" t="inlineStr">
        <is>
          <t>מפיץ</t>
        </is>
      </c>
      <c r="F14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0" t="inlineStr">
        <is>
          <t>https://www.medent.co.il</t>
        </is>
      </c>
      <c r="H140" t="inlineStr">
        <is>
          <t>+972 72-395-0508 (sales); +972 8-683-6306 (service)</t>
        </is>
      </c>
      <c r="I140" t="inlineStr">
        <is>
          <t>info@medent.co.il</t>
        </is>
      </c>
      <c r="J140" t="inlineStr">
        <is>
          <t>110 Mordei HaGetaot St., Beer Sheva 8420643</t>
        </is>
      </c>
      <c r="K140" t="inlineStr">
        <is>
          <t>https://www.medent.co.il/scientific.equipment/%D7%A6%D7%95%D7%A8-%D7%A7%D7%A9%D7%A8/</t>
        </is>
      </c>
      <c r="L140" t="n">
        <v>2026</v>
      </c>
      <c r="M140" t="inlineStr">
        <is>
          <t>עדכני</t>
        </is>
      </c>
      <c r="N140" t="inlineStr">
        <is>
          <t>prior_research</t>
        </is>
      </c>
      <c r="P140" t="inlineStr">
        <is>
          <t>https://medent.co.il/scientific.equipment/product/%D7%A1%D7%A4%D7%A7%D7%98%D7%A8%D7%95%D7%A4%D7%95%D7%98%D7%95%D7%9E%D7%98%D7%A8-uvvis-%D7%9E%D7%A2%D7%91%D7%93%D7%AA%D7%99-%D7%93%D7%92%D7%9D-6305-%D7%AA%D7%95%D7%A6%D7%A8%D7%AA-jenway/</t>
        </is>
      </c>
    </row>
    <row r="141">
      <c r="A141" t="n">
        <v>1237</v>
      </c>
      <c r="B141" t="inlineStr">
        <is>
          <t>Tecan</t>
        </is>
      </c>
      <c r="C141" t="inlineStr">
        <is>
          <t>Gamidor Diagnostics (1984) Ltd.</t>
        </is>
      </c>
      <c r="D141" t="inlineStr">
        <is>
          <t>גמידור דיאגנוסטיקה</t>
        </is>
      </c>
      <c r="E141" t="inlineStr">
        <is>
          <t>מפיץ</t>
        </is>
      </c>
      <c r="F141"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41" t="inlineStr">
        <is>
          <t>https://www.gamidor.co.il</t>
        </is>
      </c>
      <c r="H141" t="inlineStr">
        <is>
          <t>+972-3-927-7277</t>
        </is>
      </c>
      <c r="I141" t="inlineStr">
        <is>
          <t>info@gamidor.co.il</t>
        </is>
      </c>
      <c r="J141" t="inlineStr">
        <is>
          <t>Shaham 32, Petach Tikva</t>
        </is>
      </c>
      <c r="K141" t="inlineStr"/>
      <c r="L141" t="n">
        <v>2026</v>
      </c>
      <c r="M141" t="inlineStr">
        <is>
          <t>עדכני</t>
        </is>
      </c>
      <c r="N141" t="inlineStr">
        <is>
          <t>prior_research</t>
        </is>
      </c>
      <c r="P141" t="inlineStr">
        <is>
          <t>https://www.tecan.com/contact-us</t>
        </is>
      </c>
    </row>
    <row r="142">
      <c r="A142" t="n">
        <v>1238</v>
      </c>
      <c r="B142" t="inlineStr">
        <is>
          <t>Techne (Cole-Parmer)</t>
        </is>
      </c>
      <c r="C142" t="inlineStr">
        <is>
          <t>Medent Scientific Instruments</t>
        </is>
      </c>
      <c r="D142" t="inlineStr">
        <is>
          <t>מדנט מכשור מדעי</t>
        </is>
      </c>
      <c r="E142" t="inlineStr">
        <is>
          <t>מפיץ</t>
        </is>
      </c>
      <c r="F14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2" t="inlineStr">
        <is>
          <t>https://www.medent.co.il</t>
        </is>
      </c>
      <c r="H142" t="inlineStr">
        <is>
          <t>+972 72-395-0508 (sales); +972 8-683-6306 (service)</t>
        </is>
      </c>
      <c r="I142" t="inlineStr">
        <is>
          <t>info@medent.co.il</t>
        </is>
      </c>
      <c r="J142" t="inlineStr">
        <is>
          <t>110 Mordei HaGetaot St., Beer Sheva 8420643</t>
        </is>
      </c>
      <c r="K142" t="inlineStr">
        <is>
          <t>https://www.medent.co.il/scientific.equipment/%D7%A6%D7%95%D7%A8-%D7%A7%D7%A9%D7%A8/</t>
        </is>
      </c>
      <c r="L142" t="n">
        <v>2026</v>
      </c>
      <c r="M142" t="inlineStr">
        <is>
          <t>עדכני</t>
        </is>
      </c>
      <c r="N142" t="inlineStr">
        <is>
          <t>prior_research</t>
        </is>
      </c>
      <c r="P142" t="inlineStr">
        <is>
          <t>https://medent.co.il/scientific.equipment/product/%D7%A1%D7%A4%D7%A7%D7%98%D7%A8%D7%95%D7%A4%D7%95%D7%98%D7%95%D7%9E%D7%98%D7%A8-uvvis-%D7%9E%D7%A2%D7%91%D7%93%D7%AA%D7%99-%D7%93%D7%92%D7%9D-6305-%D7%AA%D7%95%D7%A6%D7%A8%D7%AA-jenway/</t>
        </is>
      </c>
    </row>
    <row r="143">
      <c r="A143" t="n">
        <v>1255</v>
      </c>
      <c r="B143" t="inlineStr">
        <is>
          <t>Thermo Scientific</t>
        </is>
      </c>
      <c r="C143" t="inlineStr">
        <is>
          <t>Thermo Fisher Integrated Solutions Israel Ltd.</t>
        </is>
      </c>
      <c r="D143" t="inlineStr">
        <is>
          <t>תרמו פישר ישראל (רעננה)</t>
        </is>
      </c>
      <c r="E143" t="inlineStr">
        <is>
          <t>חברה-בת</t>
        </is>
      </c>
      <c r="F143" t="inlineStr">
        <is>
          <t>direct life-science sales &amp; field service organisation being built out 2025-26</t>
        </is>
      </c>
      <c r="G143" t="inlineStr">
        <is>
          <t>https://www.thermofisher.com</t>
        </is>
      </c>
      <c r="H143" t="inlineStr">
        <is>
          <t>+972 8-940-8618</t>
        </is>
      </c>
      <c r="I143" t="inlineStr"/>
      <c r="J143" t="inlineStr">
        <is>
          <t>5 Golda Meir St., Ness Ziona (also Airport City 1, Lod)</t>
        </is>
      </c>
      <c r="K143" t="inlineStr">
        <is>
          <t>https://www.thermofisher.com/il/en/home.html</t>
        </is>
      </c>
      <c r="M143" t="inlineStr"/>
      <c r="N143" t="inlineStr">
        <is>
          <t>prior_research</t>
        </is>
      </c>
      <c r="P143" t="inlineStr">
        <is>
          <t>https://www.thermofisher.com/il/en/home.html</t>
        </is>
      </c>
    </row>
    <row r="144">
      <c r="A144" t="n">
        <v>1255</v>
      </c>
      <c r="B144" t="inlineStr">
        <is>
          <t>Thermo Scientific</t>
        </is>
      </c>
      <c r="C144" t="inlineStr">
        <is>
          <t>Thermo Fisher Scientific Israel Ltd. (Kiryat Shmona)</t>
        </is>
      </c>
      <c r="D144" t="inlineStr">
        <is>
          <t>תרמו פישר קריית שמונה</t>
        </is>
      </c>
      <c r="E144" t="inlineStr">
        <is>
          <t>חברה-בת</t>
        </is>
      </c>
      <c r="F144" t="inlineStr">
        <is>
          <t>manufacturing / engineering site (ISO 9001/13485); not a sales channel</t>
        </is>
      </c>
      <c r="G144" t="inlineStr">
        <is>
          <t>https://www.thermofisher.com</t>
        </is>
      </c>
      <c r="H144" t="inlineStr">
        <is>
          <t>+972 8-940-8618</t>
        </is>
      </c>
      <c r="I144" t="inlineStr"/>
      <c r="J144" t="inlineStr">
        <is>
          <t>5 Golda Meir St., Ness Ziona (also Airport City 1, Lod)</t>
        </is>
      </c>
      <c r="K144" t="inlineStr">
        <is>
          <t>https://www.thermofisher.com/il/en/home.html</t>
        </is>
      </c>
      <c r="M144" t="inlineStr"/>
      <c r="N144" t="inlineStr">
        <is>
          <t>prior_research</t>
        </is>
      </c>
      <c r="P144" t="inlineStr"/>
    </row>
    <row r="145">
      <c r="A145" t="n">
        <v>1255</v>
      </c>
      <c r="B145" t="inlineStr">
        <is>
          <t>Thermo Scientific</t>
        </is>
      </c>
      <c r="C145" t="inlineStr">
        <is>
          <t>Rhenium Ltd.</t>
        </is>
      </c>
      <c r="D145" t="inlineStr">
        <is>
          <t>רניום</t>
        </is>
      </c>
      <c r="E145" t="inlineStr">
        <is>
          <t>מפיץ</t>
        </is>
      </c>
      <c r="F14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5" t="inlineStr">
        <is>
          <t>https://www.rhenium.co.il</t>
        </is>
      </c>
      <c r="H145" t="inlineStr">
        <is>
          <t>+972 8-955-8888</t>
        </is>
      </c>
      <c r="I145" t="inlineStr"/>
      <c r="J145" t="inlineStr">
        <is>
          <t>20 Hasatat St., P.O. Box 180, Modi'in 7171101</t>
        </is>
      </c>
      <c r="K145" t="inlineStr"/>
      <c r="L145" t="n">
        <v>2026</v>
      </c>
      <c r="M145" t="inlineStr">
        <is>
          <t>עדכני</t>
        </is>
      </c>
      <c r="N145" t="inlineStr">
        <is>
          <t>prior_research</t>
        </is>
      </c>
      <c r="P145" t="inlineStr">
        <is>
          <t>https://rhenium.co.il/products/bioproduction</t>
        </is>
      </c>
    </row>
    <row r="146">
      <c r="A146" t="n">
        <v>1255</v>
      </c>
      <c r="B146" t="inlineStr">
        <is>
          <t>Thermo Scientific</t>
        </is>
      </c>
      <c r="C146" t="inlineStr">
        <is>
          <t>Gamidor Diagnostics (1984) Ltd.</t>
        </is>
      </c>
      <c r="D146" t="inlineStr">
        <is>
          <t>גמידור דיאגנוסטיקה</t>
        </is>
      </c>
      <c r="E146" t="inlineStr">
        <is>
          <t>מפיץ</t>
        </is>
      </c>
      <c r="F14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6" t="inlineStr">
        <is>
          <t>https://www.gamidor.co.il</t>
        </is>
      </c>
      <c r="H146" t="inlineStr">
        <is>
          <t>+972-3-927-7277</t>
        </is>
      </c>
      <c r="I146" t="inlineStr">
        <is>
          <t>info@gamidor.co.il</t>
        </is>
      </c>
      <c r="J146" t="inlineStr">
        <is>
          <t>Shaham 32, Petach Tikva</t>
        </is>
      </c>
      <c r="K146" t="inlineStr"/>
      <c r="L146" t="n">
        <v>2026</v>
      </c>
      <c r="M146" t="inlineStr">
        <is>
          <t>עדכני</t>
        </is>
      </c>
      <c r="N146" t="inlineStr">
        <is>
          <t>prior_research</t>
        </is>
      </c>
      <c r="P146" t="inlineStr">
        <is>
          <t>https://gamidor.co.il/en/allergy/</t>
        </is>
      </c>
    </row>
    <row r="147">
      <c r="A147" t="n">
        <v>1255</v>
      </c>
      <c r="B147" t="inlineStr">
        <is>
          <t>Thermo Scientific</t>
        </is>
      </c>
      <c r="C147" t="inlineStr">
        <is>
          <t>Bargal Analytical Instruments Ltd.</t>
        </is>
      </c>
      <c r="D147" t="inlineStr">
        <is>
          <t>ברגל</t>
        </is>
      </c>
      <c r="E147" t="inlineStr">
        <is>
          <t>מפיץ</t>
        </is>
      </c>
      <c r="F14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7" t="inlineStr">
        <is>
          <t>https://www.bargal.co.il</t>
        </is>
      </c>
      <c r="H147" t="inlineStr">
        <is>
          <t>+972-3-979-6533</t>
        </is>
      </c>
      <c r="I147" t="inlineStr">
        <is>
          <t>sales@bargal.co.il</t>
        </is>
      </c>
      <c r="J147" t="inlineStr">
        <is>
          <t>10 Shaked Street, Modi'in Industrial Park, Shoham 6085102</t>
        </is>
      </c>
      <c r="K147" t="inlineStr"/>
      <c r="L147" t="n">
        <v>2026</v>
      </c>
      <c r="M147" t="inlineStr">
        <is>
          <t>עדכני</t>
        </is>
      </c>
      <c r="N147" t="inlineStr">
        <is>
          <t>prior_research</t>
        </is>
      </c>
      <c r="P147" t="inlineStr">
        <is>
          <t>https://bargal.co.il/product/q-exactive-uhmr-hybrid-quadrupole-orbitrap-ms-system/</t>
        </is>
      </c>
    </row>
    <row r="148">
      <c r="A148" t="n">
        <v>1255</v>
      </c>
      <c r="B148" t="inlineStr">
        <is>
          <t>Thermo Scientific</t>
        </is>
      </c>
      <c r="C148" t="inlineStr">
        <is>
          <t>Danyel Biotech Ltd.</t>
        </is>
      </c>
      <c r="D148" t="inlineStr">
        <is>
          <t>דניאל ביוטק</t>
        </is>
      </c>
      <c r="E148" t="inlineStr">
        <is>
          <t>מפיץ</t>
        </is>
      </c>
      <c r="F148" t="inlineStr">
        <is>
          <t>Olink proteomics (a Thermo Fisher business): live Olink brand page on Danyel's site</t>
        </is>
      </c>
      <c r="G148" t="inlineStr">
        <is>
          <t>https://www.danyel.co.il</t>
        </is>
      </c>
      <c r="H148" t="inlineStr">
        <is>
          <t>1-800-711-911 (also +972 8-936-6066)</t>
        </is>
      </c>
      <c r="I148" t="inlineStr"/>
      <c r="J148" t="inlineStr">
        <is>
          <t>8 Hamada St., Science Park, Rehovot 7670308</t>
        </is>
      </c>
      <c r="K148" t="inlineStr">
        <is>
          <t>https://www.danyel.co.il/contact-us/</t>
        </is>
      </c>
      <c r="L148" t="n">
        <v>2026</v>
      </c>
      <c r="M148" t="inlineStr">
        <is>
          <t>עדכני</t>
        </is>
      </c>
      <c r="N148" t="inlineStr">
        <is>
          <t>prior_research</t>
        </is>
      </c>
      <c r="P148" t="inlineStr">
        <is>
          <t>https://www.danyel.co.il/olink/</t>
        </is>
      </c>
    </row>
    <row r="149">
      <c r="A149" t="n">
        <v>1255</v>
      </c>
      <c r="B149" t="inlineStr">
        <is>
          <t>Thermo Scientific</t>
        </is>
      </c>
      <c r="C149" t="inlineStr">
        <is>
          <t>Thermo Fisher Scientific – EM service location, Airport City</t>
        </is>
      </c>
      <c r="D149" t="inlineStr"/>
      <c r="E149" t="inlineStr">
        <is>
          <t>שירות</t>
        </is>
      </c>
      <c r="F149" t="inlineStr">
        <is>
          <t>Thermo Fisher's own Israeli sales/support organisation; thermofisher.com's Phenom desktop-SEM distributor page names 'Thermo Fisher Integrated Solutions' as the Israel contact (live page); a Thermo Fisher careers page lists jobs in Israel</t>
        </is>
      </c>
      <c r="G149" t="inlineStr">
        <is>
          <t>https://www.thermofisher.com</t>
        </is>
      </c>
      <c r="H149" t="inlineStr">
        <is>
          <t>+972 8-940-8618</t>
        </is>
      </c>
      <c r="I149" t="inlineStr"/>
      <c r="J149" t="inlineStr">
        <is>
          <t>5 Golda Meir St., Ness Ziona (also Airport City 1, Lod)</t>
        </is>
      </c>
      <c r="K149" t="inlineStr">
        <is>
          <t>https://www.thermofisher.com/il/en/home.html</t>
        </is>
      </c>
      <c r="L149" t="n">
        <v>2026</v>
      </c>
      <c r="M149" t="inlineStr">
        <is>
          <t>ראיה ישנה</t>
        </is>
      </c>
      <c r="N149" t="inlineStr">
        <is>
          <t>prior_research</t>
        </is>
      </c>
      <c r="P149" t="inlineStr">
        <is>
          <t>https://www.thermofisher.com/us/en/home/electron-microscopy/products/desktop-scanning-electron-microscopes/phenom-distributors.html</t>
        </is>
      </c>
    </row>
    <row r="150">
      <c r="A150" t="n">
        <v>1255</v>
      </c>
      <c r="B150" t="inlineStr">
        <is>
          <t>Thermo Scientific</t>
        </is>
      </c>
      <c r="C150" t="inlineStr">
        <is>
          <t>Iner-Tech Ltd. (Rehovot)</t>
        </is>
      </c>
      <c r="D150" t="inlineStr"/>
      <c r="E150" t="inlineStr">
        <is>
          <t>מפיץ</t>
        </is>
      </c>
      <c r="F150" t="inlineStr">
        <is>
          <t>Thermo Scientific portable pharma QA/QC analysers (handheld Raman/NIR material ID) - listed on thermofisher.com's distributor page for Israel</t>
        </is>
      </c>
      <c r="G150" t="inlineStr"/>
      <c r="H150" t="inlineStr"/>
      <c r="I150" t="inlineStr"/>
      <c r="J150" t="inlineStr"/>
      <c r="K150" t="inlineStr"/>
      <c r="L150" t="n">
        <v>2026</v>
      </c>
      <c r="M150" t="inlineStr">
        <is>
          <t>חדש</t>
        </is>
      </c>
      <c r="N150" t="inlineStr">
        <is>
          <t>prior_research</t>
        </is>
      </c>
      <c r="P150" t="inlineStr">
        <is>
          <t>https://www.thermofisher.com/us/en/home/industrial/spectroscopy-elemental-isotope-analysis/portable-analysis-material-id/portable-pharmaceutical-qa-qc-manufacturing-solutions/portable-pharma-qa-qc-manufacturing-solutions-distributors.html</t>
        </is>
      </c>
    </row>
    <row r="151">
      <c r="A151" t="n">
        <v>1255</v>
      </c>
      <c r="B151" t="inlineStr">
        <is>
          <t>Thermo Scientific</t>
        </is>
      </c>
      <c r="C151" t="inlineStr">
        <is>
          <t>R.B.M. Ltd. Control &amp; Mechanization (Hod Hasharon)</t>
        </is>
      </c>
      <c r="D151" t="inlineStr"/>
      <c r="E151" t="inlineStr">
        <is>
          <t>מפיץ</t>
        </is>
      </c>
      <c r="F151" t="inlineStr">
        <is>
          <t>Thermo Scientific Niton portable XRF / LIBS analysers - listed on thermofisher.com's authorized XRF &amp; LIBS distributor page for Israel</t>
        </is>
      </c>
      <c r="G151" t="inlineStr"/>
      <c r="H151" t="inlineStr"/>
      <c r="I151" t="inlineStr"/>
      <c r="J151" t="inlineStr"/>
      <c r="K151" t="inlineStr"/>
      <c r="L151" t="n">
        <v>2026</v>
      </c>
      <c r="M151" t="inlineStr">
        <is>
          <t>חדש</t>
        </is>
      </c>
      <c r="N151" t="inlineStr">
        <is>
          <t>prior_research</t>
        </is>
      </c>
      <c r="P151" t="inlineStr">
        <is>
          <t>https://www.thermofisher.com/us/en/home/industrial/spectroscopy-elemental-isotope-analysis/portable-analysis-material-id/portable-analysis-for-material-id-distributors.html</t>
        </is>
      </c>
    </row>
    <row r="152">
      <c r="A152" t="n">
        <v>1255</v>
      </c>
      <c r="B152" t="inlineStr">
        <is>
          <t>Thermo Scientific</t>
        </is>
      </c>
      <c r="C152" t="inlineStr">
        <is>
          <t>Madid Industrial Controls Ltd.</t>
        </is>
      </c>
      <c r="D152" t="inlineStr"/>
      <c r="E152" t="inlineStr">
        <is>
          <t>מפיץ</t>
        </is>
      </c>
      <c r="F152" t="inlineStr">
        <is>
          <t>Thermo Scientific dataTaker data loggers (industrial data acquisition) - listed on thermofisher.com's dataTaker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https://www.thermofisher.com/us/en/home/industrial/manufacturing-processing/data-acquisition/datataker-distributors.html</t>
        </is>
      </c>
    </row>
    <row r="153">
      <c r="A153" t="n">
        <v>1259</v>
      </c>
      <c r="B153" t="inlineStr">
        <is>
          <t>Thermo Scientific Nalgene</t>
        </is>
      </c>
      <c r="C153" t="inlineStr">
        <is>
          <t>Thermo Fisher Integrated Solutions Israel Ltd.</t>
        </is>
      </c>
      <c r="D153" t="inlineStr">
        <is>
          <t>תרמו פישר ישראל (רעננה)</t>
        </is>
      </c>
      <c r="E153" t="inlineStr">
        <is>
          <t>חברה-בת</t>
        </is>
      </c>
      <c r="F153" t="inlineStr">
        <is>
          <t>direct life-science sales &amp; field service organisation being built out 2025-26</t>
        </is>
      </c>
      <c r="G153" t="inlineStr">
        <is>
          <t>https://www.thermofisher.com</t>
        </is>
      </c>
      <c r="H153" t="inlineStr">
        <is>
          <t>+972 8-940-8618</t>
        </is>
      </c>
      <c r="I153" t="inlineStr"/>
      <c r="J153" t="inlineStr">
        <is>
          <t>5 Golda Meir St., Ness Ziona (also Airport City 1, Lod)</t>
        </is>
      </c>
      <c r="K153" t="inlineStr">
        <is>
          <t>https://www.thermofisher.com/il/en/home.html</t>
        </is>
      </c>
      <c r="M153" t="inlineStr"/>
      <c r="N153" t="inlineStr">
        <is>
          <t>prior_research</t>
        </is>
      </c>
      <c r="P153" t="inlineStr">
        <is>
          <t>https://www.thermofisher.com/il/en/home.html</t>
        </is>
      </c>
    </row>
    <row r="154">
      <c r="A154" t="n">
        <v>1259</v>
      </c>
      <c r="B154" t="inlineStr">
        <is>
          <t>Thermo Scientific Nalgene</t>
        </is>
      </c>
      <c r="C154" t="inlineStr">
        <is>
          <t>Thermo Fisher Scientific Israel Ltd. (Kiryat Shmona)</t>
        </is>
      </c>
      <c r="D154" t="inlineStr">
        <is>
          <t>תרמו פישר קריית שמונה</t>
        </is>
      </c>
      <c r="E154" t="inlineStr">
        <is>
          <t>חברה-בת</t>
        </is>
      </c>
      <c r="F154" t="inlineStr">
        <is>
          <t>manufacturing / engineering site (ISO 9001/13485); not a sales channel</t>
        </is>
      </c>
      <c r="G154" t="inlineStr">
        <is>
          <t>https://www.thermofisher.com</t>
        </is>
      </c>
      <c r="H154" t="inlineStr">
        <is>
          <t>+972 8-940-8618</t>
        </is>
      </c>
      <c r="I154" t="inlineStr"/>
      <c r="J154" t="inlineStr">
        <is>
          <t>5 Golda Meir St., Ness Ziona (also Airport City 1, Lod)</t>
        </is>
      </c>
      <c r="K154" t="inlineStr">
        <is>
          <t>https://www.thermofisher.com/il/en/home.html</t>
        </is>
      </c>
      <c r="M154" t="inlineStr"/>
      <c r="N154" t="inlineStr">
        <is>
          <t>prior_research</t>
        </is>
      </c>
      <c r="P154" t="inlineStr"/>
    </row>
    <row r="155">
      <c r="A155" t="n">
        <v>1259</v>
      </c>
      <c r="B155" t="inlineStr">
        <is>
          <t>Thermo Scientific Nalgene</t>
        </is>
      </c>
      <c r="C155" t="inlineStr">
        <is>
          <t>Rhenium Ltd.</t>
        </is>
      </c>
      <c r="D155" t="inlineStr">
        <is>
          <t>רניום</t>
        </is>
      </c>
      <c r="E155" t="inlineStr">
        <is>
          <t>מפיץ</t>
        </is>
      </c>
      <c r="F15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5" t="inlineStr">
        <is>
          <t>https://www.rhenium.co.il</t>
        </is>
      </c>
      <c r="H155" t="inlineStr">
        <is>
          <t>+972 8-955-8888</t>
        </is>
      </c>
      <c r="I155" t="inlineStr"/>
      <c r="J155" t="inlineStr">
        <is>
          <t>20 Hasatat St., P.O. Box 180, Modi'in 7171101</t>
        </is>
      </c>
      <c r="K155" t="inlineStr"/>
      <c r="L155" t="n">
        <v>2026</v>
      </c>
      <c r="M155" t="inlineStr">
        <is>
          <t>עדכני</t>
        </is>
      </c>
      <c r="N155" t="inlineStr">
        <is>
          <t>prior_research</t>
        </is>
      </c>
      <c r="P155" t="inlineStr">
        <is>
          <t>https://rhenium.co.il/products/bioproduction</t>
        </is>
      </c>
    </row>
    <row r="156">
      <c r="A156" t="n">
        <v>1259</v>
      </c>
      <c r="B156" t="inlineStr">
        <is>
          <t>Thermo Scientific Nalgene</t>
        </is>
      </c>
      <c r="C156" t="inlineStr">
        <is>
          <t>Gamidor Diagnostics (1984) Ltd.</t>
        </is>
      </c>
      <c r="D156" t="inlineStr">
        <is>
          <t>גמידור דיאגנוסטיקה</t>
        </is>
      </c>
      <c r="E156" t="inlineStr">
        <is>
          <t>מפיץ</t>
        </is>
      </c>
      <c r="F15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6" t="inlineStr">
        <is>
          <t>https://www.gamidor.co.il</t>
        </is>
      </c>
      <c r="H156" t="inlineStr">
        <is>
          <t>+972-3-927-7277</t>
        </is>
      </c>
      <c r="I156" t="inlineStr">
        <is>
          <t>info@gamidor.co.il</t>
        </is>
      </c>
      <c r="J156" t="inlineStr">
        <is>
          <t>Shaham 32, Petach Tikva</t>
        </is>
      </c>
      <c r="K156" t="inlineStr"/>
      <c r="L156" t="n">
        <v>2026</v>
      </c>
      <c r="M156" t="inlineStr">
        <is>
          <t>עדכני</t>
        </is>
      </c>
      <c r="N156" t="inlineStr">
        <is>
          <t>prior_research</t>
        </is>
      </c>
      <c r="P156" t="inlineStr">
        <is>
          <t>https://gamidor.co.il/en/allergy/</t>
        </is>
      </c>
    </row>
    <row r="157">
      <c r="A157" t="n">
        <v>1259</v>
      </c>
      <c r="B157" t="inlineStr">
        <is>
          <t>Thermo Scientific Nalgene</t>
        </is>
      </c>
      <c r="C157" t="inlineStr">
        <is>
          <t>Bargal Analytical Instruments Ltd.</t>
        </is>
      </c>
      <c r="D157" t="inlineStr">
        <is>
          <t>ברגל</t>
        </is>
      </c>
      <c r="E157" t="inlineStr">
        <is>
          <t>מפיץ</t>
        </is>
      </c>
      <c r="F15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7" t="inlineStr">
        <is>
          <t>https://www.bargal.co.il</t>
        </is>
      </c>
      <c r="H157" t="inlineStr">
        <is>
          <t>+972-3-979-6533</t>
        </is>
      </c>
      <c r="I157" t="inlineStr">
        <is>
          <t>sales@bargal.co.il</t>
        </is>
      </c>
      <c r="J157" t="inlineStr">
        <is>
          <t>10 Shaked Street, Modi'in Industrial Park, Shoham 6085102</t>
        </is>
      </c>
      <c r="K157" t="inlineStr"/>
      <c r="L157" t="n">
        <v>2026</v>
      </c>
      <c r="M157" t="inlineStr">
        <is>
          <t>עדכני</t>
        </is>
      </c>
      <c r="N157" t="inlineStr">
        <is>
          <t>prior_research</t>
        </is>
      </c>
      <c r="P157" t="inlineStr">
        <is>
          <t>https://bargal.co.il/product/q-exactive-uhmr-hybrid-quadrupole-orbitrap-ms-system/</t>
        </is>
      </c>
    </row>
    <row r="158">
      <c r="A158" t="n">
        <v>1259</v>
      </c>
      <c r="B158" t="inlineStr">
        <is>
          <t>Thermo Scientific Nalgene</t>
        </is>
      </c>
      <c r="C158" t="inlineStr">
        <is>
          <t>Danyel Biotech Ltd.</t>
        </is>
      </c>
      <c r="D158" t="inlineStr">
        <is>
          <t>דניאל ביוטק</t>
        </is>
      </c>
      <c r="E158" t="inlineStr">
        <is>
          <t>מפיץ</t>
        </is>
      </c>
      <c r="F158" t="inlineStr">
        <is>
          <t>Olink proteomics (a Thermo Fisher business): live Olink brand page on Danyel's site</t>
        </is>
      </c>
      <c r="G158" t="inlineStr">
        <is>
          <t>https://www.danyel.co.il</t>
        </is>
      </c>
      <c r="H158" t="inlineStr">
        <is>
          <t>1-800-711-911 (also +972 8-936-6066)</t>
        </is>
      </c>
      <c r="I158" t="inlineStr"/>
      <c r="J158" t="inlineStr">
        <is>
          <t>8 Hamada St., Science Park, Rehovot 7670308</t>
        </is>
      </c>
      <c r="K158" t="inlineStr">
        <is>
          <t>https://www.danyel.co.il/contact-us/</t>
        </is>
      </c>
      <c r="L158" t="n">
        <v>2026</v>
      </c>
      <c r="M158" t="inlineStr">
        <is>
          <t>עדכני</t>
        </is>
      </c>
      <c r="N158" t="inlineStr">
        <is>
          <t>prior_research</t>
        </is>
      </c>
      <c r="P158" t="inlineStr">
        <is>
          <t>https://www.danyel.co.il/olink/</t>
        </is>
      </c>
    </row>
    <row r="159">
      <c r="A159" t="n">
        <v>1259</v>
      </c>
      <c r="B159" t="inlineStr">
        <is>
          <t>Thermo Scientific Nalgene</t>
        </is>
      </c>
      <c r="C159" t="inlineStr">
        <is>
          <t>Thermo Fisher Scientific – EM service location, Airport City</t>
        </is>
      </c>
      <c r="D159" t="inlineStr"/>
      <c r="E159" t="inlineStr">
        <is>
          <t>שירות</t>
        </is>
      </c>
      <c r="F159" t="inlineStr">
        <is>
          <t>Thermo Fisher's own Israeli sales/support organisation; thermofisher.com's Phenom desktop-SEM distributor page names 'Thermo Fisher Integrated Solutions' as the Israel contact (live page); a Thermo Fisher careers page lists jobs in Israel</t>
        </is>
      </c>
      <c r="G159" t="inlineStr">
        <is>
          <t>https://www.thermofisher.com</t>
        </is>
      </c>
      <c r="H159" t="inlineStr">
        <is>
          <t>+972 8-940-8618</t>
        </is>
      </c>
      <c r="I159" t="inlineStr"/>
      <c r="J159" t="inlineStr">
        <is>
          <t>5 Golda Meir St., Ness Ziona (also Airport City 1, Lod)</t>
        </is>
      </c>
      <c r="K159" t="inlineStr">
        <is>
          <t>https://www.thermofisher.com/il/en/home.html</t>
        </is>
      </c>
      <c r="L159" t="n">
        <v>2026</v>
      </c>
      <c r="M159" t="inlineStr">
        <is>
          <t>ראיה ישנה</t>
        </is>
      </c>
      <c r="N159" t="inlineStr">
        <is>
          <t>prior_research</t>
        </is>
      </c>
      <c r="P159" t="inlineStr">
        <is>
          <t>https://www.thermofisher.com/us/en/home/electron-microscopy/products/desktop-scanning-electron-microscopes/phenom-distributors.html</t>
        </is>
      </c>
    </row>
    <row r="160">
      <c r="A160" t="n">
        <v>1259</v>
      </c>
      <c r="B160" t="inlineStr">
        <is>
          <t>Thermo Scientific Nalgene</t>
        </is>
      </c>
      <c r="C160" t="inlineStr">
        <is>
          <t>Iner-Tech Ltd. (Rehovot)</t>
        </is>
      </c>
      <c r="D160" t="inlineStr"/>
      <c r="E160" t="inlineStr">
        <is>
          <t>מפיץ</t>
        </is>
      </c>
      <c r="F160" t="inlineStr">
        <is>
          <t>Thermo Scientific portable pharma QA/QC analysers (handheld Raman/NIR material ID) - listed on thermofisher.com's distributor page for Israel</t>
        </is>
      </c>
      <c r="G160" t="inlineStr"/>
      <c r="H160" t="inlineStr"/>
      <c r="I160" t="inlineStr"/>
      <c r="J160" t="inlineStr"/>
      <c r="K160" t="inlineStr"/>
      <c r="L160" t="n">
        <v>2026</v>
      </c>
      <c r="M160" t="inlineStr">
        <is>
          <t>חדש</t>
        </is>
      </c>
      <c r="N160" t="inlineStr">
        <is>
          <t>prior_research</t>
        </is>
      </c>
      <c r="P160" t="inlineStr">
        <is>
          <t>https://www.thermofisher.com/us/en/home/industrial/spectroscopy-elemental-isotope-analysis/portable-analysis-material-id/portable-pharmaceutical-qa-qc-manufacturing-solutions/portable-pharma-qa-qc-manufacturing-solutions-distributors.html</t>
        </is>
      </c>
    </row>
    <row r="161">
      <c r="A161" t="n">
        <v>1259</v>
      </c>
      <c r="B161" t="inlineStr">
        <is>
          <t>Thermo Scientific Nalgene</t>
        </is>
      </c>
      <c r="C161" t="inlineStr">
        <is>
          <t>R.B.M. Ltd. Control &amp; Mechanization (Hod Hasharon)</t>
        </is>
      </c>
      <c r="D161" t="inlineStr"/>
      <c r="E161" t="inlineStr">
        <is>
          <t>מפיץ</t>
        </is>
      </c>
      <c r="F161" t="inlineStr">
        <is>
          <t>Thermo Scientific Niton portable XRF / LIBS analysers - listed on thermofisher.com's authorized XRF &amp; LIBS distributor page for Israel</t>
        </is>
      </c>
      <c r="G161" t="inlineStr"/>
      <c r="H161" t="inlineStr"/>
      <c r="I161" t="inlineStr"/>
      <c r="J161" t="inlineStr"/>
      <c r="K161" t="inlineStr"/>
      <c r="L161" t="n">
        <v>2026</v>
      </c>
      <c r="M161" t="inlineStr">
        <is>
          <t>חדש</t>
        </is>
      </c>
      <c r="N161" t="inlineStr">
        <is>
          <t>prior_research</t>
        </is>
      </c>
      <c r="P161" t="inlineStr">
        <is>
          <t>https://www.thermofisher.com/us/en/home/industrial/spectroscopy-elemental-isotope-analysis/portable-analysis-material-id/portable-analysis-for-material-id-distributors.html</t>
        </is>
      </c>
    </row>
    <row r="162">
      <c r="A162" t="n">
        <v>1259</v>
      </c>
      <c r="B162" t="inlineStr">
        <is>
          <t>Thermo Scientific Nalgene</t>
        </is>
      </c>
      <c r="C162" t="inlineStr">
        <is>
          <t>Madid Industrial Controls Ltd.</t>
        </is>
      </c>
      <c r="D162" t="inlineStr"/>
      <c r="E162" t="inlineStr">
        <is>
          <t>מפיץ</t>
        </is>
      </c>
      <c r="F162" t="inlineStr">
        <is>
          <t>Thermo Scientific dataTaker data loggers (industrial data acquisition) - listed on thermofisher.com's dataTaker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https://www.thermofisher.com/us/en/home/industrial/manufacturing-processing/data-acquisition/datataker-distributors.html</t>
        </is>
      </c>
    </row>
    <row r="163">
      <c r="A163" t="n">
        <v>1261</v>
      </c>
      <c r="B163" t="inlineStr">
        <is>
          <t>Thermo Scientific Orion</t>
        </is>
      </c>
      <c r="C163" t="inlineStr">
        <is>
          <t>Thermo Fisher Integrated Solutions Israel Ltd.</t>
        </is>
      </c>
      <c r="D163" t="inlineStr">
        <is>
          <t>תרמו פישר ישראל (רעננה)</t>
        </is>
      </c>
      <c r="E163" t="inlineStr">
        <is>
          <t>חברה-בת</t>
        </is>
      </c>
      <c r="F163" t="inlineStr">
        <is>
          <t>direct life-science sales &amp; field service organisation being built out 2025-26</t>
        </is>
      </c>
      <c r="G163" t="inlineStr">
        <is>
          <t>https://www.thermofisher.com</t>
        </is>
      </c>
      <c r="H163" t="inlineStr">
        <is>
          <t>+972 8-940-8618</t>
        </is>
      </c>
      <c r="I163" t="inlineStr"/>
      <c r="J163" t="inlineStr">
        <is>
          <t>5 Golda Meir St., Ness Ziona (also Airport City 1, Lod)</t>
        </is>
      </c>
      <c r="K163" t="inlineStr">
        <is>
          <t>https://www.thermofisher.com/il/en/home.html</t>
        </is>
      </c>
      <c r="M163" t="inlineStr"/>
      <c r="N163" t="inlineStr">
        <is>
          <t>prior_research</t>
        </is>
      </c>
      <c r="P163" t="inlineStr">
        <is>
          <t>https://www.thermofisher.com/il/en/home.html</t>
        </is>
      </c>
    </row>
    <row r="164">
      <c r="A164" t="n">
        <v>1261</v>
      </c>
      <c r="B164" t="inlineStr">
        <is>
          <t>Thermo Scientific Orion</t>
        </is>
      </c>
      <c r="C164" t="inlineStr">
        <is>
          <t>Thermo Fisher Scientific Israel Ltd. (Kiryat Shmona)</t>
        </is>
      </c>
      <c r="D164" t="inlineStr">
        <is>
          <t>תרמו פישר קריית שמונה</t>
        </is>
      </c>
      <c r="E164" t="inlineStr">
        <is>
          <t>חברה-בת</t>
        </is>
      </c>
      <c r="F164" t="inlineStr">
        <is>
          <t>manufacturing / engineering site (ISO 9001/13485); not a sales channel</t>
        </is>
      </c>
      <c r="G164" t="inlineStr">
        <is>
          <t>https://www.thermofisher.com</t>
        </is>
      </c>
      <c r="H164" t="inlineStr">
        <is>
          <t>+972 8-940-8618</t>
        </is>
      </c>
      <c r="I164" t="inlineStr"/>
      <c r="J164" t="inlineStr">
        <is>
          <t>5 Golda Meir St., Ness Ziona (also Airport City 1, Lod)</t>
        </is>
      </c>
      <c r="K164" t="inlineStr">
        <is>
          <t>https://www.thermofisher.com/il/en/home.html</t>
        </is>
      </c>
      <c r="M164" t="inlineStr"/>
      <c r="N164" t="inlineStr">
        <is>
          <t>prior_research</t>
        </is>
      </c>
      <c r="P164" t="inlineStr"/>
    </row>
    <row r="165">
      <c r="A165" t="n">
        <v>1261</v>
      </c>
      <c r="B165" t="inlineStr">
        <is>
          <t>Thermo Scientific Orion</t>
        </is>
      </c>
      <c r="C165" t="inlineStr">
        <is>
          <t>Rhenium Ltd.</t>
        </is>
      </c>
      <c r="D165" t="inlineStr">
        <is>
          <t>רניום</t>
        </is>
      </c>
      <c r="E165" t="inlineStr">
        <is>
          <t>מפיץ</t>
        </is>
      </c>
      <c r="F16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65" t="inlineStr">
        <is>
          <t>https://www.rhenium.co.il</t>
        </is>
      </c>
      <c r="H165" t="inlineStr">
        <is>
          <t>+972 8-955-8888</t>
        </is>
      </c>
      <c r="I165" t="inlineStr"/>
      <c r="J165" t="inlineStr">
        <is>
          <t>20 Hasatat St., P.O. Box 180, Modi'in 7171101</t>
        </is>
      </c>
      <c r="K165" t="inlineStr"/>
      <c r="L165" t="n">
        <v>2026</v>
      </c>
      <c r="M165" t="inlineStr">
        <is>
          <t>עדכני</t>
        </is>
      </c>
      <c r="N165" t="inlineStr">
        <is>
          <t>prior_research</t>
        </is>
      </c>
      <c r="P165" t="inlineStr">
        <is>
          <t>https://rhenium.co.il/products/bioproduction</t>
        </is>
      </c>
    </row>
    <row r="166">
      <c r="A166" t="n">
        <v>1261</v>
      </c>
      <c r="B166" t="inlineStr">
        <is>
          <t>Thermo Scientific Orion</t>
        </is>
      </c>
      <c r="C166" t="inlineStr">
        <is>
          <t>Gamidor Diagnostics (1984) Ltd.</t>
        </is>
      </c>
      <c r="D166" t="inlineStr">
        <is>
          <t>גמידור דיאגנוסטיקה</t>
        </is>
      </c>
      <c r="E166" t="inlineStr">
        <is>
          <t>מפיץ</t>
        </is>
      </c>
      <c r="F16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66" t="inlineStr">
        <is>
          <t>https://www.gamidor.co.il</t>
        </is>
      </c>
      <c r="H166" t="inlineStr">
        <is>
          <t>+972-3-927-7277</t>
        </is>
      </c>
      <c r="I166" t="inlineStr">
        <is>
          <t>info@gamidor.co.il</t>
        </is>
      </c>
      <c r="J166" t="inlineStr">
        <is>
          <t>Shaham 32, Petach Tikva</t>
        </is>
      </c>
      <c r="K166" t="inlineStr"/>
      <c r="L166" t="n">
        <v>2026</v>
      </c>
      <c r="M166" t="inlineStr">
        <is>
          <t>עדכני</t>
        </is>
      </c>
      <c r="N166" t="inlineStr">
        <is>
          <t>prior_research</t>
        </is>
      </c>
      <c r="P166" t="inlineStr">
        <is>
          <t>https://gamidor.co.il/en/allergy/</t>
        </is>
      </c>
    </row>
    <row r="167">
      <c r="A167" t="n">
        <v>1261</v>
      </c>
      <c r="B167" t="inlineStr">
        <is>
          <t>Thermo Scientific Orion</t>
        </is>
      </c>
      <c r="C167" t="inlineStr">
        <is>
          <t>Bargal Analytical Instruments Ltd.</t>
        </is>
      </c>
      <c r="D167" t="inlineStr">
        <is>
          <t>ברגל</t>
        </is>
      </c>
      <c r="E167" t="inlineStr">
        <is>
          <t>מפיץ</t>
        </is>
      </c>
      <c r="F16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67" t="inlineStr">
        <is>
          <t>https://www.bargal.co.il</t>
        </is>
      </c>
      <c r="H167" t="inlineStr">
        <is>
          <t>+972-3-979-6533</t>
        </is>
      </c>
      <c r="I167" t="inlineStr">
        <is>
          <t>sales@bargal.co.il</t>
        </is>
      </c>
      <c r="J167" t="inlineStr">
        <is>
          <t>10 Shaked Street, Modi'in Industrial Park, Shoham 6085102</t>
        </is>
      </c>
      <c r="K167" t="inlineStr"/>
      <c r="L167" t="n">
        <v>2026</v>
      </c>
      <c r="M167" t="inlineStr">
        <is>
          <t>עדכני</t>
        </is>
      </c>
      <c r="N167" t="inlineStr">
        <is>
          <t>prior_research</t>
        </is>
      </c>
      <c r="P167" t="inlineStr">
        <is>
          <t>https://bargal.co.il/product/q-exactive-uhmr-hybrid-quadrupole-orbitrap-ms-system/</t>
        </is>
      </c>
    </row>
    <row r="168">
      <c r="A168" t="n">
        <v>1261</v>
      </c>
      <c r="B168" t="inlineStr">
        <is>
          <t>Thermo Scientific Orion</t>
        </is>
      </c>
      <c r="C168" t="inlineStr">
        <is>
          <t>Danyel Biotech Ltd.</t>
        </is>
      </c>
      <c r="D168" t="inlineStr">
        <is>
          <t>דניאל ביוטק</t>
        </is>
      </c>
      <c r="E168" t="inlineStr">
        <is>
          <t>מפיץ</t>
        </is>
      </c>
      <c r="F168" t="inlineStr">
        <is>
          <t>Olink proteomics (a Thermo Fisher business): live Olink brand page on Danyel's site</t>
        </is>
      </c>
      <c r="G168" t="inlineStr">
        <is>
          <t>https://www.danyel.co.il</t>
        </is>
      </c>
      <c r="H168" t="inlineStr">
        <is>
          <t>1-800-711-911 (also +972 8-936-6066)</t>
        </is>
      </c>
      <c r="I168" t="inlineStr"/>
      <c r="J168" t="inlineStr">
        <is>
          <t>8 Hamada St., Science Park, Rehovot 7670308</t>
        </is>
      </c>
      <c r="K168" t="inlineStr">
        <is>
          <t>https://www.danyel.co.il/contact-us/</t>
        </is>
      </c>
      <c r="L168" t="n">
        <v>2026</v>
      </c>
      <c r="M168" t="inlineStr">
        <is>
          <t>עדכני</t>
        </is>
      </c>
      <c r="N168" t="inlineStr">
        <is>
          <t>prior_research</t>
        </is>
      </c>
      <c r="P168" t="inlineStr">
        <is>
          <t>https://www.danyel.co.il/olink/</t>
        </is>
      </c>
    </row>
    <row r="169">
      <c r="A169" t="n">
        <v>1261</v>
      </c>
      <c r="B169" t="inlineStr">
        <is>
          <t>Thermo Scientific Orion</t>
        </is>
      </c>
      <c r="C169" t="inlineStr">
        <is>
          <t>Thermo Fisher Scientific – EM service location, Airport City</t>
        </is>
      </c>
      <c r="D169" t="inlineStr"/>
      <c r="E169" t="inlineStr">
        <is>
          <t>שירות</t>
        </is>
      </c>
      <c r="F169" t="inlineStr">
        <is>
          <t>Thermo Fisher's own Israeli sales/support organisation; thermofisher.com's Phenom desktop-SEM distributor page names 'Thermo Fisher Integrated Solutions' as the Israel contact (live page); a Thermo Fisher careers page lists jobs in Israel</t>
        </is>
      </c>
      <c r="G169" t="inlineStr">
        <is>
          <t>https://www.thermofisher.com</t>
        </is>
      </c>
      <c r="H169" t="inlineStr">
        <is>
          <t>+972 8-940-8618</t>
        </is>
      </c>
      <c r="I169" t="inlineStr"/>
      <c r="J169" t="inlineStr">
        <is>
          <t>5 Golda Meir St., Ness Ziona (also Airport City 1, Lod)</t>
        </is>
      </c>
      <c r="K169" t="inlineStr">
        <is>
          <t>https://www.thermofisher.com/il/en/home.html</t>
        </is>
      </c>
      <c r="L169" t="n">
        <v>2026</v>
      </c>
      <c r="M169" t="inlineStr">
        <is>
          <t>ראיה ישנה</t>
        </is>
      </c>
      <c r="N169" t="inlineStr">
        <is>
          <t>prior_research</t>
        </is>
      </c>
      <c r="P169" t="inlineStr">
        <is>
          <t>https://www.thermofisher.com/us/en/home/electron-microscopy/products/desktop-scanning-electron-microscopes/phenom-distributors.html</t>
        </is>
      </c>
    </row>
    <row r="170">
      <c r="A170" t="n">
        <v>1261</v>
      </c>
      <c r="B170" t="inlineStr">
        <is>
          <t>Thermo Scientific Orion</t>
        </is>
      </c>
      <c r="C170" t="inlineStr">
        <is>
          <t>Iner-Tech Ltd. (Rehovot)</t>
        </is>
      </c>
      <c r="D170" t="inlineStr"/>
      <c r="E170" t="inlineStr">
        <is>
          <t>מפיץ</t>
        </is>
      </c>
      <c r="F170" t="inlineStr">
        <is>
          <t>Thermo Scientific portable pharma QA/QC analysers (handheld Raman/NIR material ID) - listed on thermofisher.com's distributor page for Israel</t>
        </is>
      </c>
      <c r="G170" t="inlineStr"/>
      <c r="H170" t="inlineStr"/>
      <c r="I170" t="inlineStr"/>
      <c r="J170" t="inlineStr"/>
      <c r="K170" t="inlineStr"/>
      <c r="L170" t="n">
        <v>2026</v>
      </c>
      <c r="M170" t="inlineStr">
        <is>
          <t>חדש</t>
        </is>
      </c>
      <c r="N170" t="inlineStr">
        <is>
          <t>prior_research</t>
        </is>
      </c>
      <c r="P170" t="inlineStr">
        <is>
          <t>https://www.thermofisher.com/us/en/home/industrial/spectroscopy-elemental-isotope-analysis/portable-analysis-material-id/portable-pharmaceutical-qa-qc-manufacturing-solutions/portable-pharma-qa-qc-manufacturing-solutions-distributors.html</t>
        </is>
      </c>
    </row>
    <row r="171">
      <c r="A171" t="n">
        <v>1261</v>
      </c>
      <c r="B171" t="inlineStr">
        <is>
          <t>Thermo Scientific Orion</t>
        </is>
      </c>
      <c r="C171" t="inlineStr">
        <is>
          <t>R.B.M. Ltd. Control &amp; Mechanization (Hod Hasharon)</t>
        </is>
      </c>
      <c r="D171" t="inlineStr"/>
      <c r="E171" t="inlineStr">
        <is>
          <t>מפיץ</t>
        </is>
      </c>
      <c r="F171" t="inlineStr">
        <is>
          <t>Thermo Scientific Niton portable XRF / LIBS analysers - listed on thermofisher.com's authorized XRF &amp; LIBS distributor page for Israel</t>
        </is>
      </c>
      <c r="G171" t="inlineStr"/>
      <c r="H171" t="inlineStr"/>
      <c r="I171" t="inlineStr"/>
      <c r="J171" t="inlineStr"/>
      <c r="K171" t="inlineStr"/>
      <c r="L171" t="n">
        <v>2026</v>
      </c>
      <c r="M171" t="inlineStr">
        <is>
          <t>חדש</t>
        </is>
      </c>
      <c r="N171" t="inlineStr">
        <is>
          <t>prior_research</t>
        </is>
      </c>
      <c r="P171" t="inlineStr">
        <is>
          <t>https://www.thermofisher.com/us/en/home/industrial/spectroscopy-elemental-isotope-analysis/portable-analysis-material-id/portable-analysis-for-material-id-distributors.html</t>
        </is>
      </c>
    </row>
    <row r="172">
      <c r="A172" t="n">
        <v>1261</v>
      </c>
      <c r="B172" t="inlineStr">
        <is>
          <t>Thermo Scientific Orion</t>
        </is>
      </c>
      <c r="C172" t="inlineStr">
        <is>
          <t>Madid Industrial Controls Ltd.</t>
        </is>
      </c>
      <c r="D172" t="inlineStr"/>
      <c r="E172" t="inlineStr">
        <is>
          <t>מפיץ</t>
        </is>
      </c>
      <c r="F172" t="inlineStr">
        <is>
          <t>Thermo Scientific dataTaker data loggers (industrial data acquisition) - listed on thermofisher.com's dataTaker distributor page for Israel</t>
        </is>
      </c>
      <c r="G172" t="inlineStr"/>
      <c r="H172" t="inlineStr"/>
      <c r="I172" t="inlineStr"/>
      <c r="J172" t="inlineStr"/>
      <c r="K172" t="inlineStr"/>
      <c r="L172" t="n">
        <v>2026</v>
      </c>
      <c r="M172" t="inlineStr">
        <is>
          <t>חדש</t>
        </is>
      </c>
      <c r="N172" t="inlineStr">
        <is>
          <t>prior_research</t>
        </is>
      </c>
      <c r="P172" t="inlineStr">
        <is>
          <t>https://www.thermofisher.com/us/en/home/industrial/manufacturing-processing/data-acquisition/datataker-distributors.html</t>
        </is>
      </c>
    </row>
    <row r="173">
      <c r="A173" t="n">
        <v>1276</v>
      </c>
      <c r="B173" t="inlineStr">
        <is>
          <t>Tocris</t>
        </is>
      </c>
      <c r="C173" t="inlineStr">
        <is>
          <t>Getter Bio-Med (Getter Group)</t>
        </is>
      </c>
      <c r="D173" t="inlineStr">
        <is>
          <t>גטר ביו-מד</t>
        </is>
      </c>
      <c r="E173" t="inlineStr">
        <is>
          <t>מפיץ</t>
        </is>
      </c>
      <c r="F173" t="inlineStr">
        <is>
          <t>Lunaphore (a Bio-Techne brand) spatial-biology platforms – Getter describes itself as the official Israeli representative (LinkedIn)</t>
        </is>
      </c>
      <c r="G173" t="inlineStr">
        <is>
          <t>https://www.getter.co.il</t>
        </is>
      </c>
      <c r="H173" t="inlineStr">
        <is>
          <t>+972 3-576-1555 (Getter Group switchboard)</t>
        </is>
      </c>
      <c r="I173" t="inlineStr"/>
      <c r="J173" t="inlineStr">
        <is>
          <t>7 Shimshon St., Petah Tikva 4912502</t>
        </is>
      </c>
      <c r="K173" t="inlineStr"/>
      <c r="M173" t="inlineStr">
        <is>
          <t>ראיה ישנה</t>
        </is>
      </c>
      <c r="N173" t="inlineStr">
        <is>
          <t>prior_research</t>
        </is>
      </c>
      <c r="P173" t="inlineStr">
        <is>
          <t>https://www.getter.co.il/about-en/</t>
        </is>
      </c>
    </row>
    <row r="174">
      <c r="A174" t="n">
        <v>1276</v>
      </c>
      <c r="B174" t="inlineStr">
        <is>
          <t>Tocris</t>
        </is>
      </c>
      <c r="C174" t="inlineStr">
        <is>
          <t>Biotest</t>
        </is>
      </c>
      <c r="D174" t="inlineStr"/>
      <c r="E174" t="inlineStr">
        <is>
          <t>מפיץ</t>
        </is>
      </c>
      <c r="F174" t="inlineStr">
        <is>
          <t>Israeli distributor listed on Bio-Techne's Novus Biologicals distributor directory: 6 Hasadna St., P.O. Box 8006, Kfar Saba 4442405 (phone/e-mail on page); coverage of other Bio-Techne brands (R&amp;D Systems, Tocris, ProteinSimple) not confirmed</t>
        </is>
      </c>
      <c r="G174" t="inlineStr"/>
      <c r="H174" t="inlineStr"/>
      <c r="I174" t="inlineStr"/>
      <c r="J174" t="inlineStr"/>
      <c r="K174" t="inlineStr"/>
      <c r="L174" t="n">
        <v>2026</v>
      </c>
      <c r="M174" t="inlineStr">
        <is>
          <t>חדש</t>
        </is>
      </c>
      <c r="N174" t="inlineStr">
        <is>
          <t>prior_research</t>
        </is>
      </c>
      <c r="P174" t="inlineStr">
        <is>
          <t>https://www.bio-techne.com/distributors/novus</t>
        </is>
      </c>
    </row>
    <row r="175">
      <c r="A175" t="n">
        <v>1299</v>
      </c>
      <c r="B175" t="inlineStr">
        <is>
          <t>Tuttnauer Ltd.</t>
        </is>
      </c>
      <c r="C175" t="inlineStr">
        <is>
          <t>Tuttnauer Ltd.</t>
        </is>
      </c>
      <c r="D175" t="inlineStr">
        <is>
          <t>טוטנאור</t>
        </is>
      </c>
      <c r="E175" t="inlineStr">
        <is>
          <t>חברה-בת</t>
        </is>
      </c>
      <c r="F175" t="inlineStr">
        <is>
          <t>Tuttnauer's Israeli legal entity, headquarters and manufacturing base: Har Tuv B Industrial Zone, P.O. Box 170, Beit Shemesh 9910101, Israel (founded 1925; described as the central base for worldwide operations and product development; US HQ in Hauppauge, NY).</t>
        </is>
      </c>
      <c r="G175" t="inlineStr">
        <is>
          <t>https://tuttnauer.com</t>
        </is>
      </c>
      <c r="L175" t="n">
        <v>2026</v>
      </c>
      <c r="M175" t="inlineStr">
        <is>
          <t>עדכני</t>
        </is>
      </c>
      <c r="N175" t="inlineStr">
        <is>
          <t>manufacturer_or_press</t>
        </is>
      </c>
      <c r="O175" t="inlineStr">
        <is>
          <t>search</t>
        </is>
      </c>
      <c r="P175" t="inlineStr">
        <is>
          <t>https://pharmchoices.com/list-of-medical-device-companies-in-israel-2/7/</t>
        </is>
      </c>
    </row>
    <row r="176">
      <c r="A176" t="n">
        <v>1327</v>
      </c>
      <c r="B176" t="inlineStr">
        <is>
          <t>Velp</t>
        </is>
      </c>
      <c r="C176" t="inlineStr">
        <is>
          <t>Labotal</t>
        </is>
      </c>
      <c r="D176" t="inlineStr">
        <is>
          <t>לבוטל ציוד מדעי</t>
        </is>
      </c>
      <c r="E176" t="inlineStr">
        <is>
          <t>מפיץ</t>
        </is>
      </c>
      <c r="F176"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6" t="inlineStr">
        <is>
          <t>https://labotal.co.il</t>
        </is>
      </c>
      <c r="H176" t="inlineStr">
        <is>
          <t>+972 2-579-9222</t>
        </is>
      </c>
      <c r="I176" t="inlineStr">
        <is>
          <t>Sales@labotal.co.il</t>
        </is>
      </c>
      <c r="J176" t="inlineStr">
        <is>
          <t>Hashalom Rd., Abu Ghosh 9084500 (mail: Mevaseret Zion)</t>
        </is>
      </c>
      <c r="K176" t="inlineStr">
        <is>
          <t>https://labotal.co.il/contact/</t>
        </is>
      </c>
      <c r="L176" t="n">
        <v>2026</v>
      </c>
      <c r="M176" t="inlineStr">
        <is>
          <t>עדכני</t>
        </is>
      </c>
      <c r="N176" t="inlineStr">
        <is>
          <t>prior_research</t>
        </is>
      </c>
      <c r="P176" t="inlineStr">
        <is>
          <t>https://labotal.co.il/firms/?lang=en</t>
        </is>
      </c>
    </row>
    <row r="177">
      <c r="A177" t="n">
        <v>1328</v>
      </c>
      <c r="B177" t="inlineStr">
        <is>
          <t>Velp Scientifica</t>
        </is>
      </c>
      <c r="C177" t="inlineStr">
        <is>
          <t>Labotal</t>
        </is>
      </c>
      <c r="D177" t="inlineStr">
        <is>
          <t>לבוטל ציוד מדעי</t>
        </is>
      </c>
      <c r="E177" t="inlineStr">
        <is>
          <t>מפיץ</t>
        </is>
      </c>
      <c r="F17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7" t="inlineStr">
        <is>
          <t>https://labotal.co.il</t>
        </is>
      </c>
      <c r="H177" t="inlineStr">
        <is>
          <t>+972 2-579-9222</t>
        </is>
      </c>
      <c r="I177" t="inlineStr">
        <is>
          <t>Sales@labotal.co.il</t>
        </is>
      </c>
      <c r="J177" t="inlineStr">
        <is>
          <t>Hashalom Rd., Abu Ghosh 9084500 (mail: Mevaseret Zion)</t>
        </is>
      </c>
      <c r="K177" t="inlineStr">
        <is>
          <t>https://labotal.co.il/contact/</t>
        </is>
      </c>
      <c r="L177" t="n">
        <v>2026</v>
      </c>
      <c r="M177" t="inlineStr">
        <is>
          <t>עדכני</t>
        </is>
      </c>
      <c r="N177" t="inlineStr">
        <is>
          <t>prior_research</t>
        </is>
      </c>
      <c r="P177" t="inlineStr">
        <is>
          <t>https://labotal.co.il/firms/?lang=en</t>
        </is>
      </c>
    </row>
    <row r="178">
      <c r="A178" t="n">
        <v>1345</v>
      </c>
      <c r="B178" t="inlineStr">
        <is>
          <t>Waters</t>
        </is>
      </c>
      <c r="C178" t="inlineStr">
        <is>
          <t>Waters (TC) Israel Ltd.</t>
        </is>
      </c>
      <c r="D178" t="inlineStr"/>
      <c r="E178" t="inlineStr">
        <is>
          <t>חברה-בת</t>
        </is>
      </c>
      <c r="F178"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78" t="inlineStr">
        <is>
          <t>https://www.waters.com</t>
        </is>
      </c>
      <c r="H178" t="inlineStr"/>
      <c r="I178" t="inlineStr"/>
      <c r="J178" t="inlineStr"/>
      <c r="K178" t="inlineStr"/>
      <c r="L178" t="n">
        <v>2024</v>
      </c>
      <c r="M178" t="inlineStr">
        <is>
          <t>עדכני</t>
        </is>
      </c>
      <c r="N178" t="inlineStr">
        <is>
          <t>prior_research</t>
        </is>
      </c>
      <c r="P178" t="inlineStr">
        <is>
          <t>https://www.sec.gov/Archives/edgar/data/1000697/000119312524047491/d691142dex211.htm</t>
        </is>
      </c>
    </row>
    <row r="179">
      <c r="A179" t="n">
        <v>1345</v>
      </c>
      <c r="B179" t="inlineStr">
        <is>
          <t>Waters</t>
        </is>
      </c>
      <c r="C179" t="inlineStr">
        <is>
          <t>Bargal Analytical Instruments Ltd.</t>
        </is>
      </c>
      <c r="D179" t="inlineStr">
        <is>
          <t>ברגל</t>
        </is>
      </c>
      <c r="E179" t="inlineStr">
        <is>
          <t>מפיץ</t>
        </is>
      </c>
      <c r="F179" t="inlineStr">
        <is>
          <t>TA Instruments (a Waters division) thermal analysis, rheology and microcalorimetry – listed in TA Instruments' Middle East directory</t>
        </is>
      </c>
      <c r="G179" t="inlineStr">
        <is>
          <t>https://www.bargal.co.il</t>
        </is>
      </c>
      <c r="H179" t="inlineStr">
        <is>
          <t>+972-3-979-6533</t>
        </is>
      </c>
      <c r="I179" t="inlineStr">
        <is>
          <t>sales@bargal.co.il</t>
        </is>
      </c>
      <c r="J179" t="inlineStr">
        <is>
          <t>10 Shaked Street, Modi'in Industrial Park, Shoham 6085102</t>
        </is>
      </c>
      <c r="K179" t="inlineStr"/>
      <c r="M179" t="inlineStr">
        <is>
          <t>ראיה ישנה</t>
        </is>
      </c>
      <c r="N179" t="inlineStr">
        <is>
          <t>prior_research</t>
        </is>
      </c>
      <c r="P179" t="inlineStr">
        <is>
          <t>https://www.tainstruments.com/events/middleeast-directory.html</t>
        </is>
      </c>
    </row>
    <row r="180">
      <c r="A180" t="n">
        <v>1355</v>
      </c>
      <c r="B180" t="inlineStr">
        <is>
          <t>Wheaton</t>
        </is>
      </c>
      <c r="C180" t="inlineStr">
        <is>
          <t>Danyel Biotech Ltd. (Gamida for Life group)</t>
        </is>
      </c>
      <c r="D180" t="inlineStr">
        <is>
          <t>דניאל ביוטק</t>
        </is>
      </c>
      <c r="E180" t="inlineStr">
        <is>
          <t>מפיץ</t>
        </is>
      </c>
      <c r="F18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80" t="inlineStr">
        <is>
          <t>https://www.danyel.co.il</t>
        </is>
      </c>
      <c r="H180" t="inlineStr">
        <is>
          <t>1-800-711-911 (also +972 8-936-6066)</t>
        </is>
      </c>
      <c r="I180" t="inlineStr"/>
      <c r="J180" t="inlineStr">
        <is>
          <t>8 Hamada St., Science Park, Rehovot 7670308</t>
        </is>
      </c>
      <c r="K180" t="inlineStr">
        <is>
          <t>https://www.danyel.co.il/contact-us/</t>
        </is>
      </c>
      <c r="L180" t="n">
        <v>2026</v>
      </c>
      <c r="M180" t="inlineStr">
        <is>
          <t>עדכני</t>
        </is>
      </c>
      <c r="N180" t="inlineStr">
        <is>
          <t>prior_research</t>
        </is>
      </c>
      <c r="P180" t="inlineStr">
        <is>
          <t>https://www.danyel.co.il/scilabware/</t>
        </is>
      </c>
    </row>
    <row r="181">
      <c r="A181" t="n">
        <v>1363</v>
      </c>
      <c r="B181" t="inlineStr">
        <is>
          <t>Worthington Biochemical</t>
        </is>
      </c>
      <c r="C181" t="inlineStr">
        <is>
          <t>Enco Scientific Services Ltd. (Enco Diagnostics)</t>
        </is>
      </c>
      <c r="D181" t="inlineStr">
        <is>
          <t>אנקו</t>
        </is>
      </c>
      <c r="E181" t="inlineStr">
        <is>
          <t>מפיץ</t>
        </is>
      </c>
      <c r="F181" t="inlineStr">
        <is>
          <t>Enco's About page lists the brand among the international companies it distributes in Israel (antibodies/biochemicals)</t>
        </is>
      </c>
      <c r="G181" t="inlineStr">
        <is>
          <t>https://www.enco.co.il</t>
        </is>
      </c>
      <c r="L181" t="n">
        <v>2026</v>
      </c>
      <c r="M181" t="inlineStr">
        <is>
          <t>עדכני</t>
        </is>
      </c>
      <c r="N181" t="inlineStr">
        <is>
          <t>manufacturer_or_press</t>
        </is>
      </c>
      <c r="P181" t="inlineStr">
        <is>
          <t>https://www.enco.co.il/about.php</t>
        </is>
      </c>
    </row>
    <row r="182">
      <c r="A182" t="n">
        <v>1371</v>
      </c>
      <c r="B182" t="inlineStr">
        <is>
          <t>Yamato</t>
        </is>
      </c>
      <c r="C182" t="inlineStr">
        <is>
          <t>S.L. Moran Ltd.</t>
        </is>
      </c>
      <c r="D182" t="inlineStr">
        <is>
          <t>ש.ל מורן</t>
        </is>
      </c>
      <c r="E182" t="inlineStr">
        <is>
          <t>מפיץ</t>
        </is>
      </c>
      <c r="F182" t="inlineStr">
        <is>
          <t>listed as Yamato Scientific's sales representative for Israel on Yamato's global partners page (Shatner Center bldg 7, Givat Shaul, Jerusalem, +972-74-7029898); no Yamato products seen on S.L. Moran's own site</t>
        </is>
      </c>
      <c r="G182" t="inlineStr">
        <is>
          <t>https://slmoran.co.il</t>
        </is>
      </c>
      <c r="H182" t="inlineStr">
        <is>
          <t>+972 74-702-9898</t>
        </is>
      </c>
      <c r="I182" t="inlineStr"/>
      <c r="J182" t="inlineStr">
        <is>
          <t>Shatner Center 7, Givat Shaul, Jerusalem</t>
        </is>
      </c>
      <c r="K182" t="inlineStr"/>
      <c r="L182" t="n">
        <v>2018</v>
      </c>
      <c r="M182" t="inlineStr">
        <is>
          <t>ראיה ישנה</t>
        </is>
      </c>
      <c r="N182" t="inlineStr">
        <is>
          <t>prior_research</t>
        </is>
      </c>
      <c r="P182" t="inlineStr">
        <is>
          <t>https://www.yamato-scientific.com/global/</t>
        </is>
      </c>
    </row>
    <row r="183">
      <c r="A183" t="n">
        <v>1372</v>
      </c>
      <c r="B183" t="inlineStr">
        <is>
          <t>Yamato Scientific America</t>
        </is>
      </c>
      <c r="C183" t="inlineStr">
        <is>
          <t>S.L. Moran Ltd.</t>
        </is>
      </c>
      <c r="D183" t="inlineStr">
        <is>
          <t>ש.ל מורן</t>
        </is>
      </c>
      <c r="E183" t="inlineStr">
        <is>
          <t>מפיץ</t>
        </is>
      </c>
      <c r="F183" t="inlineStr">
        <is>
          <t>listed as Yamato Scientific's sales representative for Israel on Yamato's global partners page (Shatner Center bldg 7, Givat Shaul, Jerusalem, +972-74-7029898); no Yamato products seen on S.L. Moran's own site</t>
        </is>
      </c>
      <c r="G183" t="inlineStr">
        <is>
          <t>https://slmoran.co.il</t>
        </is>
      </c>
      <c r="H183" t="inlineStr">
        <is>
          <t>+972 74-702-9898</t>
        </is>
      </c>
      <c r="I183" t="inlineStr"/>
      <c r="J183" t="inlineStr">
        <is>
          <t>Shatner Center 7, Givat Shaul, Jerusalem</t>
        </is>
      </c>
      <c r="K183" t="inlineStr"/>
      <c r="L183" t="n">
        <v>2018</v>
      </c>
      <c r="M183" t="inlineStr">
        <is>
          <t>ראיה ישנה</t>
        </is>
      </c>
      <c r="N183" t="inlineStr">
        <is>
          <t>prior_research</t>
        </is>
      </c>
      <c r="P183"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6</v>
      </c>
      <c r="I10" t="inlineStr">
        <is>
          <t>Biotium; 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Yair Technologies (Yair Tech)</t>
        </is>
      </c>
      <c r="B29" t="inlineStr">
        <is>
          <t>יאיר טכנולוגיות</t>
        </is>
      </c>
      <c r="C29" t="inlineStr">
        <is>
          <t>מפיץ</t>
        </is>
      </c>
      <c r="D29" t="inlineStr">
        <is>
          <t>https://www.yairtech.co.il</t>
        </is>
      </c>
      <c r="H29" t="n">
        <v>2</v>
      </c>
      <c r="I29" t="inlineStr">
        <is>
          <t>G-Biosciences; MTC Bio</t>
        </is>
      </c>
    </row>
    <row r="30">
      <c r="A30" t="inlineStr">
        <is>
          <t>Ophir Analytical Ltd.</t>
        </is>
      </c>
      <c r="B30" t="inlineStr"/>
      <c r="C30" t="inlineStr">
        <is>
          <t>מפיץ</t>
        </is>
      </c>
      <c r="D30" t="inlineStr">
        <is>
          <t>https://ophiranalytical.com</t>
        </is>
      </c>
      <c r="E30" t="inlineStr">
        <is>
          <t>+972 3-902-2277</t>
        </is>
      </c>
      <c r="F30" t="inlineStr"/>
      <c r="G30" t="inlineStr">
        <is>
          <t>Rosh Ha'ayin</t>
        </is>
      </c>
      <c r="H30" t="n">
        <v>2</v>
      </c>
      <c r="I30" t="inlineStr">
        <is>
          <t>Hamilton; Jasco</t>
        </is>
      </c>
    </row>
    <row r="31">
      <c r="A31" t="inlineStr">
        <is>
          <t>Sigma-Aldrich Israel Ltd. (affiliate of Merck KGaA, Darmstadt)</t>
        </is>
      </c>
      <c r="B31" t="inlineStr"/>
      <c r="C31" t="inlineStr">
        <is>
          <t>חברה-בת</t>
        </is>
      </c>
      <c r="D31" t="inlineStr">
        <is>
          <t>https://www.sigmaaldrich.com/IL/en</t>
        </is>
      </c>
      <c r="E31" t="inlineStr">
        <is>
          <t>+972-8-9484222 / +972-8-9484100</t>
        </is>
      </c>
      <c r="F31" t="inlineStr">
        <is>
          <t>isrcustserv@merckgroup.com; isrtechserv@merckgroup.com</t>
        </is>
      </c>
      <c r="G31" t="inlineStr">
        <is>
          <t>3 Plaut St., Rehovot 7670603</t>
        </is>
      </c>
      <c r="H31" t="n">
        <v>2</v>
      </c>
      <c r="I31" t="inlineStr">
        <is>
          <t>Merck; MilliporeSigma</t>
        </is>
      </c>
    </row>
    <row r="32">
      <c r="A32" t="inlineStr">
        <is>
          <t>Modcon Systems Ltd.</t>
        </is>
      </c>
      <c r="B32" t="inlineStr"/>
      <c r="C32" t="inlineStr">
        <is>
          <t>מפיץ</t>
        </is>
      </c>
      <c r="D32" t="inlineStr">
        <is>
          <t>https://modcon-systems.com</t>
        </is>
      </c>
      <c r="E32" t="inlineStr">
        <is>
          <t>+972-4-9553955</t>
        </is>
      </c>
      <c r="F32" t="inlineStr"/>
      <c r="G32" t="inlineStr">
        <is>
          <t>Modcon House, M. Boronshtein St., South Akko Industrial Park, Akko 24222</t>
        </is>
      </c>
      <c r="H32" t="n">
        <v>2</v>
      </c>
      <c r="I32" t="inlineStr">
        <is>
          <t>Mettler-Toledo; Rainin</t>
        </is>
      </c>
    </row>
    <row r="33">
      <c r="A33" t="inlineStr">
        <is>
          <t>Dinco Ltd.</t>
        </is>
      </c>
      <c r="B33" t="inlineStr"/>
      <c r="C33" t="inlineStr">
        <is>
          <t>מפיץ</t>
        </is>
      </c>
      <c r="D33" t="inlineStr"/>
      <c r="E33" t="inlineStr"/>
      <c r="F33" t="inlineStr"/>
      <c r="G33" t="inlineStr"/>
      <c r="H33" t="n">
        <v>2</v>
      </c>
      <c r="I33" t="inlineStr">
        <is>
          <t>Mettler-Toledo; Rainin</t>
        </is>
      </c>
    </row>
    <row r="34">
      <c r="A34" t="inlineStr">
        <is>
          <t>PerkinElmer Israel Ltd.</t>
        </is>
      </c>
      <c r="B34" t="inlineStr"/>
      <c r="C34" t="inlineStr">
        <is>
          <t>חברה-בת</t>
        </is>
      </c>
      <c r="D34" t="inlineStr">
        <is>
          <t>https://www.perkinelmer.com</t>
        </is>
      </c>
      <c r="E34" t="inlineStr">
        <is>
          <t>1-700-500-512</t>
        </is>
      </c>
      <c r="F34" t="inlineStr">
        <is>
          <t>cc.israel@perkinelmer.com</t>
        </is>
      </c>
      <c r="G34" t="inlineStr">
        <is>
          <t>4 HaSheizaf St., Ra'anana</t>
        </is>
      </c>
      <c r="H34" t="n">
        <v>2</v>
      </c>
      <c r="I34" t="inlineStr">
        <is>
          <t>PerkinElmer; Revvity</t>
        </is>
      </c>
    </row>
    <row r="35">
      <c r="A35" t="inlineStr">
        <is>
          <t>Roche Pharmaceuticals (Israel) Ltd. - Diagnostics division ("Roche Diagnostics Israel")</t>
        </is>
      </c>
      <c r="B35" t="inlineStr"/>
      <c r="C35" t="inlineStr">
        <is>
          <t>חברה-בת</t>
        </is>
      </c>
      <c r="D35" t="inlineStr">
        <is>
          <t>https://www.roche.co.il</t>
        </is>
      </c>
      <c r="E35" t="inlineStr">
        <is>
          <t>+972-9-9737777</t>
        </is>
      </c>
      <c r="F35" t="inlineStr"/>
      <c r="G35" t="inlineStr">
        <is>
          <t>6 Hacharash St., P.O. Box 3691, Hod Hasharon 4524079</t>
        </is>
      </c>
      <c r="H35" t="n">
        <v>2</v>
      </c>
      <c r="I35" t="inlineStr">
        <is>
          <t>Roche; Roche Diagnostics Corp.</t>
        </is>
      </c>
    </row>
    <row r="36">
      <c r="A36" t="inlineStr">
        <is>
          <t>Dyn Diagnostics</t>
        </is>
      </c>
      <c r="B36" t="inlineStr"/>
      <c r="C36" t="inlineStr">
        <is>
          <t>מפיץ</t>
        </is>
      </c>
      <c r="D36" t="inlineStr">
        <is>
          <t>https://dyn.co.il</t>
        </is>
      </c>
      <c r="E36" t="inlineStr"/>
      <c r="F36" t="inlineStr"/>
      <c r="G36" t="inlineStr"/>
      <c r="H36" t="n">
        <v>2</v>
      </c>
      <c r="I36" t="inlineStr">
        <is>
          <t>Roche; Roche Diagnostics Corp.</t>
        </is>
      </c>
    </row>
    <row r="37">
      <c r="A37" t="inlineStr">
        <is>
          <t>3M Israel</t>
        </is>
      </c>
      <c r="B37" t="inlineStr">
        <is>
          <t>3M ישראל</t>
        </is>
      </c>
      <c r="C37" t="inlineStr">
        <is>
          <t>חברה-בת</t>
        </is>
      </c>
      <c r="H37" t="n">
        <v>1</v>
      </c>
      <c r="I37" t="inlineStr">
        <is>
          <t>3M</t>
        </is>
      </c>
    </row>
    <row r="38">
      <c r="A38" t="inlineStr">
        <is>
          <t>Prime Lab Scientific Instruments Ltd.</t>
        </is>
      </c>
      <c r="B38" t="inlineStr">
        <is>
          <t>פריים לאב</t>
        </is>
      </c>
      <c r="C38" t="inlineStr">
        <is>
          <t>מפיץ</t>
        </is>
      </c>
      <c r="D38" t="inlineStr">
        <is>
          <t>https://primelab.co.il</t>
        </is>
      </c>
      <c r="E38" t="inlineStr"/>
      <c r="F38" t="inlineStr"/>
      <c r="G38" t="inlineStr"/>
      <c r="H38" t="n">
        <v>1</v>
      </c>
      <c r="I38" t="inlineStr">
        <is>
          <t>Anton Paar</t>
        </is>
      </c>
    </row>
    <row r="39">
      <c r="A39" t="inlineStr">
        <is>
          <t>BD Israel (Becton Dickinson)</t>
        </is>
      </c>
      <c r="B39" t="inlineStr"/>
      <c r="C39" t="inlineStr">
        <is>
          <t>חברה-בת</t>
        </is>
      </c>
      <c r="D39" t="inlineStr">
        <is>
          <t>https://www.bd.com/en-il</t>
        </is>
      </c>
      <c r="E39" t="inlineStr"/>
      <c r="F39" t="inlineStr"/>
      <c r="G39" t="inlineStr">
        <is>
          <t>Caesarea</t>
        </is>
      </c>
      <c r="H39" t="n">
        <v>1</v>
      </c>
      <c r="I39" t="inlineStr">
        <is>
          <t>BD Biosciences</t>
        </is>
      </c>
    </row>
    <row r="40">
      <c r="A40" t="inlineStr">
        <is>
          <t>Beckman Coulter (Israel) Ltd.</t>
        </is>
      </c>
      <c r="B40" t="inlineStr"/>
      <c r="C40" t="inlineStr">
        <is>
          <t>חברה-בת</t>
        </is>
      </c>
      <c r="D40" t="inlineStr"/>
      <c r="E40" t="inlineStr"/>
      <c r="F40" t="inlineStr"/>
      <c r="G40" t="inlineStr"/>
      <c r="H40" t="n">
        <v>1</v>
      </c>
      <c r="I40" t="inlineStr">
        <is>
          <t>Beckman Coulter</t>
        </is>
      </c>
    </row>
    <row r="41">
      <c r="A41" t="inlineStr">
        <is>
          <t>Syntezza Bioscience Ltd</t>
        </is>
      </c>
      <c r="B41" t="inlineStr">
        <is>
          <t>סינתזה ביוסיינס</t>
        </is>
      </c>
      <c r="C41" t="inlineStr">
        <is>
          <t>מפיץ</t>
        </is>
      </c>
      <c r="D41" t="inlineStr">
        <is>
          <t>https://www.syntezza.com</t>
        </is>
      </c>
      <c r="G41" t="inlineStr">
        <is>
          <t>17 Hartom St., Har Hotzvim, Jerusalem</t>
        </is>
      </c>
      <c r="H41" t="n">
        <v>1</v>
      </c>
      <c r="I41" t="inlineStr">
        <is>
          <t>Bio Basic Inc.</t>
        </is>
      </c>
    </row>
    <row r="42">
      <c r="A42" t="inlineStr">
        <is>
          <t>Doron Scientific</t>
        </is>
      </c>
      <c r="B42" t="inlineStr">
        <is>
          <t>דורון סיינטיפיק</t>
        </is>
      </c>
      <c r="C42" t="inlineStr">
        <is>
          <t>מפיץ</t>
        </is>
      </c>
      <c r="D42" t="inlineStr">
        <is>
          <t>https://www.doronscientific.com</t>
        </is>
      </c>
      <c r="E42" t="inlineStr">
        <is>
          <t>+972-54-554-4004</t>
        </is>
      </c>
      <c r="G42" t="inlineStr">
        <is>
          <t>8 Yehoshua Baum St., Kiryat Ono</t>
        </is>
      </c>
      <c r="H42" t="n">
        <v>1</v>
      </c>
      <c r="I42" t="inlineStr">
        <is>
          <t>Biotium</t>
        </is>
      </c>
    </row>
    <row r="43">
      <c r="A43" t="inlineStr">
        <is>
          <t>New Biotechnology Ltd</t>
        </is>
      </c>
      <c r="B43" t="inlineStr">
        <is>
          <t>ניו ביוטכנולוגי (NBT)</t>
        </is>
      </c>
      <c r="C43" t="inlineStr">
        <is>
          <t>מפיץ</t>
        </is>
      </c>
      <c r="D43" t="inlineStr">
        <is>
          <t>https://www.nbtltd.com</t>
        </is>
      </c>
      <c r="E43" t="inlineStr">
        <is>
          <t>+972-2-673-2001</t>
        </is>
      </c>
      <c r="F43" t="inlineStr">
        <is>
          <t>nbtsales@nbtltd.com</t>
        </is>
      </c>
      <c r="G43" t="inlineStr">
        <is>
          <t>3 Mekor Haim St., P.O. Box 8662, Jerusalem 91086</t>
        </is>
      </c>
      <c r="H43" t="n">
        <v>1</v>
      </c>
      <c r="I43" t="inlineStr">
        <is>
          <t>Biotium</t>
        </is>
      </c>
    </row>
    <row r="44">
      <c r="A44" t="inlineStr">
        <is>
          <t>Origolab Ltd</t>
        </is>
      </c>
      <c r="B44" t="inlineStr">
        <is>
          <t>אוריגולאב</t>
        </is>
      </c>
      <c r="C44" t="inlineStr">
        <is>
          <t>מפיץ</t>
        </is>
      </c>
      <c r="E44" t="inlineStr">
        <is>
          <t>+972-2-566-9285</t>
        </is>
      </c>
      <c r="F44" t="inlineStr">
        <is>
          <t>origolab@netmedia.net.il</t>
        </is>
      </c>
      <c r="G44" t="inlineStr">
        <is>
          <t>28 Kaf-Tet BeNovember St., Jerusalem</t>
        </is>
      </c>
      <c r="H44" t="n">
        <v>1</v>
      </c>
      <c r="I44" t="inlineStr">
        <is>
          <t>Biotium</t>
        </is>
      </c>
    </row>
    <row r="45">
      <c r="A45" t="inlineStr">
        <is>
          <t>Dr. Golik Scientific Solutions</t>
        </is>
      </c>
      <c r="B45" t="inlineStr">
        <is>
          <t>ד"ר גוליק</t>
        </is>
      </c>
      <c r="C45" t="inlineStr">
        <is>
          <t>מפיץ</t>
        </is>
      </c>
      <c r="D45" t="inlineStr">
        <is>
          <t>https://www.golik.co.il</t>
        </is>
      </c>
      <c r="E45" t="inlineStr">
        <is>
          <t>+972-3-518-7555</t>
        </is>
      </c>
      <c r="F45" t="inlineStr">
        <is>
          <t>marketing@golik.co.il</t>
        </is>
      </c>
      <c r="G45" t="inlineStr">
        <is>
          <t>34 Kibbutz Galuyot St, Tel Aviv 66550</t>
        </is>
      </c>
      <c r="H45" t="n">
        <v>1</v>
      </c>
      <c r="I45" t="inlineStr">
        <is>
          <t>Buchi</t>
        </is>
      </c>
    </row>
    <row r="46">
      <c r="A46" t="inlineStr">
        <is>
          <t>Modotec Ltd.</t>
        </is>
      </c>
      <c r="B46" t="inlineStr">
        <is>
          <t>מודוטק בע"מ</t>
        </is>
      </c>
      <c r="C46" t="inlineStr">
        <is>
          <t>מפיץ</t>
        </is>
      </c>
      <c r="D46" t="inlineStr">
        <is>
          <t>https://www.modotec.co.il</t>
        </is>
      </c>
      <c r="E46" t="inlineStr">
        <is>
          <t>+972-4-991-9988</t>
        </is>
      </c>
      <c r="F46" t="inlineStr"/>
      <c r="G46" t="inlineStr">
        <is>
          <t>16 Moshe Bernstein St., South Industrial Park, Acre (Akko) 2422238</t>
        </is>
      </c>
      <c r="H46" t="n">
        <v>1</v>
      </c>
      <c r="I46" t="inlineStr">
        <is>
          <t>Hach</t>
        </is>
      </c>
    </row>
    <row r="47">
      <c r="A47" t="inlineStr">
        <is>
          <t>Ex-Lab</t>
        </is>
      </c>
      <c r="B47" t="inlineStr">
        <is>
          <t>אקס-לאב</t>
        </is>
      </c>
      <c r="C47" t="inlineStr">
        <is>
          <t>מפיץ</t>
        </is>
      </c>
      <c r="D47" t="inlineStr">
        <is>
          <t>https://ex-lab.com</t>
        </is>
      </c>
      <c r="E47" t="inlineStr"/>
      <c r="F47" t="inlineStr"/>
      <c r="G47" t="inlineStr">
        <is>
          <t>4 Nevatim St., Petah Tikva</t>
        </is>
      </c>
      <c r="H47" t="n">
        <v>1</v>
      </c>
      <c r="I47" t="inlineStr">
        <is>
          <t>Haier</t>
        </is>
      </c>
    </row>
    <row r="48">
      <c r="A48" t="inlineStr">
        <is>
          <t>Tarom Applied Technologies Ltd.</t>
        </is>
      </c>
      <c r="B48" t="inlineStr"/>
      <c r="C48" t="inlineStr">
        <is>
          <t>מפיץ</t>
        </is>
      </c>
      <c r="D48" t="inlineStr">
        <is>
          <t>http://www.tarom.co.il</t>
        </is>
      </c>
      <c r="E48" t="inlineStr"/>
      <c r="F48" t="inlineStr"/>
      <c r="G48" t="inlineStr"/>
      <c r="H48" t="n">
        <v>1</v>
      </c>
      <c r="I48" t="inlineStr">
        <is>
          <t>Hamilton</t>
        </is>
      </c>
    </row>
    <row r="49">
      <c r="A49" t="inlineStr">
        <is>
          <t>BioAnalytics</t>
        </is>
      </c>
      <c r="B49" t="inlineStr"/>
      <c r="C49" t="inlineStr">
        <is>
          <t>מפיץ</t>
        </is>
      </c>
      <c r="D49" t="inlineStr">
        <is>
          <t>https://www.bioanalytics.co.il</t>
        </is>
      </c>
      <c r="E49" t="inlineStr">
        <is>
          <t>+972-72-242-9555</t>
        </is>
      </c>
      <c r="F49" t="inlineStr"/>
      <c r="G49" t="inlineStr">
        <is>
          <t>29 Omarim St. (listed as "29'th Omarim"), Omer 84965</t>
        </is>
      </c>
      <c r="H49" t="n">
        <v>1</v>
      </c>
      <c r="I49" t="inlineStr">
        <is>
          <t>Hanna Instruments</t>
        </is>
      </c>
    </row>
    <row r="50">
      <c r="A50" t="inlineStr">
        <is>
          <t>Cannadepot</t>
        </is>
      </c>
      <c r="B50" t="inlineStr"/>
      <c r="C50" t="inlineStr">
        <is>
          <t>מפיץ</t>
        </is>
      </c>
      <c r="D50" t="inlineStr">
        <is>
          <t>https://cannadepot.co.il</t>
        </is>
      </c>
      <c r="E50" t="inlineStr"/>
      <c r="F50" t="inlineStr"/>
      <c r="G50" t="inlineStr"/>
      <c r="H50" t="n">
        <v>1</v>
      </c>
      <c r="I50" t="inlineStr">
        <is>
          <t>Hanna Instruments</t>
        </is>
      </c>
    </row>
    <row r="51">
      <c r="A51" t="inlineStr">
        <is>
          <t>Master-Cold</t>
        </is>
      </c>
      <c r="B51" t="inlineStr"/>
      <c r="C51" t="inlineStr">
        <is>
          <t>מפיץ</t>
        </is>
      </c>
      <c r="D51" t="inlineStr">
        <is>
          <t>http://master-cold.co.il</t>
        </is>
      </c>
      <c r="E51" t="inlineStr"/>
      <c r="F51" t="inlineStr"/>
      <c r="G51" t="inlineStr"/>
      <c r="H51" t="n">
        <v>1</v>
      </c>
      <c r="I51" t="inlineStr">
        <is>
          <t>Huber USA</t>
        </is>
      </c>
    </row>
    <row r="52">
      <c r="A52" t="inlineStr">
        <is>
          <t>Citrine Solutions</t>
        </is>
      </c>
      <c r="B52" t="inlineStr">
        <is>
          <t>סיטרין</t>
        </is>
      </c>
      <c r="C52" t="inlineStr">
        <is>
          <t>מפיץ</t>
        </is>
      </c>
      <c r="D52" t="inlineStr">
        <is>
          <t>https://www.citrinesolutions.co.il</t>
        </is>
      </c>
      <c r="E52" t="inlineStr"/>
      <c r="F52" t="inlineStr"/>
      <c r="G52" t="inlineStr"/>
      <c r="H52" t="n">
        <v>1</v>
      </c>
      <c r="I52" t="inlineStr">
        <is>
          <t>Lauda</t>
        </is>
      </c>
    </row>
    <row r="53">
      <c r="A53" t="inlineStr">
        <is>
          <t>Avni &amp; Son</t>
        </is>
      </c>
      <c r="B53" t="inlineStr"/>
      <c r="C53" t="inlineStr">
        <is>
          <t>מפיץ</t>
        </is>
      </c>
      <c r="D53" t="inlineStr">
        <is>
          <t>https://avni-son.co.il</t>
        </is>
      </c>
      <c r="E53" t="inlineStr">
        <is>
          <t>+972-4-821-9989</t>
        </is>
      </c>
      <c r="F53" t="inlineStr">
        <is>
          <t>info@avni-son.co.il</t>
        </is>
      </c>
      <c r="G53" t="inlineStr">
        <is>
          <t>101 Bar Yehuda Rd. (דרך בר יהודה 101), Nesher</t>
        </is>
      </c>
      <c r="H53" t="n">
        <v>1</v>
      </c>
      <c r="I53" t="inlineStr">
        <is>
          <t>Lauda</t>
        </is>
      </c>
    </row>
    <row r="54">
      <c r="A54" t="inlineStr">
        <is>
          <t>Electrotherm Marketing 1978 Ltd.</t>
        </is>
      </c>
      <c r="B54" t="inlineStr">
        <is>
          <t>אלקטרוטרם</t>
        </is>
      </c>
      <c r="C54" t="inlineStr">
        <is>
          <t>מפיץ</t>
        </is>
      </c>
      <c r="D54" t="inlineStr">
        <is>
          <t>https://www.electrotherm.co.il</t>
        </is>
      </c>
      <c r="E54" t="inlineStr">
        <is>
          <t>+972-77-866-0600</t>
        </is>
      </c>
      <c r="F54" t="inlineStr">
        <is>
          <t>sales@electrotherm.co.il</t>
        </is>
      </c>
      <c r="G54" t="inlineStr">
        <is>
          <t>Migdal HaEmek</t>
        </is>
      </c>
      <c r="H54" t="n">
        <v>1</v>
      </c>
      <c r="I54" t="inlineStr">
        <is>
          <t>Nabertherm</t>
        </is>
      </c>
    </row>
    <row r="55">
      <c r="A55" t="inlineStr">
        <is>
          <t>Advanced Technological Solutions Ltd. (ATSL)</t>
        </is>
      </c>
      <c r="B55" t="inlineStr"/>
      <c r="C55" t="inlineStr">
        <is>
          <t>מפיץ</t>
        </is>
      </c>
      <c r="D55" t="inlineStr"/>
      <c r="E55" t="inlineStr"/>
      <c r="F55" t="inlineStr"/>
      <c r="G55" t="inlineStr"/>
      <c r="H55" t="n">
        <v>1</v>
      </c>
      <c r="I55" t="inlineStr">
        <is>
          <t>Oxford Instruments America</t>
        </is>
      </c>
    </row>
    <row r="56">
      <c r="A56" t="inlineStr">
        <is>
          <t>Quantum Design s.r.l. (Italy and Israel branch office, Rome) / Quantum Design Israel site</t>
        </is>
      </c>
      <c r="B56" t="inlineStr"/>
      <c r="C56" t="inlineStr">
        <is>
          <t>מפיץ</t>
        </is>
      </c>
      <c r="D56" t="inlineStr">
        <is>
          <t>https://qd-europe.com/il/en</t>
        </is>
      </c>
      <c r="E56" t="inlineStr"/>
      <c r="F56" t="inlineStr"/>
      <c r="G56" t="inlineStr"/>
      <c r="H56" t="n">
        <v>1</v>
      </c>
      <c r="I56" t="inlineStr">
        <is>
          <t>Oxford Instruments America</t>
        </is>
      </c>
    </row>
    <row r="57">
      <c r="A57" t="inlineStr">
        <is>
          <t>Tivan Biotech</t>
        </is>
      </c>
      <c r="B57" t="inlineStr">
        <is>
          <t>טיבן ביוטק</t>
        </is>
      </c>
      <c r="C57" t="inlineStr">
        <is>
          <t>מפיץ</t>
        </is>
      </c>
      <c r="D57" t="inlineStr">
        <is>
          <t>https://www.tivanbiotech.com</t>
        </is>
      </c>
      <c r="F57" t="inlineStr">
        <is>
          <t>customerservice@tivanbiotech.com</t>
        </is>
      </c>
      <c r="H57" t="n">
        <v>1</v>
      </c>
      <c r="I57" t="inlineStr">
        <is>
          <t>OZ Biosciences</t>
        </is>
      </c>
    </row>
    <row r="58">
      <c r="A58" t="inlineStr">
        <is>
          <t>IM Beit HaEmek (Beit HaEmek Industries)</t>
        </is>
      </c>
      <c r="B58" t="inlineStr">
        <is>
          <t>תעשיות בית העמק</t>
        </is>
      </c>
      <c r="C58" t="inlineStr">
        <is>
          <t>מפיץ</t>
        </is>
      </c>
      <c r="D58" t="inlineStr">
        <is>
          <t>https://www.bemek.co.il</t>
        </is>
      </c>
      <c r="E58" t="inlineStr">
        <is>
          <t>+972 4-868-9015</t>
        </is>
      </c>
      <c r="F58" t="inlineStr">
        <is>
          <t>info@bemek.co.il</t>
        </is>
      </c>
      <c r="G58" t="inlineStr">
        <is>
          <t>Kibbutz Beit HaEmek</t>
        </is>
      </c>
      <c r="H58" t="n">
        <v>1</v>
      </c>
      <c r="I58" t="inlineStr">
        <is>
          <t>Promega</t>
        </is>
      </c>
    </row>
    <row r="59">
      <c r="A59" t="inlineStr">
        <is>
          <t>Ilex Medical Ltd.</t>
        </is>
      </c>
      <c r="B59" t="inlineStr"/>
      <c r="C59" t="inlineStr">
        <is>
          <t>מפיץ</t>
        </is>
      </c>
      <c r="D59" t="inlineStr">
        <is>
          <t>https://www.ilexmedical.com</t>
        </is>
      </c>
      <c r="E59" t="inlineStr">
        <is>
          <t>+972-3-9385500</t>
        </is>
      </c>
      <c r="F59" t="inlineStr"/>
      <c r="G59" t="inlineStr">
        <is>
          <t>7 HaTnufa St., Petah Tikva</t>
        </is>
      </c>
      <c r="H59" t="n">
        <v>1</v>
      </c>
      <c r="I59" t="inlineStr">
        <is>
          <t>Qiagen</t>
        </is>
      </c>
    </row>
    <row r="60">
      <c r="A60" t="inlineStr">
        <is>
          <t>Lifegene Ltd.</t>
        </is>
      </c>
      <c r="B60" t="inlineStr">
        <is>
          <t>לייפג'ין</t>
        </is>
      </c>
      <c r="C60" t="inlineStr">
        <is>
          <t>מפיץ</t>
        </is>
      </c>
      <c r="D60" t="inlineStr">
        <is>
          <t>QIAGEN enzymes / OEM reagents sold through the Lifegene catalogue (not the QIAGEN instrument line)</t>
        </is>
      </c>
      <c r="E60" t="inlineStr">
        <is>
          <t>+972 8-644-4314</t>
        </is>
      </c>
      <c r="F60" t="inlineStr">
        <is>
          <t>info@lifegene.co.il</t>
        </is>
      </c>
      <c r="G60" t="inlineStr">
        <is>
          <t>4 Ha'maayan St., Modi'in 7171101 (directory lists Modi'in; other sources say Mevo Horon – verify)</t>
        </is>
      </c>
      <c r="H60" t="n">
        <v>1</v>
      </c>
      <c r="I60" t="inlineStr">
        <is>
          <t>Qiagen</t>
        </is>
      </c>
    </row>
    <row r="61">
      <c r="A61" t="inlineStr">
        <is>
          <t>MRC Laboratory Equipment &amp; Instruments</t>
        </is>
      </c>
      <c r="B61" t="inlineStr">
        <is>
          <t>MRC</t>
        </is>
      </c>
      <c r="C61" t="inlineStr">
        <is>
          <t>מפיץ</t>
        </is>
      </c>
      <c r="D61" t="inlineStr">
        <is>
          <t>https://www.mrclab.com</t>
        </is>
      </c>
      <c r="E61" t="inlineStr">
        <is>
          <t>+972 3-559-5252</t>
        </is>
      </c>
      <c r="F61" t="inlineStr"/>
      <c r="G61" t="inlineStr">
        <is>
          <t>3 Ha-Gavish St., Holon 5881702</t>
        </is>
      </c>
      <c r="H61" t="n">
        <v>1</v>
      </c>
      <c r="I61" t="inlineStr">
        <is>
          <t>Retsch</t>
        </is>
      </c>
    </row>
    <row r="62">
      <c r="A62" t="inlineStr">
        <is>
          <t>Sartorius Israel Ltd.</t>
        </is>
      </c>
      <c r="B62" t="inlineStr"/>
      <c r="C62" t="inlineStr">
        <is>
          <t>חברה-בת</t>
        </is>
      </c>
      <c r="D62" t="inlineStr">
        <is>
          <t>https://www.sartorius.com/en/contact-us/local-contact</t>
        </is>
      </c>
      <c r="E62" t="inlineStr">
        <is>
          <t>+972 4-996-0595</t>
        </is>
      </c>
      <c r="F62" t="inlineStr"/>
      <c r="G62" t="inlineStr">
        <is>
          <t>Kibbutz Beit Haemek 2511500</t>
        </is>
      </c>
      <c r="H62" t="n">
        <v>1</v>
      </c>
      <c r="I62" t="inlineStr">
        <is>
          <t>Sartorius</t>
        </is>
      </c>
    </row>
    <row r="63">
      <c r="A63" t="inlineStr">
        <is>
          <t>Tuttnauer Ltd.</t>
        </is>
      </c>
      <c r="B63" t="inlineStr">
        <is>
          <t>טוטנאור</t>
        </is>
      </c>
      <c r="C63" t="inlineStr">
        <is>
          <t>חברה-בת</t>
        </is>
      </c>
      <c r="D63" t="inlineStr">
        <is>
          <t>https://tuttnauer.com</t>
        </is>
      </c>
      <c r="H63" t="n">
        <v>1</v>
      </c>
      <c r="I6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בחיפוש ראשוני</t>
        </is>
      </c>
      <c r="B12">
        <f>COUNTIF(Suppliers!AD2:AD1382,"לא נמצא בחיפוש ראשוני")</f>
        <v/>
      </c>
    </row>
    <row r="13">
      <c r="A13" s="3" t="inlineStr">
        <is>
          <t>לא נמצא בסריקת המפיצים</t>
        </is>
      </c>
      <c r="B13">
        <f>COUNTIF(Suppliers!AD2:AD1382,"לא נמצא בסריקת המפיצים")</f>
        <v/>
      </c>
    </row>
    <row r="14">
      <c r="A14" s="3" t="inlineStr">
        <is>
          <t>טרם נבדק</t>
        </is>
      </c>
      <c r="B14">
        <f>COUNTIF(Suppliers!AD2:AD1382,"טרם נבדק")</f>
        <v/>
      </c>
    </row>
    <row r="15">
      <c r="A15" s="3" t="inlineStr">
        <is>
          <t>עם אתר מזוהה</t>
        </is>
      </c>
      <c r="B15">
        <f>COUNTIF(Suppliers!H2:H1382,"http*")</f>
        <v/>
      </c>
    </row>
    <row r="16">
      <c r="A16" s="3" t="inlineStr">
        <is>
          <t>עם נתון עובדים</t>
        </is>
      </c>
      <c r="B16">
        <f>COUNT(Suppliers!P2:P1382)</f>
        <v/>
      </c>
    </row>
    <row r="17">
      <c r="A17" s="3" t="inlineStr">
        <is>
          <t>עם נתון הכנסות</t>
        </is>
      </c>
      <c r="B17">
        <f>COUNT(Suppliers!T2:T1382)</f>
        <v/>
      </c>
    </row>
    <row r="18">
      <c r="A18" s="3" t="inlineStr">
        <is>
          <t>עם 3 מוצרים</t>
        </is>
      </c>
      <c r="B18">
        <f>COUNTIF(Suppliers!AB2:AB1382,"?*")</f>
        <v/>
      </c>
    </row>
    <row r="19">
      <c r="A19" s="3" t="inlineStr">
        <is>
          <t>עם טלפון</t>
        </is>
      </c>
      <c r="B19">
        <f>COUNTIF(Suppliers!AJ2:AJ1382,"?*")</f>
        <v/>
      </c>
    </row>
    <row r="20">
      <c r="A20" s="3" t="inlineStr">
        <is>
          <t>חציון עובדים</t>
        </is>
      </c>
      <c r="B20">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2026-10-18T06:12:12Z</dcterms:created>
  <dcterms:modified xmlns:dcterms="http://purl.org/dc/terms/" xmlns:xsi="http://www.w3.org/2001/XMLSchema-instance" xsi:type="dcterms:W3CDTF">2026-10-18T06:12:12Z</dcterms:modified>
</cp:coreProperties>
</file>